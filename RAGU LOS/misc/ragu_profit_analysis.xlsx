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5C579FAC-91C9-484C-9E49-60CB14F0D06C}" xr6:coauthVersionLast="47" xr6:coauthVersionMax="47" xr10:uidLastSave="{00000000-0000-0000-0000-000000000000}"/>
  <bookViews>
    <workbookView xWindow="15315" yWindow="-21720" windowWidth="38640" windowHeight="21120" firstSheet="5" activeTab="10" xr2:uid="{00000000-000D-0000-FFFF-FFFF00000000}"/>
  </bookViews>
  <sheets>
    <sheet name="KMX-mmroa" sheetId="1" r:id="rId1"/>
    <sheet name="T1 KMX" sheetId="2" r:id="rId2"/>
    <sheet name="FLD-mmroa" sheetId="3" r:id="rId3"/>
    <sheet name="T1 FLD" sheetId="4" r:id="rId4"/>
    <sheet name="FRN-mmroa" sheetId="5" r:id="rId5"/>
    <sheet name="T1 FRN" sheetId="6" r:id="rId6"/>
    <sheet name="ENT-mmroa" sheetId="7" r:id="rId7"/>
    <sheet name="T1 ENT" sheetId="8" r:id="rId8"/>
    <sheet name="STG-mmroa" sheetId="9" r:id="rId9"/>
    <sheet name="T1 STG" sheetId="10" r:id="rId10"/>
    <sheet name="AN-mmroa" sheetId="11" r:id="rId11"/>
    <sheet name="T1 AN" sheetId="12" r:id="rId12"/>
    <sheet name="T1 STE" sheetId="15" r:id="rId13"/>
    <sheet name="Conversion by LOB" sheetId="13" r:id="rId14"/>
    <sheet name="Full Call by LOB" sheetId="14" r:id="rId15"/>
    <sheet name="STE-mmroa" sheetId="16" r:id="rId16"/>
    <sheet name="STE-conversion" sheetId="17" r:id="rId17"/>
    <sheet name="Sheet1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9" l="1"/>
  <c r="T35" i="9"/>
  <c r="S35" i="3"/>
  <c r="C42" i="9"/>
  <c r="C41" i="9"/>
  <c r="C40" i="9"/>
  <c r="C39" i="9"/>
  <c r="C38" i="9"/>
  <c r="S35" i="9"/>
  <c r="R35" i="9"/>
  <c r="Q38" i="9"/>
  <c r="P38" i="9"/>
  <c r="Q37" i="9"/>
  <c r="P37" i="9"/>
  <c r="R37" i="3"/>
  <c r="R38" i="3"/>
  <c r="S33" i="3"/>
  <c r="Q37" i="7"/>
  <c r="Q38" i="7"/>
  <c r="P38" i="7"/>
  <c r="P37" i="7"/>
  <c r="Q38" i="11"/>
  <c r="P38" i="11"/>
  <c r="Q37" i="11"/>
  <c r="P37" i="11"/>
  <c r="F12" i="17" l="1"/>
  <c r="E12" i="17"/>
  <c r="F11" i="17"/>
  <c r="E11" i="17"/>
  <c r="Q23" i="16"/>
  <c r="P23" i="16"/>
  <c r="O23" i="16"/>
  <c r="Q21" i="16"/>
  <c r="P21" i="16"/>
  <c r="O21" i="16"/>
  <c r="N21" i="16"/>
  <c r="C21" i="16"/>
  <c r="D21" i="16" s="1"/>
  <c r="Q20" i="16"/>
  <c r="P20" i="16"/>
  <c r="O20" i="16"/>
  <c r="N20" i="16"/>
  <c r="C20" i="16"/>
  <c r="N19" i="16"/>
  <c r="Q41" i="5"/>
  <c r="P41" i="5"/>
  <c r="O41" i="5"/>
  <c r="P39" i="5"/>
  <c r="N39" i="5"/>
  <c r="P38" i="5"/>
  <c r="N37" i="5"/>
  <c r="R35" i="3"/>
  <c r="R33" i="3"/>
  <c r="S31" i="3"/>
  <c r="S37" i="3" s="1"/>
  <c r="R31" i="3"/>
  <c r="S29" i="3"/>
  <c r="R29" i="3"/>
  <c r="S27" i="3"/>
  <c r="R27" i="3"/>
  <c r="S25" i="3"/>
  <c r="S38" i="3" s="1"/>
  <c r="R25" i="3"/>
  <c r="S23" i="3"/>
  <c r="R23" i="3"/>
  <c r="S21" i="3"/>
  <c r="R21" i="3"/>
  <c r="S19" i="3"/>
  <c r="R19" i="3"/>
  <c r="S17" i="3"/>
  <c r="R17" i="3"/>
  <c r="S15" i="3"/>
  <c r="R15" i="3"/>
  <c r="S13" i="3"/>
  <c r="R13" i="3"/>
  <c r="Q41" i="1"/>
  <c r="P41" i="1"/>
  <c r="O41" i="1"/>
  <c r="Q38" i="1"/>
  <c r="P38" i="1"/>
  <c r="N38" i="1"/>
  <c r="Q37" i="1"/>
  <c r="P37" i="1"/>
  <c r="N37" i="1"/>
</calcChain>
</file>

<file path=xl/sharedStrings.xml><?xml version="1.0" encoding="utf-8"?>
<sst xmlns="http://schemas.openxmlformats.org/spreadsheetml/2006/main" count="847" uniqueCount="72">
  <si>
    <t>app_month</t>
  </si>
  <si>
    <t>hurdle</t>
  </si>
  <si>
    <t>loan_count</t>
  </si>
  <si>
    <t>ragu_score</t>
  </si>
  <si>
    <t>weighted_model_score</t>
  </si>
  <si>
    <t>weighted_discount_pct</t>
  </si>
  <si>
    <t>weighted_apr</t>
  </si>
  <si>
    <t>t0_cnl</t>
  </si>
  <si>
    <t>wal</t>
  </si>
  <si>
    <t>orig_yield</t>
  </si>
  <si>
    <t>cnl_effect</t>
  </si>
  <si>
    <t>var_cost</t>
  </si>
  <si>
    <t>cost_of_debt</t>
  </si>
  <si>
    <t>mroa</t>
  </si>
  <si>
    <t>mroa_gap</t>
  </si>
  <si>
    <t>mmroa</t>
  </si>
  <si>
    <t>vol_change</t>
  </si>
  <si>
    <t>1) Lower</t>
  </si>
  <si>
    <t>2) Higher</t>
  </si>
  <si>
    <t>change volume make it be 5</t>
  </si>
  <si>
    <t>roa_dealer_group</t>
  </si>
  <si>
    <t>effective_date</t>
  </si>
  <si>
    <t>model_score</t>
  </si>
  <si>
    <t>discount</t>
  </si>
  <si>
    <t>apr</t>
  </si>
  <si>
    <t>cnl</t>
  </si>
  <si>
    <t>apr_realization_factor</t>
  </si>
  <si>
    <t>fee_income</t>
  </si>
  <si>
    <t>pmt_proc_income</t>
  </si>
  <si>
    <t>addl_income</t>
  </si>
  <si>
    <t>KMX</t>
  </si>
  <si>
    <t>adj vol change</t>
  </si>
  <si>
    <t>adj mmroa</t>
  </si>
  <si>
    <t>FLD</t>
  </si>
  <si>
    <t>FRN</t>
  </si>
  <si>
    <t>ENT</t>
  </si>
  <si>
    <t>STG</t>
  </si>
  <si>
    <t>AN</t>
  </si>
  <si>
    <t>dealer_pricing_hurdle</t>
  </si>
  <si>
    <t>year</t>
  </si>
  <si>
    <t>month</t>
  </si>
  <si>
    <t>apps</t>
  </si>
  <si>
    <t>contracts</t>
  </si>
  <si>
    <t>first_week_cons</t>
  </si>
  <si>
    <t>conversion</t>
  </si>
  <si>
    <t>adj_conversion</t>
  </si>
  <si>
    <t>first_week_conversion</t>
  </si>
  <si>
    <t>app_rehash_rate</t>
  </si>
  <si>
    <t>low_disc_frac</t>
  </si>
  <si>
    <t>avg_apr</t>
  </si>
  <si>
    <t>mROA-AN</t>
  </si>
  <si>
    <t>mROA-ENT</t>
  </si>
  <si>
    <t>mROA-FLD</t>
  </si>
  <si>
    <t>mROA-FRN</t>
  </si>
  <si>
    <t>mROA-KMX</t>
  </si>
  <si>
    <t>mROA-MCY</t>
  </si>
  <si>
    <t>mROA-STG</t>
  </si>
  <si>
    <t>pricing_hurdle_name</t>
  </si>
  <si>
    <t>first_date</t>
  </si>
  <si>
    <t>cons</t>
  </si>
  <si>
    <t>booked_cons</t>
  </si>
  <si>
    <t>full_call</t>
  </si>
  <si>
    <t>b2l</t>
  </si>
  <si>
    <t>adj_low_disc_frac</t>
  </si>
  <si>
    <t>low_disc_count</t>
  </si>
  <si>
    <t>SFS</t>
  </si>
  <si>
    <t>may</t>
  </si>
  <si>
    <t>total_apps</t>
  </si>
  <si>
    <t>straight_approved</t>
  </si>
  <si>
    <t>booked_straight</t>
  </si>
  <si>
    <t>straight_approval_rate</t>
  </si>
  <si>
    <t>conversion_rate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</si>
</sst>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yyyy\-mm\-dd"/>
    <numFmt numFmtId="166" formatCode="0.000%"/>
    <numFmt numFmtId="167" formatCode="yyyy\-mm\-dd\ h:mm:ss"/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0" fontId="1" fillId="0" borderId="0" xfId="1" applyNumberFormat="1"/>
    <xf numFmtId="166" fontId="1" fillId="2" borderId="0" xfId="1" applyNumberFormat="1" applyFill="1"/>
    <xf numFmtId="167" fontId="0" fillId="0" borderId="0" xfId="0" applyNumberFormat="1"/>
    <xf numFmtId="9" fontId="1" fillId="0" borderId="0" xfId="1"/>
    <xf numFmtId="168" fontId="1" fillId="0" borderId="0" xfId="1" applyNumberFormat="1"/>
    <xf numFmtId="166" fontId="1" fillId="0" borderId="0" xfId="1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opLeftCell="A9" zoomScale="175" zoomScaleNormal="175" workbookViewId="0">
      <selection activeCell="P37" sqref="P37:Q38"/>
    </sheetView>
  </sheetViews>
  <sheetFormatPr defaultRowHeight="14.5" x14ac:dyDescent="0.35"/>
  <cols>
    <col min="1" max="1" width="18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45658</v>
      </c>
      <c r="B2" t="s">
        <v>17</v>
      </c>
      <c r="C2">
        <v>2243</v>
      </c>
      <c r="D2">
        <v>138.47901329095899</v>
      </c>
      <c r="E2">
        <v>139.42670000000001</v>
      </c>
      <c r="F2">
        <v>3.04E-2</v>
      </c>
      <c r="G2">
        <v>0.25194740999999998</v>
      </c>
    </row>
    <row r="3" spans="1:17" x14ac:dyDescent="0.35">
      <c r="A3" s="1">
        <v>45658</v>
      </c>
      <c r="B3" t="s">
        <v>18</v>
      </c>
      <c r="C3">
        <v>1939</v>
      </c>
      <c r="D3">
        <v>138.94129698280099</v>
      </c>
      <c r="E3">
        <v>140.37889999999999</v>
      </c>
      <c r="F3">
        <v>3.0700000000000002E-2</v>
      </c>
      <c r="G3">
        <v>0.25412533999999998</v>
      </c>
      <c r="Q3">
        <v>-0.13553276861346411</v>
      </c>
    </row>
    <row r="4" spans="1:17" x14ac:dyDescent="0.35">
      <c r="A4" s="1">
        <v>45689</v>
      </c>
      <c r="B4" t="s">
        <v>17</v>
      </c>
      <c r="C4">
        <v>3391</v>
      </c>
      <c r="D4">
        <v>138.369358301467</v>
      </c>
      <c r="E4">
        <v>139.0179</v>
      </c>
      <c r="F4">
        <v>3.1800000000000002E-2</v>
      </c>
      <c r="G4">
        <v>0.24930738</v>
      </c>
      <c r="I4">
        <v>2.3600000004738302</v>
      </c>
      <c r="J4">
        <v>0.24879167060996091</v>
      </c>
      <c r="L4">
        <v>1.9076764278461E-2</v>
      </c>
      <c r="M4">
        <v>5.0512000000000001E-2</v>
      </c>
    </row>
    <row r="5" spans="1:17" x14ac:dyDescent="0.35">
      <c r="A5" s="1">
        <v>45689</v>
      </c>
      <c r="B5" t="s">
        <v>18</v>
      </c>
      <c r="C5">
        <v>3035</v>
      </c>
      <c r="D5">
        <v>139.28423694428199</v>
      </c>
      <c r="E5">
        <v>140.18889999999999</v>
      </c>
      <c r="F5">
        <v>3.2399999999999998E-2</v>
      </c>
      <c r="G5">
        <v>0.25124479999999999</v>
      </c>
      <c r="I5">
        <v>2.3600000004738302</v>
      </c>
      <c r="J5">
        <v>0.25079922571366348</v>
      </c>
      <c r="L5">
        <v>1.9076764278461E-2</v>
      </c>
      <c r="M5">
        <v>5.0512000000000001E-2</v>
      </c>
      <c r="Q5">
        <v>-0.10498378059569451</v>
      </c>
    </row>
    <row r="6" spans="1:17" x14ac:dyDescent="0.35">
      <c r="A6" s="1">
        <v>45717</v>
      </c>
      <c r="B6" t="s">
        <v>17</v>
      </c>
      <c r="C6">
        <v>4329</v>
      </c>
      <c r="D6">
        <v>139.291789016346</v>
      </c>
      <c r="E6">
        <v>139.27189999999999</v>
      </c>
      <c r="F6">
        <v>3.1E-2</v>
      </c>
      <c r="G6">
        <v>0.24883580999999999</v>
      </c>
      <c r="H6">
        <v>0.29621167139375087</v>
      </c>
      <c r="I6">
        <v>2.3600000004738302</v>
      </c>
      <c r="J6">
        <v>0.24791490079027381</v>
      </c>
      <c r="K6">
        <v>0.12551342005689781</v>
      </c>
      <c r="L6">
        <v>1.9076764278461E-2</v>
      </c>
      <c r="M6">
        <v>4.9281999999999999E-2</v>
      </c>
      <c r="N6">
        <v>5.4042716454914951E-2</v>
      </c>
    </row>
    <row r="7" spans="1:17" x14ac:dyDescent="0.35">
      <c r="A7" s="1">
        <v>45717</v>
      </c>
      <c r="B7" t="s">
        <v>18</v>
      </c>
      <c r="C7">
        <v>3850</v>
      </c>
      <c r="D7">
        <v>139.742715924794</v>
      </c>
      <c r="E7">
        <v>140.21350000000001</v>
      </c>
      <c r="F7">
        <v>3.1600000000000003E-2</v>
      </c>
      <c r="G7">
        <v>0.25193558999999999</v>
      </c>
      <c r="H7">
        <v>0.29328064648883889</v>
      </c>
      <c r="I7">
        <v>2.3600000004738302</v>
      </c>
      <c r="J7">
        <v>0.25097298024250392</v>
      </c>
      <c r="K7">
        <v>0.12427146035167599</v>
      </c>
      <c r="L7">
        <v>1.9076764278461E-2</v>
      </c>
      <c r="M7">
        <v>4.9281999999999999E-2</v>
      </c>
      <c r="N7">
        <v>5.8342755612366903E-2</v>
      </c>
      <c r="O7">
        <v>4.3000391574519459E-3</v>
      </c>
      <c r="P7">
        <v>1.9480815084998469E-2</v>
      </c>
      <c r="Q7">
        <v>-0.11064911064911059</v>
      </c>
    </row>
    <row r="8" spans="1:17" x14ac:dyDescent="0.35">
      <c r="A8" s="1">
        <v>45748</v>
      </c>
      <c r="B8" t="s">
        <v>17</v>
      </c>
      <c r="C8">
        <v>2882</v>
      </c>
      <c r="D8">
        <v>140.907855278299</v>
      </c>
      <c r="E8">
        <v>139.3475</v>
      </c>
      <c r="F8">
        <v>2.9499999999999998E-2</v>
      </c>
      <c r="G8">
        <v>0.24831196999999999</v>
      </c>
      <c r="H8">
        <v>0.28549894069105652</v>
      </c>
      <c r="I8">
        <v>2.3600000004738302</v>
      </c>
      <c r="J8">
        <v>0.2468222631235803</v>
      </c>
      <c r="K8">
        <v>0.120974127387176</v>
      </c>
      <c r="L8">
        <v>1.9076764278461E-2</v>
      </c>
      <c r="M8">
        <v>4.9281999999999999E-2</v>
      </c>
      <c r="N8">
        <v>5.7489371457943299E-2</v>
      </c>
    </row>
    <row r="9" spans="1:17" x14ac:dyDescent="0.35">
      <c r="A9" s="1">
        <v>45748</v>
      </c>
      <c r="B9" t="s">
        <v>18</v>
      </c>
      <c r="C9">
        <v>2481</v>
      </c>
      <c r="D9">
        <v>141.007153936723</v>
      </c>
      <c r="E9">
        <v>140.2157</v>
      </c>
      <c r="F9">
        <v>2.9899999999999999E-2</v>
      </c>
      <c r="G9">
        <v>0.25147940000000002</v>
      </c>
      <c r="H9">
        <v>0.28485349941130039</v>
      </c>
      <c r="I9">
        <v>2.3600000004738302</v>
      </c>
      <c r="J9">
        <v>0.24985700232468</v>
      </c>
      <c r="K9">
        <v>0.12070063531953761</v>
      </c>
      <c r="L9">
        <v>1.9076764278461E-2</v>
      </c>
      <c r="M9">
        <v>4.9281999999999999E-2</v>
      </c>
      <c r="N9">
        <v>6.0797602726681353E-2</v>
      </c>
      <c r="O9">
        <v>3.308231268738054E-3</v>
      </c>
      <c r="P9">
        <v>3.7021237348868218E-2</v>
      </c>
      <c r="Q9">
        <v>-0.13913948646773081</v>
      </c>
    </row>
    <row r="10" spans="1:17" x14ac:dyDescent="0.35">
      <c r="A10" s="1">
        <v>45778</v>
      </c>
      <c r="B10" t="s">
        <v>17</v>
      </c>
      <c r="C10">
        <v>2831</v>
      </c>
      <c r="D10">
        <v>141.10806737609599</v>
      </c>
      <c r="E10">
        <v>139.32089999999999</v>
      </c>
      <c r="F10">
        <v>2.98E-2</v>
      </c>
      <c r="G10">
        <v>0.24954713000000001</v>
      </c>
      <c r="H10">
        <v>0.29587536205537601</v>
      </c>
      <c r="I10">
        <v>2.3600000004738302</v>
      </c>
      <c r="J10">
        <v>0.24848958733787441</v>
      </c>
      <c r="K10">
        <v>0.12537091609998791</v>
      </c>
      <c r="L10">
        <v>1.9076764278461E-2</v>
      </c>
      <c r="M10">
        <v>5.4612000000000001E-2</v>
      </c>
      <c r="N10">
        <v>4.9429906959425438E-2</v>
      </c>
    </row>
    <row r="11" spans="1:17" x14ac:dyDescent="0.35">
      <c r="A11" s="1">
        <v>45778</v>
      </c>
      <c r="B11" t="s">
        <v>18</v>
      </c>
      <c r="C11">
        <v>2386</v>
      </c>
      <c r="D11">
        <v>142.18198965931899</v>
      </c>
      <c r="E11">
        <v>140.423</v>
      </c>
      <c r="F11">
        <v>2.98E-2</v>
      </c>
      <c r="G11">
        <v>0.25178012999999999</v>
      </c>
      <c r="H11">
        <v>0.28889486721442648</v>
      </c>
      <c r="I11">
        <v>2.3600000004738302</v>
      </c>
      <c r="J11">
        <v>0.25051333648938312</v>
      </c>
      <c r="K11">
        <v>0.1224130793035693</v>
      </c>
      <c r="L11">
        <v>1.9076764278461E-2</v>
      </c>
      <c r="M11">
        <v>5.4612000000000001E-2</v>
      </c>
      <c r="N11">
        <v>5.4411492907352803E-2</v>
      </c>
      <c r="O11">
        <v>4.9815859479273583E-3</v>
      </c>
      <c r="P11">
        <v>2.271965061840369E-2</v>
      </c>
      <c r="Q11">
        <v>-0.1571882726951607</v>
      </c>
    </row>
    <row r="12" spans="1:17" x14ac:dyDescent="0.35">
      <c r="A12" s="1">
        <v>45809</v>
      </c>
      <c r="B12" t="s">
        <v>17</v>
      </c>
      <c r="C12">
        <v>2578</v>
      </c>
      <c r="D12">
        <v>141.99272853283</v>
      </c>
      <c r="E12">
        <v>139.74449999999999</v>
      </c>
      <c r="F12">
        <v>2.92E-2</v>
      </c>
      <c r="G12">
        <v>0.24945606000000001</v>
      </c>
      <c r="H12">
        <v>0.27814726453660499</v>
      </c>
      <c r="I12">
        <v>2.3600000004738302</v>
      </c>
      <c r="J12">
        <v>0.248175301564353</v>
      </c>
      <c r="K12">
        <v>0.1178590103732033</v>
      </c>
      <c r="L12">
        <v>1.9076764278461E-2</v>
      </c>
      <c r="M12">
        <v>5.1332000000000003E-2</v>
      </c>
      <c r="N12">
        <v>5.9907526912688712E-2</v>
      </c>
    </row>
    <row r="13" spans="1:17" x14ac:dyDescent="0.35">
      <c r="A13" s="1">
        <v>45809</v>
      </c>
      <c r="B13" t="s">
        <v>18</v>
      </c>
      <c r="C13">
        <v>2133</v>
      </c>
      <c r="D13">
        <v>142.233443032758</v>
      </c>
      <c r="E13">
        <v>140.26949999999999</v>
      </c>
      <c r="F13">
        <v>2.9899999999999999E-2</v>
      </c>
      <c r="G13">
        <v>0.25417235999999999</v>
      </c>
      <c r="H13">
        <v>0.27658262028707298</v>
      </c>
      <c r="I13">
        <v>2.3600000004738302</v>
      </c>
      <c r="J13">
        <v>0.25274667998131001</v>
      </c>
      <c r="K13">
        <v>0.1171960255218398</v>
      </c>
      <c r="L13">
        <v>1.9076764278461E-2</v>
      </c>
      <c r="M13">
        <v>5.1332000000000003E-2</v>
      </c>
      <c r="N13">
        <v>6.5141890181009118E-2</v>
      </c>
      <c r="O13">
        <v>5.2343632683204133E-3</v>
      </c>
      <c r="P13">
        <v>3.4817871067009058E-2</v>
      </c>
      <c r="Q13">
        <v>-0.17261442979053529</v>
      </c>
    </row>
    <row r="14" spans="1:17" x14ac:dyDescent="0.35">
      <c r="A14" s="1">
        <v>45839</v>
      </c>
      <c r="B14" t="s">
        <v>17</v>
      </c>
      <c r="C14">
        <v>2570</v>
      </c>
      <c r="D14">
        <v>141.91003918536299</v>
      </c>
      <c r="E14">
        <v>139.43440000000001</v>
      </c>
      <c r="F14">
        <v>2.9100000000000001E-2</v>
      </c>
      <c r="G14">
        <v>0.24921065000000001</v>
      </c>
      <c r="H14">
        <v>0.29360294529514058</v>
      </c>
      <c r="I14">
        <v>2.3600000004738302</v>
      </c>
      <c r="J14">
        <v>0.25137906966710061</v>
      </c>
      <c r="K14">
        <v>0.1244080276424544</v>
      </c>
      <c r="L14">
        <v>1.9076764278461E-2</v>
      </c>
      <c r="M14">
        <v>5.1332000000000003E-2</v>
      </c>
      <c r="N14">
        <v>5.6562277746185198E-2</v>
      </c>
    </row>
    <row r="15" spans="1:17" x14ac:dyDescent="0.35">
      <c r="A15" s="1">
        <v>45839</v>
      </c>
      <c r="B15" t="s">
        <v>18</v>
      </c>
      <c r="C15">
        <v>2263</v>
      </c>
      <c r="D15">
        <v>142.89878243792501</v>
      </c>
      <c r="E15">
        <v>140.94229999999999</v>
      </c>
      <c r="F15">
        <v>2.98E-2</v>
      </c>
      <c r="G15">
        <v>0.25261528999999999</v>
      </c>
      <c r="H15">
        <v>0.28717611415348748</v>
      </c>
      <c r="I15">
        <v>2.3600000004738302</v>
      </c>
      <c r="J15">
        <v>0.25480897002853259</v>
      </c>
      <c r="K15">
        <v>0.1216847941084024</v>
      </c>
      <c r="L15">
        <v>1.9076764278461E-2</v>
      </c>
      <c r="M15">
        <v>5.1332000000000003E-2</v>
      </c>
      <c r="N15">
        <v>6.2715411641669203E-2</v>
      </c>
      <c r="O15">
        <v>6.1531338954839976E-3</v>
      </c>
      <c r="P15">
        <v>1.120546339608657E-2</v>
      </c>
      <c r="Q15">
        <v>-0.119455252918288</v>
      </c>
    </row>
    <row r="16" spans="1:17" x14ac:dyDescent="0.35">
      <c r="A16" s="1">
        <v>45870</v>
      </c>
      <c r="B16" t="s">
        <v>17</v>
      </c>
      <c r="C16">
        <v>2838</v>
      </c>
      <c r="D16">
        <v>140.36734728681901</v>
      </c>
      <c r="E16">
        <v>139.22659999999999</v>
      </c>
      <c r="F16">
        <v>2.9700000000000001E-2</v>
      </c>
      <c r="G16">
        <v>0.24984809999999999</v>
      </c>
      <c r="H16">
        <v>0.30481224263567652</v>
      </c>
      <c r="I16">
        <v>2.3600000004738302</v>
      </c>
      <c r="J16">
        <v>0.25221995219018511</v>
      </c>
      <c r="K16">
        <v>0.12915772990443969</v>
      </c>
      <c r="L16">
        <v>1.9076764278461E-2</v>
      </c>
      <c r="M16">
        <v>5.1332000000000003E-2</v>
      </c>
      <c r="N16">
        <v>5.2653458007284423E-2</v>
      </c>
    </row>
    <row r="17" spans="1:17" x14ac:dyDescent="0.35">
      <c r="A17" s="1">
        <v>45870</v>
      </c>
      <c r="B17" t="s">
        <v>18</v>
      </c>
      <c r="C17">
        <v>2412</v>
      </c>
      <c r="D17">
        <v>141.161484782598</v>
      </c>
      <c r="E17">
        <v>140.2851</v>
      </c>
      <c r="F17">
        <v>3.0300000000000001E-2</v>
      </c>
      <c r="G17">
        <v>0.25322865999999999</v>
      </c>
      <c r="H17">
        <v>0.2996503489131131</v>
      </c>
      <c r="I17">
        <v>2.3600000004738302</v>
      </c>
      <c r="J17">
        <v>0.25558531884626973</v>
      </c>
      <c r="K17">
        <v>0.12697048680209769</v>
      </c>
      <c r="L17">
        <v>1.9076764278461E-2</v>
      </c>
      <c r="M17">
        <v>5.1332000000000003E-2</v>
      </c>
      <c r="N17">
        <v>5.8206067765710932E-2</v>
      </c>
      <c r="O17">
        <v>5.5526097584265022E-3</v>
      </c>
      <c r="P17">
        <v>2.1214737966616059E-2</v>
      </c>
      <c r="Q17">
        <v>-0.15010570824524319</v>
      </c>
    </row>
    <row r="18" spans="1:17" x14ac:dyDescent="0.35">
      <c r="A18" s="1">
        <v>45901</v>
      </c>
      <c r="B18" t="s">
        <v>17</v>
      </c>
      <c r="C18">
        <v>2858</v>
      </c>
      <c r="D18">
        <v>141.085892228398</v>
      </c>
      <c r="E18">
        <v>139.61920000000001</v>
      </c>
      <c r="F18">
        <v>2.9700000000000001E-2</v>
      </c>
      <c r="G18">
        <v>0.24469724000000001</v>
      </c>
      <c r="H18">
        <v>0.30894170051541309</v>
      </c>
      <c r="I18">
        <v>2.3600000004738302</v>
      </c>
      <c r="J18">
        <v>0.2474796157321851</v>
      </c>
      <c r="K18">
        <v>0.13090750019211239</v>
      </c>
      <c r="L18">
        <v>1.6916764278693899E-2</v>
      </c>
      <c r="M18">
        <v>4.6412000000000002E-2</v>
      </c>
      <c r="N18">
        <v>5.3243351261378857E-2</v>
      </c>
    </row>
    <row r="19" spans="1:17" x14ac:dyDescent="0.35">
      <c r="A19" s="1">
        <v>45901</v>
      </c>
      <c r="B19" t="s">
        <v>18</v>
      </c>
      <c r="C19">
        <v>2459</v>
      </c>
      <c r="D19">
        <v>141.01796024897001</v>
      </c>
      <c r="E19">
        <v>140.23159999999999</v>
      </c>
      <c r="F19">
        <v>3.0200000000000001E-2</v>
      </c>
      <c r="G19">
        <v>0.24908083</v>
      </c>
      <c r="H19">
        <v>0.309383258381695</v>
      </c>
      <c r="I19">
        <v>2.3600000004738302</v>
      </c>
      <c r="J19">
        <v>0.25172569801592232</v>
      </c>
      <c r="K19">
        <v>0.13109460098287221</v>
      </c>
      <c r="L19">
        <v>1.6916764278693899E-2</v>
      </c>
      <c r="M19">
        <v>4.6412000000000002E-2</v>
      </c>
      <c r="N19">
        <v>5.7302332754356151E-2</v>
      </c>
      <c r="O19">
        <v>4.0589814929772872E-3</v>
      </c>
      <c r="P19">
        <v>2.8228224716939889E-2</v>
      </c>
      <c r="Q19">
        <v>-0.1396081175647306</v>
      </c>
    </row>
    <row r="20" spans="1:17" x14ac:dyDescent="0.35">
      <c r="A20" s="1">
        <v>45931</v>
      </c>
      <c r="B20" t="s">
        <v>17</v>
      </c>
      <c r="C20">
        <v>2574</v>
      </c>
      <c r="D20">
        <v>142.04643913068901</v>
      </c>
      <c r="E20">
        <v>139.9393</v>
      </c>
      <c r="F20">
        <v>2.9899999999999999E-2</v>
      </c>
      <c r="G20">
        <v>0.24267288000000001</v>
      </c>
      <c r="H20">
        <v>0.30940264565052139</v>
      </c>
      <c r="I20">
        <v>2.3600000004738302</v>
      </c>
      <c r="J20">
        <v>0.24570134298688001</v>
      </c>
      <c r="K20">
        <v>0.13110281592728851</v>
      </c>
      <c r="L20">
        <v>1.6916764278693899E-2</v>
      </c>
      <c r="M20">
        <v>4.4771999999999999E-2</v>
      </c>
      <c r="N20">
        <v>5.2909762780897547E-2</v>
      </c>
    </row>
    <row r="21" spans="1:17" x14ac:dyDescent="0.35">
      <c r="A21" s="1">
        <v>45931</v>
      </c>
      <c r="B21" t="s">
        <v>18</v>
      </c>
      <c r="C21">
        <v>2282</v>
      </c>
      <c r="D21">
        <v>142.70550700649801</v>
      </c>
      <c r="E21">
        <v>140.3929</v>
      </c>
      <c r="F21">
        <v>2.9899999999999999E-2</v>
      </c>
      <c r="G21">
        <v>0.24672925000000001</v>
      </c>
      <c r="H21">
        <v>0.30511870445776301</v>
      </c>
      <c r="I21">
        <v>2.3600000004738302</v>
      </c>
      <c r="J21">
        <v>0.24943442029787999</v>
      </c>
      <c r="K21">
        <v>0.1292875866086875</v>
      </c>
      <c r="L21">
        <v>1.6916764278693899E-2</v>
      </c>
      <c r="M21">
        <v>4.4771999999999999E-2</v>
      </c>
      <c r="N21">
        <v>5.845806941049856E-2</v>
      </c>
      <c r="O21">
        <v>5.5483066296010131E-3</v>
      </c>
      <c r="P21">
        <v>9.5493664495636156E-3</v>
      </c>
      <c r="Q21">
        <v>-0.1134421134421134</v>
      </c>
    </row>
    <row r="22" spans="1:17" x14ac:dyDescent="0.35">
      <c r="A22" s="1">
        <v>45962</v>
      </c>
      <c r="B22" t="s">
        <v>17</v>
      </c>
      <c r="C22">
        <v>2199</v>
      </c>
      <c r="D22">
        <v>142.470614647188</v>
      </c>
      <c r="E22">
        <v>140.73009999999999</v>
      </c>
      <c r="F22">
        <v>2.9700000000000001E-2</v>
      </c>
      <c r="G22">
        <v>0.24272097000000001</v>
      </c>
      <c r="H22">
        <v>0.30786880479327799</v>
      </c>
      <c r="I22">
        <v>2.3600000004738302</v>
      </c>
      <c r="J22">
        <v>0.2456608544511851</v>
      </c>
      <c r="K22">
        <v>0.13045288336079039</v>
      </c>
      <c r="L22">
        <v>1.6916764278693899E-2</v>
      </c>
      <c r="M22">
        <v>4.7232000000000003E-2</v>
      </c>
      <c r="N22">
        <v>5.1059206811700779E-2</v>
      </c>
    </row>
    <row r="23" spans="1:17" x14ac:dyDescent="0.35">
      <c r="A23" s="1">
        <v>45962</v>
      </c>
      <c r="B23" t="s">
        <v>18</v>
      </c>
      <c r="C23">
        <v>1919</v>
      </c>
      <c r="D23">
        <v>143.454865797645</v>
      </c>
      <c r="E23">
        <v>141.1497</v>
      </c>
      <c r="F23">
        <v>3.04E-2</v>
      </c>
      <c r="G23">
        <v>0.24567589000000001</v>
      </c>
      <c r="H23">
        <v>0.30147117231530751</v>
      </c>
      <c r="I23">
        <v>2.3600000004738302</v>
      </c>
      <c r="J23">
        <v>0.2486768774966171</v>
      </c>
      <c r="K23">
        <v>0.1277420221418557</v>
      </c>
      <c r="L23">
        <v>1.6916764278693899E-2</v>
      </c>
      <c r="M23">
        <v>4.7232000000000003E-2</v>
      </c>
      <c r="N23">
        <v>5.6786091076067489E-2</v>
      </c>
      <c r="O23">
        <v>5.7268842643667106E-3</v>
      </c>
      <c r="P23">
        <v>1.180959644270183E-2</v>
      </c>
      <c r="Q23">
        <v>-0.12733060482037301</v>
      </c>
    </row>
    <row r="24" spans="1:17" x14ac:dyDescent="0.35">
      <c r="A24" s="1">
        <v>45992</v>
      </c>
      <c r="B24" t="s">
        <v>17</v>
      </c>
      <c r="C24">
        <v>2398</v>
      </c>
      <c r="D24">
        <v>145.453727697772</v>
      </c>
      <c r="E24">
        <v>141.73419999999999</v>
      </c>
      <c r="F24">
        <v>2.8899999999999999E-2</v>
      </c>
      <c r="G24">
        <v>0.23997423000000001</v>
      </c>
      <c r="H24">
        <v>0.29050076996448188</v>
      </c>
      <c r="I24">
        <v>2.3600000004738302</v>
      </c>
      <c r="J24">
        <v>0.24279404657840581</v>
      </c>
      <c r="K24">
        <v>0.1230935465704053</v>
      </c>
      <c r="L24">
        <v>1.6916764278693899E-2</v>
      </c>
      <c r="M24">
        <v>4.7232000000000003E-2</v>
      </c>
      <c r="N24">
        <v>5.5551735729306558E-2</v>
      </c>
    </row>
    <row r="25" spans="1:17" x14ac:dyDescent="0.35">
      <c r="A25" s="1">
        <v>45992</v>
      </c>
      <c r="B25" t="s">
        <v>18</v>
      </c>
      <c r="C25">
        <v>2161</v>
      </c>
      <c r="D25">
        <v>146.34990207902101</v>
      </c>
      <c r="E25">
        <v>142.20689999999999</v>
      </c>
      <c r="F25">
        <v>2.9100000000000001E-2</v>
      </c>
      <c r="G25">
        <v>0.24322393</v>
      </c>
      <c r="H25">
        <v>0.28467563648636329</v>
      </c>
      <c r="I25">
        <v>2.3600000004738302</v>
      </c>
      <c r="J25">
        <v>0.24586949125110061</v>
      </c>
      <c r="K25">
        <v>0.120625269673393</v>
      </c>
      <c r="L25">
        <v>1.6916764278693899E-2</v>
      </c>
      <c r="M25">
        <v>4.7232000000000003E-2</v>
      </c>
      <c r="N25">
        <v>6.1095457299013688E-2</v>
      </c>
      <c r="O25">
        <v>5.5437215697071301E-3</v>
      </c>
      <c r="P25">
        <v>5.0032871548883404E-3</v>
      </c>
      <c r="Q25">
        <v>-9.8832360300250222E-2</v>
      </c>
    </row>
    <row r="26" spans="1:17" x14ac:dyDescent="0.35">
      <c r="A26" s="1">
        <v>46023</v>
      </c>
      <c r="B26" t="s">
        <v>17</v>
      </c>
      <c r="C26">
        <v>2917</v>
      </c>
      <c r="D26">
        <v>144.03461458041301</v>
      </c>
      <c r="E26">
        <v>141.54570000000001</v>
      </c>
      <c r="F26">
        <v>2.93E-2</v>
      </c>
      <c r="G26">
        <v>0.24673227</v>
      </c>
      <c r="H26">
        <v>0.29886140522731552</v>
      </c>
      <c r="I26">
        <v>2.3600000004738302</v>
      </c>
      <c r="J26">
        <v>0.2491829623157954</v>
      </c>
      <c r="K26">
        <v>0.1266361886302167</v>
      </c>
      <c r="L26">
        <v>1.6916764278693899E-2</v>
      </c>
      <c r="M26">
        <v>4.5182E-2</v>
      </c>
      <c r="N26">
        <v>6.0448009406884801E-2</v>
      </c>
    </row>
    <row r="27" spans="1:17" x14ac:dyDescent="0.35">
      <c r="A27" s="1">
        <v>46023</v>
      </c>
      <c r="B27" t="s">
        <v>18</v>
      </c>
      <c r="C27">
        <v>2656</v>
      </c>
      <c r="D27">
        <v>144.20519320703201</v>
      </c>
      <c r="E27">
        <v>141.8433</v>
      </c>
      <c r="F27">
        <v>2.9899999999999999E-2</v>
      </c>
      <c r="G27">
        <v>0.24936552000000001</v>
      </c>
      <c r="H27">
        <v>0.29775264415429198</v>
      </c>
      <c r="I27">
        <v>2.3600000004738302</v>
      </c>
      <c r="J27">
        <v>0.25186057957887997</v>
      </c>
      <c r="K27">
        <v>0.12616637461631799</v>
      </c>
      <c r="L27">
        <v>1.6916764278693899E-2</v>
      </c>
      <c r="M27">
        <v>4.5182E-2</v>
      </c>
      <c r="N27">
        <v>6.3595440683868076E-2</v>
      </c>
      <c r="O27">
        <v>3.1474312769832762E-3</v>
      </c>
      <c r="P27">
        <v>2.8418976948388332E-2</v>
      </c>
      <c r="Q27">
        <v>-8.9475488515598167E-2</v>
      </c>
    </row>
    <row r="28" spans="1:17" x14ac:dyDescent="0.35">
      <c r="A28" s="1">
        <v>46054</v>
      </c>
      <c r="B28" t="s">
        <v>17</v>
      </c>
      <c r="C28">
        <v>4387</v>
      </c>
      <c r="D28">
        <v>143.133307514743</v>
      </c>
      <c r="E28">
        <v>141.77459999999999</v>
      </c>
      <c r="F28">
        <v>3.1099999999999999E-2</v>
      </c>
      <c r="G28">
        <v>0.24545784000000001</v>
      </c>
      <c r="H28">
        <v>0.30490170115417059</v>
      </c>
      <c r="I28">
        <v>2.3600000004738302</v>
      </c>
      <c r="J28">
        <v>0.24877281625104911</v>
      </c>
      <c r="K28">
        <v>0.12919563605633641</v>
      </c>
      <c r="L28">
        <v>1.6916764278693899E-2</v>
      </c>
      <c r="M28">
        <v>4.5182E-2</v>
      </c>
      <c r="N28">
        <v>5.7478415916018787E-2</v>
      </c>
    </row>
    <row r="29" spans="1:17" x14ac:dyDescent="0.35">
      <c r="A29" s="1">
        <v>46054</v>
      </c>
      <c r="B29" t="s">
        <v>18</v>
      </c>
      <c r="C29">
        <v>3843</v>
      </c>
      <c r="D29">
        <v>143.886167163002</v>
      </c>
      <c r="E29">
        <v>142.3158</v>
      </c>
      <c r="F29">
        <v>3.1300000000000001E-2</v>
      </c>
      <c r="G29">
        <v>0.24664436000000001</v>
      </c>
      <c r="H29">
        <v>0.30000811344048711</v>
      </c>
      <c r="I29">
        <v>2.3600000004738302</v>
      </c>
      <c r="J29">
        <v>0.249949516369744</v>
      </c>
      <c r="K29">
        <v>0.12712208194078509</v>
      </c>
      <c r="L29">
        <v>1.6916764278693899E-2</v>
      </c>
      <c r="M29">
        <v>4.5182E-2</v>
      </c>
      <c r="N29">
        <v>6.0728670150264979E-2</v>
      </c>
      <c r="O29">
        <v>3.250254234246186E-3</v>
      </c>
      <c r="P29">
        <v>3.4517520654606879E-2</v>
      </c>
      <c r="Q29">
        <v>-0.1240027353544564</v>
      </c>
    </row>
    <row r="30" spans="1:17" x14ac:dyDescent="0.35">
      <c r="A30" s="1">
        <v>46082</v>
      </c>
      <c r="B30" t="s">
        <v>17</v>
      </c>
      <c r="C30">
        <v>4957</v>
      </c>
      <c r="D30">
        <v>144.217101815977</v>
      </c>
      <c r="E30">
        <v>142.19669999999999</v>
      </c>
      <c r="F30">
        <v>3.0099999999999998E-2</v>
      </c>
      <c r="G30">
        <v>0.24217445000000001</v>
      </c>
      <c r="H30">
        <v>0.3032388381961495</v>
      </c>
      <c r="I30">
        <v>2.3600000004738302</v>
      </c>
      <c r="J30">
        <v>0.24532738362057491</v>
      </c>
      <c r="K30">
        <v>0.12849103310816379</v>
      </c>
      <c r="L30">
        <v>1.6916764278693899E-2</v>
      </c>
      <c r="M30">
        <v>4.5182E-2</v>
      </c>
      <c r="N30">
        <v>5.4737586233717161E-2</v>
      </c>
    </row>
    <row r="31" spans="1:17" x14ac:dyDescent="0.35">
      <c r="A31" s="1">
        <v>46082</v>
      </c>
      <c r="B31" t="s">
        <v>18</v>
      </c>
      <c r="C31">
        <v>4304</v>
      </c>
      <c r="D31">
        <v>144.72211041964599</v>
      </c>
      <c r="E31">
        <v>142.60300000000001</v>
      </c>
      <c r="F31">
        <v>3.0599999999999999E-2</v>
      </c>
      <c r="G31">
        <v>0.24510422000000001</v>
      </c>
      <c r="H31">
        <v>0.29995628227230109</v>
      </c>
      <c r="I31">
        <v>2.3600000004738302</v>
      </c>
      <c r="J31">
        <v>0.24823551535831201</v>
      </c>
      <c r="K31">
        <v>0.12710011958138859</v>
      </c>
      <c r="L31">
        <v>1.6916764278693899E-2</v>
      </c>
      <c r="M31">
        <v>4.5182E-2</v>
      </c>
      <c r="N31">
        <v>5.9036631498229408E-2</v>
      </c>
      <c r="O31">
        <v>4.2990452645122468E-3</v>
      </c>
      <c r="P31">
        <v>2.640207196348638E-2</v>
      </c>
      <c r="Q31">
        <v>-0.1317329029655033</v>
      </c>
    </row>
    <row r="32" spans="1:17" x14ac:dyDescent="0.35">
      <c r="A32" s="1">
        <v>46113</v>
      </c>
      <c r="B32" t="s">
        <v>17</v>
      </c>
      <c r="C32">
        <v>3239</v>
      </c>
      <c r="D32">
        <v>145.86967710696399</v>
      </c>
      <c r="E32">
        <v>142.6566</v>
      </c>
      <c r="F32">
        <v>2.8400000000000002E-2</v>
      </c>
      <c r="G32">
        <v>0.24328563</v>
      </c>
      <c r="H32">
        <v>0.29762209880473411</v>
      </c>
      <c r="I32">
        <v>2.3799999915501799</v>
      </c>
      <c r="J32">
        <v>0.24552853844060921</v>
      </c>
      <c r="K32">
        <v>0.12505130246277099</v>
      </c>
      <c r="L32">
        <v>1.6876287285864999E-2</v>
      </c>
      <c r="M32">
        <v>4.8051999999999997E-2</v>
      </c>
      <c r="N32">
        <v>5.5548948691973098E-2</v>
      </c>
    </row>
    <row r="33" spans="1:17" x14ac:dyDescent="0.35">
      <c r="A33" s="1">
        <v>46113</v>
      </c>
      <c r="B33" t="s">
        <v>18</v>
      </c>
      <c r="C33">
        <v>2791</v>
      </c>
      <c r="D33">
        <v>145.77628099593599</v>
      </c>
      <c r="E33">
        <v>142.80549999999999</v>
      </c>
      <c r="F33">
        <v>2.8500000000000001E-2</v>
      </c>
      <c r="G33">
        <v>0.24546155</v>
      </c>
      <c r="H33">
        <v>0.29822917352641598</v>
      </c>
      <c r="I33">
        <v>2.3799999915501799</v>
      </c>
      <c r="J33">
        <v>0.24757305442348099</v>
      </c>
      <c r="K33">
        <v>0.12530637587614801</v>
      </c>
      <c r="L33">
        <v>1.6876287285864999E-2</v>
      </c>
      <c r="M33">
        <v>4.8051999999999997E-2</v>
      </c>
      <c r="N33">
        <v>5.7338391261467968E-2</v>
      </c>
      <c r="O33">
        <v>1.7894425694948699E-3</v>
      </c>
      <c r="P33">
        <v>4.4400881255678079E-2</v>
      </c>
      <c r="Q33">
        <v>-0.13831429453535041</v>
      </c>
    </row>
    <row r="34" spans="1:17" x14ac:dyDescent="0.35">
      <c r="A34" s="1">
        <v>46143</v>
      </c>
      <c r="B34" t="s">
        <v>17</v>
      </c>
      <c r="C34">
        <v>3043</v>
      </c>
      <c r="D34">
        <v>147.04731595811401</v>
      </c>
      <c r="E34">
        <v>142.60759999999999</v>
      </c>
      <c r="F34">
        <v>2.81E-2</v>
      </c>
      <c r="G34">
        <v>0.24232250999999999</v>
      </c>
      <c r="H34">
        <v>0.26437424627225892</v>
      </c>
      <c r="I34">
        <v>2.3799999915501799</v>
      </c>
      <c r="J34">
        <v>0.24451612868399361</v>
      </c>
      <c r="K34">
        <v>0.1110816164751591</v>
      </c>
      <c r="L34">
        <v>1.6876287285864999E-2</v>
      </c>
      <c r="M34">
        <v>4.7232000000000003E-2</v>
      </c>
      <c r="N34">
        <v>6.932622492296947E-2</v>
      </c>
    </row>
    <row r="35" spans="1:17" x14ac:dyDescent="0.35">
      <c r="A35" s="1">
        <v>46143</v>
      </c>
      <c r="B35" t="s">
        <v>18</v>
      </c>
      <c r="C35">
        <v>2849</v>
      </c>
      <c r="D35">
        <v>147.63940375117801</v>
      </c>
      <c r="E35">
        <v>142.84</v>
      </c>
      <c r="F35">
        <v>2.7900000000000001E-2</v>
      </c>
      <c r="G35">
        <v>0.24524151999999999</v>
      </c>
      <c r="H35">
        <v>0.26052567561734291</v>
      </c>
      <c r="I35">
        <v>2.3799999915501799</v>
      </c>
      <c r="J35">
        <v>0.2471184599732498</v>
      </c>
      <c r="K35">
        <v>0.10946456997575579</v>
      </c>
      <c r="L35">
        <v>1.6876287285864999E-2</v>
      </c>
      <c r="M35">
        <v>4.7232000000000003E-2</v>
      </c>
      <c r="N35">
        <v>7.3545602711628993E-2</v>
      </c>
      <c r="O35" s="3">
        <v>4.219377788659523E-3</v>
      </c>
      <c r="P35" s="3">
        <v>3.3399999999999999E-2</v>
      </c>
      <c r="Q35" s="3">
        <v>-6.3752875451856705E-2</v>
      </c>
    </row>
    <row r="36" spans="1:17" x14ac:dyDescent="0.35">
      <c r="O36" s="3"/>
      <c r="P36" s="3"/>
      <c r="Q36" s="3"/>
    </row>
    <row r="37" spans="1:17" x14ac:dyDescent="0.35">
      <c r="N37">
        <f>AVERAGE(N32:N33)</f>
        <v>5.6443669976720533E-2</v>
      </c>
      <c r="O37" s="3"/>
      <c r="P37" s="3">
        <f>AVERAGE(P31:P35)</f>
        <v>3.4734317739721486E-2</v>
      </c>
      <c r="Q37" s="3">
        <f>AVERAGE(Q31:Q35)</f>
        <v>-0.1112666909842368</v>
      </c>
    </row>
    <row r="38" spans="1:17" x14ac:dyDescent="0.35">
      <c r="N38">
        <f>AVERAGE(N34:N35)</f>
        <v>7.1435913817299232E-2</v>
      </c>
      <c r="O38" s="3"/>
      <c r="P38" s="3">
        <f>AVERAGE(P25:P29)</f>
        <v>2.2646594919294518E-2</v>
      </c>
      <c r="Q38" s="3">
        <f>AVERAGE(Q25:Q29)</f>
        <v>-0.10410352805676826</v>
      </c>
    </row>
    <row r="41" spans="1:17" x14ac:dyDescent="0.35">
      <c r="O41" s="5">
        <f>AVERAGE(O13:O31)</f>
        <v>4.8514731654624764E-3</v>
      </c>
      <c r="P41" s="5">
        <f>AVERAGE(P13:P31)</f>
        <v>2.1116711676028695E-2</v>
      </c>
      <c r="Q41" s="5">
        <f>AVERAGE(Q13:Q31)</f>
        <v>-0.12665997139170915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defaultRowHeight="14.5" x14ac:dyDescent="0.35"/>
  <sheetData>
    <row r="1" spans="1:15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3</v>
      </c>
      <c r="G1" t="s">
        <v>25</v>
      </c>
      <c r="H1" t="s">
        <v>8</v>
      </c>
      <c r="I1" t="s">
        <v>26</v>
      </c>
      <c r="J1" t="s">
        <v>27</v>
      </c>
      <c r="K1" t="s">
        <v>28</v>
      </c>
      <c r="L1" t="s">
        <v>29</v>
      </c>
      <c r="M1" t="s">
        <v>11</v>
      </c>
      <c r="N1" t="s">
        <v>12</v>
      </c>
      <c r="O1" t="s">
        <v>9</v>
      </c>
    </row>
    <row r="2" spans="1:15" x14ac:dyDescent="0.35">
      <c r="A2" t="s">
        <v>30</v>
      </c>
      <c r="B2" s="2">
        <v>45658</v>
      </c>
      <c r="C2">
        <v>139.86524</v>
      </c>
      <c r="D2">
        <v>3.1707076000000001E-2</v>
      </c>
      <c r="E2">
        <v>0.24930263999999999</v>
      </c>
      <c r="G2">
        <v>0.29283330000000002</v>
      </c>
      <c r="H2">
        <v>2.3600000004738302</v>
      </c>
      <c r="I2">
        <v>0.90497559414999995</v>
      </c>
      <c r="J2">
        <v>3.0000000000000001E-3</v>
      </c>
      <c r="K2">
        <v>4.1000000000000003E-3</v>
      </c>
      <c r="L2">
        <v>2.5999999999999999E-3</v>
      </c>
      <c r="M2">
        <v>1.9076764278461E-2</v>
      </c>
      <c r="N2">
        <v>5.0512000000000001E-2</v>
      </c>
      <c r="O2">
        <v>0.2487480064493813</v>
      </c>
    </row>
    <row r="3" spans="1:15" x14ac:dyDescent="0.35">
      <c r="A3" t="s">
        <v>30</v>
      </c>
      <c r="B3" s="2">
        <v>45698</v>
      </c>
      <c r="C3">
        <v>139.86524</v>
      </c>
      <c r="D3">
        <v>3.1707076000000001E-2</v>
      </c>
      <c r="E3">
        <v>0.24930263999999999</v>
      </c>
      <c r="F3">
        <v>139.6</v>
      </c>
      <c r="G3">
        <v>0.29420829999999998</v>
      </c>
      <c r="H3">
        <v>2.3600000004738302</v>
      </c>
      <c r="I3">
        <v>0.90452940665000003</v>
      </c>
      <c r="J3">
        <v>3.0000000000000001E-3</v>
      </c>
      <c r="K3">
        <v>4.1000000000000003E-3</v>
      </c>
      <c r="L3">
        <v>2.5999999999999999E-3</v>
      </c>
      <c r="M3">
        <v>1.9076764278461E-2</v>
      </c>
      <c r="N3">
        <v>4.9281999999999999E-2</v>
      </c>
      <c r="O3">
        <v>0.2486367707276963</v>
      </c>
    </row>
    <row r="4" spans="1:15" x14ac:dyDescent="0.35">
      <c r="A4" t="s">
        <v>30</v>
      </c>
      <c r="B4" s="2">
        <v>45743</v>
      </c>
      <c r="C4">
        <v>139.86524</v>
      </c>
      <c r="D4">
        <v>3.1707076000000001E-2</v>
      </c>
      <c r="E4">
        <v>0.24930263999999999</v>
      </c>
      <c r="F4">
        <v>139.6</v>
      </c>
      <c r="G4">
        <v>0.29399999999999998</v>
      </c>
      <c r="H4">
        <v>2.3600000004738302</v>
      </c>
      <c r="I4">
        <v>0.90459699999999998</v>
      </c>
      <c r="J4">
        <v>3.0000000000000001E-3</v>
      </c>
      <c r="K4">
        <v>4.1000000000000003E-3</v>
      </c>
      <c r="L4">
        <v>2.5999999999999999E-3</v>
      </c>
      <c r="M4">
        <v>1.9076764278461E-2</v>
      </c>
      <c r="N4">
        <v>4.9281999999999999E-2</v>
      </c>
      <c r="O4">
        <v>0.24865362192829779</v>
      </c>
    </row>
    <row r="5" spans="1:15" x14ac:dyDescent="0.35">
      <c r="A5" t="s">
        <v>30</v>
      </c>
      <c r="B5" s="2">
        <v>45769</v>
      </c>
      <c r="C5">
        <v>140.47524000000001</v>
      </c>
      <c r="D5">
        <v>3.1077075999999999E-2</v>
      </c>
      <c r="E5">
        <v>0.24879264000000001</v>
      </c>
      <c r="F5">
        <v>142.19999999999999</v>
      </c>
      <c r="G5">
        <v>0.28877779999999997</v>
      </c>
      <c r="H5">
        <v>2.3600000004738302</v>
      </c>
      <c r="I5">
        <v>0.90629160389999996</v>
      </c>
      <c r="J5">
        <v>3.0000000000000001E-3</v>
      </c>
      <c r="K5">
        <v>4.1000000000000003E-3</v>
      </c>
      <c r="L5">
        <v>2.5999999999999999E-3</v>
      </c>
      <c r="M5">
        <v>1.9076764278461E-2</v>
      </c>
      <c r="N5">
        <v>5.4612000000000001E-2</v>
      </c>
      <c r="O5">
        <v>0.2483469332838443</v>
      </c>
    </row>
    <row r="6" spans="1:15" x14ac:dyDescent="0.35">
      <c r="A6" t="s">
        <v>30</v>
      </c>
      <c r="B6" s="2">
        <v>45789</v>
      </c>
      <c r="C6">
        <v>140.47524000000001</v>
      </c>
      <c r="D6">
        <v>3.1077075999999999E-2</v>
      </c>
      <c r="E6">
        <v>0.24879264000000001</v>
      </c>
      <c r="F6">
        <v>140.4</v>
      </c>
      <c r="G6">
        <v>0.28849999999999998</v>
      </c>
      <c r="H6">
        <v>2.3600000004738302</v>
      </c>
      <c r="I6">
        <v>0.90638174999999999</v>
      </c>
      <c r="J6">
        <v>3.0000000000000001E-3</v>
      </c>
      <c r="K6">
        <v>4.1000000000000003E-3</v>
      </c>
      <c r="L6">
        <v>2.5999999999999999E-3</v>
      </c>
      <c r="M6">
        <v>1.9076764278461E-2</v>
      </c>
      <c r="N6">
        <v>5.1332000000000003E-2</v>
      </c>
      <c r="O6">
        <v>0.248369360970049</v>
      </c>
    </row>
    <row r="7" spans="1:15" x14ac:dyDescent="0.35">
      <c r="A7" t="s">
        <v>30</v>
      </c>
      <c r="B7" s="2">
        <v>45809</v>
      </c>
      <c r="C7">
        <v>140.47524000000001</v>
      </c>
      <c r="D7">
        <v>3.1077075999999999E-2</v>
      </c>
      <c r="E7">
        <v>0.24879264000000001</v>
      </c>
      <c r="F7">
        <v>142.80000000000001</v>
      </c>
      <c r="G7">
        <v>0.28781820000000002</v>
      </c>
      <c r="H7">
        <v>2.3600000004738302</v>
      </c>
      <c r="I7">
        <v>0.92030000000000001</v>
      </c>
      <c r="J7">
        <v>3.0000000000000001E-3</v>
      </c>
      <c r="K7">
        <v>4.1000000000000003E-3</v>
      </c>
      <c r="L7">
        <v>2.5999999999999999E-3</v>
      </c>
      <c r="M7">
        <v>1.9076764278461E-2</v>
      </c>
      <c r="N7">
        <v>5.1332000000000003E-2</v>
      </c>
      <c r="O7">
        <v>0.25183211913172898</v>
      </c>
    </row>
    <row r="8" spans="1:15" x14ac:dyDescent="0.35">
      <c r="A8" t="s">
        <v>30</v>
      </c>
      <c r="B8" s="2">
        <v>45839</v>
      </c>
      <c r="C8">
        <v>140.47524000000001</v>
      </c>
      <c r="D8">
        <v>3.1077075999999999E-2</v>
      </c>
      <c r="E8">
        <v>0.24879264000000001</v>
      </c>
      <c r="F8">
        <v>142.80000000000001</v>
      </c>
      <c r="G8">
        <v>0.28899999999999998</v>
      </c>
      <c r="H8">
        <v>2.3600000004738302</v>
      </c>
      <c r="I8">
        <v>0.92030000000000001</v>
      </c>
      <c r="J8">
        <v>3.0000000000000001E-3</v>
      </c>
      <c r="K8">
        <v>4.1000000000000003E-3</v>
      </c>
      <c r="L8">
        <v>2.5999999999999999E-3</v>
      </c>
      <c r="M8">
        <v>1.9076764278461E-2</v>
      </c>
      <c r="N8">
        <v>5.1332000000000003E-2</v>
      </c>
      <c r="O8">
        <v>0.25183211913172898</v>
      </c>
    </row>
    <row r="9" spans="1:15" x14ac:dyDescent="0.35">
      <c r="A9" t="s">
        <v>30</v>
      </c>
      <c r="B9" s="2">
        <v>45882</v>
      </c>
      <c r="C9">
        <v>140.57524000000001</v>
      </c>
      <c r="D9">
        <v>3.1077075999999999E-2</v>
      </c>
      <c r="E9">
        <v>0.24879264000000001</v>
      </c>
      <c r="F9">
        <v>142.9</v>
      </c>
      <c r="G9">
        <v>0.29715000000000003</v>
      </c>
      <c r="H9">
        <v>2.3600000004738302</v>
      </c>
      <c r="I9">
        <v>0.92030000000000001</v>
      </c>
      <c r="J9">
        <v>3.0000000000000001E-3</v>
      </c>
      <c r="K9">
        <v>4.1000000000000003E-3</v>
      </c>
      <c r="L9">
        <v>2.5999999999999999E-3</v>
      </c>
      <c r="M9">
        <v>1.6916764278693899E-2</v>
      </c>
      <c r="N9">
        <v>4.6412000000000002E-2</v>
      </c>
      <c r="O9">
        <v>0.25183211913172898</v>
      </c>
    </row>
    <row r="10" spans="1:15" x14ac:dyDescent="0.35">
      <c r="A10" t="s">
        <v>30</v>
      </c>
      <c r="B10" s="2">
        <v>45908</v>
      </c>
      <c r="C10">
        <v>142.17524</v>
      </c>
      <c r="D10">
        <v>3.2277076000000002E-2</v>
      </c>
      <c r="E10">
        <v>0.24649264000000001</v>
      </c>
      <c r="F10">
        <v>145.5</v>
      </c>
      <c r="G10">
        <v>0.2869545</v>
      </c>
      <c r="H10">
        <v>2.3600000004738302</v>
      </c>
      <c r="I10">
        <v>0.92030000000000001</v>
      </c>
      <c r="J10">
        <v>3.0000000000000001E-3</v>
      </c>
      <c r="K10">
        <v>4.1000000000000003E-3</v>
      </c>
      <c r="L10">
        <v>2.5999999999999999E-3</v>
      </c>
      <c r="M10">
        <v>1.6916764278693899E-2</v>
      </c>
      <c r="N10">
        <v>4.4771999999999999E-2</v>
      </c>
      <c r="O10">
        <v>0.25022390370789821</v>
      </c>
    </row>
    <row r="11" spans="1:15" x14ac:dyDescent="0.35">
      <c r="A11" t="s">
        <v>30</v>
      </c>
      <c r="B11" s="2">
        <v>45936</v>
      </c>
      <c r="C11">
        <v>142.17524</v>
      </c>
      <c r="D11">
        <v>3.2277076000000002E-2</v>
      </c>
      <c r="E11">
        <v>0.24739264</v>
      </c>
      <c r="F11">
        <v>146.1</v>
      </c>
      <c r="G11">
        <v>0.28427780000000002</v>
      </c>
      <c r="H11">
        <v>2.3600000004738302</v>
      </c>
      <c r="I11">
        <v>0.92030000000000001</v>
      </c>
      <c r="J11">
        <v>3.0000000000000001E-3</v>
      </c>
      <c r="K11">
        <v>4.1000000000000003E-3</v>
      </c>
      <c r="L11">
        <v>2.5999999999999999E-3</v>
      </c>
      <c r="M11">
        <v>1.6916764278693899E-2</v>
      </c>
      <c r="N11">
        <v>4.7232000000000003E-2</v>
      </c>
      <c r="O11">
        <v>0.25105217370789812</v>
      </c>
    </row>
    <row r="12" spans="1:15" x14ac:dyDescent="0.35">
      <c r="A12" t="s">
        <v>30</v>
      </c>
      <c r="B12" s="2">
        <v>45972</v>
      </c>
      <c r="C12">
        <v>142.47524000000001</v>
      </c>
      <c r="D12">
        <v>3.2377075999999998E-2</v>
      </c>
      <c r="E12">
        <v>0.24639264</v>
      </c>
      <c r="F12">
        <v>146.69999999999999</v>
      </c>
      <c r="G12">
        <v>0.28239999999999998</v>
      </c>
      <c r="H12">
        <v>2.3600000004738302</v>
      </c>
      <c r="I12">
        <v>0.92030000000000001</v>
      </c>
      <c r="J12">
        <v>3.0000000000000001E-3</v>
      </c>
      <c r="K12">
        <v>4.1000000000000003E-3</v>
      </c>
      <c r="L12">
        <v>2.5999999999999999E-3</v>
      </c>
      <c r="M12">
        <v>1.6916764278693899E-2</v>
      </c>
      <c r="N12">
        <v>4.7232000000000003E-2</v>
      </c>
      <c r="O12">
        <v>0.25017424658924547</v>
      </c>
    </row>
    <row r="13" spans="1:15" x14ac:dyDescent="0.35">
      <c r="A13" t="s">
        <v>30</v>
      </c>
      <c r="B13" s="2">
        <v>46009</v>
      </c>
      <c r="C13">
        <v>141.60524000000001</v>
      </c>
      <c r="D13">
        <v>3.2377075999999998E-2</v>
      </c>
      <c r="E13">
        <v>0.24649264000000001</v>
      </c>
      <c r="F13">
        <v>146.30000000000001</v>
      </c>
      <c r="G13">
        <v>0.28413640000000001</v>
      </c>
      <c r="H13">
        <v>2.3600000004738302</v>
      </c>
      <c r="I13">
        <v>0.92030000000000001</v>
      </c>
      <c r="J13">
        <v>3.0000000000000001E-3</v>
      </c>
      <c r="K13">
        <v>4.1000000000000003E-3</v>
      </c>
      <c r="L13">
        <v>2.5999999999999999E-3</v>
      </c>
      <c r="M13">
        <v>1.6916764278693899E-2</v>
      </c>
      <c r="N13">
        <v>4.5182E-2</v>
      </c>
      <c r="O13">
        <v>0.25026627658924561</v>
      </c>
    </row>
    <row r="14" spans="1:15" x14ac:dyDescent="0.35">
      <c r="A14" t="s">
        <v>30</v>
      </c>
      <c r="B14" s="2">
        <v>46045</v>
      </c>
      <c r="C14">
        <v>141.60524000000001</v>
      </c>
      <c r="D14">
        <v>3.2377075999999998E-2</v>
      </c>
      <c r="E14">
        <v>0.24649264000000001</v>
      </c>
      <c r="F14">
        <v>146.30000000000001</v>
      </c>
      <c r="G14">
        <v>0.28431820000000002</v>
      </c>
      <c r="H14">
        <v>2.3600000004738302</v>
      </c>
      <c r="I14">
        <v>0.92030000000000001</v>
      </c>
      <c r="J14">
        <v>3.0000000000000001E-3</v>
      </c>
      <c r="K14">
        <v>4.1000000000000003E-3</v>
      </c>
      <c r="L14">
        <v>2.5999999999999999E-3</v>
      </c>
      <c r="M14">
        <v>1.6916764278693899E-2</v>
      </c>
      <c r="N14">
        <v>4.5182E-2</v>
      </c>
      <c r="O14">
        <v>0.25026627658924561</v>
      </c>
    </row>
    <row r="15" spans="1:15" x14ac:dyDescent="0.35">
      <c r="A15" t="s">
        <v>30</v>
      </c>
      <c r="B15" s="2">
        <v>46062</v>
      </c>
      <c r="C15">
        <v>142.20524</v>
      </c>
      <c r="D15">
        <v>3.2377075999999998E-2</v>
      </c>
      <c r="E15">
        <v>0.24449264000000001</v>
      </c>
      <c r="F15">
        <v>148.1</v>
      </c>
      <c r="G15">
        <v>0.27800000000000002</v>
      </c>
      <c r="H15">
        <v>2.3600000004738302</v>
      </c>
      <c r="I15">
        <v>0.92030000000000001</v>
      </c>
      <c r="J15">
        <v>3.0000000000000001E-3</v>
      </c>
      <c r="K15">
        <v>4.1000000000000003E-3</v>
      </c>
      <c r="L15">
        <v>2.5999999999999999E-3</v>
      </c>
      <c r="M15">
        <v>1.6916764278693899E-2</v>
      </c>
      <c r="N15">
        <v>4.5182E-2</v>
      </c>
      <c r="O15">
        <v>0.24842567658924561</v>
      </c>
    </row>
    <row r="16" spans="1:15" x14ac:dyDescent="0.35">
      <c r="A16" t="s">
        <v>30</v>
      </c>
      <c r="B16" s="2">
        <v>46100</v>
      </c>
      <c r="C16">
        <v>142.20524</v>
      </c>
      <c r="D16">
        <v>3.2377075999999998E-2</v>
      </c>
      <c r="E16">
        <v>0.24449264000000001</v>
      </c>
      <c r="F16">
        <v>148.1</v>
      </c>
      <c r="G16">
        <v>0.28312500000000002</v>
      </c>
      <c r="H16">
        <v>2.3799999915501799</v>
      </c>
      <c r="I16">
        <v>0.92030000000000001</v>
      </c>
      <c r="J16">
        <v>3.0000000000000001E-3</v>
      </c>
      <c r="K16">
        <v>4.1000000000000003E-3</v>
      </c>
      <c r="L16">
        <v>2.5999999999999999E-3</v>
      </c>
      <c r="M16">
        <v>1.6876287285864999E-2</v>
      </c>
      <c r="N16">
        <v>4.8051999999999997E-2</v>
      </c>
      <c r="O16">
        <v>0.2483103900856764</v>
      </c>
    </row>
    <row r="17" spans="1:15" x14ac:dyDescent="0.35">
      <c r="A17" t="s">
        <v>30</v>
      </c>
      <c r="B17" s="2">
        <v>46133</v>
      </c>
      <c r="C17">
        <v>142.6</v>
      </c>
      <c r="D17">
        <v>3.2377075999999998E-2</v>
      </c>
      <c r="E17">
        <v>0.24479264000000001</v>
      </c>
      <c r="F17">
        <v>144</v>
      </c>
      <c r="G17">
        <v>0.28418179999999998</v>
      </c>
      <c r="H17">
        <v>2.3799999915501799</v>
      </c>
      <c r="I17">
        <v>0.92030000000000001</v>
      </c>
      <c r="J17">
        <v>3.0000000000000001E-3</v>
      </c>
      <c r="K17">
        <v>4.1000000000000003E-3</v>
      </c>
      <c r="L17">
        <v>2.5999999999999999E-3</v>
      </c>
      <c r="M17">
        <v>1.6876287285864999E-2</v>
      </c>
      <c r="N17">
        <v>4.7232000000000003E-2</v>
      </c>
      <c r="O17">
        <v>0.24858648008567641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topLeftCell="C29" zoomScale="160" zoomScaleNormal="160" workbookViewId="0">
      <selection activeCell="T33" sqref="T33"/>
    </sheetView>
  </sheetViews>
  <sheetFormatPr defaultRowHeight="14.5" x14ac:dyDescent="0.35"/>
  <cols>
    <col min="1" max="1" width="17.81640625" bestFit="1" customWidth="1"/>
    <col min="18" max="18" width="12.6328125" bestFit="1" customWidth="1"/>
    <col min="19" max="19" width="9.9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</v>
      </c>
      <c r="S1" t="s">
        <v>32</v>
      </c>
    </row>
    <row r="2" spans="1:19" x14ac:dyDescent="0.35">
      <c r="A2" s="1">
        <v>45658</v>
      </c>
      <c r="B2" t="s">
        <v>17</v>
      </c>
      <c r="C2">
        <v>120</v>
      </c>
      <c r="D2">
        <v>143.61421783712001</v>
      </c>
      <c r="E2">
        <v>136.2816</v>
      </c>
      <c r="F2">
        <v>2.1600000000000001E-2</v>
      </c>
      <c r="G2">
        <v>0.23790137</v>
      </c>
    </row>
    <row r="3" spans="1:19" x14ac:dyDescent="0.35">
      <c r="A3" s="1">
        <v>45658</v>
      </c>
      <c r="B3" t="s">
        <v>18</v>
      </c>
      <c r="C3">
        <v>358</v>
      </c>
      <c r="D3">
        <v>145.09766287721499</v>
      </c>
      <c r="E3">
        <v>136.90170000000001</v>
      </c>
      <c r="F3">
        <v>1.8599999999999998E-2</v>
      </c>
      <c r="G3">
        <v>0.24084538999999999</v>
      </c>
      <c r="Q3">
        <v>1.9833333333333329</v>
      </c>
    </row>
    <row r="4" spans="1:19" x14ac:dyDescent="0.35">
      <c r="A4" s="1">
        <v>45689</v>
      </c>
      <c r="B4" t="s">
        <v>17</v>
      </c>
      <c r="C4">
        <v>224</v>
      </c>
      <c r="D4">
        <v>142.432936277213</v>
      </c>
      <c r="E4">
        <v>135.46469999999999</v>
      </c>
      <c r="F4">
        <v>1.78E-2</v>
      </c>
      <c r="G4">
        <v>0.23669137000000001</v>
      </c>
      <c r="I4">
        <v>2.3499999996173901</v>
      </c>
      <c r="J4">
        <v>0.23679395003368209</v>
      </c>
      <c r="L4">
        <v>3.0576764300489799E-2</v>
      </c>
      <c r="M4">
        <v>5.0512000000000001E-2</v>
      </c>
    </row>
    <row r="5" spans="1:19" x14ac:dyDescent="0.35">
      <c r="A5" s="1">
        <v>45689</v>
      </c>
      <c r="B5" t="s">
        <v>18</v>
      </c>
      <c r="C5">
        <v>482</v>
      </c>
      <c r="D5">
        <v>143.08784678095401</v>
      </c>
      <c r="E5">
        <v>136.25710000000001</v>
      </c>
      <c r="F5">
        <v>1.9800000000000002E-2</v>
      </c>
      <c r="G5">
        <v>0.24244679999999999</v>
      </c>
      <c r="I5">
        <v>2.3499999996173901</v>
      </c>
      <c r="J5">
        <v>0.24300477370184859</v>
      </c>
      <c r="L5">
        <v>3.0576764300489799E-2</v>
      </c>
      <c r="M5">
        <v>5.0512000000000001E-2</v>
      </c>
      <c r="Q5">
        <v>1.151785714285714</v>
      </c>
    </row>
    <row r="6" spans="1:19" x14ac:dyDescent="0.35">
      <c r="A6" s="1">
        <v>45717</v>
      </c>
      <c r="B6" t="s">
        <v>17</v>
      </c>
      <c r="C6">
        <v>268</v>
      </c>
      <c r="D6">
        <v>141.40964319399899</v>
      </c>
      <c r="E6">
        <v>137.01990000000001</v>
      </c>
      <c r="F6">
        <v>2.1999999999999999E-2</v>
      </c>
      <c r="G6">
        <v>0.24304150999999999</v>
      </c>
      <c r="H6">
        <v>0.24091231923900669</v>
      </c>
      <c r="I6">
        <v>2.3499999996173901</v>
      </c>
      <c r="J6">
        <v>0.24448143977797501</v>
      </c>
      <c r="K6">
        <v>0.1025158805439278</v>
      </c>
      <c r="L6">
        <v>3.0576764300489799E-2</v>
      </c>
      <c r="M6">
        <v>4.9281999999999999E-2</v>
      </c>
      <c r="N6">
        <v>6.210679493355744E-2</v>
      </c>
    </row>
    <row r="7" spans="1:19" x14ac:dyDescent="0.35">
      <c r="A7" s="1">
        <v>45717</v>
      </c>
      <c r="B7" t="s">
        <v>18</v>
      </c>
      <c r="C7">
        <v>634</v>
      </c>
      <c r="D7">
        <v>142.83633332618999</v>
      </c>
      <c r="E7">
        <v>137.73759999999999</v>
      </c>
      <c r="F7">
        <v>2.1700000000000001E-2</v>
      </c>
      <c r="G7">
        <v>0.24291043000000001</v>
      </c>
      <c r="H7">
        <v>0.23163883337976521</v>
      </c>
      <c r="I7">
        <v>2.3499999996173901</v>
      </c>
      <c r="J7">
        <v>0.24423171878603109</v>
      </c>
      <c r="K7">
        <v>9.8569716347863365E-2</v>
      </c>
      <c r="L7">
        <v>3.0576764300489799E-2</v>
      </c>
      <c r="M7">
        <v>4.9281999999999999E-2</v>
      </c>
      <c r="N7">
        <v>6.5803238137677994E-2</v>
      </c>
      <c r="O7">
        <v>3.696443204120554E-3</v>
      </c>
      <c r="P7">
        <v>6.8509923325394698E-2</v>
      </c>
      <c r="Q7">
        <v>1.3656716417910451</v>
      </c>
    </row>
    <row r="8" spans="1:19" x14ac:dyDescent="0.35">
      <c r="A8" s="1">
        <v>45748</v>
      </c>
      <c r="B8" t="s">
        <v>17</v>
      </c>
      <c r="C8">
        <v>177</v>
      </c>
      <c r="D8">
        <v>143.06419914639599</v>
      </c>
      <c r="E8">
        <v>137.2978</v>
      </c>
      <c r="F8">
        <v>2.18E-2</v>
      </c>
      <c r="G8">
        <v>0.23848169999999999</v>
      </c>
      <c r="H8">
        <v>0.24239630554842609</v>
      </c>
      <c r="I8">
        <v>2.3499999996173901</v>
      </c>
      <c r="J8">
        <v>0.23919000159061771</v>
      </c>
      <c r="K8">
        <v>0.1031473640799538</v>
      </c>
      <c r="L8">
        <v>3.0576764300489799E-2</v>
      </c>
      <c r="M8">
        <v>4.9281999999999999E-2</v>
      </c>
      <c r="N8">
        <v>5.6183873210174137E-2</v>
      </c>
    </row>
    <row r="9" spans="1:19" x14ac:dyDescent="0.35">
      <c r="A9" s="1">
        <v>45748</v>
      </c>
      <c r="B9" t="s">
        <v>18</v>
      </c>
      <c r="C9">
        <v>448</v>
      </c>
      <c r="D9">
        <v>143.35347895054099</v>
      </c>
      <c r="E9">
        <v>138.79810000000001</v>
      </c>
      <c r="F9">
        <v>2.1100000000000001E-2</v>
      </c>
      <c r="G9">
        <v>0.24103949</v>
      </c>
      <c r="H9">
        <v>0.24051598682148359</v>
      </c>
      <c r="I9">
        <v>2.3499999996173901</v>
      </c>
      <c r="J9">
        <v>0.24126363892293959</v>
      </c>
      <c r="K9">
        <v>0.1023472284513373</v>
      </c>
      <c r="L9">
        <v>3.0576764300489799E-2</v>
      </c>
      <c r="M9">
        <v>4.9281999999999999E-2</v>
      </c>
      <c r="N9">
        <v>5.9057646171112498E-2</v>
      </c>
      <c r="O9">
        <v>2.8737729609383529E-3</v>
      </c>
      <c r="P9">
        <v>6.0934612274751207E-2</v>
      </c>
      <c r="Q9">
        <v>1.5310734463276841</v>
      </c>
    </row>
    <row r="10" spans="1:19" x14ac:dyDescent="0.35">
      <c r="A10" s="1">
        <v>45778</v>
      </c>
      <c r="B10" t="s">
        <v>17</v>
      </c>
      <c r="C10">
        <v>179</v>
      </c>
      <c r="D10">
        <v>141.81235211575199</v>
      </c>
      <c r="E10">
        <v>138.07320000000001</v>
      </c>
      <c r="F10">
        <v>2.1100000000000001E-2</v>
      </c>
      <c r="G10">
        <v>0.24100952</v>
      </c>
      <c r="H10">
        <v>0.23492531124761201</v>
      </c>
      <c r="I10">
        <v>2.3499999996173901</v>
      </c>
      <c r="J10">
        <v>0.2418549645640935</v>
      </c>
      <c r="K10">
        <v>9.9968217568451437E-2</v>
      </c>
      <c r="L10">
        <v>3.0576764300489799E-2</v>
      </c>
      <c r="M10">
        <v>5.4612000000000001E-2</v>
      </c>
      <c r="N10">
        <v>5.669798269515227E-2</v>
      </c>
    </row>
    <row r="11" spans="1:19" x14ac:dyDescent="0.35">
      <c r="A11" s="1">
        <v>45778</v>
      </c>
      <c r="B11" t="s">
        <v>18</v>
      </c>
      <c r="C11">
        <v>451</v>
      </c>
      <c r="D11">
        <v>145.23898840414</v>
      </c>
      <c r="E11">
        <v>138.74350000000001</v>
      </c>
      <c r="F11">
        <v>2.1700000000000001E-2</v>
      </c>
      <c r="G11">
        <v>0.24215526000000001</v>
      </c>
      <c r="H11">
        <v>0.21265217537308989</v>
      </c>
      <c r="I11">
        <v>2.3499999996173901</v>
      </c>
      <c r="J11">
        <v>0.2431755242585269</v>
      </c>
      <c r="K11">
        <v>9.0490287407537201E-2</v>
      </c>
      <c r="L11">
        <v>3.0576764300489799E-2</v>
      </c>
      <c r="M11">
        <v>5.4612000000000001E-2</v>
      </c>
      <c r="N11">
        <v>6.749647255049987E-2</v>
      </c>
      <c r="O11">
        <v>1.07984898553476E-2</v>
      </c>
      <c r="P11">
        <v>7.4602831683247009E-2</v>
      </c>
      <c r="Q11">
        <v>1.5195530726256981</v>
      </c>
    </row>
    <row r="12" spans="1:19" x14ac:dyDescent="0.35">
      <c r="A12" s="1">
        <v>45809</v>
      </c>
      <c r="B12" t="s">
        <v>17</v>
      </c>
      <c r="C12">
        <v>155</v>
      </c>
      <c r="D12">
        <v>142.87396581724201</v>
      </c>
      <c r="E12">
        <v>137.67740000000001</v>
      </c>
      <c r="F12">
        <v>1.9400000000000001E-2</v>
      </c>
      <c r="G12">
        <v>0.24057257000000001</v>
      </c>
      <c r="H12">
        <v>0.23518742218792679</v>
      </c>
      <c r="I12">
        <v>2.3499999996173901</v>
      </c>
      <c r="J12">
        <v>0.24046708083494159</v>
      </c>
      <c r="K12">
        <v>0.1000797541388163</v>
      </c>
      <c r="L12">
        <v>3.0576764300489799E-2</v>
      </c>
      <c r="M12">
        <v>5.1332000000000003E-2</v>
      </c>
      <c r="N12">
        <v>5.8478562395635487E-2</v>
      </c>
    </row>
    <row r="13" spans="1:19" x14ac:dyDescent="0.35">
      <c r="A13" s="1">
        <v>45809</v>
      </c>
      <c r="B13" t="s">
        <v>18</v>
      </c>
      <c r="C13">
        <v>396</v>
      </c>
      <c r="D13">
        <v>145.669878194375</v>
      </c>
      <c r="E13">
        <v>138.89570000000001</v>
      </c>
      <c r="F13">
        <v>2.0799999999999999E-2</v>
      </c>
      <c r="G13">
        <v>0.24232249</v>
      </c>
      <c r="H13">
        <v>0.21701399173656241</v>
      </c>
      <c r="I13">
        <v>2.3499999996173901</v>
      </c>
      <c r="J13">
        <v>0.2426879181438947</v>
      </c>
      <c r="K13">
        <v>9.2346379477402152E-2</v>
      </c>
      <c r="L13">
        <v>3.0576764300489799E-2</v>
      </c>
      <c r="M13">
        <v>5.1332000000000003E-2</v>
      </c>
      <c r="N13">
        <v>6.8432774366002716E-2</v>
      </c>
      <c r="O13">
        <v>9.9542119703672216E-3</v>
      </c>
      <c r="P13">
        <v>7.483486090296089E-2</v>
      </c>
      <c r="Q13">
        <v>1.554838709677419</v>
      </c>
      <c r="R13">
        <f>C13/C12*25/75-1</f>
        <v>-0.14838709677419359</v>
      </c>
      <c r="S13" s="5">
        <f>(N13*C13-N12*C12*3)/(C13-C12*3)</f>
        <v>1.3500415222235413E-3</v>
      </c>
    </row>
    <row r="14" spans="1:19" x14ac:dyDescent="0.35">
      <c r="A14" s="1">
        <v>45839</v>
      </c>
      <c r="B14" t="s">
        <v>17</v>
      </c>
      <c r="C14">
        <v>165</v>
      </c>
      <c r="D14">
        <v>145.04451108322701</v>
      </c>
      <c r="E14">
        <v>137.69900000000001</v>
      </c>
      <c r="F14">
        <v>2.12E-2</v>
      </c>
      <c r="G14">
        <v>0.24174134</v>
      </c>
      <c r="H14">
        <v>0.2255379779590245</v>
      </c>
      <c r="I14">
        <v>2.3499999996173901</v>
      </c>
      <c r="J14">
        <v>0.24336594681721349</v>
      </c>
      <c r="K14">
        <v>9.5973607657763804E-2</v>
      </c>
      <c r="L14">
        <v>3.0576764300489799E-2</v>
      </c>
      <c r="M14">
        <v>5.1332000000000003E-2</v>
      </c>
      <c r="N14">
        <v>6.5483574858959878E-2</v>
      </c>
      <c r="S14" s="5"/>
    </row>
    <row r="15" spans="1:19" x14ac:dyDescent="0.35">
      <c r="A15" s="1">
        <v>45839</v>
      </c>
      <c r="B15" t="s">
        <v>18</v>
      </c>
      <c r="C15">
        <v>373</v>
      </c>
      <c r="D15">
        <v>145.58969732181899</v>
      </c>
      <c r="E15">
        <v>138.85720000000001</v>
      </c>
      <c r="F15">
        <v>2.29E-2</v>
      </c>
      <c r="G15">
        <v>0.24509723999999999</v>
      </c>
      <c r="H15">
        <v>0.2219942674081766</v>
      </c>
      <c r="I15">
        <v>2.3499999996173901</v>
      </c>
      <c r="J15">
        <v>0.24722040577265039</v>
      </c>
      <c r="K15">
        <v>9.4465645720987285E-2</v>
      </c>
      <c r="L15">
        <v>3.0576764300489799E-2</v>
      </c>
      <c r="M15">
        <v>5.1332000000000003E-2</v>
      </c>
      <c r="N15">
        <v>7.0845995751173327E-2</v>
      </c>
      <c r="O15">
        <v>5.3624208922134486E-3</v>
      </c>
      <c r="P15">
        <v>7.5099839247400338E-2</v>
      </c>
      <c r="Q15">
        <v>1.260606060606061</v>
      </c>
      <c r="R15">
        <f>C15/C14*25/75-1</f>
        <v>-0.2464646464646465</v>
      </c>
      <c r="S15" s="5">
        <f>(N15*C15-N14*C14*3)/(C15-C14*3)</f>
        <v>4.9088632295061392E-2</v>
      </c>
    </row>
    <row r="16" spans="1:19" x14ac:dyDescent="0.35">
      <c r="A16" s="1">
        <v>45870</v>
      </c>
      <c r="B16" t="s">
        <v>17</v>
      </c>
      <c r="C16">
        <v>192</v>
      </c>
      <c r="D16">
        <v>144.002802598404</v>
      </c>
      <c r="E16">
        <v>137.44280000000001</v>
      </c>
      <c r="F16">
        <v>2.0799999999999999E-2</v>
      </c>
      <c r="G16">
        <v>0.23672600999999999</v>
      </c>
      <c r="H16">
        <v>0.23371358311037391</v>
      </c>
      <c r="I16">
        <v>2.3499999996173901</v>
      </c>
      <c r="J16">
        <v>0.23851643116122831</v>
      </c>
      <c r="K16">
        <v>9.9452588573798059E-2</v>
      </c>
      <c r="L16">
        <v>3.0576764300489799E-2</v>
      </c>
      <c r="M16">
        <v>5.1332000000000003E-2</v>
      </c>
      <c r="N16">
        <v>5.7155078286940462E-2</v>
      </c>
      <c r="S16" s="5"/>
    </row>
    <row r="17" spans="1:19" x14ac:dyDescent="0.35">
      <c r="A17" s="1">
        <v>45870</v>
      </c>
      <c r="B17" t="s">
        <v>18</v>
      </c>
      <c r="C17">
        <v>480</v>
      </c>
      <c r="D17">
        <v>143.55609937336499</v>
      </c>
      <c r="E17">
        <v>137.65289999999999</v>
      </c>
      <c r="F17">
        <v>2.0299999999999999E-2</v>
      </c>
      <c r="G17">
        <v>0.2423662</v>
      </c>
      <c r="H17">
        <v>0.2366171540731275</v>
      </c>
      <c r="I17">
        <v>2.3499999996173901</v>
      </c>
      <c r="J17">
        <v>0.2435659624737469</v>
      </c>
      <c r="K17">
        <v>0.1006881506858093</v>
      </c>
      <c r="L17">
        <v>3.0576764300489799E-2</v>
      </c>
      <c r="M17">
        <v>5.1332000000000003E-2</v>
      </c>
      <c r="N17">
        <v>6.0969047487447789E-2</v>
      </c>
      <c r="O17">
        <v>3.8139692005073329E-3</v>
      </c>
      <c r="P17">
        <v>6.3511693621119344E-2</v>
      </c>
      <c r="Q17">
        <v>1.5</v>
      </c>
      <c r="R17">
        <f>C17/C16*25/75-1</f>
        <v>-0.16666666666666663</v>
      </c>
      <c r="S17" s="5">
        <f>(N17*C17-N16*C16*3)/(C17-C16*3)</f>
        <v>3.8085232284403782E-2</v>
      </c>
    </row>
    <row r="18" spans="1:19" x14ac:dyDescent="0.35">
      <c r="A18" s="1">
        <v>45901</v>
      </c>
      <c r="B18" t="s">
        <v>17</v>
      </c>
      <c r="C18">
        <v>183</v>
      </c>
      <c r="D18">
        <v>143.88691229461801</v>
      </c>
      <c r="E18">
        <v>137.36109999999999</v>
      </c>
      <c r="F18">
        <v>0.02</v>
      </c>
      <c r="G18">
        <v>0.24222669999999999</v>
      </c>
      <c r="H18">
        <v>0.24263507008498289</v>
      </c>
      <c r="I18">
        <v>2.3499999996173901</v>
      </c>
      <c r="J18">
        <v>0.24330814939925799</v>
      </c>
      <c r="K18">
        <v>0.10324896601042</v>
      </c>
      <c r="L18">
        <v>2.7276764300310698E-2</v>
      </c>
      <c r="M18">
        <v>4.6412000000000002E-2</v>
      </c>
      <c r="N18">
        <v>6.6370419088527283E-2</v>
      </c>
      <c r="P18" s="9"/>
      <c r="S18" s="5"/>
    </row>
    <row r="19" spans="1:19" x14ac:dyDescent="0.35">
      <c r="A19" s="1">
        <v>45901</v>
      </c>
      <c r="B19" t="s">
        <v>18</v>
      </c>
      <c r="C19">
        <v>475</v>
      </c>
      <c r="D19">
        <v>146.323371344327</v>
      </c>
      <c r="E19">
        <v>138.8511</v>
      </c>
      <c r="F19">
        <v>2.1499999999999998E-2</v>
      </c>
      <c r="G19">
        <v>0.24013265</v>
      </c>
      <c r="H19">
        <v>0.2267980862618745</v>
      </c>
      <c r="I19">
        <v>2.3499999996173901</v>
      </c>
      <c r="J19">
        <v>0.24199269862170231</v>
      </c>
      <c r="K19">
        <v>9.6509823956936205E-2</v>
      </c>
      <c r="L19">
        <v>2.7276764300310698E-2</v>
      </c>
      <c r="M19">
        <v>4.6412000000000002E-2</v>
      </c>
      <c r="N19">
        <v>7.1794110364455405E-2</v>
      </c>
      <c r="O19">
        <v>5.4236912759281219E-3</v>
      </c>
      <c r="P19" s="9">
        <v>7.5193204554506246E-2</v>
      </c>
      <c r="Q19">
        <v>1.595628415300546</v>
      </c>
      <c r="R19">
        <f>C19/C18*25/75-1</f>
        <v>-0.13479052823315119</v>
      </c>
      <c r="S19" s="5">
        <f>(N19*C19-N18*C18*3)/(C19-C18*3)</f>
        <v>3.1556184547096737E-2</v>
      </c>
    </row>
    <row r="20" spans="1:19" x14ac:dyDescent="0.35">
      <c r="A20" s="1">
        <v>45931</v>
      </c>
      <c r="B20" t="s">
        <v>17</v>
      </c>
      <c r="C20">
        <v>199</v>
      </c>
      <c r="D20">
        <v>142.98159124661501</v>
      </c>
      <c r="E20">
        <v>137.87049999999999</v>
      </c>
      <c r="F20">
        <v>1.9300000000000001E-2</v>
      </c>
      <c r="G20">
        <v>0.24216526999999999</v>
      </c>
      <c r="H20">
        <v>0.2481105568970024</v>
      </c>
      <c r="I20">
        <v>2.3499999996173901</v>
      </c>
      <c r="J20">
        <v>0.24295296286878401</v>
      </c>
      <c r="K20">
        <v>0.1055789603988927</v>
      </c>
      <c r="L20">
        <v>2.7276764300310698E-2</v>
      </c>
      <c r="M20">
        <v>4.4771999999999999E-2</v>
      </c>
      <c r="N20">
        <v>6.5325238169580524E-2</v>
      </c>
      <c r="P20" s="9"/>
      <c r="S20" s="5"/>
    </row>
    <row r="21" spans="1:19" x14ac:dyDescent="0.35">
      <c r="A21" s="1">
        <v>45931</v>
      </c>
      <c r="B21" t="s">
        <v>18</v>
      </c>
      <c r="C21">
        <v>515</v>
      </c>
      <c r="D21">
        <v>143.87936466289599</v>
      </c>
      <c r="E21">
        <v>137.9417</v>
      </c>
      <c r="F21">
        <v>2.07E-2</v>
      </c>
      <c r="G21">
        <v>0.24230109999999999</v>
      </c>
      <c r="H21">
        <v>0.24227502969117601</v>
      </c>
      <c r="I21">
        <v>2.3499999996173901</v>
      </c>
      <c r="J21">
        <v>0.24367543693973201</v>
      </c>
      <c r="K21">
        <v>0.10309575733217929</v>
      </c>
      <c r="L21">
        <v>2.7276764300310698E-2</v>
      </c>
      <c r="M21">
        <v>4.4771999999999999E-2</v>
      </c>
      <c r="N21">
        <v>6.8530915307241952E-2</v>
      </c>
      <c r="O21">
        <v>3.2056771376614279E-3</v>
      </c>
      <c r="P21" s="9">
        <v>7.0549680340136339E-2</v>
      </c>
      <c r="Q21">
        <v>1.587939698492463</v>
      </c>
      <c r="R21">
        <f>C21/C20*25/75-1</f>
        <v>-0.13735343383584586</v>
      </c>
      <c r="S21" s="5">
        <f>(N21*C21-N20*C20*3)/(C21-C20*3)</f>
        <v>4.5192022000121519E-2</v>
      </c>
    </row>
    <row r="22" spans="1:19" x14ac:dyDescent="0.35">
      <c r="A22" s="1">
        <v>45962</v>
      </c>
      <c r="B22" t="s">
        <v>17</v>
      </c>
      <c r="C22">
        <v>164</v>
      </c>
      <c r="D22">
        <v>144.19741620439899</v>
      </c>
      <c r="E22">
        <v>138.59289999999999</v>
      </c>
      <c r="F22">
        <v>0.02</v>
      </c>
      <c r="G22">
        <v>0.2390198</v>
      </c>
      <c r="H22">
        <v>0.2391778946714066</v>
      </c>
      <c r="I22">
        <v>2.3499999996173901</v>
      </c>
      <c r="J22">
        <v>0.24031611169925801</v>
      </c>
      <c r="K22">
        <v>0.1017778275363182</v>
      </c>
      <c r="L22">
        <v>2.7276764300310698E-2</v>
      </c>
      <c r="M22">
        <v>4.7232000000000003E-2</v>
      </c>
      <c r="N22">
        <v>6.4029519862629086E-2</v>
      </c>
      <c r="P22" s="9"/>
      <c r="S22" s="5"/>
    </row>
    <row r="23" spans="1:19" x14ac:dyDescent="0.35">
      <c r="A23" s="1">
        <v>45962</v>
      </c>
      <c r="B23" t="s">
        <v>18</v>
      </c>
      <c r="C23">
        <v>421</v>
      </c>
      <c r="D23">
        <v>145.06278052925001</v>
      </c>
      <c r="E23">
        <v>139.10069999999999</v>
      </c>
      <c r="F23">
        <v>1.9599999999999999E-2</v>
      </c>
      <c r="G23">
        <v>0.24118551999999999</v>
      </c>
      <c r="H23">
        <v>0.233553026559875</v>
      </c>
      <c r="I23">
        <v>2.3499999996173901</v>
      </c>
      <c r="J23">
        <v>0.2421665156932728</v>
      </c>
      <c r="K23">
        <v>9.9384266637404434E-2</v>
      </c>
      <c r="L23">
        <v>2.7276764300310698E-2</v>
      </c>
      <c r="M23">
        <v>4.7232000000000003E-2</v>
      </c>
      <c r="N23">
        <v>6.8273484755557695E-2</v>
      </c>
      <c r="O23">
        <v>4.2439648929286089E-3</v>
      </c>
      <c r="P23" s="9">
        <v>7.0981695815636639E-2</v>
      </c>
      <c r="Q23">
        <v>1.5670731707317069</v>
      </c>
      <c r="R23">
        <f>C23/C22*25/75-1</f>
        <v>-0.14430894308943099</v>
      </c>
      <c r="S23" s="5">
        <f>(N23*C23-N22*C22*3)/(C23-C22*3)</f>
        <v>3.8864601272165109E-2</v>
      </c>
    </row>
    <row r="24" spans="1:19" x14ac:dyDescent="0.35">
      <c r="A24" s="1">
        <v>45992</v>
      </c>
      <c r="B24" t="s">
        <v>17</v>
      </c>
      <c r="C24">
        <v>145</v>
      </c>
      <c r="D24">
        <v>146.576863229655</v>
      </c>
      <c r="E24">
        <v>141.2294</v>
      </c>
      <c r="F24">
        <v>2.0299999999999999E-2</v>
      </c>
      <c r="G24">
        <v>0.23933910999999999</v>
      </c>
      <c r="H24">
        <v>0.22640038900724249</v>
      </c>
      <c r="I24">
        <v>2.3499999996173901</v>
      </c>
      <c r="J24">
        <v>0.24074168750374689</v>
      </c>
      <c r="K24">
        <v>9.6340591082597182E-2</v>
      </c>
      <c r="L24">
        <v>2.7276764300310698E-2</v>
      </c>
      <c r="M24">
        <v>4.7232000000000003E-2</v>
      </c>
      <c r="N24">
        <v>6.9892332120838979E-2</v>
      </c>
      <c r="P24" s="9"/>
      <c r="S24" s="5"/>
    </row>
    <row r="25" spans="1:19" x14ac:dyDescent="0.35">
      <c r="A25" s="1">
        <v>45992</v>
      </c>
      <c r="B25" t="s">
        <v>18</v>
      </c>
      <c r="C25">
        <v>389</v>
      </c>
      <c r="D25">
        <v>147.145507907097</v>
      </c>
      <c r="E25">
        <v>140.63210000000001</v>
      </c>
      <c r="F25">
        <v>1.9699999999999999E-2</v>
      </c>
      <c r="G25">
        <v>0.24323348</v>
      </c>
      <c r="H25">
        <v>0.2227041986038695</v>
      </c>
      <c r="I25">
        <v>2.3499999996173901</v>
      </c>
      <c r="J25">
        <v>0.24411981556476911</v>
      </c>
      <c r="K25">
        <v>9.4767744102182389E-2</v>
      </c>
      <c r="L25">
        <v>2.7276764300310698E-2</v>
      </c>
      <c r="M25">
        <v>4.7232000000000003E-2</v>
      </c>
      <c r="N25">
        <v>7.4843307162276052E-2</v>
      </c>
      <c r="O25">
        <v>4.9509750414370723E-3</v>
      </c>
      <c r="P25" s="9">
        <v>7.7785484953293987E-2</v>
      </c>
      <c r="Q25">
        <v>1.682758620689655</v>
      </c>
      <c r="R25">
        <f>C25/C24*25/75-1</f>
        <v>-0.10574712643678164</v>
      </c>
      <c r="S25" s="5">
        <f>(N25*C25-N24*C24*3)/(C25-C24*3)</f>
        <v>2.8024304053034153E-2</v>
      </c>
    </row>
    <row r="26" spans="1:19" x14ac:dyDescent="0.35">
      <c r="A26" s="1">
        <v>46023</v>
      </c>
      <c r="B26" t="s">
        <v>17</v>
      </c>
      <c r="C26">
        <v>174</v>
      </c>
      <c r="D26">
        <v>143.619302589943</v>
      </c>
      <c r="E26">
        <v>140.01240000000001</v>
      </c>
      <c r="F26">
        <v>2.0500000000000001E-2</v>
      </c>
      <c r="G26">
        <v>0.23943064999999999</v>
      </c>
      <c r="H26">
        <v>0.25458813316537038</v>
      </c>
      <c r="I26">
        <v>2.3499999996173901</v>
      </c>
      <c r="J26">
        <v>0.24091220070673941</v>
      </c>
      <c r="K26">
        <v>0.1083353758326896</v>
      </c>
      <c r="L26">
        <v>2.7276764300310698E-2</v>
      </c>
      <c r="M26">
        <v>4.5182E-2</v>
      </c>
      <c r="N26">
        <v>6.0118060573739113E-2</v>
      </c>
      <c r="P26" s="9"/>
      <c r="S26" s="5"/>
    </row>
    <row r="27" spans="1:19" x14ac:dyDescent="0.35">
      <c r="A27" s="1">
        <v>46023</v>
      </c>
      <c r="B27" t="s">
        <v>18</v>
      </c>
      <c r="C27">
        <v>470</v>
      </c>
      <c r="D27">
        <v>145.49101765131999</v>
      </c>
      <c r="E27">
        <v>141.41999999999999</v>
      </c>
      <c r="F27">
        <v>2.1600000000000001E-2</v>
      </c>
      <c r="G27">
        <v>0.24287201999999999</v>
      </c>
      <c r="H27">
        <v>0.24242198526642</v>
      </c>
      <c r="I27">
        <v>2.3499999996173901</v>
      </c>
      <c r="J27">
        <v>0.2445910840231986</v>
      </c>
      <c r="K27">
        <v>0.1031582916195274</v>
      </c>
      <c r="L27">
        <v>2.7276764300310698E-2</v>
      </c>
      <c r="M27">
        <v>4.5182E-2</v>
      </c>
      <c r="N27">
        <v>6.8974028103360507E-2</v>
      </c>
      <c r="O27">
        <v>8.8559675296213947E-3</v>
      </c>
      <c r="P27" s="9">
        <v>7.4179900907935248E-2</v>
      </c>
      <c r="Q27">
        <v>1.701149425287356</v>
      </c>
      <c r="R27">
        <f>C27/C26*25/75-1</f>
        <v>-9.9616858237547845E-2</v>
      </c>
      <c r="S27" s="5">
        <f>(N27*C27-N26*C26*3)/(C27-C26*3)</f>
        <v>-1.9926261328608145E-2</v>
      </c>
    </row>
    <row r="28" spans="1:19" x14ac:dyDescent="0.35">
      <c r="A28" s="1">
        <v>46054</v>
      </c>
      <c r="B28" t="s">
        <v>17</v>
      </c>
      <c r="C28">
        <v>302</v>
      </c>
      <c r="D28">
        <v>145.64349594136601</v>
      </c>
      <c r="E28">
        <v>140.64779999999999</v>
      </c>
      <c r="F28">
        <v>2.1600000000000001E-2</v>
      </c>
      <c r="G28">
        <v>0.23886424000000001</v>
      </c>
      <c r="H28">
        <v>0.2372990763811208</v>
      </c>
      <c r="I28">
        <v>2.3499999996173901</v>
      </c>
      <c r="J28">
        <v>0.2408518252831986</v>
      </c>
      <c r="K28">
        <v>0.1009783303913856</v>
      </c>
      <c r="L28">
        <v>2.7276764300310698E-2</v>
      </c>
      <c r="M28">
        <v>4.5182E-2</v>
      </c>
      <c r="N28">
        <v>6.7414730591502353E-2</v>
      </c>
      <c r="P28" s="9"/>
      <c r="S28" s="5"/>
    </row>
    <row r="29" spans="1:19" x14ac:dyDescent="0.35">
      <c r="A29" s="1">
        <v>46054</v>
      </c>
      <c r="B29" t="s">
        <v>18</v>
      </c>
      <c r="C29">
        <v>813</v>
      </c>
      <c r="D29">
        <v>144.971880137184</v>
      </c>
      <c r="E29">
        <v>140.76570000000001</v>
      </c>
      <c r="F29">
        <v>2.01E-2</v>
      </c>
      <c r="G29">
        <v>0.24202576000000001</v>
      </c>
      <c r="H29">
        <v>0.24166457910830391</v>
      </c>
      <c r="I29">
        <v>2.3499999996173901</v>
      </c>
      <c r="J29">
        <v>0.24316322557075429</v>
      </c>
      <c r="K29">
        <v>0.1028359911266596</v>
      </c>
      <c r="L29">
        <v>2.7276764300310698E-2</v>
      </c>
      <c r="M29">
        <v>4.5182E-2</v>
      </c>
      <c r="N29">
        <v>6.7868470143784027E-2</v>
      </c>
      <c r="O29">
        <v>4.537395522816734E-4</v>
      </c>
      <c r="P29" s="9">
        <v>6.8136629331238152E-2</v>
      </c>
      <c r="Q29">
        <v>1.69205298013245</v>
      </c>
      <c r="R29">
        <f>C29/C28*25/75-1</f>
        <v>-0.10264900662251664</v>
      </c>
      <c r="S29" s="5">
        <f>(N29*C29-N28*C28*3)/(C29-C28*3)</f>
        <v>6.344816869897546E-2</v>
      </c>
    </row>
    <row r="30" spans="1:19" x14ac:dyDescent="0.35">
      <c r="A30" s="1">
        <v>46082</v>
      </c>
      <c r="B30" t="s">
        <v>17</v>
      </c>
      <c r="C30">
        <v>333</v>
      </c>
      <c r="D30">
        <v>144.70477114948901</v>
      </c>
      <c r="E30">
        <v>141.2955</v>
      </c>
      <c r="F30">
        <v>2.0899999999999998E-2</v>
      </c>
      <c r="G30">
        <v>0.23599354</v>
      </c>
      <c r="H30">
        <v>0.24871898752832139</v>
      </c>
      <c r="I30">
        <v>2.3499999996173901</v>
      </c>
      <c r="J30">
        <v>0.23787558984272461</v>
      </c>
      <c r="K30">
        <v>0.10583786705056</v>
      </c>
      <c r="L30">
        <v>2.7276764300310698E-2</v>
      </c>
      <c r="M30">
        <v>4.5182E-2</v>
      </c>
      <c r="N30">
        <v>5.9578958491853913E-2</v>
      </c>
      <c r="P30" s="9"/>
      <c r="S30" s="5"/>
    </row>
    <row r="31" spans="1:19" x14ac:dyDescent="0.35">
      <c r="A31" s="1">
        <v>46082</v>
      </c>
      <c r="B31" t="s">
        <v>18</v>
      </c>
      <c r="C31">
        <v>894</v>
      </c>
      <c r="D31">
        <v>144.01351295588299</v>
      </c>
      <c r="E31">
        <v>141.2655</v>
      </c>
      <c r="F31">
        <v>2.1100000000000001E-2</v>
      </c>
      <c r="G31">
        <v>0.2387801</v>
      </c>
      <c r="H31">
        <v>0.25321216578676048</v>
      </c>
      <c r="I31">
        <v>2.3499999996173901</v>
      </c>
      <c r="J31">
        <v>0.24056055670571719</v>
      </c>
      <c r="K31">
        <v>0.1077498577991433</v>
      </c>
      <c r="L31">
        <v>2.7276764300310698E-2</v>
      </c>
      <c r="M31">
        <v>4.5182E-2</v>
      </c>
      <c r="N31">
        <v>6.035193460626323E-2</v>
      </c>
      <c r="O31">
        <v>7.729761144093239E-4</v>
      </c>
      <c r="P31" s="9">
        <v>6.0810760000377863E-2</v>
      </c>
      <c r="Q31">
        <v>1.684684684684685</v>
      </c>
      <c r="R31">
        <f>C31/C30*25/75-1</f>
        <v>-0.10510510510510507</v>
      </c>
      <c r="S31" s="5">
        <f>(N31*C31-N30*C30*3)/(C31-C30*3)</f>
        <v>5.2997619003454517E-2</v>
      </c>
    </row>
    <row r="32" spans="1:19" x14ac:dyDescent="0.35">
      <c r="A32" s="1">
        <v>46113</v>
      </c>
      <c r="B32" t="s">
        <v>17</v>
      </c>
      <c r="C32">
        <v>244</v>
      </c>
      <c r="D32">
        <v>145.466263385589</v>
      </c>
      <c r="E32">
        <v>141.82230000000001</v>
      </c>
      <c r="F32">
        <v>2.0899999999999998E-2</v>
      </c>
      <c r="G32">
        <v>0.23638226000000001</v>
      </c>
      <c r="H32">
        <v>0.24893598799367139</v>
      </c>
      <c r="I32">
        <v>2.29999999830796</v>
      </c>
      <c r="J32">
        <v>0.23843160510842409</v>
      </c>
      <c r="K32">
        <v>0.1082330383377418</v>
      </c>
      <c r="L32">
        <v>2.76023461416923E-2</v>
      </c>
      <c r="M32">
        <v>4.8051999999999997E-2</v>
      </c>
      <c r="N32">
        <v>5.4544220628990073E-2</v>
      </c>
      <c r="P32" s="9"/>
      <c r="S32" s="5"/>
    </row>
    <row r="33" spans="1:19" x14ac:dyDescent="0.35">
      <c r="A33" s="1">
        <v>46113</v>
      </c>
      <c r="B33" t="s">
        <v>18</v>
      </c>
      <c r="C33">
        <v>620</v>
      </c>
      <c r="D33">
        <v>144.68991703287799</v>
      </c>
      <c r="E33">
        <v>141.70359999999999</v>
      </c>
      <c r="F33">
        <v>2.1899999999999999E-2</v>
      </c>
      <c r="G33">
        <v>0.24034521</v>
      </c>
      <c r="H33">
        <v>0.25398223928629299</v>
      </c>
      <c r="I33">
        <v>2.29999999830796</v>
      </c>
      <c r="J33">
        <v>0.24256382006743971</v>
      </c>
      <c r="K33">
        <v>0.11042706064049571</v>
      </c>
      <c r="L33">
        <v>2.76023461416923E-2</v>
      </c>
      <c r="M33">
        <v>4.8051999999999997E-2</v>
      </c>
      <c r="N33">
        <v>5.6482413285251679E-2</v>
      </c>
      <c r="O33">
        <v>1.9381926562616061E-3</v>
      </c>
      <c r="P33" s="9">
        <v>5.7740176604740609E-2</v>
      </c>
      <c r="Q33">
        <v>1.540983606557377</v>
      </c>
      <c r="R33">
        <f>C33/C32*25/75-1</f>
        <v>-0.15300546448087426</v>
      </c>
      <c r="S33" s="5">
        <f>(N33*C33-N32*C32*3)/(C33-C32*3)</f>
        <v>4.3814939853256164E-2</v>
      </c>
    </row>
    <row r="34" spans="1:19" x14ac:dyDescent="0.35">
      <c r="A34" s="1">
        <v>46143</v>
      </c>
      <c r="B34" t="s">
        <v>17</v>
      </c>
      <c r="C34">
        <v>182</v>
      </c>
      <c r="D34">
        <v>143.548393036481</v>
      </c>
      <c r="E34">
        <v>141.2072</v>
      </c>
      <c r="F34">
        <v>2.1000000000000001E-2</v>
      </c>
      <c r="G34">
        <v>0.23892142999999999</v>
      </c>
      <c r="H34">
        <v>0.24402634526287351</v>
      </c>
      <c r="I34">
        <v>2.29999999830796</v>
      </c>
      <c r="J34">
        <v>0.24084412897932569</v>
      </c>
      <c r="K34">
        <v>0.1060984110619114</v>
      </c>
      <c r="L34">
        <v>2.76023461416923E-2</v>
      </c>
      <c r="M34">
        <v>4.7232000000000003E-2</v>
      </c>
      <c r="N34">
        <v>5.9911371775721999E-2</v>
      </c>
      <c r="P34" s="9"/>
      <c r="S34" s="5"/>
    </row>
    <row r="35" spans="1:19" x14ac:dyDescent="0.35">
      <c r="A35" s="1">
        <v>46143</v>
      </c>
      <c r="B35" t="s">
        <v>18</v>
      </c>
      <c r="C35">
        <v>503</v>
      </c>
      <c r="D35">
        <v>146.331021879384</v>
      </c>
      <c r="E35">
        <v>142.41210000000001</v>
      </c>
      <c r="F35">
        <v>0.02</v>
      </c>
      <c r="G35">
        <v>0.24001016</v>
      </c>
      <c r="H35">
        <v>0.22593925778400401</v>
      </c>
      <c r="I35">
        <v>2.29999999830796</v>
      </c>
      <c r="J35">
        <v>0.24142513146031019</v>
      </c>
      <c r="K35">
        <v>9.8234459978356808E-2</v>
      </c>
      <c r="L35">
        <v>2.76023461416923E-2</v>
      </c>
      <c r="M35">
        <v>4.7232000000000003E-2</v>
      </c>
      <c r="N35">
        <v>6.8356325340261093E-2</v>
      </c>
      <c r="O35">
        <v>8.4449535645390941E-3</v>
      </c>
      <c r="P35" s="9">
        <v>7.3144429853488874E-2</v>
      </c>
      <c r="Q35">
        <v>1.7637362637362639</v>
      </c>
      <c r="R35">
        <f>C35/C34*25/75-1</f>
        <v>-7.8754578754578697E-2</v>
      </c>
      <c r="S35" s="5">
        <f>(N35*C35-N34*C34*3)/(C35-C34*3)</f>
        <v>-3.8874945502491161E-2</v>
      </c>
    </row>
    <row r="37" spans="1:19" x14ac:dyDescent="0.35">
      <c r="O37" s="5"/>
      <c r="P37" s="5"/>
      <c r="Q37" s="5"/>
      <c r="R37" s="4">
        <f>AVERAGE(R31:R35)</f>
        <v>-0.11228838278018601</v>
      </c>
      <c r="S37" s="4">
        <f>AVERAGE(S31:S35)</f>
        <v>1.931253778473984E-2</v>
      </c>
    </row>
    <row r="38" spans="1:19" x14ac:dyDescent="0.35">
      <c r="R38" s="4">
        <f>AVERAGE(R25:R29)</f>
        <v>-0.10267099709894871</v>
      </c>
      <c r="S38" s="4">
        <f>AVERAGE(S25:S29)</f>
        <v>2.3848737141133822E-2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"/>
  <sheetViews>
    <sheetView zoomScale="190" zoomScaleNormal="190" workbookViewId="0">
      <selection activeCell="P9" sqref="P9"/>
    </sheetView>
  </sheetViews>
  <sheetFormatPr defaultRowHeight="14.5" x14ac:dyDescent="0.35"/>
  <cols>
    <col min="2" max="2" width="12.6328125" bestFit="1" customWidth="1"/>
    <col min="6" max="6" width="10" bestFit="1" customWidth="1"/>
  </cols>
  <sheetData>
    <row r="1" spans="1:15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3</v>
      </c>
      <c r="G1" t="s">
        <v>25</v>
      </c>
      <c r="H1" t="s">
        <v>8</v>
      </c>
      <c r="I1" t="s">
        <v>26</v>
      </c>
      <c r="J1" t="s">
        <v>27</v>
      </c>
      <c r="K1" t="s">
        <v>28</v>
      </c>
      <c r="L1" t="s">
        <v>29</v>
      </c>
      <c r="M1" t="s">
        <v>11</v>
      </c>
      <c r="N1" t="s">
        <v>12</v>
      </c>
      <c r="O1" t="s">
        <v>9</v>
      </c>
    </row>
    <row r="2" spans="1:15" x14ac:dyDescent="0.35">
      <c r="A2" t="s">
        <v>33</v>
      </c>
      <c r="B2" s="2">
        <v>45658</v>
      </c>
      <c r="C2">
        <v>137.69999999999999</v>
      </c>
      <c r="D2">
        <v>2.075482E-2</v>
      </c>
      <c r="E2">
        <v>0.23690091399999999</v>
      </c>
      <c r="G2">
        <v>0.20895830000000001</v>
      </c>
      <c r="H2">
        <v>2.3499999996173901</v>
      </c>
      <c r="I2">
        <v>0.93125271929999998</v>
      </c>
      <c r="J2">
        <v>3.0000000000000001E-3</v>
      </c>
      <c r="K2">
        <v>4.1000000000000003E-3</v>
      </c>
      <c r="L2">
        <v>1.6999999999999999E-3</v>
      </c>
      <c r="M2">
        <v>3.0576764300489799E-2</v>
      </c>
      <c r="N2">
        <v>5.0512000000000001E-2</v>
      </c>
      <c r="O2">
        <v>0.23824645866646571</v>
      </c>
    </row>
    <row r="3" spans="1:15" x14ac:dyDescent="0.35">
      <c r="A3" t="s">
        <v>33</v>
      </c>
      <c r="B3" s="2">
        <v>45698</v>
      </c>
      <c r="C3">
        <v>137.69999999999999</v>
      </c>
      <c r="D3">
        <v>2.075482E-2</v>
      </c>
      <c r="E3">
        <v>0.23690091399999999</v>
      </c>
      <c r="F3">
        <v>146.30000000000001</v>
      </c>
      <c r="G3">
        <v>0.20912500000000001</v>
      </c>
      <c r="H3">
        <v>2.3499999996173901</v>
      </c>
      <c r="I3">
        <v>0.93119787499999995</v>
      </c>
      <c r="J3">
        <v>3.0000000000000001E-3</v>
      </c>
      <c r="K3">
        <v>4.1000000000000003E-3</v>
      </c>
      <c r="L3">
        <v>1.6999999999999999E-3</v>
      </c>
      <c r="M3">
        <v>3.0576764300489799E-2</v>
      </c>
      <c r="N3">
        <v>4.9281999999999999E-2</v>
      </c>
      <c r="O3">
        <v>0.238233466001668</v>
      </c>
    </row>
    <row r="4" spans="1:15" x14ac:dyDescent="0.35">
      <c r="A4" t="s">
        <v>33</v>
      </c>
      <c r="B4" s="2">
        <v>45743</v>
      </c>
      <c r="C4">
        <v>137.69999999999999</v>
      </c>
      <c r="D4">
        <v>2.075482E-2</v>
      </c>
      <c r="E4">
        <v>0.23690091399999999</v>
      </c>
      <c r="F4">
        <v>146.30000000000001</v>
      </c>
      <c r="G4">
        <v>0.22136359999999999</v>
      </c>
      <c r="H4">
        <v>2.3499999996173901</v>
      </c>
      <c r="I4">
        <v>0.92717137559999996</v>
      </c>
      <c r="J4">
        <v>3.0000000000000001E-3</v>
      </c>
      <c r="K4">
        <v>4.1000000000000003E-3</v>
      </c>
      <c r="L4">
        <v>1.6999999999999999E-3</v>
      </c>
      <c r="M4">
        <v>3.0576764300489799E-2</v>
      </c>
      <c r="N4">
        <v>4.9281999999999999E-2</v>
      </c>
      <c r="O4">
        <v>0.23727958461358761</v>
      </c>
    </row>
    <row r="5" spans="1:15" x14ac:dyDescent="0.35">
      <c r="A5" t="s">
        <v>33</v>
      </c>
      <c r="B5" s="2">
        <v>45769</v>
      </c>
      <c r="C5">
        <v>139.9</v>
      </c>
      <c r="D5">
        <v>2.075482E-2</v>
      </c>
      <c r="E5">
        <v>0.23640091399999999</v>
      </c>
      <c r="F5">
        <v>145.1</v>
      </c>
      <c r="G5">
        <v>0.21355560000000001</v>
      </c>
      <c r="H5">
        <v>2.3499999996173901</v>
      </c>
      <c r="I5">
        <v>0.92974020759999998</v>
      </c>
      <c r="J5">
        <v>3.0000000000000001E-3</v>
      </c>
      <c r="K5">
        <v>4.1000000000000003E-3</v>
      </c>
      <c r="L5">
        <v>1.6999999999999999E-3</v>
      </c>
      <c r="M5">
        <v>3.0576764300489799E-2</v>
      </c>
      <c r="N5">
        <v>5.4612000000000001E-2</v>
      </c>
      <c r="O5">
        <v>0.23742327315850001</v>
      </c>
    </row>
    <row r="6" spans="1:15" x14ac:dyDescent="0.35">
      <c r="A6" t="s">
        <v>33</v>
      </c>
      <c r="B6" s="2">
        <v>45789</v>
      </c>
      <c r="C6">
        <v>141</v>
      </c>
      <c r="D6">
        <v>2.075482E-2</v>
      </c>
      <c r="E6">
        <v>0.23640091399999999</v>
      </c>
      <c r="F6">
        <v>145.69999999999999</v>
      </c>
      <c r="G6">
        <v>0.21681819999999999</v>
      </c>
      <c r="H6">
        <v>2.3499999996173901</v>
      </c>
      <c r="I6">
        <v>0.92866681220000002</v>
      </c>
      <c r="J6">
        <v>3.0000000000000001E-3</v>
      </c>
      <c r="K6">
        <v>4.1000000000000003E-3</v>
      </c>
      <c r="L6">
        <v>1.6999999999999999E-3</v>
      </c>
      <c r="M6">
        <v>3.0576764300489799E-2</v>
      </c>
      <c r="N6">
        <v>5.1332000000000003E-2</v>
      </c>
      <c r="O6">
        <v>0.2371695215048566</v>
      </c>
    </row>
    <row r="7" spans="1:15" x14ac:dyDescent="0.35">
      <c r="A7" t="s">
        <v>33</v>
      </c>
      <c r="B7" s="2">
        <v>45809</v>
      </c>
      <c r="C7">
        <v>139</v>
      </c>
      <c r="D7">
        <v>2.075482E-2</v>
      </c>
      <c r="E7">
        <v>0.23640091399999999</v>
      </c>
      <c r="F7">
        <v>146.4</v>
      </c>
      <c r="G7">
        <v>0.21672730000000001</v>
      </c>
      <c r="H7">
        <v>2.3499999996173901</v>
      </c>
      <c r="I7">
        <v>0.93300000000000005</v>
      </c>
      <c r="J7">
        <v>3.0000000000000001E-3</v>
      </c>
      <c r="K7">
        <v>4.1000000000000003E-3</v>
      </c>
      <c r="L7">
        <v>1.6999999999999999E-3</v>
      </c>
      <c r="M7">
        <v>3.0576764300489799E-2</v>
      </c>
      <c r="N7">
        <v>5.1332000000000003E-2</v>
      </c>
      <c r="O7">
        <v>0.23819389106131031</v>
      </c>
    </row>
    <row r="8" spans="1:15" x14ac:dyDescent="0.35">
      <c r="A8" t="s">
        <v>33</v>
      </c>
      <c r="B8" s="2">
        <v>45839</v>
      </c>
      <c r="C8">
        <v>139.30000000000001</v>
      </c>
      <c r="D8">
        <v>2.075482E-2</v>
      </c>
      <c r="E8">
        <v>0.23720091400000001</v>
      </c>
      <c r="F8">
        <v>146.69999999999999</v>
      </c>
      <c r="G8">
        <v>0.21618180000000001</v>
      </c>
      <c r="H8">
        <v>2.3499999996173901</v>
      </c>
      <c r="I8">
        <v>0.93300000000000005</v>
      </c>
      <c r="J8">
        <v>3.0000000000000001E-3</v>
      </c>
      <c r="K8">
        <v>4.1000000000000003E-3</v>
      </c>
      <c r="L8">
        <v>1.6999999999999999E-3</v>
      </c>
      <c r="M8">
        <v>3.0576764300489799E-2</v>
      </c>
      <c r="N8">
        <v>5.1332000000000003E-2</v>
      </c>
      <c r="O8">
        <v>0.23894029106131029</v>
      </c>
    </row>
    <row r="9" spans="1:15" x14ac:dyDescent="0.35">
      <c r="A9" t="s">
        <v>33</v>
      </c>
      <c r="B9" s="2">
        <v>45882</v>
      </c>
      <c r="C9">
        <v>139.6</v>
      </c>
      <c r="D9">
        <v>2.075482E-2</v>
      </c>
      <c r="E9">
        <v>0.23720091400000001</v>
      </c>
      <c r="F9">
        <v>147</v>
      </c>
      <c r="G9">
        <v>0.22239999999999999</v>
      </c>
      <c r="H9">
        <v>2.3499999996173901</v>
      </c>
      <c r="I9">
        <v>0.93300000000000005</v>
      </c>
      <c r="J9">
        <v>3.0000000000000001E-3</v>
      </c>
      <c r="K9">
        <v>4.1000000000000003E-3</v>
      </c>
      <c r="L9">
        <v>1.6999999999999999E-3</v>
      </c>
      <c r="M9">
        <v>2.7276764300310698E-2</v>
      </c>
      <c r="N9">
        <v>4.6412000000000002E-2</v>
      </c>
      <c r="O9">
        <v>0.23894029106131029</v>
      </c>
    </row>
    <row r="10" spans="1:15" x14ac:dyDescent="0.35">
      <c r="A10" t="s">
        <v>33</v>
      </c>
      <c r="B10" s="2">
        <v>45908</v>
      </c>
      <c r="C10">
        <v>139.69999999999999</v>
      </c>
      <c r="D10">
        <v>2.075482E-2</v>
      </c>
      <c r="E10">
        <v>0.23720091400000001</v>
      </c>
      <c r="F10">
        <v>147.6</v>
      </c>
      <c r="G10">
        <v>0.2180909</v>
      </c>
      <c r="H10">
        <v>2.3499999996173901</v>
      </c>
      <c r="I10">
        <v>0.93300000000000005</v>
      </c>
      <c r="J10">
        <v>3.0000000000000001E-3</v>
      </c>
      <c r="K10">
        <v>4.1000000000000003E-3</v>
      </c>
      <c r="L10">
        <v>1.6999999999999999E-3</v>
      </c>
      <c r="M10">
        <v>2.7276764300310698E-2</v>
      </c>
      <c r="N10">
        <v>4.4771999999999999E-2</v>
      </c>
      <c r="O10">
        <v>0.23894029106131029</v>
      </c>
    </row>
    <row r="11" spans="1:15" x14ac:dyDescent="0.35">
      <c r="A11" t="s">
        <v>33</v>
      </c>
      <c r="B11" s="2">
        <v>45936</v>
      </c>
      <c r="C11">
        <v>139.80000000000001</v>
      </c>
      <c r="D11">
        <v>2.075482E-2</v>
      </c>
      <c r="E11">
        <v>0.23720091400000001</v>
      </c>
      <c r="F11">
        <v>147.9</v>
      </c>
      <c r="G11">
        <v>0.2151111</v>
      </c>
      <c r="H11">
        <v>2.3499999996173901</v>
      </c>
      <c r="I11">
        <v>0.93300000000000005</v>
      </c>
      <c r="J11">
        <v>3.0000000000000001E-3</v>
      </c>
      <c r="K11">
        <v>4.1000000000000003E-3</v>
      </c>
      <c r="L11">
        <v>1.6999999999999999E-3</v>
      </c>
      <c r="M11">
        <v>2.7276764300310698E-2</v>
      </c>
      <c r="N11">
        <v>4.7232000000000003E-2</v>
      </c>
      <c r="O11">
        <v>0.23894029106131029</v>
      </c>
    </row>
    <row r="12" spans="1:15" x14ac:dyDescent="0.35">
      <c r="A12" t="s">
        <v>33</v>
      </c>
      <c r="B12" s="2">
        <v>45972</v>
      </c>
      <c r="C12">
        <v>139.80000000000001</v>
      </c>
      <c r="D12">
        <v>2.075482E-2</v>
      </c>
      <c r="E12">
        <v>0.23720091400000001</v>
      </c>
      <c r="F12">
        <v>147.9</v>
      </c>
      <c r="G12">
        <v>0.21779999999999999</v>
      </c>
      <c r="H12">
        <v>2.3499999996173901</v>
      </c>
      <c r="I12">
        <v>0.93300000000000005</v>
      </c>
      <c r="J12">
        <v>3.0000000000000001E-3</v>
      </c>
      <c r="K12">
        <v>4.1000000000000003E-3</v>
      </c>
      <c r="L12">
        <v>1.6999999999999999E-3</v>
      </c>
      <c r="M12">
        <v>2.7276764300310698E-2</v>
      </c>
      <c r="N12">
        <v>4.7232000000000003E-2</v>
      </c>
      <c r="O12">
        <v>0.23894029106131029</v>
      </c>
    </row>
    <row r="13" spans="1:15" x14ac:dyDescent="0.35">
      <c r="A13" t="s">
        <v>33</v>
      </c>
      <c r="B13" s="2">
        <v>46009</v>
      </c>
      <c r="C13">
        <v>141</v>
      </c>
      <c r="D13">
        <v>1.675482E-2</v>
      </c>
      <c r="E13">
        <v>0.23670091400000001</v>
      </c>
      <c r="F13">
        <v>149.5</v>
      </c>
      <c r="G13">
        <v>0.21636359999999999</v>
      </c>
      <c r="H13">
        <v>2.3499999996173901</v>
      </c>
      <c r="I13">
        <v>0.93300000000000005</v>
      </c>
      <c r="J13">
        <v>3.0000000000000001E-3</v>
      </c>
      <c r="K13">
        <v>4.1000000000000003E-3</v>
      </c>
      <c r="L13">
        <v>1.6999999999999999E-3</v>
      </c>
      <c r="M13">
        <v>2.7276764300310698E-2</v>
      </c>
      <c r="N13">
        <v>4.5182E-2</v>
      </c>
      <c r="O13">
        <v>0.23677166340145869</v>
      </c>
    </row>
    <row r="14" spans="1:15" x14ac:dyDescent="0.35">
      <c r="A14" t="s">
        <v>33</v>
      </c>
      <c r="B14" s="2">
        <v>46045</v>
      </c>
      <c r="C14">
        <v>138.69999999999999</v>
      </c>
      <c r="D14">
        <v>1.675482E-2</v>
      </c>
      <c r="E14">
        <v>0.23670091400000001</v>
      </c>
      <c r="F14">
        <v>147.19999999999999</v>
      </c>
      <c r="G14">
        <v>0.22718179999999999</v>
      </c>
      <c r="H14">
        <v>2.3499999996173901</v>
      </c>
      <c r="I14">
        <v>0.93300000000000005</v>
      </c>
      <c r="J14">
        <v>3.0000000000000001E-3</v>
      </c>
      <c r="K14">
        <v>4.1000000000000003E-3</v>
      </c>
      <c r="L14">
        <v>1.6999999999999999E-3</v>
      </c>
      <c r="M14">
        <v>2.7276764300310698E-2</v>
      </c>
      <c r="N14">
        <v>4.5182E-2</v>
      </c>
      <c r="O14">
        <v>0.23677166340145869</v>
      </c>
    </row>
    <row r="15" spans="1:15" x14ac:dyDescent="0.35">
      <c r="A15" t="s">
        <v>33</v>
      </c>
      <c r="B15" s="2">
        <v>46062</v>
      </c>
      <c r="C15">
        <v>138.69999999999999</v>
      </c>
      <c r="D15">
        <v>1.675482E-2</v>
      </c>
      <c r="E15">
        <v>0.23670091400000001</v>
      </c>
      <c r="F15">
        <v>147.19999999999999</v>
      </c>
      <c r="G15">
        <v>0.23250000000000001</v>
      </c>
      <c r="H15">
        <v>2.3499999996173901</v>
      </c>
      <c r="I15">
        <v>0.93300000000000005</v>
      </c>
      <c r="J15">
        <v>3.0000000000000001E-3</v>
      </c>
      <c r="K15">
        <v>4.1000000000000003E-3</v>
      </c>
      <c r="L15">
        <v>1.6999999999999999E-3</v>
      </c>
      <c r="M15">
        <v>2.7276764300310698E-2</v>
      </c>
      <c r="N15">
        <v>4.5182E-2</v>
      </c>
      <c r="O15">
        <v>0.23677166340145869</v>
      </c>
    </row>
    <row r="16" spans="1:15" x14ac:dyDescent="0.35">
      <c r="A16" t="s">
        <v>33</v>
      </c>
      <c r="B16" s="2">
        <v>46100</v>
      </c>
      <c r="C16">
        <v>138.69999999999999</v>
      </c>
      <c r="D16">
        <v>1.675482E-2</v>
      </c>
      <c r="E16">
        <v>0.23670091400000001</v>
      </c>
      <c r="F16">
        <v>147.19999999999999</v>
      </c>
      <c r="G16">
        <v>0.23766670000000001</v>
      </c>
      <c r="H16">
        <v>2.29999999830796</v>
      </c>
      <c r="I16">
        <v>0.93300000000000005</v>
      </c>
      <c r="J16">
        <v>3.0000000000000001E-3</v>
      </c>
      <c r="K16">
        <v>4.1000000000000003E-3</v>
      </c>
      <c r="L16">
        <v>1.6999999999999999E-3</v>
      </c>
      <c r="M16">
        <v>2.76023461416923E-2</v>
      </c>
      <c r="N16">
        <v>4.8051999999999997E-2</v>
      </c>
      <c r="O16">
        <v>0.23692665711518529</v>
      </c>
    </row>
    <row r="17" spans="1:15" x14ac:dyDescent="0.35">
      <c r="A17" t="s">
        <v>33</v>
      </c>
      <c r="B17" s="2">
        <v>46133</v>
      </c>
      <c r="C17">
        <v>139.9</v>
      </c>
      <c r="D17">
        <v>1.675482E-2</v>
      </c>
      <c r="E17">
        <v>0.23670091400000001</v>
      </c>
      <c r="F17">
        <v>144</v>
      </c>
      <c r="G17">
        <v>0.2410909</v>
      </c>
      <c r="H17">
        <v>2.29999999830796</v>
      </c>
      <c r="I17">
        <v>0.93300000000000005</v>
      </c>
      <c r="J17">
        <v>3.0000000000000001E-3</v>
      </c>
      <c r="K17">
        <v>4.1000000000000003E-3</v>
      </c>
      <c r="L17">
        <v>1.6999999999999999E-3</v>
      </c>
      <c r="M17">
        <v>2.76023461416923E-2</v>
      </c>
      <c r="N17">
        <v>4.7232000000000003E-2</v>
      </c>
      <c r="O17">
        <v>0.23692665711518529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1"/>
  <sheetViews>
    <sheetView topLeftCell="A14" zoomScale="190" zoomScaleNormal="190" workbookViewId="0">
      <selection activeCell="P39" sqref="P39"/>
    </sheetView>
  </sheetViews>
  <sheetFormatPr defaultRowHeight="14.5" x14ac:dyDescent="0.35"/>
  <cols>
    <col min="1" max="1" width="19.1796875" bestFit="1" customWidth="1"/>
    <col min="2" max="2" width="8.3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45658</v>
      </c>
      <c r="B2" t="s">
        <v>17</v>
      </c>
      <c r="C2">
        <v>1091</v>
      </c>
      <c r="D2">
        <v>140.00873548213599</v>
      </c>
      <c r="E2">
        <v>139.6267</v>
      </c>
      <c r="F2">
        <v>7.6100000000000001E-2</v>
      </c>
      <c r="G2">
        <v>0.25772916000000001</v>
      </c>
    </row>
    <row r="3" spans="1:17" x14ac:dyDescent="0.35">
      <c r="A3" s="1">
        <v>45658</v>
      </c>
      <c r="B3" t="s">
        <v>18</v>
      </c>
      <c r="C3">
        <v>1059</v>
      </c>
      <c r="D3">
        <v>140.54254074163799</v>
      </c>
      <c r="E3">
        <v>140.1069</v>
      </c>
      <c r="F3">
        <v>7.7899999999999997E-2</v>
      </c>
      <c r="G3">
        <v>0.25877075999999999</v>
      </c>
      <c r="Q3">
        <v>-2.933088909257564E-2</v>
      </c>
    </row>
    <row r="4" spans="1:17" x14ac:dyDescent="0.35">
      <c r="A4" s="1">
        <v>45689</v>
      </c>
      <c r="B4" t="s">
        <v>17</v>
      </c>
      <c r="C4">
        <v>1631</v>
      </c>
      <c r="D4">
        <v>138.79117928009799</v>
      </c>
      <c r="E4">
        <v>139.67429999999999</v>
      </c>
      <c r="F4">
        <v>8.1100000000000005E-2</v>
      </c>
      <c r="G4">
        <v>0.25835768999999997</v>
      </c>
      <c r="I4">
        <v>1.99999999961807</v>
      </c>
      <c r="J4">
        <v>0.28426194777164132</v>
      </c>
      <c r="L4">
        <v>3.05767643030701E-2</v>
      </c>
      <c r="M4">
        <v>5.0512000000000001E-2</v>
      </c>
    </row>
    <row r="5" spans="1:17" x14ac:dyDescent="0.35">
      <c r="A5" s="1">
        <v>45689</v>
      </c>
      <c r="B5" t="s">
        <v>18</v>
      </c>
      <c r="C5">
        <v>1492</v>
      </c>
      <c r="D5">
        <v>139.90050304659201</v>
      </c>
      <c r="E5">
        <v>140.18360000000001</v>
      </c>
      <c r="F5">
        <v>8.4199999999999997E-2</v>
      </c>
      <c r="G5">
        <v>0.25645159000000001</v>
      </c>
      <c r="I5">
        <v>1.99999999961807</v>
      </c>
      <c r="J5">
        <v>0.28407882473761709</v>
      </c>
      <c r="L5">
        <v>3.05767643030701E-2</v>
      </c>
      <c r="M5">
        <v>5.0512000000000001E-2</v>
      </c>
      <c r="Q5">
        <v>-8.5223789086450008E-2</v>
      </c>
    </row>
    <row r="6" spans="1:17" x14ac:dyDescent="0.35">
      <c r="A6" s="1">
        <v>45717</v>
      </c>
      <c r="B6" t="s">
        <v>17</v>
      </c>
      <c r="C6">
        <v>1942</v>
      </c>
      <c r="D6">
        <v>141.40081794999099</v>
      </c>
      <c r="E6">
        <v>139.63380000000001</v>
      </c>
      <c r="F6">
        <v>7.5200000000000003E-2</v>
      </c>
      <c r="G6">
        <v>0.25644415999999998</v>
      </c>
      <c r="H6">
        <v>0.29884468332505859</v>
      </c>
      <c r="I6">
        <v>1.99999999961807</v>
      </c>
      <c r="J6">
        <v>0.27949472690606031</v>
      </c>
      <c r="K6">
        <v>0.14942234169106369</v>
      </c>
      <c r="L6">
        <v>3.05767643030701E-2</v>
      </c>
      <c r="M6">
        <v>4.9281999999999999E-2</v>
      </c>
      <c r="N6">
        <v>5.0213620911926403E-2</v>
      </c>
    </row>
    <row r="7" spans="1:17" x14ac:dyDescent="0.35">
      <c r="A7" s="1">
        <v>45717</v>
      </c>
      <c r="B7" t="s">
        <v>18</v>
      </c>
      <c r="C7">
        <v>1826</v>
      </c>
      <c r="D7">
        <v>141.354592787797</v>
      </c>
      <c r="E7">
        <v>140.23240000000001</v>
      </c>
      <c r="F7">
        <v>7.9299999999999995E-2</v>
      </c>
      <c r="G7">
        <v>0.25613943</v>
      </c>
      <c r="H7">
        <v>0.29914514687931948</v>
      </c>
      <c r="I7">
        <v>1.99999999961807</v>
      </c>
      <c r="J7">
        <v>0.28126774280149919</v>
      </c>
      <c r="K7">
        <v>0.14957257346822289</v>
      </c>
      <c r="L7">
        <v>3.05767643030701E-2</v>
      </c>
      <c r="M7">
        <v>4.9281999999999999E-2</v>
      </c>
      <c r="N7">
        <v>5.1836405030206249E-2</v>
      </c>
      <c r="O7">
        <v>1.6227841182798459E-3</v>
      </c>
      <c r="P7">
        <v>2.4668760567279908E-2</v>
      </c>
      <c r="Q7">
        <v>-5.973223480947476E-2</v>
      </c>
    </row>
    <row r="8" spans="1:17" x14ac:dyDescent="0.35">
      <c r="A8" s="1">
        <v>45748</v>
      </c>
      <c r="B8" t="s">
        <v>17</v>
      </c>
      <c r="C8">
        <v>1399</v>
      </c>
      <c r="D8">
        <v>142.79851636913199</v>
      </c>
      <c r="E8">
        <v>140.14570000000001</v>
      </c>
      <c r="F8">
        <v>7.4399999999999994E-2</v>
      </c>
      <c r="G8">
        <v>0.25551898000000001</v>
      </c>
      <c r="H8">
        <v>0.29287414360064212</v>
      </c>
      <c r="I8">
        <v>1.99999999961807</v>
      </c>
      <c r="J8">
        <v>0.27806846230529503</v>
      </c>
      <c r="K8">
        <v>0.14643707182828539</v>
      </c>
      <c r="L8">
        <v>3.05767643030701E-2</v>
      </c>
      <c r="M8">
        <v>4.9281999999999999E-2</v>
      </c>
      <c r="N8">
        <v>5.1772626173939483E-2</v>
      </c>
      <c r="P8" s="3"/>
    </row>
    <row r="9" spans="1:17" x14ac:dyDescent="0.35">
      <c r="A9" s="1">
        <v>45748</v>
      </c>
      <c r="B9" t="s">
        <v>18</v>
      </c>
      <c r="C9">
        <v>1321</v>
      </c>
      <c r="D9">
        <v>141.92924240245699</v>
      </c>
      <c r="E9">
        <v>140.51</v>
      </c>
      <c r="F9">
        <v>7.8700000000000006E-2</v>
      </c>
      <c r="G9">
        <v>0.25678429000000003</v>
      </c>
      <c r="H9">
        <v>0.29852442438402949</v>
      </c>
      <c r="I9">
        <v>1.99999999961807</v>
      </c>
      <c r="J9">
        <v>0.2813676471765536</v>
      </c>
      <c r="K9">
        <v>0.14926221222051861</v>
      </c>
      <c r="L9">
        <v>3.05767643030701E-2</v>
      </c>
      <c r="M9">
        <v>4.9281999999999999E-2</v>
      </c>
      <c r="N9">
        <v>5.2246670652964858E-2</v>
      </c>
      <c r="O9">
        <v>4.7404447902538172E-4</v>
      </c>
      <c r="P9" s="3">
        <v>4.374425749711227E-2</v>
      </c>
      <c r="Q9">
        <v>-5.5754110078627628E-2</v>
      </c>
    </row>
    <row r="10" spans="1:17" x14ac:dyDescent="0.35">
      <c r="A10" s="1">
        <v>45778</v>
      </c>
      <c r="B10" t="s">
        <v>17</v>
      </c>
      <c r="C10">
        <v>1273</v>
      </c>
      <c r="D10">
        <v>144.06548680755199</v>
      </c>
      <c r="E10">
        <v>140.35679999999999</v>
      </c>
      <c r="F10">
        <v>7.0000000000000007E-2</v>
      </c>
      <c r="G10">
        <v>0.25733403999999999</v>
      </c>
      <c r="H10">
        <v>0.28650493575091213</v>
      </c>
      <c r="I10">
        <v>1.99999999961807</v>
      </c>
      <c r="J10">
        <v>0.27780470403091051</v>
      </c>
      <c r="K10">
        <v>0.14325246790281221</v>
      </c>
      <c r="L10">
        <v>3.05767643030701E-2</v>
      </c>
      <c r="M10">
        <v>5.4612000000000001E-2</v>
      </c>
      <c r="N10">
        <v>4.9363471825028107E-2</v>
      </c>
      <c r="P10" s="3"/>
    </row>
    <row r="11" spans="1:17" x14ac:dyDescent="0.35">
      <c r="A11" s="1">
        <v>45778</v>
      </c>
      <c r="B11" t="s">
        <v>18</v>
      </c>
      <c r="C11">
        <v>1345</v>
      </c>
      <c r="D11">
        <v>144.35260965369</v>
      </c>
      <c r="E11">
        <v>140.8964</v>
      </c>
      <c r="F11">
        <v>7.4800000000000005E-2</v>
      </c>
      <c r="G11">
        <v>0.25507195999999999</v>
      </c>
      <c r="H11">
        <v>0.28463863725101501</v>
      </c>
      <c r="I11">
        <v>1.99999999961807</v>
      </c>
      <c r="J11">
        <v>0.27814769921040089</v>
      </c>
      <c r="K11">
        <v>0.14231931865268549</v>
      </c>
      <c r="L11">
        <v>3.05767643030701E-2</v>
      </c>
      <c r="M11">
        <v>5.4612000000000001E-2</v>
      </c>
      <c r="N11">
        <v>5.0639616254645317E-2</v>
      </c>
      <c r="O11">
        <v>1.27614442961721E-3</v>
      </c>
      <c r="P11" s="3">
        <v>7.3202558739405177E-2</v>
      </c>
      <c r="Q11">
        <v>5.6559308719560157E-2</v>
      </c>
    </row>
    <row r="12" spans="1:17" x14ac:dyDescent="0.35">
      <c r="A12" s="1">
        <v>45809</v>
      </c>
      <c r="B12" t="s">
        <v>17</v>
      </c>
      <c r="C12">
        <v>1207</v>
      </c>
      <c r="D12">
        <v>143.88047269490599</v>
      </c>
      <c r="E12">
        <v>140.21969999999999</v>
      </c>
      <c r="F12">
        <v>7.2900000000000006E-2</v>
      </c>
      <c r="G12">
        <v>0.25452355999999998</v>
      </c>
      <c r="H12">
        <v>0.28484962748311099</v>
      </c>
      <c r="I12">
        <v>1.99999999961807</v>
      </c>
      <c r="J12">
        <v>0.27663896724360748</v>
      </c>
      <c r="K12">
        <v>0.14242481376875371</v>
      </c>
      <c r="L12">
        <v>3.05767643030701E-2</v>
      </c>
      <c r="M12">
        <v>5.1332000000000003E-2</v>
      </c>
      <c r="N12">
        <v>5.230538917178372E-2</v>
      </c>
      <c r="P12" s="3"/>
    </row>
    <row r="13" spans="1:17" x14ac:dyDescent="0.35">
      <c r="A13" s="1">
        <v>45809</v>
      </c>
      <c r="B13" t="s">
        <v>18</v>
      </c>
      <c r="C13">
        <v>1127</v>
      </c>
      <c r="D13">
        <v>144.910861132327</v>
      </c>
      <c r="E13">
        <v>140.88079999999999</v>
      </c>
      <c r="F13">
        <v>6.9000000000000006E-2</v>
      </c>
      <c r="G13">
        <v>0.25675524</v>
      </c>
      <c r="H13">
        <v>0.27815210263987439</v>
      </c>
      <c r="I13">
        <v>1.99999999961807</v>
      </c>
      <c r="J13">
        <v>0.27671780154997938</v>
      </c>
      <c r="K13">
        <v>0.13907605134649589</v>
      </c>
      <c r="L13">
        <v>3.05767643030701E-2</v>
      </c>
      <c r="M13">
        <v>5.1332000000000003E-2</v>
      </c>
      <c r="N13">
        <v>5.5732985900413409E-2</v>
      </c>
      <c r="O13">
        <v>3.4275967286296889E-3</v>
      </c>
      <c r="P13" s="3">
        <v>4.0191202572129828E-3</v>
      </c>
      <c r="Q13">
        <v>-6.6280033140016625E-2</v>
      </c>
    </row>
    <row r="14" spans="1:17" x14ac:dyDescent="0.35">
      <c r="A14" s="1">
        <v>45839</v>
      </c>
      <c r="B14" t="s">
        <v>17</v>
      </c>
      <c r="C14">
        <v>1181</v>
      </c>
      <c r="D14">
        <v>144.100427409492</v>
      </c>
      <c r="E14">
        <v>140.2808</v>
      </c>
      <c r="F14">
        <v>6.9500000000000006E-2</v>
      </c>
      <c r="G14">
        <v>0.25579482999999997</v>
      </c>
      <c r="H14">
        <v>0.28761992183830198</v>
      </c>
      <c r="I14">
        <v>1.99999999961807</v>
      </c>
      <c r="J14">
        <v>0.27512105960563599</v>
      </c>
      <c r="K14">
        <v>0.14380996094661369</v>
      </c>
      <c r="L14">
        <v>3.05767643030701E-2</v>
      </c>
      <c r="M14">
        <v>5.1332000000000003E-2</v>
      </c>
      <c r="N14">
        <v>4.9402334355952218E-2</v>
      </c>
      <c r="P14" s="3"/>
    </row>
    <row r="15" spans="1:17" x14ac:dyDescent="0.35">
      <c r="A15" s="1">
        <v>45839</v>
      </c>
      <c r="B15" t="s">
        <v>18</v>
      </c>
      <c r="C15">
        <v>1080</v>
      </c>
      <c r="D15">
        <v>143.48260560090799</v>
      </c>
      <c r="E15">
        <v>140.16909999999999</v>
      </c>
      <c r="F15">
        <v>7.5600000000000001E-2</v>
      </c>
      <c r="G15">
        <v>0.25597057000000001</v>
      </c>
      <c r="H15">
        <v>0.29163576359409799</v>
      </c>
      <c r="I15">
        <v>1.99999999961807</v>
      </c>
      <c r="J15">
        <v>0.27833015702821851</v>
      </c>
      <c r="K15">
        <v>0.14581788182489511</v>
      </c>
      <c r="L15">
        <v>3.05767643030701E-2</v>
      </c>
      <c r="M15">
        <v>5.1332000000000003E-2</v>
      </c>
      <c r="N15">
        <v>5.060351090025321E-2</v>
      </c>
      <c r="O15">
        <v>1.201176544300991E-3</v>
      </c>
      <c r="P15" s="3">
        <v>3.6558070317882198E-2</v>
      </c>
      <c r="Q15">
        <v>-8.5520745131244746E-2</v>
      </c>
    </row>
    <row r="16" spans="1:17" x14ac:dyDescent="0.35">
      <c r="A16" s="1">
        <v>45870</v>
      </c>
      <c r="B16" t="s">
        <v>17</v>
      </c>
      <c r="C16">
        <v>1195</v>
      </c>
      <c r="D16">
        <v>144.69150617394499</v>
      </c>
      <c r="E16">
        <v>140.602</v>
      </c>
      <c r="F16">
        <v>6.8000000000000005E-2</v>
      </c>
      <c r="G16">
        <v>0.25530702999999999</v>
      </c>
      <c r="H16">
        <v>0.2840507098693576</v>
      </c>
      <c r="I16">
        <v>1.99999999961807</v>
      </c>
      <c r="J16">
        <v>0.27392945426549281</v>
      </c>
      <c r="K16">
        <v>0.14202535496180069</v>
      </c>
      <c r="L16">
        <v>3.05767643030701E-2</v>
      </c>
      <c r="M16">
        <v>5.1332000000000003E-2</v>
      </c>
      <c r="N16">
        <v>4.9995335000622018E-2</v>
      </c>
      <c r="P16" s="3"/>
    </row>
    <row r="17" spans="1:17" x14ac:dyDescent="0.35">
      <c r="A17" s="1">
        <v>45870</v>
      </c>
      <c r="B17" t="s">
        <v>18</v>
      </c>
      <c r="C17">
        <v>1042</v>
      </c>
      <c r="D17">
        <v>145.086455144224</v>
      </c>
      <c r="E17">
        <v>140.3297</v>
      </c>
      <c r="F17">
        <v>6.9099999999999995E-2</v>
      </c>
      <c r="G17">
        <v>0.25879731</v>
      </c>
      <c r="H17">
        <v>0.28148354156254402</v>
      </c>
      <c r="I17">
        <v>1.99999999961807</v>
      </c>
      <c r="J17">
        <v>0.2776392047495978</v>
      </c>
      <c r="K17">
        <v>0.1407417708081487</v>
      </c>
      <c r="L17">
        <v>3.05767643030701E-2</v>
      </c>
      <c r="M17">
        <v>5.1332000000000003E-2</v>
      </c>
      <c r="N17">
        <v>5.4988669638378958E-2</v>
      </c>
      <c r="O17">
        <v>4.9933346377569474E-3</v>
      </c>
      <c r="P17" s="3">
        <v>1.5988441585310029E-2</v>
      </c>
      <c r="Q17">
        <v>-0.12803347280334729</v>
      </c>
    </row>
    <row r="18" spans="1:17" x14ac:dyDescent="0.35">
      <c r="A18" s="1">
        <v>45901</v>
      </c>
      <c r="B18" t="s">
        <v>17</v>
      </c>
      <c r="C18">
        <v>931</v>
      </c>
      <c r="D18">
        <v>146.10596016951101</v>
      </c>
      <c r="E18">
        <v>141.3237</v>
      </c>
      <c r="F18">
        <v>6.8599999999999994E-2</v>
      </c>
      <c r="G18">
        <v>0.25956437999999998</v>
      </c>
      <c r="H18">
        <v>0.28208625889817851</v>
      </c>
      <c r="I18">
        <v>1.99999999961807</v>
      </c>
      <c r="J18">
        <v>0.27808363322055007</v>
      </c>
      <c r="K18">
        <v>0.14104312947602349</v>
      </c>
      <c r="L18">
        <v>2.7276764302859999E-2</v>
      </c>
      <c r="M18">
        <v>4.6412000000000002E-2</v>
      </c>
      <c r="N18">
        <v>6.3351739441666527E-2</v>
      </c>
      <c r="P18" s="3"/>
    </row>
    <row r="19" spans="1:17" x14ac:dyDescent="0.35">
      <c r="A19" s="1">
        <v>45901</v>
      </c>
      <c r="B19" t="s">
        <v>18</v>
      </c>
      <c r="C19">
        <v>831</v>
      </c>
      <c r="D19">
        <v>146.609377198993</v>
      </c>
      <c r="E19">
        <v>141.48560000000001</v>
      </c>
      <c r="F19">
        <v>6.9500000000000006E-2</v>
      </c>
      <c r="G19">
        <v>0.25902593000000002</v>
      </c>
      <c r="H19">
        <v>0.27881404820654548</v>
      </c>
      <c r="I19">
        <v>1.99999999961807</v>
      </c>
      <c r="J19">
        <v>0.27804617443563601</v>
      </c>
      <c r="K19">
        <v>0.13940702412989461</v>
      </c>
      <c r="L19">
        <v>2.7276764302859999E-2</v>
      </c>
      <c r="M19">
        <v>4.6412000000000002E-2</v>
      </c>
      <c r="N19">
        <v>6.4950386002881388E-2</v>
      </c>
      <c r="O19">
        <v>1.598646561214861E-3</v>
      </c>
      <c r="P19" s="3">
        <v>5.006698651797109E-2</v>
      </c>
      <c r="Q19">
        <v>-0.1074113856068744</v>
      </c>
    </row>
    <row r="20" spans="1:17" x14ac:dyDescent="0.35">
      <c r="A20" s="1">
        <v>45931</v>
      </c>
      <c r="B20" t="s">
        <v>17</v>
      </c>
      <c r="C20">
        <v>895</v>
      </c>
      <c r="D20">
        <v>148.67781796176399</v>
      </c>
      <c r="E20">
        <v>141.91470000000001</v>
      </c>
      <c r="F20">
        <v>6.7100000000000007E-2</v>
      </c>
      <c r="G20">
        <v>0.25536832999999998</v>
      </c>
      <c r="H20">
        <v>0.25575328324853408</v>
      </c>
      <c r="I20">
        <v>1.99999999961807</v>
      </c>
      <c r="J20">
        <v>0.27353494915540683</v>
      </c>
      <c r="K20">
        <v>0.12787664164868701</v>
      </c>
      <c r="L20">
        <v>2.7276764302859999E-2</v>
      </c>
      <c r="M20">
        <v>4.4771999999999999E-2</v>
      </c>
      <c r="N20">
        <v>7.3609543203859817E-2</v>
      </c>
      <c r="P20" s="3"/>
    </row>
    <row r="21" spans="1:17" x14ac:dyDescent="0.35">
      <c r="A21" s="1">
        <v>45931</v>
      </c>
      <c r="B21" t="s">
        <v>18</v>
      </c>
      <c r="C21">
        <v>859</v>
      </c>
      <c r="D21">
        <v>148.18882262891501</v>
      </c>
      <c r="E21">
        <v>141.941</v>
      </c>
      <c r="F21">
        <v>6.5699999999999995E-2</v>
      </c>
      <c r="G21">
        <v>0.25882179</v>
      </c>
      <c r="H21">
        <v>0.2589317529120525</v>
      </c>
      <c r="I21">
        <v>1.99999999961807</v>
      </c>
      <c r="J21">
        <v>0.27596136649327319</v>
      </c>
      <c r="K21">
        <v>0.1294658764807497</v>
      </c>
      <c r="L21">
        <v>2.7276764302859999E-2</v>
      </c>
      <c r="M21">
        <v>4.4771999999999999E-2</v>
      </c>
      <c r="N21">
        <v>7.4446725709663486E-2</v>
      </c>
      <c r="O21">
        <v>8.371825058036686E-4</v>
      </c>
      <c r="P21" s="3">
        <v>5.3633438412600043E-2</v>
      </c>
      <c r="Q21">
        <v>-4.0223463687150803E-2</v>
      </c>
    </row>
    <row r="22" spans="1:17" x14ac:dyDescent="0.35">
      <c r="A22" s="1">
        <v>45962</v>
      </c>
      <c r="B22" t="s">
        <v>17</v>
      </c>
      <c r="C22">
        <v>788</v>
      </c>
      <c r="D22">
        <v>147.02219036667501</v>
      </c>
      <c r="E22">
        <v>141.28479999999999</v>
      </c>
      <c r="F22">
        <v>6.5100000000000005E-2</v>
      </c>
      <c r="G22">
        <v>0.25776694999999999</v>
      </c>
      <c r="H22">
        <v>0.2812613626166125</v>
      </c>
      <c r="I22">
        <v>1.99999999961807</v>
      </c>
      <c r="J22">
        <v>0.27470641984121591</v>
      </c>
      <c r="K22">
        <v>0.14063068133516179</v>
      </c>
      <c r="L22">
        <v>2.7276764302859999E-2</v>
      </c>
      <c r="M22">
        <v>4.7232000000000003E-2</v>
      </c>
      <c r="N22">
        <v>5.956697420319406E-2</v>
      </c>
      <c r="P22" s="3"/>
      <c r="Q22" s="8"/>
    </row>
    <row r="23" spans="1:17" x14ac:dyDescent="0.35">
      <c r="A23" s="1">
        <v>45962</v>
      </c>
      <c r="B23" t="s">
        <v>18</v>
      </c>
      <c r="C23">
        <v>726</v>
      </c>
      <c r="D23">
        <v>147.64945244343201</v>
      </c>
      <c r="E23">
        <v>142.25389999999999</v>
      </c>
      <c r="F23">
        <v>7.0199999999999999E-2</v>
      </c>
      <c r="G23">
        <v>0.25863458</v>
      </c>
      <c r="H23">
        <v>0.27718415911769201</v>
      </c>
      <c r="I23">
        <v>1.99999999961807</v>
      </c>
      <c r="J23">
        <v>0.27804188528070278</v>
      </c>
      <c r="K23">
        <v>0.13859207958531219</v>
      </c>
      <c r="L23">
        <v>2.7276764302859999E-2</v>
      </c>
      <c r="M23">
        <v>4.7232000000000003E-2</v>
      </c>
      <c r="N23">
        <v>6.4941041392530624E-2</v>
      </c>
      <c r="O23">
        <v>5.3740671893365644E-3</v>
      </c>
      <c r="P23" s="3">
        <v>-3.361619013876091E-3</v>
      </c>
      <c r="Q23" s="8">
        <v>-7.8680203045685237E-2</v>
      </c>
    </row>
    <row r="24" spans="1:17" x14ac:dyDescent="0.35">
      <c r="A24" s="1">
        <v>45992</v>
      </c>
      <c r="B24" t="s">
        <v>17</v>
      </c>
      <c r="C24">
        <v>823</v>
      </c>
      <c r="D24">
        <v>148.61578263222199</v>
      </c>
      <c r="E24">
        <v>141.97139999999999</v>
      </c>
      <c r="F24">
        <v>0.06</v>
      </c>
      <c r="G24">
        <v>0.25670029</v>
      </c>
      <c r="H24">
        <v>0.27114741289055699</v>
      </c>
      <c r="I24">
        <v>1.99999999961807</v>
      </c>
      <c r="J24">
        <v>0.27119077254272889</v>
      </c>
      <c r="K24">
        <v>0.13557370647116829</v>
      </c>
      <c r="L24">
        <v>2.7276764302859999E-2</v>
      </c>
      <c r="M24">
        <v>4.7232000000000003E-2</v>
      </c>
      <c r="N24">
        <v>6.11083017687006E-2</v>
      </c>
      <c r="P24" s="3"/>
      <c r="Q24" s="8"/>
    </row>
    <row r="25" spans="1:17" x14ac:dyDescent="0.35">
      <c r="A25" s="1">
        <v>45992</v>
      </c>
      <c r="B25" t="s">
        <v>18</v>
      </c>
      <c r="C25">
        <v>638</v>
      </c>
      <c r="D25">
        <v>148.41830394642099</v>
      </c>
      <c r="E25">
        <v>142.7491</v>
      </c>
      <c r="F25">
        <v>6.4500000000000002E-2</v>
      </c>
      <c r="G25">
        <v>0.25676550999999997</v>
      </c>
      <c r="H25">
        <v>0.2724310243482635</v>
      </c>
      <c r="I25">
        <v>1.99999999961807</v>
      </c>
      <c r="J25">
        <v>0.27349981620915859</v>
      </c>
      <c r="K25">
        <v>0.13621551220014411</v>
      </c>
      <c r="L25">
        <v>2.7276764302859999E-2</v>
      </c>
      <c r="M25">
        <v>4.7232000000000003E-2</v>
      </c>
      <c r="N25">
        <v>6.277553970615446E-2</v>
      </c>
      <c r="O25">
        <v>1.66723793745386E-3</v>
      </c>
      <c r="P25" s="3">
        <v>5.5358583908724612E-2</v>
      </c>
      <c r="Q25" s="8">
        <v>-0.2247873633049817</v>
      </c>
    </row>
    <row r="26" spans="1:17" x14ac:dyDescent="0.35">
      <c r="A26" s="1">
        <v>46023</v>
      </c>
      <c r="B26" t="s">
        <v>17</v>
      </c>
      <c r="C26">
        <v>934</v>
      </c>
      <c r="D26">
        <v>146.389362955998</v>
      </c>
      <c r="E26">
        <v>142.45959999999999</v>
      </c>
      <c r="F26">
        <v>6.0699999999999997E-2</v>
      </c>
      <c r="G26">
        <v>0.25692715999999999</v>
      </c>
      <c r="H26">
        <v>0.29110094078601312</v>
      </c>
      <c r="I26">
        <v>1.99999999961807</v>
      </c>
      <c r="J26">
        <v>0.27174615795379581</v>
      </c>
      <c r="K26">
        <v>0.1455504704208016</v>
      </c>
      <c r="L26">
        <v>2.7276764302859999E-2</v>
      </c>
      <c r="M26">
        <v>4.5182E-2</v>
      </c>
      <c r="N26">
        <v>5.3736923230134147E-2</v>
      </c>
      <c r="P26" s="3"/>
      <c r="Q26" s="8"/>
    </row>
    <row r="27" spans="1:17" x14ac:dyDescent="0.35">
      <c r="A27" s="1">
        <v>46023</v>
      </c>
      <c r="B27" t="s">
        <v>18</v>
      </c>
      <c r="C27">
        <v>776</v>
      </c>
      <c r="D27">
        <v>147.87015368739</v>
      </c>
      <c r="E27">
        <v>142.93209999999999</v>
      </c>
      <c r="F27">
        <v>6.1899999999999997E-2</v>
      </c>
      <c r="G27">
        <v>0.25555111000000003</v>
      </c>
      <c r="H27">
        <v>0.28147580103196512</v>
      </c>
      <c r="I27">
        <v>1.99999999961807</v>
      </c>
      <c r="J27">
        <v>0.27110041988891043</v>
      </c>
      <c r="K27">
        <v>0.14073790054285859</v>
      </c>
      <c r="L27">
        <v>2.7276764302859999E-2</v>
      </c>
      <c r="M27">
        <v>4.5182E-2</v>
      </c>
      <c r="N27">
        <v>5.7903755043191812E-2</v>
      </c>
      <c r="O27">
        <v>4.1668318130576587E-3</v>
      </c>
      <c r="P27" s="3">
        <v>3.3271977110306668E-2</v>
      </c>
      <c r="Q27" s="8">
        <v>-0.1691648822269807</v>
      </c>
    </row>
    <row r="28" spans="1:17" x14ac:dyDescent="0.35">
      <c r="A28" s="1">
        <v>46054</v>
      </c>
      <c r="B28" t="s">
        <v>17</v>
      </c>
      <c r="C28">
        <v>1550</v>
      </c>
      <c r="D28">
        <v>146.19710844722701</v>
      </c>
      <c r="E28">
        <v>142.31299999999999</v>
      </c>
      <c r="F28">
        <v>6.3399999999999998E-2</v>
      </c>
      <c r="G28">
        <v>0.25367851000000002</v>
      </c>
      <c r="H28">
        <v>0.29290519509302437</v>
      </c>
      <c r="I28">
        <v>1.99999999961807</v>
      </c>
      <c r="J28">
        <v>0.27015515510905358</v>
      </c>
      <c r="K28">
        <v>0.14645259757447951</v>
      </c>
      <c r="L28">
        <v>2.7276764302859999E-2</v>
      </c>
      <c r="M28">
        <v>4.5182E-2</v>
      </c>
      <c r="N28">
        <v>5.1243793231714067E-2</v>
      </c>
      <c r="P28" s="3"/>
      <c r="Q28" s="8"/>
    </row>
    <row r="29" spans="1:17" x14ac:dyDescent="0.35">
      <c r="A29" s="1">
        <v>46054</v>
      </c>
      <c r="B29" t="s">
        <v>18</v>
      </c>
      <c r="C29">
        <v>1311</v>
      </c>
      <c r="D29">
        <v>146.08982800635499</v>
      </c>
      <c r="E29">
        <v>143.05250000000001</v>
      </c>
      <c r="F29">
        <v>6.6299999999999998E-2</v>
      </c>
      <c r="G29">
        <v>0.25507340000000001</v>
      </c>
      <c r="H29">
        <v>0.29360251795869252</v>
      </c>
      <c r="I29">
        <v>1.99999999961807</v>
      </c>
      <c r="J29">
        <v>0.27286794902633049</v>
      </c>
      <c r="K29">
        <v>0.14680125900738011</v>
      </c>
      <c r="L29">
        <v>2.7276764302859999E-2</v>
      </c>
      <c r="M29">
        <v>4.5182E-2</v>
      </c>
      <c r="N29">
        <v>5.3607925716090347E-2</v>
      </c>
      <c r="O29">
        <v>2.3641324843762801E-3</v>
      </c>
      <c r="P29" s="3">
        <v>3.8275685754654211E-2</v>
      </c>
      <c r="Q29" s="8">
        <v>-0.15419354838709681</v>
      </c>
    </row>
    <row r="30" spans="1:17" x14ac:dyDescent="0.35">
      <c r="A30" s="1">
        <v>46082</v>
      </c>
      <c r="B30" t="s">
        <v>17</v>
      </c>
      <c r="C30">
        <v>1733</v>
      </c>
      <c r="D30">
        <v>145.58244036256099</v>
      </c>
      <c r="E30">
        <v>142.62530000000001</v>
      </c>
      <c r="F30">
        <v>6.0999999999999999E-2</v>
      </c>
      <c r="G30">
        <v>0.25510242</v>
      </c>
      <c r="H30">
        <v>0.30497243764335352</v>
      </c>
      <c r="I30">
        <v>1.99999999961807</v>
      </c>
      <c r="J30">
        <v>0.27024422083182442</v>
      </c>
      <c r="K30">
        <v>0.1524862188507963</v>
      </c>
      <c r="L30">
        <v>2.7276764302859999E-2</v>
      </c>
      <c r="M30">
        <v>4.5182E-2</v>
      </c>
      <c r="N30">
        <v>4.5299237678168118E-2</v>
      </c>
      <c r="P30" s="3"/>
      <c r="Q30" s="8"/>
    </row>
    <row r="31" spans="1:17" x14ac:dyDescent="0.35">
      <c r="A31" s="1">
        <v>46082</v>
      </c>
      <c r="B31" t="s">
        <v>18</v>
      </c>
      <c r="C31">
        <v>1531</v>
      </c>
      <c r="D31">
        <v>145.94522024802501</v>
      </c>
      <c r="E31">
        <v>142.94900000000001</v>
      </c>
      <c r="F31">
        <v>6.5100000000000005E-2</v>
      </c>
      <c r="G31">
        <v>0.25526716999999999</v>
      </c>
      <c r="H31">
        <v>0.3026143683878374</v>
      </c>
      <c r="I31">
        <v>1.99999999961807</v>
      </c>
      <c r="J31">
        <v>0.27244336900721589</v>
      </c>
      <c r="K31">
        <v>0.15130718422281311</v>
      </c>
      <c r="L31">
        <v>2.7276764302859999E-2</v>
      </c>
      <c r="M31">
        <v>4.5182E-2</v>
      </c>
      <c r="N31">
        <v>4.8677420481542798E-2</v>
      </c>
      <c r="O31">
        <v>3.3781828033746801E-3</v>
      </c>
      <c r="P31" s="3">
        <v>1.9695287816947168E-2</v>
      </c>
      <c r="Q31" s="8">
        <v>-0.11656087709174839</v>
      </c>
    </row>
    <row r="32" spans="1:17" x14ac:dyDescent="0.35">
      <c r="A32" s="1">
        <v>46113</v>
      </c>
      <c r="B32" t="s">
        <v>17</v>
      </c>
      <c r="C32">
        <v>1447</v>
      </c>
      <c r="D32">
        <v>148.080394242365</v>
      </c>
      <c r="E32">
        <v>142.82749999999999</v>
      </c>
      <c r="F32">
        <v>5.7099999999999998E-2</v>
      </c>
      <c r="G32">
        <v>0.25048833999999998</v>
      </c>
      <c r="H32">
        <v>0.29436073742462743</v>
      </c>
      <c r="I32">
        <v>1.99999999961807</v>
      </c>
      <c r="J32">
        <v>0.264117094207452</v>
      </c>
      <c r="K32">
        <v>0.14718036874042001</v>
      </c>
      <c r="L32">
        <v>2.7276764302859999E-2</v>
      </c>
      <c r="M32">
        <v>4.8051999999999997E-2</v>
      </c>
      <c r="N32">
        <v>4.1607961164171987E-2</v>
      </c>
      <c r="P32" s="3"/>
      <c r="Q32" s="8"/>
    </row>
    <row r="33" spans="1:17" x14ac:dyDescent="0.35">
      <c r="A33" s="1">
        <v>46113</v>
      </c>
      <c r="B33" t="s">
        <v>18</v>
      </c>
      <c r="C33">
        <v>1238</v>
      </c>
      <c r="D33">
        <v>146.29377833756499</v>
      </c>
      <c r="E33">
        <v>143.21209999999999</v>
      </c>
      <c r="F33">
        <v>6.1699999999999998E-2</v>
      </c>
      <c r="G33">
        <v>0.25657121999999999</v>
      </c>
      <c r="H33">
        <v>0.30597374080582751</v>
      </c>
      <c r="I33">
        <v>1.99999999961807</v>
      </c>
      <c r="J33">
        <v>0.2719239254718912</v>
      </c>
      <c r="K33">
        <v>0.15298687043212891</v>
      </c>
      <c r="L33">
        <v>2.7276764302859999E-2</v>
      </c>
      <c r="M33">
        <v>4.8051999999999997E-2</v>
      </c>
      <c r="N33">
        <v>4.3608290736902318E-2</v>
      </c>
      <c r="O33">
        <v>2.000329572730331E-3</v>
      </c>
      <c r="P33" s="3">
        <v>2.9759119006085171E-2</v>
      </c>
      <c r="Q33" s="8">
        <v>-0.14443676572218381</v>
      </c>
    </row>
    <row r="34" spans="1:17" x14ac:dyDescent="0.35">
      <c r="A34" s="1">
        <v>46143</v>
      </c>
      <c r="B34" t="s">
        <v>17</v>
      </c>
      <c r="C34">
        <v>1089</v>
      </c>
      <c r="D34">
        <v>147.76603461234501</v>
      </c>
      <c r="E34">
        <v>142.57050000000001</v>
      </c>
      <c r="F34">
        <v>5.8500000000000003E-2</v>
      </c>
      <c r="G34">
        <v>0.25173413</v>
      </c>
      <c r="H34">
        <v>0.30365717501975742</v>
      </c>
      <c r="I34">
        <v>1.99999999961807</v>
      </c>
      <c r="J34">
        <v>0.26594490789458569</v>
      </c>
      <c r="K34">
        <v>0.15182858753887271</v>
      </c>
      <c r="L34">
        <v>2.7276764302859999E-2</v>
      </c>
      <c r="M34">
        <v>4.7232000000000003E-2</v>
      </c>
      <c r="N34">
        <v>3.9607556052853037E-2</v>
      </c>
      <c r="P34" s="3"/>
      <c r="Q34" s="8"/>
    </row>
    <row r="35" spans="1:17" x14ac:dyDescent="0.35">
      <c r="A35" s="1">
        <v>46143</v>
      </c>
      <c r="B35" t="s">
        <v>18</v>
      </c>
      <c r="C35">
        <v>969</v>
      </c>
      <c r="D35">
        <v>147.61772635320401</v>
      </c>
      <c r="E35">
        <v>143.0592</v>
      </c>
      <c r="F35">
        <v>6.1800000000000001E-2</v>
      </c>
      <c r="G35">
        <v>0.25440631000000002</v>
      </c>
      <c r="H35">
        <v>0.30462117870417399</v>
      </c>
      <c r="I35">
        <v>1.99999999961807</v>
      </c>
      <c r="J35">
        <v>0.27001403244890082</v>
      </c>
      <c r="K35">
        <v>0.15231058938117301</v>
      </c>
      <c r="L35">
        <v>2.7276764302859999E-2</v>
      </c>
      <c r="M35">
        <v>4.7232000000000003E-2</v>
      </c>
      <c r="N35">
        <v>4.3194678764867843E-2</v>
      </c>
      <c r="O35">
        <v>3.5871227120148059E-3</v>
      </c>
      <c r="P35" s="3">
        <v>1.0641540153333471E-2</v>
      </c>
      <c r="Q35" s="8">
        <v>-0.1101928374655647</v>
      </c>
    </row>
    <row r="37" spans="1:17" x14ac:dyDescent="0.35">
      <c r="N37">
        <f>AVERAGE(N32:N33)</f>
        <v>4.2608125950537153E-2</v>
      </c>
    </row>
    <row r="38" spans="1:17" x14ac:dyDescent="0.35">
      <c r="P38" s="4">
        <f>AVERAGE(P31:P35)</f>
        <v>2.0031982325455271E-2</v>
      </c>
    </row>
    <row r="39" spans="1:17" x14ac:dyDescent="0.35">
      <c r="N39">
        <f>AVERAGE(N34:N35)</f>
        <v>4.140111740886044E-2</v>
      </c>
      <c r="P39" s="4">
        <f>AVERAGE(P25:P29)</f>
        <v>4.2302082257895161E-2</v>
      </c>
    </row>
    <row r="41" spans="1:17" x14ac:dyDescent="0.35">
      <c r="O41" s="5">
        <f>AVERAGE(O13:O31)</f>
        <v>2.9008389205305201E-3</v>
      </c>
      <c r="P41" s="5">
        <f>AVERAGE(P13:P31)</f>
        <v>3.0350597266773294E-2</v>
      </c>
      <c r="Q41" s="5">
        <f>AVERAGE(Q13:Q31)</f>
        <v>-0.11708559744251268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zoomScale="220" zoomScaleNormal="220" workbookViewId="0">
      <selection activeCell="J13" sqref="J13"/>
    </sheetView>
  </sheetViews>
  <sheetFormatPr defaultRowHeight="14.5" x14ac:dyDescent="0.35"/>
  <cols>
    <col min="2" max="2" width="12.6328125" bestFit="1" customWidth="1"/>
  </cols>
  <sheetData>
    <row r="1" spans="1:15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3</v>
      </c>
      <c r="G1" t="s">
        <v>25</v>
      </c>
      <c r="H1" t="s">
        <v>8</v>
      </c>
      <c r="I1" t="s">
        <v>26</v>
      </c>
      <c r="J1" t="s">
        <v>27</v>
      </c>
      <c r="K1" t="s">
        <v>28</v>
      </c>
      <c r="L1" t="s">
        <v>29</v>
      </c>
      <c r="M1" t="s">
        <v>11</v>
      </c>
      <c r="N1" t="s">
        <v>12</v>
      </c>
      <c r="O1" t="s">
        <v>9</v>
      </c>
    </row>
    <row r="2" spans="1:15" x14ac:dyDescent="0.35">
      <c r="A2" t="s">
        <v>34</v>
      </c>
      <c r="B2" s="2">
        <v>45658</v>
      </c>
      <c r="C2">
        <v>140</v>
      </c>
      <c r="D2">
        <v>7.7121051999999995E-2</v>
      </c>
      <c r="E2">
        <v>0.25695294400000002</v>
      </c>
      <c r="G2">
        <v>0.2758333</v>
      </c>
      <c r="H2">
        <v>1.99999999961807</v>
      </c>
      <c r="I2">
        <v>0.90925084430000003</v>
      </c>
      <c r="J2">
        <v>3.0000000000000001E-3</v>
      </c>
      <c r="K2">
        <v>4.1000000000000003E-3</v>
      </c>
      <c r="L2">
        <v>1.6999999999999999E-3</v>
      </c>
      <c r="M2">
        <v>3.05767643030701E-2</v>
      </c>
      <c r="N2">
        <v>5.0512000000000001E-2</v>
      </c>
      <c r="O2">
        <v>0.28099520728473432</v>
      </c>
    </row>
    <row r="3" spans="1:15" x14ac:dyDescent="0.35">
      <c r="A3" t="s">
        <v>34</v>
      </c>
      <c r="B3" s="2">
        <v>45698</v>
      </c>
      <c r="C3">
        <v>140</v>
      </c>
      <c r="D3">
        <v>7.7121051999999995E-2</v>
      </c>
      <c r="E3">
        <v>0.25695294400000002</v>
      </c>
      <c r="F3">
        <v>144.80000000000001</v>
      </c>
      <c r="G3">
        <v>0.27675</v>
      </c>
      <c r="H3">
        <v>1.99999999961807</v>
      </c>
      <c r="I3">
        <v>0.90894925000000004</v>
      </c>
      <c r="J3">
        <v>3.0000000000000001E-3</v>
      </c>
      <c r="K3">
        <v>4.1000000000000003E-3</v>
      </c>
      <c r="L3">
        <v>1.6999999999999999E-3</v>
      </c>
      <c r="M3">
        <v>3.05767643030701E-2</v>
      </c>
      <c r="N3">
        <v>4.9281999999999999E-2</v>
      </c>
      <c r="O3">
        <v>0.28091771174145569</v>
      </c>
    </row>
    <row r="4" spans="1:15" x14ac:dyDescent="0.35">
      <c r="A4" t="s">
        <v>34</v>
      </c>
      <c r="B4" s="2">
        <v>45743</v>
      </c>
      <c r="C4">
        <v>140.13999999999999</v>
      </c>
      <c r="D4">
        <v>7.8721052E-2</v>
      </c>
      <c r="E4">
        <v>0.25695294400000002</v>
      </c>
      <c r="F4">
        <v>144.94</v>
      </c>
      <c r="G4">
        <v>0.27895449999999999</v>
      </c>
      <c r="H4">
        <v>1.99999999961807</v>
      </c>
      <c r="I4">
        <v>0.90822396949999995</v>
      </c>
      <c r="J4">
        <v>3.0000000000000001E-3</v>
      </c>
      <c r="K4">
        <v>4.1000000000000003E-3</v>
      </c>
      <c r="L4">
        <v>1.6999999999999999E-3</v>
      </c>
      <c r="M4">
        <v>3.05767643030701E-2</v>
      </c>
      <c r="N4">
        <v>4.9281999999999999E-2</v>
      </c>
      <c r="O4">
        <v>0.28153134878190772</v>
      </c>
    </row>
    <row r="5" spans="1:15" x14ac:dyDescent="0.35">
      <c r="A5" t="s">
        <v>34</v>
      </c>
      <c r="B5" s="2">
        <v>45769</v>
      </c>
      <c r="C5">
        <v>140.94999999999999</v>
      </c>
      <c r="D5">
        <v>8.3021051999999998E-2</v>
      </c>
      <c r="E5">
        <v>0.25695294400000002</v>
      </c>
      <c r="F5">
        <v>145.75</v>
      </c>
      <c r="G5">
        <v>0.27555560000000001</v>
      </c>
      <c r="H5">
        <v>1.99999999961807</v>
      </c>
      <c r="I5">
        <v>0.90934220759999995</v>
      </c>
      <c r="J5">
        <v>3.0000000000000001E-3</v>
      </c>
      <c r="K5">
        <v>4.1000000000000003E-3</v>
      </c>
      <c r="L5">
        <v>1.6999999999999999E-3</v>
      </c>
      <c r="M5">
        <v>3.05767643030701E-2</v>
      </c>
      <c r="N5">
        <v>5.4612000000000001E-2</v>
      </c>
      <c r="O5">
        <v>0.28396868335420622</v>
      </c>
    </row>
    <row r="6" spans="1:15" x14ac:dyDescent="0.35">
      <c r="A6" t="s">
        <v>34</v>
      </c>
      <c r="B6" s="2">
        <v>45789</v>
      </c>
      <c r="C6">
        <v>140.94999999999999</v>
      </c>
      <c r="D6">
        <v>8.3021051999999998E-2</v>
      </c>
      <c r="E6">
        <v>0.25695294400000002</v>
      </c>
      <c r="F6">
        <v>145.19999999999999</v>
      </c>
      <c r="G6">
        <v>0.27627269999999998</v>
      </c>
      <c r="H6">
        <v>1.99999999961807</v>
      </c>
      <c r="I6">
        <v>0.90910628169999996</v>
      </c>
      <c r="J6">
        <v>3.0000000000000001E-3</v>
      </c>
      <c r="K6">
        <v>4.1000000000000003E-3</v>
      </c>
      <c r="L6">
        <v>1.6999999999999999E-3</v>
      </c>
      <c r="M6">
        <v>3.05767643030701E-2</v>
      </c>
      <c r="N6">
        <v>5.1332000000000003E-2</v>
      </c>
      <c r="O6">
        <v>0.28390806149963538</v>
      </c>
    </row>
    <row r="7" spans="1:15" x14ac:dyDescent="0.35">
      <c r="A7" t="s">
        <v>34</v>
      </c>
      <c r="B7" s="2">
        <v>45809</v>
      </c>
      <c r="C7">
        <v>140.94999999999999</v>
      </c>
      <c r="D7">
        <v>8.3021051999999998E-2</v>
      </c>
      <c r="E7">
        <v>0.25695294400000002</v>
      </c>
      <c r="F7">
        <v>146</v>
      </c>
      <c r="G7">
        <v>0.27527269999999998</v>
      </c>
      <c r="H7">
        <v>1.99999999961807</v>
      </c>
      <c r="I7">
        <v>0.90529999999999999</v>
      </c>
      <c r="J7">
        <v>3.0000000000000001E-3</v>
      </c>
      <c r="K7">
        <v>4.1000000000000003E-3</v>
      </c>
      <c r="L7">
        <v>1.6999999999999999E-3</v>
      </c>
      <c r="M7">
        <v>3.05767643030701E-2</v>
      </c>
      <c r="N7">
        <v>5.1332000000000003E-2</v>
      </c>
      <c r="O7">
        <v>0.28293002621112712</v>
      </c>
    </row>
    <row r="8" spans="1:15" x14ac:dyDescent="0.35">
      <c r="A8" t="s">
        <v>34</v>
      </c>
      <c r="B8" s="2">
        <v>45839</v>
      </c>
      <c r="C8">
        <v>140.94999999999999</v>
      </c>
      <c r="D8">
        <v>8.3021051999999998E-2</v>
      </c>
      <c r="E8">
        <v>0.25695294400000002</v>
      </c>
      <c r="F8">
        <v>146</v>
      </c>
      <c r="G8">
        <v>0.2755455</v>
      </c>
      <c r="H8">
        <v>1.99999999961807</v>
      </c>
      <c r="I8">
        <v>0.90529999999999999</v>
      </c>
      <c r="J8">
        <v>3.0000000000000001E-3</v>
      </c>
      <c r="K8">
        <v>4.1000000000000003E-3</v>
      </c>
      <c r="L8">
        <v>1.6999999999999999E-3</v>
      </c>
      <c r="M8">
        <v>3.05767643030701E-2</v>
      </c>
      <c r="N8">
        <v>5.1332000000000003E-2</v>
      </c>
      <c r="O8">
        <v>0.28293002621112712</v>
      </c>
    </row>
    <row r="9" spans="1:15" x14ac:dyDescent="0.35">
      <c r="A9" t="s">
        <v>34</v>
      </c>
      <c r="B9" s="2">
        <v>45882</v>
      </c>
      <c r="C9">
        <v>141.30000000000001</v>
      </c>
      <c r="D9">
        <v>8.5421051999999997E-2</v>
      </c>
      <c r="E9">
        <v>0.25695294400000002</v>
      </c>
      <c r="F9">
        <v>146.35</v>
      </c>
      <c r="G9">
        <v>0.28050000000000003</v>
      </c>
      <c r="H9">
        <v>1.99999999961807</v>
      </c>
      <c r="I9">
        <v>0.90529999999999999</v>
      </c>
      <c r="J9">
        <v>3.0000000000000001E-3</v>
      </c>
      <c r="K9">
        <v>4.1000000000000003E-3</v>
      </c>
      <c r="L9">
        <v>1.6999999999999999E-3</v>
      </c>
      <c r="M9">
        <v>2.7276764302859999E-2</v>
      </c>
      <c r="N9">
        <v>4.6412000000000002E-2</v>
      </c>
      <c r="O9">
        <v>0.28413002621135619</v>
      </c>
    </row>
    <row r="10" spans="1:15" x14ac:dyDescent="0.35">
      <c r="A10" t="s">
        <v>34</v>
      </c>
      <c r="B10" s="2">
        <v>45908</v>
      </c>
      <c r="C10">
        <v>141.44999999999999</v>
      </c>
      <c r="D10">
        <v>8.7221051999999993E-2</v>
      </c>
      <c r="E10">
        <v>0.25695294400000002</v>
      </c>
      <c r="F10">
        <v>146.5</v>
      </c>
      <c r="G10">
        <v>0.26990910000000001</v>
      </c>
      <c r="H10">
        <v>1.99999999961807</v>
      </c>
      <c r="I10">
        <v>0.90529999999999999</v>
      </c>
      <c r="J10">
        <v>3.0000000000000001E-3</v>
      </c>
      <c r="K10">
        <v>4.1000000000000003E-3</v>
      </c>
      <c r="L10">
        <v>1.6999999999999999E-3</v>
      </c>
      <c r="M10">
        <v>2.7276764302859999E-2</v>
      </c>
      <c r="N10">
        <v>4.4771999999999999E-2</v>
      </c>
      <c r="O10">
        <v>0.28503002621152812</v>
      </c>
    </row>
    <row r="11" spans="1:15" x14ac:dyDescent="0.35">
      <c r="A11" t="s">
        <v>34</v>
      </c>
      <c r="B11" s="2">
        <v>45936</v>
      </c>
      <c r="C11">
        <v>141.55000000000001</v>
      </c>
      <c r="D11">
        <v>7.4999999999999997E-2</v>
      </c>
      <c r="E11">
        <v>0.25695294400000002</v>
      </c>
      <c r="F11">
        <v>149.9</v>
      </c>
      <c r="G11">
        <v>0.2625556</v>
      </c>
      <c r="H11">
        <v>1.99999999961807</v>
      </c>
      <c r="I11">
        <v>0.90529999999999999</v>
      </c>
      <c r="J11">
        <v>3.0000000000000001E-3</v>
      </c>
      <c r="K11">
        <v>4.1000000000000003E-3</v>
      </c>
      <c r="L11">
        <v>1.6999999999999999E-3</v>
      </c>
      <c r="M11">
        <v>2.7276764302859999E-2</v>
      </c>
      <c r="N11">
        <v>4.7232000000000003E-2</v>
      </c>
      <c r="O11">
        <v>0.27891950021036122</v>
      </c>
    </row>
    <row r="12" spans="1:15" x14ac:dyDescent="0.35">
      <c r="A12" t="s">
        <v>34</v>
      </c>
      <c r="B12" s="2">
        <v>45972</v>
      </c>
      <c r="C12">
        <v>141.35</v>
      </c>
      <c r="D12">
        <v>7.4200000000000002E-2</v>
      </c>
      <c r="E12">
        <v>0.25695294400000002</v>
      </c>
      <c r="F12">
        <v>149.69999999999999</v>
      </c>
      <c r="G12">
        <v>0.2641</v>
      </c>
      <c r="H12">
        <v>1.99999999961807</v>
      </c>
      <c r="I12">
        <v>0.90529999999999999</v>
      </c>
      <c r="J12">
        <v>3.0000000000000001E-3</v>
      </c>
      <c r="K12">
        <v>4.1000000000000003E-3</v>
      </c>
      <c r="L12">
        <v>1.6999999999999999E-3</v>
      </c>
      <c r="M12">
        <v>2.7276764302859999E-2</v>
      </c>
      <c r="N12">
        <v>4.7232000000000003E-2</v>
      </c>
      <c r="O12">
        <v>0.27851950021028482</v>
      </c>
    </row>
    <row r="13" spans="1:15" x14ac:dyDescent="0.35">
      <c r="A13" t="s">
        <v>34</v>
      </c>
      <c r="B13" s="2">
        <v>46009</v>
      </c>
      <c r="C13">
        <v>142.55000000000001</v>
      </c>
      <c r="D13">
        <v>7.0199999999999999E-2</v>
      </c>
      <c r="E13">
        <v>0.25645294400000002</v>
      </c>
      <c r="F13">
        <v>151.30000000000001</v>
      </c>
      <c r="G13">
        <v>0.25918180000000002</v>
      </c>
      <c r="H13">
        <v>1.99999999961807</v>
      </c>
      <c r="I13">
        <v>0.90529999999999999</v>
      </c>
      <c r="J13">
        <v>3.0000000000000001E-3</v>
      </c>
      <c r="K13">
        <v>4.1000000000000003E-3</v>
      </c>
      <c r="L13">
        <v>1.6999999999999999E-3</v>
      </c>
      <c r="M13">
        <v>2.7276764302859999E-2</v>
      </c>
      <c r="N13">
        <v>4.5182E-2</v>
      </c>
      <c r="O13">
        <v>0.27606685020990279</v>
      </c>
    </row>
    <row r="14" spans="1:15" x14ac:dyDescent="0.35">
      <c r="A14" t="s">
        <v>34</v>
      </c>
      <c r="B14" s="2">
        <v>46045</v>
      </c>
      <c r="C14">
        <v>142</v>
      </c>
      <c r="D14">
        <v>6.4199999999999993E-2</v>
      </c>
      <c r="E14">
        <v>0.25645294400000002</v>
      </c>
      <c r="F14">
        <v>150.69999999999999</v>
      </c>
      <c r="G14">
        <v>0.26363639999999999</v>
      </c>
      <c r="H14">
        <v>1.99999999961807</v>
      </c>
      <c r="I14">
        <v>0.90529999999999999</v>
      </c>
      <c r="J14">
        <v>3.0000000000000001E-3</v>
      </c>
      <c r="K14">
        <v>4.1000000000000003E-3</v>
      </c>
      <c r="L14">
        <v>1.6999999999999999E-3</v>
      </c>
      <c r="M14">
        <v>2.7276764302859999E-2</v>
      </c>
      <c r="N14">
        <v>4.5182E-2</v>
      </c>
      <c r="O14">
        <v>0.27306685020933003</v>
      </c>
    </row>
    <row r="15" spans="1:15" x14ac:dyDescent="0.35">
      <c r="A15" t="s">
        <v>34</v>
      </c>
      <c r="B15" s="2">
        <v>46062</v>
      </c>
      <c r="C15">
        <v>142</v>
      </c>
      <c r="D15">
        <v>6.4199999999999993E-2</v>
      </c>
      <c r="E15">
        <v>0.25645294400000002</v>
      </c>
      <c r="F15">
        <v>150.69999999999999</v>
      </c>
      <c r="G15">
        <v>0.27170830000000001</v>
      </c>
      <c r="H15">
        <v>1.99999999961807</v>
      </c>
      <c r="I15">
        <v>0.90529999999999999</v>
      </c>
      <c r="J15">
        <v>3.0000000000000001E-3</v>
      </c>
      <c r="K15">
        <v>4.1000000000000003E-3</v>
      </c>
      <c r="L15">
        <v>1.6999999999999999E-3</v>
      </c>
      <c r="M15">
        <v>2.7276764302859999E-2</v>
      </c>
      <c r="N15">
        <v>4.5182E-2</v>
      </c>
      <c r="O15">
        <v>0.27306685020933003</v>
      </c>
    </row>
    <row r="16" spans="1:15" x14ac:dyDescent="0.35">
      <c r="A16" t="s">
        <v>34</v>
      </c>
      <c r="B16" s="2">
        <v>46100</v>
      </c>
      <c r="C16">
        <v>142</v>
      </c>
      <c r="D16">
        <v>6.4199999999999993E-2</v>
      </c>
      <c r="E16">
        <v>0.25645294400000002</v>
      </c>
      <c r="F16">
        <v>150.69999999999999</v>
      </c>
      <c r="G16">
        <v>0.2773333</v>
      </c>
      <c r="H16">
        <v>1.99999999961807</v>
      </c>
      <c r="I16">
        <v>0.90529999999999999</v>
      </c>
      <c r="J16">
        <v>3.0000000000000001E-3</v>
      </c>
      <c r="K16">
        <v>4.1000000000000003E-3</v>
      </c>
      <c r="L16">
        <v>1.6999999999999999E-3</v>
      </c>
      <c r="M16">
        <v>2.7276764302859999E-2</v>
      </c>
      <c r="N16">
        <v>4.8051999999999997E-2</v>
      </c>
      <c r="O16">
        <v>0.27306685020933003</v>
      </c>
    </row>
    <row r="17" spans="1:15" x14ac:dyDescent="0.35">
      <c r="A17" t="s">
        <v>34</v>
      </c>
      <c r="B17" s="2">
        <v>46133</v>
      </c>
      <c r="C17">
        <v>142.30000000000001</v>
      </c>
      <c r="D17">
        <v>6.7699999999999996E-2</v>
      </c>
      <c r="E17">
        <v>0.25645294400000002</v>
      </c>
      <c r="F17">
        <v>151</v>
      </c>
      <c r="G17">
        <v>0.28263640000000001</v>
      </c>
      <c r="H17">
        <v>1.99999999961807</v>
      </c>
      <c r="I17">
        <v>0.90529999999999999</v>
      </c>
      <c r="J17">
        <v>3.0000000000000001E-3</v>
      </c>
      <c r="K17">
        <v>4.1000000000000003E-3</v>
      </c>
      <c r="L17">
        <v>1.6999999999999999E-3</v>
      </c>
      <c r="M17">
        <v>2.7276764302859999E-2</v>
      </c>
      <c r="N17">
        <v>4.7232000000000003E-2</v>
      </c>
      <c r="O17">
        <v>0.27481685020966418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8"/>
  <sheetViews>
    <sheetView topLeftCell="A17" zoomScale="160" zoomScaleNormal="160" workbookViewId="0">
      <selection activeCell="P37" sqref="P37"/>
    </sheetView>
  </sheetViews>
  <sheetFormatPr defaultRowHeight="14.5" x14ac:dyDescent="0.35"/>
  <cols>
    <col min="1" max="1" width="18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45658</v>
      </c>
      <c r="B2" t="s">
        <v>17</v>
      </c>
      <c r="C2">
        <v>1002</v>
      </c>
      <c r="D2">
        <v>140.22558375402701</v>
      </c>
      <c r="E2">
        <v>133.4725</v>
      </c>
      <c r="F2">
        <v>6.2199999999999998E-2</v>
      </c>
      <c r="G2">
        <v>0.23707155999999999</v>
      </c>
    </row>
    <row r="3" spans="1:17" x14ac:dyDescent="0.35">
      <c r="A3" s="1">
        <v>45658</v>
      </c>
      <c r="B3" t="s">
        <v>18</v>
      </c>
      <c r="C3">
        <v>740</v>
      </c>
      <c r="D3">
        <v>142.043338824762</v>
      </c>
      <c r="E3">
        <v>134.8014</v>
      </c>
      <c r="F3">
        <v>6.1699999999999998E-2</v>
      </c>
      <c r="G3">
        <v>0.23915020000000001</v>
      </c>
      <c r="Q3">
        <v>-0.26147704590818371</v>
      </c>
    </row>
    <row r="4" spans="1:17" x14ac:dyDescent="0.35">
      <c r="A4" s="1">
        <v>45689</v>
      </c>
      <c r="B4" t="s">
        <v>17</v>
      </c>
      <c r="C4">
        <v>1535</v>
      </c>
      <c r="D4">
        <v>140.70895203895299</v>
      </c>
      <c r="E4">
        <v>133.74549999999999</v>
      </c>
      <c r="F4">
        <v>6.13E-2</v>
      </c>
      <c r="G4">
        <v>0.23763061999999999</v>
      </c>
      <c r="I4">
        <v>2.38000000019828</v>
      </c>
      <c r="J4">
        <v>0.25134205364394507</v>
      </c>
      <c r="L4">
        <v>3.0576764284374901E-2</v>
      </c>
      <c r="M4">
        <v>5.0512000000000001E-2</v>
      </c>
    </row>
    <row r="5" spans="1:17" x14ac:dyDescent="0.35">
      <c r="A5" s="1">
        <v>45689</v>
      </c>
      <c r="B5" t="s">
        <v>18</v>
      </c>
      <c r="C5">
        <v>1156</v>
      </c>
      <c r="D5">
        <v>142.81620407790001</v>
      </c>
      <c r="E5">
        <v>134.63800000000001</v>
      </c>
      <c r="F5">
        <v>6.3500000000000001E-2</v>
      </c>
      <c r="G5">
        <v>0.23819427000000001</v>
      </c>
      <c r="I5">
        <v>2.38000000019828</v>
      </c>
      <c r="J5">
        <v>0.25278063022513603</v>
      </c>
      <c r="L5">
        <v>3.0576764284374901E-2</v>
      </c>
      <c r="M5">
        <v>5.0512000000000001E-2</v>
      </c>
      <c r="Q5">
        <v>-0.24690553745928329</v>
      </c>
    </row>
    <row r="6" spans="1:17" x14ac:dyDescent="0.35">
      <c r="A6" s="1">
        <v>45717</v>
      </c>
      <c r="B6" t="s">
        <v>17</v>
      </c>
      <c r="C6">
        <v>1625</v>
      </c>
      <c r="D6">
        <v>141.12004849884801</v>
      </c>
      <c r="E6">
        <v>135.4076</v>
      </c>
      <c r="F6">
        <v>6.08E-2</v>
      </c>
      <c r="G6">
        <v>0.23753851000000001</v>
      </c>
      <c r="H6">
        <v>0.23451968475748791</v>
      </c>
      <c r="I6">
        <v>2.38000000019828</v>
      </c>
      <c r="J6">
        <v>0.25105770823623169</v>
      </c>
      <c r="K6">
        <v>9.8537682663004139E-2</v>
      </c>
      <c r="L6">
        <v>3.0576764284374901E-2</v>
      </c>
      <c r="M6">
        <v>4.9281999999999999E-2</v>
      </c>
      <c r="N6">
        <v>7.2661261288852641E-2</v>
      </c>
    </row>
    <row r="7" spans="1:17" x14ac:dyDescent="0.35">
      <c r="A7" s="1">
        <v>45717</v>
      </c>
      <c r="B7" t="s">
        <v>18</v>
      </c>
      <c r="C7">
        <v>1256</v>
      </c>
      <c r="D7">
        <v>142.59935982020301</v>
      </c>
      <c r="E7">
        <v>135.98169999999999</v>
      </c>
      <c r="F7">
        <v>6.2799999999999995E-2</v>
      </c>
      <c r="G7">
        <v>0.23887412</v>
      </c>
      <c r="H7">
        <v>0.22490416116868039</v>
      </c>
      <c r="I7">
        <v>2.38000000019828</v>
      </c>
      <c r="J7">
        <v>0.25311655008923051</v>
      </c>
      <c r="K7">
        <v>9.4497546701656901E-2</v>
      </c>
      <c r="L7">
        <v>3.0576764284374901E-2</v>
      </c>
      <c r="M7">
        <v>4.9281999999999999E-2</v>
      </c>
      <c r="N7">
        <v>7.8760239103198681E-2</v>
      </c>
      <c r="O7">
        <v>6.0989778143460396E-3</v>
      </c>
      <c r="P7">
        <v>5.1901596966850941E-2</v>
      </c>
      <c r="Q7">
        <v>-0.22707692307692309</v>
      </c>
    </row>
    <row r="8" spans="1:17" x14ac:dyDescent="0.35">
      <c r="A8" s="1">
        <v>45748</v>
      </c>
      <c r="B8" t="s">
        <v>17</v>
      </c>
      <c r="C8">
        <v>1101</v>
      </c>
      <c r="D8">
        <v>142.68537482256599</v>
      </c>
      <c r="E8">
        <v>135.7834</v>
      </c>
      <c r="F8">
        <v>5.7599999999999998E-2</v>
      </c>
      <c r="G8">
        <v>0.23705165</v>
      </c>
      <c r="H8">
        <v>0.22407236365332101</v>
      </c>
      <c r="I8">
        <v>2.38000000019828</v>
      </c>
      <c r="J8">
        <v>0.24929026544677779</v>
      </c>
      <c r="K8">
        <v>9.4148051947333333E-2</v>
      </c>
      <c r="L8">
        <v>3.0576764284374901E-2</v>
      </c>
      <c r="M8">
        <v>4.9281999999999999E-2</v>
      </c>
      <c r="N8">
        <v>7.5283449215069603E-2</v>
      </c>
    </row>
    <row r="9" spans="1:17" x14ac:dyDescent="0.35">
      <c r="A9" s="1">
        <v>45748</v>
      </c>
      <c r="B9" t="s">
        <v>18</v>
      </c>
      <c r="C9">
        <v>931</v>
      </c>
      <c r="D9">
        <v>145.09734461682001</v>
      </c>
      <c r="E9">
        <v>136.76519999999999</v>
      </c>
      <c r="F9">
        <v>5.8099999999999999E-2</v>
      </c>
      <c r="G9">
        <v>0.23684785999999999</v>
      </c>
      <c r="H9">
        <v>0.20839455999066989</v>
      </c>
      <c r="I9">
        <v>2.38000000019828</v>
      </c>
      <c r="J9">
        <v>0.24931440919819639</v>
      </c>
      <c r="K9">
        <v>8.756073948458333E-2</v>
      </c>
      <c r="L9">
        <v>3.0576764284374901E-2</v>
      </c>
      <c r="M9">
        <v>4.9281999999999999E-2</v>
      </c>
      <c r="N9">
        <v>8.1894905429238218E-2</v>
      </c>
      <c r="O9">
        <v>6.6114562141686151E-3</v>
      </c>
      <c r="P9">
        <v>3.9076003712769723E-2</v>
      </c>
      <c r="Q9">
        <v>-0.1544050862851952</v>
      </c>
    </row>
    <row r="10" spans="1:17" x14ac:dyDescent="0.35">
      <c r="A10" s="1">
        <v>45778</v>
      </c>
      <c r="B10" t="s">
        <v>17</v>
      </c>
      <c r="C10">
        <v>903</v>
      </c>
      <c r="D10">
        <v>144.43139305538901</v>
      </c>
      <c r="E10">
        <v>136.22550000000001</v>
      </c>
      <c r="F10">
        <v>5.5100000000000003E-2</v>
      </c>
      <c r="G10">
        <v>0.23738073000000001</v>
      </c>
      <c r="H10">
        <v>0.22091264513997139</v>
      </c>
      <c r="I10">
        <v>2.38000000019828</v>
      </c>
      <c r="J10">
        <v>0.24916962039844259</v>
      </c>
      <c r="K10">
        <v>9.2820439126708801E-2</v>
      </c>
      <c r="L10">
        <v>3.0576764284374901E-2</v>
      </c>
      <c r="M10">
        <v>5.4612000000000001E-2</v>
      </c>
      <c r="N10">
        <v>7.1160416987358921E-2</v>
      </c>
    </row>
    <row r="11" spans="1:17" x14ac:dyDescent="0.35">
      <c r="A11" s="1">
        <v>45778</v>
      </c>
      <c r="B11" t="s">
        <v>18</v>
      </c>
      <c r="C11">
        <v>739</v>
      </c>
      <c r="D11">
        <v>146.81530100044199</v>
      </c>
      <c r="E11">
        <v>137.08009999999999</v>
      </c>
      <c r="F11">
        <v>5.5800000000000002E-2</v>
      </c>
      <c r="G11">
        <v>0.23828209</v>
      </c>
      <c r="H11">
        <v>0.20541724349712701</v>
      </c>
      <c r="I11">
        <v>2.38000000019828</v>
      </c>
      <c r="J11">
        <v>0.25028853937149859</v>
      </c>
      <c r="K11">
        <v>8.6309766168072899E-2</v>
      </c>
      <c r="L11">
        <v>3.0576764284374901E-2</v>
      </c>
      <c r="M11">
        <v>5.4612000000000001E-2</v>
      </c>
      <c r="N11">
        <v>7.8790008919050858E-2</v>
      </c>
      <c r="O11">
        <v>7.6295919316919369E-3</v>
      </c>
      <c r="P11">
        <v>3.6780731392722678E-2</v>
      </c>
      <c r="Q11">
        <v>-0.18161683277962351</v>
      </c>
    </row>
    <row r="12" spans="1:17" x14ac:dyDescent="0.35">
      <c r="A12" s="1">
        <v>45809</v>
      </c>
      <c r="B12" t="s">
        <v>17</v>
      </c>
      <c r="C12">
        <v>867</v>
      </c>
      <c r="D12">
        <v>145.312252015322</v>
      </c>
      <c r="E12">
        <v>136.98249999999999</v>
      </c>
      <c r="F12">
        <v>5.3999999999999999E-2</v>
      </c>
      <c r="G12">
        <v>0.23724032</v>
      </c>
      <c r="H12">
        <v>0.2101794619004069</v>
      </c>
      <c r="I12">
        <v>2.38000000019828</v>
      </c>
      <c r="J12">
        <v>0.24871613581677579</v>
      </c>
      <c r="K12">
        <v>8.8310698270124652E-2</v>
      </c>
      <c r="L12">
        <v>3.0576764284374901E-2</v>
      </c>
      <c r="M12">
        <v>5.1332000000000003E-2</v>
      </c>
      <c r="N12">
        <v>7.8496673262276259E-2</v>
      </c>
      <c r="Q12" s="5"/>
    </row>
    <row r="13" spans="1:17" x14ac:dyDescent="0.35">
      <c r="A13" s="1">
        <v>45809</v>
      </c>
      <c r="B13" t="s">
        <v>18</v>
      </c>
      <c r="C13">
        <v>656</v>
      </c>
      <c r="D13">
        <v>146.33951687100301</v>
      </c>
      <c r="E13">
        <v>137.3733</v>
      </c>
      <c r="F13">
        <v>5.28E-2</v>
      </c>
      <c r="G13">
        <v>0.24001832000000001</v>
      </c>
      <c r="H13">
        <v>0.20350224033848041</v>
      </c>
      <c r="I13">
        <v>2.38000000019828</v>
      </c>
      <c r="J13">
        <v>0.25075558596229131</v>
      </c>
      <c r="K13">
        <v>8.5505142992237979E-2</v>
      </c>
      <c r="L13">
        <v>3.0576764284374901E-2</v>
      </c>
      <c r="M13">
        <v>5.1332000000000003E-2</v>
      </c>
      <c r="N13">
        <v>8.3341678685678419E-2</v>
      </c>
      <c r="O13">
        <v>4.84500542340216E-3</v>
      </c>
      <c r="P13">
        <v>6.3433528438807937E-2</v>
      </c>
      <c r="Q13" s="5">
        <v>-0.24336793540945789</v>
      </c>
    </row>
    <row r="14" spans="1:17" x14ac:dyDescent="0.35">
      <c r="A14" s="1">
        <v>45839</v>
      </c>
      <c r="B14" t="s">
        <v>17</v>
      </c>
      <c r="C14">
        <v>797</v>
      </c>
      <c r="D14">
        <v>145.106706181904</v>
      </c>
      <c r="E14">
        <v>136.9102</v>
      </c>
      <c r="F14">
        <v>5.3199999999999997E-2</v>
      </c>
      <c r="G14">
        <v>0.23609805</v>
      </c>
      <c r="H14">
        <v>0.21755190981762401</v>
      </c>
      <c r="I14">
        <v>2.38000000019828</v>
      </c>
      <c r="J14">
        <v>0.24975612566960831</v>
      </c>
      <c r="K14">
        <v>9.1408365461974617E-2</v>
      </c>
      <c r="L14">
        <v>3.0576764284374901E-2</v>
      </c>
      <c r="M14">
        <v>5.1332000000000003E-2</v>
      </c>
      <c r="N14">
        <v>7.6438995923258826E-2</v>
      </c>
      <c r="Q14" s="5"/>
    </row>
    <row r="15" spans="1:17" x14ac:dyDescent="0.35">
      <c r="A15" s="1">
        <v>45839</v>
      </c>
      <c r="B15" t="s">
        <v>18</v>
      </c>
      <c r="C15">
        <v>619</v>
      </c>
      <c r="D15">
        <v>146.21005850078799</v>
      </c>
      <c r="E15">
        <v>137.5291</v>
      </c>
      <c r="F15">
        <v>5.3999999999999999E-2</v>
      </c>
      <c r="G15">
        <v>0.23981427999999999</v>
      </c>
      <c r="H15">
        <v>0.21038011974487811</v>
      </c>
      <c r="I15">
        <v>2.38000000019828</v>
      </c>
      <c r="J15">
        <v>0.25353311748036178</v>
      </c>
      <c r="K15">
        <v>8.8395008288802993E-2</v>
      </c>
      <c r="L15">
        <v>3.0576764284374901E-2</v>
      </c>
      <c r="M15">
        <v>5.1332000000000003E-2</v>
      </c>
      <c r="N15">
        <v>8.3229344907183908E-2</v>
      </c>
      <c r="O15">
        <v>6.7903489839250819E-3</v>
      </c>
      <c r="P15">
        <v>5.2825366591519353E-2</v>
      </c>
      <c r="Q15" s="5">
        <v>-0.2233375156838143</v>
      </c>
    </row>
    <row r="16" spans="1:17" x14ac:dyDescent="0.35">
      <c r="A16" s="1">
        <v>45870</v>
      </c>
      <c r="B16" t="s">
        <v>17</v>
      </c>
      <c r="C16">
        <v>863</v>
      </c>
      <c r="D16">
        <v>143.22823950695999</v>
      </c>
      <c r="E16">
        <v>136.63570000000001</v>
      </c>
      <c r="F16">
        <v>5.3199999999999997E-2</v>
      </c>
      <c r="G16">
        <v>0.23541482</v>
      </c>
      <c r="H16">
        <v>0.2322619432047601</v>
      </c>
      <c r="I16">
        <v>2.38000000019828</v>
      </c>
      <c r="J16">
        <v>0.24912352301260829</v>
      </c>
      <c r="K16">
        <v>9.7589051758575684E-2</v>
      </c>
      <c r="L16">
        <v>3.0576764284374901E-2</v>
      </c>
      <c r="M16">
        <v>5.1332000000000003E-2</v>
      </c>
      <c r="N16">
        <v>6.9625706969657725E-2</v>
      </c>
      <c r="Q16" s="5"/>
    </row>
    <row r="17" spans="1:17" x14ac:dyDescent="0.35">
      <c r="A17" s="1">
        <v>45870</v>
      </c>
      <c r="B17" t="s">
        <v>18</v>
      </c>
      <c r="C17">
        <v>688</v>
      </c>
      <c r="D17">
        <v>145.486673529158</v>
      </c>
      <c r="E17">
        <v>137.31569999999999</v>
      </c>
      <c r="F17">
        <v>5.3400000000000003E-2</v>
      </c>
      <c r="G17">
        <v>0.23798807999999999</v>
      </c>
      <c r="H17">
        <v>0.21758212206047309</v>
      </c>
      <c r="I17">
        <v>2.38000000019828</v>
      </c>
      <c r="J17">
        <v>0.25159013806004671</v>
      </c>
      <c r="K17">
        <v>9.1421059681658035E-2</v>
      </c>
      <c r="L17">
        <v>3.0576764284374901E-2</v>
      </c>
      <c r="M17">
        <v>5.1332000000000003E-2</v>
      </c>
      <c r="N17">
        <v>7.8260314094013725E-2</v>
      </c>
      <c r="O17">
        <v>8.6346071243560002E-3</v>
      </c>
      <c r="P17">
        <v>3.5679365817903853E-2</v>
      </c>
      <c r="Q17" s="5">
        <v>-0.20278099652375439</v>
      </c>
    </row>
    <row r="18" spans="1:17" x14ac:dyDescent="0.35">
      <c r="A18" s="1">
        <v>45901</v>
      </c>
      <c r="B18" t="s">
        <v>17</v>
      </c>
      <c r="C18">
        <v>757</v>
      </c>
      <c r="D18">
        <v>144.718347680232</v>
      </c>
      <c r="E18">
        <v>136.31229999999999</v>
      </c>
      <c r="F18">
        <v>5.33E-2</v>
      </c>
      <c r="G18">
        <v>0.23578874999999999</v>
      </c>
      <c r="H18">
        <v>0.22813074007849199</v>
      </c>
      <c r="I18">
        <v>2.38000000019828</v>
      </c>
      <c r="J18">
        <v>0.24951176160632749</v>
      </c>
      <c r="K18">
        <v>9.5853252125834537E-2</v>
      </c>
      <c r="L18">
        <v>2.7276764284466501E-2</v>
      </c>
      <c r="M18">
        <v>4.6412000000000002E-2</v>
      </c>
      <c r="N18">
        <v>7.9969745196026454E-2</v>
      </c>
      <c r="Q18" s="5"/>
    </row>
    <row r="19" spans="1:17" x14ac:dyDescent="0.35">
      <c r="A19" s="1">
        <v>45901</v>
      </c>
      <c r="B19" t="s">
        <v>18</v>
      </c>
      <c r="C19">
        <v>614</v>
      </c>
      <c r="D19">
        <v>145.50535802022</v>
      </c>
      <c r="E19">
        <v>137.38460000000001</v>
      </c>
      <c r="F19">
        <v>5.5E-2</v>
      </c>
      <c r="G19">
        <v>0.23961816999999999</v>
      </c>
      <c r="H19">
        <v>0.22301517286857001</v>
      </c>
      <c r="I19">
        <v>2.38000000019828</v>
      </c>
      <c r="J19">
        <v>0.25377170729855369</v>
      </c>
      <c r="K19">
        <v>9.3703854138651427E-2</v>
      </c>
      <c r="L19">
        <v>2.7276764284466501E-2</v>
      </c>
      <c r="M19">
        <v>4.6412000000000002E-2</v>
      </c>
      <c r="N19">
        <v>8.6379088875435772E-2</v>
      </c>
      <c r="O19">
        <v>6.4093436794093184E-3</v>
      </c>
      <c r="P19">
        <v>5.2449905901220013E-2</v>
      </c>
      <c r="Q19" s="5">
        <v>-0.1889035667107001</v>
      </c>
    </row>
    <row r="20" spans="1:17" x14ac:dyDescent="0.35">
      <c r="A20" s="1">
        <v>45931</v>
      </c>
      <c r="B20" t="s">
        <v>17</v>
      </c>
      <c r="C20">
        <v>869</v>
      </c>
      <c r="D20">
        <v>146.15235090858999</v>
      </c>
      <c r="E20">
        <v>136.8287</v>
      </c>
      <c r="F20">
        <v>5.4100000000000002E-2</v>
      </c>
      <c r="G20">
        <v>0.23561289999999999</v>
      </c>
      <c r="H20">
        <v>0.21601881909416509</v>
      </c>
      <c r="I20">
        <v>2.38000000019828</v>
      </c>
      <c r="J20">
        <v>0.24968507654508099</v>
      </c>
      <c r="K20">
        <v>9.0764209695869069E-2</v>
      </c>
      <c r="L20">
        <v>2.7276764284466501E-2</v>
      </c>
      <c r="M20">
        <v>4.4771999999999999E-2</v>
      </c>
      <c r="N20">
        <v>8.6872102564745451E-2</v>
      </c>
      <c r="Q20" s="5"/>
    </row>
    <row r="21" spans="1:17" x14ac:dyDescent="0.35">
      <c r="A21" s="1">
        <v>45931</v>
      </c>
      <c r="B21" t="s">
        <v>18</v>
      </c>
      <c r="C21">
        <v>667</v>
      </c>
      <c r="D21">
        <v>146.536929216777</v>
      </c>
      <c r="E21">
        <v>136.9237</v>
      </c>
      <c r="F21">
        <v>5.3999999999999999E-2</v>
      </c>
      <c r="G21">
        <v>0.23886755000000001</v>
      </c>
      <c r="H21">
        <v>0.21351906009094959</v>
      </c>
      <c r="I21">
        <v>2.38000000019828</v>
      </c>
      <c r="J21">
        <v>0.25265654017336181</v>
      </c>
      <c r="K21">
        <v>8.9713890787042477E-2</v>
      </c>
      <c r="L21">
        <v>2.7276764284466501E-2</v>
      </c>
      <c r="M21">
        <v>4.4771999999999999E-2</v>
      </c>
      <c r="N21">
        <v>9.0893885101852839E-2</v>
      </c>
      <c r="O21">
        <v>4.0217825371073879E-3</v>
      </c>
      <c r="P21">
        <v>7.3592256266475017E-2</v>
      </c>
      <c r="Q21" s="5">
        <v>-0.23245109321058691</v>
      </c>
    </row>
    <row r="22" spans="1:17" x14ac:dyDescent="0.35">
      <c r="A22" s="1">
        <v>45962</v>
      </c>
      <c r="B22" t="s">
        <v>17</v>
      </c>
      <c r="C22">
        <v>618</v>
      </c>
      <c r="D22">
        <v>145.88896337409699</v>
      </c>
      <c r="E22">
        <v>136.78030000000001</v>
      </c>
      <c r="F22">
        <v>5.33E-2</v>
      </c>
      <c r="G22">
        <v>0.23704084</v>
      </c>
      <c r="H22">
        <v>0.22688283806836951</v>
      </c>
      <c r="I22">
        <v>2.38000000019828</v>
      </c>
      <c r="J22">
        <v>0.2506710717373275</v>
      </c>
      <c r="K22">
        <v>9.5328923550196495E-2</v>
      </c>
      <c r="L22">
        <v>2.7276764284466501E-2</v>
      </c>
      <c r="M22">
        <v>4.7232000000000003E-2</v>
      </c>
      <c r="N22">
        <v>8.083338390266448E-2</v>
      </c>
      <c r="Q22" s="5"/>
    </row>
    <row r="23" spans="1:17" x14ac:dyDescent="0.35">
      <c r="A23" s="1">
        <v>45962</v>
      </c>
      <c r="B23" t="s">
        <v>18</v>
      </c>
      <c r="C23">
        <v>478</v>
      </c>
      <c r="D23">
        <v>147.90047663996901</v>
      </c>
      <c r="E23">
        <v>137.86799999999999</v>
      </c>
      <c r="F23">
        <v>5.3999999999999999E-2</v>
      </c>
      <c r="G23">
        <v>0.23944693</v>
      </c>
      <c r="H23">
        <v>0.21380800184020129</v>
      </c>
      <c r="I23">
        <v>2.38000000019828</v>
      </c>
      <c r="J23">
        <v>0.25319298811536178</v>
      </c>
      <c r="K23">
        <v>8.9835294883356634E-2</v>
      </c>
      <c r="L23">
        <v>2.7276764284466501E-2</v>
      </c>
      <c r="M23">
        <v>4.7232000000000003E-2</v>
      </c>
      <c r="N23">
        <v>8.8848928947538708E-2</v>
      </c>
      <c r="O23">
        <v>8.0155450448742283E-3</v>
      </c>
      <c r="P23" s="5">
        <v>5.3466022963736752E-2</v>
      </c>
      <c r="Q23" s="5">
        <v>-0.22653721682847891</v>
      </c>
    </row>
    <row r="24" spans="1:17" x14ac:dyDescent="0.35">
      <c r="A24" s="1">
        <v>45992</v>
      </c>
      <c r="B24" t="s">
        <v>17</v>
      </c>
      <c r="C24">
        <v>585</v>
      </c>
      <c r="D24">
        <v>147.63399405774601</v>
      </c>
      <c r="E24">
        <v>138.37020000000001</v>
      </c>
      <c r="F24">
        <v>5.4399999999999997E-2</v>
      </c>
      <c r="G24">
        <v>0.23510385</v>
      </c>
      <c r="H24">
        <v>0.21637903862465091</v>
      </c>
      <c r="I24">
        <v>2.38000000019828</v>
      </c>
      <c r="J24">
        <v>0.24933979757023861</v>
      </c>
      <c r="K24">
        <v>9.0915562439758041E-2</v>
      </c>
      <c r="L24">
        <v>2.7276764284466501E-2</v>
      </c>
      <c r="M24">
        <v>4.7232000000000003E-2</v>
      </c>
      <c r="N24">
        <v>8.3915470846014029E-2</v>
      </c>
      <c r="P24" s="5"/>
      <c r="Q24" s="5"/>
    </row>
    <row r="25" spans="1:17" x14ac:dyDescent="0.35">
      <c r="A25" s="1">
        <v>45992</v>
      </c>
      <c r="B25" t="s">
        <v>18</v>
      </c>
      <c r="C25">
        <v>427</v>
      </c>
      <c r="D25">
        <v>148.86719421552601</v>
      </c>
      <c r="E25">
        <v>138.62700000000001</v>
      </c>
      <c r="F25">
        <v>5.57E-2</v>
      </c>
      <c r="G25">
        <v>0.23850950000000001</v>
      </c>
      <c r="H25">
        <v>0.2083632375990809</v>
      </c>
      <c r="I25">
        <v>2.38000000019828</v>
      </c>
      <c r="J25">
        <v>0.25303930739258812</v>
      </c>
      <c r="K25">
        <v>8.7547578815849555E-2</v>
      </c>
      <c r="L25">
        <v>2.7276764284466501E-2</v>
      </c>
      <c r="M25">
        <v>4.7232000000000003E-2</v>
      </c>
      <c r="N25">
        <v>9.0982964292271984E-2</v>
      </c>
      <c r="O25">
        <v>7.0674934462579553E-3</v>
      </c>
      <c r="P25" s="5">
        <v>6.4815346152646003E-2</v>
      </c>
      <c r="Q25" s="5">
        <v>-0.27008547008547013</v>
      </c>
    </row>
    <row r="26" spans="1:17" x14ac:dyDescent="0.35">
      <c r="A26" s="1">
        <v>46023</v>
      </c>
      <c r="B26" t="s">
        <v>17</v>
      </c>
      <c r="C26">
        <v>712</v>
      </c>
      <c r="D26">
        <v>147.193023189901</v>
      </c>
      <c r="E26">
        <v>139.32069999999999</v>
      </c>
      <c r="F26">
        <v>5.5300000000000002E-2</v>
      </c>
      <c r="G26">
        <v>0.23736288999999999</v>
      </c>
      <c r="H26">
        <v>0.22670444926564351</v>
      </c>
      <c r="I26">
        <v>2.38000000019828</v>
      </c>
      <c r="J26">
        <v>0.25180959396671132</v>
      </c>
      <c r="K26">
        <v>9.5253970271746424E-2</v>
      </c>
      <c r="L26">
        <v>2.7276764284466501E-2</v>
      </c>
      <c r="M26">
        <v>4.5182E-2</v>
      </c>
      <c r="N26">
        <v>8.4096859410498326E-2</v>
      </c>
      <c r="P26" s="5"/>
      <c r="Q26" s="5"/>
    </row>
    <row r="27" spans="1:17" x14ac:dyDescent="0.35">
      <c r="A27" s="1">
        <v>46023</v>
      </c>
      <c r="B27" t="s">
        <v>18</v>
      </c>
      <c r="C27">
        <v>470</v>
      </c>
      <c r="D27">
        <v>148.72256888832601</v>
      </c>
      <c r="E27">
        <v>139.82079999999999</v>
      </c>
      <c r="F27">
        <v>5.6300000000000003E-2</v>
      </c>
      <c r="G27">
        <v>0.23855483999999999</v>
      </c>
      <c r="H27">
        <v>0.21676240222588089</v>
      </c>
      <c r="I27">
        <v>2.38000000019828</v>
      </c>
      <c r="J27">
        <v>0.25333338853890308</v>
      </c>
      <c r="K27">
        <v>9.1076639583118582E-2</v>
      </c>
      <c r="L27">
        <v>2.7276764284466501E-2</v>
      </c>
      <c r="M27">
        <v>4.5182E-2</v>
      </c>
      <c r="N27">
        <v>8.9797984671318054E-2</v>
      </c>
      <c r="O27">
        <v>5.7011252608197283E-3</v>
      </c>
      <c r="P27" s="5">
        <v>7.3024426052707953E-2</v>
      </c>
      <c r="Q27" s="5">
        <v>-0.3398876404494382</v>
      </c>
    </row>
    <row r="28" spans="1:17" x14ac:dyDescent="0.35">
      <c r="A28" s="1">
        <v>46054</v>
      </c>
      <c r="B28" t="s">
        <v>17</v>
      </c>
      <c r="C28">
        <v>929</v>
      </c>
      <c r="D28">
        <v>147.95409242315301</v>
      </c>
      <c r="E28">
        <v>139.6309</v>
      </c>
      <c r="F28">
        <v>5.8400000000000001E-2</v>
      </c>
      <c r="G28">
        <v>0.23513339999999999</v>
      </c>
      <c r="H28">
        <v>0.22793929924950529</v>
      </c>
      <c r="I28">
        <v>2.38000000019828</v>
      </c>
      <c r="J28">
        <v>0.25104783018400612</v>
      </c>
      <c r="K28">
        <v>9.577281480273761E-2</v>
      </c>
      <c r="L28">
        <v>2.7276764284466501E-2</v>
      </c>
      <c r="M28">
        <v>4.5182E-2</v>
      </c>
      <c r="N28">
        <v>8.2816251096802018E-2</v>
      </c>
      <c r="P28" s="5"/>
      <c r="Q28" s="5"/>
    </row>
    <row r="29" spans="1:17" x14ac:dyDescent="0.35">
      <c r="A29" s="1">
        <v>46054</v>
      </c>
      <c r="B29" t="s">
        <v>18</v>
      </c>
      <c r="C29">
        <v>730</v>
      </c>
      <c r="D29">
        <v>148.62986005652601</v>
      </c>
      <c r="E29">
        <v>140.0702</v>
      </c>
      <c r="F29">
        <v>5.8299999999999998E-2</v>
      </c>
      <c r="G29">
        <v>0.23862459</v>
      </c>
      <c r="H29">
        <v>0.22354680963258089</v>
      </c>
      <c r="I29">
        <v>2.38000000019828</v>
      </c>
      <c r="J29">
        <v>0.25423830619828691</v>
      </c>
      <c r="K29">
        <v>9.3927230930234029E-2</v>
      </c>
      <c r="L29">
        <v>2.7276764284466501E-2</v>
      </c>
      <c r="M29">
        <v>4.5182E-2</v>
      </c>
      <c r="N29">
        <v>8.7852310983586368E-2</v>
      </c>
      <c r="O29">
        <v>5.0360598867843498E-3</v>
      </c>
      <c r="P29" s="5">
        <v>6.4342262567392144E-2</v>
      </c>
      <c r="Q29" s="5">
        <v>-0.21420882669537131</v>
      </c>
    </row>
    <row r="30" spans="1:17" x14ac:dyDescent="0.35">
      <c r="A30" s="1">
        <v>46082</v>
      </c>
      <c r="B30" t="s">
        <v>17</v>
      </c>
      <c r="C30">
        <v>828</v>
      </c>
      <c r="D30">
        <v>147.04123219925401</v>
      </c>
      <c r="E30">
        <v>139.80269999999999</v>
      </c>
      <c r="F30">
        <v>5.57E-2</v>
      </c>
      <c r="G30">
        <v>0.23751911000000001</v>
      </c>
      <c r="H30">
        <v>0.23311529070484879</v>
      </c>
      <c r="I30">
        <v>2.38000000019828</v>
      </c>
      <c r="J30">
        <v>0.25212230529158802</v>
      </c>
      <c r="K30">
        <v>9.7947601128331008E-2</v>
      </c>
      <c r="L30">
        <v>2.7276764284466501E-2</v>
      </c>
      <c r="M30">
        <v>4.5182E-2</v>
      </c>
      <c r="N30">
        <v>8.17159398787905E-2</v>
      </c>
      <c r="P30" s="5"/>
      <c r="Q30" s="5"/>
    </row>
    <row r="31" spans="1:17" x14ac:dyDescent="0.35">
      <c r="A31" s="1">
        <v>46082</v>
      </c>
      <c r="B31" t="s">
        <v>18</v>
      </c>
      <c r="C31">
        <v>661</v>
      </c>
      <c r="D31">
        <v>148.86567987779699</v>
      </c>
      <c r="E31">
        <v>141.03319999999999</v>
      </c>
      <c r="F31">
        <v>5.5199999999999999E-2</v>
      </c>
      <c r="G31">
        <v>0.23820027999999999</v>
      </c>
      <c r="H31">
        <v>0.2212563807943195</v>
      </c>
      <c r="I31">
        <v>2.38000000019828</v>
      </c>
      <c r="J31">
        <v>0.25254291656099209</v>
      </c>
      <c r="K31">
        <v>9.2964865872221178E-2</v>
      </c>
      <c r="L31">
        <v>2.7276764284466501E-2</v>
      </c>
      <c r="M31">
        <v>4.5182E-2</v>
      </c>
      <c r="N31">
        <v>8.7119286404304386E-2</v>
      </c>
      <c r="O31">
        <v>5.4033465255138857E-3</v>
      </c>
      <c r="P31" s="5">
        <v>6.0329041355648719E-2</v>
      </c>
      <c r="Q31" s="5">
        <v>-0.20169082125603871</v>
      </c>
    </row>
    <row r="32" spans="1:17" x14ac:dyDescent="0.35">
      <c r="A32" s="1">
        <v>46113</v>
      </c>
      <c r="B32" t="s">
        <v>17</v>
      </c>
      <c r="C32">
        <v>535</v>
      </c>
      <c r="D32">
        <v>148.02644601786801</v>
      </c>
      <c r="E32">
        <v>140.34700000000001</v>
      </c>
      <c r="F32">
        <v>5.4300000000000001E-2</v>
      </c>
      <c r="G32">
        <v>0.23516393999999999</v>
      </c>
      <c r="H32">
        <v>0.2317948008838579</v>
      </c>
      <c r="I32">
        <v>2.3900000000553399</v>
      </c>
      <c r="J32">
        <v>0.24925795731744041</v>
      </c>
      <c r="K32">
        <v>9.6985272334096539E-2</v>
      </c>
      <c r="L32">
        <v>2.7214099999654701E-2</v>
      </c>
      <c r="M32">
        <v>4.8051999999999997E-2</v>
      </c>
      <c r="N32">
        <v>7.7006584983689189E-2</v>
      </c>
      <c r="P32" s="5"/>
      <c r="Q32" s="5"/>
    </row>
    <row r="33" spans="1:17" x14ac:dyDescent="0.35">
      <c r="A33" s="1">
        <v>46113</v>
      </c>
      <c r="B33" t="s">
        <v>18</v>
      </c>
      <c r="C33">
        <v>400</v>
      </c>
      <c r="D33">
        <v>148.76410674889399</v>
      </c>
      <c r="E33">
        <v>141.06460000000001</v>
      </c>
      <c r="F33">
        <v>5.5300000000000002E-2</v>
      </c>
      <c r="G33">
        <v>0.23667605999999999</v>
      </c>
      <c r="H33">
        <v>0.22700000613218899</v>
      </c>
      <c r="I33">
        <v>2.3900000000553399</v>
      </c>
      <c r="J33">
        <v>0.25107643926727169</v>
      </c>
      <c r="K33">
        <v>9.4979082061478176E-2</v>
      </c>
      <c r="L33">
        <v>2.7214099999654701E-2</v>
      </c>
      <c r="M33">
        <v>4.8051999999999997E-2</v>
      </c>
      <c r="N33">
        <v>8.083125720613886E-2</v>
      </c>
      <c r="O33">
        <v>3.824672222449671E-3</v>
      </c>
      <c r="P33" s="5">
        <v>6.5674222843097568E-2</v>
      </c>
      <c r="Q33" s="5">
        <v>-0.25233644859813092</v>
      </c>
    </row>
    <row r="34" spans="1:17" x14ac:dyDescent="0.35">
      <c r="A34" s="1">
        <v>46143</v>
      </c>
      <c r="B34" t="s">
        <v>17</v>
      </c>
      <c r="C34">
        <v>312</v>
      </c>
      <c r="D34">
        <v>148.213325345871</v>
      </c>
      <c r="E34">
        <v>142.78039999999999</v>
      </c>
      <c r="F34">
        <v>5.3800000000000001E-2</v>
      </c>
      <c r="G34">
        <v>0.23438376</v>
      </c>
      <c r="H34">
        <v>0.25002248525183851</v>
      </c>
      <c r="I34">
        <v>2.3900000000553399</v>
      </c>
      <c r="J34">
        <v>0.24832638363452481</v>
      </c>
      <c r="K34">
        <v>0.1046119185129913</v>
      </c>
      <c r="L34">
        <v>2.7214099999654701E-2</v>
      </c>
      <c r="M34">
        <v>4.7232000000000003E-2</v>
      </c>
      <c r="N34">
        <v>6.9268365121878728E-2</v>
      </c>
      <c r="P34" s="5"/>
      <c r="Q34" s="5"/>
    </row>
    <row r="35" spans="1:17" x14ac:dyDescent="0.35">
      <c r="A35" s="1">
        <v>46143</v>
      </c>
      <c r="B35" t="s">
        <v>18</v>
      </c>
      <c r="C35">
        <v>266</v>
      </c>
      <c r="D35">
        <v>149.48259763003301</v>
      </c>
      <c r="E35">
        <v>143.48779999999999</v>
      </c>
      <c r="F35">
        <v>5.5E-2</v>
      </c>
      <c r="G35">
        <v>0.23729949</v>
      </c>
      <c r="H35">
        <v>0.24177221540478541</v>
      </c>
      <c r="I35">
        <v>2.3900000000553399</v>
      </c>
      <c r="J35">
        <v>0.25152815009172241</v>
      </c>
      <c r="K35">
        <v>0.1011599227611662</v>
      </c>
      <c r="L35">
        <v>2.7214099999654701E-2</v>
      </c>
      <c r="M35">
        <v>4.7232000000000003E-2</v>
      </c>
      <c r="N35">
        <v>7.5922127330901451E-2</v>
      </c>
      <c r="O35">
        <v>6.6537622090227233E-3</v>
      </c>
      <c r="P35" s="5">
        <v>3.079226191318216E-2</v>
      </c>
      <c r="Q35" s="5">
        <v>-0.14743589743589749</v>
      </c>
    </row>
    <row r="37" spans="1:17" x14ac:dyDescent="0.35">
      <c r="O37" s="5"/>
      <c r="P37" s="3">
        <f>AVERAGE(P31:P35)</f>
        <v>5.2265175370642819E-2</v>
      </c>
      <c r="Q37" s="3">
        <f>AVERAGE(Q31:Q35)</f>
        <v>-0.20048772243002236</v>
      </c>
    </row>
    <row r="38" spans="1:17" x14ac:dyDescent="0.35">
      <c r="P38" s="3">
        <f>AVERAGE(P25:P29)</f>
        <v>6.7394011590915362E-2</v>
      </c>
      <c r="Q38" s="3">
        <f>AVERAGE(Q25:Q29)</f>
        <v>-0.27472731241009324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workbookViewId="0"/>
  </sheetViews>
  <sheetFormatPr defaultRowHeight="14.5" x14ac:dyDescent="0.35"/>
  <sheetData>
    <row r="1" spans="1:15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3</v>
      </c>
      <c r="G1" t="s">
        <v>25</v>
      </c>
      <c r="H1" t="s">
        <v>8</v>
      </c>
      <c r="I1" t="s">
        <v>26</v>
      </c>
      <c r="J1" t="s">
        <v>27</v>
      </c>
      <c r="K1" t="s">
        <v>28</v>
      </c>
      <c r="L1" t="s">
        <v>29</v>
      </c>
      <c r="M1" t="s">
        <v>11</v>
      </c>
      <c r="N1" t="s">
        <v>12</v>
      </c>
      <c r="O1" t="s">
        <v>9</v>
      </c>
    </row>
    <row r="2" spans="1:15" x14ac:dyDescent="0.35">
      <c r="A2" t="s">
        <v>35</v>
      </c>
      <c r="B2" s="2">
        <v>45658</v>
      </c>
      <c r="C2">
        <v>135.03207499999999</v>
      </c>
      <c r="D2">
        <v>4.9000000000000002E-2</v>
      </c>
      <c r="E2">
        <v>0.23938528100000001</v>
      </c>
      <c r="G2">
        <v>0.266625</v>
      </c>
      <c r="H2">
        <v>2.38000000019828</v>
      </c>
      <c r="I2">
        <v>0.91228037500000003</v>
      </c>
      <c r="J2">
        <v>3.0000000000000001E-3</v>
      </c>
      <c r="K2">
        <v>4.1000000000000003E-3</v>
      </c>
      <c r="L2">
        <v>1.6999999999999999E-3</v>
      </c>
      <c r="M2">
        <v>3.0576764284374901E-2</v>
      </c>
      <c r="N2">
        <v>5.0512000000000001E-2</v>
      </c>
      <c r="O2">
        <v>0.2477747292125628</v>
      </c>
    </row>
    <row r="3" spans="1:15" x14ac:dyDescent="0.35">
      <c r="A3" t="s">
        <v>35</v>
      </c>
      <c r="B3" s="2">
        <v>45698</v>
      </c>
      <c r="C3">
        <v>135.03207499999999</v>
      </c>
      <c r="D3">
        <v>0.05</v>
      </c>
      <c r="E3">
        <v>0.23938528100000001</v>
      </c>
      <c r="F3">
        <v>136.19999999999999</v>
      </c>
      <c r="G3">
        <v>0.26650000000000001</v>
      </c>
      <c r="H3">
        <v>2.38000000019828</v>
      </c>
      <c r="I3">
        <v>0.91232150000000001</v>
      </c>
      <c r="J3">
        <v>3.0000000000000001E-3</v>
      </c>
      <c r="K3">
        <v>4.1000000000000003E-3</v>
      </c>
      <c r="L3">
        <v>1.6999999999999999E-3</v>
      </c>
      <c r="M3">
        <v>3.0576764284374901E-2</v>
      </c>
      <c r="N3">
        <v>4.9281999999999999E-2</v>
      </c>
      <c r="O3">
        <v>0.24820474199943579</v>
      </c>
    </row>
    <row r="4" spans="1:15" x14ac:dyDescent="0.35">
      <c r="A4" t="s">
        <v>35</v>
      </c>
      <c r="B4" s="2">
        <v>45743</v>
      </c>
      <c r="C4">
        <v>135.9</v>
      </c>
      <c r="D4">
        <v>0.05</v>
      </c>
      <c r="E4">
        <v>0.23938528100000001</v>
      </c>
      <c r="F4">
        <v>136.19999999999999</v>
      </c>
      <c r="G4">
        <v>0.2662273</v>
      </c>
      <c r="H4">
        <v>2.38000000019828</v>
      </c>
      <c r="I4">
        <v>0.91241121830000005</v>
      </c>
      <c r="J4">
        <v>3.0000000000000001E-3</v>
      </c>
      <c r="K4">
        <v>4.1000000000000003E-3</v>
      </c>
      <c r="L4">
        <v>1.6999999999999999E-3</v>
      </c>
      <c r="M4">
        <v>3.0576764284374901E-2</v>
      </c>
      <c r="N4">
        <v>4.9281999999999999E-2</v>
      </c>
      <c r="O4">
        <v>0.24822621923989219</v>
      </c>
    </row>
    <row r="5" spans="1:15" x14ac:dyDescent="0.35">
      <c r="A5" t="s">
        <v>35</v>
      </c>
      <c r="B5" s="2">
        <v>45769</v>
      </c>
      <c r="C5">
        <v>138.1</v>
      </c>
      <c r="D5">
        <v>5.1499999999999997E-2</v>
      </c>
      <c r="E5">
        <v>0.23938528100000001</v>
      </c>
      <c r="F5">
        <v>138.69999999999999</v>
      </c>
      <c r="G5">
        <v>0.25816670000000003</v>
      </c>
      <c r="H5">
        <v>2.38000000019828</v>
      </c>
      <c r="I5">
        <v>0.91506315569999996</v>
      </c>
      <c r="J5">
        <v>3.0000000000000001E-3</v>
      </c>
      <c r="K5">
        <v>4.1000000000000003E-3</v>
      </c>
      <c r="L5">
        <v>1.6999999999999999E-3</v>
      </c>
      <c r="M5">
        <v>3.0576764284374901E-2</v>
      </c>
      <c r="N5">
        <v>5.4612000000000001E-2</v>
      </c>
      <c r="O5">
        <v>0.2494913061203734</v>
      </c>
    </row>
    <row r="6" spans="1:15" x14ac:dyDescent="0.35">
      <c r="A6" t="s">
        <v>35</v>
      </c>
      <c r="B6" s="2">
        <v>45789</v>
      </c>
      <c r="C6">
        <v>137.5</v>
      </c>
      <c r="D6">
        <v>4.5499999999999999E-2</v>
      </c>
      <c r="E6">
        <v>0.23938528100000001</v>
      </c>
      <c r="F6">
        <v>138.19999999999999</v>
      </c>
      <c r="G6">
        <v>0.2564091</v>
      </c>
      <c r="H6">
        <v>2.38000000019828</v>
      </c>
      <c r="I6">
        <v>0.9156414061</v>
      </c>
      <c r="J6">
        <v>3.0000000000000001E-3</v>
      </c>
      <c r="K6">
        <v>4.1000000000000003E-3</v>
      </c>
      <c r="L6">
        <v>1.6999999999999999E-3</v>
      </c>
      <c r="M6">
        <v>3.0576764284374901E-2</v>
      </c>
      <c r="N6">
        <v>5.1332000000000003E-2</v>
      </c>
      <c r="O6">
        <v>0.24710872235171441</v>
      </c>
    </row>
    <row r="7" spans="1:15" x14ac:dyDescent="0.35">
      <c r="A7" t="s">
        <v>35</v>
      </c>
      <c r="B7" s="2">
        <v>45809</v>
      </c>
      <c r="C7">
        <v>137.5</v>
      </c>
      <c r="D7">
        <v>4.5499999999999999E-2</v>
      </c>
      <c r="E7">
        <v>0.23938528100000001</v>
      </c>
      <c r="F7">
        <v>138.80000000000001</v>
      </c>
      <c r="G7">
        <v>0.25854549999999998</v>
      </c>
      <c r="H7">
        <v>2.38000000019828</v>
      </c>
      <c r="I7">
        <v>0.92589999999999995</v>
      </c>
      <c r="J7">
        <v>3.0000000000000001E-3</v>
      </c>
      <c r="K7">
        <v>4.1000000000000003E-3</v>
      </c>
      <c r="L7">
        <v>1.6999999999999999E-3</v>
      </c>
      <c r="M7">
        <v>3.0576764284374901E-2</v>
      </c>
      <c r="N7">
        <v>5.1332000000000003E-2</v>
      </c>
      <c r="O7">
        <v>0.2495644787351308</v>
      </c>
    </row>
    <row r="8" spans="1:15" x14ac:dyDescent="0.35">
      <c r="A8" t="s">
        <v>35</v>
      </c>
      <c r="B8" s="2">
        <v>45839</v>
      </c>
      <c r="C8">
        <v>137.5</v>
      </c>
      <c r="D8">
        <v>4.5499999999999999E-2</v>
      </c>
      <c r="E8">
        <v>0.23938528100000001</v>
      </c>
      <c r="F8">
        <v>138.80000000000001</v>
      </c>
      <c r="G8">
        <v>0.26104549999999999</v>
      </c>
      <c r="H8">
        <v>2.38000000019828</v>
      </c>
      <c r="I8">
        <v>0.92589999999999995</v>
      </c>
      <c r="J8">
        <v>3.0000000000000001E-3</v>
      </c>
      <c r="K8">
        <v>4.1000000000000003E-3</v>
      </c>
      <c r="L8">
        <v>1.6999999999999999E-3</v>
      </c>
      <c r="M8">
        <v>3.0576764284374901E-2</v>
      </c>
      <c r="N8">
        <v>5.1332000000000003E-2</v>
      </c>
      <c r="O8">
        <v>0.2495644787351308</v>
      </c>
    </row>
    <row r="9" spans="1:15" x14ac:dyDescent="0.35">
      <c r="A9" t="s">
        <v>35</v>
      </c>
      <c r="B9" s="2">
        <v>45882</v>
      </c>
      <c r="C9">
        <v>137.69999999999999</v>
      </c>
      <c r="D9">
        <v>4.5499999999999999E-2</v>
      </c>
      <c r="E9">
        <v>0.23938528100000001</v>
      </c>
      <c r="F9">
        <v>139</v>
      </c>
      <c r="G9">
        <v>0.26529999999999998</v>
      </c>
      <c r="H9">
        <v>2.38000000019828</v>
      </c>
      <c r="I9">
        <v>0.92589999999999995</v>
      </c>
      <c r="J9">
        <v>3.0000000000000001E-3</v>
      </c>
      <c r="K9">
        <v>4.1000000000000003E-3</v>
      </c>
      <c r="L9">
        <v>1.6999999999999999E-3</v>
      </c>
      <c r="M9">
        <v>2.7276764284466501E-2</v>
      </c>
      <c r="N9">
        <v>4.6412000000000002E-2</v>
      </c>
      <c r="O9">
        <v>0.2495644787351308</v>
      </c>
    </row>
    <row r="10" spans="1:15" x14ac:dyDescent="0.35">
      <c r="A10" t="s">
        <v>35</v>
      </c>
      <c r="B10" s="2">
        <v>45908</v>
      </c>
      <c r="C10">
        <v>137.69999999999999</v>
      </c>
      <c r="D10">
        <v>4.5499999999999999E-2</v>
      </c>
      <c r="E10">
        <v>0.23938528100000001</v>
      </c>
      <c r="F10">
        <v>139.4</v>
      </c>
      <c r="G10">
        <v>0.2599091</v>
      </c>
      <c r="H10">
        <v>2.38000000019828</v>
      </c>
      <c r="I10">
        <v>0.92589999999999995</v>
      </c>
      <c r="J10">
        <v>3.0000000000000001E-3</v>
      </c>
      <c r="K10">
        <v>4.1000000000000003E-3</v>
      </c>
      <c r="L10">
        <v>1.6999999999999999E-3</v>
      </c>
      <c r="M10">
        <v>2.7276764284466501E-2</v>
      </c>
      <c r="N10">
        <v>4.4771999999999999E-2</v>
      </c>
      <c r="O10">
        <v>0.2495644787351308</v>
      </c>
    </row>
    <row r="11" spans="1:15" x14ac:dyDescent="0.35">
      <c r="A11" t="s">
        <v>35</v>
      </c>
      <c r="B11" s="2">
        <v>45936</v>
      </c>
      <c r="C11">
        <v>137.80000000000001</v>
      </c>
      <c r="D11">
        <v>4.5499999999999999E-2</v>
      </c>
      <c r="E11">
        <v>0.23938528100000001</v>
      </c>
      <c r="F11">
        <v>140.69999999999999</v>
      </c>
      <c r="G11">
        <v>0.26061109999999998</v>
      </c>
      <c r="H11">
        <v>2.38000000019828</v>
      </c>
      <c r="I11">
        <v>0.92589999999999995</v>
      </c>
      <c r="J11">
        <v>3.0000000000000001E-3</v>
      </c>
      <c r="K11">
        <v>4.1000000000000003E-3</v>
      </c>
      <c r="L11">
        <v>1.6999999999999999E-3</v>
      </c>
      <c r="M11">
        <v>2.7276764284466501E-2</v>
      </c>
      <c r="N11">
        <v>4.7232000000000003E-2</v>
      </c>
      <c r="O11">
        <v>0.2495644787351308</v>
      </c>
    </row>
    <row r="12" spans="1:15" x14ac:dyDescent="0.35">
      <c r="A12" t="s">
        <v>35</v>
      </c>
      <c r="B12" s="2">
        <v>45972</v>
      </c>
      <c r="C12">
        <v>137.80000000000001</v>
      </c>
      <c r="D12">
        <v>4.5499999999999999E-2</v>
      </c>
      <c r="E12">
        <v>0.23938528100000001</v>
      </c>
      <c r="F12">
        <v>140.69999999999999</v>
      </c>
      <c r="G12">
        <v>0.26145000000000002</v>
      </c>
      <c r="H12">
        <v>2.38000000019828</v>
      </c>
      <c r="I12">
        <v>0.92589999999999995</v>
      </c>
      <c r="J12">
        <v>3.0000000000000001E-3</v>
      </c>
      <c r="K12">
        <v>4.1000000000000003E-3</v>
      </c>
      <c r="L12">
        <v>1.6999999999999999E-3</v>
      </c>
      <c r="M12">
        <v>2.7276764284466501E-2</v>
      </c>
      <c r="N12">
        <v>4.7232000000000003E-2</v>
      </c>
      <c r="O12">
        <v>0.2495644787351308</v>
      </c>
    </row>
    <row r="13" spans="1:15" x14ac:dyDescent="0.35">
      <c r="A13" t="s">
        <v>35</v>
      </c>
      <c r="B13" s="2">
        <v>46009</v>
      </c>
      <c r="C13">
        <v>138.80000000000001</v>
      </c>
      <c r="D13">
        <v>4.4600000000000001E-2</v>
      </c>
      <c r="E13">
        <v>0.24028528099999999</v>
      </c>
      <c r="F13">
        <v>141.69999999999999</v>
      </c>
      <c r="G13">
        <v>0.26240910000000001</v>
      </c>
      <c r="H13">
        <v>2.38000000019828</v>
      </c>
      <c r="I13">
        <v>0.92589999999999995</v>
      </c>
      <c r="J13">
        <v>3.0000000000000001E-3</v>
      </c>
      <c r="K13">
        <v>4.1000000000000003E-3</v>
      </c>
      <c r="L13">
        <v>1.6999999999999999E-3</v>
      </c>
      <c r="M13">
        <v>2.7276764284466501E-2</v>
      </c>
      <c r="N13">
        <v>4.5182E-2</v>
      </c>
      <c r="O13">
        <v>0.25001963747465811</v>
      </c>
    </row>
    <row r="14" spans="1:15" x14ac:dyDescent="0.35">
      <c r="A14" t="s">
        <v>35</v>
      </c>
      <c r="B14" s="2">
        <v>46045</v>
      </c>
      <c r="C14">
        <v>138.80000000000001</v>
      </c>
      <c r="D14">
        <v>4.4600000000000001E-2</v>
      </c>
      <c r="E14">
        <v>0.24028528099999999</v>
      </c>
      <c r="F14">
        <v>141.69999999999999</v>
      </c>
      <c r="G14">
        <v>0.26859090000000002</v>
      </c>
      <c r="H14">
        <v>2.38000000019828</v>
      </c>
      <c r="I14">
        <v>0.92589999999999995</v>
      </c>
      <c r="J14">
        <v>3.0000000000000001E-3</v>
      </c>
      <c r="K14">
        <v>4.1000000000000003E-3</v>
      </c>
      <c r="L14">
        <v>1.6999999999999999E-3</v>
      </c>
      <c r="M14">
        <v>2.7276764284466501E-2</v>
      </c>
      <c r="N14">
        <v>4.5182E-2</v>
      </c>
      <c r="O14">
        <v>0.25001963747465811</v>
      </c>
    </row>
    <row r="15" spans="1:15" x14ac:dyDescent="0.35">
      <c r="A15" t="s">
        <v>35</v>
      </c>
      <c r="B15" s="2">
        <v>46062</v>
      </c>
      <c r="C15">
        <v>138.80000000000001</v>
      </c>
      <c r="D15">
        <v>4.4600000000000001E-2</v>
      </c>
      <c r="E15">
        <v>0.24028528099999999</v>
      </c>
      <c r="F15">
        <v>141.69999999999999</v>
      </c>
      <c r="G15">
        <v>0.2678333</v>
      </c>
      <c r="H15">
        <v>2.38000000019828</v>
      </c>
      <c r="I15">
        <v>0.92589999999999995</v>
      </c>
      <c r="J15">
        <v>3.0000000000000001E-3</v>
      </c>
      <c r="K15">
        <v>4.1000000000000003E-3</v>
      </c>
      <c r="L15">
        <v>1.6999999999999999E-3</v>
      </c>
      <c r="M15">
        <v>2.7276764284466501E-2</v>
      </c>
      <c r="N15">
        <v>4.5182E-2</v>
      </c>
      <c r="O15">
        <v>0.25001963747465811</v>
      </c>
    </row>
    <row r="16" spans="1:15" x14ac:dyDescent="0.35">
      <c r="A16" t="s">
        <v>35</v>
      </c>
      <c r="B16" s="2">
        <v>46100</v>
      </c>
      <c r="C16">
        <v>138.80000000000001</v>
      </c>
      <c r="D16">
        <v>4.4600000000000001E-2</v>
      </c>
      <c r="E16">
        <v>0.24028528099999999</v>
      </c>
      <c r="F16">
        <v>141.69999999999999</v>
      </c>
      <c r="G16">
        <v>0.27291670000000001</v>
      </c>
      <c r="H16">
        <v>2.3900000000553399</v>
      </c>
      <c r="I16">
        <v>0.92589999999999995</v>
      </c>
      <c r="J16">
        <v>3.0000000000000001E-3</v>
      </c>
      <c r="K16">
        <v>4.1000000000000003E-3</v>
      </c>
      <c r="L16">
        <v>1.6999999999999999E-3</v>
      </c>
      <c r="M16">
        <v>2.7214099999654701E-2</v>
      </c>
      <c r="N16">
        <v>4.8051999999999997E-2</v>
      </c>
      <c r="O16">
        <v>0.2499412295435767</v>
      </c>
    </row>
    <row r="17" spans="1:15" x14ac:dyDescent="0.35">
      <c r="A17" t="s">
        <v>35</v>
      </c>
      <c r="B17" s="2">
        <v>46133</v>
      </c>
      <c r="C17">
        <v>139.6</v>
      </c>
      <c r="D17">
        <v>4.4600000000000001E-2</v>
      </c>
      <c r="E17">
        <v>0.24028528099999999</v>
      </c>
      <c r="F17">
        <v>145</v>
      </c>
      <c r="G17">
        <v>0.27090910000000001</v>
      </c>
      <c r="H17">
        <v>2.3900000000553399</v>
      </c>
      <c r="I17">
        <v>0.92589999999999995</v>
      </c>
      <c r="J17">
        <v>3.0000000000000001E-3</v>
      </c>
      <c r="K17">
        <v>4.1000000000000003E-3</v>
      </c>
      <c r="L17">
        <v>1.6999999999999999E-3</v>
      </c>
      <c r="M17">
        <v>2.7214099999654701E-2</v>
      </c>
      <c r="N17">
        <v>4.7232000000000003E-2</v>
      </c>
      <c r="O17">
        <v>0.2499412295435767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2"/>
  <sheetViews>
    <sheetView topLeftCell="A14" zoomScale="160" zoomScaleNormal="160" workbookViewId="0">
      <selection activeCell="Q35" sqref="Q35"/>
    </sheetView>
  </sheetViews>
  <sheetFormatPr defaultRowHeight="14.5" x14ac:dyDescent="0.35"/>
  <cols>
    <col min="1" max="1" width="18.7265625" bestFit="1" customWidth="1"/>
    <col min="3" max="3" width="10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45658</v>
      </c>
      <c r="B2" t="s">
        <v>17</v>
      </c>
      <c r="C2">
        <v>594</v>
      </c>
      <c r="D2">
        <v>145.360564733632</v>
      </c>
      <c r="E2">
        <v>136.6003</v>
      </c>
      <c r="F2">
        <v>6.5600000000000006E-2</v>
      </c>
      <c r="G2">
        <v>0.24699660000000001</v>
      </c>
    </row>
    <row r="3" spans="1:17" x14ac:dyDescent="0.35">
      <c r="A3" s="1">
        <v>45658</v>
      </c>
      <c r="B3" t="s">
        <v>18</v>
      </c>
      <c r="C3">
        <v>644</v>
      </c>
      <c r="D3">
        <v>144.21889830056</v>
      </c>
      <c r="E3">
        <v>136.4024</v>
      </c>
      <c r="F3">
        <v>6.9900000000000004E-2</v>
      </c>
      <c r="G3">
        <v>0.24985099999999999</v>
      </c>
      <c r="Q3">
        <v>8.4175084175084125E-2</v>
      </c>
    </row>
    <row r="4" spans="1:17" x14ac:dyDescent="0.35">
      <c r="A4" s="1">
        <v>45689</v>
      </c>
      <c r="B4" t="s">
        <v>17</v>
      </c>
      <c r="C4">
        <v>903</v>
      </c>
      <c r="D4">
        <v>142.58584305771501</v>
      </c>
      <c r="E4">
        <v>136.37989999999999</v>
      </c>
      <c r="F4">
        <v>6.83E-2</v>
      </c>
      <c r="G4">
        <v>0.24924183</v>
      </c>
      <c r="I4">
        <v>2.05000000045681</v>
      </c>
      <c r="J4">
        <v>0.27117651482382882</v>
      </c>
      <c r="L4">
        <v>3.05767642891005E-2</v>
      </c>
      <c r="M4">
        <v>5.0512000000000001E-2</v>
      </c>
    </row>
    <row r="5" spans="1:17" x14ac:dyDescent="0.35">
      <c r="A5" s="1">
        <v>45689</v>
      </c>
      <c r="B5" t="s">
        <v>18</v>
      </c>
      <c r="C5">
        <v>873</v>
      </c>
      <c r="D5">
        <v>142.72230912092201</v>
      </c>
      <c r="E5">
        <v>136.96100000000001</v>
      </c>
      <c r="F5">
        <v>7.2099999999999997E-2</v>
      </c>
      <c r="G5">
        <v>0.25254475999999998</v>
      </c>
      <c r="I5">
        <v>2.05000000045681</v>
      </c>
      <c r="J5">
        <v>0.27606564819038482</v>
      </c>
      <c r="L5">
        <v>3.05767642891005E-2</v>
      </c>
      <c r="M5">
        <v>5.0512000000000001E-2</v>
      </c>
      <c r="Q5">
        <v>-3.3222591362126241E-2</v>
      </c>
    </row>
    <row r="6" spans="1:17" x14ac:dyDescent="0.35">
      <c r="A6" s="1">
        <v>45717</v>
      </c>
      <c r="B6" t="s">
        <v>17</v>
      </c>
      <c r="C6">
        <v>1183</v>
      </c>
      <c r="D6">
        <v>145.09045062437301</v>
      </c>
      <c r="E6">
        <v>136.84909999999999</v>
      </c>
      <c r="F6">
        <v>6.4699999999999994E-2</v>
      </c>
      <c r="G6">
        <v>0.24659287999999999</v>
      </c>
      <c r="H6">
        <v>0.26438707094157549</v>
      </c>
      <c r="I6">
        <v>2.05000000045681</v>
      </c>
      <c r="J6">
        <v>0.26698596632061322</v>
      </c>
      <c r="K6">
        <v>0.12896930286959071</v>
      </c>
      <c r="L6">
        <v>3.05767642891005E-2</v>
      </c>
      <c r="M6">
        <v>4.9281999999999999E-2</v>
      </c>
      <c r="N6">
        <v>5.8157899161921933E-2</v>
      </c>
    </row>
    <row r="7" spans="1:17" x14ac:dyDescent="0.35">
      <c r="A7" s="1">
        <v>45717</v>
      </c>
      <c r="B7" t="s">
        <v>18</v>
      </c>
      <c r="C7">
        <v>1093</v>
      </c>
      <c r="D7">
        <v>145.58295959921301</v>
      </c>
      <c r="E7">
        <v>137.25829999999999</v>
      </c>
      <c r="F7">
        <v>6.5000000000000002E-2</v>
      </c>
      <c r="G7">
        <v>0.24647299</v>
      </c>
      <c r="H7">
        <v>0.26118576260511539</v>
      </c>
      <c r="I7">
        <v>2.05000000045681</v>
      </c>
      <c r="J7">
        <v>0.26702212589173152</v>
      </c>
      <c r="K7">
        <v>0.12740768904727531</v>
      </c>
      <c r="L7">
        <v>3.05767642891005E-2</v>
      </c>
      <c r="M7">
        <v>4.9281999999999999E-2</v>
      </c>
      <c r="N7">
        <v>5.9755672555355681E-2</v>
      </c>
      <c r="O7">
        <v>1.597773393433755E-3</v>
      </c>
      <c r="P7" s="9">
        <v>3.8753828950554237E-2</v>
      </c>
      <c r="Q7" s="9">
        <v>-7.6077768385460653E-2</v>
      </c>
    </row>
    <row r="8" spans="1:17" x14ac:dyDescent="0.35">
      <c r="A8" s="1">
        <v>45748</v>
      </c>
      <c r="B8" t="s">
        <v>17</v>
      </c>
      <c r="C8">
        <v>798</v>
      </c>
      <c r="D8">
        <v>146.228008441979</v>
      </c>
      <c r="E8">
        <v>137.1396</v>
      </c>
      <c r="F8">
        <v>6.3200000000000006E-2</v>
      </c>
      <c r="G8">
        <v>0.24708512999999999</v>
      </c>
      <c r="H8">
        <v>0.25945884512713652</v>
      </c>
      <c r="I8">
        <v>2.05000000045681</v>
      </c>
      <c r="J8">
        <v>0.26650619350236182</v>
      </c>
      <c r="K8">
        <v>0.12656529027771721</v>
      </c>
      <c r="L8">
        <v>3.05767642891005E-2</v>
      </c>
      <c r="M8">
        <v>4.9281999999999999E-2</v>
      </c>
      <c r="N8">
        <v>6.0082138935544087E-2</v>
      </c>
      <c r="P8" s="9"/>
      <c r="Q8" s="9"/>
    </row>
    <row r="9" spans="1:17" x14ac:dyDescent="0.35">
      <c r="A9" s="1">
        <v>45748</v>
      </c>
      <c r="B9" t="s">
        <v>18</v>
      </c>
      <c r="C9">
        <v>800</v>
      </c>
      <c r="D9">
        <v>147.368147588266</v>
      </c>
      <c r="E9">
        <v>137.90119999999999</v>
      </c>
      <c r="F9">
        <v>6.2199999999999998E-2</v>
      </c>
      <c r="G9">
        <v>0.24394245000000001</v>
      </c>
      <c r="H9">
        <v>0.25204794067627112</v>
      </c>
      <c r="I9">
        <v>2.05000000045681</v>
      </c>
      <c r="J9">
        <v>0.26313273712714408</v>
      </c>
      <c r="K9">
        <v>0.1229502149366372</v>
      </c>
      <c r="L9">
        <v>3.05767642891005E-2</v>
      </c>
      <c r="M9">
        <v>4.9281999999999999E-2</v>
      </c>
      <c r="N9">
        <v>6.032375790140642E-2</v>
      </c>
      <c r="O9">
        <v>2.4161896586233361E-4</v>
      </c>
      <c r="P9" s="9">
        <v>0.15672972528047779</v>
      </c>
      <c r="Q9" s="9">
        <v>2.5062656641603449E-3</v>
      </c>
    </row>
    <row r="10" spans="1:17" x14ac:dyDescent="0.35">
      <c r="A10" s="1">
        <v>45778</v>
      </c>
      <c r="B10" t="s">
        <v>17</v>
      </c>
      <c r="C10">
        <v>779</v>
      </c>
      <c r="D10">
        <v>147.81243492285799</v>
      </c>
      <c r="E10">
        <v>137.9956</v>
      </c>
      <c r="F10">
        <v>5.8400000000000001E-2</v>
      </c>
      <c r="G10">
        <v>0.24849482000000001</v>
      </c>
      <c r="H10">
        <v>0.25303587300142311</v>
      </c>
      <c r="I10">
        <v>2.05000000045681</v>
      </c>
      <c r="J10">
        <v>0.26577994877903421</v>
      </c>
      <c r="K10">
        <v>0.123432133143921</v>
      </c>
      <c r="L10">
        <v>3.05767642891005E-2</v>
      </c>
      <c r="M10">
        <v>5.4612000000000001E-2</v>
      </c>
      <c r="N10">
        <v>5.7159051346012672E-2</v>
      </c>
      <c r="P10" s="9"/>
      <c r="Q10" s="9"/>
    </row>
    <row r="11" spans="1:17" x14ac:dyDescent="0.35">
      <c r="A11" s="1">
        <v>45778</v>
      </c>
      <c r="B11" t="s">
        <v>18</v>
      </c>
      <c r="C11">
        <v>786</v>
      </c>
      <c r="D11">
        <v>150.492642052653</v>
      </c>
      <c r="E11">
        <v>138.2518</v>
      </c>
      <c r="F11">
        <v>6.1600000000000002E-2</v>
      </c>
      <c r="G11">
        <v>0.24006573</v>
      </c>
      <c r="H11">
        <v>0.23561452665775551</v>
      </c>
      <c r="I11">
        <v>2.05000000045681</v>
      </c>
      <c r="J11">
        <v>0.25959033689012811</v>
      </c>
      <c r="K11">
        <v>0.1149339154171964</v>
      </c>
      <c r="L11">
        <v>3.05767642891005E-2</v>
      </c>
      <c r="M11">
        <v>5.4612000000000001E-2</v>
      </c>
      <c r="N11">
        <v>5.9467657183831263E-2</v>
      </c>
      <c r="O11">
        <v>2.3086058378185841E-3</v>
      </c>
      <c r="P11" s="9">
        <v>0.3163825068496422</v>
      </c>
      <c r="Q11" s="9">
        <v>8.9858793324775199E-3</v>
      </c>
    </row>
    <row r="12" spans="1:17" x14ac:dyDescent="0.35">
      <c r="A12" s="1">
        <v>45809</v>
      </c>
      <c r="B12" t="s">
        <v>17</v>
      </c>
      <c r="C12">
        <v>697</v>
      </c>
      <c r="D12">
        <v>148.67885118614299</v>
      </c>
      <c r="E12">
        <v>138.19739999999999</v>
      </c>
      <c r="F12">
        <v>5.8700000000000002E-2</v>
      </c>
      <c r="G12">
        <v>0.24318685000000001</v>
      </c>
      <c r="H12">
        <v>0.24138746729007049</v>
      </c>
      <c r="I12">
        <v>2.05000000045681</v>
      </c>
      <c r="J12">
        <v>0.26105892452765772</v>
      </c>
      <c r="K12">
        <v>0.11774998401769809</v>
      </c>
      <c r="L12">
        <v>3.05767642891005E-2</v>
      </c>
      <c r="M12">
        <v>5.1332000000000003E-2</v>
      </c>
      <c r="N12">
        <v>6.1400176220859123E-2</v>
      </c>
      <c r="P12" s="9"/>
      <c r="Q12" s="9"/>
    </row>
    <row r="13" spans="1:17" x14ac:dyDescent="0.35">
      <c r="A13" s="1">
        <v>45809</v>
      </c>
      <c r="B13" t="s">
        <v>18</v>
      </c>
      <c r="C13">
        <v>659</v>
      </c>
      <c r="D13">
        <v>148.05866034206301</v>
      </c>
      <c r="E13">
        <v>138.13550000000001</v>
      </c>
      <c r="F13">
        <v>6.1499999999999999E-2</v>
      </c>
      <c r="G13">
        <v>0.24774009999999999</v>
      </c>
      <c r="H13">
        <v>0.24541870777659039</v>
      </c>
      <c r="I13">
        <v>2.05000000045681</v>
      </c>
      <c r="J13">
        <v>0.26661176247926488</v>
      </c>
      <c r="K13">
        <v>0.11971644279117211</v>
      </c>
      <c r="L13">
        <v>3.05767642891005E-2</v>
      </c>
      <c r="M13">
        <v>5.1332000000000003E-2</v>
      </c>
      <c r="N13">
        <v>6.4986555398992382E-2</v>
      </c>
      <c r="O13">
        <v>3.5863791781332588E-3</v>
      </c>
      <c r="P13" s="9">
        <v>-7.9518899992561242E-4</v>
      </c>
      <c r="Q13" s="9">
        <v>-5.4519368723099038E-2</v>
      </c>
    </row>
    <row r="14" spans="1:17" x14ac:dyDescent="0.35">
      <c r="A14" s="1">
        <v>45839</v>
      </c>
      <c r="B14" t="s">
        <v>17</v>
      </c>
      <c r="C14">
        <v>640</v>
      </c>
      <c r="D14">
        <v>148.253977162441</v>
      </c>
      <c r="E14">
        <v>138.30439999999999</v>
      </c>
      <c r="F14">
        <v>5.8999999999999997E-2</v>
      </c>
      <c r="G14">
        <v>0.24643810999999999</v>
      </c>
      <c r="H14">
        <v>0.24517184844413339</v>
      </c>
      <c r="I14">
        <v>2.05000000045681</v>
      </c>
      <c r="J14">
        <v>0.26467320616346468</v>
      </c>
      <c r="K14">
        <v>0.1195960236046345</v>
      </c>
      <c r="L14">
        <v>3.05767642891005E-2</v>
      </c>
      <c r="M14">
        <v>5.1332000000000003E-2</v>
      </c>
      <c r="N14">
        <v>6.3168418269729729E-2</v>
      </c>
      <c r="P14" s="9"/>
      <c r="Q14" s="9"/>
    </row>
    <row r="15" spans="1:17" x14ac:dyDescent="0.35">
      <c r="A15" s="1">
        <v>45839</v>
      </c>
      <c r="B15" t="s">
        <v>18</v>
      </c>
      <c r="C15">
        <v>652</v>
      </c>
      <c r="D15">
        <v>149.88454818749099</v>
      </c>
      <c r="E15">
        <v>138.5932</v>
      </c>
      <c r="F15">
        <v>5.96E-2</v>
      </c>
      <c r="G15">
        <v>0.24330282</v>
      </c>
      <c r="H15">
        <v>0.23457313678130851</v>
      </c>
      <c r="I15">
        <v>2.05000000045681</v>
      </c>
      <c r="J15">
        <v>0.2620767193552288</v>
      </c>
      <c r="K15">
        <v>0.1144259203556281</v>
      </c>
      <c r="L15">
        <v>3.05767642891005E-2</v>
      </c>
      <c r="M15">
        <v>5.1332000000000003E-2</v>
      </c>
      <c r="N15">
        <v>6.5742034710500205E-2</v>
      </c>
      <c r="O15">
        <v>2.573616440770476E-3</v>
      </c>
      <c r="P15" s="9">
        <v>0.2030015782182589</v>
      </c>
      <c r="Q15" s="9">
        <v>1.8750000000000041E-2</v>
      </c>
    </row>
    <row r="16" spans="1:17" x14ac:dyDescent="0.35">
      <c r="A16" s="1">
        <v>45870</v>
      </c>
      <c r="B16" t="s">
        <v>17</v>
      </c>
      <c r="C16">
        <v>668</v>
      </c>
      <c r="D16">
        <v>149.570091736574</v>
      </c>
      <c r="E16">
        <v>138.62049999999999</v>
      </c>
      <c r="F16">
        <v>5.9700000000000003E-2</v>
      </c>
      <c r="G16">
        <v>0.24517485999999999</v>
      </c>
      <c r="H16">
        <v>0.2364808037122689</v>
      </c>
      <c r="I16">
        <v>2.05000000045681</v>
      </c>
      <c r="J16">
        <v>0.26385058470302281</v>
      </c>
      <c r="K16">
        <v>0.1153564895900356</v>
      </c>
      <c r="L16">
        <v>3.05767642891005E-2</v>
      </c>
      <c r="M16">
        <v>5.1332000000000003E-2</v>
      </c>
      <c r="N16">
        <v>6.6585330823886721E-2</v>
      </c>
      <c r="P16" s="9"/>
      <c r="Q16" s="9"/>
    </row>
    <row r="17" spans="1:17" x14ac:dyDescent="0.35">
      <c r="A17" s="1">
        <v>45870</v>
      </c>
      <c r="B17" t="s">
        <v>18</v>
      </c>
      <c r="C17">
        <v>562</v>
      </c>
      <c r="D17">
        <v>147.57726680529001</v>
      </c>
      <c r="E17">
        <v>138.93469999999999</v>
      </c>
      <c r="F17">
        <v>6.2399999999999997E-2</v>
      </c>
      <c r="G17">
        <v>0.24848516000000001</v>
      </c>
      <c r="H17">
        <v>0.24943416576561489</v>
      </c>
      <c r="I17">
        <v>2.05000000045681</v>
      </c>
      <c r="J17">
        <v>0.26821809932346102</v>
      </c>
      <c r="K17">
        <v>0.1216752027853817</v>
      </c>
      <c r="L17">
        <v>3.05767642891005E-2</v>
      </c>
      <c r="M17">
        <v>5.1332000000000003E-2</v>
      </c>
      <c r="N17">
        <v>6.4634132248978834E-2</v>
      </c>
      <c r="O17">
        <v>-1.951198574907886E-3</v>
      </c>
      <c r="P17" s="9">
        <v>7.6930364777643687E-2</v>
      </c>
      <c r="Q17" s="9">
        <v>-0.1586826347305389</v>
      </c>
    </row>
    <row r="18" spans="1:17" x14ac:dyDescent="0.35">
      <c r="A18" s="1">
        <v>45901</v>
      </c>
      <c r="B18" t="s">
        <v>17</v>
      </c>
      <c r="C18">
        <v>565</v>
      </c>
      <c r="D18">
        <v>149.721359871251</v>
      </c>
      <c r="E18">
        <v>138.20760000000001</v>
      </c>
      <c r="F18">
        <v>6.3799999999999996E-2</v>
      </c>
      <c r="G18">
        <v>0.24392945999999999</v>
      </c>
      <c r="H18">
        <v>0.23591116083686861</v>
      </c>
      <c r="I18">
        <v>2.05000000045681</v>
      </c>
      <c r="J18">
        <v>0.26470294860257709</v>
      </c>
      <c r="K18">
        <v>0.1150786150167315</v>
      </c>
      <c r="L18">
        <v>2.7276764289345602E-2</v>
      </c>
      <c r="M18">
        <v>4.6412000000000002E-2</v>
      </c>
      <c r="N18">
        <v>7.5935569296500055E-2</v>
      </c>
      <c r="O18" s="5"/>
      <c r="P18" s="9"/>
      <c r="Q18" s="9"/>
    </row>
    <row r="19" spans="1:17" x14ac:dyDescent="0.35">
      <c r="A19" s="1">
        <v>45901</v>
      </c>
      <c r="B19" t="s">
        <v>18</v>
      </c>
      <c r="C19">
        <v>498</v>
      </c>
      <c r="D19">
        <v>152.50459156242701</v>
      </c>
      <c r="E19">
        <v>139.79509999999999</v>
      </c>
      <c r="F19">
        <v>6.2100000000000002E-2</v>
      </c>
      <c r="G19">
        <v>0.24531235000000001</v>
      </c>
      <c r="H19">
        <v>0.21782015484422451</v>
      </c>
      <c r="I19">
        <v>2.05000000045681</v>
      </c>
      <c r="J19">
        <v>0.26514801344507899</v>
      </c>
      <c r="K19">
        <v>0.1062537340466764</v>
      </c>
      <c r="L19">
        <v>2.7276764289345602E-2</v>
      </c>
      <c r="M19">
        <v>4.6412000000000002E-2</v>
      </c>
      <c r="N19">
        <v>8.520551510905694E-2</v>
      </c>
      <c r="O19" s="5">
        <v>9.2699458125568845E-3</v>
      </c>
      <c r="P19" s="9">
        <v>7.0335840031668113E-3</v>
      </c>
      <c r="Q19" s="9">
        <v>-0.1185840707964602</v>
      </c>
    </row>
    <row r="20" spans="1:17" x14ac:dyDescent="0.35">
      <c r="A20" s="1">
        <v>45931</v>
      </c>
      <c r="B20" t="s">
        <v>17</v>
      </c>
      <c r="C20">
        <v>542</v>
      </c>
      <c r="D20">
        <v>153.292545545113</v>
      </c>
      <c r="E20">
        <v>138.99619999999999</v>
      </c>
      <c r="F20">
        <v>5.74E-2</v>
      </c>
      <c r="G20">
        <v>0.23939764999999999</v>
      </c>
      <c r="H20">
        <v>0.21056665395676549</v>
      </c>
      <c r="I20">
        <v>2.05000000045681</v>
      </c>
      <c r="J20">
        <v>0.25740493446876062</v>
      </c>
      <c r="K20">
        <v>0.10271544093163119</v>
      </c>
      <c r="L20">
        <v>2.7276764289345602E-2</v>
      </c>
      <c r="M20">
        <v>4.4771999999999999E-2</v>
      </c>
      <c r="N20">
        <v>8.2640729247783762E-2</v>
      </c>
      <c r="O20" s="5"/>
      <c r="P20" s="9"/>
      <c r="Q20" s="9"/>
    </row>
    <row r="21" spans="1:17" x14ac:dyDescent="0.35">
      <c r="A21" s="1">
        <v>45931</v>
      </c>
      <c r="B21" t="s">
        <v>18</v>
      </c>
      <c r="C21">
        <v>482</v>
      </c>
      <c r="D21">
        <v>149.81780996060701</v>
      </c>
      <c r="E21">
        <v>139.05969999999999</v>
      </c>
      <c r="F21">
        <v>6.3500000000000001E-2</v>
      </c>
      <c r="G21">
        <v>0.25179499</v>
      </c>
      <c r="H21">
        <v>0.23315243525605439</v>
      </c>
      <c r="I21">
        <v>2.05000000045681</v>
      </c>
      <c r="J21">
        <v>0.27180469303419508</v>
      </c>
      <c r="K21">
        <v>0.1137328952215122</v>
      </c>
      <c r="L21">
        <v>2.7276764289345602E-2</v>
      </c>
      <c r="M21">
        <v>4.4771999999999999E-2</v>
      </c>
      <c r="N21">
        <v>8.6023033523337261E-2</v>
      </c>
      <c r="O21" s="5">
        <v>3.3823042755534989E-3</v>
      </c>
      <c r="P21" s="9">
        <v>5.5469551567503918E-2</v>
      </c>
      <c r="Q21" s="9">
        <v>-0.11070110701107019</v>
      </c>
    </row>
    <row r="22" spans="1:17" x14ac:dyDescent="0.35">
      <c r="A22" s="1">
        <v>45962</v>
      </c>
      <c r="B22" t="s">
        <v>17</v>
      </c>
      <c r="C22">
        <v>466</v>
      </c>
      <c r="D22">
        <v>153.927854166104</v>
      </c>
      <c r="E22">
        <v>139.96190000000001</v>
      </c>
      <c r="F22">
        <v>6.5000000000000002E-2</v>
      </c>
      <c r="G22">
        <v>0.23811700999999999</v>
      </c>
      <c r="H22">
        <v>0.21080224792032401</v>
      </c>
      <c r="I22">
        <v>2.05000000045681</v>
      </c>
      <c r="J22">
        <v>0.25993214178110519</v>
      </c>
      <c r="K22">
        <v>0.1028303648162683</v>
      </c>
      <c r="L22">
        <v>2.7276764289345602E-2</v>
      </c>
      <c r="M22">
        <v>4.7232000000000003E-2</v>
      </c>
      <c r="N22">
        <v>8.2593012675491295E-2</v>
      </c>
      <c r="O22" s="5"/>
      <c r="P22" s="9"/>
      <c r="Q22" s="9"/>
    </row>
    <row r="23" spans="1:17" x14ac:dyDescent="0.35">
      <c r="A23" s="1">
        <v>45962</v>
      </c>
      <c r="B23" t="s">
        <v>18</v>
      </c>
      <c r="C23">
        <v>402</v>
      </c>
      <c r="D23">
        <v>151.645369344952</v>
      </c>
      <c r="E23">
        <v>140.96780000000001</v>
      </c>
      <c r="F23">
        <v>5.9499999999999997E-2</v>
      </c>
      <c r="G23">
        <v>0.25022456999999998</v>
      </c>
      <c r="H23">
        <v>0.22563839925781201</v>
      </c>
      <c r="I23">
        <v>2.05000000045681</v>
      </c>
      <c r="J23">
        <v>0.26840633149243481</v>
      </c>
      <c r="K23">
        <v>0.1100675118085522</v>
      </c>
      <c r="L23">
        <v>2.7276764289345602E-2</v>
      </c>
      <c r="M23">
        <v>4.7232000000000003E-2</v>
      </c>
      <c r="N23">
        <v>8.3830055394536918E-2</v>
      </c>
      <c r="O23" s="5">
        <v>1.2370427190456219E-3</v>
      </c>
      <c r="P23" s="9">
        <v>7.4822838096485933E-2</v>
      </c>
      <c r="Q23" s="9">
        <v>-0.13733905579399139</v>
      </c>
    </row>
    <row r="24" spans="1:17" x14ac:dyDescent="0.35">
      <c r="A24" s="1">
        <v>45992</v>
      </c>
      <c r="B24" t="s">
        <v>17</v>
      </c>
      <c r="C24">
        <v>462</v>
      </c>
      <c r="D24">
        <v>154.01617629683801</v>
      </c>
      <c r="E24">
        <v>141.7081</v>
      </c>
      <c r="F24">
        <v>5.5899999999999998E-2</v>
      </c>
      <c r="G24">
        <v>0.23666461999999999</v>
      </c>
      <c r="H24">
        <v>0.20834485407055289</v>
      </c>
      <c r="I24">
        <v>2.05000000045681</v>
      </c>
      <c r="J24">
        <v>0.25415474000685051</v>
      </c>
      <c r="K24">
        <v>0.10163163610933</v>
      </c>
      <c r="L24">
        <v>2.7276764289345602E-2</v>
      </c>
      <c r="M24">
        <v>4.7232000000000003E-2</v>
      </c>
      <c r="N24">
        <v>7.801433960817486E-2</v>
      </c>
      <c r="O24" s="5"/>
      <c r="P24" s="9"/>
      <c r="Q24" s="9"/>
    </row>
    <row r="25" spans="1:17" x14ac:dyDescent="0.35">
      <c r="A25" s="1">
        <v>45992</v>
      </c>
      <c r="B25" t="s">
        <v>18</v>
      </c>
      <c r="C25">
        <v>388</v>
      </c>
      <c r="D25">
        <v>155.315044317434</v>
      </c>
      <c r="E25">
        <v>141.40870000000001</v>
      </c>
      <c r="F25">
        <v>5.6599999999999998E-2</v>
      </c>
      <c r="G25">
        <v>0.23962459</v>
      </c>
      <c r="H25">
        <v>0.19990221193667901</v>
      </c>
      <c r="I25">
        <v>2.05000000045681</v>
      </c>
      <c r="J25">
        <v>0.25722381577640863</v>
      </c>
      <c r="K25">
        <v>9.7513274093723873E-2</v>
      </c>
      <c r="L25">
        <v>2.7276764289345602E-2</v>
      </c>
      <c r="M25">
        <v>4.7232000000000003E-2</v>
      </c>
      <c r="N25">
        <v>8.520177739333909E-2</v>
      </c>
      <c r="O25" s="5">
        <v>7.1874377851642302E-3</v>
      </c>
      <c r="P25" s="9">
        <v>4.0328855004881273E-2</v>
      </c>
      <c r="Q25" s="9">
        <v>-0.16017316017316019</v>
      </c>
    </row>
    <row r="26" spans="1:17" x14ac:dyDescent="0.35">
      <c r="A26" s="1">
        <v>46023</v>
      </c>
      <c r="B26" t="s">
        <v>17</v>
      </c>
      <c r="C26">
        <v>551</v>
      </c>
      <c r="D26">
        <v>153.68667438697</v>
      </c>
      <c r="E26">
        <v>141.10939999999999</v>
      </c>
      <c r="F26">
        <v>5.5599999999999997E-2</v>
      </c>
      <c r="G26">
        <v>0.23632919999999999</v>
      </c>
      <c r="H26">
        <v>0.217095716484695</v>
      </c>
      <c r="I26">
        <v>2.05000000045681</v>
      </c>
      <c r="J26">
        <v>0.25369930901346849</v>
      </c>
      <c r="K26">
        <v>0.105900349481131</v>
      </c>
      <c r="L26">
        <v>2.7276764289345602E-2</v>
      </c>
      <c r="M26">
        <v>4.5182E-2</v>
      </c>
      <c r="N26">
        <v>7.5340195242991861E-2</v>
      </c>
      <c r="O26" s="5"/>
      <c r="P26" s="9"/>
      <c r="Q26" s="9"/>
    </row>
    <row r="27" spans="1:17" x14ac:dyDescent="0.35">
      <c r="A27" s="1">
        <v>46023</v>
      </c>
      <c r="B27" t="s">
        <v>18</v>
      </c>
      <c r="C27">
        <v>519</v>
      </c>
      <c r="D27">
        <v>153.20968268055501</v>
      </c>
      <c r="E27">
        <v>141.36009999999999</v>
      </c>
      <c r="F27">
        <v>5.33E-2</v>
      </c>
      <c r="G27">
        <v>0.24137921000000001</v>
      </c>
      <c r="H27">
        <v>0.22019616257639241</v>
      </c>
      <c r="I27">
        <v>2.05000000045681</v>
      </c>
      <c r="J27">
        <v>0.25723094200920632</v>
      </c>
      <c r="K27">
        <v>0.10741276220845131</v>
      </c>
      <c r="L27">
        <v>2.7276764289345602E-2</v>
      </c>
      <c r="M27">
        <v>4.5182E-2</v>
      </c>
      <c r="N27">
        <v>7.735941551140936E-2</v>
      </c>
      <c r="O27" s="5">
        <v>2.0192202684174991E-3</v>
      </c>
      <c r="P27" s="9">
        <v>4.2590966514595367E-2</v>
      </c>
      <c r="Q27" s="9">
        <v>-5.8076225045372021E-2</v>
      </c>
    </row>
    <row r="28" spans="1:17" x14ac:dyDescent="0.35">
      <c r="A28" s="1">
        <v>46054</v>
      </c>
      <c r="B28" t="s">
        <v>17</v>
      </c>
      <c r="C28">
        <v>923</v>
      </c>
      <c r="D28">
        <v>149.96932529345699</v>
      </c>
      <c r="E28">
        <v>140.50049999999999</v>
      </c>
      <c r="F28">
        <v>5.3800000000000001E-2</v>
      </c>
      <c r="G28">
        <v>0.24146978999999999</v>
      </c>
      <c r="H28">
        <v>0.23874488559252949</v>
      </c>
      <c r="I28">
        <v>2.05000000045681</v>
      </c>
      <c r="J28">
        <v>0.2575583139181763</v>
      </c>
      <c r="K28">
        <v>0.1164609197752825</v>
      </c>
      <c r="L28">
        <v>2.7276764289345602E-2</v>
      </c>
      <c r="M28">
        <v>4.5182E-2</v>
      </c>
      <c r="N28">
        <v>6.8638629853548253E-2</v>
      </c>
      <c r="O28" s="5"/>
      <c r="P28" s="9"/>
      <c r="Q28" s="9"/>
    </row>
    <row r="29" spans="1:17" x14ac:dyDescent="0.35">
      <c r="A29" s="1">
        <v>46054</v>
      </c>
      <c r="B29" t="s">
        <v>18</v>
      </c>
      <c r="C29">
        <v>794</v>
      </c>
      <c r="D29">
        <v>153.26149279458201</v>
      </c>
      <c r="E29">
        <v>141.0472</v>
      </c>
      <c r="F29">
        <v>5.33E-2</v>
      </c>
      <c r="G29">
        <v>0.23826306999999999</v>
      </c>
      <c r="H29">
        <v>0.2173457968352169</v>
      </c>
      <c r="I29">
        <v>2.05000000045681</v>
      </c>
      <c r="J29">
        <v>0.25435941899920628</v>
      </c>
      <c r="K29">
        <v>0.10602233989599261</v>
      </c>
      <c r="L29">
        <v>2.7276764289345602E-2</v>
      </c>
      <c r="M29">
        <v>4.5182E-2</v>
      </c>
      <c r="N29">
        <v>7.5878314813868072E-2</v>
      </c>
      <c r="O29" s="5">
        <v>7.2396849603198199E-3</v>
      </c>
      <c r="P29" s="9">
        <v>2.4078088314835561E-2</v>
      </c>
      <c r="Q29" s="9">
        <v>-0.13976164680390041</v>
      </c>
    </row>
    <row r="30" spans="1:17" x14ac:dyDescent="0.35">
      <c r="A30" s="1">
        <v>46082</v>
      </c>
      <c r="B30" t="s">
        <v>17</v>
      </c>
      <c r="C30">
        <v>1051</v>
      </c>
      <c r="D30">
        <v>151.97439299675901</v>
      </c>
      <c r="E30">
        <v>140.4529</v>
      </c>
      <c r="F30">
        <v>5.0299999999999997E-2</v>
      </c>
      <c r="G30">
        <v>0.23954454999999999</v>
      </c>
      <c r="H30">
        <v>0.22616644552106649</v>
      </c>
      <c r="I30">
        <v>2.05000000045681</v>
      </c>
      <c r="J30">
        <v>0.25407688818538599</v>
      </c>
      <c r="K30">
        <v>0.1103250953515458</v>
      </c>
      <c r="L30">
        <v>2.7276764289345602E-2</v>
      </c>
      <c r="M30">
        <v>4.5182E-2</v>
      </c>
      <c r="N30">
        <v>7.1293028544494666E-2</v>
      </c>
      <c r="O30" s="5"/>
      <c r="P30" s="9"/>
      <c r="Q30" s="9"/>
    </row>
    <row r="31" spans="1:17" x14ac:dyDescent="0.35">
      <c r="A31" s="1">
        <v>46082</v>
      </c>
      <c r="B31" t="s">
        <v>18</v>
      </c>
      <c r="C31">
        <v>872</v>
      </c>
      <c r="D31">
        <v>152.52712496822701</v>
      </c>
      <c r="E31">
        <v>141.2972</v>
      </c>
      <c r="F31">
        <v>5.1200000000000002E-2</v>
      </c>
      <c r="G31">
        <v>0.23968281</v>
      </c>
      <c r="H31">
        <v>0.22257368770652439</v>
      </c>
      <c r="I31">
        <v>2.05000000045681</v>
      </c>
      <c r="J31">
        <v>0.25464331916553212</v>
      </c>
      <c r="K31">
        <v>0.1085725305643548</v>
      </c>
      <c r="L31">
        <v>2.7276764289345602E-2</v>
      </c>
      <c r="M31">
        <v>4.5182E-2</v>
      </c>
      <c r="N31">
        <v>7.3612024311831684E-2</v>
      </c>
      <c r="O31" s="5">
        <v>2.3189957673370181E-3</v>
      </c>
      <c r="P31" s="9">
        <v>5.9996021230986997E-2</v>
      </c>
      <c r="Q31" s="9">
        <v>-0.17031398667935299</v>
      </c>
    </row>
    <row r="32" spans="1:17" x14ac:dyDescent="0.35">
      <c r="A32" s="1">
        <v>46113</v>
      </c>
      <c r="B32" t="s">
        <v>17</v>
      </c>
      <c r="C32">
        <v>855</v>
      </c>
      <c r="D32">
        <v>152.17351125434701</v>
      </c>
      <c r="E32">
        <v>141.18539999999999</v>
      </c>
      <c r="F32">
        <v>4.8300000000000003E-2</v>
      </c>
      <c r="G32">
        <v>0.23473859</v>
      </c>
      <c r="H32">
        <v>0.2297054768467445</v>
      </c>
      <c r="I32">
        <v>2.05000000045681</v>
      </c>
      <c r="J32">
        <v>0.24867258628950589</v>
      </c>
      <c r="K32">
        <v>0.1120514520953943</v>
      </c>
      <c r="L32">
        <v>2.7276764289345602E-2</v>
      </c>
      <c r="M32">
        <v>4.8051999999999997E-2</v>
      </c>
      <c r="N32">
        <v>6.1292369904766032E-2</v>
      </c>
      <c r="O32" s="5"/>
      <c r="P32" s="9"/>
      <c r="Q32" s="9"/>
    </row>
    <row r="33" spans="1:20" x14ac:dyDescent="0.35">
      <c r="A33" s="1">
        <v>46113</v>
      </c>
      <c r="B33" t="s">
        <v>18</v>
      </c>
      <c r="C33">
        <v>754</v>
      </c>
      <c r="D33">
        <v>154.97586399990399</v>
      </c>
      <c r="E33">
        <v>141.04929999999999</v>
      </c>
      <c r="F33">
        <v>4.7699999999999999E-2</v>
      </c>
      <c r="G33">
        <v>0.23670952000000001</v>
      </c>
      <c r="H33">
        <v>0.21149018400062411</v>
      </c>
      <c r="I33">
        <v>2.05000000045681</v>
      </c>
      <c r="J33">
        <v>0.25019611535774178</v>
      </c>
      <c r="K33">
        <v>0.1031659433919497</v>
      </c>
      <c r="L33">
        <v>2.7276764289345602E-2</v>
      </c>
      <c r="M33">
        <v>4.8051999999999997E-2</v>
      </c>
      <c r="N33">
        <v>7.170140767644656E-2</v>
      </c>
      <c r="O33" s="5">
        <v>1.040903777168053E-2</v>
      </c>
      <c r="P33" s="9">
        <v>-1.641470415312634E-2</v>
      </c>
      <c r="Q33" s="9">
        <v>-0.11812865497076019</v>
      </c>
    </row>
    <row r="34" spans="1:20" x14ac:dyDescent="0.35">
      <c r="A34" s="1">
        <v>46143</v>
      </c>
      <c r="B34" t="s">
        <v>17</v>
      </c>
      <c r="C34">
        <v>654</v>
      </c>
      <c r="D34">
        <v>155.18536600421399</v>
      </c>
      <c r="E34">
        <v>141.03739999999999</v>
      </c>
      <c r="F34">
        <v>4.5100000000000001E-2</v>
      </c>
      <c r="G34">
        <v>0.23264562999999999</v>
      </c>
      <c r="H34">
        <v>0.21191332097260901</v>
      </c>
      <c r="I34">
        <v>2.05000000045681</v>
      </c>
      <c r="J34">
        <v>0.2451829480400976</v>
      </c>
      <c r="K34">
        <v>0.1033723516709207</v>
      </c>
      <c r="L34">
        <v>2.7276764289345602E-2</v>
      </c>
      <c r="M34">
        <v>4.7232000000000003E-2</v>
      </c>
      <c r="N34">
        <v>6.7301832079831314E-2</v>
      </c>
      <c r="O34" s="5"/>
      <c r="P34" s="9"/>
      <c r="Q34" s="9"/>
    </row>
    <row r="35" spans="1:20" x14ac:dyDescent="0.35">
      <c r="A35" s="1">
        <v>46143</v>
      </c>
      <c r="B35" t="s">
        <v>18</v>
      </c>
      <c r="C35">
        <v>535</v>
      </c>
      <c r="D35">
        <v>156.45847761917099</v>
      </c>
      <c r="E35">
        <v>141.4511</v>
      </c>
      <c r="F35">
        <v>4.6100000000000002E-2</v>
      </c>
      <c r="G35">
        <v>0.23639378999999999</v>
      </c>
      <c r="H35">
        <v>0.2036380954753885</v>
      </c>
      <c r="I35">
        <v>2.05000000045681</v>
      </c>
      <c r="J35">
        <v>0.2491246823580377</v>
      </c>
      <c r="K35">
        <v>9.9335656307322412E-2</v>
      </c>
      <c r="L35">
        <v>2.7276764289345602E-2</v>
      </c>
      <c r="M35">
        <v>4.7232000000000003E-2</v>
      </c>
      <c r="N35">
        <v>7.5280261761369704E-2</v>
      </c>
      <c r="O35" s="5">
        <v>7.9784296815383904E-3</v>
      </c>
      <c r="P35" s="5">
        <v>-0.17834981864121899</v>
      </c>
      <c r="Q35" s="10">
        <v>-3.14569536423841E-2</v>
      </c>
      <c r="R35" s="5">
        <f>N35*C35-N34*C34</f>
        <v>-3.7404581378768853</v>
      </c>
      <c r="S35">
        <f>C35-C34</f>
        <v>-119</v>
      </c>
      <c r="T35" s="5">
        <f>R35/S35</f>
        <v>3.1432421326696512E-2</v>
      </c>
    </row>
    <row r="37" spans="1:20" x14ac:dyDescent="0.35">
      <c r="C37">
        <f>C35-C34</f>
        <v>-119</v>
      </c>
      <c r="O37" s="5"/>
      <c r="P37" s="4">
        <f>AVERAGE(P31:P35)</f>
        <v>-4.4922833854452782E-2</v>
      </c>
      <c r="Q37" s="4">
        <f>AVERAGE(Q31:Q35)</f>
        <v>-0.10663319843083242</v>
      </c>
    </row>
    <row r="38" spans="1:20" x14ac:dyDescent="0.35">
      <c r="C38">
        <f>C33-C32</f>
        <v>-101</v>
      </c>
      <c r="P38" s="4">
        <f>AVERAGE(P25:P29)</f>
        <v>3.5665969944770733E-2</v>
      </c>
      <c r="Q38" s="4">
        <f>AVERAGE(Q25:Q29)</f>
        <v>-0.11933701067414421</v>
      </c>
    </row>
    <row r="39" spans="1:20" x14ac:dyDescent="0.35">
      <c r="C39">
        <f>C31-C30</f>
        <v>-179</v>
      </c>
      <c r="G39" t="s">
        <v>19</v>
      </c>
    </row>
    <row r="40" spans="1:20" x14ac:dyDescent="0.35">
      <c r="C40">
        <f>C29-C28</f>
        <v>-129</v>
      </c>
    </row>
    <row r="41" spans="1:20" x14ac:dyDescent="0.35">
      <c r="C41">
        <f>C27-C26</f>
        <v>-32</v>
      </c>
    </row>
    <row r="42" spans="1:20" x14ac:dyDescent="0.35">
      <c r="C42">
        <f>C25-C24</f>
        <v>-74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/>
  </sheetViews>
  <sheetFormatPr defaultRowHeight="14.5" x14ac:dyDescent="0.35"/>
  <sheetData>
    <row r="1" spans="1:15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3</v>
      </c>
      <c r="G1" t="s">
        <v>25</v>
      </c>
      <c r="H1" t="s">
        <v>8</v>
      </c>
      <c r="I1" t="s">
        <v>26</v>
      </c>
      <c r="J1" t="s">
        <v>27</v>
      </c>
      <c r="K1" t="s">
        <v>28</v>
      </c>
      <c r="L1" t="s">
        <v>29</v>
      </c>
      <c r="M1" t="s">
        <v>11</v>
      </c>
      <c r="N1" t="s">
        <v>12</v>
      </c>
      <c r="O1" t="s">
        <v>9</v>
      </c>
    </row>
    <row r="2" spans="1:15" x14ac:dyDescent="0.35">
      <c r="A2" t="s">
        <v>36</v>
      </c>
      <c r="B2" s="2">
        <v>45658</v>
      </c>
      <c r="C2">
        <v>136.80000000000001</v>
      </c>
      <c r="D2">
        <v>6.5534273000000004E-2</v>
      </c>
      <c r="E2">
        <v>0.246</v>
      </c>
      <c r="G2">
        <v>0.24612500000000001</v>
      </c>
      <c r="H2">
        <v>2.05000000045681</v>
      </c>
      <c r="I2">
        <v>0.91902487499999996</v>
      </c>
      <c r="J2">
        <v>3.0000000000000001E-3</v>
      </c>
      <c r="K2">
        <v>4.1000000000000003E-3</v>
      </c>
      <c r="L2">
        <v>1.6999999999999999E-3</v>
      </c>
      <c r="M2">
        <v>3.05767642891005E-2</v>
      </c>
      <c r="N2">
        <v>5.0512000000000001E-2</v>
      </c>
      <c r="O2">
        <v>0.26684805729165689</v>
      </c>
    </row>
    <row r="3" spans="1:15" x14ac:dyDescent="0.35">
      <c r="A3" t="s">
        <v>36</v>
      </c>
      <c r="B3" s="2">
        <v>45698</v>
      </c>
      <c r="C3">
        <v>136.80000000000001</v>
      </c>
      <c r="D3">
        <v>6.5534273000000004E-2</v>
      </c>
      <c r="E3">
        <v>0.246</v>
      </c>
      <c r="F3">
        <v>147.9</v>
      </c>
      <c r="G3">
        <v>0.24612500000000001</v>
      </c>
      <c r="H3">
        <v>2.05000000045681</v>
      </c>
      <c r="I3">
        <v>0.91902487499999996</v>
      </c>
      <c r="J3">
        <v>3.0000000000000001E-3</v>
      </c>
      <c r="K3">
        <v>4.1000000000000003E-3</v>
      </c>
      <c r="L3">
        <v>1.6999999999999999E-3</v>
      </c>
      <c r="M3">
        <v>3.05767642891005E-2</v>
      </c>
      <c r="N3">
        <v>4.9281999999999999E-2</v>
      </c>
      <c r="O3">
        <v>0.26684805729165689</v>
      </c>
    </row>
    <row r="4" spans="1:15" x14ac:dyDescent="0.35">
      <c r="A4" t="s">
        <v>36</v>
      </c>
      <c r="B4" s="2">
        <v>45743</v>
      </c>
      <c r="C4">
        <v>136.80000000000001</v>
      </c>
      <c r="D4">
        <v>6.5534273000000004E-2</v>
      </c>
      <c r="E4">
        <v>0.246</v>
      </c>
      <c r="F4">
        <v>147.9</v>
      </c>
      <c r="G4">
        <v>0.2485909</v>
      </c>
      <c r="H4">
        <v>2.05000000045681</v>
      </c>
      <c r="I4">
        <v>0.91821359390000001</v>
      </c>
      <c r="J4">
        <v>3.0000000000000001E-3</v>
      </c>
      <c r="K4">
        <v>4.1000000000000003E-3</v>
      </c>
      <c r="L4">
        <v>1.6999999999999999E-3</v>
      </c>
      <c r="M4">
        <v>3.05767642891005E-2</v>
      </c>
      <c r="N4">
        <v>4.9281999999999999E-2</v>
      </c>
      <c r="O4">
        <v>0.26664848214105691</v>
      </c>
    </row>
    <row r="5" spans="1:15" x14ac:dyDescent="0.35">
      <c r="A5" t="s">
        <v>36</v>
      </c>
      <c r="B5" s="2">
        <v>45769</v>
      </c>
      <c r="C5">
        <v>138</v>
      </c>
      <c r="D5">
        <v>7.1534272999999995E-2</v>
      </c>
      <c r="E5">
        <v>0.24610000000000001</v>
      </c>
      <c r="F5">
        <v>149.1</v>
      </c>
      <c r="G5">
        <v>0.24466669999999999</v>
      </c>
      <c r="H5">
        <v>2.05000000045681</v>
      </c>
      <c r="I5">
        <v>0.91950465569999995</v>
      </c>
      <c r="J5">
        <v>3.0000000000000001E-3</v>
      </c>
      <c r="K5">
        <v>4.1000000000000003E-3</v>
      </c>
      <c r="L5">
        <v>1.6999999999999999E-3</v>
      </c>
      <c r="M5">
        <v>3.05767642891005E-2</v>
      </c>
      <c r="N5">
        <v>5.4612000000000001E-2</v>
      </c>
      <c r="O5">
        <v>0.26998486307706743</v>
      </c>
    </row>
    <row r="6" spans="1:15" x14ac:dyDescent="0.35">
      <c r="A6" t="s">
        <v>36</v>
      </c>
      <c r="B6" s="2">
        <v>45789</v>
      </c>
      <c r="C6">
        <v>138</v>
      </c>
      <c r="D6">
        <v>7.1534272999999995E-2</v>
      </c>
      <c r="E6">
        <v>0.24610000000000001</v>
      </c>
      <c r="F6">
        <v>148.19999999999999</v>
      </c>
      <c r="G6">
        <v>0.2445</v>
      </c>
      <c r="H6">
        <v>2.05000000045681</v>
      </c>
      <c r="I6">
        <v>0.91955949999999997</v>
      </c>
      <c r="J6">
        <v>3.0000000000000001E-3</v>
      </c>
      <c r="K6">
        <v>4.1000000000000003E-3</v>
      </c>
      <c r="L6">
        <v>1.6999999999999999E-3</v>
      </c>
      <c r="M6">
        <v>3.05767642891005E-2</v>
      </c>
      <c r="N6">
        <v>5.1332000000000003E-2</v>
      </c>
      <c r="O6">
        <v>0.26999836025929741</v>
      </c>
    </row>
    <row r="7" spans="1:15" x14ac:dyDescent="0.35">
      <c r="A7" t="s">
        <v>36</v>
      </c>
      <c r="B7" s="2">
        <v>45809</v>
      </c>
      <c r="C7">
        <v>138</v>
      </c>
      <c r="D7">
        <v>7.1534272999999995E-2</v>
      </c>
      <c r="E7">
        <v>0.24610000000000001</v>
      </c>
      <c r="F7">
        <v>148.69999999999999</v>
      </c>
      <c r="G7">
        <v>0.24227270000000001</v>
      </c>
      <c r="H7">
        <v>2.05000000045681</v>
      </c>
      <c r="I7">
        <v>0.92149999999999999</v>
      </c>
      <c r="J7">
        <v>3.0000000000000001E-3</v>
      </c>
      <c r="K7">
        <v>4.1000000000000003E-3</v>
      </c>
      <c r="L7">
        <v>1.6999999999999999E-3</v>
      </c>
      <c r="M7">
        <v>3.05767642891005E-2</v>
      </c>
      <c r="N7">
        <v>5.1332000000000003E-2</v>
      </c>
      <c r="O7">
        <v>0.27047591730929738</v>
      </c>
    </row>
    <row r="8" spans="1:15" x14ac:dyDescent="0.35">
      <c r="A8" t="s">
        <v>36</v>
      </c>
      <c r="B8" s="2">
        <v>45839</v>
      </c>
      <c r="C8">
        <v>138</v>
      </c>
      <c r="D8">
        <v>7.1534272999999995E-2</v>
      </c>
      <c r="E8">
        <v>0.24610000000000001</v>
      </c>
      <c r="F8">
        <v>148.69999999999999</v>
      </c>
      <c r="G8">
        <v>0.2421364</v>
      </c>
      <c r="H8">
        <v>2.05000000045681</v>
      </c>
      <c r="I8">
        <v>0.92149999999999999</v>
      </c>
      <c r="J8">
        <v>3.0000000000000001E-3</v>
      </c>
      <c r="K8">
        <v>4.1000000000000003E-3</v>
      </c>
      <c r="L8">
        <v>1.6999999999999999E-3</v>
      </c>
      <c r="M8">
        <v>3.05767642891005E-2</v>
      </c>
      <c r="N8">
        <v>5.1332000000000003E-2</v>
      </c>
      <c r="O8">
        <v>0.27047591730929738</v>
      </c>
    </row>
    <row r="9" spans="1:15" x14ac:dyDescent="0.35">
      <c r="A9" t="s">
        <v>36</v>
      </c>
      <c r="B9" s="2">
        <v>45882</v>
      </c>
      <c r="C9">
        <v>138.19999999999999</v>
      </c>
      <c r="D9">
        <v>7.2834273000000005E-2</v>
      </c>
      <c r="E9">
        <v>0.24610000000000001</v>
      </c>
      <c r="F9">
        <v>148.9</v>
      </c>
      <c r="G9">
        <v>0.24124999999999999</v>
      </c>
      <c r="H9">
        <v>2.05000000045681</v>
      </c>
      <c r="I9">
        <v>0.92149999999999999</v>
      </c>
      <c r="J9">
        <v>3.0000000000000001E-3</v>
      </c>
      <c r="K9">
        <v>4.1000000000000003E-3</v>
      </c>
      <c r="L9">
        <v>1.6999999999999999E-3</v>
      </c>
      <c r="M9">
        <v>2.7276764289345602E-2</v>
      </c>
      <c r="N9">
        <v>4.6412000000000002E-2</v>
      </c>
      <c r="O9">
        <v>0.27111006365061951</v>
      </c>
    </row>
    <row r="10" spans="1:15" x14ac:dyDescent="0.35">
      <c r="A10" t="s">
        <v>36</v>
      </c>
      <c r="B10" s="2">
        <v>45908</v>
      </c>
      <c r="C10">
        <v>138.4</v>
      </c>
      <c r="D10">
        <v>7.5034272999999999E-2</v>
      </c>
      <c r="E10">
        <v>0.24610000000000001</v>
      </c>
      <c r="F10">
        <v>149.1</v>
      </c>
      <c r="G10">
        <v>0.23781820000000001</v>
      </c>
      <c r="H10">
        <v>2.05000000045681</v>
      </c>
      <c r="I10">
        <v>0.92149999999999999</v>
      </c>
      <c r="J10">
        <v>3.0000000000000001E-3</v>
      </c>
      <c r="K10">
        <v>4.1000000000000003E-3</v>
      </c>
      <c r="L10">
        <v>1.6999999999999999E-3</v>
      </c>
      <c r="M10">
        <v>2.7276764289345602E-2</v>
      </c>
      <c r="N10">
        <v>4.4771999999999999E-2</v>
      </c>
      <c r="O10">
        <v>0.27218323438208769</v>
      </c>
    </row>
    <row r="11" spans="1:15" x14ac:dyDescent="0.35">
      <c r="A11" t="s">
        <v>36</v>
      </c>
      <c r="B11" s="2">
        <v>45936</v>
      </c>
      <c r="C11">
        <v>139</v>
      </c>
      <c r="D11">
        <v>6.2E-2</v>
      </c>
      <c r="E11">
        <v>0.24610000000000001</v>
      </c>
      <c r="F11">
        <v>151</v>
      </c>
      <c r="G11">
        <v>0.22983329999999999</v>
      </c>
      <c r="H11">
        <v>2.05000000045681</v>
      </c>
      <c r="I11">
        <v>0.92149999999999999</v>
      </c>
      <c r="J11">
        <v>3.0000000000000001E-3</v>
      </c>
      <c r="K11">
        <v>4.1000000000000003E-3</v>
      </c>
      <c r="L11">
        <v>1.6999999999999999E-3</v>
      </c>
      <c r="M11">
        <v>2.7276764289345602E-2</v>
      </c>
      <c r="N11">
        <v>4.7232000000000003E-2</v>
      </c>
      <c r="O11">
        <v>0.26582505243228499</v>
      </c>
    </row>
    <row r="12" spans="1:15" x14ac:dyDescent="0.35">
      <c r="A12" t="s">
        <v>36</v>
      </c>
      <c r="B12" s="2">
        <v>45972</v>
      </c>
      <c r="C12">
        <v>138.5</v>
      </c>
      <c r="D12">
        <v>5.8200000000000002E-2</v>
      </c>
      <c r="E12">
        <v>0.24610000000000001</v>
      </c>
      <c r="F12">
        <v>150.5</v>
      </c>
      <c r="G12">
        <v>0.23119999999999999</v>
      </c>
      <c r="H12">
        <v>2.05000000045681</v>
      </c>
      <c r="I12">
        <v>0.92149999999999999</v>
      </c>
      <c r="J12">
        <v>3.0000000000000001E-3</v>
      </c>
      <c r="K12">
        <v>4.1000000000000003E-3</v>
      </c>
      <c r="L12">
        <v>1.6999999999999999E-3</v>
      </c>
      <c r="M12">
        <v>2.7276764289345602E-2</v>
      </c>
      <c r="N12">
        <v>4.7232000000000003E-2</v>
      </c>
      <c r="O12">
        <v>0.26397139389611268</v>
      </c>
    </row>
    <row r="13" spans="1:15" x14ac:dyDescent="0.35">
      <c r="A13" t="s">
        <v>36</v>
      </c>
      <c r="B13" s="2">
        <v>46009</v>
      </c>
      <c r="C13">
        <v>139.69999999999999</v>
      </c>
      <c r="D13">
        <v>5.4199999999999998E-2</v>
      </c>
      <c r="E13">
        <v>0.24560000000000001</v>
      </c>
      <c r="F13">
        <v>152.1</v>
      </c>
      <c r="G13">
        <v>0.2274091</v>
      </c>
      <c r="H13">
        <v>2.05000000045681</v>
      </c>
      <c r="I13">
        <v>0.92149999999999999</v>
      </c>
      <c r="J13">
        <v>3.0000000000000001E-3</v>
      </c>
      <c r="K13">
        <v>4.1000000000000003E-3</v>
      </c>
      <c r="L13">
        <v>1.6999999999999999E-3</v>
      </c>
      <c r="M13">
        <v>2.7276764289345602E-2</v>
      </c>
      <c r="N13">
        <v>4.5182E-2</v>
      </c>
      <c r="O13">
        <v>0.26155942438435242</v>
      </c>
    </row>
    <row r="14" spans="1:15" x14ac:dyDescent="0.35">
      <c r="A14" t="s">
        <v>36</v>
      </c>
      <c r="B14" s="2">
        <v>46045</v>
      </c>
      <c r="C14">
        <v>138.6</v>
      </c>
      <c r="D14">
        <v>4.5199999999999997E-2</v>
      </c>
      <c r="E14">
        <v>0.24560000000000001</v>
      </c>
      <c r="F14">
        <v>151</v>
      </c>
      <c r="G14">
        <v>0.23204549999999999</v>
      </c>
      <c r="H14">
        <v>2.05000000045681</v>
      </c>
      <c r="I14">
        <v>0.92149999999999999</v>
      </c>
      <c r="J14">
        <v>3.0000000000000001E-3</v>
      </c>
      <c r="K14">
        <v>4.1000000000000003E-3</v>
      </c>
      <c r="L14">
        <v>1.6999999999999999E-3</v>
      </c>
      <c r="M14">
        <v>2.7276764289345602E-2</v>
      </c>
      <c r="N14">
        <v>4.5182E-2</v>
      </c>
      <c r="O14">
        <v>0.25716918048289161</v>
      </c>
    </row>
    <row r="15" spans="1:15" x14ac:dyDescent="0.35">
      <c r="A15" t="s">
        <v>36</v>
      </c>
      <c r="B15" s="2">
        <v>46062</v>
      </c>
      <c r="C15">
        <v>138.6</v>
      </c>
      <c r="D15">
        <v>4.5199999999999997E-2</v>
      </c>
      <c r="E15">
        <v>0.24560000000000001</v>
      </c>
      <c r="F15">
        <v>151</v>
      </c>
      <c r="G15">
        <v>0.23250000000000001</v>
      </c>
      <c r="H15">
        <v>2.05000000045681</v>
      </c>
      <c r="I15">
        <v>0.92149999999999999</v>
      </c>
      <c r="J15">
        <v>3.0000000000000001E-3</v>
      </c>
      <c r="K15">
        <v>4.1000000000000003E-3</v>
      </c>
      <c r="L15">
        <v>1.6999999999999999E-3</v>
      </c>
      <c r="M15">
        <v>2.7276764289345602E-2</v>
      </c>
      <c r="N15">
        <v>4.5182E-2</v>
      </c>
      <c r="O15">
        <v>0.25716918048289161</v>
      </c>
    </row>
    <row r="16" spans="1:15" x14ac:dyDescent="0.35">
      <c r="A16" t="s">
        <v>36</v>
      </c>
      <c r="B16" s="2">
        <v>46100</v>
      </c>
      <c r="C16">
        <v>138.6</v>
      </c>
      <c r="D16">
        <v>4.5199999999999997E-2</v>
      </c>
      <c r="E16">
        <v>0.24560000000000001</v>
      </c>
      <c r="F16">
        <v>151</v>
      </c>
      <c r="G16">
        <v>0.2373333</v>
      </c>
      <c r="H16">
        <v>2.05000000045681</v>
      </c>
      <c r="I16">
        <v>0.92149999999999999</v>
      </c>
      <c r="J16">
        <v>3.0000000000000001E-3</v>
      </c>
      <c r="K16">
        <v>4.1000000000000003E-3</v>
      </c>
      <c r="L16">
        <v>1.6999999999999999E-3</v>
      </c>
      <c r="M16">
        <v>2.7276764289345602E-2</v>
      </c>
      <c r="N16">
        <v>4.8051999999999997E-2</v>
      </c>
      <c r="O16">
        <v>0.25716918048289161</v>
      </c>
    </row>
    <row r="17" spans="1:15" x14ac:dyDescent="0.35">
      <c r="A17" t="s">
        <v>36</v>
      </c>
      <c r="B17" s="2">
        <v>46133</v>
      </c>
      <c r="C17">
        <v>138.80000000000001</v>
      </c>
      <c r="D17">
        <v>4.6699999999999998E-2</v>
      </c>
      <c r="E17">
        <v>0.24560000000000001</v>
      </c>
      <c r="F17">
        <v>151.19999999999999</v>
      </c>
      <c r="G17">
        <v>0.23781820000000001</v>
      </c>
      <c r="H17">
        <v>2.05000000045681</v>
      </c>
      <c r="I17">
        <v>0.92149999999999999</v>
      </c>
      <c r="J17">
        <v>3.0000000000000001E-3</v>
      </c>
      <c r="K17">
        <v>4.1000000000000003E-3</v>
      </c>
      <c r="L17">
        <v>1.6999999999999999E-3</v>
      </c>
      <c r="M17">
        <v>2.7276764289345602E-2</v>
      </c>
      <c r="N17">
        <v>4.7232000000000003E-2</v>
      </c>
      <c r="O17">
        <v>0.25790088779980169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8"/>
  <sheetViews>
    <sheetView tabSelected="1" topLeftCell="B1" zoomScale="220" zoomScaleNormal="220" workbookViewId="0">
      <pane ySplit="1" topLeftCell="A21" activePane="bottomLeft" state="frozen"/>
      <selection pane="bottomLeft" activeCell="G37" sqref="G37"/>
    </sheetView>
  </sheetViews>
  <sheetFormatPr defaultRowHeight="14.5" x14ac:dyDescent="0.35"/>
  <cols>
    <col min="1" max="1" width="18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45658</v>
      </c>
      <c r="B2" t="s">
        <v>17</v>
      </c>
      <c r="C2">
        <v>365</v>
      </c>
      <c r="D2">
        <v>139.04899188019201</v>
      </c>
      <c r="E2">
        <v>137.48179999999999</v>
      </c>
      <c r="F2">
        <v>6.7100000000000007E-2</v>
      </c>
      <c r="G2">
        <v>0.25317050000000002</v>
      </c>
    </row>
    <row r="3" spans="1:17" x14ac:dyDescent="0.35">
      <c r="A3" s="1">
        <v>45658</v>
      </c>
      <c r="B3" t="s">
        <v>18</v>
      </c>
      <c r="C3">
        <v>311</v>
      </c>
      <c r="D3">
        <v>140.91473411865201</v>
      </c>
      <c r="E3">
        <v>136.21520000000001</v>
      </c>
      <c r="F3">
        <v>5.96E-2</v>
      </c>
      <c r="G3">
        <v>0.25122591</v>
      </c>
      <c r="Q3">
        <v>-0.147945205479452</v>
      </c>
    </row>
    <row r="4" spans="1:17" x14ac:dyDescent="0.35">
      <c r="A4" s="1">
        <v>45689</v>
      </c>
      <c r="B4" t="s">
        <v>17</v>
      </c>
      <c r="C4">
        <v>540</v>
      </c>
      <c r="D4">
        <v>137.23652278457001</v>
      </c>
      <c r="E4">
        <v>136.62020000000001</v>
      </c>
      <c r="F4">
        <v>7.1800000000000003E-2</v>
      </c>
      <c r="G4">
        <v>0.25124402000000001</v>
      </c>
      <c r="I4">
        <v>2.11000000036494</v>
      </c>
      <c r="J4">
        <v>0.27298400654484939</v>
      </c>
      <c r="L4">
        <v>3.0576764262622201E-2</v>
      </c>
      <c r="M4">
        <v>5.0512000000000001E-2</v>
      </c>
    </row>
    <row r="5" spans="1:17" x14ac:dyDescent="0.35">
      <c r="A5" s="1">
        <v>45689</v>
      </c>
      <c r="B5" t="s">
        <v>18</v>
      </c>
      <c r="C5">
        <v>544</v>
      </c>
      <c r="D5">
        <v>138.06168804273699</v>
      </c>
      <c r="E5">
        <v>136.85720000000001</v>
      </c>
      <c r="F5">
        <v>7.3400000000000007E-2</v>
      </c>
      <c r="G5">
        <v>0.25443753000000002</v>
      </c>
      <c r="I5">
        <v>2.11000000036494</v>
      </c>
      <c r="J5">
        <v>0.27666775952903211</v>
      </c>
      <c r="L5">
        <v>3.0576764262622201E-2</v>
      </c>
      <c r="M5">
        <v>5.0512000000000001E-2</v>
      </c>
      <c r="Q5">
        <v>7.4074074074073071E-3</v>
      </c>
    </row>
    <row r="6" spans="1:17" x14ac:dyDescent="0.35">
      <c r="A6" s="1">
        <v>45717</v>
      </c>
      <c r="B6" t="s">
        <v>17</v>
      </c>
      <c r="C6">
        <v>659</v>
      </c>
      <c r="D6">
        <v>139.99368001966599</v>
      </c>
      <c r="E6">
        <v>137.18780000000001</v>
      </c>
      <c r="F6">
        <v>6.5699999999999995E-2</v>
      </c>
      <c r="G6">
        <v>0.24655208000000001</v>
      </c>
      <c r="H6">
        <v>0.26356607987217101</v>
      </c>
      <c r="I6">
        <v>2.11000000036494</v>
      </c>
      <c r="J6">
        <v>0.26595712581565828</v>
      </c>
      <c r="K6">
        <v>0.1249128340410357</v>
      </c>
      <c r="L6">
        <v>3.0576764262622201E-2</v>
      </c>
      <c r="M6">
        <v>4.9281999999999999E-2</v>
      </c>
      <c r="N6">
        <v>6.1185527512000418E-2</v>
      </c>
    </row>
    <row r="7" spans="1:17" x14ac:dyDescent="0.35">
      <c r="A7" s="1">
        <v>45717</v>
      </c>
      <c r="B7" t="s">
        <v>18</v>
      </c>
      <c r="C7">
        <v>595</v>
      </c>
      <c r="D7">
        <v>141.63379214288301</v>
      </c>
      <c r="E7">
        <v>137.3501</v>
      </c>
      <c r="F7">
        <v>6.6799999999999998E-2</v>
      </c>
      <c r="G7">
        <v>0.24370631000000001</v>
      </c>
      <c r="H7">
        <v>0.25290535107126039</v>
      </c>
      <c r="I7">
        <v>2.11000000036494</v>
      </c>
      <c r="J7">
        <v>0.26386967321956739</v>
      </c>
      <c r="K7">
        <v>0.1198603559372126</v>
      </c>
      <c r="L7">
        <v>3.0576764262622201E-2</v>
      </c>
      <c r="M7">
        <v>4.9281999999999999E-2</v>
      </c>
      <c r="N7">
        <v>6.4150553019732659E-2</v>
      </c>
      <c r="O7">
        <v>2.9650255077322339E-3</v>
      </c>
      <c r="P7">
        <v>3.3620055994802223E-2</v>
      </c>
      <c r="Q7">
        <v>-9.7116843702579669E-2</v>
      </c>
    </row>
    <row r="8" spans="1:17" x14ac:dyDescent="0.35">
      <c r="A8" s="1">
        <v>45748</v>
      </c>
      <c r="B8" t="s">
        <v>17</v>
      </c>
      <c r="C8">
        <v>484</v>
      </c>
      <c r="D8">
        <v>143.26581682483999</v>
      </c>
      <c r="E8">
        <v>138.14609999999999</v>
      </c>
      <c r="F8">
        <v>6.1600000000000002E-2</v>
      </c>
      <c r="G8">
        <v>0.24206227</v>
      </c>
      <c r="H8">
        <v>0.24435399063853999</v>
      </c>
      <c r="I8">
        <v>2.11000000036494</v>
      </c>
      <c r="J8">
        <v>0.25973429037260343</v>
      </c>
      <c r="K8">
        <v>0.11580757848164799</v>
      </c>
      <c r="L8">
        <v>3.0576764262622201E-2</v>
      </c>
      <c r="M8">
        <v>4.9281999999999999E-2</v>
      </c>
      <c r="N8">
        <v>6.4067947628333261E-2</v>
      </c>
    </row>
    <row r="9" spans="1:17" x14ac:dyDescent="0.35">
      <c r="A9" s="1">
        <v>45748</v>
      </c>
      <c r="B9" t="s">
        <v>18</v>
      </c>
      <c r="C9">
        <v>406</v>
      </c>
      <c r="D9">
        <v>142.27725554415599</v>
      </c>
      <c r="E9">
        <v>137.85849999999999</v>
      </c>
      <c r="F9">
        <v>6.2E-2</v>
      </c>
      <c r="G9">
        <v>0.24305368999999999</v>
      </c>
      <c r="H9">
        <v>0.25077963896298611</v>
      </c>
      <c r="I9">
        <v>2.11000000036494</v>
      </c>
      <c r="J9">
        <v>0.26083204935237497</v>
      </c>
      <c r="K9">
        <v>0.11885290944057431</v>
      </c>
      <c r="L9">
        <v>3.0576764262622201E-2</v>
      </c>
      <c r="M9">
        <v>4.9281999999999999E-2</v>
      </c>
      <c r="N9">
        <v>6.2120375649178397E-2</v>
      </c>
      <c r="O9">
        <v>-1.947571979154857E-3</v>
      </c>
      <c r="P9">
        <v>7.420530946854953E-2</v>
      </c>
      <c r="Q9">
        <v>-0.16115702479338839</v>
      </c>
    </row>
    <row r="10" spans="1:17" x14ac:dyDescent="0.35">
      <c r="A10" s="1">
        <v>45778</v>
      </c>
      <c r="B10" t="s">
        <v>17</v>
      </c>
      <c r="C10">
        <v>450</v>
      </c>
      <c r="D10">
        <v>144.543620531263</v>
      </c>
      <c r="E10">
        <v>137.77789999999999</v>
      </c>
      <c r="F10">
        <v>5.8000000000000003E-2</v>
      </c>
      <c r="G10">
        <v>0.24384902</v>
      </c>
      <c r="H10">
        <v>0.23618316654679039</v>
      </c>
      <c r="I10">
        <v>2.11000000036494</v>
      </c>
      <c r="J10">
        <v>0.2602276686853659</v>
      </c>
      <c r="K10">
        <v>0.11193515000281549</v>
      </c>
      <c r="L10">
        <v>3.0576764262622201E-2</v>
      </c>
      <c r="M10">
        <v>5.4612000000000001E-2</v>
      </c>
      <c r="N10">
        <v>6.310375441992816E-2</v>
      </c>
    </row>
    <row r="11" spans="1:17" x14ac:dyDescent="0.35">
      <c r="A11" s="1">
        <v>45778</v>
      </c>
      <c r="B11" t="s">
        <v>18</v>
      </c>
      <c r="C11">
        <v>469</v>
      </c>
      <c r="D11">
        <v>143.69820677364899</v>
      </c>
      <c r="E11">
        <v>138.16720000000001</v>
      </c>
      <c r="F11">
        <v>6.4299999999999996E-2</v>
      </c>
      <c r="G11">
        <v>0.24321639</v>
      </c>
      <c r="H11">
        <v>0.24167835597128151</v>
      </c>
      <c r="I11">
        <v>2.11000000036494</v>
      </c>
      <c r="J11">
        <v>0.2626324729184803</v>
      </c>
      <c r="K11">
        <v>0.114539505179849</v>
      </c>
      <c r="L11">
        <v>3.0576764262622201E-2</v>
      </c>
      <c r="M11">
        <v>5.4612000000000001E-2</v>
      </c>
      <c r="N11">
        <v>6.2904203476009085E-2</v>
      </c>
      <c r="O11">
        <v>-1.995509439190746E-4</v>
      </c>
      <c r="P11">
        <v>5.817799690950478E-2</v>
      </c>
      <c r="Q11">
        <v>4.2222222222222161E-2</v>
      </c>
    </row>
    <row r="12" spans="1:17" x14ac:dyDescent="0.35">
      <c r="A12" s="1">
        <v>45809</v>
      </c>
      <c r="B12" t="s">
        <v>17</v>
      </c>
      <c r="C12">
        <v>369</v>
      </c>
      <c r="D12">
        <v>144.513684519534</v>
      </c>
      <c r="E12">
        <v>138.56800000000001</v>
      </c>
      <c r="F12">
        <v>6.4299999999999996E-2</v>
      </c>
      <c r="G12">
        <v>0.24283799</v>
      </c>
      <c r="H12">
        <v>0.23468835062302901</v>
      </c>
      <c r="I12">
        <v>2.11000000036494</v>
      </c>
      <c r="J12">
        <v>0.2621602859781566</v>
      </c>
      <c r="K12">
        <v>0.1112267064371744</v>
      </c>
      <c r="L12">
        <v>3.0576764262622201E-2</v>
      </c>
      <c r="M12">
        <v>5.1332000000000003E-2</v>
      </c>
      <c r="N12">
        <v>6.9024815278360033E-2</v>
      </c>
    </row>
    <row r="13" spans="1:17" x14ac:dyDescent="0.35">
      <c r="A13" s="1">
        <v>45809</v>
      </c>
      <c r="B13" t="s">
        <v>18</v>
      </c>
      <c r="C13">
        <v>401</v>
      </c>
      <c r="D13">
        <v>145.73716695243399</v>
      </c>
      <c r="E13">
        <v>138.12090000000001</v>
      </c>
      <c r="F13">
        <v>6.0900000000000003E-2</v>
      </c>
      <c r="G13">
        <v>0.24160986000000001</v>
      </c>
      <c r="H13">
        <v>0.22673571480917901</v>
      </c>
      <c r="I13">
        <v>2.11000000036494</v>
      </c>
      <c r="J13">
        <v>0.25942168507761659</v>
      </c>
      <c r="K13">
        <v>0.1074576847251011</v>
      </c>
      <c r="L13">
        <v>3.0576764262622201E-2</v>
      </c>
      <c r="M13">
        <v>5.1332000000000003E-2</v>
      </c>
      <c r="N13">
        <v>7.0055236089893239E-2</v>
      </c>
      <c r="O13">
        <v>1.0304208115332061E-3</v>
      </c>
      <c r="P13">
        <v>8.1937276072885479E-2</v>
      </c>
      <c r="Q13">
        <v>8.6720867208672114E-2</v>
      </c>
    </row>
    <row r="14" spans="1:17" x14ac:dyDescent="0.35">
      <c r="A14" s="1">
        <v>45839</v>
      </c>
      <c r="B14" t="s">
        <v>17</v>
      </c>
      <c r="C14">
        <v>388</v>
      </c>
      <c r="D14">
        <v>144.71200206250899</v>
      </c>
      <c r="E14">
        <v>138.3057</v>
      </c>
      <c r="F14">
        <v>5.9799999999999999E-2</v>
      </c>
      <c r="G14">
        <v>0.24122009</v>
      </c>
      <c r="H14">
        <v>0.23967648659369159</v>
      </c>
      <c r="I14">
        <v>2.11000000036494</v>
      </c>
      <c r="J14">
        <v>0.25973913127458631</v>
      </c>
      <c r="K14">
        <v>0.11359075192049189</v>
      </c>
      <c r="L14">
        <v>3.0576764262622201E-2</v>
      </c>
      <c r="M14">
        <v>5.1332000000000003E-2</v>
      </c>
      <c r="N14">
        <v>6.4239615091472177E-2</v>
      </c>
    </row>
    <row r="15" spans="1:17" x14ac:dyDescent="0.35">
      <c r="A15" s="1">
        <v>45839</v>
      </c>
      <c r="B15" t="s">
        <v>18</v>
      </c>
      <c r="C15">
        <v>364</v>
      </c>
      <c r="D15">
        <v>148.27961275490199</v>
      </c>
      <c r="E15">
        <v>139.0017</v>
      </c>
      <c r="F15">
        <v>5.8299999999999998E-2</v>
      </c>
      <c r="G15">
        <v>0.23748804000000001</v>
      </c>
      <c r="H15">
        <v>0.21648701709313711</v>
      </c>
      <c r="I15">
        <v>2.11000000036494</v>
      </c>
      <c r="J15">
        <v>0.25558429506077562</v>
      </c>
      <c r="K15">
        <v>0.1026004820169166</v>
      </c>
      <c r="L15">
        <v>3.0576764262622201E-2</v>
      </c>
      <c r="M15">
        <v>5.1332000000000003E-2</v>
      </c>
      <c r="N15">
        <v>7.1075048781236785E-2</v>
      </c>
      <c r="O15">
        <v>6.8354336897646084E-3</v>
      </c>
      <c r="P15">
        <v>-3.9431129203291032E-2</v>
      </c>
      <c r="Q15">
        <v>-6.1855670103092793E-2</v>
      </c>
    </row>
    <row r="16" spans="1:17" x14ac:dyDescent="0.35">
      <c r="A16" s="1">
        <v>45870</v>
      </c>
      <c r="B16" t="s">
        <v>17</v>
      </c>
      <c r="C16">
        <v>430</v>
      </c>
      <c r="D16">
        <v>146.421944379921</v>
      </c>
      <c r="E16">
        <v>138.74690000000001</v>
      </c>
      <c r="F16">
        <v>5.8400000000000001E-2</v>
      </c>
      <c r="G16">
        <v>0.23598719000000001</v>
      </c>
      <c r="H16">
        <v>0.22815286153051351</v>
      </c>
      <c r="I16">
        <v>2.11000000036494</v>
      </c>
      <c r="J16">
        <v>0.25424670404569633</v>
      </c>
      <c r="K16">
        <v>0.10812931824220511</v>
      </c>
      <c r="L16">
        <v>3.0576764262622201E-2</v>
      </c>
      <c r="M16">
        <v>5.1332000000000003E-2</v>
      </c>
      <c r="N16">
        <v>6.4208621540868996E-2</v>
      </c>
    </row>
    <row r="17" spans="1:17" x14ac:dyDescent="0.35">
      <c r="A17" s="1">
        <v>45870</v>
      </c>
      <c r="B17" t="s">
        <v>18</v>
      </c>
      <c r="C17">
        <v>407</v>
      </c>
      <c r="D17">
        <v>144.138342145293</v>
      </c>
      <c r="E17">
        <v>138.5437</v>
      </c>
      <c r="F17">
        <v>6.6500000000000004E-2</v>
      </c>
      <c r="G17">
        <v>0.24249075</v>
      </c>
      <c r="H17">
        <v>0.24299627605559551</v>
      </c>
      <c r="I17">
        <v>2.11000000036494</v>
      </c>
      <c r="J17">
        <v>0.26408705177227398</v>
      </c>
      <c r="K17">
        <v>0.11516411185477141</v>
      </c>
      <c r="L17">
        <v>3.0576764262622201E-2</v>
      </c>
      <c r="M17">
        <v>5.1332000000000003E-2</v>
      </c>
      <c r="N17">
        <v>6.7014175654880478E-2</v>
      </c>
      <c r="O17">
        <v>2.805554114011483E-3</v>
      </c>
      <c r="P17">
        <v>1.456251178423104E-2</v>
      </c>
      <c r="Q17">
        <v>-5.3488372093023262E-2</v>
      </c>
    </row>
    <row r="18" spans="1:17" x14ac:dyDescent="0.35">
      <c r="A18" s="1">
        <v>45901</v>
      </c>
      <c r="B18" t="s">
        <v>17</v>
      </c>
      <c r="C18">
        <v>300</v>
      </c>
      <c r="D18">
        <v>148.16606440628399</v>
      </c>
      <c r="E18">
        <v>139.10589999999999</v>
      </c>
      <c r="F18">
        <v>0.06</v>
      </c>
      <c r="G18">
        <v>0.23471006999999999</v>
      </c>
      <c r="H18">
        <v>0.22262058135915411</v>
      </c>
      <c r="I18">
        <v>2.11000000036494</v>
      </c>
      <c r="J18">
        <v>0.25382647154842769</v>
      </c>
      <c r="K18">
        <v>0.10550738451215649</v>
      </c>
      <c r="L18">
        <v>2.7276764262812499E-2</v>
      </c>
      <c r="M18">
        <v>4.6412000000000002E-2</v>
      </c>
      <c r="N18">
        <v>7.4630322773458713E-2</v>
      </c>
    </row>
    <row r="19" spans="1:17" x14ac:dyDescent="0.35">
      <c r="A19" s="1">
        <v>45901</v>
      </c>
      <c r="B19" t="s">
        <v>18</v>
      </c>
      <c r="C19">
        <v>317</v>
      </c>
      <c r="D19">
        <v>145.488779128967</v>
      </c>
      <c r="E19">
        <v>138.8356</v>
      </c>
      <c r="F19">
        <v>6.3899999999999998E-2</v>
      </c>
      <c r="G19">
        <v>0.24216763999999999</v>
      </c>
      <c r="H19">
        <v>0.24002293566171459</v>
      </c>
      <c r="I19">
        <v>2.11000000036494</v>
      </c>
      <c r="J19">
        <v>0.26255665837633552</v>
      </c>
      <c r="K19">
        <v>0.11375494579156439</v>
      </c>
      <c r="L19">
        <v>2.7276764262812499E-2</v>
      </c>
      <c r="M19">
        <v>4.6412000000000002E-2</v>
      </c>
      <c r="N19">
        <v>7.5112948321958639E-2</v>
      </c>
      <c r="O19">
        <v>4.8262554849992639E-4</v>
      </c>
      <c r="P19">
        <v>8.3629869766075074E-2</v>
      </c>
      <c r="Q19">
        <v>5.6666666666666643E-2</v>
      </c>
    </row>
    <row r="20" spans="1:17" x14ac:dyDescent="0.35">
      <c r="A20" s="1">
        <v>45931</v>
      </c>
      <c r="B20" t="s">
        <v>17</v>
      </c>
      <c r="C20">
        <v>305</v>
      </c>
      <c r="D20">
        <v>146.442742973929</v>
      </c>
      <c r="E20">
        <v>139.0112</v>
      </c>
      <c r="F20">
        <v>6.5100000000000005E-2</v>
      </c>
      <c r="G20">
        <v>0.24332538000000001</v>
      </c>
      <c r="H20">
        <v>0.2297948706694615</v>
      </c>
      <c r="I20">
        <v>2.11000000036494</v>
      </c>
      <c r="J20">
        <v>0.26419374122738409</v>
      </c>
      <c r="K20">
        <v>0.10890752162545821</v>
      </c>
      <c r="L20">
        <v>2.7276764262812499E-2</v>
      </c>
      <c r="M20">
        <v>4.4771999999999999E-2</v>
      </c>
      <c r="N20">
        <v>8.3237455339113392E-2</v>
      </c>
      <c r="O20" s="5"/>
    </row>
    <row r="21" spans="1:17" x14ac:dyDescent="0.35">
      <c r="A21" s="1">
        <v>45931</v>
      </c>
      <c r="B21" t="s">
        <v>18</v>
      </c>
      <c r="C21">
        <v>275</v>
      </c>
      <c r="D21">
        <v>146.24633723580899</v>
      </c>
      <c r="E21">
        <v>138.3468</v>
      </c>
      <c r="F21">
        <v>6.3600000000000004E-2</v>
      </c>
      <c r="G21">
        <v>0.24042359999999999</v>
      </c>
      <c r="H21">
        <v>0.23107150796724149</v>
      </c>
      <c r="I21">
        <v>2.11000000036494</v>
      </c>
      <c r="J21">
        <v>0.26080507816957338</v>
      </c>
      <c r="K21">
        <v>0.109512562998709</v>
      </c>
      <c r="L21">
        <v>2.7276764262812499E-2</v>
      </c>
      <c r="M21">
        <v>4.4771999999999999E-2</v>
      </c>
      <c r="N21">
        <v>7.9243750908051858E-2</v>
      </c>
      <c r="O21" s="5">
        <v>-3.9937044310615344E-3</v>
      </c>
      <c r="P21">
        <v>0.119846412623844</v>
      </c>
      <c r="Q21">
        <v>-9.8360655737704916E-2</v>
      </c>
    </row>
    <row r="22" spans="1:17" x14ac:dyDescent="0.35">
      <c r="A22" s="1">
        <v>45962</v>
      </c>
      <c r="B22" t="s">
        <v>17</v>
      </c>
      <c r="C22">
        <v>307</v>
      </c>
      <c r="D22">
        <v>145.72494910605499</v>
      </c>
      <c r="E22">
        <v>139.22929999999999</v>
      </c>
      <c r="F22">
        <v>6.3399999999999998E-2</v>
      </c>
      <c r="G22">
        <v>0.24051615000000001</v>
      </c>
      <c r="H22">
        <v>0.24431003081064251</v>
      </c>
      <c r="I22">
        <v>2.11000000036494</v>
      </c>
      <c r="J22">
        <v>0.26079569657973201</v>
      </c>
      <c r="K22">
        <v>0.115786744439994</v>
      </c>
      <c r="L22">
        <v>2.7276764262812499E-2</v>
      </c>
      <c r="M22">
        <v>4.7232000000000003E-2</v>
      </c>
      <c r="N22">
        <v>7.0500187876925469E-2</v>
      </c>
      <c r="O22" s="5"/>
    </row>
    <row r="23" spans="1:17" x14ac:dyDescent="0.35">
      <c r="A23" s="1">
        <v>45962</v>
      </c>
      <c r="B23" t="s">
        <v>18</v>
      </c>
      <c r="C23">
        <v>278</v>
      </c>
      <c r="D23">
        <v>145.35076485425901</v>
      </c>
      <c r="E23">
        <v>140.2167</v>
      </c>
      <c r="F23">
        <v>6.7299999999999999E-2</v>
      </c>
      <c r="G23">
        <v>0.24110648000000001</v>
      </c>
      <c r="H23">
        <v>0.24674222844731639</v>
      </c>
      <c r="I23">
        <v>2.11000000036494</v>
      </c>
      <c r="J23">
        <v>0.26318879433563969</v>
      </c>
      <c r="K23">
        <v>0.11693944474153579</v>
      </c>
      <c r="L23">
        <v>2.7276764262812499E-2</v>
      </c>
      <c r="M23">
        <v>4.7232000000000003E-2</v>
      </c>
      <c r="N23">
        <v>7.1740585331291462E-2</v>
      </c>
      <c r="O23" s="5">
        <v>1.240397454365993E-3</v>
      </c>
      <c r="P23">
        <v>5.8609481245416997E-2</v>
      </c>
      <c r="Q23">
        <v>-9.446254071661242E-2</v>
      </c>
    </row>
    <row r="24" spans="1:17" x14ac:dyDescent="0.35">
      <c r="A24" s="1">
        <v>45992</v>
      </c>
      <c r="B24" t="s">
        <v>17</v>
      </c>
      <c r="C24">
        <v>280</v>
      </c>
      <c r="D24">
        <v>150.95807132643901</v>
      </c>
      <c r="E24">
        <v>141.27780000000001</v>
      </c>
      <c r="F24">
        <v>0.05</v>
      </c>
      <c r="G24">
        <v>0.23661378</v>
      </c>
      <c r="H24">
        <v>0.2101225363781464</v>
      </c>
      <c r="I24">
        <v>2.11000000036494</v>
      </c>
      <c r="J24">
        <v>0.25084387864435642</v>
      </c>
      <c r="K24">
        <v>9.9584140446352706E-2</v>
      </c>
      <c r="L24">
        <v>2.7276764262812499E-2</v>
      </c>
      <c r="M24">
        <v>4.7232000000000003E-2</v>
      </c>
      <c r="N24">
        <v>7.6750973935191202E-2</v>
      </c>
      <c r="O24" s="5"/>
      <c r="Q24" s="8"/>
    </row>
    <row r="25" spans="1:17" x14ac:dyDescent="0.35">
      <c r="A25" s="1">
        <v>45992</v>
      </c>
      <c r="B25" t="s">
        <v>18</v>
      </c>
      <c r="C25">
        <v>265</v>
      </c>
      <c r="D25">
        <v>148.87194687423201</v>
      </c>
      <c r="E25">
        <v>139.6045</v>
      </c>
      <c r="F25">
        <v>5.8000000000000003E-2</v>
      </c>
      <c r="G25">
        <v>0.24038153000000001</v>
      </c>
      <c r="H25">
        <v>0.22368234531749201</v>
      </c>
      <c r="I25">
        <v>2.11000000036494</v>
      </c>
      <c r="J25">
        <v>0.25811222753801338</v>
      </c>
      <c r="K25">
        <v>0.1060105901795282</v>
      </c>
      <c r="L25">
        <v>2.7276764262812499E-2</v>
      </c>
      <c r="M25">
        <v>4.7232000000000003E-2</v>
      </c>
      <c r="N25">
        <v>7.7592873095672754E-2</v>
      </c>
      <c r="O25" s="5">
        <v>8.4189916048155178E-4</v>
      </c>
      <c r="P25">
        <v>6.1877422100017301E-2</v>
      </c>
      <c r="Q25" s="8">
        <v>-5.3571428571428603E-2</v>
      </c>
    </row>
    <row r="26" spans="1:17" x14ac:dyDescent="0.35">
      <c r="A26" s="1">
        <v>46023</v>
      </c>
      <c r="B26" t="s">
        <v>17</v>
      </c>
      <c r="C26">
        <v>308</v>
      </c>
      <c r="D26">
        <v>147.32054062083699</v>
      </c>
      <c r="E26">
        <v>140.55670000000001</v>
      </c>
      <c r="F26">
        <v>5.5300000000000002E-2</v>
      </c>
      <c r="G26">
        <v>0.23990549999999999</v>
      </c>
      <c r="H26">
        <v>0.2381664859645595</v>
      </c>
      <c r="I26">
        <v>2.11000000036494</v>
      </c>
      <c r="J26">
        <v>0.25639332620115418</v>
      </c>
      <c r="K26">
        <v>0.1128751118120222</v>
      </c>
      <c r="L26">
        <v>2.7276764262812499E-2</v>
      </c>
      <c r="M26">
        <v>4.5182E-2</v>
      </c>
      <c r="N26">
        <v>7.1059450126319451E-2</v>
      </c>
      <c r="O26" s="5"/>
      <c r="P26" s="8"/>
      <c r="Q26" s="8"/>
    </row>
    <row r="27" spans="1:17" x14ac:dyDescent="0.35">
      <c r="A27" s="1">
        <v>46023</v>
      </c>
      <c r="B27" t="s">
        <v>18</v>
      </c>
      <c r="C27">
        <v>274</v>
      </c>
      <c r="D27">
        <v>149.29371730065199</v>
      </c>
      <c r="E27">
        <v>140.2242</v>
      </c>
      <c r="F27">
        <v>5.3100000000000001E-2</v>
      </c>
      <c r="G27">
        <v>0.2413611</v>
      </c>
      <c r="H27">
        <v>0.22534083754576201</v>
      </c>
      <c r="I27">
        <v>2.11000000036494</v>
      </c>
      <c r="J27">
        <v>0.25669389985289848</v>
      </c>
      <c r="K27">
        <v>0.1067966054534539</v>
      </c>
      <c r="L27">
        <v>2.7276764262812499E-2</v>
      </c>
      <c r="M27">
        <v>4.5182E-2</v>
      </c>
      <c r="N27">
        <v>7.74385301366321E-2</v>
      </c>
      <c r="O27" s="5">
        <v>6.3790800103126488E-3</v>
      </c>
      <c r="P27" s="5">
        <v>1.965157004321165E-2</v>
      </c>
      <c r="Q27" s="8">
        <v>-0.1103896103896104</v>
      </c>
    </row>
    <row r="28" spans="1:17" x14ac:dyDescent="0.35">
      <c r="A28" s="1">
        <v>46054</v>
      </c>
      <c r="B28" t="s">
        <v>17</v>
      </c>
      <c r="C28">
        <v>500</v>
      </c>
      <c r="D28">
        <v>145.30882402571001</v>
      </c>
      <c r="E28">
        <v>139.49109999999999</v>
      </c>
      <c r="F28">
        <v>5.3400000000000003E-2</v>
      </c>
      <c r="G28">
        <v>0.24718343000000001</v>
      </c>
      <c r="H28">
        <v>0.25112444383288501</v>
      </c>
      <c r="I28">
        <v>2.11000000036494</v>
      </c>
      <c r="J28">
        <v>0.26220892607166069</v>
      </c>
      <c r="K28">
        <v>0.11901632407083</v>
      </c>
      <c r="L28">
        <v>2.7276764262812499E-2</v>
      </c>
      <c r="M28">
        <v>4.5182E-2</v>
      </c>
      <c r="N28">
        <v>7.0733837738018224E-2</v>
      </c>
      <c r="O28" s="5"/>
      <c r="P28" s="5"/>
      <c r="Q28" s="8"/>
    </row>
    <row r="29" spans="1:17" x14ac:dyDescent="0.35">
      <c r="A29" s="1">
        <v>46054</v>
      </c>
      <c r="B29" t="s">
        <v>18</v>
      </c>
      <c r="C29">
        <v>430</v>
      </c>
      <c r="D29">
        <v>146.86082044026901</v>
      </c>
      <c r="E29">
        <v>140.214</v>
      </c>
      <c r="F29">
        <v>5.67E-2</v>
      </c>
      <c r="G29">
        <v>0.24055989</v>
      </c>
      <c r="H29">
        <v>0.2410364671382515</v>
      </c>
      <c r="I29">
        <v>2.11000000036494</v>
      </c>
      <c r="J29">
        <v>0.25766070440204419</v>
      </c>
      <c r="K29">
        <v>0.11423529246282579</v>
      </c>
      <c r="L29">
        <v>2.7276764262812499E-2</v>
      </c>
      <c r="M29">
        <v>4.5182E-2</v>
      </c>
      <c r="N29">
        <v>7.096664767640587E-2</v>
      </c>
      <c r="O29" s="5">
        <v>2.3280993838764591E-4</v>
      </c>
      <c r="P29" s="5">
        <v>6.9303719545065534E-2</v>
      </c>
      <c r="Q29" s="8">
        <v>-0.14000000000000001</v>
      </c>
    </row>
    <row r="30" spans="1:17" x14ac:dyDescent="0.35">
      <c r="A30" s="1">
        <v>46082</v>
      </c>
      <c r="B30" t="s">
        <v>17</v>
      </c>
      <c r="C30">
        <v>494</v>
      </c>
      <c r="D30">
        <v>146.795643224473</v>
      </c>
      <c r="E30">
        <v>140.3749</v>
      </c>
      <c r="F30">
        <v>4.9299999999999997E-2</v>
      </c>
      <c r="G30">
        <v>0.23780618000000001</v>
      </c>
      <c r="H30">
        <v>0.24877831904092559</v>
      </c>
      <c r="I30">
        <v>2.11000000036494</v>
      </c>
      <c r="J30">
        <v>0.25161247180991142</v>
      </c>
      <c r="K30">
        <v>0.1179044165866813</v>
      </c>
      <c r="L30">
        <v>2.7276764262812499E-2</v>
      </c>
      <c r="M30">
        <v>4.5182E-2</v>
      </c>
      <c r="N30">
        <v>6.1249290960417591E-2</v>
      </c>
      <c r="O30" s="5"/>
      <c r="P30" s="5"/>
      <c r="Q30" s="8"/>
    </row>
    <row r="31" spans="1:17" x14ac:dyDescent="0.35">
      <c r="A31" s="1">
        <v>46082</v>
      </c>
      <c r="B31" t="s">
        <v>18</v>
      </c>
      <c r="C31">
        <v>445</v>
      </c>
      <c r="D31">
        <v>145.85515282791101</v>
      </c>
      <c r="E31">
        <v>140.66579999999999</v>
      </c>
      <c r="F31">
        <v>5.4300000000000001E-2</v>
      </c>
      <c r="G31">
        <v>0.24416399</v>
      </c>
      <c r="H31">
        <v>0.25489150661857851</v>
      </c>
      <c r="I31">
        <v>2.11000000036494</v>
      </c>
      <c r="J31">
        <v>0.25984912712394709</v>
      </c>
      <c r="K31">
        <v>0.12080166188364599</v>
      </c>
      <c r="L31">
        <v>2.7276764262812499E-2</v>
      </c>
      <c r="M31">
        <v>4.5182E-2</v>
      </c>
      <c r="N31">
        <v>6.6588700977488535E-2</v>
      </c>
      <c r="O31" s="5">
        <v>5.3394100170709446E-3</v>
      </c>
      <c r="P31" s="5">
        <v>1.2758730601303911E-2</v>
      </c>
      <c r="Q31" s="8">
        <v>-9.9190283400809709E-2</v>
      </c>
    </row>
    <row r="32" spans="1:17" x14ac:dyDescent="0.35">
      <c r="A32" s="1">
        <v>46113</v>
      </c>
      <c r="B32" t="s">
        <v>17</v>
      </c>
      <c r="C32">
        <v>462</v>
      </c>
      <c r="D32">
        <v>148.62395703252199</v>
      </c>
      <c r="E32">
        <v>140.48820000000001</v>
      </c>
      <c r="F32">
        <v>4.4400000000000002E-2</v>
      </c>
      <c r="G32">
        <v>0.23415749</v>
      </c>
      <c r="H32">
        <v>0.24189427928860721</v>
      </c>
      <c r="I32">
        <v>2.1199999941039902</v>
      </c>
      <c r="J32">
        <v>0.24582392805666151</v>
      </c>
      <c r="K32">
        <v>0.11410107545346609</v>
      </c>
      <c r="L32">
        <v>2.7206119192399399E-2</v>
      </c>
      <c r="M32">
        <v>4.8051999999999997E-2</v>
      </c>
      <c r="N32">
        <v>5.6464733410795977E-2</v>
      </c>
      <c r="O32" s="5"/>
      <c r="P32" s="8"/>
      <c r="Q32" s="8"/>
    </row>
    <row r="33" spans="1:17" x14ac:dyDescent="0.35">
      <c r="A33" s="1">
        <v>46113</v>
      </c>
      <c r="B33" t="s">
        <v>18</v>
      </c>
      <c r="C33">
        <v>416</v>
      </c>
      <c r="D33">
        <v>150.523966474877</v>
      </c>
      <c r="E33">
        <v>141.0598</v>
      </c>
      <c r="F33">
        <v>4.3499999999999997E-2</v>
      </c>
      <c r="G33">
        <v>0.23592669999999999</v>
      </c>
      <c r="H33">
        <v>0.2295442179132996</v>
      </c>
      <c r="I33">
        <v>2.1199999941039902</v>
      </c>
      <c r="J33">
        <v>0.24703202674159411</v>
      </c>
      <c r="K33">
        <v>0.1082755747885346</v>
      </c>
      <c r="L33">
        <v>2.7206119192399399E-2</v>
      </c>
      <c r="M33">
        <v>4.8051999999999997E-2</v>
      </c>
      <c r="N33">
        <v>6.3498332760660012E-2</v>
      </c>
      <c r="O33" s="5">
        <v>7.0335993498640281E-3</v>
      </c>
      <c r="P33" s="5">
        <v>-7.1434694053656746E-3</v>
      </c>
      <c r="Q33" s="8">
        <v>-9.9567099567099526E-2</v>
      </c>
    </row>
    <row r="34" spans="1:17" x14ac:dyDescent="0.35">
      <c r="A34" s="1">
        <v>46143</v>
      </c>
      <c r="B34" t="s">
        <v>17</v>
      </c>
      <c r="C34">
        <v>404</v>
      </c>
      <c r="D34">
        <v>149.736052445436</v>
      </c>
      <c r="E34">
        <v>141.12559999999999</v>
      </c>
      <c r="F34">
        <v>3.3799999999999997E-2</v>
      </c>
      <c r="G34">
        <v>0.23120800999999999</v>
      </c>
      <c r="H34">
        <v>0.23607475910466599</v>
      </c>
      <c r="I34">
        <v>2.1199999941039902</v>
      </c>
      <c r="J34">
        <v>0.23810214789875581</v>
      </c>
      <c r="K34">
        <v>0.1113560187552935</v>
      </c>
      <c r="L34">
        <v>2.7206119192399399E-2</v>
      </c>
      <c r="M34">
        <v>4.7232000000000003E-2</v>
      </c>
      <c r="N34" s="5">
        <v>5.2308009951062932E-2</v>
      </c>
      <c r="O34" s="5"/>
      <c r="P34" s="8"/>
      <c r="Q34" s="8"/>
    </row>
    <row r="35" spans="1:17" x14ac:dyDescent="0.35">
      <c r="A35" s="1">
        <v>46143</v>
      </c>
      <c r="B35" t="s">
        <v>18</v>
      </c>
      <c r="C35">
        <v>372</v>
      </c>
      <c r="D35">
        <v>152.23608260517099</v>
      </c>
      <c r="E35">
        <v>141.07149999999999</v>
      </c>
      <c r="F35">
        <v>3.7400000000000003E-2</v>
      </c>
      <c r="G35">
        <v>0.22802650999999999</v>
      </c>
      <c r="H35">
        <v>0.21982456306638859</v>
      </c>
      <c r="I35">
        <v>2.1199999941039902</v>
      </c>
      <c r="J35">
        <v>0.23686437291102569</v>
      </c>
      <c r="K35">
        <v>0.1036908319234673</v>
      </c>
      <c r="L35">
        <v>2.7206119192399399E-2</v>
      </c>
      <c r="M35">
        <v>4.7232000000000003E-2</v>
      </c>
      <c r="N35" s="5">
        <v>5.8735421795158969E-2</v>
      </c>
      <c r="O35" s="5">
        <v>6.4274118440960371E-3</v>
      </c>
      <c r="P35" s="5">
        <v>-2.2410652736553519E-2</v>
      </c>
      <c r="Q35" s="5">
        <v>-7.9207920792079167E-2</v>
      </c>
    </row>
    <row r="37" spans="1:17" x14ac:dyDescent="0.35">
      <c r="O37" s="5"/>
      <c r="P37" s="3">
        <f>AVERAGE(P31:P35)</f>
        <v>-5.5984638468717608E-3</v>
      </c>
      <c r="Q37" s="3">
        <f>AVERAGE(Q31:Q35)</f>
        <v>-9.2655101253329472E-2</v>
      </c>
    </row>
    <row r="38" spans="1:17" x14ac:dyDescent="0.35">
      <c r="P38" s="3">
        <f>AVERAGE(P25:P29)</f>
        <v>5.0277570562764828E-2</v>
      </c>
      <c r="Q38" s="3">
        <f>AVERAGE(Q25:Q29)</f>
        <v>-0.10132034632034632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7"/>
  <sheetViews>
    <sheetView zoomScale="205" zoomScaleNormal="205" workbookViewId="0">
      <selection activeCell="H27" sqref="H27"/>
    </sheetView>
  </sheetViews>
  <sheetFormatPr defaultRowHeight="14.5" x14ac:dyDescent="0.35"/>
  <sheetData>
    <row r="1" spans="1:15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3</v>
      </c>
      <c r="G1" t="s">
        <v>25</v>
      </c>
      <c r="H1" t="s">
        <v>8</v>
      </c>
      <c r="I1" t="s">
        <v>26</v>
      </c>
      <c r="J1" t="s">
        <v>27</v>
      </c>
      <c r="K1" t="s">
        <v>28</v>
      </c>
      <c r="L1" t="s">
        <v>29</v>
      </c>
      <c r="M1" t="s">
        <v>11</v>
      </c>
      <c r="N1" t="s">
        <v>12</v>
      </c>
      <c r="O1" t="s">
        <v>9</v>
      </c>
    </row>
    <row r="2" spans="1:15" x14ac:dyDescent="0.35">
      <c r="A2" t="s">
        <v>37</v>
      </c>
      <c r="B2" s="2">
        <v>45658</v>
      </c>
      <c r="C2">
        <v>136.30000000000001</v>
      </c>
      <c r="D2">
        <v>7.9875723999999995E-2</v>
      </c>
      <c r="E2">
        <v>0.25151584700000001</v>
      </c>
      <c r="G2">
        <v>0.25512499999999999</v>
      </c>
      <c r="H2">
        <v>2.11000000036494</v>
      </c>
      <c r="I2">
        <v>0.91606387499999997</v>
      </c>
      <c r="J2">
        <v>3.0000000000000001E-3</v>
      </c>
      <c r="K2">
        <v>4.1000000000000003E-3</v>
      </c>
      <c r="L2">
        <v>1.6999999999999999E-3</v>
      </c>
      <c r="M2">
        <v>3.0576764262622201E-2</v>
      </c>
      <c r="N2">
        <v>5.0512000000000001E-2</v>
      </c>
      <c r="O2">
        <v>0.27706037478510859</v>
      </c>
    </row>
    <row r="3" spans="1:15" x14ac:dyDescent="0.35">
      <c r="A3" t="s">
        <v>37</v>
      </c>
      <c r="B3" s="2">
        <v>45698</v>
      </c>
      <c r="C3">
        <v>136.30000000000001</v>
      </c>
      <c r="D3">
        <v>7.9875723999999995E-2</v>
      </c>
      <c r="E3">
        <v>0.25151584700000001</v>
      </c>
      <c r="F3">
        <v>141.6</v>
      </c>
      <c r="G3">
        <v>0.25312499999999999</v>
      </c>
      <c r="H3">
        <v>2.11000000036494</v>
      </c>
      <c r="I3">
        <v>0.91672187500000002</v>
      </c>
      <c r="J3">
        <v>3.0000000000000001E-3</v>
      </c>
      <c r="K3">
        <v>4.1000000000000003E-3</v>
      </c>
      <c r="L3">
        <v>1.6999999999999999E-3</v>
      </c>
      <c r="M3">
        <v>3.0576764262622201E-2</v>
      </c>
      <c r="N3">
        <v>4.9281999999999999E-2</v>
      </c>
      <c r="O3">
        <v>0.27722587221243461</v>
      </c>
    </row>
    <row r="4" spans="1:15" x14ac:dyDescent="0.35">
      <c r="A4" t="s">
        <v>37</v>
      </c>
      <c r="B4" s="2">
        <v>45743</v>
      </c>
      <c r="C4">
        <v>136.30000000000001</v>
      </c>
      <c r="D4">
        <v>7.9875723999999995E-2</v>
      </c>
      <c r="E4">
        <v>0.25151584700000001</v>
      </c>
      <c r="F4">
        <v>141.6</v>
      </c>
      <c r="G4">
        <v>0.25518180000000001</v>
      </c>
      <c r="H4">
        <v>2.11000000036494</v>
      </c>
      <c r="I4">
        <v>0.91604518779999999</v>
      </c>
      <c r="J4">
        <v>3.0000000000000001E-3</v>
      </c>
      <c r="K4">
        <v>4.1000000000000003E-3</v>
      </c>
      <c r="L4">
        <v>1.6999999999999999E-3</v>
      </c>
      <c r="M4">
        <v>3.0576764262622201E-2</v>
      </c>
      <c r="N4">
        <v>4.9281999999999999E-2</v>
      </c>
      <c r="O4">
        <v>0.27705567465817249</v>
      </c>
    </row>
    <row r="5" spans="1:15" x14ac:dyDescent="0.35">
      <c r="A5" t="s">
        <v>37</v>
      </c>
      <c r="B5" s="2">
        <v>45769</v>
      </c>
      <c r="C5">
        <v>137.4</v>
      </c>
      <c r="D5">
        <v>7.0000000000000007E-2</v>
      </c>
      <c r="E5">
        <v>0.25081584699999998</v>
      </c>
      <c r="F5">
        <v>142.69999999999999</v>
      </c>
      <c r="G5">
        <v>0.24816669999999999</v>
      </c>
      <c r="H5">
        <v>2.11000000036494</v>
      </c>
      <c r="I5">
        <v>0.91835315569999998</v>
      </c>
      <c r="J5">
        <v>3.0000000000000001E-3</v>
      </c>
      <c r="K5">
        <v>4.1000000000000003E-3</v>
      </c>
      <c r="L5">
        <v>1.6999999999999999E-3</v>
      </c>
      <c r="M5">
        <v>3.0576764262622201E-2</v>
      </c>
      <c r="N5">
        <v>5.4612000000000001E-2</v>
      </c>
      <c r="O5">
        <v>0.27231288003651738</v>
      </c>
    </row>
    <row r="6" spans="1:15" x14ac:dyDescent="0.35">
      <c r="A6" t="s">
        <v>37</v>
      </c>
      <c r="B6" s="2">
        <v>45789</v>
      </c>
      <c r="C6">
        <v>138</v>
      </c>
      <c r="D6">
        <v>7.0000000000000007E-2</v>
      </c>
      <c r="E6">
        <v>0.25081584699999998</v>
      </c>
      <c r="F6">
        <v>142.19999999999999</v>
      </c>
      <c r="G6">
        <v>0.24972730000000001</v>
      </c>
      <c r="H6">
        <v>2.11000000036494</v>
      </c>
      <c r="I6">
        <v>0.9178397183</v>
      </c>
      <c r="J6">
        <v>3.0000000000000001E-3</v>
      </c>
      <c r="K6">
        <v>4.1000000000000003E-3</v>
      </c>
      <c r="L6">
        <v>1.6999999999999999E-3</v>
      </c>
      <c r="M6">
        <v>3.0576764262622201E-2</v>
      </c>
      <c r="N6">
        <v>5.1332000000000003E-2</v>
      </c>
      <c r="O6">
        <v>0.2721841018001549</v>
      </c>
    </row>
    <row r="7" spans="1:15" x14ac:dyDescent="0.35">
      <c r="A7" t="s">
        <v>37</v>
      </c>
      <c r="B7" s="2">
        <v>45809</v>
      </c>
      <c r="C7">
        <v>138</v>
      </c>
      <c r="D7">
        <v>7.0000000000000007E-2</v>
      </c>
      <c r="E7">
        <v>0.25081584699999998</v>
      </c>
      <c r="F7">
        <v>142.9</v>
      </c>
      <c r="G7">
        <v>0.25145450000000003</v>
      </c>
      <c r="H7">
        <v>2.11000000036494</v>
      </c>
      <c r="I7">
        <v>0.92279999999999995</v>
      </c>
      <c r="J7">
        <v>3.0000000000000001E-3</v>
      </c>
      <c r="K7">
        <v>4.1000000000000003E-3</v>
      </c>
      <c r="L7">
        <v>1.6999999999999999E-3</v>
      </c>
      <c r="M7">
        <v>3.0576764262622201E-2</v>
      </c>
      <c r="N7">
        <v>5.1332000000000003E-2</v>
      </c>
      <c r="O7">
        <v>0.27342821905609899</v>
      </c>
    </row>
    <row r="8" spans="1:15" x14ac:dyDescent="0.35">
      <c r="A8" t="s">
        <v>37</v>
      </c>
      <c r="B8" s="2">
        <v>45839</v>
      </c>
      <c r="C8">
        <v>138</v>
      </c>
      <c r="D8">
        <v>7.0000000000000007E-2</v>
      </c>
      <c r="E8">
        <v>0.25081584699999998</v>
      </c>
      <c r="F8">
        <v>142.9</v>
      </c>
      <c r="G8">
        <v>0.25104549999999998</v>
      </c>
      <c r="H8">
        <v>2.11000000036494</v>
      </c>
      <c r="I8">
        <v>0.92279999999999995</v>
      </c>
      <c r="J8">
        <v>3.0000000000000001E-3</v>
      </c>
      <c r="K8">
        <v>4.1000000000000003E-3</v>
      </c>
      <c r="L8">
        <v>1.6999999999999999E-3</v>
      </c>
      <c r="M8">
        <v>3.0576764262622201E-2</v>
      </c>
      <c r="N8">
        <v>5.1332000000000003E-2</v>
      </c>
      <c r="O8">
        <v>0.27342821905609899</v>
      </c>
    </row>
    <row r="9" spans="1:15" x14ac:dyDescent="0.35">
      <c r="A9" t="s">
        <v>37</v>
      </c>
      <c r="B9" s="2">
        <v>45882</v>
      </c>
      <c r="C9">
        <v>138.4</v>
      </c>
      <c r="D9">
        <v>7.2400000000000006E-2</v>
      </c>
      <c r="E9">
        <v>0.25081584699999998</v>
      </c>
      <c r="F9">
        <v>143.30000000000001</v>
      </c>
      <c r="G9">
        <v>0.25424999999999998</v>
      </c>
      <c r="H9">
        <v>2.11000000036494</v>
      </c>
      <c r="I9">
        <v>0.92279999999999995</v>
      </c>
      <c r="J9">
        <v>3.0000000000000001E-3</v>
      </c>
      <c r="K9">
        <v>4.1000000000000003E-3</v>
      </c>
      <c r="L9">
        <v>1.6999999999999999E-3</v>
      </c>
      <c r="M9">
        <v>2.7276764262812499E-2</v>
      </c>
      <c r="N9">
        <v>4.6412000000000002E-2</v>
      </c>
      <c r="O9">
        <v>0.27456565981419612</v>
      </c>
    </row>
    <row r="10" spans="1:15" x14ac:dyDescent="0.35">
      <c r="A10" t="s">
        <v>37</v>
      </c>
      <c r="B10" s="2">
        <v>45908</v>
      </c>
      <c r="C10">
        <v>138.69999999999999</v>
      </c>
      <c r="D10">
        <v>7.5200000000000003E-2</v>
      </c>
      <c r="E10">
        <v>0.25081584699999998</v>
      </c>
      <c r="F10">
        <v>143.6</v>
      </c>
      <c r="G10">
        <v>0.24827270000000001</v>
      </c>
      <c r="H10">
        <v>2.11000000036494</v>
      </c>
      <c r="I10">
        <v>0.92279999999999995</v>
      </c>
      <c r="J10">
        <v>3.0000000000000001E-3</v>
      </c>
      <c r="K10">
        <v>4.1000000000000003E-3</v>
      </c>
      <c r="L10">
        <v>1.6999999999999999E-3</v>
      </c>
      <c r="M10">
        <v>2.7276764262812499E-2</v>
      </c>
      <c r="N10">
        <v>4.4771999999999999E-2</v>
      </c>
      <c r="O10">
        <v>0.27589267403197609</v>
      </c>
    </row>
    <row r="11" spans="1:15" x14ac:dyDescent="0.35">
      <c r="A11" t="s">
        <v>37</v>
      </c>
      <c r="B11" s="2">
        <v>45936</v>
      </c>
      <c r="C11">
        <v>138.80000000000001</v>
      </c>
      <c r="D11">
        <v>0.06</v>
      </c>
      <c r="E11">
        <v>0.25081584699999998</v>
      </c>
      <c r="F11">
        <v>146.19999999999999</v>
      </c>
      <c r="G11">
        <v>0.2412222</v>
      </c>
      <c r="H11">
        <v>2.11000000036494</v>
      </c>
      <c r="I11">
        <v>0.92279999999999995</v>
      </c>
      <c r="J11">
        <v>3.0000000000000001E-3</v>
      </c>
      <c r="K11">
        <v>4.1000000000000003E-3</v>
      </c>
      <c r="L11">
        <v>1.6999999999999999E-3</v>
      </c>
      <c r="M11">
        <v>2.7276764262812499E-2</v>
      </c>
      <c r="N11">
        <v>4.7232000000000003E-2</v>
      </c>
      <c r="O11">
        <v>0.26868888256402768</v>
      </c>
    </row>
    <row r="12" spans="1:15" x14ac:dyDescent="0.35">
      <c r="A12" t="s">
        <v>37</v>
      </c>
      <c r="B12" s="2">
        <v>45972</v>
      </c>
      <c r="C12">
        <v>138.6</v>
      </c>
      <c r="D12">
        <v>5.9200000000000003E-2</v>
      </c>
      <c r="E12">
        <v>0.25081584699999998</v>
      </c>
      <c r="F12">
        <v>146</v>
      </c>
      <c r="G12">
        <v>0.24235000000000001</v>
      </c>
      <c r="H12">
        <v>2.11000000036494</v>
      </c>
      <c r="I12">
        <v>0.92279999999999995</v>
      </c>
      <c r="J12">
        <v>3.0000000000000001E-3</v>
      </c>
      <c r="K12">
        <v>4.1000000000000003E-3</v>
      </c>
      <c r="L12">
        <v>1.6999999999999999E-3</v>
      </c>
      <c r="M12">
        <v>2.7276764262812499E-2</v>
      </c>
      <c r="N12">
        <v>4.7232000000000003E-2</v>
      </c>
      <c r="O12">
        <v>0.26830973564466198</v>
      </c>
    </row>
    <row r="13" spans="1:15" x14ac:dyDescent="0.35">
      <c r="A13" t="s">
        <v>37</v>
      </c>
      <c r="B13" s="2">
        <v>46009</v>
      </c>
      <c r="C13">
        <v>139.80000000000001</v>
      </c>
      <c r="D13">
        <v>5.3699999999999998E-2</v>
      </c>
      <c r="E13">
        <v>0.25076584699999999</v>
      </c>
      <c r="F13">
        <v>147.5</v>
      </c>
      <c r="G13">
        <v>0.23699999999999999</v>
      </c>
      <c r="H13">
        <v>2.11000000036494</v>
      </c>
      <c r="I13">
        <v>0.92279999999999995</v>
      </c>
      <c r="J13">
        <v>3.0000000000000001E-3</v>
      </c>
      <c r="K13">
        <v>4.1000000000000003E-3</v>
      </c>
      <c r="L13">
        <v>1.6999999999999999E-3</v>
      </c>
      <c r="M13">
        <v>2.7276764262812499E-2</v>
      </c>
      <c r="N13">
        <v>4.5182E-2</v>
      </c>
      <c r="O13">
        <v>0.26565696057402283</v>
      </c>
    </row>
    <row r="14" spans="1:15" x14ac:dyDescent="0.35">
      <c r="A14" t="s">
        <v>37</v>
      </c>
      <c r="B14" s="2">
        <v>46045</v>
      </c>
      <c r="C14">
        <v>139.6</v>
      </c>
      <c r="D14">
        <v>5.2699999999999997E-2</v>
      </c>
      <c r="E14">
        <v>0.25076584699999999</v>
      </c>
      <c r="F14">
        <v>147.30000000000001</v>
      </c>
      <c r="G14">
        <v>0.2381818</v>
      </c>
      <c r="H14">
        <v>2.11000000036494</v>
      </c>
      <c r="I14">
        <v>0.92279999999999995</v>
      </c>
      <c r="J14">
        <v>3.0000000000000001E-3</v>
      </c>
      <c r="K14">
        <v>4.1000000000000003E-3</v>
      </c>
      <c r="L14">
        <v>1.6999999999999999E-3</v>
      </c>
      <c r="M14">
        <v>2.7276764262812499E-2</v>
      </c>
      <c r="N14">
        <v>4.5182E-2</v>
      </c>
      <c r="O14">
        <v>0.26518302692481571</v>
      </c>
    </row>
    <row r="15" spans="1:15" x14ac:dyDescent="0.35">
      <c r="A15" t="s">
        <v>37</v>
      </c>
      <c r="B15" s="2">
        <v>46062</v>
      </c>
      <c r="C15">
        <v>139.6</v>
      </c>
      <c r="D15">
        <v>5.2699999999999997E-2</v>
      </c>
      <c r="E15">
        <v>0.25076584699999999</v>
      </c>
      <c r="F15">
        <v>147.30000000000001</v>
      </c>
      <c r="G15">
        <v>0.2455</v>
      </c>
      <c r="H15">
        <v>2.11000000036494</v>
      </c>
      <c r="I15">
        <v>0.92279999999999995</v>
      </c>
      <c r="J15">
        <v>3.0000000000000001E-3</v>
      </c>
      <c r="K15">
        <v>4.1000000000000003E-3</v>
      </c>
      <c r="L15">
        <v>1.6999999999999999E-3</v>
      </c>
      <c r="M15">
        <v>2.7276764262812499E-2</v>
      </c>
      <c r="N15">
        <v>4.5182E-2</v>
      </c>
      <c r="O15">
        <v>0.26518302692481571</v>
      </c>
    </row>
    <row r="16" spans="1:15" x14ac:dyDescent="0.35">
      <c r="A16" t="s">
        <v>37</v>
      </c>
      <c r="B16" s="2">
        <v>46100</v>
      </c>
      <c r="C16">
        <v>139.6</v>
      </c>
      <c r="D16">
        <v>5.2699999999999997E-2</v>
      </c>
      <c r="E16">
        <v>0.25076584699999999</v>
      </c>
      <c r="F16">
        <v>147.30000000000001</v>
      </c>
      <c r="G16">
        <v>0.2505</v>
      </c>
      <c r="H16">
        <v>2.1199999941039902</v>
      </c>
      <c r="I16">
        <v>0.92279999999999995</v>
      </c>
      <c r="J16">
        <v>3.0000000000000001E-3</v>
      </c>
      <c r="K16">
        <v>4.1000000000000003E-3</v>
      </c>
      <c r="L16">
        <v>1.6999999999999999E-3</v>
      </c>
      <c r="M16">
        <v>2.7206119192399399E-2</v>
      </c>
      <c r="N16">
        <v>4.8051999999999997E-2</v>
      </c>
      <c r="O16">
        <v>0.26506521424677248</v>
      </c>
    </row>
    <row r="17" spans="1:15" x14ac:dyDescent="0.35">
      <c r="A17" t="s">
        <v>37</v>
      </c>
      <c r="B17" s="2">
        <v>46133</v>
      </c>
      <c r="C17">
        <v>139.6</v>
      </c>
      <c r="D17">
        <v>5.2699999999999997E-2</v>
      </c>
      <c r="E17">
        <v>0.25076584699999999</v>
      </c>
      <c r="F17">
        <v>147.30000000000001</v>
      </c>
      <c r="G17">
        <v>0.2519091</v>
      </c>
      <c r="H17">
        <v>2.1199999941039902</v>
      </c>
      <c r="I17">
        <v>0.92279999999999995</v>
      </c>
      <c r="J17">
        <v>3.0000000000000001E-3</v>
      </c>
      <c r="K17">
        <v>4.1000000000000003E-3</v>
      </c>
      <c r="L17">
        <v>1.6999999999999999E-3</v>
      </c>
      <c r="M17">
        <v>2.7206119192399399E-2</v>
      </c>
      <c r="N17">
        <v>4.7232000000000003E-2</v>
      </c>
      <c r="O17">
        <v>0.26506521424677248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7"/>
  <sheetViews>
    <sheetView workbookViewId="0"/>
  </sheetViews>
  <sheetFormatPr defaultRowHeight="14.5" x14ac:dyDescent="0.35"/>
  <sheetData>
    <row r="1" spans="1:15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3</v>
      </c>
      <c r="G1" t="s">
        <v>25</v>
      </c>
      <c r="H1" t="s">
        <v>8</v>
      </c>
      <c r="I1" t="s">
        <v>26</v>
      </c>
      <c r="J1" t="s">
        <v>27</v>
      </c>
      <c r="K1" t="s">
        <v>28</v>
      </c>
      <c r="L1" t="s">
        <v>29</v>
      </c>
      <c r="M1" t="s">
        <v>11</v>
      </c>
      <c r="N1" t="s">
        <v>12</v>
      </c>
      <c r="O1" t="s">
        <v>9</v>
      </c>
    </row>
    <row r="2" spans="1:15" x14ac:dyDescent="0.35">
      <c r="A2" t="s">
        <v>65</v>
      </c>
      <c r="B2" s="1">
        <v>46009</v>
      </c>
      <c r="C2">
        <v>0</v>
      </c>
      <c r="D2">
        <v>2.9000000000000001E-2</v>
      </c>
      <c r="E2">
        <v>0.23499999999999999</v>
      </c>
      <c r="G2">
        <v>0.26240000000000002</v>
      </c>
      <c r="H2">
        <v>2.27</v>
      </c>
      <c r="I2">
        <v>0.90500000000000003</v>
      </c>
      <c r="J2">
        <v>3.0000000000000001E-3</v>
      </c>
      <c r="K2">
        <v>4.1000000000000003E-3</v>
      </c>
      <c r="L2">
        <v>1.6999999999999999E-3</v>
      </c>
      <c r="M2">
        <v>1.4999999999999999E-2</v>
      </c>
      <c r="N2">
        <v>4.5182E-2</v>
      </c>
      <c r="O2">
        <v>0.2342503303964758</v>
      </c>
    </row>
    <row r="3" spans="1:15" x14ac:dyDescent="0.35">
      <c r="A3" t="s">
        <v>65</v>
      </c>
      <c r="B3" s="1">
        <v>46023</v>
      </c>
      <c r="C3">
        <v>0</v>
      </c>
      <c r="D3">
        <v>2.9000000000000001E-2</v>
      </c>
      <c r="E3">
        <v>0.23499999999999999</v>
      </c>
      <c r="G3">
        <v>0.2775555555</v>
      </c>
      <c r="H3">
        <v>2.27</v>
      </c>
      <c r="I3">
        <v>0.90500000000000003</v>
      </c>
      <c r="J3">
        <v>3.0000000000000001E-3</v>
      </c>
      <c r="K3">
        <v>4.1000000000000003E-3</v>
      </c>
      <c r="L3">
        <v>1.6999999999999999E-3</v>
      </c>
      <c r="M3">
        <v>1.4999999999999999E-2</v>
      </c>
      <c r="N3">
        <v>4.5182E-2</v>
      </c>
      <c r="O3">
        <v>0.2342503303964758</v>
      </c>
    </row>
    <row r="4" spans="1:15" x14ac:dyDescent="0.35">
      <c r="A4" t="s">
        <v>65</v>
      </c>
      <c r="B4" s="1">
        <v>46069</v>
      </c>
      <c r="C4">
        <v>0</v>
      </c>
      <c r="D4">
        <v>2.9000000000000001E-2</v>
      </c>
      <c r="E4">
        <v>0.23499999999999999</v>
      </c>
      <c r="G4">
        <v>0.2775555555</v>
      </c>
      <c r="H4">
        <v>2.27</v>
      </c>
      <c r="I4">
        <v>0.90500000000000003</v>
      </c>
      <c r="J4">
        <v>3.0000000000000001E-3</v>
      </c>
      <c r="K4">
        <v>4.1000000000000003E-3</v>
      </c>
      <c r="L4">
        <v>1.6999999999999999E-3</v>
      </c>
      <c r="M4">
        <v>1.4999999999999999E-2</v>
      </c>
      <c r="N4">
        <v>4.3951999999999998E-2</v>
      </c>
      <c r="O4">
        <v>0.2342503303964758</v>
      </c>
    </row>
    <row r="5" spans="1:15" x14ac:dyDescent="0.35">
      <c r="A5" t="s">
        <v>65</v>
      </c>
      <c r="B5" s="1">
        <v>46112</v>
      </c>
      <c r="C5">
        <v>0</v>
      </c>
      <c r="D5">
        <v>3.2000000000000001E-2</v>
      </c>
      <c r="E5">
        <v>0.23499999999999999</v>
      </c>
      <c r="G5">
        <v>0.25783739591218802</v>
      </c>
      <c r="H5">
        <v>2.27</v>
      </c>
      <c r="I5">
        <v>0.90500000000000003</v>
      </c>
      <c r="J5">
        <v>3.0000000000000001E-3</v>
      </c>
      <c r="K5">
        <v>4.1000000000000003E-3</v>
      </c>
      <c r="L5">
        <v>1.6999999999999999E-3</v>
      </c>
      <c r="M5">
        <v>1.4999999999999999E-2</v>
      </c>
      <c r="N5">
        <v>5.0102000000000001E-2</v>
      </c>
      <c r="O5">
        <v>0.23557191629955951</v>
      </c>
    </row>
    <row r="6" spans="1:15" x14ac:dyDescent="0.35">
      <c r="A6" t="s">
        <v>65</v>
      </c>
      <c r="B6" s="1">
        <v>46134</v>
      </c>
      <c r="C6">
        <v>0</v>
      </c>
      <c r="D6">
        <v>2.5000000000000001E-2</v>
      </c>
      <c r="E6">
        <v>0.22800000000000001</v>
      </c>
      <c r="G6">
        <v>0.26569999999999999</v>
      </c>
      <c r="H6">
        <v>2.27</v>
      </c>
      <c r="I6">
        <v>0.90500000000000003</v>
      </c>
      <c r="J6">
        <v>3.0000000000000001E-3</v>
      </c>
      <c r="K6">
        <v>4.1000000000000003E-3</v>
      </c>
      <c r="L6">
        <v>1.6999999999999999E-3</v>
      </c>
      <c r="M6">
        <v>1.4999999999999999E-2</v>
      </c>
      <c r="N6">
        <v>4.7232000000000003E-2</v>
      </c>
      <c r="O6">
        <v>0.22615321585903089</v>
      </c>
    </row>
    <row r="7" spans="1:15" x14ac:dyDescent="0.35">
      <c r="A7" t="s">
        <v>65</v>
      </c>
      <c r="B7" s="1">
        <v>46160</v>
      </c>
      <c r="C7">
        <v>0</v>
      </c>
      <c r="D7">
        <v>1.7999999999999999E-2</v>
      </c>
      <c r="E7">
        <v>0.22800000000000001</v>
      </c>
      <c r="G7">
        <v>0.241079150579151</v>
      </c>
      <c r="H7">
        <v>2.27</v>
      </c>
      <c r="I7">
        <v>0.92</v>
      </c>
      <c r="J7">
        <v>3.0000000000000001E-3</v>
      </c>
      <c r="K7">
        <v>4.1000000000000003E-3</v>
      </c>
      <c r="L7">
        <v>1.6999999999999999E-3</v>
      </c>
      <c r="M7">
        <v>1.4E-2</v>
      </c>
      <c r="N7">
        <v>5.0512000000000001E-2</v>
      </c>
      <c r="O7">
        <v>0.22648951541850221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5"/>
  <sheetViews>
    <sheetView topLeftCell="A13" zoomScale="190" zoomScaleNormal="190" workbookViewId="0">
      <selection activeCell="L28" sqref="L28"/>
    </sheetView>
  </sheetViews>
  <sheetFormatPr defaultRowHeight="14.5" x14ac:dyDescent="0.35"/>
  <cols>
    <col min="11" max="11" width="12.1796875" bestFit="1" customWidth="1"/>
  </cols>
  <sheetData>
    <row r="1" spans="1:12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35">
      <c r="A2" t="s">
        <v>50</v>
      </c>
      <c r="B2">
        <v>2025</v>
      </c>
      <c r="C2">
        <v>6</v>
      </c>
      <c r="D2">
        <v>11884</v>
      </c>
      <c r="E2">
        <v>901</v>
      </c>
      <c r="F2">
        <v>787</v>
      </c>
      <c r="G2">
        <v>7.5816223493773136E-2</v>
      </c>
      <c r="H2">
        <v>7.5816223493773136E-2</v>
      </c>
      <c r="I2">
        <v>6.6223493773140352E-2</v>
      </c>
      <c r="J2">
        <v>5.8400000000000001E-2</v>
      </c>
      <c r="K2">
        <v>0.3548</v>
      </c>
      <c r="L2">
        <v>0.24908447</v>
      </c>
    </row>
    <row r="3" spans="1:12" x14ac:dyDescent="0.35">
      <c r="A3" t="s">
        <v>50</v>
      </c>
      <c r="B3">
        <v>2025</v>
      </c>
      <c r="C3">
        <v>7</v>
      </c>
      <c r="D3">
        <v>10900</v>
      </c>
      <c r="E3">
        <v>722</v>
      </c>
      <c r="F3">
        <v>633</v>
      </c>
      <c r="G3">
        <v>6.6238532110091744E-2</v>
      </c>
      <c r="H3">
        <v>6.6238532110091744E-2</v>
      </c>
      <c r="I3">
        <v>5.8073394495412843E-2</v>
      </c>
      <c r="J3">
        <v>4.9299999999999997E-2</v>
      </c>
      <c r="K3">
        <v>0.3483</v>
      </c>
      <c r="L3">
        <v>0.24894458999999999</v>
      </c>
    </row>
    <row r="4" spans="1:12" x14ac:dyDescent="0.35">
      <c r="A4" t="s">
        <v>50</v>
      </c>
      <c r="B4">
        <v>2025</v>
      </c>
      <c r="C4">
        <v>8</v>
      </c>
      <c r="D4">
        <v>13438</v>
      </c>
      <c r="E4">
        <v>981</v>
      </c>
      <c r="F4">
        <v>870</v>
      </c>
      <c r="G4">
        <v>7.3001934811727939E-2</v>
      </c>
      <c r="H4">
        <v>7.3001934811727939E-2</v>
      </c>
      <c r="I4">
        <v>6.4741777050156268E-2</v>
      </c>
      <c r="J4">
        <v>5.0799999999999998E-2</v>
      </c>
      <c r="K4">
        <v>0.36909999999999998</v>
      </c>
      <c r="L4">
        <v>0.24711663</v>
      </c>
    </row>
    <row r="5" spans="1:12" x14ac:dyDescent="0.35">
      <c r="A5" t="s">
        <v>50</v>
      </c>
      <c r="B5">
        <v>2025</v>
      </c>
      <c r="C5">
        <v>9</v>
      </c>
      <c r="D5">
        <v>9970</v>
      </c>
      <c r="E5">
        <v>594</v>
      </c>
      <c r="F5">
        <v>526</v>
      </c>
      <c r="G5">
        <v>5.9578736208625881E-2</v>
      </c>
      <c r="H5">
        <v>5.9578736208625881E-2</v>
      </c>
      <c r="I5">
        <v>5.2758274824473421E-2</v>
      </c>
      <c r="J5">
        <v>4.7199999999999999E-2</v>
      </c>
      <c r="K5">
        <v>0.34949999999999998</v>
      </c>
      <c r="L5">
        <v>0.24573292999999999</v>
      </c>
    </row>
    <row r="6" spans="1:12" x14ac:dyDescent="0.35">
      <c r="A6" t="s">
        <v>50</v>
      </c>
      <c r="B6">
        <v>2025</v>
      </c>
      <c r="C6">
        <v>10</v>
      </c>
      <c r="D6">
        <v>11760</v>
      </c>
      <c r="E6">
        <v>667</v>
      </c>
      <c r="F6">
        <v>589</v>
      </c>
      <c r="G6">
        <v>5.671768707482993E-2</v>
      </c>
      <c r="H6">
        <v>5.671768707482993E-2</v>
      </c>
      <c r="I6">
        <v>5.008503401360543E-2</v>
      </c>
      <c r="J6">
        <v>4.8399999999999999E-2</v>
      </c>
      <c r="K6">
        <v>0.32190000000000002</v>
      </c>
      <c r="L6">
        <v>0.24567032</v>
      </c>
    </row>
    <row r="7" spans="1:12" x14ac:dyDescent="0.35">
      <c r="A7" t="s">
        <v>50</v>
      </c>
      <c r="B7">
        <v>2025</v>
      </c>
      <c r="C7">
        <v>11</v>
      </c>
      <c r="D7">
        <v>10096</v>
      </c>
      <c r="E7">
        <v>582</v>
      </c>
      <c r="F7">
        <v>516</v>
      </c>
      <c r="G7">
        <v>5.7646592709984151E-2</v>
      </c>
      <c r="H7">
        <v>5.7646592709984151E-2</v>
      </c>
      <c r="I7">
        <v>5.1109350237717913E-2</v>
      </c>
      <c r="J7">
        <v>4.4400000000000002E-2</v>
      </c>
      <c r="K7">
        <v>0.33929999999999999</v>
      </c>
      <c r="L7">
        <v>0.24599298</v>
      </c>
    </row>
    <row r="8" spans="1:12" x14ac:dyDescent="0.35">
      <c r="A8" t="s">
        <v>50</v>
      </c>
      <c r="B8">
        <v>2025</v>
      </c>
      <c r="C8">
        <v>12</v>
      </c>
      <c r="D8">
        <v>8781</v>
      </c>
      <c r="E8">
        <v>507</v>
      </c>
      <c r="F8">
        <v>456</v>
      </c>
      <c r="G8">
        <v>5.773829859924838E-2</v>
      </c>
      <c r="H8">
        <v>6.7927410116762788E-2</v>
      </c>
      <c r="I8">
        <v>5.1930304065596171E-2</v>
      </c>
      <c r="J8">
        <v>4.1599999999999998E-2</v>
      </c>
      <c r="K8">
        <v>0.34429999999999999</v>
      </c>
      <c r="L8">
        <v>0.24510962</v>
      </c>
    </row>
    <row r="9" spans="1:12" x14ac:dyDescent="0.35">
      <c r="A9" t="s">
        <v>50</v>
      </c>
      <c r="B9">
        <v>2026</v>
      </c>
      <c r="C9">
        <v>1</v>
      </c>
      <c r="D9">
        <v>11110</v>
      </c>
      <c r="E9">
        <v>650</v>
      </c>
      <c r="F9">
        <v>593</v>
      </c>
      <c r="G9">
        <v>5.8505850585058507E-2</v>
      </c>
      <c r="H9">
        <v>5.8505850585058507E-2</v>
      </c>
      <c r="I9">
        <v>5.3375337533753377E-2</v>
      </c>
      <c r="J9">
        <v>4.8500000000000001E-2</v>
      </c>
      <c r="K9">
        <v>0.35820000000000002</v>
      </c>
      <c r="L9">
        <v>0.24870303999999999</v>
      </c>
    </row>
    <row r="10" spans="1:12" x14ac:dyDescent="0.35">
      <c r="A10" t="s">
        <v>50</v>
      </c>
      <c r="B10">
        <v>2026</v>
      </c>
      <c r="C10">
        <v>2</v>
      </c>
      <c r="D10">
        <v>15818</v>
      </c>
      <c r="E10">
        <v>1130</v>
      </c>
      <c r="F10">
        <v>1041</v>
      </c>
      <c r="G10">
        <v>7.1437602731065877E-2</v>
      </c>
      <c r="H10">
        <v>6.6099223803508259E-2</v>
      </c>
      <c r="I10">
        <v>6.5811101277026163E-2</v>
      </c>
      <c r="J10">
        <v>4.8800000000000003E-2</v>
      </c>
      <c r="K10">
        <v>0.34789999999999999</v>
      </c>
      <c r="L10">
        <v>0.24889232999999999</v>
      </c>
    </row>
    <row r="11" spans="1:12" x14ac:dyDescent="0.35">
      <c r="A11" t="s">
        <v>50</v>
      </c>
      <c r="B11">
        <v>2026</v>
      </c>
      <c r="C11">
        <v>3</v>
      </c>
      <c r="D11">
        <v>13355</v>
      </c>
      <c r="E11">
        <v>915</v>
      </c>
      <c r="F11">
        <v>847</v>
      </c>
      <c r="G11">
        <v>6.8513665293897422E-2</v>
      </c>
      <c r="H11">
        <v>6.4663064113735541E-2</v>
      </c>
      <c r="I11">
        <v>6.3421939348558595E-2</v>
      </c>
      <c r="J11">
        <v>4.4400000000000002E-2</v>
      </c>
      <c r="K11">
        <v>0.38790000000000002</v>
      </c>
      <c r="L11">
        <v>0.24822236</v>
      </c>
    </row>
    <row r="12" spans="1:12" x14ac:dyDescent="0.35">
      <c r="A12" t="s">
        <v>50</v>
      </c>
      <c r="B12">
        <v>2026</v>
      </c>
      <c r="C12">
        <v>4</v>
      </c>
      <c r="D12">
        <v>13729</v>
      </c>
      <c r="E12">
        <v>1000</v>
      </c>
      <c r="F12">
        <v>932</v>
      </c>
      <c r="G12">
        <v>7.2838517007793716E-2</v>
      </c>
      <c r="H12">
        <v>7.2838517007793716E-2</v>
      </c>
      <c r="I12">
        <v>6.7885497851263743E-2</v>
      </c>
      <c r="J12">
        <v>3.7600000000000001E-2</v>
      </c>
      <c r="K12">
        <v>0.41410000000000002</v>
      </c>
      <c r="L12">
        <v>0.24269278</v>
      </c>
    </row>
    <row r="13" spans="1:12" x14ac:dyDescent="0.35">
      <c r="A13" t="s">
        <v>50</v>
      </c>
      <c r="B13">
        <v>2026</v>
      </c>
      <c r="C13">
        <v>5</v>
      </c>
      <c r="D13">
        <v>14285</v>
      </c>
      <c r="E13">
        <v>1039</v>
      </c>
      <c r="F13">
        <v>980</v>
      </c>
      <c r="G13">
        <v>7.2733636681834093E-2</v>
      </c>
      <c r="H13">
        <v>7.2733636681834093E-2</v>
      </c>
      <c r="I13">
        <v>6.8603430171508578E-2</v>
      </c>
      <c r="J13">
        <v>3.5700000000000003E-2</v>
      </c>
      <c r="K13">
        <v>0.44679999999999997</v>
      </c>
      <c r="L13">
        <v>0.24040523</v>
      </c>
    </row>
    <row r="14" spans="1:12" x14ac:dyDescent="0.35">
      <c r="A14" t="s">
        <v>51</v>
      </c>
      <c r="B14">
        <v>2025</v>
      </c>
      <c r="C14">
        <v>6</v>
      </c>
      <c r="D14">
        <v>47166</v>
      </c>
      <c r="E14">
        <v>1760</v>
      </c>
      <c r="F14">
        <v>1540</v>
      </c>
      <c r="G14">
        <v>3.7315015053216299E-2</v>
      </c>
      <c r="H14">
        <v>3.7315015053216299E-2</v>
      </c>
      <c r="I14">
        <v>3.2650638171564272E-2</v>
      </c>
      <c r="J14">
        <v>8.5000000000000006E-3</v>
      </c>
      <c r="K14">
        <v>0.38850000000000001</v>
      </c>
      <c r="L14">
        <v>0.23360848000000001</v>
      </c>
    </row>
    <row r="15" spans="1:12" x14ac:dyDescent="0.35">
      <c r="A15" t="s">
        <v>51</v>
      </c>
      <c r="B15">
        <v>2025</v>
      </c>
      <c r="C15">
        <v>7</v>
      </c>
      <c r="D15">
        <v>39198</v>
      </c>
      <c r="E15">
        <v>1330</v>
      </c>
      <c r="F15">
        <v>1172</v>
      </c>
      <c r="G15">
        <v>3.3930302566457467E-2</v>
      </c>
      <c r="H15">
        <v>3.3930302566457467E-2</v>
      </c>
      <c r="I15">
        <v>2.9899484667585071E-2</v>
      </c>
      <c r="J15">
        <v>7.1999999999999998E-3</v>
      </c>
      <c r="K15">
        <v>0.37130000000000002</v>
      </c>
      <c r="L15">
        <v>0.23233751999999999</v>
      </c>
    </row>
    <row r="16" spans="1:12" x14ac:dyDescent="0.35">
      <c r="A16" t="s">
        <v>51</v>
      </c>
      <c r="B16">
        <v>2025</v>
      </c>
      <c r="C16">
        <v>8</v>
      </c>
      <c r="D16">
        <v>49130</v>
      </c>
      <c r="E16">
        <v>1814</v>
      </c>
      <c r="F16">
        <v>1573</v>
      </c>
      <c r="G16">
        <v>3.692245064115611E-2</v>
      </c>
      <c r="H16">
        <v>3.692245064115611E-2</v>
      </c>
      <c r="I16">
        <v>3.201709749643801E-2</v>
      </c>
      <c r="J16">
        <v>8.3999999999999995E-3</v>
      </c>
      <c r="K16">
        <v>0.3916</v>
      </c>
      <c r="L16">
        <v>0.23078696000000001</v>
      </c>
    </row>
    <row r="17" spans="1:12" x14ac:dyDescent="0.35">
      <c r="A17" t="s">
        <v>51</v>
      </c>
      <c r="B17">
        <v>2025</v>
      </c>
      <c r="C17">
        <v>9</v>
      </c>
      <c r="D17">
        <v>41167</v>
      </c>
      <c r="E17">
        <v>1371</v>
      </c>
      <c r="F17">
        <v>1206</v>
      </c>
      <c r="G17">
        <v>3.3303374061748478E-2</v>
      </c>
      <c r="H17">
        <v>3.3303374061748478E-2</v>
      </c>
      <c r="I17">
        <v>2.9295309349721861E-2</v>
      </c>
      <c r="J17">
        <v>8.2000000000000007E-3</v>
      </c>
      <c r="K17">
        <v>0.34639999999999999</v>
      </c>
      <c r="L17">
        <v>0.23039556999999999</v>
      </c>
    </row>
    <row r="18" spans="1:12" x14ac:dyDescent="0.35">
      <c r="A18" t="s">
        <v>51</v>
      </c>
      <c r="B18">
        <v>2025</v>
      </c>
      <c r="C18">
        <v>10</v>
      </c>
      <c r="D18">
        <v>53285</v>
      </c>
      <c r="E18">
        <v>1699</v>
      </c>
      <c r="F18">
        <v>1485</v>
      </c>
      <c r="G18">
        <v>3.1885145913484091E-2</v>
      </c>
      <c r="H18">
        <v>3.1885145913484091E-2</v>
      </c>
      <c r="I18">
        <v>2.786900628694754E-2</v>
      </c>
      <c r="J18">
        <v>9.4000000000000004E-3</v>
      </c>
      <c r="K18">
        <v>0.34639999999999999</v>
      </c>
      <c r="L18">
        <v>0.23062985999999999</v>
      </c>
    </row>
    <row r="19" spans="1:12" x14ac:dyDescent="0.35">
      <c r="A19" t="s">
        <v>51</v>
      </c>
      <c r="B19">
        <v>2025</v>
      </c>
      <c r="C19">
        <v>11</v>
      </c>
      <c r="D19">
        <v>37711</v>
      </c>
      <c r="E19">
        <v>1068</v>
      </c>
      <c r="F19">
        <v>955</v>
      </c>
      <c r="G19">
        <v>2.83206491474636E-2</v>
      </c>
      <c r="H19">
        <v>2.83206491474636E-2</v>
      </c>
      <c r="I19">
        <v>2.5324175969876159E-2</v>
      </c>
      <c r="J19">
        <v>8.8000000000000005E-3</v>
      </c>
      <c r="K19">
        <v>0.34089999999999998</v>
      </c>
      <c r="L19">
        <v>0.23077726000000001</v>
      </c>
    </row>
    <row r="20" spans="1:12" x14ac:dyDescent="0.35">
      <c r="A20" t="s">
        <v>51</v>
      </c>
      <c r="B20">
        <v>2025</v>
      </c>
      <c r="C20">
        <v>12</v>
      </c>
      <c r="D20">
        <v>32446</v>
      </c>
      <c r="E20">
        <v>938</v>
      </c>
      <c r="F20">
        <v>791</v>
      </c>
      <c r="G20">
        <v>2.8909572828699989E-2</v>
      </c>
      <c r="H20">
        <v>3.4011262151411752E-2</v>
      </c>
      <c r="I20">
        <v>2.4378968131664919E-2</v>
      </c>
      <c r="J20">
        <v>8.2000000000000007E-3</v>
      </c>
      <c r="K20">
        <v>0.3407</v>
      </c>
      <c r="L20">
        <v>0.22998888000000001</v>
      </c>
    </row>
    <row r="21" spans="1:12" x14ac:dyDescent="0.35">
      <c r="A21" t="s">
        <v>51</v>
      </c>
      <c r="B21">
        <v>2026</v>
      </c>
      <c r="C21">
        <v>1</v>
      </c>
      <c r="D21">
        <v>42856</v>
      </c>
      <c r="E21">
        <v>1289</v>
      </c>
      <c r="F21">
        <v>1115</v>
      </c>
      <c r="G21">
        <v>3.0077468732499529E-2</v>
      </c>
      <c r="H21">
        <v>3.0077468732499529E-2</v>
      </c>
      <c r="I21">
        <v>2.6017360462945671E-2</v>
      </c>
      <c r="J21">
        <v>8.3000000000000001E-3</v>
      </c>
      <c r="K21">
        <v>0.35049999999999998</v>
      </c>
      <c r="L21">
        <v>0.23341534999999999</v>
      </c>
    </row>
    <row r="22" spans="1:12" x14ac:dyDescent="0.35">
      <c r="A22" t="s">
        <v>51</v>
      </c>
      <c r="B22">
        <v>2026</v>
      </c>
      <c r="C22">
        <v>2</v>
      </c>
      <c r="D22">
        <v>51621</v>
      </c>
      <c r="E22">
        <v>1859</v>
      </c>
      <c r="F22">
        <v>1672</v>
      </c>
      <c r="G22">
        <v>3.6012475542899207E-2</v>
      </c>
      <c r="H22">
        <v>3.3173197503314239E-2</v>
      </c>
      <c r="I22">
        <v>3.2389918831483309E-2</v>
      </c>
      <c r="J22">
        <v>9.1999999999999998E-3</v>
      </c>
      <c r="K22">
        <v>0.32700000000000001</v>
      </c>
      <c r="L22">
        <v>0.23242890999999999</v>
      </c>
    </row>
    <row r="23" spans="1:12" x14ac:dyDescent="0.35">
      <c r="A23" t="s">
        <v>51</v>
      </c>
      <c r="B23">
        <v>2026</v>
      </c>
      <c r="C23">
        <v>3</v>
      </c>
      <c r="D23">
        <v>42447</v>
      </c>
      <c r="E23">
        <v>1370</v>
      </c>
      <c r="F23">
        <v>1202</v>
      </c>
      <c r="G23">
        <v>3.2275543619101468E-2</v>
      </c>
      <c r="H23">
        <v>3.0353938519061041E-2</v>
      </c>
      <c r="I23">
        <v>2.8317666737343039E-2</v>
      </c>
      <c r="J23">
        <v>7.6E-3</v>
      </c>
      <c r="K23">
        <v>0.32890000000000003</v>
      </c>
      <c r="L23">
        <v>0.23170439000000001</v>
      </c>
    </row>
    <row r="24" spans="1:12" x14ac:dyDescent="0.35">
      <c r="A24" t="s">
        <v>51</v>
      </c>
      <c r="B24">
        <v>2026</v>
      </c>
      <c r="C24">
        <v>4</v>
      </c>
      <c r="D24">
        <v>35380</v>
      </c>
      <c r="E24">
        <v>898</v>
      </c>
      <c r="F24">
        <v>795</v>
      </c>
      <c r="G24">
        <v>2.5381571509327301E-2</v>
      </c>
      <c r="H24">
        <v>2.5381571509327301E-2</v>
      </c>
      <c r="I24">
        <v>2.247032221594121E-2</v>
      </c>
      <c r="J24">
        <v>7.1000000000000004E-3</v>
      </c>
      <c r="K24">
        <v>0.27610000000000001</v>
      </c>
      <c r="L24">
        <v>0.23132426</v>
      </c>
    </row>
    <row r="25" spans="1:12" x14ac:dyDescent="0.35">
      <c r="A25" t="s">
        <v>51</v>
      </c>
      <c r="B25">
        <v>2026</v>
      </c>
      <c r="C25">
        <v>5</v>
      </c>
      <c r="D25">
        <v>29881</v>
      </c>
      <c r="E25">
        <v>664</v>
      </c>
      <c r="F25">
        <v>576</v>
      </c>
      <c r="G25">
        <v>2.2221478531508309E-2</v>
      </c>
      <c r="H25">
        <v>2.2221478531508309E-2</v>
      </c>
      <c r="I25">
        <v>1.9276463304440938E-2</v>
      </c>
      <c r="J25">
        <v>6.7000000000000002E-3</v>
      </c>
      <c r="K25">
        <v>0.26390000000000002</v>
      </c>
      <c r="L25">
        <v>0.23065458</v>
      </c>
    </row>
    <row r="26" spans="1:12" x14ac:dyDescent="0.35">
      <c r="A26" t="s">
        <v>52</v>
      </c>
      <c r="B26">
        <v>2025</v>
      </c>
      <c r="C26">
        <v>6</v>
      </c>
      <c r="D26">
        <v>15346</v>
      </c>
      <c r="E26">
        <v>624</v>
      </c>
      <c r="F26">
        <v>597</v>
      </c>
      <c r="G26">
        <v>4.0662061775055387E-2</v>
      </c>
      <c r="H26">
        <v>4.0662061775055387E-2</v>
      </c>
      <c r="I26">
        <v>3.8902645640557787E-2</v>
      </c>
      <c r="J26">
        <v>1.77E-2</v>
      </c>
      <c r="K26">
        <v>0.28510000000000002</v>
      </c>
      <c r="L26">
        <v>0.23659727999999999</v>
      </c>
    </row>
    <row r="27" spans="1:12" x14ac:dyDescent="0.35">
      <c r="A27" t="s">
        <v>52</v>
      </c>
      <c r="B27">
        <v>2025</v>
      </c>
      <c r="C27">
        <v>7</v>
      </c>
      <c r="D27">
        <v>13071</v>
      </c>
      <c r="E27">
        <v>514</v>
      </c>
      <c r="F27">
        <v>480</v>
      </c>
      <c r="G27">
        <v>3.9323693673016601E-2</v>
      </c>
      <c r="H27">
        <v>3.9323693673016601E-2</v>
      </c>
      <c r="I27">
        <v>3.6722515492311217E-2</v>
      </c>
      <c r="J27">
        <v>1.8800000000000001E-2</v>
      </c>
      <c r="K27">
        <v>0.28320000000000001</v>
      </c>
      <c r="L27">
        <v>0.23709487000000001</v>
      </c>
    </row>
    <row r="28" spans="1:12" x14ac:dyDescent="0.35">
      <c r="A28" t="s">
        <v>52</v>
      </c>
      <c r="B28">
        <v>2025</v>
      </c>
      <c r="C28">
        <v>8</v>
      </c>
      <c r="D28">
        <v>17700</v>
      </c>
      <c r="E28">
        <v>782</v>
      </c>
      <c r="F28">
        <v>746</v>
      </c>
      <c r="G28">
        <v>4.4180790960451979E-2</v>
      </c>
      <c r="H28">
        <v>4.4180790960451979E-2</v>
      </c>
      <c r="I28">
        <v>4.2146892655367231E-2</v>
      </c>
      <c r="J28">
        <v>2.12E-2</v>
      </c>
      <c r="K28">
        <v>0.33069999999999999</v>
      </c>
      <c r="L28">
        <v>0.23701148999999999</v>
      </c>
    </row>
    <row r="29" spans="1:12" x14ac:dyDescent="0.35">
      <c r="A29" t="s">
        <v>52</v>
      </c>
      <c r="B29">
        <v>2025</v>
      </c>
      <c r="C29">
        <v>9</v>
      </c>
      <c r="D29">
        <v>15977</v>
      </c>
      <c r="E29">
        <v>647</v>
      </c>
      <c r="F29">
        <v>614</v>
      </c>
      <c r="G29">
        <v>4.0495712586843577E-2</v>
      </c>
      <c r="H29">
        <v>4.0495712586843577E-2</v>
      </c>
      <c r="I29">
        <v>3.8430243474995303E-2</v>
      </c>
      <c r="J29">
        <v>2.01E-2</v>
      </c>
      <c r="K29">
        <v>0.31209999999999999</v>
      </c>
      <c r="L29">
        <v>0.23591719</v>
      </c>
    </row>
    <row r="30" spans="1:12" x14ac:dyDescent="0.35">
      <c r="A30" t="s">
        <v>52</v>
      </c>
      <c r="B30">
        <v>2025</v>
      </c>
      <c r="C30">
        <v>10</v>
      </c>
      <c r="D30">
        <v>20097</v>
      </c>
      <c r="E30">
        <v>796</v>
      </c>
      <c r="F30">
        <v>753</v>
      </c>
      <c r="G30">
        <v>3.9607901676867202E-2</v>
      </c>
      <c r="H30">
        <v>3.9607901676867202E-2</v>
      </c>
      <c r="I30">
        <v>3.7468278847589187E-2</v>
      </c>
      <c r="J30">
        <v>1.9800000000000002E-2</v>
      </c>
      <c r="K30">
        <v>0.30669999999999997</v>
      </c>
      <c r="L30">
        <v>0.23521114000000001</v>
      </c>
    </row>
    <row r="31" spans="1:12" x14ac:dyDescent="0.35">
      <c r="A31" t="s">
        <v>52</v>
      </c>
      <c r="B31">
        <v>2025</v>
      </c>
      <c r="C31">
        <v>11</v>
      </c>
      <c r="D31">
        <v>15747</v>
      </c>
      <c r="E31">
        <v>579</v>
      </c>
      <c r="F31">
        <v>542</v>
      </c>
      <c r="G31">
        <v>3.6768908363497797E-2</v>
      </c>
      <c r="H31">
        <v>3.6768908363497797E-2</v>
      </c>
      <c r="I31">
        <v>3.4419254461167198E-2</v>
      </c>
      <c r="J31">
        <v>1.72E-2</v>
      </c>
      <c r="K31">
        <v>0.30840000000000001</v>
      </c>
      <c r="L31">
        <v>0.23395134000000001</v>
      </c>
    </row>
    <row r="32" spans="1:12" x14ac:dyDescent="0.35">
      <c r="A32" t="s">
        <v>52</v>
      </c>
      <c r="B32">
        <v>2025</v>
      </c>
      <c r="C32">
        <v>12</v>
      </c>
      <c r="D32">
        <v>13483</v>
      </c>
      <c r="E32">
        <v>478</v>
      </c>
      <c r="F32">
        <v>452</v>
      </c>
      <c r="G32">
        <v>3.5452050730549578E-2</v>
      </c>
      <c r="H32">
        <v>4.1708294977117158E-2</v>
      </c>
      <c r="I32">
        <v>3.352369650671215E-2</v>
      </c>
      <c r="J32">
        <v>1.6299999999999999E-2</v>
      </c>
      <c r="K32">
        <v>0.31</v>
      </c>
      <c r="L32">
        <v>0.23449306</v>
      </c>
    </row>
    <row r="33" spans="1:12" x14ac:dyDescent="0.35">
      <c r="A33" t="s">
        <v>52</v>
      </c>
      <c r="B33">
        <v>2026</v>
      </c>
      <c r="C33">
        <v>1</v>
      </c>
      <c r="D33">
        <v>18345</v>
      </c>
      <c r="E33">
        <v>737</v>
      </c>
      <c r="F33">
        <v>683</v>
      </c>
      <c r="G33">
        <v>4.0174434450804028E-2</v>
      </c>
      <c r="H33">
        <v>4.0174434450804028E-2</v>
      </c>
      <c r="I33">
        <v>3.7230853093485963E-2</v>
      </c>
      <c r="J33">
        <v>2.0400000000000001E-2</v>
      </c>
      <c r="K33">
        <v>0.32</v>
      </c>
      <c r="L33">
        <v>0.23771916000000001</v>
      </c>
    </row>
    <row r="34" spans="1:12" x14ac:dyDescent="0.35">
      <c r="A34" t="s">
        <v>52</v>
      </c>
      <c r="B34">
        <v>2026</v>
      </c>
      <c r="C34">
        <v>2</v>
      </c>
      <c r="D34">
        <v>23977</v>
      </c>
      <c r="E34">
        <v>1241</v>
      </c>
      <c r="F34">
        <v>1179</v>
      </c>
      <c r="G34">
        <v>5.1757934687408767E-2</v>
      </c>
      <c r="H34">
        <v>4.7852274358797388E-2</v>
      </c>
      <c r="I34">
        <v>4.9172123284814608E-2</v>
      </c>
      <c r="J34">
        <v>1.9199999999999998E-2</v>
      </c>
      <c r="K34">
        <v>0.32890000000000003</v>
      </c>
      <c r="L34">
        <v>0.23538392999999999</v>
      </c>
    </row>
    <row r="35" spans="1:12" x14ac:dyDescent="0.35">
      <c r="A35" t="s">
        <v>52</v>
      </c>
      <c r="B35">
        <v>2026</v>
      </c>
      <c r="C35">
        <v>3</v>
      </c>
      <c r="D35">
        <v>20446</v>
      </c>
      <c r="E35">
        <v>1117</v>
      </c>
      <c r="F35">
        <v>1038</v>
      </c>
      <c r="G35">
        <v>5.4631712804460532E-2</v>
      </c>
      <c r="H35">
        <v>5.127255130934151E-2</v>
      </c>
      <c r="I35">
        <v>5.0767876357233691E-2</v>
      </c>
      <c r="J35">
        <v>1.95E-2</v>
      </c>
      <c r="K35">
        <v>0.35439999999999999</v>
      </c>
      <c r="L35">
        <v>0.23454680999999999</v>
      </c>
    </row>
    <row r="36" spans="1:12" x14ac:dyDescent="0.35">
      <c r="A36" t="s">
        <v>52</v>
      </c>
      <c r="B36">
        <v>2026</v>
      </c>
      <c r="C36">
        <v>4</v>
      </c>
      <c r="D36">
        <v>17125</v>
      </c>
      <c r="E36">
        <v>959</v>
      </c>
      <c r="F36">
        <v>892</v>
      </c>
      <c r="G36">
        <v>5.6000000000000001E-2</v>
      </c>
      <c r="H36">
        <v>5.6000000000000001E-2</v>
      </c>
      <c r="I36">
        <v>5.2087591240875912E-2</v>
      </c>
      <c r="J36">
        <v>2.3599999999999999E-2</v>
      </c>
      <c r="K36">
        <v>0.30520000000000003</v>
      </c>
      <c r="L36">
        <v>0.23564419</v>
      </c>
    </row>
    <row r="37" spans="1:12" x14ac:dyDescent="0.35">
      <c r="A37" t="s">
        <v>52</v>
      </c>
      <c r="B37">
        <v>2026</v>
      </c>
      <c r="C37">
        <v>5</v>
      </c>
      <c r="D37">
        <v>15184</v>
      </c>
      <c r="E37">
        <v>860</v>
      </c>
      <c r="F37">
        <v>814</v>
      </c>
      <c r="G37">
        <v>5.6638566912539517E-2</v>
      </c>
      <c r="H37">
        <v>5.6638566912539517E-2</v>
      </c>
      <c r="I37">
        <v>5.360906217070599E-2</v>
      </c>
      <c r="J37">
        <v>2.07E-2</v>
      </c>
      <c r="K37">
        <v>0.3039</v>
      </c>
      <c r="L37">
        <v>0.23647808000000001</v>
      </c>
    </row>
    <row r="38" spans="1:12" x14ac:dyDescent="0.35">
      <c r="A38" t="s">
        <v>53</v>
      </c>
      <c r="B38">
        <v>2025</v>
      </c>
      <c r="C38">
        <v>6</v>
      </c>
      <c r="D38">
        <v>92757</v>
      </c>
      <c r="E38">
        <v>2759</v>
      </c>
      <c r="F38">
        <v>2429</v>
      </c>
      <c r="G38">
        <v>2.9744385868451979E-2</v>
      </c>
      <c r="H38">
        <v>2.9744385868451979E-2</v>
      </c>
      <c r="I38">
        <v>2.6186702890347899E-2</v>
      </c>
      <c r="J38">
        <v>3.6600000000000001E-2</v>
      </c>
      <c r="K38">
        <v>0.1782</v>
      </c>
      <c r="L38">
        <v>0.25572109999999998</v>
      </c>
    </row>
    <row r="39" spans="1:12" x14ac:dyDescent="0.35">
      <c r="A39" t="s">
        <v>53</v>
      </c>
      <c r="B39">
        <v>2025</v>
      </c>
      <c r="C39">
        <v>7</v>
      </c>
      <c r="D39">
        <v>78055</v>
      </c>
      <c r="E39">
        <v>2190</v>
      </c>
      <c r="F39">
        <v>1942</v>
      </c>
      <c r="G39">
        <v>2.805713919672026E-2</v>
      </c>
      <c r="H39">
        <v>2.805713919672026E-2</v>
      </c>
      <c r="I39">
        <v>2.4879892383575679E-2</v>
      </c>
      <c r="J39">
        <v>3.2399999999999998E-2</v>
      </c>
      <c r="K39">
        <v>0.17030000000000001</v>
      </c>
      <c r="L39">
        <v>0.25551961000000001</v>
      </c>
    </row>
    <row r="40" spans="1:12" x14ac:dyDescent="0.35">
      <c r="A40" t="s">
        <v>53</v>
      </c>
      <c r="B40">
        <v>2025</v>
      </c>
      <c r="C40">
        <v>8</v>
      </c>
      <c r="D40">
        <v>97443</v>
      </c>
      <c r="E40">
        <v>2661</v>
      </c>
      <c r="F40">
        <v>2301</v>
      </c>
      <c r="G40">
        <v>2.7308272528555149E-2</v>
      </c>
      <c r="H40">
        <v>2.7308272528555149E-2</v>
      </c>
      <c r="I40">
        <v>2.3613804993688609E-2</v>
      </c>
      <c r="J40">
        <v>3.5700000000000003E-2</v>
      </c>
      <c r="K40">
        <v>0.18229999999999999</v>
      </c>
      <c r="L40">
        <v>0.25561918</v>
      </c>
    </row>
    <row r="41" spans="1:12" x14ac:dyDescent="0.35">
      <c r="A41" t="s">
        <v>53</v>
      </c>
      <c r="B41">
        <v>2025</v>
      </c>
      <c r="C41">
        <v>9</v>
      </c>
      <c r="D41">
        <v>78765</v>
      </c>
      <c r="E41">
        <v>1777</v>
      </c>
      <c r="F41">
        <v>1541</v>
      </c>
      <c r="G41">
        <v>2.2560782073255879E-2</v>
      </c>
      <c r="H41">
        <v>2.2560782073255879E-2</v>
      </c>
      <c r="I41">
        <v>1.9564527391607939E-2</v>
      </c>
      <c r="J41">
        <v>2.9399999999999999E-2</v>
      </c>
      <c r="K41">
        <v>0.16200000000000001</v>
      </c>
      <c r="L41">
        <v>0.25548834999999998</v>
      </c>
    </row>
    <row r="42" spans="1:12" x14ac:dyDescent="0.35">
      <c r="A42" t="s">
        <v>53</v>
      </c>
      <c r="B42">
        <v>2025</v>
      </c>
      <c r="C42">
        <v>10</v>
      </c>
      <c r="D42">
        <v>94941</v>
      </c>
      <c r="E42">
        <v>2056</v>
      </c>
      <c r="F42">
        <v>1786</v>
      </c>
      <c r="G42">
        <v>2.165555450226983E-2</v>
      </c>
      <c r="H42">
        <v>2.165555450226983E-2</v>
      </c>
      <c r="I42">
        <v>1.8811683045259681E-2</v>
      </c>
      <c r="J42">
        <v>2.7400000000000001E-2</v>
      </c>
      <c r="K42">
        <v>0.15179999999999999</v>
      </c>
      <c r="L42">
        <v>0.25536204000000001</v>
      </c>
    </row>
    <row r="43" spans="1:12" x14ac:dyDescent="0.35">
      <c r="A43" t="s">
        <v>53</v>
      </c>
      <c r="B43">
        <v>2025</v>
      </c>
      <c r="C43">
        <v>11</v>
      </c>
      <c r="D43">
        <v>71043</v>
      </c>
      <c r="E43">
        <v>1547</v>
      </c>
      <c r="F43">
        <v>1365</v>
      </c>
      <c r="G43">
        <v>2.1775544388609711E-2</v>
      </c>
      <c r="H43">
        <v>2.1775544388609711E-2</v>
      </c>
      <c r="I43">
        <v>1.921371563700857E-2</v>
      </c>
      <c r="J43">
        <v>2.9899999999999999E-2</v>
      </c>
      <c r="K43">
        <v>0.15049999999999999</v>
      </c>
      <c r="L43">
        <v>0.25553091999999999</v>
      </c>
    </row>
    <row r="44" spans="1:12" x14ac:dyDescent="0.35">
      <c r="A44" t="s">
        <v>53</v>
      </c>
      <c r="B44">
        <v>2025</v>
      </c>
      <c r="C44">
        <v>12</v>
      </c>
      <c r="D44">
        <v>61896</v>
      </c>
      <c r="E44">
        <v>1354</v>
      </c>
      <c r="F44">
        <v>1169</v>
      </c>
      <c r="G44">
        <v>2.18754039033217E-2</v>
      </c>
      <c r="H44">
        <v>2.573576929802553E-2</v>
      </c>
      <c r="I44">
        <v>1.8886519322734899E-2</v>
      </c>
      <c r="J44">
        <v>3.0200000000000001E-2</v>
      </c>
      <c r="K44">
        <v>0.16270000000000001</v>
      </c>
      <c r="L44">
        <v>0.25513287000000001</v>
      </c>
    </row>
    <row r="45" spans="1:12" x14ac:dyDescent="0.35">
      <c r="A45" t="s">
        <v>53</v>
      </c>
      <c r="B45">
        <v>2026</v>
      </c>
      <c r="C45">
        <v>1</v>
      </c>
      <c r="D45">
        <v>85571</v>
      </c>
      <c r="E45">
        <v>2007</v>
      </c>
      <c r="F45">
        <v>1704</v>
      </c>
      <c r="G45">
        <v>2.3454207617066531E-2</v>
      </c>
      <c r="H45">
        <v>2.3454207617066531E-2</v>
      </c>
      <c r="I45">
        <v>1.991328838040925E-2</v>
      </c>
      <c r="J45">
        <v>2.98E-2</v>
      </c>
      <c r="K45">
        <v>0.17560000000000001</v>
      </c>
      <c r="L45">
        <v>0.25751930000000001</v>
      </c>
    </row>
    <row r="46" spans="1:12" x14ac:dyDescent="0.35">
      <c r="A46" t="s">
        <v>53</v>
      </c>
      <c r="B46">
        <v>2026</v>
      </c>
      <c r="C46">
        <v>2</v>
      </c>
      <c r="D46">
        <v>114341</v>
      </c>
      <c r="E46">
        <v>3530</v>
      </c>
      <c r="F46">
        <v>3165</v>
      </c>
      <c r="G46">
        <v>3.087256539648945E-2</v>
      </c>
      <c r="H46">
        <v>2.8522197961957142E-2</v>
      </c>
      <c r="I46">
        <v>2.7680359626030909E-2</v>
      </c>
      <c r="J46">
        <v>3.4700000000000002E-2</v>
      </c>
      <c r="K46">
        <v>0.1865</v>
      </c>
      <c r="L46">
        <v>0.25587987000000001</v>
      </c>
    </row>
    <row r="47" spans="1:12" x14ac:dyDescent="0.35">
      <c r="A47" t="s">
        <v>53</v>
      </c>
      <c r="B47">
        <v>2026</v>
      </c>
      <c r="C47">
        <v>3</v>
      </c>
      <c r="D47">
        <v>104192</v>
      </c>
      <c r="E47">
        <v>3302</v>
      </c>
      <c r="F47">
        <v>2998</v>
      </c>
      <c r="G47">
        <v>3.1691492628992617E-2</v>
      </c>
      <c r="H47">
        <v>2.9807802069970211E-2</v>
      </c>
      <c r="I47">
        <v>2.8773802211302209E-2</v>
      </c>
      <c r="J47">
        <v>3.4500000000000003E-2</v>
      </c>
      <c r="K47">
        <v>0.21290000000000001</v>
      </c>
      <c r="L47">
        <v>0.25518850999999998</v>
      </c>
    </row>
    <row r="48" spans="1:12" x14ac:dyDescent="0.35">
      <c r="A48" t="s">
        <v>53</v>
      </c>
      <c r="B48">
        <v>2026</v>
      </c>
      <c r="C48">
        <v>4</v>
      </c>
      <c r="D48">
        <v>97444</v>
      </c>
      <c r="E48">
        <v>3240</v>
      </c>
      <c r="F48">
        <v>2962</v>
      </c>
      <c r="G48">
        <v>3.3249866590041449E-2</v>
      </c>
      <c r="H48">
        <v>3.3249866590041449E-2</v>
      </c>
      <c r="I48">
        <v>3.0396945938179869E-2</v>
      </c>
      <c r="J48">
        <v>3.4799999999999998E-2</v>
      </c>
      <c r="K48">
        <v>0.2009</v>
      </c>
      <c r="L48">
        <v>0.25530874999999997</v>
      </c>
    </row>
    <row r="49" spans="1:12" x14ac:dyDescent="0.35">
      <c r="A49" t="s">
        <v>53</v>
      </c>
      <c r="B49">
        <v>2026</v>
      </c>
      <c r="C49">
        <v>5</v>
      </c>
      <c r="D49">
        <v>91402</v>
      </c>
      <c r="E49">
        <v>3314</v>
      </c>
      <c r="F49">
        <v>3098</v>
      </c>
      <c r="G49">
        <v>3.6257412310452708E-2</v>
      </c>
      <c r="H49">
        <v>3.6257412310452708E-2</v>
      </c>
      <c r="I49">
        <v>3.3894225509288639E-2</v>
      </c>
      <c r="J49">
        <v>2.98E-2</v>
      </c>
      <c r="K49">
        <v>0.18809999999999999</v>
      </c>
      <c r="L49">
        <v>0.25453020999999998</v>
      </c>
    </row>
    <row r="50" spans="1:12" x14ac:dyDescent="0.35">
      <c r="A50" t="s">
        <v>54</v>
      </c>
      <c r="B50">
        <v>2025</v>
      </c>
      <c r="C50">
        <v>6</v>
      </c>
      <c r="D50">
        <v>218364</v>
      </c>
      <c r="E50">
        <v>5277</v>
      </c>
      <c r="F50">
        <v>5043</v>
      </c>
      <c r="G50">
        <v>2.416607133043908E-2</v>
      </c>
      <c r="H50">
        <v>2.416607133043908E-2</v>
      </c>
      <c r="I50">
        <v>2.309446612078914E-2</v>
      </c>
    </row>
    <row r="51" spans="1:12" x14ac:dyDescent="0.35">
      <c r="A51" t="s">
        <v>54</v>
      </c>
      <c r="B51">
        <v>2025</v>
      </c>
      <c r="C51">
        <v>7</v>
      </c>
      <c r="D51">
        <v>179507</v>
      </c>
      <c r="E51">
        <v>4345</v>
      </c>
      <c r="F51">
        <v>4148</v>
      </c>
      <c r="G51">
        <v>2.4205184198944889E-2</v>
      </c>
      <c r="H51">
        <v>2.4205184198944889E-2</v>
      </c>
      <c r="I51">
        <v>2.3107733960235539E-2</v>
      </c>
    </row>
    <row r="52" spans="1:12" x14ac:dyDescent="0.35">
      <c r="A52" t="s">
        <v>54</v>
      </c>
      <c r="B52">
        <v>2025</v>
      </c>
      <c r="C52">
        <v>8</v>
      </c>
      <c r="D52">
        <v>234690</v>
      </c>
      <c r="E52">
        <v>5940</v>
      </c>
      <c r="F52">
        <v>5665</v>
      </c>
      <c r="G52">
        <v>2.5309983382334141E-2</v>
      </c>
      <c r="H52">
        <v>2.5309983382334141E-2</v>
      </c>
      <c r="I52">
        <v>2.4138224892411259E-2</v>
      </c>
    </row>
    <row r="53" spans="1:12" x14ac:dyDescent="0.35">
      <c r="A53" t="s">
        <v>54</v>
      </c>
      <c r="B53">
        <v>2025</v>
      </c>
      <c r="C53">
        <v>9</v>
      </c>
      <c r="D53">
        <v>189801</v>
      </c>
      <c r="E53">
        <v>5021</v>
      </c>
      <c r="F53">
        <v>4741</v>
      </c>
      <c r="G53">
        <v>2.6454022897666501E-2</v>
      </c>
      <c r="H53">
        <v>2.6454022897666501E-2</v>
      </c>
      <c r="I53">
        <v>2.4978793578537519E-2</v>
      </c>
    </row>
    <row r="54" spans="1:12" x14ac:dyDescent="0.35">
      <c r="A54" t="s">
        <v>54</v>
      </c>
      <c r="B54">
        <v>2025</v>
      </c>
      <c r="C54">
        <v>10</v>
      </c>
      <c r="D54">
        <v>217924</v>
      </c>
      <c r="E54">
        <v>5360</v>
      </c>
      <c r="F54">
        <v>5104</v>
      </c>
      <c r="G54">
        <v>2.459573062168462E-2</v>
      </c>
      <c r="H54">
        <v>2.459573062168462E-2</v>
      </c>
      <c r="I54">
        <v>2.3421009159156399E-2</v>
      </c>
    </row>
    <row r="55" spans="1:12" x14ac:dyDescent="0.35">
      <c r="A55" t="s">
        <v>54</v>
      </c>
      <c r="B55">
        <v>2025</v>
      </c>
      <c r="C55">
        <v>11</v>
      </c>
      <c r="D55">
        <v>164474</v>
      </c>
      <c r="E55">
        <v>3856</v>
      </c>
      <c r="F55">
        <v>3665</v>
      </c>
      <c r="G55">
        <v>2.3444434986684821E-2</v>
      </c>
      <c r="H55">
        <v>2.3444434986684821E-2</v>
      </c>
      <c r="I55">
        <v>2.228315721633814E-2</v>
      </c>
    </row>
    <row r="56" spans="1:12" x14ac:dyDescent="0.35">
      <c r="A56" t="s">
        <v>54</v>
      </c>
      <c r="B56">
        <v>2025</v>
      </c>
      <c r="C56">
        <v>12</v>
      </c>
      <c r="D56">
        <v>158494</v>
      </c>
      <c r="E56">
        <v>4191</v>
      </c>
      <c r="F56">
        <v>3984</v>
      </c>
      <c r="G56">
        <v>2.644264136181811E-2</v>
      </c>
      <c r="H56">
        <v>2.644264136181811E-2</v>
      </c>
      <c r="I56">
        <v>2.5136598230847851E-2</v>
      </c>
    </row>
    <row r="57" spans="1:12" x14ac:dyDescent="0.35">
      <c r="A57" t="s">
        <v>54</v>
      </c>
      <c r="B57">
        <v>2026</v>
      </c>
      <c r="C57">
        <v>1</v>
      </c>
      <c r="D57">
        <v>234457</v>
      </c>
      <c r="E57">
        <v>5865</v>
      </c>
      <c r="F57">
        <v>5491</v>
      </c>
      <c r="G57">
        <v>2.501524799856689E-2</v>
      </c>
      <c r="H57">
        <v>2.501524799856689E-2</v>
      </c>
      <c r="I57">
        <v>2.3420072763875682E-2</v>
      </c>
    </row>
    <row r="58" spans="1:12" x14ac:dyDescent="0.35">
      <c r="A58" t="s">
        <v>54</v>
      </c>
      <c r="B58">
        <v>2026</v>
      </c>
      <c r="C58">
        <v>2</v>
      </c>
      <c r="D58">
        <v>267550</v>
      </c>
      <c r="E58">
        <v>9180</v>
      </c>
      <c r="F58">
        <v>8649</v>
      </c>
      <c r="G58">
        <v>3.4311343674079613E-2</v>
      </c>
      <c r="H58">
        <v>3.4311343674079613E-2</v>
      </c>
      <c r="I58">
        <v>3.2326667912539707E-2</v>
      </c>
    </row>
    <row r="59" spans="1:12" x14ac:dyDescent="0.35">
      <c r="A59" t="s">
        <v>54</v>
      </c>
      <c r="B59">
        <v>2026</v>
      </c>
      <c r="C59">
        <v>3</v>
      </c>
      <c r="D59">
        <v>244346</v>
      </c>
      <c r="E59">
        <v>8035</v>
      </c>
      <c r="F59">
        <v>7598</v>
      </c>
      <c r="G59">
        <v>3.2883697707349398E-2</v>
      </c>
      <c r="H59">
        <v>3.2883697707349398E-2</v>
      </c>
      <c r="I59">
        <v>3.1095250178026241E-2</v>
      </c>
    </row>
    <row r="60" spans="1:12" x14ac:dyDescent="0.35">
      <c r="A60" t="s">
        <v>54</v>
      </c>
      <c r="B60">
        <v>2026</v>
      </c>
      <c r="C60">
        <v>4</v>
      </c>
      <c r="D60">
        <v>216275</v>
      </c>
      <c r="E60">
        <v>5599</v>
      </c>
      <c r="F60">
        <v>5292</v>
      </c>
      <c r="G60">
        <v>2.588833660848457E-2</v>
      </c>
      <c r="H60">
        <v>2.588833660848457E-2</v>
      </c>
      <c r="I60">
        <v>2.4468847532077221E-2</v>
      </c>
    </row>
    <row r="61" spans="1:12" x14ac:dyDescent="0.35">
      <c r="A61" t="s">
        <v>54</v>
      </c>
      <c r="B61">
        <v>2026</v>
      </c>
      <c r="C61">
        <v>5</v>
      </c>
      <c r="D61">
        <v>210521</v>
      </c>
      <c r="E61">
        <v>5398</v>
      </c>
      <c r="F61">
        <v>5181</v>
      </c>
      <c r="G61">
        <v>2.564114743897283E-2</v>
      </c>
      <c r="H61">
        <v>2.564114743897283E-2</v>
      </c>
      <c r="I61">
        <v>2.4610371411878149E-2</v>
      </c>
    </row>
    <row r="62" spans="1:12" x14ac:dyDescent="0.35">
      <c r="A62" t="s">
        <v>55</v>
      </c>
      <c r="B62">
        <v>2025</v>
      </c>
      <c r="C62">
        <v>6</v>
      </c>
      <c r="D62">
        <v>3995</v>
      </c>
      <c r="E62">
        <v>269</v>
      </c>
      <c r="F62">
        <v>199</v>
      </c>
      <c r="G62">
        <v>6.7334167709637044E-2</v>
      </c>
      <c r="H62">
        <v>6.7334167709637044E-2</v>
      </c>
      <c r="I62">
        <v>4.9812265331664579E-2</v>
      </c>
      <c r="J62">
        <v>8.6599999999999996E-2</v>
      </c>
      <c r="K62">
        <v>0.25729999999999997</v>
      </c>
      <c r="L62">
        <v>0.25121146</v>
      </c>
    </row>
    <row r="63" spans="1:12" x14ac:dyDescent="0.35">
      <c r="A63" t="s">
        <v>55</v>
      </c>
      <c r="B63">
        <v>2025</v>
      </c>
      <c r="C63">
        <v>7</v>
      </c>
      <c r="D63">
        <v>3174</v>
      </c>
      <c r="E63">
        <v>212</v>
      </c>
      <c r="F63">
        <v>158</v>
      </c>
      <c r="G63">
        <v>6.6792690611216121E-2</v>
      </c>
      <c r="H63">
        <v>6.6792690611216121E-2</v>
      </c>
      <c r="I63">
        <v>4.9779458097038438E-2</v>
      </c>
      <c r="J63">
        <v>8.4099999999999994E-2</v>
      </c>
      <c r="K63">
        <v>0.23769999999999999</v>
      </c>
      <c r="L63">
        <v>0.24791226999999999</v>
      </c>
    </row>
    <row r="64" spans="1:12" x14ac:dyDescent="0.35">
      <c r="A64" t="s">
        <v>55</v>
      </c>
      <c r="B64">
        <v>2025</v>
      </c>
      <c r="C64">
        <v>8</v>
      </c>
      <c r="D64">
        <v>4182</v>
      </c>
      <c r="E64">
        <v>287</v>
      </c>
      <c r="F64">
        <v>239</v>
      </c>
      <c r="G64">
        <v>6.8627450980392163E-2</v>
      </c>
      <c r="H64">
        <v>6.8627450980392163E-2</v>
      </c>
      <c r="I64">
        <v>5.7149689143950258E-2</v>
      </c>
      <c r="J64">
        <v>7.3499999999999996E-2</v>
      </c>
      <c r="K64">
        <v>0.31359999999999999</v>
      </c>
      <c r="L64">
        <v>0.24895633</v>
      </c>
    </row>
    <row r="65" spans="1:12" x14ac:dyDescent="0.35">
      <c r="A65" t="s">
        <v>55</v>
      </c>
      <c r="B65">
        <v>2025</v>
      </c>
      <c r="C65">
        <v>9</v>
      </c>
      <c r="D65">
        <v>3641</v>
      </c>
      <c r="E65">
        <v>212</v>
      </c>
      <c r="F65">
        <v>151</v>
      </c>
      <c r="G65">
        <v>5.8225762153254597E-2</v>
      </c>
      <c r="H65">
        <v>5.8225762153254597E-2</v>
      </c>
      <c r="I65">
        <v>4.1472123043120021E-2</v>
      </c>
      <c r="J65">
        <v>8.2000000000000003E-2</v>
      </c>
      <c r="K65">
        <v>0.24959999999999999</v>
      </c>
      <c r="L65">
        <v>0.24821114</v>
      </c>
    </row>
    <row r="66" spans="1:12" x14ac:dyDescent="0.35">
      <c r="A66" t="s">
        <v>55</v>
      </c>
      <c r="B66">
        <v>2025</v>
      </c>
      <c r="C66">
        <v>10</v>
      </c>
      <c r="D66">
        <v>3398</v>
      </c>
      <c r="E66">
        <v>188</v>
      </c>
      <c r="F66">
        <v>157</v>
      </c>
      <c r="G66">
        <v>5.5326662742789877E-2</v>
      </c>
      <c r="H66">
        <v>5.5326662742789877E-2</v>
      </c>
      <c r="I66">
        <v>4.6203649205414948E-2</v>
      </c>
      <c r="J66">
        <v>7.6999999999999999E-2</v>
      </c>
      <c r="K66">
        <v>0.20519999999999999</v>
      </c>
      <c r="L66">
        <v>0.24743108</v>
      </c>
    </row>
    <row r="67" spans="1:12" x14ac:dyDescent="0.35">
      <c r="A67" t="s">
        <v>55</v>
      </c>
      <c r="B67">
        <v>2025</v>
      </c>
      <c r="C67">
        <v>11</v>
      </c>
      <c r="D67">
        <v>2685</v>
      </c>
      <c r="E67">
        <v>170</v>
      </c>
      <c r="F67">
        <v>128</v>
      </c>
      <c r="G67">
        <v>6.3314711359404099E-2</v>
      </c>
      <c r="H67">
        <v>6.3314711359404099E-2</v>
      </c>
      <c r="I67">
        <v>4.7672253258845443E-2</v>
      </c>
      <c r="J67">
        <v>7.22E-2</v>
      </c>
      <c r="K67">
        <v>0.21110000000000001</v>
      </c>
      <c r="L67">
        <v>0.25082386000000001</v>
      </c>
    </row>
    <row r="68" spans="1:12" x14ac:dyDescent="0.35">
      <c r="A68" t="s">
        <v>55</v>
      </c>
      <c r="B68">
        <v>2025</v>
      </c>
      <c r="C68">
        <v>12</v>
      </c>
      <c r="D68">
        <v>2067</v>
      </c>
      <c r="E68">
        <v>141</v>
      </c>
      <c r="F68">
        <v>101</v>
      </c>
      <c r="G68">
        <v>6.8214804063860671E-2</v>
      </c>
      <c r="H68">
        <v>8.0252710663365492E-2</v>
      </c>
      <c r="I68">
        <v>4.8863086598935658E-2</v>
      </c>
      <c r="J68">
        <v>7.4999999999999997E-2</v>
      </c>
      <c r="K68">
        <v>0.21310000000000001</v>
      </c>
      <c r="L68">
        <v>0.24747225</v>
      </c>
    </row>
    <row r="69" spans="1:12" x14ac:dyDescent="0.35">
      <c r="A69" t="s">
        <v>55</v>
      </c>
      <c r="B69">
        <v>2026</v>
      </c>
      <c r="C69">
        <v>1</v>
      </c>
      <c r="D69">
        <v>2501</v>
      </c>
      <c r="E69">
        <v>121</v>
      </c>
      <c r="F69">
        <v>72</v>
      </c>
      <c r="G69">
        <v>4.8380647740903643E-2</v>
      </c>
      <c r="H69">
        <v>4.8380647740903643E-2</v>
      </c>
      <c r="I69">
        <v>2.878848460615753E-2</v>
      </c>
      <c r="J69">
        <v>7.4899999999999994E-2</v>
      </c>
      <c r="K69">
        <v>0.218</v>
      </c>
      <c r="L69">
        <v>0.24621808000000001</v>
      </c>
    </row>
    <row r="70" spans="1:12" x14ac:dyDescent="0.35">
      <c r="A70" t="s">
        <v>55</v>
      </c>
      <c r="B70">
        <v>2026</v>
      </c>
      <c r="C70">
        <v>2</v>
      </c>
      <c r="D70">
        <v>3802</v>
      </c>
      <c r="E70">
        <v>278</v>
      </c>
      <c r="F70">
        <v>222</v>
      </c>
      <c r="G70">
        <v>7.3119410836401888E-2</v>
      </c>
      <c r="H70">
        <v>6.8277990624403553E-2</v>
      </c>
      <c r="I70">
        <v>5.8390320883745399E-2</v>
      </c>
      <c r="J70">
        <v>9.74E-2</v>
      </c>
      <c r="K70">
        <v>0.19159999999999999</v>
      </c>
      <c r="L70">
        <v>0.24616451</v>
      </c>
    </row>
    <row r="71" spans="1:12" x14ac:dyDescent="0.35">
      <c r="A71" t="s">
        <v>55</v>
      </c>
      <c r="B71">
        <v>2026</v>
      </c>
      <c r="C71">
        <v>3</v>
      </c>
      <c r="D71">
        <v>3711</v>
      </c>
      <c r="E71">
        <v>261</v>
      </c>
      <c r="F71">
        <v>212</v>
      </c>
      <c r="G71">
        <v>7.0331447049312837E-2</v>
      </c>
      <c r="H71">
        <v>6.6053326274672516E-2</v>
      </c>
      <c r="I71">
        <v>5.7127458905955268E-2</v>
      </c>
      <c r="J71">
        <v>8.09E-2</v>
      </c>
      <c r="K71">
        <v>0.2165</v>
      </c>
      <c r="L71">
        <v>0.24720373000000001</v>
      </c>
    </row>
    <row r="72" spans="1:12" x14ac:dyDescent="0.35">
      <c r="A72" t="s">
        <v>55</v>
      </c>
      <c r="B72">
        <v>2026</v>
      </c>
      <c r="C72">
        <v>4</v>
      </c>
      <c r="D72">
        <v>3126</v>
      </c>
      <c r="E72">
        <v>232</v>
      </c>
      <c r="F72">
        <v>200</v>
      </c>
      <c r="G72">
        <v>7.4216250799744074E-2</v>
      </c>
      <c r="H72">
        <v>7.4216250799744074E-2</v>
      </c>
      <c r="I72">
        <v>6.3979526551503504E-2</v>
      </c>
      <c r="J72">
        <v>8.6400000000000005E-2</v>
      </c>
      <c r="K72">
        <v>0.1862</v>
      </c>
      <c r="L72">
        <v>0.24452552</v>
      </c>
    </row>
    <row r="73" spans="1:12" x14ac:dyDescent="0.35">
      <c r="A73" t="s">
        <v>55</v>
      </c>
      <c r="B73">
        <v>2026</v>
      </c>
      <c r="C73">
        <v>5</v>
      </c>
      <c r="D73">
        <v>2962</v>
      </c>
      <c r="E73">
        <v>283</v>
      </c>
      <c r="F73">
        <v>253</v>
      </c>
      <c r="G73">
        <v>9.5543551654287642E-2</v>
      </c>
      <c r="H73">
        <v>9.5543551654287642E-2</v>
      </c>
      <c r="I73">
        <v>8.5415259959486831E-2</v>
      </c>
      <c r="J73">
        <v>0.10920000000000001</v>
      </c>
      <c r="K73">
        <v>0.18440000000000001</v>
      </c>
      <c r="L73">
        <v>0.24508165000000001</v>
      </c>
    </row>
    <row r="74" spans="1:12" x14ac:dyDescent="0.35">
      <c r="A74" t="s">
        <v>56</v>
      </c>
      <c r="B74">
        <v>2025</v>
      </c>
      <c r="C74">
        <v>6</v>
      </c>
      <c r="D74">
        <v>29856</v>
      </c>
      <c r="E74">
        <v>1598</v>
      </c>
      <c r="F74">
        <v>1389</v>
      </c>
      <c r="G74">
        <v>5.3523579849946407E-2</v>
      </c>
      <c r="H74">
        <v>5.3523579849946407E-2</v>
      </c>
      <c r="I74">
        <v>4.6523311897106109E-2</v>
      </c>
      <c r="J74">
        <v>4.9000000000000002E-2</v>
      </c>
      <c r="K74">
        <v>0.29420000000000002</v>
      </c>
      <c r="L74">
        <v>0.24982994</v>
      </c>
    </row>
    <row r="75" spans="1:12" x14ac:dyDescent="0.35">
      <c r="A75" t="s">
        <v>56</v>
      </c>
      <c r="B75">
        <v>2025</v>
      </c>
      <c r="C75">
        <v>7</v>
      </c>
      <c r="D75">
        <v>25260</v>
      </c>
      <c r="E75">
        <v>1229</v>
      </c>
      <c r="F75">
        <v>1046</v>
      </c>
      <c r="G75">
        <v>4.8653998416468718E-2</v>
      </c>
      <c r="H75">
        <v>4.8653998416468718E-2</v>
      </c>
      <c r="I75">
        <v>4.1409342834520968E-2</v>
      </c>
      <c r="J75">
        <v>4.7E-2</v>
      </c>
      <c r="K75">
        <v>0.28739999999999999</v>
      </c>
      <c r="L75">
        <v>0.24944106999999999</v>
      </c>
    </row>
    <row r="76" spans="1:12" x14ac:dyDescent="0.35">
      <c r="A76" t="s">
        <v>56</v>
      </c>
      <c r="B76">
        <v>2025</v>
      </c>
      <c r="C76">
        <v>8</v>
      </c>
      <c r="D76">
        <v>31885</v>
      </c>
      <c r="E76">
        <v>1444</v>
      </c>
      <c r="F76">
        <v>1238</v>
      </c>
      <c r="G76">
        <v>4.5287752861847261E-2</v>
      </c>
      <c r="H76">
        <v>4.5287752861847261E-2</v>
      </c>
      <c r="I76">
        <v>3.8827034655794249E-2</v>
      </c>
      <c r="J76">
        <v>4.2000000000000003E-2</v>
      </c>
      <c r="K76">
        <v>0.29139999999999999</v>
      </c>
      <c r="L76">
        <v>0.24863758999999999</v>
      </c>
    </row>
    <row r="77" spans="1:12" x14ac:dyDescent="0.35">
      <c r="A77" t="s">
        <v>56</v>
      </c>
      <c r="B77">
        <v>2025</v>
      </c>
      <c r="C77">
        <v>9</v>
      </c>
      <c r="D77">
        <v>25923</v>
      </c>
      <c r="E77">
        <v>1074</v>
      </c>
      <c r="F77">
        <v>928</v>
      </c>
      <c r="G77">
        <v>4.1430390001157273E-2</v>
      </c>
      <c r="H77">
        <v>4.1430390001157273E-2</v>
      </c>
      <c r="I77">
        <v>3.5798325811055819E-2</v>
      </c>
      <c r="J77">
        <v>3.78E-2</v>
      </c>
      <c r="K77">
        <v>0.26519999999999999</v>
      </c>
      <c r="L77">
        <v>0.24794374</v>
      </c>
    </row>
    <row r="78" spans="1:12" x14ac:dyDescent="0.35">
      <c r="A78" t="s">
        <v>56</v>
      </c>
      <c r="B78">
        <v>2025</v>
      </c>
      <c r="C78">
        <v>10</v>
      </c>
      <c r="D78">
        <v>31245</v>
      </c>
      <c r="E78">
        <v>1214</v>
      </c>
      <c r="F78">
        <v>1073</v>
      </c>
      <c r="G78">
        <v>3.8854216674667937E-2</v>
      </c>
      <c r="H78">
        <v>3.8854216674667937E-2</v>
      </c>
      <c r="I78">
        <v>3.434149463914226E-2</v>
      </c>
      <c r="J78">
        <v>3.4700000000000002E-2</v>
      </c>
      <c r="K78">
        <v>0.25159999999999999</v>
      </c>
      <c r="L78">
        <v>0.24792312999999999</v>
      </c>
    </row>
    <row r="79" spans="1:12" x14ac:dyDescent="0.35">
      <c r="A79" t="s">
        <v>56</v>
      </c>
      <c r="B79">
        <v>2025</v>
      </c>
      <c r="C79">
        <v>11</v>
      </c>
      <c r="D79">
        <v>23518</v>
      </c>
      <c r="E79">
        <v>835</v>
      </c>
      <c r="F79">
        <v>704</v>
      </c>
      <c r="G79">
        <v>3.5504719789097708E-2</v>
      </c>
      <c r="H79">
        <v>3.5504719789097708E-2</v>
      </c>
      <c r="I79">
        <v>2.993451824134705E-2</v>
      </c>
      <c r="J79">
        <v>3.4000000000000002E-2</v>
      </c>
      <c r="K79">
        <v>0.25209999999999999</v>
      </c>
      <c r="L79">
        <v>0.24781734999999999</v>
      </c>
    </row>
    <row r="80" spans="1:12" x14ac:dyDescent="0.35">
      <c r="A80" t="s">
        <v>56</v>
      </c>
      <c r="B80">
        <v>2025</v>
      </c>
      <c r="C80">
        <v>12</v>
      </c>
      <c r="D80">
        <v>21638</v>
      </c>
      <c r="E80">
        <v>809</v>
      </c>
      <c r="F80">
        <v>708</v>
      </c>
      <c r="G80">
        <v>3.7387928644052118E-2</v>
      </c>
      <c r="H80">
        <v>4.3985798404767198E-2</v>
      </c>
      <c r="I80">
        <v>3.2720214437563552E-2</v>
      </c>
      <c r="J80">
        <v>3.2899999999999999E-2</v>
      </c>
      <c r="K80">
        <v>0.2591</v>
      </c>
      <c r="L80">
        <v>0.24617417</v>
      </c>
    </row>
    <row r="81" spans="1:12" x14ac:dyDescent="0.35">
      <c r="A81" t="s">
        <v>56</v>
      </c>
      <c r="B81">
        <v>2026</v>
      </c>
      <c r="C81">
        <v>1</v>
      </c>
      <c r="D81">
        <v>28515</v>
      </c>
      <c r="E81">
        <v>1178</v>
      </c>
      <c r="F81">
        <v>1023</v>
      </c>
      <c r="G81">
        <v>4.1311590391022272E-2</v>
      </c>
      <c r="H81">
        <v>4.1311590391022272E-2</v>
      </c>
      <c r="I81">
        <v>3.5875854813256183E-2</v>
      </c>
      <c r="J81">
        <v>3.5900000000000001E-2</v>
      </c>
      <c r="K81">
        <v>0.28520000000000001</v>
      </c>
      <c r="L81">
        <v>0.25034759000000001</v>
      </c>
    </row>
    <row r="82" spans="1:12" x14ac:dyDescent="0.35">
      <c r="A82" t="s">
        <v>56</v>
      </c>
      <c r="B82">
        <v>2026</v>
      </c>
      <c r="C82">
        <v>2</v>
      </c>
      <c r="D82">
        <v>38041</v>
      </c>
      <c r="E82">
        <v>2002</v>
      </c>
      <c r="F82">
        <v>1796</v>
      </c>
      <c r="G82">
        <v>5.2627428301043611E-2</v>
      </c>
      <c r="H82">
        <v>4.8553807687234517E-2</v>
      </c>
      <c r="I82">
        <v>4.7212218395941218E-2</v>
      </c>
      <c r="J82">
        <v>4.2599999999999999E-2</v>
      </c>
      <c r="K82">
        <v>0.30520000000000003</v>
      </c>
      <c r="L82">
        <v>0.24958705</v>
      </c>
    </row>
    <row r="83" spans="1:12" x14ac:dyDescent="0.35">
      <c r="A83" t="s">
        <v>56</v>
      </c>
      <c r="B83">
        <v>2026</v>
      </c>
      <c r="C83">
        <v>3</v>
      </c>
      <c r="D83">
        <v>36221</v>
      </c>
      <c r="E83">
        <v>1861</v>
      </c>
      <c r="F83">
        <v>1676</v>
      </c>
      <c r="G83">
        <v>5.1379034261892269E-2</v>
      </c>
      <c r="H83">
        <v>4.840931029840656E-2</v>
      </c>
      <c r="I83">
        <v>4.6271499958587557E-2</v>
      </c>
      <c r="J83">
        <v>3.8199999999999998E-2</v>
      </c>
      <c r="K83">
        <v>0.34010000000000001</v>
      </c>
      <c r="L83">
        <v>0.24828095999999999</v>
      </c>
    </row>
    <row r="84" spans="1:12" x14ac:dyDescent="0.35">
      <c r="A84" t="s">
        <v>56</v>
      </c>
      <c r="B84">
        <v>2026</v>
      </c>
      <c r="C84">
        <v>4</v>
      </c>
      <c r="D84">
        <v>33385</v>
      </c>
      <c r="E84">
        <v>1806</v>
      </c>
      <c r="F84">
        <v>1632</v>
      </c>
      <c r="G84">
        <v>5.4096150966002697E-2</v>
      </c>
      <c r="H84">
        <v>5.4096150966002697E-2</v>
      </c>
      <c r="I84">
        <v>4.8884229444361237E-2</v>
      </c>
      <c r="J84">
        <v>4.1300000000000003E-2</v>
      </c>
      <c r="K84">
        <v>0.3266</v>
      </c>
      <c r="L84">
        <v>0.24689599000000001</v>
      </c>
    </row>
    <row r="85" spans="1:12" x14ac:dyDescent="0.35">
      <c r="A85" t="s">
        <v>56</v>
      </c>
      <c r="B85">
        <v>2026</v>
      </c>
      <c r="C85">
        <v>5</v>
      </c>
      <c r="D85">
        <v>31400</v>
      </c>
      <c r="E85">
        <v>1684</v>
      </c>
      <c r="F85">
        <v>1518</v>
      </c>
      <c r="G85">
        <v>5.3630573248407643E-2</v>
      </c>
      <c r="H85">
        <v>5.3630573248407643E-2</v>
      </c>
      <c r="I85">
        <v>4.8343949044585978E-2</v>
      </c>
      <c r="J85">
        <v>3.6400000000000002E-2</v>
      </c>
      <c r="K85">
        <v>0.308</v>
      </c>
      <c r="L85">
        <v>0.24522206999999999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81"/>
  <sheetViews>
    <sheetView workbookViewId="0">
      <selection activeCell="I37" sqref="I36:I37"/>
    </sheetView>
  </sheetViews>
  <sheetFormatPr defaultRowHeight="14.5" x14ac:dyDescent="0.35"/>
  <sheetData>
    <row r="1" spans="1:14" x14ac:dyDescent="0.35">
      <c r="A1" t="s">
        <v>57</v>
      </c>
      <c r="B1" t="s">
        <v>39</v>
      </c>
      <c r="C1" t="s">
        <v>40</v>
      </c>
      <c r="D1" t="s">
        <v>58</v>
      </c>
      <c r="E1" t="s">
        <v>41</v>
      </c>
      <c r="F1" t="s">
        <v>59</v>
      </c>
      <c r="G1" t="s">
        <v>60</v>
      </c>
      <c r="H1" t="s">
        <v>61</v>
      </c>
      <c r="I1" t="s">
        <v>62</v>
      </c>
      <c r="J1" t="s">
        <v>47</v>
      </c>
      <c r="K1" t="s">
        <v>48</v>
      </c>
      <c r="L1" t="s">
        <v>63</v>
      </c>
      <c r="M1" t="s">
        <v>64</v>
      </c>
      <c r="N1" t="s">
        <v>49</v>
      </c>
    </row>
    <row r="2" spans="1:14" x14ac:dyDescent="0.35">
      <c r="A2" t="s">
        <v>50</v>
      </c>
      <c r="B2">
        <v>2024</v>
      </c>
      <c r="C2">
        <v>1</v>
      </c>
      <c r="D2" s="1">
        <v>45292</v>
      </c>
      <c r="E2">
        <v>8441</v>
      </c>
      <c r="F2">
        <v>703</v>
      </c>
      <c r="G2">
        <v>1364</v>
      </c>
      <c r="H2">
        <v>0.54630000000000001</v>
      </c>
      <c r="I2">
        <v>8.3283971093472325E-2</v>
      </c>
      <c r="J2">
        <v>8.4500000000000006E-2</v>
      </c>
      <c r="K2">
        <v>0.35370000000000001</v>
      </c>
      <c r="L2">
        <v>0.35370000000000001</v>
      </c>
      <c r="M2">
        <v>2986</v>
      </c>
      <c r="N2">
        <v>0.25751543999999998</v>
      </c>
    </row>
    <row r="3" spans="1:14" x14ac:dyDescent="0.35">
      <c r="A3" t="s">
        <v>50</v>
      </c>
      <c r="B3">
        <v>2024</v>
      </c>
      <c r="C3">
        <v>2</v>
      </c>
      <c r="D3" s="1">
        <v>45323</v>
      </c>
      <c r="E3">
        <v>11246</v>
      </c>
      <c r="F3">
        <v>1048</v>
      </c>
      <c r="G3">
        <v>2078</v>
      </c>
      <c r="H3">
        <v>0.53159999999999996</v>
      </c>
      <c r="I3">
        <v>9.3188689311755293E-2</v>
      </c>
      <c r="J3">
        <v>8.4900000000000003E-2</v>
      </c>
      <c r="K3">
        <v>0.34179999999999999</v>
      </c>
      <c r="L3">
        <v>0.32552380952380949</v>
      </c>
      <c r="M3">
        <v>3844</v>
      </c>
      <c r="N3">
        <v>0.25707996</v>
      </c>
    </row>
    <row r="4" spans="1:14" x14ac:dyDescent="0.35">
      <c r="A4" t="s">
        <v>50</v>
      </c>
      <c r="B4">
        <v>2024</v>
      </c>
      <c r="C4">
        <v>3</v>
      </c>
      <c r="D4" s="1">
        <v>45352</v>
      </c>
      <c r="E4">
        <v>11544</v>
      </c>
      <c r="F4">
        <v>1136</v>
      </c>
      <c r="G4">
        <v>2253</v>
      </c>
      <c r="H4">
        <v>0.56599999999999995</v>
      </c>
      <c r="I4">
        <v>9.8406098406098402E-2</v>
      </c>
      <c r="J4">
        <v>8.6800000000000002E-2</v>
      </c>
      <c r="K4">
        <v>0.36620000000000003</v>
      </c>
      <c r="L4">
        <v>0.34876190476190477</v>
      </c>
      <c r="M4">
        <v>4228</v>
      </c>
      <c r="N4">
        <v>0.25550373999999998</v>
      </c>
    </row>
    <row r="5" spans="1:14" x14ac:dyDescent="0.35">
      <c r="A5" t="s">
        <v>50</v>
      </c>
      <c r="B5">
        <v>2024</v>
      </c>
      <c r="C5">
        <v>4</v>
      </c>
      <c r="D5" s="1">
        <v>45383</v>
      </c>
      <c r="E5">
        <v>9795</v>
      </c>
      <c r="F5">
        <v>915</v>
      </c>
      <c r="G5">
        <v>1808</v>
      </c>
      <c r="H5">
        <v>0.60160000000000002</v>
      </c>
      <c r="I5">
        <v>9.3415007656967836E-2</v>
      </c>
      <c r="J5">
        <v>9.1300000000000006E-2</v>
      </c>
      <c r="K5">
        <v>0.40189999999999998</v>
      </c>
      <c r="L5">
        <v>0.40189999999999998</v>
      </c>
      <c r="M5">
        <v>3937</v>
      </c>
      <c r="N5">
        <v>0.2543916</v>
      </c>
    </row>
    <row r="6" spans="1:14" x14ac:dyDescent="0.35">
      <c r="A6" t="s">
        <v>50</v>
      </c>
      <c r="B6">
        <v>2024</v>
      </c>
      <c r="C6">
        <v>5</v>
      </c>
      <c r="D6" s="1">
        <v>45413</v>
      </c>
      <c r="E6">
        <v>9556</v>
      </c>
      <c r="F6">
        <v>761</v>
      </c>
      <c r="G6">
        <v>1524</v>
      </c>
      <c r="H6">
        <v>0.57950000000000002</v>
      </c>
      <c r="I6">
        <v>7.9635830891586434E-2</v>
      </c>
      <c r="J6">
        <v>0.11700000000000001</v>
      </c>
      <c r="K6">
        <v>0.35539999999999999</v>
      </c>
      <c r="L6">
        <v>0.35539999999999999</v>
      </c>
      <c r="M6">
        <v>3397</v>
      </c>
      <c r="N6">
        <v>0.25386468000000001</v>
      </c>
    </row>
    <row r="7" spans="1:14" x14ac:dyDescent="0.35">
      <c r="A7" t="s">
        <v>50</v>
      </c>
      <c r="B7">
        <v>2024</v>
      </c>
      <c r="C7">
        <v>6</v>
      </c>
      <c r="D7" s="1">
        <v>45444</v>
      </c>
      <c r="E7">
        <v>7276</v>
      </c>
      <c r="F7">
        <v>603</v>
      </c>
      <c r="G7">
        <v>1237</v>
      </c>
      <c r="H7">
        <v>0.58779999999999999</v>
      </c>
      <c r="I7">
        <v>8.2875206157229236E-2</v>
      </c>
      <c r="J7">
        <v>0.1139</v>
      </c>
      <c r="K7">
        <v>0.37140000000000001</v>
      </c>
      <c r="L7">
        <v>0.37140000000000001</v>
      </c>
      <c r="M7">
        <v>2703</v>
      </c>
      <c r="N7">
        <v>0.25266508999999998</v>
      </c>
    </row>
    <row r="8" spans="1:14" x14ac:dyDescent="0.35">
      <c r="A8" t="s">
        <v>50</v>
      </c>
      <c r="B8">
        <v>2024</v>
      </c>
      <c r="C8">
        <v>7</v>
      </c>
      <c r="D8" s="1">
        <v>45495</v>
      </c>
      <c r="E8">
        <v>2187</v>
      </c>
      <c r="F8">
        <v>125</v>
      </c>
      <c r="G8">
        <v>245</v>
      </c>
      <c r="H8">
        <v>0.4677</v>
      </c>
      <c r="I8">
        <v>5.715592135345221E-2</v>
      </c>
      <c r="J8">
        <v>8.0199999999999994E-2</v>
      </c>
      <c r="K8">
        <v>0.24179999999999999</v>
      </c>
      <c r="L8">
        <v>0.24179999999999999</v>
      </c>
      <c r="M8">
        <v>529</v>
      </c>
      <c r="N8">
        <v>0.25057066</v>
      </c>
    </row>
    <row r="9" spans="1:14" x14ac:dyDescent="0.35">
      <c r="A9" t="s">
        <v>50</v>
      </c>
      <c r="B9">
        <v>2024</v>
      </c>
      <c r="C9">
        <v>8</v>
      </c>
      <c r="D9" s="1">
        <v>45505</v>
      </c>
      <c r="E9">
        <v>9192</v>
      </c>
      <c r="F9">
        <v>549</v>
      </c>
      <c r="G9">
        <v>1073</v>
      </c>
      <c r="H9">
        <v>0.48680000000000001</v>
      </c>
      <c r="I9">
        <v>5.9725848563968661E-2</v>
      </c>
      <c r="J9">
        <v>8.4599999999999995E-2</v>
      </c>
      <c r="K9">
        <v>0.26829999999999998</v>
      </c>
      <c r="L9">
        <v>0.26829999999999998</v>
      </c>
      <c r="M9">
        <v>2467</v>
      </c>
      <c r="N9">
        <v>0.25231293999999999</v>
      </c>
    </row>
    <row r="10" spans="1:14" x14ac:dyDescent="0.35">
      <c r="A10" t="s">
        <v>50</v>
      </c>
      <c r="B10">
        <v>2024</v>
      </c>
      <c r="C10">
        <v>9</v>
      </c>
      <c r="D10" s="1">
        <v>45536</v>
      </c>
      <c r="E10">
        <v>8390</v>
      </c>
      <c r="F10">
        <v>529</v>
      </c>
      <c r="G10">
        <v>1048</v>
      </c>
      <c r="H10">
        <v>0.51629999999999998</v>
      </c>
      <c r="I10">
        <v>6.3051251489868884E-2</v>
      </c>
      <c r="J10">
        <v>9.1800000000000007E-2</v>
      </c>
      <c r="K10">
        <v>0.28510000000000002</v>
      </c>
      <c r="L10">
        <v>0.28510000000000002</v>
      </c>
      <c r="M10">
        <v>2392</v>
      </c>
      <c r="N10">
        <v>0.25192219999999999</v>
      </c>
    </row>
    <row r="11" spans="1:14" x14ac:dyDescent="0.35">
      <c r="A11" t="s">
        <v>50</v>
      </c>
      <c r="B11">
        <v>2024</v>
      </c>
      <c r="C11">
        <v>10</v>
      </c>
      <c r="D11" s="1">
        <v>45566</v>
      </c>
      <c r="E11">
        <v>8814</v>
      </c>
      <c r="F11">
        <v>601</v>
      </c>
      <c r="G11">
        <v>1178</v>
      </c>
      <c r="H11">
        <v>0.54279999999999995</v>
      </c>
      <c r="I11">
        <v>6.8186975266621278E-2</v>
      </c>
      <c r="J11">
        <v>0.10879999999999999</v>
      </c>
      <c r="K11">
        <v>0.2979</v>
      </c>
      <c r="L11">
        <v>0.2979</v>
      </c>
      <c r="M11">
        <v>2626</v>
      </c>
      <c r="N11">
        <v>0.25027182999999997</v>
      </c>
    </row>
    <row r="12" spans="1:14" x14ac:dyDescent="0.35">
      <c r="A12" t="s">
        <v>50</v>
      </c>
      <c r="B12">
        <v>2024</v>
      </c>
      <c r="C12">
        <v>11</v>
      </c>
      <c r="D12" s="1">
        <v>45597</v>
      </c>
      <c r="E12">
        <v>8168</v>
      </c>
      <c r="F12">
        <v>563</v>
      </c>
      <c r="G12">
        <v>1127</v>
      </c>
      <c r="H12">
        <v>0.55789999999999995</v>
      </c>
      <c r="I12">
        <v>6.8927522037218414E-2</v>
      </c>
      <c r="J12">
        <v>8.1500000000000003E-2</v>
      </c>
      <c r="K12">
        <v>0.31590000000000001</v>
      </c>
      <c r="L12">
        <v>0.31590000000000001</v>
      </c>
      <c r="M12">
        <v>2581</v>
      </c>
      <c r="N12">
        <v>0.24877848</v>
      </c>
    </row>
    <row r="13" spans="1:14" x14ac:dyDescent="0.35">
      <c r="A13" t="s">
        <v>50</v>
      </c>
      <c r="B13">
        <v>2024</v>
      </c>
      <c r="C13">
        <v>12</v>
      </c>
      <c r="D13" s="1">
        <v>45627</v>
      </c>
      <c r="E13">
        <v>7483</v>
      </c>
      <c r="F13">
        <v>616</v>
      </c>
      <c r="G13">
        <v>1200</v>
      </c>
      <c r="H13">
        <v>0.57899999999999996</v>
      </c>
      <c r="I13">
        <v>8.2319925163704386E-2</v>
      </c>
      <c r="J13">
        <v>6.8900000000000003E-2</v>
      </c>
      <c r="K13">
        <v>0.35149999999999998</v>
      </c>
      <c r="L13">
        <v>0.35149999999999998</v>
      </c>
      <c r="M13">
        <v>2631</v>
      </c>
      <c r="N13">
        <v>0.24816977000000001</v>
      </c>
    </row>
    <row r="14" spans="1:14" x14ac:dyDescent="0.35">
      <c r="A14" t="s">
        <v>50</v>
      </c>
      <c r="B14">
        <v>2025</v>
      </c>
      <c r="C14">
        <v>1</v>
      </c>
      <c r="D14" s="1">
        <v>45658</v>
      </c>
      <c r="E14">
        <v>9068</v>
      </c>
      <c r="F14">
        <v>733</v>
      </c>
      <c r="G14">
        <v>1416</v>
      </c>
      <c r="H14">
        <v>0.57450000000000001</v>
      </c>
      <c r="I14">
        <v>8.0833700926334365E-2</v>
      </c>
      <c r="J14">
        <v>6.25E-2</v>
      </c>
      <c r="K14">
        <v>0.3821</v>
      </c>
      <c r="L14">
        <v>0.3821</v>
      </c>
      <c r="M14">
        <v>3465</v>
      </c>
      <c r="N14">
        <v>0.25213427999999999</v>
      </c>
    </row>
    <row r="15" spans="1:14" x14ac:dyDescent="0.35">
      <c r="A15" t="s">
        <v>50</v>
      </c>
      <c r="B15">
        <v>2025</v>
      </c>
      <c r="C15">
        <v>2</v>
      </c>
      <c r="D15" s="1">
        <v>45689</v>
      </c>
      <c r="E15">
        <v>12983</v>
      </c>
      <c r="F15">
        <v>1162</v>
      </c>
      <c r="G15">
        <v>2350</v>
      </c>
      <c r="H15">
        <v>0.52939999999999998</v>
      </c>
      <c r="I15">
        <v>8.9501656011707606E-2</v>
      </c>
      <c r="J15">
        <v>7.0099999999999996E-2</v>
      </c>
      <c r="K15">
        <v>0.34</v>
      </c>
      <c r="L15">
        <v>0.32380952380952382</v>
      </c>
      <c r="M15">
        <v>4415</v>
      </c>
      <c r="N15">
        <v>0.25221310000000002</v>
      </c>
    </row>
    <row r="16" spans="1:14" x14ac:dyDescent="0.35">
      <c r="A16" t="s">
        <v>50</v>
      </c>
      <c r="B16">
        <v>2025</v>
      </c>
      <c r="C16">
        <v>3</v>
      </c>
      <c r="D16" s="1">
        <v>45717</v>
      </c>
      <c r="E16">
        <v>14368</v>
      </c>
      <c r="F16">
        <v>1324</v>
      </c>
      <c r="G16">
        <v>2753</v>
      </c>
      <c r="H16">
        <v>0.55289999999999995</v>
      </c>
      <c r="I16">
        <v>9.2149220489977715E-2</v>
      </c>
      <c r="J16">
        <v>6.5699999999999995E-2</v>
      </c>
      <c r="K16">
        <v>0.36509999999999998</v>
      </c>
      <c r="L16">
        <v>0.3477142857142857</v>
      </c>
      <c r="M16">
        <v>5246</v>
      </c>
      <c r="N16">
        <v>0.25104313</v>
      </c>
    </row>
    <row r="17" spans="1:14" x14ac:dyDescent="0.35">
      <c r="A17" t="s">
        <v>50</v>
      </c>
      <c r="B17">
        <v>2025</v>
      </c>
      <c r="C17">
        <v>4</v>
      </c>
      <c r="D17" s="1">
        <v>45748</v>
      </c>
      <c r="E17">
        <v>11380</v>
      </c>
      <c r="F17">
        <v>946</v>
      </c>
      <c r="G17">
        <v>1943</v>
      </c>
      <c r="H17">
        <v>0.56299999999999994</v>
      </c>
      <c r="I17">
        <v>8.3128295254833034E-2</v>
      </c>
      <c r="J17">
        <v>5.74E-2</v>
      </c>
      <c r="K17">
        <v>0.37319999999999998</v>
      </c>
      <c r="L17">
        <v>0.37319999999999998</v>
      </c>
      <c r="M17">
        <v>4248</v>
      </c>
      <c r="N17">
        <v>0.25060370999999998</v>
      </c>
    </row>
    <row r="18" spans="1:14" x14ac:dyDescent="0.35">
      <c r="A18" t="s">
        <v>50</v>
      </c>
      <c r="B18">
        <v>2025</v>
      </c>
      <c r="C18">
        <v>5</v>
      </c>
      <c r="D18" s="1">
        <v>45778</v>
      </c>
      <c r="E18">
        <v>12227</v>
      </c>
      <c r="F18">
        <v>981</v>
      </c>
      <c r="G18">
        <v>2006</v>
      </c>
      <c r="H18">
        <v>0.55800000000000005</v>
      </c>
      <c r="I18">
        <v>8.0232272838799371E-2</v>
      </c>
      <c r="J18">
        <v>5.4699999999999999E-2</v>
      </c>
      <c r="K18">
        <v>0.36620000000000003</v>
      </c>
      <c r="L18">
        <v>0.36620000000000003</v>
      </c>
      <c r="M18">
        <v>4478</v>
      </c>
      <c r="N18">
        <v>0.25031233000000003</v>
      </c>
    </row>
    <row r="19" spans="1:14" x14ac:dyDescent="0.35">
      <c r="A19" t="s">
        <v>50</v>
      </c>
      <c r="B19">
        <v>2025</v>
      </c>
      <c r="C19">
        <v>6</v>
      </c>
      <c r="D19" s="1">
        <v>45809</v>
      </c>
      <c r="E19">
        <v>10751</v>
      </c>
      <c r="F19">
        <v>828</v>
      </c>
      <c r="G19">
        <v>1681</v>
      </c>
      <c r="H19">
        <v>0.56320000000000003</v>
      </c>
      <c r="I19">
        <v>7.7016091526369637E-2</v>
      </c>
      <c r="J19">
        <v>5.8400000000000001E-2</v>
      </c>
      <c r="K19">
        <v>0.3548</v>
      </c>
      <c r="L19">
        <v>0.3548</v>
      </c>
      <c r="M19">
        <v>3815</v>
      </c>
      <c r="N19">
        <v>0.24908447</v>
      </c>
    </row>
    <row r="20" spans="1:14" x14ac:dyDescent="0.35">
      <c r="A20" t="s">
        <v>50</v>
      </c>
      <c r="B20">
        <v>2025</v>
      </c>
      <c r="C20">
        <v>7</v>
      </c>
      <c r="D20" s="1">
        <v>45839</v>
      </c>
      <c r="E20">
        <v>11681</v>
      </c>
      <c r="F20">
        <v>795</v>
      </c>
      <c r="G20">
        <v>1631</v>
      </c>
      <c r="H20">
        <v>0.54039999999999999</v>
      </c>
      <c r="I20">
        <v>6.8059241503295953E-2</v>
      </c>
      <c r="J20">
        <v>4.9299999999999997E-2</v>
      </c>
      <c r="K20">
        <v>0.3483</v>
      </c>
      <c r="L20">
        <v>0.3483</v>
      </c>
      <c r="M20">
        <v>4069</v>
      </c>
      <c r="N20">
        <v>0.24894458999999999</v>
      </c>
    </row>
    <row r="21" spans="1:14" x14ac:dyDescent="0.35">
      <c r="A21" t="s">
        <v>50</v>
      </c>
      <c r="B21">
        <v>2025</v>
      </c>
      <c r="C21">
        <v>8</v>
      </c>
      <c r="D21" s="1">
        <v>45870</v>
      </c>
      <c r="E21">
        <v>11915</v>
      </c>
      <c r="F21">
        <v>889</v>
      </c>
      <c r="G21">
        <v>1799</v>
      </c>
      <c r="H21">
        <v>0.57809999999999995</v>
      </c>
      <c r="I21">
        <v>7.4611833822912296E-2</v>
      </c>
      <c r="J21">
        <v>5.0799999999999998E-2</v>
      </c>
      <c r="K21">
        <v>0.36909999999999998</v>
      </c>
      <c r="L21">
        <v>0.36909999999999998</v>
      </c>
      <c r="M21">
        <v>4398</v>
      </c>
      <c r="N21">
        <v>0.24711663</v>
      </c>
    </row>
    <row r="22" spans="1:14" x14ac:dyDescent="0.35">
      <c r="A22" t="s">
        <v>50</v>
      </c>
      <c r="B22">
        <v>2025</v>
      </c>
      <c r="C22">
        <v>9</v>
      </c>
      <c r="D22" s="1">
        <v>45901</v>
      </c>
      <c r="E22">
        <v>10275</v>
      </c>
      <c r="F22">
        <v>648</v>
      </c>
      <c r="G22">
        <v>1333</v>
      </c>
      <c r="H22">
        <v>0.5625</v>
      </c>
      <c r="I22">
        <v>6.3065693430656933E-2</v>
      </c>
      <c r="J22">
        <v>4.7199999999999999E-2</v>
      </c>
      <c r="K22">
        <v>0.34949999999999998</v>
      </c>
      <c r="L22">
        <v>0.34949999999999998</v>
      </c>
      <c r="M22">
        <v>3592</v>
      </c>
      <c r="N22">
        <v>0.24573292999999999</v>
      </c>
    </row>
    <row r="23" spans="1:14" x14ac:dyDescent="0.35">
      <c r="A23" t="s">
        <v>50</v>
      </c>
      <c r="B23">
        <v>2025</v>
      </c>
      <c r="C23">
        <v>10</v>
      </c>
      <c r="D23" s="1">
        <v>45931</v>
      </c>
      <c r="E23">
        <v>10285</v>
      </c>
      <c r="F23">
        <v>605</v>
      </c>
      <c r="G23">
        <v>1220</v>
      </c>
      <c r="H23">
        <v>0.53710000000000002</v>
      </c>
      <c r="I23">
        <v>5.8823529411764698E-2</v>
      </c>
      <c r="J23">
        <v>4.8399999999999999E-2</v>
      </c>
      <c r="K23">
        <v>0.32190000000000002</v>
      </c>
      <c r="L23">
        <v>0.32190000000000002</v>
      </c>
      <c r="M23">
        <v>3311</v>
      </c>
      <c r="N23">
        <v>0.24567032</v>
      </c>
    </row>
    <row r="24" spans="1:14" x14ac:dyDescent="0.35">
      <c r="A24" t="s">
        <v>50</v>
      </c>
      <c r="B24">
        <v>2025</v>
      </c>
      <c r="C24">
        <v>11</v>
      </c>
      <c r="D24" s="1">
        <v>45962</v>
      </c>
      <c r="E24">
        <v>10326</v>
      </c>
      <c r="F24">
        <v>608</v>
      </c>
      <c r="G24">
        <v>1232</v>
      </c>
      <c r="H24">
        <v>0.55420000000000003</v>
      </c>
      <c r="I24">
        <v>5.8880495835754401E-2</v>
      </c>
      <c r="J24">
        <v>4.4400000000000002E-2</v>
      </c>
      <c r="K24">
        <v>0.33929999999999999</v>
      </c>
      <c r="L24">
        <v>0.33929999999999999</v>
      </c>
      <c r="M24">
        <v>3504</v>
      </c>
      <c r="N24">
        <v>0.24599298</v>
      </c>
    </row>
    <row r="25" spans="1:14" x14ac:dyDescent="0.35">
      <c r="A25" t="s">
        <v>50</v>
      </c>
      <c r="B25">
        <v>2025</v>
      </c>
      <c r="C25">
        <v>12</v>
      </c>
      <c r="D25" s="1">
        <v>45992</v>
      </c>
      <c r="E25">
        <v>9627</v>
      </c>
      <c r="F25">
        <v>575</v>
      </c>
      <c r="G25">
        <v>1176</v>
      </c>
      <c r="H25">
        <v>0.53490000000000004</v>
      </c>
      <c r="I25">
        <v>5.9727848758699492E-2</v>
      </c>
      <c r="J25">
        <v>4.1599999999999998E-2</v>
      </c>
      <c r="K25">
        <v>0.34429999999999999</v>
      </c>
      <c r="L25">
        <v>0.34429999999999999</v>
      </c>
      <c r="M25">
        <v>3315</v>
      </c>
      <c r="N25">
        <v>0.24510962</v>
      </c>
    </row>
    <row r="26" spans="1:14" x14ac:dyDescent="0.35">
      <c r="A26" t="s">
        <v>50</v>
      </c>
      <c r="B26">
        <v>2026</v>
      </c>
      <c r="C26">
        <v>1</v>
      </c>
      <c r="D26" s="1">
        <v>46023</v>
      </c>
      <c r="E26">
        <v>9436</v>
      </c>
      <c r="F26">
        <v>572</v>
      </c>
      <c r="G26">
        <v>1154</v>
      </c>
      <c r="H26">
        <v>0.53339999999999999</v>
      </c>
      <c r="I26">
        <v>6.0618906316235691E-2</v>
      </c>
      <c r="J26">
        <v>4.8500000000000001E-2</v>
      </c>
      <c r="K26">
        <v>0.35820000000000002</v>
      </c>
      <c r="L26">
        <v>0.35820000000000002</v>
      </c>
      <c r="M26">
        <v>3380</v>
      </c>
      <c r="N26">
        <v>0.24870303999999999</v>
      </c>
    </row>
    <row r="27" spans="1:14" x14ac:dyDescent="0.35">
      <c r="A27" t="s">
        <v>50</v>
      </c>
      <c r="B27">
        <v>2026</v>
      </c>
      <c r="C27">
        <v>2</v>
      </c>
      <c r="D27" s="1">
        <v>46054</v>
      </c>
      <c r="E27">
        <v>14301</v>
      </c>
      <c r="F27">
        <v>970</v>
      </c>
      <c r="G27">
        <v>2032</v>
      </c>
      <c r="H27">
        <v>0.51549999999999996</v>
      </c>
      <c r="I27">
        <v>6.7827424655618473E-2</v>
      </c>
      <c r="J27">
        <v>4.8800000000000003E-2</v>
      </c>
      <c r="K27">
        <v>0.34789999999999999</v>
      </c>
      <c r="L27">
        <v>0.33133333333333331</v>
      </c>
      <c r="M27">
        <v>4976</v>
      </c>
      <c r="N27">
        <v>0.24889232999999999</v>
      </c>
    </row>
    <row r="28" spans="1:14" x14ac:dyDescent="0.35">
      <c r="A28" t="s">
        <v>50</v>
      </c>
      <c r="B28">
        <v>2026</v>
      </c>
      <c r="C28">
        <v>3</v>
      </c>
      <c r="D28" s="1">
        <v>46082</v>
      </c>
      <c r="E28">
        <v>14118</v>
      </c>
      <c r="F28">
        <v>950</v>
      </c>
      <c r="G28">
        <v>2012</v>
      </c>
      <c r="H28">
        <v>0.55959999999999999</v>
      </c>
      <c r="I28">
        <v>6.7289984417056234E-2</v>
      </c>
      <c r="J28">
        <v>4.4600000000000001E-2</v>
      </c>
      <c r="K28">
        <v>0.38779999999999998</v>
      </c>
      <c r="L28">
        <v>0.36933333333333329</v>
      </c>
      <c r="M28">
        <v>5476</v>
      </c>
      <c r="N28">
        <v>0.24817168000000001</v>
      </c>
    </row>
    <row r="29" spans="1:14" x14ac:dyDescent="0.35">
      <c r="A29" t="s">
        <v>50</v>
      </c>
      <c r="B29">
        <v>2026</v>
      </c>
      <c r="C29">
        <v>4</v>
      </c>
      <c r="D29" s="1">
        <v>46113</v>
      </c>
      <c r="E29">
        <v>13730</v>
      </c>
      <c r="F29">
        <v>929</v>
      </c>
      <c r="G29">
        <v>1891</v>
      </c>
      <c r="H29">
        <v>0.58160000000000001</v>
      </c>
      <c r="I29">
        <v>6.7662053896576826E-2</v>
      </c>
      <c r="J29">
        <v>3.7600000000000001E-2</v>
      </c>
      <c r="K29">
        <v>0.41410000000000002</v>
      </c>
      <c r="L29">
        <v>0.41410000000000002</v>
      </c>
      <c r="M29">
        <v>5689</v>
      </c>
      <c r="N29">
        <v>0.24269529000000001</v>
      </c>
    </row>
    <row r="30" spans="1:14" x14ac:dyDescent="0.35">
      <c r="A30" t="s">
        <v>50</v>
      </c>
      <c r="B30">
        <v>2026</v>
      </c>
      <c r="C30">
        <v>5</v>
      </c>
      <c r="D30" s="1">
        <v>46143</v>
      </c>
      <c r="E30">
        <v>15076</v>
      </c>
      <c r="F30">
        <v>957</v>
      </c>
      <c r="G30">
        <v>1626</v>
      </c>
      <c r="H30">
        <v>0.61380000000000001</v>
      </c>
      <c r="I30">
        <v>6.347837622711594E-2</v>
      </c>
      <c r="J30">
        <v>3.6400000000000002E-2</v>
      </c>
      <c r="K30">
        <v>0.4501</v>
      </c>
      <c r="L30">
        <v>0.4501</v>
      </c>
      <c r="M30">
        <v>6788</v>
      </c>
      <c r="N30">
        <v>0.2404917</v>
      </c>
    </row>
    <row r="31" spans="1:14" x14ac:dyDescent="0.35">
      <c r="A31" t="s">
        <v>50</v>
      </c>
      <c r="B31">
        <v>2026</v>
      </c>
      <c r="C31">
        <v>6</v>
      </c>
      <c r="D31" s="1">
        <v>46174</v>
      </c>
      <c r="E31">
        <v>1497</v>
      </c>
      <c r="F31">
        <v>49</v>
      </c>
      <c r="G31">
        <v>2</v>
      </c>
      <c r="H31">
        <v>0.59340000000000004</v>
      </c>
      <c r="I31">
        <v>3.2732130928523707E-2</v>
      </c>
      <c r="J31">
        <v>3.2899999999999999E-2</v>
      </c>
      <c r="K31">
        <v>0.41049999999999998</v>
      </c>
      <c r="L31">
        <v>0.41049999999999998</v>
      </c>
      <c r="M31">
        <v>615</v>
      </c>
      <c r="N31">
        <v>0.24407886000000001</v>
      </c>
    </row>
    <row r="32" spans="1:14" x14ac:dyDescent="0.35">
      <c r="A32" t="s">
        <v>51</v>
      </c>
      <c r="B32">
        <v>2024</v>
      </c>
      <c r="C32">
        <v>1</v>
      </c>
      <c r="D32" s="1">
        <v>45292</v>
      </c>
      <c r="E32">
        <v>40849</v>
      </c>
      <c r="F32">
        <v>1443</v>
      </c>
      <c r="G32">
        <v>2799</v>
      </c>
      <c r="H32">
        <v>0.41710000000000003</v>
      </c>
      <c r="I32">
        <v>3.532522215966119E-2</v>
      </c>
      <c r="J32">
        <v>1.6799999999999999E-2</v>
      </c>
      <c r="K32">
        <v>0.40629999999999999</v>
      </c>
      <c r="L32">
        <v>0.40629999999999999</v>
      </c>
      <c r="M32">
        <v>16599</v>
      </c>
      <c r="N32">
        <v>0.23732842000000001</v>
      </c>
    </row>
    <row r="33" spans="1:14" x14ac:dyDescent="0.35">
      <c r="A33" t="s">
        <v>51</v>
      </c>
      <c r="B33">
        <v>2024</v>
      </c>
      <c r="C33">
        <v>2</v>
      </c>
      <c r="D33" s="1">
        <v>45323</v>
      </c>
      <c r="E33">
        <v>52692</v>
      </c>
      <c r="F33">
        <v>2401</v>
      </c>
      <c r="G33">
        <v>4819</v>
      </c>
      <c r="H33">
        <v>0.41839999999999999</v>
      </c>
      <c r="I33">
        <v>4.5566689440522279E-2</v>
      </c>
      <c r="J33">
        <v>1.9800000000000002E-2</v>
      </c>
      <c r="K33">
        <v>0.40699999999999997</v>
      </c>
      <c r="L33">
        <v>0.38761904761904759</v>
      </c>
      <c r="M33">
        <v>21450</v>
      </c>
      <c r="N33">
        <v>0.23745041</v>
      </c>
    </row>
    <row r="34" spans="1:14" x14ac:dyDescent="0.35">
      <c r="A34" t="s">
        <v>51</v>
      </c>
      <c r="B34">
        <v>2024</v>
      </c>
      <c r="C34">
        <v>3</v>
      </c>
      <c r="D34" s="1">
        <v>45352</v>
      </c>
      <c r="E34">
        <v>54396</v>
      </c>
      <c r="F34">
        <v>2426</v>
      </c>
      <c r="G34">
        <v>4839</v>
      </c>
      <c r="H34">
        <v>0.42259999999999998</v>
      </c>
      <c r="I34">
        <v>4.4598867563791451E-2</v>
      </c>
      <c r="J34">
        <v>1.55E-2</v>
      </c>
      <c r="K34">
        <v>0.42249999999999999</v>
      </c>
      <c r="L34">
        <v>0.40238095238095228</v>
      </c>
      <c r="M34">
        <v>22985</v>
      </c>
      <c r="N34">
        <v>0.23686726</v>
      </c>
    </row>
    <row r="35" spans="1:14" x14ac:dyDescent="0.35">
      <c r="A35" t="s">
        <v>51</v>
      </c>
      <c r="B35">
        <v>2024</v>
      </c>
      <c r="C35">
        <v>4</v>
      </c>
      <c r="D35" s="1">
        <v>45383</v>
      </c>
      <c r="E35">
        <v>50065</v>
      </c>
      <c r="F35">
        <v>1823</v>
      </c>
      <c r="G35">
        <v>3619</v>
      </c>
      <c r="H35">
        <v>0.40699999999999997</v>
      </c>
      <c r="I35">
        <v>3.6412663537401371E-2</v>
      </c>
      <c r="J35">
        <v>1.11E-2</v>
      </c>
      <c r="K35">
        <v>0.40699999999999997</v>
      </c>
      <c r="L35">
        <v>0.40699999999999997</v>
      </c>
      <c r="M35">
        <v>20377</v>
      </c>
      <c r="N35">
        <v>0.23691084000000001</v>
      </c>
    </row>
    <row r="36" spans="1:14" x14ac:dyDescent="0.35">
      <c r="A36" t="s">
        <v>51</v>
      </c>
      <c r="B36">
        <v>2024</v>
      </c>
      <c r="C36">
        <v>5</v>
      </c>
      <c r="D36" s="1">
        <v>45413</v>
      </c>
      <c r="E36">
        <v>44196</v>
      </c>
      <c r="F36">
        <v>1448</v>
      </c>
      <c r="G36">
        <v>2809</v>
      </c>
      <c r="H36">
        <v>0.38990000000000002</v>
      </c>
      <c r="I36">
        <v>3.276314598606208E-2</v>
      </c>
      <c r="J36">
        <v>1.5599999999999999E-2</v>
      </c>
      <c r="K36">
        <v>0.38990000000000002</v>
      </c>
      <c r="L36">
        <v>0.38990000000000002</v>
      </c>
      <c r="M36">
        <v>17233</v>
      </c>
      <c r="N36">
        <v>0.2362426</v>
      </c>
    </row>
    <row r="37" spans="1:14" x14ac:dyDescent="0.35">
      <c r="A37" t="s">
        <v>51</v>
      </c>
      <c r="B37">
        <v>2024</v>
      </c>
      <c r="C37">
        <v>6</v>
      </c>
      <c r="D37" s="1">
        <v>45444</v>
      </c>
      <c r="E37">
        <v>39511</v>
      </c>
      <c r="F37">
        <v>1204</v>
      </c>
      <c r="G37">
        <v>2341</v>
      </c>
      <c r="H37">
        <v>0.39019999999999999</v>
      </c>
      <c r="I37">
        <v>3.04725266381514E-2</v>
      </c>
      <c r="J37">
        <v>1.37E-2</v>
      </c>
      <c r="K37">
        <v>0.3901</v>
      </c>
      <c r="L37">
        <v>0.3901</v>
      </c>
      <c r="M37">
        <v>15417</v>
      </c>
      <c r="N37">
        <v>0.23567191000000001</v>
      </c>
    </row>
    <row r="38" spans="1:14" x14ac:dyDescent="0.35">
      <c r="A38" t="s">
        <v>51</v>
      </c>
      <c r="B38">
        <v>2024</v>
      </c>
      <c r="C38">
        <v>7</v>
      </c>
      <c r="D38" s="1">
        <v>45488</v>
      </c>
      <c r="E38">
        <v>9394</v>
      </c>
      <c r="F38">
        <v>292</v>
      </c>
      <c r="G38">
        <v>572</v>
      </c>
      <c r="H38">
        <v>0.35930000000000001</v>
      </c>
      <c r="I38">
        <v>3.1083670427932721E-2</v>
      </c>
      <c r="J38">
        <v>1.6799999999999999E-2</v>
      </c>
      <c r="K38">
        <v>0.35930000000000001</v>
      </c>
      <c r="L38">
        <v>0.35930000000000001</v>
      </c>
      <c r="M38">
        <v>3376</v>
      </c>
      <c r="N38">
        <v>0.23421997999999999</v>
      </c>
    </row>
    <row r="39" spans="1:14" x14ac:dyDescent="0.35">
      <c r="A39" t="s">
        <v>51</v>
      </c>
      <c r="B39">
        <v>2024</v>
      </c>
      <c r="C39">
        <v>8</v>
      </c>
      <c r="D39" s="1">
        <v>45505</v>
      </c>
      <c r="E39">
        <v>42082</v>
      </c>
      <c r="F39">
        <v>1219</v>
      </c>
      <c r="G39">
        <v>2377</v>
      </c>
      <c r="H39">
        <v>0.37430000000000002</v>
      </c>
      <c r="I39">
        <v>2.8967254408060451E-2</v>
      </c>
      <c r="J39">
        <v>1.4500000000000001E-2</v>
      </c>
      <c r="K39">
        <v>0.37419999999999998</v>
      </c>
      <c r="L39">
        <v>0.37419999999999998</v>
      </c>
      <c r="M39">
        <v>15749</v>
      </c>
      <c r="N39">
        <v>0.23407341000000001</v>
      </c>
    </row>
    <row r="40" spans="1:14" x14ac:dyDescent="0.35">
      <c r="A40" t="s">
        <v>51</v>
      </c>
      <c r="B40">
        <v>2024</v>
      </c>
      <c r="C40">
        <v>9</v>
      </c>
      <c r="D40" s="1">
        <v>45536</v>
      </c>
      <c r="E40">
        <v>40177</v>
      </c>
      <c r="F40">
        <v>1189</v>
      </c>
      <c r="G40">
        <v>2306</v>
      </c>
      <c r="H40">
        <v>0.38190000000000002</v>
      </c>
      <c r="I40">
        <v>2.959404634492371E-2</v>
      </c>
      <c r="J40">
        <v>1.43E-2</v>
      </c>
      <c r="K40">
        <v>0.38179999999999997</v>
      </c>
      <c r="L40">
        <v>0.38179999999999997</v>
      </c>
      <c r="M40">
        <v>15340</v>
      </c>
      <c r="N40">
        <v>0.23336825999999999</v>
      </c>
    </row>
    <row r="41" spans="1:14" x14ac:dyDescent="0.35">
      <c r="A41" t="s">
        <v>51</v>
      </c>
      <c r="B41">
        <v>2024</v>
      </c>
      <c r="C41">
        <v>10</v>
      </c>
      <c r="D41" s="1">
        <v>45566</v>
      </c>
      <c r="E41">
        <v>46692</v>
      </c>
      <c r="F41">
        <v>1462</v>
      </c>
      <c r="G41">
        <v>2829</v>
      </c>
      <c r="H41">
        <v>0.41349999999999998</v>
      </c>
      <c r="I41">
        <v>3.131157371712498E-2</v>
      </c>
      <c r="J41">
        <v>1.4999999999999999E-2</v>
      </c>
      <c r="K41">
        <v>0.41339999999999999</v>
      </c>
      <c r="L41">
        <v>0.41339999999999999</v>
      </c>
      <c r="M41">
        <v>19305</v>
      </c>
      <c r="N41">
        <v>0.23364155</v>
      </c>
    </row>
    <row r="42" spans="1:14" x14ac:dyDescent="0.35">
      <c r="A42" t="s">
        <v>51</v>
      </c>
      <c r="B42">
        <v>2024</v>
      </c>
      <c r="C42">
        <v>11</v>
      </c>
      <c r="D42" s="1">
        <v>45597</v>
      </c>
      <c r="E42">
        <v>42504</v>
      </c>
      <c r="F42">
        <v>1464</v>
      </c>
      <c r="G42">
        <v>2882</v>
      </c>
      <c r="H42">
        <v>0.44769999999999999</v>
      </c>
      <c r="I42">
        <v>3.4443817052512697E-2</v>
      </c>
      <c r="J42">
        <v>1.2800000000000001E-2</v>
      </c>
      <c r="K42">
        <v>0.4476</v>
      </c>
      <c r="L42">
        <v>0.4476</v>
      </c>
      <c r="M42">
        <v>19026</v>
      </c>
      <c r="N42">
        <v>0.23321996</v>
      </c>
    </row>
    <row r="43" spans="1:14" x14ac:dyDescent="0.35">
      <c r="A43" t="s">
        <v>51</v>
      </c>
      <c r="B43">
        <v>2024</v>
      </c>
      <c r="C43">
        <v>12</v>
      </c>
      <c r="D43" s="1">
        <v>45627</v>
      </c>
      <c r="E43">
        <v>39452</v>
      </c>
      <c r="F43">
        <v>1373</v>
      </c>
      <c r="G43">
        <v>2682</v>
      </c>
      <c r="H43">
        <v>0.4607</v>
      </c>
      <c r="I43">
        <v>3.4801784446922841E-2</v>
      </c>
      <c r="J43">
        <v>9.7999999999999997E-3</v>
      </c>
      <c r="K43">
        <v>0.46060000000000001</v>
      </c>
      <c r="L43">
        <v>0.46060000000000001</v>
      </c>
      <c r="M43">
        <v>18175</v>
      </c>
      <c r="N43">
        <v>0.23240623999999999</v>
      </c>
    </row>
    <row r="44" spans="1:14" x14ac:dyDescent="0.35">
      <c r="A44" t="s">
        <v>51</v>
      </c>
      <c r="B44">
        <v>2025</v>
      </c>
      <c r="C44">
        <v>1</v>
      </c>
      <c r="D44" s="1">
        <v>45658</v>
      </c>
      <c r="E44">
        <v>47486</v>
      </c>
      <c r="F44">
        <v>1820</v>
      </c>
      <c r="G44">
        <v>3563</v>
      </c>
      <c r="H44">
        <v>0.50409999999999999</v>
      </c>
      <c r="I44">
        <v>3.8327085877942972E-2</v>
      </c>
      <c r="J44">
        <v>1.03E-2</v>
      </c>
      <c r="K44">
        <v>0.50409999999999999</v>
      </c>
      <c r="L44">
        <v>0.50409999999999999</v>
      </c>
      <c r="M44">
        <v>23939</v>
      </c>
      <c r="N44">
        <v>0.23551752000000001</v>
      </c>
    </row>
    <row r="45" spans="1:14" x14ac:dyDescent="0.35">
      <c r="A45" t="s">
        <v>51</v>
      </c>
      <c r="B45">
        <v>2025</v>
      </c>
      <c r="C45">
        <v>2</v>
      </c>
      <c r="D45" s="1">
        <v>45689</v>
      </c>
      <c r="E45">
        <v>58978</v>
      </c>
      <c r="F45">
        <v>2793</v>
      </c>
      <c r="G45">
        <v>5704</v>
      </c>
      <c r="H45">
        <v>0.49819999999999998</v>
      </c>
      <c r="I45">
        <v>4.7356641459527282E-2</v>
      </c>
      <c r="J45">
        <v>1.01E-2</v>
      </c>
      <c r="K45">
        <v>0.49809999999999999</v>
      </c>
      <c r="L45">
        <v>0.47438095238095229</v>
      </c>
      <c r="M45">
        <v>29380</v>
      </c>
      <c r="N45">
        <v>0.23509711</v>
      </c>
    </row>
    <row r="46" spans="1:14" x14ac:dyDescent="0.35">
      <c r="A46" t="s">
        <v>51</v>
      </c>
      <c r="B46">
        <v>2025</v>
      </c>
      <c r="C46">
        <v>3</v>
      </c>
      <c r="D46" s="1">
        <v>45717</v>
      </c>
      <c r="E46">
        <v>63239</v>
      </c>
      <c r="F46">
        <v>3032</v>
      </c>
      <c r="G46">
        <v>6175</v>
      </c>
      <c r="H46">
        <v>0.51170000000000004</v>
      </c>
      <c r="I46">
        <v>4.7945097171049507E-2</v>
      </c>
      <c r="J46">
        <v>8.3999999999999995E-3</v>
      </c>
      <c r="K46">
        <v>0.51160000000000005</v>
      </c>
      <c r="L46">
        <v>0.48723809523809519</v>
      </c>
      <c r="M46">
        <v>32357</v>
      </c>
      <c r="N46">
        <v>0.23462174999999999</v>
      </c>
    </row>
    <row r="47" spans="1:14" x14ac:dyDescent="0.35">
      <c r="A47" t="s">
        <v>51</v>
      </c>
      <c r="B47">
        <v>2025</v>
      </c>
      <c r="C47">
        <v>4</v>
      </c>
      <c r="D47" s="1">
        <v>45748</v>
      </c>
      <c r="E47">
        <v>49043</v>
      </c>
      <c r="F47">
        <v>2146</v>
      </c>
      <c r="G47">
        <v>4334</v>
      </c>
      <c r="H47">
        <v>0.47699999999999998</v>
      </c>
      <c r="I47">
        <v>4.3757518911975199E-2</v>
      </c>
      <c r="J47">
        <v>7.7000000000000002E-3</v>
      </c>
      <c r="K47">
        <v>0.4768</v>
      </c>
      <c r="L47">
        <v>0.4768</v>
      </c>
      <c r="M47">
        <v>23389</v>
      </c>
      <c r="N47">
        <v>0.23387115999999999</v>
      </c>
    </row>
    <row r="48" spans="1:14" x14ac:dyDescent="0.35">
      <c r="A48" t="s">
        <v>51</v>
      </c>
      <c r="B48">
        <v>2025</v>
      </c>
      <c r="C48">
        <v>5</v>
      </c>
      <c r="D48" s="1">
        <v>45778</v>
      </c>
      <c r="E48">
        <v>44332</v>
      </c>
      <c r="F48">
        <v>1741</v>
      </c>
      <c r="G48">
        <v>3452</v>
      </c>
      <c r="H48">
        <v>0.39510000000000001</v>
      </c>
      <c r="I48">
        <v>3.9271857800234587E-2</v>
      </c>
      <c r="J48">
        <v>7.0000000000000001E-3</v>
      </c>
      <c r="K48">
        <v>0.39489999999999997</v>
      </c>
      <c r="L48">
        <v>0.39489999999999997</v>
      </c>
      <c r="M48">
        <v>17511</v>
      </c>
      <c r="N48">
        <v>0.23346133999999999</v>
      </c>
    </row>
    <row r="49" spans="1:14" x14ac:dyDescent="0.35">
      <c r="A49" t="s">
        <v>51</v>
      </c>
      <c r="B49">
        <v>2025</v>
      </c>
      <c r="C49">
        <v>6</v>
      </c>
      <c r="D49" s="1">
        <v>45809</v>
      </c>
      <c r="E49">
        <v>42122</v>
      </c>
      <c r="F49">
        <v>1598</v>
      </c>
      <c r="G49">
        <v>3210</v>
      </c>
      <c r="H49">
        <v>0.38879999999999998</v>
      </c>
      <c r="I49">
        <v>3.793741987559944E-2</v>
      </c>
      <c r="J49">
        <v>8.5000000000000006E-3</v>
      </c>
      <c r="K49">
        <v>0.38850000000000001</v>
      </c>
      <c r="L49">
        <v>0.38850000000000001</v>
      </c>
      <c r="M49">
        <v>16366</v>
      </c>
      <c r="N49">
        <v>0.23360848000000001</v>
      </c>
    </row>
    <row r="50" spans="1:14" x14ac:dyDescent="0.35">
      <c r="A50" t="s">
        <v>51</v>
      </c>
      <c r="B50">
        <v>2025</v>
      </c>
      <c r="C50">
        <v>7</v>
      </c>
      <c r="D50" s="1">
        <v>45839</v>
      </c>
      <c r="E50">
        <v>43460</v>
      </c>
      <c r="F50">
        <v>1492</v>
      </c>
      <c r="G50">
        <v>2955</v>
      </c>
      <c r="H50">
        <v>0.37140000000000001</v>
      </c>
      <c r="I50">
        <v>3.4330418775885871E-2</v>
      </c>
      <c r="J50">
        <v>7.1999999999999998E-3</v>
      </c>
      <c r="K50">
        <v>0.37130000000000002</v>
      </c>
      <c r="L50">
        <v>0.37130000000000002</v>
      </c>
      <c r="M50">
        <v>16138</v>
      </c>
      <c r="N50">
        <v>0.23233751999999999</v>
      </c>
    </row>
    <row r="51" spans="1:14" x14ac:dyDescent="0.35">
      <c r="A51" t="s">
        <v>51</v>
      </c>
      <c r="B51">
        <v>2025</v>
      </c>
      <c r="C51">
        <v>8</v>
      </c>
      <c r="D51" s="1">
        <v>45870</v>
      </c>
      <c r="E51">
        <v>43555</v>
      </c>
      <c r="F51">
        <v>1640</v>
      </c>
      <c r="G51">
        <v>3227</v>
      </c>
      <c r="H51">
        <v>0.39179999999999998</v>
      </c>
      <c r="I51">
        <v>3.7653541499253811E-2</v>
      </c>
      <c r="J51">
        <v>8.3999999999999995E-3</v>
      </c>
      <c r="K51">
        <v>0.3916</v>
      </c>
      <c r="L51">
        <v>0.3916</v>
      </c>
      <c r="M51">
        <v>17059</v>
      </c>
      <c r="N51">
        <v>0.23078696000000001</v>
      </c>
    </row>
    <row r="52" spans="1:14" x14ac:dyDescent="0.35">
      <c r="A52" t="s">
        <v>51</v>
      </c>
      <c r="B52">
        <v>2025</v>
      </c>
      <c r="C52">
        <v>9</v>
      </c>
      <c r="D52" s="1">
        <v>45901</v>
      </c>
      <c r="E52">
        <v>42749</v>
      </c>
      <c r="F52">
        <v>1444</v>
      </c>
      <c r="G52">
        <v>2835</v>
      </c>
      <c r="H52">
        <v>0.34649999999999997</v>
      </c>
      <c r="I52">
        <v>3.3778567919717423E-2</v>
      </c>
      <c r="J52">
        <v>8.2000000000000007E-3</v>
      </c>
      <c r="K52">
        <v>0.34639999999999999</v>
      </c>
      <c r="L52">
        <v>0.34639999999999999</v>
      </c>
      <c r="M52">
        <v>14809</v>
      </c>
      <c r="N52">
        <v>0.23039556999999999</v>
      </c>
    </row>
    <row r="53" spans="1:14" x14ac:dyDescent="0.35">
      <c r="A53" t="s">
        <v>51</v>
      </c>
      <c r="B53">
        <v>2025</v>
      </c>
      <c r="C53">
        <v>10</v>
      </c>
      <c r="D53" s="1">
        <v>45931</v>
      </c>
      <c r="E53">
        <v>48343</v>
      </c>
      <c r="F53">
        <v>1597</v>
      </c>
      <c r="G53">
        <v>3151</v>
      </c>
      <c r="H53">
        <v>0.34660000000000002</v>
      </c>
      <c r="I53">
        <v>3.3034772355873647E-2</v>
      </c>
      <c r="J53">
        <v>9.4000000000000004E-3</v>
      </c>
      <c r="K53">
        <v>0.34639999999999999</v>
      </c>
      <c r="L53">
        <v>0.34639999999999999</v>
      </c>
      <c r="M53">
        <v>16747</v>
      </c>
      <c r="N53">
        <v>0.23062985999999999</v>
      </c>
    </row>
    <row r="54" spans="1:14" x14ac:dyDescent="0.35">
      <c r="A54" t="s">
        <v>51</v>
      </c>
      <c r="B54">
        <v>2025</v>
      </c>
      <c r="C54">
        <v>11</v>
      </c>
      <c r="D54" s="1">
        <v>45962</v>
      </c>
      <c r="E54">
        <v>38870</v>
      </c>
      <c r="F54">
        <v>1135</v>
      </c>
      <c r="G54">
        <v>2252</v>
      </c>
      <c r="H54">
        <v>0.34100000000000003</v>
      </c>
      <c r="I54">
        <v>2.919989709287368E-2</v>
      </c>
      <c r="J54">
        <v>8.8000000000000005E-3</v>
      </c>
      <c r="K54">
        <v>0.34089999999999998</v>
      </c>
      <c r="L54">
        <v>0.34089999999999998</v>
      </c>
      <c r="M54">
        <v>13252</v>
      </c>
      <c r="N54">
        <v>0.23077726000000001</v>
      </c>
    </row>
    <row r="55" spans="1:14" x14ac:dyDescent="0.35">
      <c r="A55" t="s">
        <v>51</v>
      </c>
      <c r="B55">
        <v>2025</v>
      </c>
      <c r="C55">
        <v>12</v>
      </c>
      <c r="D55" s="1">
        <v>45992</v>
      </c>
      <c r="E55">
        <v>37016</v>
      </c>
      <c r="F55">
        <v>1065</v>
      </c>
      <c r="G55">
        <v>2073</v>
      </c>
      <c r="H55">
        <v>0.34089999999999998</v>
      </c>
      <c r="I55">
        <v>2.8771342122325481E-2</v>
      </c>
      <c r="J55">
        <v>8.2000000000000007E-3</v>
      </c>
      <c r="K55">
        <v>0.3407</v>
      </c>
      <c r="L55">
        <v>0.3407</v>
      </c>
      <c r="M55">
        <v>12615</v>
      </c>
      <c r="N55">
        <v>0.22998888000000001</v>
      </c>
    </row>
    <row r="56" spans="1:14" x14ac:dyDescent="0.35">
      <c r="A56" t="s">
        <v>51</v>
      </c>
      <c r="B56">
        <v>2026</v>
      </c>
      <c r="C56">
        <v>1</v>
      </c>
      <c r="D56" s="1">
        <v>46023</v>
      </c>
      <c r="E56">
        <v>36656</v>
      </c>
      <c r="F56">
        <v>1173</v>
      </c>
      <c r="G56">
        <v>2280</v>
      </c>
      <c r="H56">
        <v>0.35070000000000001</v>
      </c>
      <c r="I56">
        <v>3.2000218245307722E-2</v>
      </c>
      <c r="J56">
        <v>8.3000000000000001E-3</v>
      </c>
      <c r="K56">
        <v>0.35049999999999998</v>
      </c>
      <c r="L56">
        <v>0.35049999999999998</v>
      </c>
      <c r="M56">
        <v>12850</v>
      </c>
      <c r="N56">
        <v>0.23341534999999999</v>
      </c>
    </row>
    <row r="57" spans="1:14" x14ac:dyDescent="0.35">
      <c r="A57" t="s">
        <v>51</v>
      </c>
      <c r="B57">
        <v>2026</v>
      </c>
      <c r="C57">
        <v>2</v>
      </c>
      <c r="D57" s="1">
        <v>46054</v>
      </c>
      <c r="E57">
        <v>48775</v>
      </c>
      <c r="F57">
        <v>1737</v>
      </c>
      <c r="G57">
        <v>3435</v>
      </c>
      <c r="H57">
        <v>0.32719999999999999</v>
      </c>
      <c r="I57">
        <v>3.5612506406970779E-2</v>
      </c>
      <c r="J57">
        <v>9.1999999999999998E-3</v>
      </c>
      <c r="K57">
        <v>0.32700000000000001</v>
      </c>
      <c r="L57">
        <v>0.31142857142857139</v>
      </c>
      <c r="M57">
        <v>15951</v>
      </c>
      <c r="N57">
        <v>0.23242890999999999</v>
      </c>
    </row>
    <row r="58" spans="1:14" x14ac:dyDescent="0.35">
      <c r="A58" t="s">
        <v>51</v>
      </c>
      <c r="B58">
        <v>2026</v>
      </c>
      <c r="C58">
        <v>3</v>
      </c>
      <c r="D58" s="1">
        <v>46082</v>
      </c>
      <c r="E58">
        <v>44589</v>
      </c>
      <c r="F58">
        <v>1527</v>
      </c>
      <c r="G58">
        <v>3023</v>
      </c>
      <c r="H58">
        <v>0.3276</v>
      </c>
      <c r="I58">
        <v>3.4246114512547929E-2</v>
      </c>
      <c r="J58">
        <v>7.7000000000000002E-3</v>
      </c>
      <c r="K58">
        <v>0.3276</v>
      </c>
      <c r="L58">
        <v>0.312</v>
      </c>
      <c r="M58">
        <v>14608</v>
      </c>
      <c r="N58">
        <v>0.23167270000000001</v>
      </c>
    </row>
    <row r="59" spans="1:14" x14ac:dyDescent="0.35">
      <c r="A59" t="s">
        <v>51</v>
      </c>
      <c r="B59">
        <v>2026</v>
      </c>
      <c r="C59">
        <v>4</v>
      </c>
      <c r="D59" s="1">
        <v>46113</v>
      </c>
      <c r="E59">
        <v>35746</v>
      </c>
      <c r="F59">
        <v>971</v>
      </c>
      <c r="G59">
        <v>1918</v>
      </c>
      <c r="H59">
        <v>0.2762</v>
      </c>
      <c r="I59">
        <v>2.7163878475913381E-2</v>
      </c>
      <c r="J59">
        <v>7.1000000000000004E-3</v>
      </c>
      <c r="K59">
        <v>0.27610000000000001</v>
      </c>
      <c r="L59">
        <v>0.27610000000000001</v>
      </c>
      <c r="M59">
        <v>9872</v>
      </c>
      <c r="N59">
        <v>0.23132227999999999</v>
      </c>
    </row>
    <row r="60" spans="1:14" x14ac:dyDescent="0.35">
      <c r="A60" t="s">
        <v>51</v>
      </c>
      <c r="B60">
        <v>2026</v>
      </c>
      <c r="C60">
        <v>5</v>
      </c>
      <c r="D60" s="1">
        <v>46143</v>
      </c>
      <c r="E60">
        <v>30893</v>
      </c>
      <c r="F60">
        <v>727</v>
      </c>
      <c r="G60">
        <v>1167</v>
      </c>
      <c r="H60">
        <v>0.26529999999999998</v>
      </c>
      <c r="I60">
        <v>2.3532839154501009E-2</v>
      </c>
      <c r="J60">
        <v>7.0000000000000001E-3</v>
      </c>
      <c r="K60">
        <v>0.26529999999999998</v>
      </c>
      <c r="L60">
        <v>0.26529999999999998</v>
      </c>
      <c r="M60">
        <v>8196</v>
      </c>
      <c r="N60">
        <v>0.23059693000000001</v>
      </c>
    </row>
    <row r="61" spans="1:14" x14ac:dyDescent="0.35">
      <c r="A61" t="s">
        <v>51</v>
      </c>
      <c r="B61">
        <v>2026</v>
      </c>
      <c r="C61">
        <v>6</v>
      </c>
      <c r="D61" s="1">
        <v>46174</v>
      </c>
      <c r="E61">
        <v>3327</v>
      </c>
      <c r="F61">
        <v>21</v>
      </c>
      <c r="G61">
        <v>0</v>
      </c>
      <c r="H61">
        <v>0.23680000000000001</v>
      </c>
      <c r="I61">
        <v>6.3119927862939499E-3</v>
      </c>
      <c r="J61">
        <v>3.2000000000000002E-3</v>
      </c>
      <c r="K61">
        <v>0.23680000000000001</v>
      </c>
      <c r="L61">
        <v>0.23680000000000001</v>
      </c>
      <c r="M61">
        <v>788</v>
      </c>
      <c r="N61">
        <v>0.23083989999999999</v>
      </c>
    </row>
    <row r="62" spans="1:14" x14ac:dyDescent="0.35">
      <c r="A62" t="s">
        <v>52</v>
      </c>
      <c r="B62">
        <v>2024</v>
      </c>
      <c r="C62">
        <v>1</v>
      </c>
      <c r="D62" s="1">
        <v>45292</v>
      </c>
      <c r="E62">
        <v>7843</v>
      </c>
      <c r="F62">
        <v>327</v>
      </c>
      <c r="G62">
        <v>653</v>
      </c>
      <c r="H62">
        <v>0.2782</v>
      </c>
      <c r="I62">
        <v>4.1693229631518551E-2</v>
      </c>
      <c r="J62">
        <v>3.9800000000000002E-2</v>
      </c>
      <c r="K62">
        <v>0.27760000000000001</v>
      </c>
      <c r="L62">
        <v>0.27760000000000001</v>
      </c>
      <c r="M62">
        <v>2178</v>
      </c>
      <c r="N62">
        <v>0.23446943000000001</v>
      </c>
    </row>
    <row r="63" spans="1:14" x14ac:dyDescent="0.35">
      <c r="A63" t="s">
        <v>52</v>
      </c>
      <c r="B63">
        <v>2024</v>
      </c>
      <c r="C63">
        <v>2</v>
      </c>
      <c r="D63" s="1">
        <v>45323</v>
      </c>
      <c r="E63">
        <v>9904</v>
      </c>
      <c r="F63">
        <v>533</v>
      </c>
      <c r="G63">
        <v>1075</v>
      </c>
      <c r="H63">
        <v>0.25080000000000002</v>
      </c>
      <c r="I63">
        <v>5.3816639741518568E-2</v>
      </c>
      <c r="J63">
        <v>3.9100000000000003E-2</v>
      </c>
      <c r="K63">
        <v>0.25080000000000002</v>
      </c>
      <c r="L63">
        <v>0.23885714285714291</v>
      </c>
      <c r="M63">
        <v>2484</v>
      </c>
      <c r="N63">
        <v>0.23260895000000001</v>
      </c>
    </row>
    <row r="64" spans="1:14" x14ac:dyDescent="0.35">
      <c r="A64" t="s">
        <v>52</v>
      </c>
      <c r="B64">
        <v>2024</v>
      </c>
      <c r="C64">
        <v>3</v>
      </c>
      <c r="D64" s="1">
        <v>45352</v>
      </c>
      <c r="E64">
        <v>11242</v>
      </c>
      <c r="F64">
        <v>664</v>
      </c>
      <c r="G64">
        <v>1340</v>
      </c>
      <c r="H64">
        <v>0.26769999999999999</v>
      </c>
      <c r="I64">
        <v>5.9064223447785093E-2</v>
      </c>
      <c r="J64">
        <v>3.8699999999999998E-2</v>
      </c>
      <c r="K64">
        <v>0.26750000000000002</v>
      </c>
      <c r="L64">
        <v>0.25476190476190469</v>
      </c>
      <c r="M64">
        <v>3008</v>
      </c>
      <c r="N64">
        <v>0.23263080999999999</v>
      </c>
    </row>
    <row r="65" spans="1:14" x14ac:dyDescent="0.35">
      <c r="A65" t="s">
        <v>52</v>
      </c>
      <c r="B65">
        <v>2024</v>
      </c>
      <c r="C65">
        <v>4</v>
      </c>
      <c r="D65" s="1">
        <v>45383</v>
      </c>
      <c r="E65">
        <v>10366</v>
      </c>
      <c r="F65">
        <v>639</v>
      </c>
      <c r="G65">
        <v>1297</v>
      </c>
      <c r="H65">
        <v>0.31090000000000001</v>
      </c>
      <c r="I65">
        <v>6.1643835616438353E-2</v>
      </c>
      <c r="J65">
        <v>3.9E-2</v>
      </c>
      <c r="K65">
        <v>0.30990000000000001</v>
      </c>
      <c r="L65">
        <v>0.30990000000000001</v>
      </c>
      <c r="M65">
        <v>3213</v>
      </c>
      <c r="N65">
        <v>0.23301918999999999</v>
      </c>
    </row>
    <row r="66" spans="1:14" x14ac:dyDescent="0.35">
      <c r="A66" t="s">
        <v>52</v>
      </c>
      <c r="B66">
        <v>2024</v>
      </c>
      <c r="C66">
        <v>5</v>
      </c>
      <c r="D66" s="1">
        <v>45413</v>
      </c>
      <c r="E66">
        <v>9669</v>
      </c>
      <c r="F66">
        <v>538</v>
      </c>
      <c r="G66">
        <v>1092</v>
      </c>
      <c r="H66">
        <v>0.28539999999999999</v>
      </c>
      <c r="I66">
        <v>5.5641741648567583E-2</v>
      </c>
      <c r="J66">
        <v>4.1599999999999998E-2</v>
      </c>
      <c r="K66">
        <v>0.28289999999999998</v>
      </c>
      <c r="L66">
        <v>0.28289999999999998</v>
      </c>
      <c r="M66">
        <v>2736</v>
      </c>
      <c r="N66">
        <v>0.23244556999999999</v>
      </c>
    </row>
    <row r="67" spans="1:14" x14ac:dyDescent="0.35">
      <c r="A67" t="s">
        <v>52</v>
      </c>
      <c r="B67">
        <v>2024</v>
      </c>
      <c r="C67">
        <v>6</v>
      </c>
      <c r="D67" s="1">
        <v>45444</v>
      </c>
      <c r="E67">
        <v>8694</v>
      </c>
      <c r="F67">
        <v>483</v>
      </c>
      <c r="G67">
        <v>965</v>
      </c>
      <c r="H67">
        <v>0.29070000000000001</v>
      </c>
      <c r="I67">
        <v>5.5555555555555552E-2</v>
      </c>
      <c r="J67">
        <v>4.2099999999999999E-2</v>
      </c>
      <c r="K67">
        <v>0.2883</v>
      </c>
      <c r="L67">
        <v>0.2883</v>
      </c>
      <c r="M67">
        <v>2507</v>
      </c>
      <c r="N67">
        <v>0.23104754999999999</v>
      </c>
    </row>
    <row r="68" spans="1:14" x14ac:dyDescent="0.35">
      <c r="A68" t="s">
        <v>52</v>
      </c>
      <c r="B68">
        <v>2024</v>
      </c>
      <c r="C68">
        <v>7</v>
      </c>
      <c r="D68" s="1">
        <v>45498</v>
      </c>
      <c r="E68">
        <v>1975</v>
      </c>
      <c r="F68">
        <v>72</v>
      </c>
      <c r="G68">
        <v>137</v>
      </c>
      <c r="H68">
        <v>0.21820000000000001</v>
      </c>
      <c r="I68">
        <v>3.645569620253164E-2</v>
      </c>
      <c r="J68">
        <v>3.0200000000000001E-2</v>
      </c>
      <c r="K68">
        <v>0.2177</v>
      </c>
      <c r="L68">
        <v>0.2177</v>
      </c>
      <c r="M68">
        <v>430</v>
      </c>
      <c r="N68">
        <v>0.23095824000000001</v>
      </c>
    </row>
    <row r="69" spans="1:14" x14ac:dyDescent="0.35">
      <c r="A69" t="s">
        <v>52</v>
      </c>
      <c r="B69">
        <v>2024</v>
      </c>
      <c r="C69">
        <v>8</v>
      </c>
      <c r="D69" s="1">
        <v>45505</v>
      </c>
      <c r="E69">
        <v>9723</v>
      </c>
      <c r="F69">
        <v>316</v>
      </c>
      <c r="G69">
        <v>636</v>
      </c>
      <c r="H69">
        <v>0.20130000000000001</v>
      </c>
      <c r="I69">
        <v>3.2500257122287352E-2</v>
      </c>
      <c r="J69">
        <v>2.5999999999999999E-2</v>
      </c>
      <c r="K69">
        <v>0.2</v>
      </c>
      <c r="L69">
        <v>0.2</v>
      </c>
      <c r="M69">
        <v>1945</v>
      </c>
      <c r="N69">
        <v>0.23040415</v>
      </c>
    </row>
    <row r="70" spans="1:14" x14ac:dyDescent="0.35">
      <c r="A70" t="s">
        <v>52</v>
      </c>
      <c r="B70">
        <v>2024</v>
      </c>
      <c r="C70">
        <v>9</v>
      </c>
      <c r="D70" s="1">
        <v>45536</v>
      </c>
      <c r="E70">
        <v>8605</v>
      </c>
      <c r="F70">
        <v>282</v>
      </c>
      <c r="G70">
        <v>561</v>
      </c>
      <c r="H70">
        <v>0.20300000000000001</v>
      </c>
      <c r="I70">
        <v>3.2771644392794883E-2</v>
      </c>
      <c r="J70">
        <v>3.0700000000000002E-2</v>
      </c>
      <c r="K70">
        <v>0.20180000000000001</v>
      </c>
      <c r="L70">
        <v>0.20180000000000001</v>
      </c>
      <c r="M70">
        <v>1737</v>
      </c>
      <c r="N70">
        <v>0.2319167</v>
      </c>
    </row>
    <row r="71" spans="1:14" x14ac:dyDescent="0.35">
      <c r="A71" t="s">
        <v>52</v>
      </c>
      <c r="B71">
        <v>2024</v>
      </c>
      <c r="C71">
        <v>10</v>
      </c>
      <c r="D71" s="1">
        <v>45566</v>
      </c>
      <c r="E71">
        <v>9737</v>
      </c>
      <c r="F71">
        <v>327</v>
      </c>
      <c r="G71">
        <v>650</v>
      </c>
      <c r="H71">
        <v>0.21540000000000001</v>
      </c>
      <c r="I71">
        <v>3.3583239190715819E-2</v>
      </c>
      <c r="J71">
        <v>2.6200000000000001E-2</v>
      </c>
      <c r="K71">
        <v>0.21510000000000001</v>
      </c>
      <c r="L71">
        <v>0.21510000000000001</v>
      </c>
      <c r="M71">
        <v>2095</v>
      </c>
      <c r="N71">
        <v>0.22891064999999999</v>
      </c>
    </row>
    <row r="72" spans="1:14" x14ac:dyDescent="0.35">
      <c r="A72" t="s">
        <v>52</v>
      </c>
      <c r="B72">
        <v>2024</v>
      </c>
      <c r="C72">
        <v>11</v>
      </c>
      <c r="D72" s="1">
        <v>45597</v>
      </c>
      <c r="E72">
        <v>10234</v>
      </c>
      <c r="F72">
        <v>382</v>
      </c>
      <c r="G72">
        <v>756</v>
      </c>
      <c r="H72">
        <v>0.25359999999999999</v>
      </c>
      <c r="I72">
        <v>3.7326558530388888E-2</v>
      </c>
      <c r="J72">
        <v>2.1600000000000001E-2</v>
      </c>
      <c r="K72">
        <v>0.25319999999999998</v>
      </c>
      <c r="L72">
        <v>0.25319999999999998</v>
      </c>
      <c r="M72">
        <v>2592</v>
      </c>
      <c r="N72">
        <v>0.22819200000000001</v>
      </c>
    </row>
    <row r="73" spans="1:14" x14ac:dyDescent="0.35">
      <c r="A73" t="s">
        <v>52</v>
      </c>
      <c r="B73">
        <v>2024</v>
      </c>
      <c r="C73">
        <v>12</v>
      </c>
      <c r="D73" s="1">
        <v>45627</v>
      </c>
      <c r="E73">
        <v>9584</v>
      </c>
      <c r="F73">
        <v>368</v>
      </c>
      <c r="G73">
        <v>716</v>
      </c>
      <c r="H73">
        <v>0.28079999999999999</v>
      </c>
      <c r="I73">
        <v>3.8397328881469107E-2</v>
      </c>
      <c r="J73">
        <v>1.66E-2</v>
      </c>
      <c r="K73">
        <v>0.28050000000000003</v>
      </c>
      <c r="L73">
        <v>0.28050000000000003</v>
      </c>
      <c r="M73">
        <v>2689</v>
      </c>
      <c r="N73">
        <v>0.23076637999999999</v>
      </c>
    </row>
    <row r="74" spans="1:14" x14ac:dyDescent="0.35">
      <c r="A74" t="s">
        <v>52</v>
      </c>
      <c r="B74">
        <v>2025</v>
      </c>
      <c r="C74">
        <v>1</v>
      </c>
      <c r="D74" s="1">
        <v>45658</v>
      </c>
      <c r="E74">
        <v>11763</v>
      </c>
      <c r="F74">
        <v>500</v>
      </c>
      <c r="G74">
        <v>1008</v>
      </c>
      <c r="H74">
        <v>0.31140000000000001</v>
      </c>
      <c r="I74">
        <v>4.2506163393692079E-2</v>
      </c>
      <c r="J74">
        <v>1.9800000000000002E-2</v>
      </c>
      <c r="K74">
        <v>0.31140000000000001</v>
      </c>
      <c r="L74">
        <v>0.31140000000000001</v>
      </c>
      <c r="M74">
        <v>3663</v>
      </c>
      <c r="N74">
        <v>0.23507859</v>
      </c>
    </row>
    <row r="75" spans="1:14" x14ac:dyDescent="0.35">
      <c r="A75" t="s">
        <v>52</v>
      </c>
      <c r="B75">
        <v>2025</v>
      </c>
      <c r="C75">
        <v>2</v>
      </c>
      <c r="D75" s="1">
        <v>45689</v>
      </c>
      <c r="E75">
        <v>14823</v>
      </c>
      <c r="F75">
        <v>735</v>
      </c>
      <c r="G75">
        <v>1467</v>
      </c>
      <c r="H75">
        <v>0.3155</v>
      </c>
      <c r="I75">
        <v>4.9585104229912969E-2</v>
      </c>
      <c r="J75">
        <v>1.5699999999999999E-2</v>
      </c>
      <c r="K75">
        <v>0.31490000000000001</v>
      </c>
      <c r="L75">
        <v>0.2999047619047619</v>
      </c>
      <c r="M75">
        <v>4669</v>
      </c>
      <c r="N75">
        <v>0.23443669</v>
      </c>
    </row>
    <row r="76" spans="1:14" x14ac:dyDescent="0.35">
      <c r="A76" t="s">
        <v>52</v>
      </c>
      <c r="B76">
        <v>2025</v>
      </c>
      <c r="C76">
        <v>3</v>
      </c>
      <c r="D76" s="1">
        <v>45717</v>
      </c>
      <c r="E76">
        <v>17334</v>
      </c>
      <c r="F76">
        <v>936</v>
      </c>
      <c r="G76">
        <v>1911</v>
      </c>
      <c r="H76">
        <v>0.31369999999999998</v>
      </c>
      <c r="I76">
        <v>5.3997923156801658E-2</v>
      </c>
      <c r="J76">
        <v>1.8499999999999999E-2</v>
      </c>
      <c r="K76">
        <v>0.31340000000000001</v>
      </c>
      <c r="L76">
        <v>0.29847619047619051</v>
      </c>
      <c r="M76">
        <v>5434</v>
      </c>
      <c r="N76">
        <v>0.23647610999999999</v>
      </c>
    </row>
    <row r="77" spans="1:14" x14ac:dyDescent="0.35">
      <c r="A77" t="s">
        <v>52</v>
      </c>
      <c r="B77">
        <v>2025</v>
      </c>
      <c r="C77">
        <v>4</v>
      </c>
      <c r="D77" s="1">
        <v>45748</v>
      </c>
      <c r="E77">
        <v>13592</v>
      </c>
      <c r="F77">
        <v>660</v>
      </c>
      <c r="G77">
        <v>1341</v>
      </c>
      <c r="H77">
        <v>0.30259999999999998</v>
      </c>
      <c r="I77">
        <v>4.855797527957622E-2</v>
      </c>
      <c r="J77">
        <v>1.78E-2</v>
      </c>
      <c r="K77">
        <v>0.3024</v>
      </c>
      <c r="L77">
        <v>0.3024</v>
      </c>
      <c r="M77">
        <v>4111</v>
      </c>
      <c r="N77">
        <v>0.23633572999999999</v>
      </c>
    </row>
    <row r="78" spans="1:14" x14ac:dyDescent="0.35">
      <c r="A78" t="s">
        <v>52</v>
      </c>
      <c r="B78">
        <v>2025</v>
      </c>
      <c r="C78">
        <v>5</v>
      </c>
      <c r="D78" s="1">
        <v>45778</v>
      </c>
      <c r="E78">
        <v>14372</v>
      </c>
      <c r="F78">
        <v>661</v>
      </c>
      <c r="G78">
        <v>1338</v>
      </c>
      <c r="H78">
        <v>0.29920000000000002</v>
      </c>
      <c r="I78">
        <v>4.5992207069301412E-2</v>
      </c>
      <c r="J78">
        <v>1.66E-2</v>
      </c>
      <c r="K78">
        <v>0.2989</v>
      </c>
      <c r="L78">
        <v>0.2989</v>
      </c>
      <c r="M78">
        <v>4297</v>
      </c>
      <c r="N78">
        <v>0.23780778</v>
      </c>
    </row>
    <row r="79" spans="1:14" x14ac:dyDescent="0.35">
      <c r="A79" t="s">
        <v>52</v>
      </c>
      <c r="B79">
        <v>2025</v>
      </c>
      <c r="C79">
        <v>6</v>
      </c>
      <c r="D79" s="1">
        <v>45809</v>
      </c>
      <c r="E79">
        <v>13767</v>
      </c>
      <c r="F79">
        <v>583</v>
      </c>
      <c r="G79">
        <v>1171</v>
      </c>
      <c r="H79">
        <v>0.2853</v>
      </c>
      <c r="I79">
        <v>4.2347642914215153E-2</v>
      </c>
      <c r="J79">
        <v>1.77E-2</v>
      </c>
      <c r="K79">
        <v>0.28510000000000002</v>
      </c>
      <c r="L79">
        <v>0.28510000000000002</v>
      </c>
      <c r="M79">
        <v>3925</v>
      </c>
      <c r="N79">
        <v>0.23659727999999999</v>
      </c>
    </row>
    <row r="80" spans="1:14" x14ac:dyDescent="0.35">
      <c r="A80" t="s">
        <v>52</v>
      </c>
      <c r="B80">
        <v>2025</v>
      </c>
      <c r="C80">
        <v>7</v>
      </c>
      <c r="D80" s="1">
        <v>45839</v>
      </c>
      <c r="E80">
        <v>14412</v>
      </c>
      <c r="F80">
        <v>555</v>
      </c>
      <c r="G80">
        <v>1132</v>
      </c>
      <c r="H80">
        <v>0.28420000000000001</v>
      </c>
      <c r="I80">
        <v>3.8509575353871769E-2</v>
      </c>
      <c r="J80">
        <v>1.8800000000000001E-2</v>
      </c>
      <c r="K80">
        <v>0.28320000000000001</v>
      </c>
      <c r="L80">
        <v>0.28320000000000001</v>
      </c>
      <c r="M80">
        <v>4082</v>
      </c>
      <c r="N80">
        <v>0.23709487000000001</v>
      </c>
    </row>
    <row r="81" spans="1:14" x14ac:dyDescent="0.35">
      <c r="A81" t="s">
        <v>52</v>
      </c>
      <c r="B81">
        <v>2025</v>
      </c>
      <c r="C81">
        <v>8</v>
      </c>
      <c r="D81" s="1">
        <v>45870</v>
      </c>
      <c r="E81">
        <v>15426</v>
      </c>
      <c r="F81">
        <v>700</v>
      </c>
      <c r="G81">
        <v>1427</v>
      </c>
      <c r="H81">
        <v>0.33100000000000002</v>
      </c>
      <c r="I81">
        <v>4.5377933359263579E-2</v>
      </c>
      <c r="J81">
        <v>2.12E-2</v>
      </c>
      <c r="K81">
        <v>0.33069999999999999</v>
      </c>
      <c r="L81">
        <v>0.33069999999999999</v>
      </c>
      <c r="M81">
        <v>5102</v>
      </c>
      <c r="N81">
        <v>0.23701148999999999</v>
      </c>
    </row>
    <row r="82" spans="1:14" x14ac:dyDescent="0.35">
      <c r="A82" t="s">
        <v>52</v>
      </c>
      <c r="B82">
        <v>2025</v>
      </c>
      <c r="C82">
        <v>9</v>
      </c>
      <c r="D82" s="1">
        <v>45901</v>
      </c>
      <c r="E82">
        <v>16694</v>
      </c>
      <c r="F82">
        <v>681</v>
      </c>
      <c r="G82">
        <v>1373</v>
      </c>
      <c r="H82">
        <v>0.31230000000000002</v>
      </c>
      <c r="I82">
        <v>4.079309931711992E-2</v>
      </c>
      <c r="J82">
        <v>2.01E-2</v>
      </c>
      <c r="K82">
        <v>0.31209999999999999</v>
      </c>
      <c r="L82">
        <v>0.31209999999999999</v>
      </c>
      <c r="M82">
        <v>5211</v>
      </c>
      <c r="N82">
        <v>0.23591719</v>
      </c>
    </row>
    <row r="83" spans="1:14" x14ac:dyDescent="0.35">
      <c r="A83" t="s">
        <v>52</v>
      </c>
      <c r="B83">
        <v>2025</v>
      </c>
      <c r="C83">
        <v>10</v>
      </c>
      <c r="D83" s="1">
        <v>45931</v>
      </c>
      <c r="E83">
        <v>17675</v>
      </c>
      <c r="F83">
        <v>737</v>
      </c>
      <c r="G83">
        <v>1495</v>
      </c>
      <c r="H83">
        <v>0.307</v>
      </c>
      <c r="I83">
        <v>4.1697312588401689E-2</v>
      </c>
      <c r="J83">
        <v>1.9800000000000002E-2</v>
      </c>
      <c r="K83">
        <v>0.30669999999999997</v>
      </c>
      <c r="L83">
        <v>0.30669999999999997</v>
      </c>
      <c r="M83">
        <v>5422</v>
      </c>
      <c r="N83">
        <v>0.23521114000000001</v>
      </c>
    </row>
    <row r="84" spans="1:14" x14ac:dyDescent="0.35">
      <c r="A84" t="s">
        <v>52</v>
      </c>
      <c r="B84">
        <v>2025</v>
      </c>
      <c r="C84">
        <v>11</v>
      </c>
      <c r="D84" s="1">
        <v>45962</v>
      </c>
      <c r="E84">
        <v>16302</v>
      </c>
      <c r="F84">
        <v>602</v>
      </c>
      <c r="G84">
        <v>1201</v>
      </c>
      <c r="H84">
        <v>0.30859999999999999</v>
      </c>
      <c r="I84">
        <v>3.6927984296405342E-2</v>
      </c>
      <c r="J84">
        <v>1.72E-2</v>
      </c>
      <c r="K84">
        <v>0.30840000000000001</v>
      </c>
      <c r="L84">
        <v>0.30840000000000001</v>
      </c>
      <c r="M84">
        <v>5028</v>
      </c>
      <c r="N84">
        <v>0.23395134000000001</v>
      </c>
    </row>
    <row r="85" spans="1:14" x14ac:dyDescent="0.35">
      <c r="A85" t="s">
        <v>52</v>
      </c>
      <c r="B85">
        <v>2025</v>
      </c>
      <c r="C85">
        <v>12</v>
      </c>
      <c r="D85" s="1">
        <v>45992</v>
      </c>
      <c r="E85">
        <v>15348</v>
      </c>
      <c r="F85">
        <v>553</v>
      </c>
      <c r="G85">
        <v>1106</v>
      </c>
      <c r="H85">
        <v>0.312</v>
      </c>
      <c r="I85">
        <v>3.603075319259838E-2</v>
      </c>
      <c r="J85">
        <v>1.6299999999999999E-2</v>
      </c>
      <c r="K85">
        <v>0.31</v>
      </c>
      <c r="L85">
        <v>0.31</v>
      </c>
      <c r="M85">
        <v>4758</v>
      </c>
      <c r="N85">
        <v>0.23449306</v>
      </c>
    </row>
    <row r="86" spans="1:14" x14ac:dyDescent="0.35">
      <c r="A86" t="s">
        <v>52</v>
      </c>
      <c r="B86">
        <v>2026</v>
      </c>
      <c r="C86">
        <v>1</v>
      </c>
      <c r="D86" s="1">
        <v>46023</v>
      </c>
      <c r="E86">
        <v>15483</v>
      </c>
      <c r="F86">
        <v>634</v>
      </c>
      <c r="G86">
        <v>1271</v>
      </c>
      <c r="H86">
        <v>0.32200000000000001</v>
      </c>
      <c r="I86">
        <v>4.094813666602079E-2</v>
      </c>
      <c r="J86">
        <v>2.0400000000000001E-2</v>
      </c>
      <c r="K86">
        <v>0.32</v>
      </c>
      <c r="L86">
        <v>0.32</v>
      </c>
      <c r="M86">
        <v>4955</v>
      </c>
      <c r="N86">
        <v>0.23771916000000001</v>
      </c>
    </row>
    <row r="87" spans="1:14" x14ac:dyDescent="0.35">
      <c r="A87" t="s">
        <v>52</v>
      </c>
      <c r="B87">
        <v>2026</v>
      </c>
      <c r="C87">
        <v>2</v>
      </c>
      <c r="D87" s="1">
        <v>46054</v>
      </c>
      <c r="E87">
        <v>22110</v>
      </c>
      <c r="F87">
        <v>1141</v>
      </c>
      <c r="G87">
        <v>2328</v>
      </c>
      <c r="H87">
        <v>0.33250000000000002</v>
      </c>
      <c r="I87">
        <v>5.1605608322026229E-2</v>
      </c>
      <c r="J87">
        <v>1.9199999999999998E-2</v>
      </c>
      <c r="K87">
        <v>0.32890000000000003</v>
      </c>
      <c r="L87">
        <v>0.31323809523809532</v>
      </c>
      <c r="M87">
        <v>7274</v>
      </c>
      <c r="N87">
        <v>0.23538392999999999</v>
      </c>
    </row>
    <row r="88" spans="1:14" x14ac:dyDescent="0.35">
      <c r="A88" t="s">
        <v>52</v>
      </c>
      <c r="B88">
        <v>2026</v>
      </c>
      <c r="C88">
        <v>3</v>
      </c>
      <c r="D88" s="1">
        <v>46082</v>
      </c>
      <c r="E88">
        <v>21963</v>
      </c>
      <c r="F88">
        <v>1241</v>
      </c>
      <c r="G88">
        <v>2535</v>
      </c>
      <c r="H88">
        <v>0.35820000000000002</v>
      </c>
      <c r="I88">
        <v>5.6504120566407127E-2</v>
      </c>
      <c r="J88">
        <v>1.9599999999999999E-2</v>
      </c>
      <c r="K88">
        <v>0.35499999999999998</v>
      </c>
      <c r="L88">
        <v>0.33809523809523812</v>
      </c>
      <c r="M88">
        <v>7798</v>
      </c>
      <c r="N88">
        <v>0.23451005999999999</v>
      </c>
    </row>
    <row r="89" spans="1:14" x14ac:dyDescent="0.35">
      <c r="A89" t="s">
        <v>52</v>
      </c>
      <c r="B89">
        <v>2026</v>
      </c>
      <c r="C89">
        <v>4</v>
      </c>
      <c r="D89" s="1">
        <v>46113</v>
      </c>
      <c r="E89">
        <v>17338</v>
      </c>
      <c r="F89">
        <v>894</v>
      </c>
      <c r="G89">
        <v>1824</v>
      </c>
      <c r="H89">
        <v>0.30609999999999998</v>
      </c>
      <c r="I89">
        <v>5.1563040719806198E-2</v>
      </c>
      <c r="J89">
        <v>2.3599999999999999E-2</v>
      </c>
      <c r="K89">
        <v>0.30520000000000003</v>
      </c>
      <c r="L89">
        <v>0.30520000000000003</v>
      </c>
      <c r="M89">
        <v>5298</v>
      </c>
      <c r="N89">
        <v>0.23564419</v>
      </c>
    </row>
    <row r="90" spans="1:14" x14ac:dyDescent="0.35">
      <c r="A90" t="s">
        <v>52</v>
      </c>
      <c r="B90">
        <v>2026</v>
      </c>
      <c r="C90">
        <v>5</v>
      </c>
      <c r="D90" s="1">
        <v>46143</v>
      </c>
      <c r="E90">
        <v>15869</v>
      </c>
      <c r="F90">
        <v>790</v>
      </c>
      <c r="G90">
        <v>1433</v>
      </c>
      <c r="H90">
        <v>0.31069999999999998</v>
      </c>
      <c r="I90">
        <v>4.9782594996534119E-2</v>
      </c>
      <c r="J90">
        <v>2.2200000000000001E-2</v>
      </c>
      <c r="K90">
        <v>0.30990000000000001</v>
      </c>
      <c r="L90">
        <v>0.30990000000000001</v>
      </c>
      <c r="M90">
        <v>4926</v>
      </c>
      <c r="N90">
        <v>0.23654886</v>
      </c>
    </row>
    <row r="91" spans="1:14" x14ac:dyDescent="0.35">
      <c r="A91" t="s">
        <v>52</v>
      </c>
      <c r="B91">
        <v>2026</v>
      </c>
      <c r="C91">
        <v>6</v>
      </c>
      <c r="D91" s="1">
        <v>46174</v>
      </c>
      <c r="E91">
        <v>1621</v>
      </c>
      <c r="F91">
        <v>45</v>
      </c>
      <c r="G91">
        <v>14</v>
      </c>
      <c r="H91">
        <v>0.28149999999999997</v>
      </c>
      <c r="I91">
        <v>2.776064157927205E-2</v>
      </c>
      <c r="J91">
        <v>1.61E-2</v>
      </c>
      <c r="K91">
        <v>0.27910000000000001</v>
      </c>
      <c r="L91">
        <v>0.27910000000000001</v>
      </c>
      <c r="M91">
        <v>453</v>
      </c>
      <c r="N91">
        <v>0.23653626999999999</v>
      </c>
    </row>
    <row r="92" spans="1:14" x14ac:dyDescent="0.35">
      <c r="A92" t="s">
        <v>53</v>
      </c>
      <c r="B92">
        <v>2024</v>
      </c>
      <c r="C92">
        <v>1</v>
      </c>
      <c r="D92" s="1">
        <v>45292</v>
      </c>
      <c r="E92">
        <v>47920</v>
      </c>
      <c r="F92">
        <v>1480</v>
      </c>
      <c r="G92">
        <v>2875</v>
      </c>
      <c r="H92">
        <v>0.28539999999999999</v>
      </c>
      <c r="I92">
        <v>3.0884808013355591E-2</v>
      </c>
      <c r="J92">
        <v>5.9900000000000002E-2</v>
      </c>
      <c r="K92">
        <v>0.17680000000000001</v>
      </c>
      <c r="L92">
        <v>0.17680000000000001</v>
      </c>
      <c r="M92">
        <v>8475</v>
      </c>
      <c r="N92">
        <v>0.25384124000000002</v>
      </c>
    </row>
    <row r="93" spans="1:14" x14ac:dyDescent="0.35">
      <c r="A93" t="s">
        <v>53</v>
      </c>
      <c r="B93">
        <v>2024</v>
      </c>
      <c r="C93">
        <v>2</v>
      </c>
      <c r="D93" s="1">
        <v>45323</v>
      </c>
      <c r="E93">
        <v>74840</v>
      </c>
      <c r="F93">
        <v>3069</v>
      </c>
      <c r="G93">
        <v>6085</v>
      </c>
      <c r="H93">
        <v>0.2999</v>
      </c>
      <c r="I93">
        <v>4.1007482629609827E-2</v>
      </c>
      <c r="J93">
        <v>5.1299999999999998E-2</v>
      </c>
      <c r="K93">
        <v>0.20699999999999999</v>
      </c>
      <c r="L93">
        <v>0.19714285714285709</v>
      </c>
      <c r="M93">
        <v>15496</v>
      </c>
      <c r="N93">
        <v>0.25226110000000002</v>
      </c>
    </row>
    <row r="94" spans="1:14" x14ac:dyDescent="0.35">
      <c r="A94" t="s">
        <v>53</v>
      </c>
      <c r="B94">
        <v>2024</v>
      </c>
      <c r="C94">
        <v>3</v>
      </c>
      <c r="D94" s="1">
        <v>45352</v>
      </c>
      <c r="E94">
        <v>83843</v>
      </c>
      <c r="F94">
        <v>3399</v>
      </c>
      <c r="G94">
        <v>6577</v>
      </c>
      <c r="H94">
        <v>0.33200000000000002</v>
      </c>
      <c r="I94">
        <v>4.054005701131877E-2</v>
      </c>
      <c r="J94">
        <v>4.4200000000000003E-2</v>
      </c>
      <c r="K94">
        <v>0.22370000000000001</v>
      </c>
      <c r="L94">
        <v>0.21304761904761901</v>
      </c>
      <c r="M94">
        <v>18763</v>
      </c>
      <c r="N94">
        <v>0.25157604</v>
      </c>
    </row>
    <row r="95" spans="1:14" x14ac:dyDescent="0.35">
      <c r="A95" t="s">
        <v>53</v>
      </c>
      <c r="B95">
        <v>2024</v>
      </c>
      <c r="C95">
        <v>4</v>
      </c>
      <c r="D95" s="1">
        <v>45383</v>
      </c>
      <c r="E95">
        <v>73475</v>
      </c>
      <c r="F95">
        <v>2575</v>
      </c>
      <c r="G95">
        <v>5030</v>
      </c>
      <c r="H95">
        <v>0.34339999999999998</v>
      </c>
      <c r="I95">
        <v>3.5045933991153452E-2</v>
      </c>
      <c r="J95">
        <v>4.9000000000000002E-2</v>
      </c>
      <c r="K95">
        <v>0.19389999999999999</v>
      </c>
      <c r="L95">
        <v>0.19389999999999999</v>
      </c>
      <c r="M95">
        <v>14253</v>
      </c>
      <c r="N95">
        <v>0.25209669000000001</v>
      </c>
    </row>
    <row r="96" spans="1:14" x14ac:dyDescent="0.35">
      <c r="A96" t="s">
        <v>53</v>
      </c>
      <c r="B96">
        <v>2024</v>
      </c>
      <c r="C96">
        <v>5</v>
      </c>
      <c r="D96" s="1">
        <v>45413</v>
      </c>
      <c r="E96">
        <v>69974</v>
      </c>
      <c r="F96">
        <v>2453</v>
      </c>
      <c r="G96">
        <v>4833</v>
      </c>
      <c r="H96">
        <v>0.34860000000000002</v>
      </c>
      <c r="I96">
        <v>3.5055877897504778E-2</v>
      </c>
      <c r="J96">
        <v>6.0600000000000001E-2</v>
      </c>
      <c r="K96">
        <v>0.17910000000000001</v>
      </c>
      <c r="L96">
        <v>0.17910000000000001</v>
      </c>
      <c r="M96">
        <v>12536</v>
      </c>
      <c r="N96">
        <v>0.25177765000000002</v>
      </c>
    </row>
    <row r="97" spans="1:14" x14ac:dyDescent="0.35">
      <c r="A97" t="s">
        <v>53</v>
      </c>
      <c r="B97">
        <v>2024</v>
      </c>
      <c r="C97">
        <v>6</v>
      </c>
      <c r="D97" s="1">
        <v>45444</v>
      </c>
      <c r="E97">
        <v>63746</v>
      </c>
      <c r="F97">
        <v>2398</v>
      </c>
      <c r="G97">
        <v>4669</v>
      </c>
      <c r="H97">
        <v>0.35499999999999998</v>
      </c>
      <c r="I97">
        <v>3.7618046622533173E-2</v>
      </c>
      <c r="J97">
        <v>6.5699999999999995E-2</v>
      </c>
      <c r="K97">
        <v>0.18010000000000001</v>
      </c>
      <c r="L97">
        <v>0.18010000000000001</v>
      </c>
      <c r="M97">
        <v>11487</v>
      </c>
      <c r="N97">
        <v>0.25108381000000002</v>
      </c>
    </row>
    <row r="98" spans="1:14" x14ac:dyDescent="0.35">
      <c r="A98" t="s">
        <v>53</v>
      </c>
      <c r="B98">
        <v>2024</v>
      </c>
      <c r="C98">
        <v>7</v>
      </c>
      <c r="D98" s="1">
        <v>45479</v>
      </c>
      <c r="E98">
        <v>15991</v>
      </c>
      <c r="F98">
        <v>418</v>
      </c>
      <c r="G98">
        <v>811</v>
      </c>
      <c r="H98">
        <v>0.27750000000000002</v>
      </c>
      <c r="I98">
        <v>2.6139703583265578E-2</v>
      </c>
      <c r="J98">
        <v>5.74E-2</v>
      </c>
      <c r="K98">
        <v>0.1268</v>
      </c>
      <c r="L98">
        <v>0.1268</v>
      </c>
      <c r="M98">
        <v>2029</v>
      </c>
      <c r="N98">
        <v>0.25121500000000002</v>
      </c>
    </row>
    <row r="99" spans="1:14" x14ac:dyDescent="0.35">
      <c r="A99" t="s">
        <v>53</v>
      </c>
      <c r="B99">
        <v>2024</v>
      </c>
      <c r="C99">
        <v>8</v>
      </c>
      <c r="D99" s="1">
        <v>45505</v>
      </c>
      <c r="E99">
        <v>68846</v>
      </c>
      <c r="F99">
        <v>1664</v>
      </c>
      <c r="G99">
        <v>3247</v>
      </c>
      <c r="H99">
        <v>0.27550000000000002</v>
      </c>
      <c r="I99">
        <v>2.4169886413153992E-2</v>
      </c>
      <c r="J99">
        <v>5.5199999999999999E-2</v>
      </c>
      <c r="K99">
        <v>0.12540000000000001</v>
      </c>
      <c r="L99">
        <v>0.12540000000000001</v>
      </c>
      <c r="M99">
        <v>8638</v>
      </c>
      <c r="N99">
        <v>0.25188185000000002</v>
      </c>
    </row>
    <row r="100" spans="1:14" x14ac:dyDescent="0.35">
      <c r="A100" t="s">
        <v>53</v>
      </c>
      <c r="B100">
        <v>2024</v>
      </c>
      <c r="C100">
        <v>9</v>
      </c>
      <c r="D100" s="1">
        <v>45536</v>
      </c>
      <c r="E100">
        <v>62945</v>
      </c>
      <c r="F100">
        <v>1873</v>
      </c>
      <c r="G100">
        <v>3652</v>
      </c>
      <c r="H100">
        <v>0.30380000000000001</v>
      </c>
      <c r="I100">
        <v>2.975613630947652E-2</v>
      </c>
      <c r="J100">
        <v>6.0100000000000001E-2</v>
      </c>
      <c r="K100">
        <v>0.14560000000000001</v>
      </c>
      <c r="L100">
        <v>0.14560000000000001</v>
      </c>
      <c r="M100">
        <v>9171</v>
      </c>
      <c r="N100">
        <v>0.25279826</v>
      </c>
    </row>
    <row r="101" spans="1:14" x14ac:dyDescent="0.35">
      <c r="A101" t="s">
        <v>53</v>
      </c>
      <c r="B101">
        <v>2024</v>
      </c>
      <c r="C101">
        <v>10</v>
      </c>
      <c r="D101" s="1">
        <v>45566</v>
      </c>
      <c r="E101">
        <v>70954</v>
      </c>
      <c r="F101">
        <v>2214</v>
      </c>
      <c r="G101">
        <v>4335</v>
      </c>
      <c r="H101">
        <v>0.32829999999999998</v>
      </c>
      <c r="I101">
        <v>3.1203314823688579E-2</v>
      </c>
      <c r="J101">
        <v>5.7099999999999998E-2</v>
      </c>
      <c r="K101">
        <v>0.15970000000000001</v>
      </c>
      <c r="L101">
        <v>0.15970000000000001</v>
      </c>
      <c r="M101">
        <v>11334</v>
      </c>
      <c r="N101">
        <v>0.25357215999999999</v>
      </c>
    </row>
    <row r="102" spans="1:14" x14ac:dyDescent="0.35">
      <c r="A102" t="s">
        <v>53</v>
      </c>
      <c r="B102">
        <v>2024</v>
      </c>
      <c r="C102">
        <v>11</v>
      </c>
      <c r="D102" s="1">
        <v>45597</v>
      </c>
      <c r="E102">
        <v>69193</v>
      </c>
      <c r="F102">
        <v>2156</v>
      </c>
      <c r="G102">
        <v>4203</v>
      </c>
      <c r="H102">
        <v>0.33850000000000002</v>
      </c>
      <c r="I102">
        <v>3.1159221308513861E-2</v>
      </c>
      <c r="J102">
        <v>4.1700000000000001E-2</v>
      </c>
      <c r="K102">
        <v>0.16980000000000001</v>
      </c>
      <c r="L102">
        <v>0.16980000000000001</v>
      </c>
      <c r="M102">
        <v>11755</v>
      </c>
      <c r="N102">
        <v>0.25429888</v>
      </c>
    </row>
    <row r="103" spans="1:14" x14ac:dyDescent="0.35">
      <c r="A103" t="s">
        <v>53</v>
      </c>
      <c r="B103">
        <v>2024</v>
      </c>
      <c r="C103">
        <v>12</v>
      </c>
      <c r="D103" s="1">
        <v>45627</v>
      </c>
      <c r="E103">
        <v>62599</v>
      </c>
      <c r="F103">
        <v>1969</v>
      </c>
      <c r="G103">
        <v>3763</v>
      </c>
      <c r="H103">
        <v>0.33700000000000002</v>
      </c>
      <c r="I103">
        <v>3.1454176584290477E-2</v>
      </c>
      <c r="J103">
        <v>3.3000000000000002E-2</v>
      </c>
      <c r="K103">
        <v>0.16900000000000001</v>
      </c>
      <c r="L103">
        <v>0.16900000000000001</v>
      </c>
      <c r="M103">
        <v>10585</v>
      </c>
      <c r="N103">
        <v>0.25396035</v>
      </c>
    </row>
    <row r="104" spans="1:14" x14ac:dyDescent="0.35">
      <c r="A104" t="s">
        <v>53</v>
      </c>
      <c r="B104">
        <v>2025</v>
      </c>
      <c r="C104">
        <v>1</v>
      </c>
      <c r="D104" s="1">
        <v>45658</v>
      </c>
      <c r="E104">
        <v>75237</v>
      </c>
      <c r="F104">
        <v>2334</v>
      </c>
      <c r="G104">
        <v>4509</v>
      </c>
      <c r="H104">
        <v>0.33750000000000002</v>
      </c>
      <c r="I104">
        <v>3.102197057298935E-2</v>
      </c>
      <c r="J104">
        <v>3.7100000000000001E-2</v>
      </c>
      <c r="K104">
        <v>0.16839999999999999</v>
      </c>
      <c r="L104">
        <v>0.16839999999999999</v>
      </c>
      <c r="M104">
        <v>12674</v>
      </c>
      <c r="N104">
        <v>0.25625566</v>
      </c>
    </row>
    <row r="105" spans="1:14" x14ac:dyDescent="0.35">
      <c r="A105" t="s">
        <v>53</v>
      </c>
      <c r="B105">
        <v>2025</v>
      </c>
      <c r="C105">
        <v>2</v>
      </c>
      <c r="D105" s="1">
        <v>45689</v>
      </c>
      <c r="E105">
        <v>96230</v>
      </c>
      <c r="F105">
        <v>3367</v>
      </c>
      <c r="G105">
        <v>6638</v>
      </c>
      <c r="H105">
        <v>0.31709999999999999</v>
      </c>
      <c r="I105">
        <v>3.4989088641795688E-2</v>
      </c>
      <c r="J105">
        <v>4.1500000000000002E-2</v>
      </c>
      <c r="K105">
        <v>0.1603</v>
      </c>
      <c r="L105">
        <v>0.15266666666666659</v>
      </c>
      <c r="M105">
        <v>15435</v>
      </c>
      <c r="N105">
        <v>0.25603110000000001</v>
      </c>
    </row>
    <row r="106" spans="1:14" x14ac:dyDescent="0.35">
      <c r="A106" t="s">
        <v>53</v>
      </c>
      <c r="B106">
        <v>2025</v>
      </c>
      <c r="C106">
        <v>3</v>
      </c>
      <c r="D106" s="1">
        <v>45717</v>
      </c>
      <c r="E106">
        <v>109042</v>
      </c>
      <c r="F106">
        <v>4021</v>
      </c>
      <c r="G106">
        <v>8099</v>
      </c>
      <c r="H106">
        <v>0.35560000000000003</v>
      </c>
      <c r="I106">
        <v>3.6875699271840201E-2</v>
      </c>
      <c r="J106">
        <v>4.1700000000000001E-2</v>
      </c>
      <c r="K106">
        <v>0.182</v>
      </c>
      <c r="L106">
        <v>0.17333333333333331</v>
      </c>
      <c r="M106">
        <v>19847</v>
      </c>
      <c r="N106">
        <v>0.25572106</v>
      </c>
    </row>
    <row r="107" spans="1:14" x14ac:dyDescent="0.35">
      <c r="A107" t="s">
        <v>53</v>
      </c>
      <c r="B107">
        <v>2025</v>
      </c>
      <c r="C107">
        <v>4</v>
      </c>
      <c r="D107" s="1">
        <v>45748</v>
      </c>
      <c r="E107">
        <v>90359</v>
      </c>
      <c r="F107">
        <v>2919</v>
      </c>
      <c r="G107">
        <v>5794</v>
      </c>
      <c r="H107">
        <v>0.35859999999999997</v>
      </c>
      <c r="I107">
        <v>3.2304474374439729E-2</v>
      </c>
      <c r="J107">
        <v>3.8399999999999997E-2</v>
      </c>
      <c r="K107">
        <v>0.1832</v>
      </c>
      <c r="L107">
        <v>0.1832</v>
      </c>
      <c r="M107">
        <v>16562</v>
      </c>
      <c r="N107">
        <v>0.25622950999999999</v>
      </c>
    </row>
    <row r="108" spans="1:14" x14ac:dyDescent="0.35">
      <c r="A108" t="s">
        <v>53</v>
      </c>
      <c r="B108">
        <v>2025</v>
      </c>
      <c r="C108">
        <v>5</v>
      </c>
      <c r="D108" s="1">
        <v>45778</v>
      </c>
      <c r="E108">
        <v>92398</v>
      </c>
      <c r="F108">
        <v>2810</v>
      </c>
      <c r="G108">
        <v>5573</v>
      </c>
      <c r="H108">
        <v>0.36530000000000001</v>
      </c>
      <c r="I108">
        <v>3.0411913677785229E-2</v>
      </c>
      <c r="J108">
        <v>3.7100000000000001E-2</v>
      </c>
      <c r="K108">
        <v>0.1804</v>
      </c>
      <c r="L108">
        <v>0.1804</v>
      </c>
      <c r="M108">
        <v>16673</v>
      </c>
      <c r="N108">
        <v>0.25611211</v>
      </c>
    </row>
    <row r="109" spans="1:14" x14ac:dyDescent="0.35">
      <c r="A109" t="s">
        <v>53</v>
      </c>
      <c r="B109">
        <v>2025</v>
      </c>
      <c r="C109">
        <v>6</v>
      </c>
      <c r="D109" s="1">
        <v>45809</v>
      </c>
      <c r="E109">
        <v>82914</v>
      </c>
      <c r="F109">
        <v>2521</v>
      </c>
      <c r="G109">
        <v>5018</v>
      </c>
      <c r="H109">
        <v>0.36309999999999998</v>
      </c>
      <c r="I109">
        <v>3.0404997949682801E-2</v>
      </c>
      <c r="J109">
        <v>3.6600000000000001E-2</v>
      </c>
      <c r="K109">
        <v>0.1782</v>
      </c>
      <c r="L109">
        <v>0.1782</v>
      </c>
      <c r="M109">
        <v>14783</v>
      </c>
      <c r="N109">
        <v>0.25572109999999998</v>
      </c>
    </row>
    <row r="110" spans="1:14" x14ac:dyDescent="0.35">
      <c r="A110" t="s">
        <v>53</v>
      </c>
      <c r="B110">
        <v>2025</v>
      </c>
      <c r="C110">
        <v>7</v>
      </c>
      <c r="D110" s="1">
        <v>45839</v>
      </c>
      <c r="E110">
        <v>85938</v>
      </c>
      <c r="F110">
        <v>2421</v>
      </c>
      <c r="G110">
        <v>4831</v>
      </c>
      <c r="H110">
        <v>0.36330000000000001</v>
      </c>
      <c r="I110">
        <v>2.817147245688752E-2</v>
      </c>
      <c r="J110">
        <v>3.2399999999999998E-2</v>
      </c>
      <c r="K110">
        <v>0.17030000000000001</v>
      </c>
      <c r="L110">
        <v>0.17030000000000001</v>
      </c>
      <c r="M110">
        <v>14639</v>
      </c>
      <c r="N110">
        <v>0.25551961000000001</v>
      </c>
    </row>
    <row r="111" spans="1:14" x14ac:dyDescent="0.35">
      <c r="A111" t="s">
        <v>53</v>
      </c>
      <c r="B111">
        <v>2025</v>
      </c>
      <c r="C111">
        <v>8</v>
      </c>
      <c r="D111" s="1">
        <v>45870</v>
      </c>
      <c r="E111">
        <v>85653</v>
      </c>
      <c r="F111">
        <v>2424</v>
      </c>
      <c r="G111">
        <v>4770</v>
      </c>
      <c r="H111">
        <v>0.3987</v>
      </c>
      <c r="I111">
        <v>2.8300234667787461E-2</v>
      </c>
      <c r="J111">
        <v>3.5700000000000003E-2</v>
      </c>
      <c r="K111">
        <v>0.18229999999999999</v>
      </c>
      <c r="L111">
        <v>0.18229999999999999</v>
      </c>
      <c r="M111">
        <v>15620</v>
      </c>
      <c r="N111">
        <v>0.25561918</v>
      </c>
    </row>
    <row r="112" spans="1:14" x14ac:dyDescent="0.35">
      <c r="A112" t="s">
        <v>53</v>
      </c>
      <c r="B112">
        <v>2025</v>
      </c>
      <c r="C112">
        <v>9</v>
      </c>
      <c r="D112" s="1">
        <v>45901</v>
      </c>
      <c r="E112">
        <v>82203</v>
      </c>
      <c r="F112">
        <v>1896</v>
      </c>
      <c r="G112">
        <v>3761</v>
      </c>
      <c r="H112">
        <v>0.36509999999999998</v>
      </c>
      <c r="I112">
        <v>2.306485164775008E-2</v>
      </c>
      <c r="J112">
        <v>2.9399999999999999E-2</v>
      </c>
      <c r="K112">
        <v>0.16200000000000001</v>
      </c>
      <c r="L112">
        <v>0.16200000000000001</v>
      </c>
      <c r="M112">
        <v>13318</v>
      </c>
      <c r="N112">
        <v>0.25548834999999998</v>
      </c>
    </row>
    <row r="113" spans="1:14" x14ac:dyDescent="0.35">
      <c r="A113" t="s">
        <v>53</v>
      </c>
      <c r="B113">
        <v>2025</v>
      </c>
      <c r="C113">
        <v>10</v>
      </c>
      <c r="D113" s="1">
        <v>45931</v>
      </c>
      <c r="E113">
        <v>84630</v>
      </c>
      <c r="F113">
        <v>1879</v>
      </c>
      <c r="G113">
        <v>3758</v>
      </c>
      <c r="H113">
        <v>0.34989999999999999</v>
      </c>
      <c r="I113">
        <v>2.2202528654141549E-2</v>
      </c>
      <c r="J113">
        <v>2.7400000000000001E-2</v>
      </c>
      <c r="K113">
        <v>0.15179999999999999</v>
      </c>
      <c r="L113">
        <v>0.15179999999999999</v>
      </c>
      <c r="M113">
        <v>12850</v>
      </c>
      <c r="N113">
        <v>0.25536204000000001</v>
      </c>
    </row>
    <row r="114" spans="1:14" x14ac:dyDescent="0.35">
      <c r="A114" t="s">
        <v>53</v>
      </c>
      <c r="B114">
        <v>2025</v>
      </c>
      <c r="C114">
        <v>11</v>
      </c>
      <c r="D114" s="1">
        <v>45962</v>
      </c>
      <c r="E114">
        <v>73850</v>
      </c>
      <c r="F114">
        <v>1624</v>
      </c>
      <c r="G114">
        <v>3223</v>
      </c>
      <c r="H114">
        <v>0.3523</v>
      </c>
      <c r="I114">
        <v>2.199052132701421E-2</v>
      </c>
      <c r="J114">
        <v>2.9899999999999999E-2</v>
      </c>
      <c r="K114">
        <v>0.15049999999999999</v>
      </c>
      <c r="L114">
        <v>0.15049999999999999</v>
      </c>
      <c r="M114">
        <v>11121</v>
      </c>
      <c r="N114">
        <v>0.25553091999999999</v>
      </c>
    </row>
    <row r="115" spans="1:14" x14ac:dyDescent="0.35">
      <c r="A115" t="s">
        <v>53</v>
      </c>
      <c r="B115">
        <v>2025</v>
      </c>
      <c r="C115">
        <v>12</v>
      </c>
      <c r="D115" s="1">
        <v>45992</v>
      </c>
      <c r="E115">
        <v>69951</v>
      </c>
      <c r="F115">
        <v>1549</v>
      </c>
      <c r="G115">
        <v>3129</v>
      </c>
      <c r="H115">
        <v>0.35809999999999997</v>
      </c>
      <c r="I115">
        <v>2.214407227916684E-2</v>
      </c>
      <c r="J115">
        <v>3.0200000000000001E-2</v>
      </c>
      <c r="K115">
        <v>0.16270000000000001</v>
      </c>
      <c r="L115">
        <v>0.16270000000000001</v>
      </c>
      <c r="M115">
        <v>11386</v>
      </c>
      <c r="N115">
        <v>0.25513287000000001</v>
      </c>
    </row>
    <row r="116" spans="1:14" x14ac:dyDescent="0.35">
      <c r="A116" t="s">
        <v>53</v>
      </c>
      <c r="B116">
        <v>2026</v>
      </c>
      <c r="C116">
        <v>1</v>
      </c>
      <c r="D116" s="1">
        <v>46023</v>
      </c>
      <c r="E116">
        <v>72570</v>
      </c>
      <c r="F116">
        <v>1713</v>
      </c>
      <c r="G116">
        <v>3409</v>
      </c>
      <c r="H116">
        <v>0.35759999999999997</v>
      </c>
      <c r="I116">
        <v>2.3604795369987591E-2</v>
      </c>
      <c r="J116">
        <v>2.98E-2</v>
      </c>
      <c r="K116">
        <v>0.17560000000000001</v>
      </c>
      <c r="L116">
        <v>0.17560000000000001</v>
      </c>
      <c r="M116">
        <v>12747</v>
      </c>
      <c r="N116">
        <v>0.25751930000000001</v>
      </c>
    </row>
    <row r="117" spans="1:14" x14ac:dyDescent="0.35">
      <c r="A117" t="s">
        <v>53</v>
      </c>
      <c r="B117">
        <v>2026</v>
      </c>
      <c r="C117">
        <v>2</v>
      </c>
      <c r="D117" s="1">
        <v>46054</v>
      </c>
      <c r="E117">
        <v>104812</v>
      </c>
      <c r="F117">
        <v>3016</v>
      </c>
      <c r="G117">
        <v>6173</v>
      </c>
      <c r="H117">
        <v>0.35580000000000001</v>
      </c>
      <c r="I117">
        <v>2.877533106896156E-2</v>
      </c>
      <c r="J117">
        <v>3.4700000000000002E-2</v>
      </c>
      <c r="K117">
        <v>0.1865</v>
      </c>
      <c r="L117">
        <v>0.17761904761904759</v>
      </c>
      <c r="M117">
        <v>19561</v>
      </c>
      <c r="N117">
        <v>0.25587987000000001</v>
      </c>
    </row>
    <row r="118" spans="1:14" x14ac:dyDescent="0.35">
      <c r="A118" t="s">
        <v>53</v>
      </c>
      <c r="B118">
        <v>2026</v>
      </c>
      <c r="C118">
        <v>3</v>
      </c>
      <c r="D118" s="1">
        <v>46082</v>
      </c>
      <c r="E118">
        <v>110491</v>
      </c>
      <c r="F118">
        <v>3383</v>
      </c>
      <c r="G118">
        <v>6828</v>
      </c>
      <c r="H118">
        <v>0.3876</v>
      </c>
      <c r="I118">
        <v>3.0617878379234499E-2</v>
      </c>
      <c r="J118">
        <v>3.4299999999999997E-2</v>
      </c>
      <c r="K118">
        <v>0.21249999999999999</v>
      </c>
      <c r="L118">
        <v>0.20238095238095241</v>
      </c>
      <c r="M118">
        <v>23486</v>
      </c>
      <c r="N118">
        <v>0.25519479</v>
      </c>
    </row>
    <row r="119" spans="1:14" x14ac:dyDescent="0.35">
      <c r="A119" t="s">
        <v>53</v>
      </c>
      <c r="B119">
        <v>2026</v>
      </c>
      <c r="C119">
        <v>4</v>
      </c>
      <c r="D119" s="1">
        <v>46113</v>
      </c>
      <c r="E119">
        <v>99280</v>
      </c>
      <c r="F119">
        <v>2871</v>
      </c>
      <c r="G119">
        <v>5806</v>
      </c>
      <c r="H119">
        <v>0.35070000000000001</v>
      </c>
      <c r="I119">
        <v>2.8918211120064461E-2</v>
      </c>
      <c r="J119">
        <v>3.4799999999999998E-2</v>
      </c>
      <c r="K119">
        <v>0.2009</v>
      </c>
      <c r="L119">
        <v>0.2009</v>
      </c>
      <c r="M119">
        <v>19959</v>
      </c>
      <c r="N119">
        <v>0.25530897000000002</v>
      </c>
    </row>
    <row r="120" spans="1:14" x14ac:dyDescent="0.35">
      <c r="A120" t="s">
        <v>53</v>
      </c>
      <c r="B120">
        <v>2026</v>
      </c>
      <c r="C120">
        <v>5</v>
      </c>
      <c r="D120" s="1">
        <v>46143</v>
      </c>
      <c r="E120">
        <v>95642</v>
      </c>
      <c r="F120">
        <v>2523</v>
      </c>
      <c r="G120">
        <v>4293</v>
      </c>
      <c r="H120">
        <v>0.34139999999999998</v>
      </c>
      <c r="I120">
        <v>2.6379624014554268E-2</v>
      </c>
      <c r="J120">
        <v>3.0700000000000002E-2</v>
      </c>
      <c r="K120">
        <v>0.18990000000000001</v>
      </c>
      <c r="L120">
        <v>0.18990000000000001</v>
      </c>
      <c r="M120">
        <v>18186</v>
      </c>
      <c r="N120">
        <v>0.25450271000000002</v>
      </c>
    </row>
    <row r="121" spans="1:14" x14ac:dyDescent="0.35">
      <c r="A121" t="s">
        <v>53</v>
      </c>
      <c r="B121">
        <v>2026</v>
      </c>
      <c r="C121">
        <v>6</v>
      </c>
      <c r="D121" s="1">
        <v>46174</v>
      </c>
      <c r="E121">
        <v>9453</v>
      </c>
      <c r="F121">
        <v>123</v>
      </c>
      <c r="G121">
        <v>14</v>
      </c>
      <c r="H121">
        <v>0.32079999999999997</v>
      </c>
      <c r="I121">
        <v>1.301174230403046E-2</v>
      </c>
      <c r="J121">
        <v>2.2200000000000001E-2</v>
      </c>
      <c r="K121">
        <v>0.17710000000000001</v>
      </c>
      <c r="L121">
        <v>0.17710000000000001</v>
      </c>
      <c r="M121">
        <v>1675</v>
      </c>
      <c r="N121">
        <v>0.25398208</v>
      </c>
    </row>
    <row r="122" spans="1:14" x14ac:dyDescent="0.35">
      <c r="A122" t="s">
        <v>55</v>
      </c>
      <c r="B122">
        <v>2024</v>
      </c>
      <c r="C122">
        <v>1</v>
      </c>
      <c r="D122" s="1">
        <v>45293</v>
      </c>
      <c r="E122">
        <v>1510</v>
      </c>
      <c r="F122">
        <v>178</v>
      </c>
      <c r="G122">
        <v>334</v>
      </c>
      <c r="H122">
        <v>0.42780000000000001</v>
      </c>
      <c r="I122">
        <v>0.1178807947019867</v>
      </c>
      <c r="J122">
        <v>0.23430000000000001</v>
      </c>
      <c r="K122">
        <v>0.26019999999999999</v>
      </c>
      <c r="L122">
        <v>0.26019999999999999</v>
      </c>
      <c r="M122">
        <v>393</v>
      </c>
      <c r="N122">
        <v>0.243921</v>
      </c>
    </row>
    <row r="123" spans="1:14" x14ac:dyDescent="0.35">
      <c r="A123" t="s">
        <v>55</v>
      </c>
      <c r="B123">
        <v>2024</v>
      </c>
      <c r="C123">
        <v>2</v>
      </c>
      <c r="D123" s="1">
        <v>45323</v>
      </c>
      <c r="E123">
        <v>2215</v>
      </c>
      <c r="F123">
        <v>266</v>
      </c>
      <c r="G123">
        <v>515</v>
      </c>
      <c r="H123">
        <v>0.42699999999999999</v>
      </c>
      <c r="I123">
        <v>0.1200902934537246</v>
      </c>
      <c r="J123">
        <v>0.22819999999999999</v>
      </c>
      <c r="K123">
        <v>0.25009999999999999</v>
      </c>
      <c r="L123">
        <v>0.2381904761904762</v>
      </c>
      <c r="M123">
        <v>554</v>
      </c>
      <c r="N123">
        <v>0.24331646000000001</v>
      </c>
    </row>
    <row r="124" spans="1:14" x14ac:dyDescent="0.35">
      <c r="A124" t="s">
        <v>55</v>
      </c>
      <c r="B124">
        <v>2024</v>
      </c>
      <c r="C124">
        <v>3</v>
      </c>
      <c r="D124" s="1">
        <v>45352</v>
      </c>
      <c r="E124">
        <v>2664</v>
      </c>
      <c r="F124">
        <v>317</v>
      </c>
      <c r="G124">
        <v>607</v>
      </c>
      <c r="H124">
        <v>0.4294</v>
      </c>
      <c r="I124">
        <v>0.118993993993994</v>
      </c>
      <c r="J124">
        <v>0.22220000000000001</v>
      </c>
      <c r="K124">
        <v>0.27889999999999998</v>
      </c>
      <c r="L124">
        <v>0.26561904761904759</v>
      </c>
      <c r="M124">
        <v>743</v>
      </c>
      <c r="N124">
        <v>0.24318255999999999</v>
      </c>
    </row>
    <row r="125" spans="1:14" x14ac:dyDescent="0.35">
      <c r="A125" t="s">
        <v>55</v>
      </c>
      <c r="B125">
        <v>2024</v>
      </c>
      <c r="C125">
        <v>4</v>
      </c>
      <c r="D125" s="1">
        <v>45383</v>
      </c>
      <c r="E125">
        <v>3115</v>
      </c>
      <c r="F125">
        <v>263</v>
      </c>
      <c r="G125">
        <v>521</v>
      </c>
      <c r="H125">
        <v>0.40250000000000002</v>
      </c>
      <c r="I125">
        <v>8.4430176565008022E-2</v>
      </c>
      <c r="J125">
        <v>0.15409999999999999</v>
      </c>
      <c r="K125">
        <v>0.25609999999999999</v>
      </c>
      <c r="L125">
        <v>0.25609999999999999</v>
      </c>
      <c r="M125">
        <v>798</v>
      </c>
      <c r="N125">
        <v>0.24897018000000001</v>
      </c>
    </row>
    <row r="126" spans="1:14" x14ac:dyDescent="0.35">
      <c r="A126" t="s">
        <v>55</v>
      </c>
      <c r="B126">
        <v>2024</v>
      </c>
      <c r="C126">
        <v>5</v>
      </c>
      <c r="D126" s="1">
        <v>45413</v>
      </c>
      <c r="E126">
        <v>3251</v>
      </c>
      <c r="F126">
        <v>278</v>
      </c>
      <c r="G126">
        <v>532</v>
      </c>
      <c r="H126">
        <v>0.41799999999999998</v>
      </c>
      <c r="I126">
        <v>8.5512150107659182E-2</v>
      </c>
      <c r="J126">
        <v>0.16520000000000001</v>
      </c>
      <c r="K126">
        <v>0.247</v>
      </c>
      <c r="L126">
        <v>0.247</v>
      </c>
      <c r="M126">
        <v>803</v>
      </c>
      <c r="N126">
        <v>0.24896408</v>
      </c>
    </row>
    <row r="127" spans="1:14" x14ac:dyDescent="0.35">
      <c r="A127" t="s">
        <v>55</v>
      </c>
      <c r="B127">
        <v>2024</v>
      </c>
      <c r="C127">
        <v>6</v>
      </c>
      <c r="D127" s="1">
        <v>45444</v>
      </c>
      <c r="E127">
        <v>3077</v>
      </c>
      <c r="F127">
        <v>264</v>
      </c>
      <c r="G127">
        <v>503</v>
      </c>
      <c r="H127">
        <v>0.41370000000000001</v>
      </c>
      <c r="I127">
        <v>8.5797855053623653E-2</v>
      </c>
      <c r="J127">
        <v>0.1804</v>
      </c>
      <c r="K127">
        <v>0.2651</v>
      </c>
      <c r="L127">
        <v>0.2651</v>
      </c>
      <c r="M127">
        <v>816</v>
      </c>
      <c r="N127">
        <v>0.24722907999999999</v>
      </c>
    </row>
    <row r="128" spans="1:14" x14ac:dyDescent="0.35">
      <c r="A128" t="s">
        <v>55</v>
      </c>
      <c r="B128">
        <v>2024</v>
      </c>
      <c r="C128">
        <v>7</v>
      </c>
      <c r="D128" s="1">
        <v>45498</v>
      </c>
      <c r="E128">
        <v>713</v>
      </c>
      <c r="F128">
        <v>69</v>
      </c>
      <c r="G128">
        <v>134</v>
      </c>
      <c r="H128">
        <v>0.36459999999999998</v>
      </c>
      <c r="I128">
        <v>9.6774193548387094E-2</v>
      </c>
      <c r="J128">
        <v>0.16070000000000001</v>
      </c>
      <c r="K128">
        <v>0.26079999999999998</v>
      </c>
      <c r="L128">
        <v>0.26079999999999998</v>
      </c>
      <c r="M128">
        <v>186</v>
      </c>
      <c r="N128">
        <v>0.24409845999999999</v>
      </c>
    </row>
    <row r="129" spans="1:14" x14ac:dyDescent="0.35">
      <c r="A129" t="s">
        <v>55</v>
      </c>
      <c r="B129">
        <v>2024</v>
      </c>
      <c r="C129">
        <v>8</v>
      </c>
      <c r="D129" s="1">
        <v>45505</v>
      </c>
      <c r="E129">
        <v>3365</v>
      </c>
      <c r="F129">
        <v>253</v>
      </c>
      <c r="G129">
        <v>509</v>
      </c>
      <c r="H129">
        <v>0.36670000000000003</v>
      </c>
      <c r="I129">
        <v>7.5185735512630011E-2</v>
      </c>
      <c r="J129">
        <v>0.161</v>
      </c>
      <c r="K129">
        <v>0.249</v>
      </c>
      <c r="L129">
        <v>0.249</v>
      </c>
      <c r="M129">
        <v>838</v>
      </c>
      <c r="N129">
        <v>0.24456046000000001</v>
      </c>
    </row>
    <row r="130" spans="1:14" x14ac:dyDescent="0.35">
      <c r="A130" t="s">
        <v>55</v>
      </c>
      <c r="B130">
        <v>2024</v>
      </c>
      <c r="C130">
        <v>9</v>
      </c>
      <c r="D130" s="1">
        <v>45536</v>
      </c>
      <c r="E130">
        <v>2924</v>
      </c>
      <c r="F130">
        <v>212</v>
      </c>
      <c r="G130">
        <v>414</v>
      </c>
      <c r="H130">
        <v>0.38090000000000002</v>
      </c>
      <c r="I130">
        <v>7.2503419972640204E-2</v>
      </c>
      <c r="J130">
        <v>0.14749999999999999</v>
      </c>
      <c r="K130">
        <v>0.25059999999999999</v>
      </c>
      <c r="L130">
        <v>0.25059999999999999</v>
      </c>
      <c r="M130">
        <v>733</v>
      </c>
      <c r="N130">
        <v>0.24298723</v>
      </c>
    </row>
    <row r="131" spans="1:14" x14ac:dyDescent="0.35">
      <c r="A131" t="s">
        <v>55</v>
      </c>
      <c r="B131">
        <v>2024</v>
      </c>
      <c r="C131">
        <v>10</v>
      </c>
      <c r="D131" s="1">
        <v>45566</v>
      </c>
      <c r="E131">
        <v>2601</v>
      </c>
      <c r="F131">
        <v>178</v>
      </c>
      <c r="G131">
        <v>354</v>
      </c>
      <c r="H131">
        <v>0.35139999999999999</v>
      </c>
      <c r="I131">
        <v>6.8435217224144557E-2</v>
      </c>
      <c r="J131">
        <v>0.13189999999999999</v>
      </c>
      <c r="K131">
        <v>0.2399</v>
      </c>
      <c r="L131">
        <v>0.2399</v>
      </c>
      <c r="M131">
        <v>624</v>
      </c>
      <c r="N131">
        <v>0.24256478000000001</v>
      </c>
    </row>
    <row r="132" spans="1:14" x14ac:dyDescent="0.35">
      <c r="A132" t="s">
        <v>55</v>
      </c>
      <c r="B132">
        <v>2024</v>
      </c>
      <c r="C132">
        <v>11</v>
      </c>
      <c r="D132" s="1">
        <v>45597</v>
      </c>
      <c r="E132">
        <v>2190</v>
      </c>
      <c r="F132">
        <v>145</v>
      </c>
      <c r="G132">
        <v>279</v>
      </c>
      <c r="H132">
        <v>0.30590000000000001</v>
      </c>
      <c r="I132">
        <v>6.6210045662100453E-2</v>
      </c>
      <c r="J132">
        <v>0.1236</v>
      </c>
      <c r="K132">
        <v>0.2009</v>
      </c>
      <c r="L132">
        <v>0.2009</v>
      </c>
      <c r="M132">
        <v>440</v>
      </c>
      <c r="N132">
        <v>0.24486720000000001</v>
      </c>
    </row>
    <row r="133" spans="1:14" x14ac:dyDescent="0.35">
      <c r="A133" t="s">
        <v>55</v>
      </c>
      <c r="B133">
        <v>2024</v>
      </c>
      <c r="C133">
        <v>12</v>
      </c>
      <c r="D133" s="1">
        <v>45627</v>
      </c>
      <c r="E133">
        <v>2068</v>
      </c>
      <c r="F133">
        <v>104</v>
      </c>
      <c r="G133">
        <v>210</v>
      </c>
      <c r="H133">
        <v>0.2848</v>
      </c>
      <c r="I133">
        <v>5.0290135396518373E-2</v>
      </c>
      <c r="J133">
        <v>0.1123</v>
      </c>
      <c r="K133">
        <v>0.1656</v>
      </c>
      <c r="L133">
        <v>0.1656</v>
      </c>
      <c r="M133">
        <v>343</v>
      </c>
      <c r="N133">
        <v>0.24476511000000001</v>
      </c>
    </row>
    <row r="134" spans="1:14" x14ac:dyDescent="0.35">
      <c r="A134" t="s">
        <v>55</v>
      </c>
      <c r="B134">
        <v>2025</v>
      </c>
      <c r="C134">
        <v>1</v>
      </c>
      <c r="D134" s="1">
        <v>45658</v>
      </c>
      <c r="E134">
        <v>2307</v>
      </c>
      <c r="F134">
        <v>128</v>
      </c>
      <c r="G134">
        <v>246</v>
      </c>
      <c r="H134">
        <v>0.28070000000000001</v>
      </c>
      <c r="I134">
        <v>5.5483311660164708E-2</v>
      </c>
      <c r="J134">
        <v>0.12089999999999999</v>
      </c>
      <c r="K134">
        <v>0.1585</v>
      </c>
      <c r="L134">
        <v>0.1585</v>
      </c>
      <c r="M134">
        <v>366</v>
      </c>
      <c r="N134">
        <v>0.25070008999999999</v>
      </c>
    </row>
    <row r="135" spans="1:14" x14ac:dyDescent="0.35">
      <c r="A135" t="s">
        <v>55</v>
      </c>
      <c r="B135">
        <v>2025</v>
      </c>
      <c r="C135">
        <v>2</v>
      </c>
      <c r="D135" s="1">
        <v>45689</v>
      </c>
      <c r="E135">
        <v>3010</v>
      </c>
      <c r="F135">
        <v>242</v>
      </c>
      <c r="G135">
        <v>464</v>
      </c>
      <c r="H135">
        <v>0.32440000000000002</v>
      </c>
      <c r="I135">
        <v>8.0398671096345506E-2</v>
      </c>
      <c r="J135">
        <v>0.11360000000000001</v>
      </c>
      <c r="K135">
        <v>0.21049999999999999</v>
      </c>
      <c r="L135">
        <v>0.2004761904761905</v>
      </c>
      <c r="M135">
        <v>634</v>
      </c>
      <c r="N135">
        <v>0.24986947000000001</v>
      </c>
    </row>
    <row r="136" spans="1:14" x14ac:dyDescent="0.35">
      <c r="A136" t="s">
        <v>55</v>
      </c>
      <c r="B136">
        <v>2025</v>
      </c>
      <c r="C136">
        <v>3</v>
      </c>
      <c r="D136" s="1">
        <v>45717</v>
      </c>
      <c r="E136">
        <v>4143</v>
      </c>
      <c r="F136">
        <v>337</v>
      </c>
      <c r="G136">
        <v>655</v>
      </c>
      <c r="H136">
        <v>0.35870000000000002</v>
      </c>
      <c r="I136">
        <v>8.1342022688872792E-2</v>
      </c>
      <c r="J136">
        <v>0.10199999999999999</v>
      </c>
      <c r="K136">
        <v>0.2412</v>
      </c>
      <c r="L136">
        <v>0.2297142857142857</v>
      </c>
      <c r="M136">
        <v>1000</v>
      </c>
      <c r="N136">
        <v>0.24811016999999999</v>
      </c>
    </row>
    <row r="137" spans="1:14" x14ac:dyDescent="0.35">
      <c r="A137" t="s">
        <v>55</v>
      </c>
      <c r="B137">
        <v>2025</v>
      </c>
      <c r="C137">
        <v>4</v>
      </c>
      <c r="D137" s="1">
        <v>45748</v>
      </c>
      <c r="E137">
        <v>4509</v>
      </c>
      <c r="F137">
        <v>329</v>
      </c>
      <c r="G137">
        <v>668</v>
      </c>
      <c r="H137">
        <v>0.40250000000000002</v>
      </c>
      <c r="I137">
        <v>7.2965180749611877E-2</v>
      </c>
      <c r="J137">
        <v>9.8400000000000001E-2</v>
      </c>
      <c r="K137">
        <v>0.28989999999999999</v>
      </c>
      <c r="L137">
        <v>0.28989999999999999</v>
      </c>
      <c r="M137">
        <v>1308</v>
      </c>
      <c r="N137">
        <v>0.25154332000000001</v>
      </c>
    </row>
    <row r="138" spans="1:14" x14ac:dyDescent="0.35">
      <c r="A138" t="s">
        <v>55</v>
      </c>
      <c r="B138">
        <v>2025</v>
      </c>
      <c r="C138">
        <v>5</v>
      </c>
      <c r="D138" s="1">
        <v>45778</v>
      </c>
      <c r="E138">
        <v>4104</v>
      </c>
      <c r="F138">
        <v>285</v>
      </c>
      <c r="G138">
        <v>554</v>
      </c>
      <c r="H138">
        <v>0.38319999999999999</v>
      </c>
      <c r="I138">
        <v>6.9444444444444434E-2</v>
      </c>
      <c r="J138">
        <v>8.8099999999999998E-2</v>
      </c>
      <c r="K138">
        <v>0.26879999999999998</v>
      </c>
      <c r="L138">
        <v>0.26879999999999998</v>
      </c>
      <c r="M138">
        <v>1104</v>
      </c>
      <c r="N138">
        <v>0.25109321000000001</v>
      </c>
    </row>
    <row r="139" spans="1:14" x14ac:dyDescent="0.35">
      <c r="A139" t="s">
        <v>55</v>
      </c>
      <c r="B139">
        <v>2025</v>
      </c>
      <c r="C139">
        <v>6</v>
      </c>
      <c r="D139" s="1">
        <v>45809</v>
      </c>
      <c r="E139">
        <v>3518</v>
      </c>
      <c r="F139">
        <v>239</v>
      </c>
      <c r="G139">
        <v>464</v>
      </c>
      <c r="H139">
        <v>0.37030000000000002</v>
      </c>
      <c r="I139">
        <v>6.7936327458783391E-2</v>
      </c>
      <c r="J139">
        <v>8.6599999999999996E-2</v>
      </c>
      <c r="K139">
        <v>0.25729999999999997</v>
      </c>
      <c r="L139">
        <v>0.25729999999999997</v>
      </c>
      <c r="M139">
        <v>906</v>
      </c>
      <c r="N139">
        <v>0.25121146</v>
      </c>
    </row>
    <row r="140" spans="1:14" x14ac:dyDescent="0.35">
      <c r="A140" t="s">
        <v>55</v>
      </c>
      <c r="B140">
        <v>2025</v>
      </c>
      <c r="C140">
        <v>7</v>
      </c>
      <c r="D140" s="1">
        <v>45839</v>
      </c>
      <c r="E140">
        <v>3492</v>
      </c>
      <c r="F140">
        <v>230</v>
      </c>
      <c r="G140">
        <v>472</v>
      </c>
      <c r="H140">
        <v>0.3412</v>
      </c>
      <c r="I140">
        <v>6.5864833906071008E-2</v>
      </c>
      <c r="J140">
        <v>8.4099999999999994E-2</v>
      </c>
      <c r="K140">
        <v>0.23769999999999999</v>
      </c>
      <c r="L140">
        <v>0.23769999999999999</v>
      </c>
      <c r="M140">
        <v>832</v>
      </c>
      <c r="N140">
        <v>0.24791226999999999</v>
      </c>
    </row>
    <row r="141" spans="1:14" x14ac:dyDescent="0.35">
      <c r="A141" t="s">
        <v>55</v>
      </c>
      <c r="B141">
        <v>2025</v>
      </c>
      <c r="C141">
        <v>8</v>
      </c>
      <c r="D141" s="1">
        <v>45870</v>
      </c>
      <c r="E141">
        <v>3766</v>
      </c>
      <c r="F141">
        <v>257</v>
      </c>
      <c r="G141">
        <v>487</v>
      </c>
      <c r="H141">
        <v>0.42949999999999999</v>
      </c>
      <c r="I141">
        <v>6.8242166755177899E-2</v>
      </c>
      <c r="J141">
        <v>7.3499999999999996E-2</v>
      </c>
      <c r="K141">
        <v>0.31359999999999999</v>
      </c>
      <c r="L141">
        <v>0.31359999999999999</v>
      </c>
      <c r="M141">
        <v>1182</v>
      </c>
      <c r="N141">
        <v>0.24895633</v>
      </c>
    </row>
    <row r="142" spans="1:14" x14ac:dyDescent="0.35">
      <c r="A142" t="s">
        <v>55</v>
      </c>
      <c r="B142">
        <v>2025</v>
      </c>
      <c r="C142">
        <v>9</v>
      </c>
      <c r="D142" s="1">
        <v>45901</v>
      </c>
      <c r="E142">
        <v>3659</v>
      </c>
      <c r="F142">
        <v>228</v>
      </c>
      <c r="G142">
        <v>450</v>
      </c>
      <c r="H142">
        <v>0.36680000000000001</v>
      </c>
      <c r="I142">
        <v>6.231210713309647E-2</v>
      </c>
      <c r="J142">
        <v>8.2000000000000003E-2</v>
      </c>
      <c r="K142">
        <v>0.24959999999999999</v>
      </c>
      <c r="L142">
        <v>0.24959999999999999</v>
      </c>
      <c r="M142">
        <v>914</v>
      </c>
      <c r="N142">
        <v>0.24821114</v>
      </c>
    </row>
    <row r="143" spans="1:14" x14ac:dyDescent="0.35">
      <c r="A143" t="s">
        <v>55</v>
      </c>
      <c r="B143">
        <v>2025</v>
      </c>
      <c r="C143">
        <v>10</v>
      </c>
      <c r="D143" s="1">
        <v>45931</v>
      </c>
      <c r="E143">
        <v>3026</v>
      </c>
      <c r="F143">
        <v>171</v>
      </c>
      <c r="G143">
        <v>331</v>
      </c>
      <c r="H143">
        <v>0.32079999999999997</v>
      </c>
      <c r="I143">
        <v>5.6510244547257102E-2</v>
      </c>
      <c r="J143">
        <v>7.6999999999999999E-2</v>
      </c>
      <c r="K143">
        <v>0.20519999999999999</v>
      </c>
      <c r="L143">
        <v>0.20519999999999999</v>
      </c>
      <c r="M143">
        <v>621</v>
      </c>
      <c r="N143">
        <v>0.24743108</v>
      </c>
    </row>
    <row r="144" spans="1:14" x14ac:dyDescent="0.35">
      <c r="A144" t="s">
        <v>55</v>
      </c>
      <c r="B144">
        <v>2025</v>
      </c>
      <c r="C144">
        <v>11</v>
      </c>
      <c r="D144" s="1">
        <v>45962</v>
      </c>
      <c r="E144">
        <v>2680</v>
      </c>
      <c r="F144">
        <v>184</v>
      </c>
      <c r="G144">
        <v>357</v>
      </c>
      <c r="H144">
        <v>0.33169999999999999</v>
      </c>
      <c r="I144">
        <v>6.8656716417910435E-2</v>
      </c>
      <c r="J144">
        <v>7.22E-2</v>
      </c>
      <c r="K144">
        <v>0.21110000000000001</v>
      </c>
      <c r="L144">
        <v>0.21110000000000001</v>
      </c>
      <c r="M144">
        <v>566</v>
      </c>
      <c r="N144">
        <v>0.25082386000000001</v>
      </c>
    </row>
    <row r="145" spans="1:14" x14ac:dyDescent="0.35">
      <c r="A145" t="s">
        <v>55</v>
      </c>
      <c r="B145">
        <v>2025</v>
      </c>
      <c r="C145">
        <v>12</v>
      </c>
      <c r="D145" s="1">
        <v>45992</v>
      </c>
      <c r="E145">
        <v>2289</v>
      </c>
      <c r="F145">
        <v>153</v>
      </c>
      <c r="G145">
        <v>299</v>
      </c>
      <c r="H145">
        <v>0.31840000000000002</v>
      </c>
      <c r="I145">
        <v>6.6841415465268672E-2</v>
      </c>
      <c r="J145">
        <v>7.4999999999999997E-2</v>
      </c>
      <c r="K145">
        <v>0.21310000000000001</v>
      </c>
      <c r="L145">
        <v>0.21310000000000001</v>
      </c>
      <c r="M145">
        <v>488</v>
      </c>
      <c r="N145">
        <v>0.24747225</v>
      </c>
    </row>
    <row r="146" spans="1:14" x14ac:dyDescent="0.35">
      <c r="A146" t="s">
        <v>55</v>
      </c>
      <c r="B146">
        <v>2026</v>
      </c>
      <c r="C146">
        <v>1</v>
      </c>
      <c r="D146" s="1">
        <v>46023</v>
      </c>
      <c r="E146">
        <v>1963</v>
      </c>
      <c r="F146">
        <v>105</v>
      </c>
      <c r="G146">
        <v>208</v>
      </c>
      <c r="H146">
        <v>0.31680000000000003</v>
      </c>
      <c r="I146">
        <v>5.3489556800815068E-2</v>
      </c>
      <c r="J146">
        <v>7.4899999999999994E-2</v>
      </c>
      <c r="K146">
        <v>0.218</v>
      </c>
      <c r="L146">
        <v>0.218</v>
      </c>
      <c r="M146">
        <v>428</v>
      </c>
      <c r="N146">
        <v>0.24621808000000001</v>
      </c>
    </row>
    <row r="147" spans="1:14" x14ac:dyDescent="0.35">
      <c r="A147" t="s">
        <v>55</v>
      </c>
      <c r="B147">
        <v>2026</v>
      </c>
      <c r="C147">
        <v>2</v>
      </c>
      <c r="D147" s="1">
        <v>46054</v>
      </c>
      <c r="E147">
        <v>3261</v>
      </c>
      <c r="F147">
        <v>236</v>
      </c>
      <c r="G147">
        <v>458</v>
      </c>
      <c r="H147">
        <v>0.30630000000000002</v>
      </c>
      <c r="I147">
        <v>7.2370438515792695E-2</v>
      </c>
      <c r="J147">
        <v>9.74E-2</v>
      </c>
      <c r="K147">
        <v>0.19159999999999999</v>
      </c>
      <c r="L147">
        <v>0.18247619047619049</v>
      </c>
      <c r="M147">
        <v>625</v>
      </c>
      <c r="N147">
        <v>0.24616451</v>
      </c>
    </row>
    <row r="148" spans="1:14" x14ac:dyDescent="0.35">
      <c r="A148" t="s">
        <v>55</v>
      </c>
      <c r="B148">
        <v>2026</v>
      </c>
      <c r="C148">
        <v>3</v>
      </c>
      <c r="D148" s="1">
        <v>46082</v>
      </c>
      <c r="E148">
        <v>3792</v>
      </c>
      <c r="F148">
        <v>265</v>
      </c>
      <c r="G148">
        <v>516</v>
      </c>
      <c r="H148">
        <v>0.318</v>
      </c>
      <c r="I148">
        <v>6.9883966244725731E-2</v>
      </c>
      <c r="J148">
        <v>8.1799999999999998E-2</v>
      </c>
      <c r="K148">
        <v>0.21510000000000001</v>
      </c>
      <c r="L148">
        <v>0.20485714285714279</v>
      </c>
      <c r="M148">
        <v>816</v>
      </c>
      <c r="N148">
        <v>0.24704175</v>
      </c>
    </row>
    <row r="149" spans="1:14" x14ac:dyDescent="0.35">
      <c r="A149" t="s">
        <v>55</v>
      </c>
      <c r="B149">
        <v>2026</v>
      </c>
      <c r="C149">
        <v>4</v>
      </c>
      <c r="D149" s="1">
        <v>46113</v>
      </c>
      <c r="E149">
        <v>3011</v>
      </c>
      <c r="F149">
        <v>200</v>
      </c>
      <c r="G149">
        <v>377</v>
      </c>
      <c r="H149">
        <v>0.28320000000000001</v>
      </c>
      <c r="I149">
        <v>6.6423115244104936E-2</v>
      </c>
      <c r="J149">
        <v>8.6400000000000005E-2</v>
      </c>
      <c r="K149">
        <v>0.1862</v>
      </c>
      <c r="L149">
        <v>0.1862</v>
      </c>
      <c r="M149">
        <v>561</v>
      </c>
      <c r="N149">
        <v>0.24453342</v>
      </c>
    </row>
    <row r="150" spans="1:14" x14ac:dyDescent="0.35">
      <c r="A150" t="s">
        <v>55</v>
      </c>
      <c r="B150">
        <v>2026</v>
      </c>
      <c r="C150">
        <v>5</v>
      </c>
      <c r="D150" s="1">
        <v>46143</v>
      </c>
      <c r="E150">
        <v>2870</v>
      </c>
      <c r="F150">
        <v>194</v>
      </c>
      <c r="G150">
        <v>311</v>
      </c>
      <c r="H150">
        <v>0.31740000000000002</v>
      </c>
      <c r="I150">
        <v>6.7595818815331013E-2</v>
      </c>
      <c r="J150">
        <v>0.109</v>
      </c>
      <c r="K150">
        <v>0.19439999999999999</v>
      </c>
      <c r="L150">
        <v>0.19439999999999999</v>
      </c>
      <c r="M150">
        <v>558</v>
      </c>
      <c r="N150">
        <v>0.24545275</v>
      </c>
    </row>
    <row r="151" spans="1:14" x14ac:dyDescent="0.35">
      <c r="A151" t="s">
        <v>55</v>
      </c>
      <c r="B151">
        <v>2026</v>
      </c>
      <c r="C151">
        <v>6</v>
      </c>
      <c r="D151" s="1">
        <v>46174</v>
      </c>
      <c r="E151">
        <v>280</v>
      </c>
      <c r="F151">
        <v>8</v>
      </c>
      <c r="G151">
        <v>2</v>
      </c>
      <c r="H151">
        <v>0.2964</v>
      </c>
      <c r="I151">
        <v>2.8571428571428571E-2</v>
      </c>
      <c r="J151">
        <v>8.3000000000000004E-2</v>
      </c>
      <c r="K151">
        <v>0.17499999999999999</v>
      </c>
      <c r="L151">
        <v>0.17499999999999999</v>
      </c>
      <c r="M151">
        <v>49</v>
      </c>
      <c r="N151">
        <v>0.2475919</v>
      </c>
    </row>
    <row r="152" spans="1:14" x14ac:dyDescent="0.35">
      <c r="A152" t="s">
        <v>56</v>
      </c>
      <c r="B152">
        <v>2024</v>
      </c>
      <c r="C152">
        <v>1</v>
      </c>
      <c r="D152" s="1">
        <v>45292</v>
      </c>
      <c r="E152">
        <v>16697</v>
      </c>
      <c r="F152">
        <v>822</v>
      </c>
      <c r="G152">
        <v>1622</v>
      </c>
      <c r="H152">
        <v>0.40670000000000001</v>
      </c>
      <c r="I152">
        <v>4.9230400670779183E-2</v>
      </c>
      <c r="J152">
        <v>6.6900000000000001E-2</v>
      </c>
      <c r="K152">
        <v>0.2515</v>
      </c>
      <c r="L152">
        <v>0.2515</v>
      </c>
      <c r="M152">
        <v>4200</v>
      </c>
      <c r="N152">
        <v>0.25421205000000002</v>
      </c>
    </row>
    <row r="153" spans="1:14" x14ac:dyDescent="0.35">
      <c r="A153" t="s">
        <v>56</v>
      </c>
      <c r="B153">
        <v>2024</v>
      </c>
      <c r="C153">
        <v>2</v>
      </c>
      <c r="D153" s="1">
        <v>45323</v>
      </c>
      <c r="E153">
        <v>24221</v>
      </c>
      <c r="F153">
        <v>1592</v>
      </c>
      <c r="G153">
        <v>3177</v>
      </c>
      <c r="H153">
        <v>0.42530000000000001</v>
      </c>
      <c r="I153">
        <v>6.57280871970604E-2</v>
      </c>
      <c r="J153">
        <v>7.46E-2</v>
      </c>
      <c r="K153">
        <v>0.28299999999999997</v>
      </c>
      <c r="L153">
        <v>0.2695238095238095</v>
      </c>
      <c r="M153">
        <v>6856</v>
      </c>
      <c r="N153">
        <v>0.2539998</v>
      </c>
    </row>
    <row r="154" spans="1:14" x14ac:dyDescent="0.35">
      <c r="A154" t="s">
        <v>56</v>
      </c>
      <c r="B154">
        <v>2024</v>
      </c>
      <c r="C154">
        <v>3</v>
      </c>
      <c r="D154" s="1">
        <v>45352</v>
      </c>
      <c r="E154">
        <v>25738</v>
      </c>
      <c r="F154">
        <v>1682</v>
      </c>
      <c r="G154">
        <v>3333</v>
      </c>
      <c r="H154">
        <v>0.46889999999999998</v>
      </c>
      <c r="I154">
        <v>6.5350843111352863E-2</v>
      </c>
      <c r="J154">
        <v>6.9400000000000003E-2</v>
      </c>
      <c r="K154">
        <v>0.31169999999999998</v>
      </c>
      <c r="L154">
        <v>0.29685714285714282</v>
      </c>
      <c r="M154">
        <v>8023</v>
      </c>
      <c r="N154">
        <v>0.25332043999999998</v>
      </c>
    </row>
    <row r="155" spans="1:14" x14ac:dyDescent="0.35">
      <c r="A155" t="s">
        <v>56</v>
      </c>
      <c r="B155">
        <v>2024</v>
      </c>
      <c r="C155">
        <v>4</v>
      </c>
      <c r="D155" s="1">
        <v>45383</v>
      </c>
      <c r="E155">
        <v>23771</v>
      </c>
      <c r="F155">
        <v>1534</v>
      </c>
      <c r="G155">
        <v>3092</v>
      </c>
      <c r="H155">
        <v>0.53200000000000003</v>
      </c>
      <c r="I155">
        <v>6.4532413444953932E-2</v>
      </c>
      <c r="J155">
        <v>7.4200000000000002E-2</v>
      </c>
      <c r="K155">
        <v>0.33040000000000003</v>
      </c>
      <c r="L155">
        <v>0.33040000000000003</v>
      </c>
      <c r="M155">
        <v>7855</v>
      </c>
      <c r="N155">
        <v>0.25124170000000001</v>
      </c>
    </row>
    <row r="156" spans="1:14" x14ac:dyDescent="0.35">
      <c r="A156" t="s">
        <v>56</v>
      </c>
      <c r="B156">
        <v>2024</v>
      </c>
      <c r="C156">
        <v>5</v>
      </c>
      <c r="D156" s="1">
        <v>45413</v>
      </c>
      <c r="E156">
        <v>24722</v>
      </c>
      <c r="F156">
        <v>1612</v>
      </c>
      <c r="G156">
        <v>3195</v>
      </c>
      <c r="H156">
        <v>0.53700000000000003</v>
      </c>
      <c r="I156">
        <v>6.5205080495105566E-2</v>
      </c>
      <c r="J156">
        <v>7.51E-2</v>
      </c>
      <c r="K156">
        <v>0.32619999999999999</v>
      </c>
      <c r="L156">
        <v>0.32619999999999999</v>
      </c>
      <c r="M156">
        <v>8065</v>
      </c>
      <c r="N156">
        <v>0.24940525</v>
      </c>
    </row>
    <row r="157" spans="1:14" x14ac:dyDescent="0.35">
      <c r="A157" t="s">
        <v>56</v>
      </c>
      <c r="B157">
        <v>2024</v>
      </c>
      <c r="C157">
        <v>6</v>
      </c>
      <c r="D157" s="1">
        <v>45444</v>
      </c>
      <c r="E157">
        <v>20735</v>
      </c>
      <c r="F157">
        <v>1274</v>
      </c>
      <c r="G157">
        <v>2523</v>
      </c>
      <c r="H157">
        <v>0.53400000000000003</v>
      </c>
      <c r="I157">
        <v>6.1442006269592467E-2</v>
      </c>
      <c r="J157">
        <v>7.1199999999999999E-2</v>
      </c>
      <c r="K157">
        <v>0.31340000000000001</v>
      </c>
      <c r="L157">
        <v>0.31340000000000001</v>
      </c>
      <c r="M157">
        <v>6500</v>
      </c>
      <c r="N157">
        <v>0.24799577</v>
      </c>
    </row>
    <row r="158" spans="1:14" x14ac:dyDescent="0.35">
      <c r="A158" t="s">
        <v>56</v>
      </c>
      <c r="B158">
        <v>2024</v>
      </c>
      <c r="C158">
        <v>7</v>
      </c>
      <c r="D158" s="1">
        <v>45484</v>
      </c>
      <c r="E158">
        <v>5416</v>
      </c>
      <c r="F158">
        <v>229</v>
      </c>
      <c r="G158">
        <v>433</v>
      </c>
      <c r="H158">
        <v>0.41980000000000001</v>
      </c>
      <c r="I158">
        <v>4.2282127031019197E-2</v>
      </c>
      <c r="J158">
        <v>6.88E-2</v>
      </c>
      <c r="K158">
        <v>0.21249999999999999</v>
      </c>
      <c r="L158">
        <v>0.21249999999999999</v>
      </c>
      <c r="M158">
        <v>1151</v>
      </c>
      <c r="N158">
        <v>0.24916511999999999</v>
      </c>
    </row>
    <row r="159" spans="1:14" x14ac:dyDescent="0.35">
      <c r="A159" t="s">
        <v>56</v>
      </c>
      <c r="B159">
        <v>2024</v>
      </c>
      <c r="C159">
        <v>8</v>
      </c>
      <c r="D159" s="1">
        <v>45505</v>
      </c>
      <c r="E159">
        <v>22683</v>
      </c>
      <c r="F159">
        <v>1002</v>
      </c>
      <c r="G159">
        <v>1990</v>
      </c>
      <c r="H159">
        <v>0.44140000000000001</v>
      </c>
      <c r="I159">
        <v>4.417405105144822E-2</v>
      </c>
      <c r="J159">
        <v>6.8199999999999997E-2</v>
      </c>
      <c r="K159">
        <v>0.2319</v>
      </c>
      <c r="L159">
        <v>0.2319</v>
      </c>
      <c r="M159">
        <v>5262</v>
      </c>
      <c r="N159">
        <v>0.25024777999999998</v>
      </c>
    </row>
    <row r="160" spans="1:14" x14ac:dyDescent="0.35">
      <c r="A160" t="s">
        <v>56</v>
      </c>
      <c r="B160">
        <v>2024</v>
      </c>
      <c r="C160">
        <v>9</v>
      </c>
      <c r="D160" s="1">
        <v>45536</v>
      </c>
      <c r="E160">
        <v>21323</v>
      </c>
      <c r="F160">
        <v>1115</v>
      </c>
      <c r="G160">
        <v>2210</v>
      </c>
      <c r="H160">
        <v>0.46779999999999999</v>
      </c>
      <c r="I160">
        <v>5.229095343056793E-2</v>
      </c>
      <c r="J160">
        <v>7.0499999999999993E-2</v>
      </c>
      <c r="K160">
        <v>0.25769999999999998</v>
      </c>
      <c r="L160">
        <v>0.25769999999999998</v>
      </c>
      <c r="M160">
        <v>5496</v>
      </c>
      <c r="N160">
        <v>0.24998999999999999</v>
      </c>
    </row>
    <row r="161" spans="1:14" x14ac:dyDescent="0.35">
      <c r="A161" t="s">
        <v>56</v>
      </c>
      <c r="B161">
        <v>2024</v>
      </c>
      <c r="C161">
        <v>10</v>
      </c>
      <c r="D161" s="1">
        <v>45566</v>
      </c>
      <c r="E161">
        <v>22903</v>
      </c>
      <c r="F161">
        <v>1157</v>
      </c>
      <c r="G161">
        <v>2307</v>
      </c>
      <c r="H161">
        <v>0.49530000000000002</v>
      </c>
      <c r="I161">
        <v>5.0517399467318688E-2</v>
      </c>
      <c r="J161">
        <v>6.2199999999999998E-2</v>
      </c>
      <c r="K161">
        <v>0.2823</v>
      </c>
      <c r="L161">
        <v>0.2823</v>
      </c>
      <c r="M161">
        <v>6467</v>
      </c>
      <c r="N161">
        <v>0.25034201</v>
      </c>
    </row>
    <row r="162" spans="1:14" x14ac:dyDescent="0.35">
      <c r="A162" t="s">
        <v>56</v>
      </c>
      <c r="B162">
        <v>2024</v>
      </c>
      <c r="C162">
        <v>11</v>
      </c>
      <c r="D162" s="1">
        <v>45597</v>
      </c>
      <c r="E162">
        <v>21104</v>
      </c>
      <c r="F162">
        <v>1125</v>
      </c>
      <c r="G162">
        <v>2243</v>
      </c>
      <c r="H162">
        <v>0.51280000000000003</v>
      </c>
      <c r="I162">
        <v>5.3307429871114483E-2</v>
      </c>
      <c r="J162">
        <v>4.8399999999999999E-2</v>
      </c>
      <c r="K162">
        <v>0.30609999999999998</v>
      </c>
      <c r="L162">
        <v>0.30609999999999998</v>
      </c>
      <c r="M162">
        <v>6461</v>
      </c>
      <c r="N162">
        <v>0.24909838000000001</v>
      </c>
    </row>
    <row r="163" spans="1:14" x14ac:dyDescent="0.35">
      <c r="A163" t="s">
        <v>56</v>
      </c>
      <c r="B163">
        <v>2024</v>
      </c>
      <c r="C163">
        <v>12</v>
      </c>
      <c r="D163" s="1">
        <v>45627</v>
      </c>
      <c r="E163">
        <v>19499</v>
      </c>
      <c r="F163">
        <v>1115</v>
      </c>
      <c r="G163">
        <v>2229</v>
      </c>
      <c r="H163">
        <v>0.51600000000000001</v>
      </c>
      <c r="I163">
        <v>5.7182419611262109E-2</v>
      </c>
      <c r="J163">
        <v>4.0099999999999997E-2</v>
      </c>
      <c r="K163">
        <v>0.31009999999999999</v>
      </c>
      <c r="L163">
        <v>0.31009999999999999</v>
      </c>
      <c r="M163">
        <v>6047</v>
      </c>
      <c r="N163">
        <v>0.24879096000000001</v>
      </c>
    </row>
    <row r="164" spans="1:14" x14ac:dyDescent="0.35">
      <c r="A164" t="s">
        <v>56</v>
      </c>
      <c r="B164">
        <v>2025</v>
      </c>
      <c r="C164">
        <v>1</v>
      </c>
      <c r="D164" s="1">
        <v>45658</v>
      </c>
      <c r="E164">
        <v>23470</v>
      </c>
      <c r="F164">
        <v>1321</v>
      </c>
      <c r="G164">
        <v>2615</v>
      </c>
      <c r="H164">
        <v>0.51370000000000005</v>
      </c>
      <c r="I164">
        <v>5.6284618662121852E-2</v>
      </c>
      <c r="J164">
        <v>4.8099999999999997E-2</v>
      </c>
      <c r="K164">
        <v>0.31330000000000002</v>
      </c>
      <c r="L164">
        <v>0.31330000000000002</v>
      </c>
      <c r="M164">
        <v>7355</v>
      </c>
      <c r="N164">
        <v>0.25240866000000001</v>
      </c>
    </row>
    <row r="165" spans="1:14" x14ac:dyDescent="0.35">
      <c r="A165" t="s">
        <v>56</v>
      </c>
      <c r="B165">
        <v>2025</v>
      </c>
      <c r="C165">
        <v>2</v>
      </c>
      <c r="D165" s="1">
        <v>45689</v>
      </c>
      <c r="E165">
        <v>30443</v>
      </c>
      <c r="F165">
        <v>1885</v>
      </c>
      <c r="G165">
        <v>3880</v>
      </c>
      <c r="H165">
        <v>0.48970000000000002</v>
      </c>
      <c r="I165">
        <v>6.1918996156751963E-2</v>
      </c>
      <c r="J165">
        <v>5.5500000000000001E-2</v>
      </c>
      <c r="K165">
        <v>0.29099999999999998</v>
      </c>
      <c r="L165">
        <v>0.27714285714285708</v>
      </c>
      <c r="M165">
        <v>8861</v>
      </c>
      <c r="N165">
        <v>0.25226713000000001</v>
      </c>
    </row>
    <row r="166" spans="1:14" x14ac:dyDescent="0.35">
      <c r="A166" t="s">
        <v>56</v>
      </c>
      <c r="B166">
        <v>2025</v>
      </c>
      <c r="C166">
        <v>3</v>
      </c>
      <c r="D166" s="1">
        <v>45717</v>
      </c>
      <c r="E166">
        <v>35227</v>
      </c>
      <c r="F166">
        <v>2417</v>
      </c>
      <c r="G166">
        <v>4999</v>
      </c>
      <c r="H166">
        <v>0.52839999999999998</v>
      </c>
      <c r="I166">
        <v>6.8612144094018793E-2</v>
      </c>
      <c r="J166">
        <v>5.8400000000000001E-2</v>
      </c>
      <c r="K166">
        <v>0.3261</v>
      </c>
      <c r="L166">
        <v>0.31057142857142861</v>
      </c>
      <c r="M166">
        <v>11489</v>
      </c>
      <c r="N166">
        <v>0.25126697999999997</v>
      </c>
    </row>
    <row r="167" spans="1:14" x14ac:dyDescent="0.35">
      <c r="A167" t="s">
        <v>56</v>
      </c>
      <c r="B167">
        <v>2025</v>
      </c>
      <c r="C167">
        <v>4</v>
      </c>
      <c r="D167" s="1">
        <v>45748</v>
      </c>
      <c r="E167">
        <v>28636</v>
      </c>
      <c r="F167">
        <v>1713</v>
      </c>
      <c r="G167">
        <v>3522</v>
      </c>
      <c r="H167">
        <v>0.50060000000000004</v>
      </c>
      <c r="I167">
        <v>5.9819807235647428E-2</v>
      </c>
      <c r="J167">
        <v>4.7300000000000002E-2</v>
      </c>
      <c r="K167">
        <v>0.30649999999999999</v>
      </c>
      <c r="L167">
        <v>0.30649999999999999</v>
      </c>
      <c r="M167">
        <v>8777</v>
      </c>
      <c r="N167">
        <v>0.25113435000000001</v>
      </c>
    </row>
    <row r="168" spans="1:14" x14ac:dyDescent="0.35">
      <c r="A168" t="s">
        <v>56</v>
      </c>
      <c r="B168">
        <v>2025</v>
      </c>
      <c r="C168">
        <v>5</v>
      </c>
      <c r="D168" s="1">
        <v>45778</v>
      </c>
      <c r="E168">
        <v>30111</v>
      </c>
      <c r="F168">
        <v>1685</v>
      </c>
      <c r="G168">
        <v>3432</v>
      </c>
      <c r="H168">
        <v>0.50549999999999995</v>
      </c>
      <c r="I168">
        <v>5.5959616087144233E-2</v>
      </c>
      <c r="J168">
        <v>4.8399999999999999E-2</v>
      </c>
      <c r="K168">
        <v>0.30449999999999999</v>
      </c>
      <c r="L168">
        <v>0.30449999999999999</v>
      </c>
      <c r="M168">
        <v>9171</v>
      </c>
      <c r="N168">
        <v>0.24964252000000001</v>
      </c>
    </row>
    <row r="169" spans="1:14" x14ac:dyDescent="0.35">
      <c r="A169" t="s">
        <v>56</v>
      </c>
      <c r="B169">
        <v>2025</v>
      </c>
      <c r="C169">
        <v>6</v>
      </c>
      <c r="D169" s="1">
        <v>45809</v>
      </c>
      <c r="E169">
        <v>26981</v>
      </c>
      <c r="F169">
        <v>1452</v>
      </c>
      <c r="G169">
        <v>3014</v>
      </c>
      <c r="H169">
        <v>0.49399999999999999</v>
      </c>
      <c r="I169">
        <v>5.3815648048626812E-2</v>
      </c>
      <c r="J169">
        <v>4.9000000000000002E-2</v>
      </c>
      <c r="K169">
        <v>0.29420000000000002</v>
      </c>
      <c r="L169">
        <v>0.29420000000000002</v>
      </c>
      <c r="M169">
        <v>7940</v>
      </c>
      <c r="N169">
        <v>0.24982994</v>
      </c>
    </row>
    <row r="170" spans="1:14" x14ac:dyDescent="0.35">
      <c r="A170" t="s">
        <v>56</v>
      </c>
      <c r="B170">
        <v>2025</v>
      </c>
      <c r="C170">
        <v>7</v>
      </c>
      <c r="D170" s="1">
        <v>45839</v>
      </c>
      <c r="E170">
        <v>27563</v>
      </c>
      <c r="F170">
        <v>1375</v>
      </c>
      <c r="G170">
        <v>2829</v>
      </c>
      <c r="H170">
        <v>0.49130000000000001</v>
      </c>
      <c r="I170">
        <v>4.988571635888691E-2</v>
      </c>
      <c r="J170">
        <v>4.7E-2</v>
      </c>
      <c r="K170">
        <v>0.28739999999999999</v>
      </c>
      <c r="L170">
        <v>0.28739999999999999</v>
      </c>
      <c r="M170">
        <v>7922</v>
      </c>
      <c r="N170">
        <v>0.24944106999999999</v>
      </c>
    </row>
    <row r="171" spans="1:14" x14ac:dyDescent="0.35">
      <c r="A171" t="s">
        <v>56</v>
      </c>
      <c r="B171">
        <v>2025</v>
      </c>
      <c r="C171">
        <v>8</v>
      </c>
      <c r="D171" s="1">
        <v>45870</v>
      </c>
      <c r="E171">
        <v>28083</v>
      </c>
      <c r="F171">
        <v>1312</v>
      </c>
      <c r="G171">
        <v>2672</v>
      </c>
      <c r="H171">
        <v>0.50490000000000002</v>
      </c>
      <c r="I171">
        <v>4.6718655414307579E-2</v>
      </c>
      <c r="J171">
        <v>4.2000000000000003E-2</v>
      </c>
      <c r="K171">
        <v>0.29139999999999999</v>
      </c>
      <c r="L171">
        <v>0.29139999999999999</v>
      </c>
      <c r="M171">
        <v>8184</v>
      </c>
      <c r="N171">
        <v>0.24863758999999999</v>
      </c>
    </row>
    <row r="172" spans="1:14" x14ac:dyDescent="0.35">
      <c r="A172" t="s">
        <v>56</v>
      </c>
      <c r="B172">
        <v>2025</v>
      </c>
      <c r="C172">
        <v>9</v>
      </c>
      <c r="D172" s="1">
        <v>45901</v>
      </c>
      <c r="E172">
        <v>27210</v>
      </c>
      <c r="F172">
        <v>1140</v>
      </c>
      <c r="G172">
        <v>2277</v>
      </c>
      <c r="H172">
        <v>0.46739999999999998</v>
      </c>
      <c r="I172">
        <v>4.1896361631753032E-2</v>
      </c>
      <c r="J172">
        <v>3.78E-2</v>
      </c>
      <c r="K172">
        <v>0.26519999999999999</v>
      </c>
      <c r="L172">
        <v>0.26519999999999999</v>
      </c>
      <c r="M172">
        <v>7217</v>
      </c>
      <c r="N172">
        <v>0.24794374</v>
      </c>
    </row>
    <row r="173" spans="1:14" x14ac:dyDescent="0.35">
      <c r="A173" t="s">
        <v>56</v>
      </c>
      <c r="B173">
        <v>2025</v>
      </c>
      <c r="C173">
        <v>10</v>
      </c>
      <c r="D173" s="1">
        <v>45931</v>
      </c>
      <c r="E173">
        <v>27552</v>
      </c>
      <c r="F173">
        <v>1087</v>
      </c>
      <c r="G173">
        <v>2193</v>
      </c>
      <c r="H173">
        <v>0.4577</v>
      </c>
      <c r="I173">
        <v>3.9452671312427398E-2</v>
      </c>
      <c r="J173">
        <v>3.4700000000000002E-2</v>
      </c>
      <c r="K173">
        <v>0.25159999999999999</v>
      </c>
      <c r="L173">
        <v>0.25159999999999999</v>
      </c>
      <c r="M173">
        <v>6934</v>
      </c>
      <c r="N173">
        <v>0.24792312999999999</v>
      </c>
    </row>
    <row r="174" spans="1:14" x14ac:dyDescent="0.35">
      <c r="A174" t="s">
        <v>56</v>
      </c>
      <c r="B174">
        <v>2025</v>
      </c>
      <c r="C174">
        <v>11</v>
      </c>
      <c r="D174" s="1">
        <v>45962</v>
      </c>
      <c r="E174">
        <v>24659</v>
      </c>
      <c r="F174">
        <v>922</v>
      </c>
      <c r="G174">
        <v>1890</v>
      </c>
      <c r="H174">
        <v>0.45800000000000002</v>
      </c>
      <c r="I174">
        <v>3.7389999594468551E-2</v>
      </c>
      <c r="J174">
        <v>3.4000000000000002E-2</v>
      </c>
      <c r="K174">
        <v>0.25209999999999999</v>
      </c>
      <c r="L174">
        <v>0.25209999999999999</v>
      </c>
      <c r="M174">
        <v>6217</v>
      </c>
      <c r="N174">
        <v>0.24781734999999999</v>
      </c>
    </row>
    <row r="175" spans="1:14" x14ac:dyDescent="0.35">
      <c r="A175" t="s">
        <v>56</v>
      </c>
      <c r="B175">
        <v>2025</v>
      </c>
      <c r="C175">
        <v>12</v>
      </c>
      <c r="D175" s="1">
        <v>45992</v>
      </c>
      <c r="E175">
        <v>23911</v>
      </c>
      <c r="F175">
        <v>895</v>
      </c>
      <c r="G175">
        <v>1779</v>
      </c>
      <c r="H175">
        <v>0.45019999999999999</v>
      </c>
      <c r="I175">
        <v>3.7430471331186481E-2</v>
      </c>
      <c r="J175">
        <v>3.2899999999999999E-2</v>
      </c>
      <c r="K175">
        <v>0.2591</v>
      </c>
      <c r="L175">
        <v>0.2591</v>
      </c>
      <c r="M175">
        <v>6197</v>
      </c>
      <c r="N175">
        <v>0.24617417</v>
      </c>
    </row>
    <row r="176" spans="1:14" x14ac:dyDescent="0.35">
      <c r="A176" t="s">
        <v>56</v>
      </c>
      <c r="B176">
        <v>2026</v>
      </c>
      <c r="C176">
        <v>1</v>
      </c>
      <c r="D176" s="7">
        <v>46023</v>
      </c>
      <c r="E176">
        <v>24544</v>
      </c>
      <c r="F176">
        <v>1050</v>
      </c>
      <c r="G176">
        <v>2158</v>
      </c>
      <c r="H176">
        <v>0.4592</v>
      </c>
      <c r="I176">
        <v>4.2780312907431547E-2</v>
      </c>
      <c r="J176">
        <v>3.5900000000000001E-2</v>
      </c>
      <c r="K176">
        <v>0.28520000000000001</v>
      </c>
      <c r="L176">
        <v>0.28520000000000001</v>
      </c>
      <c r="M176">
        <v>7001</v>
      </c>
      <c r="N176">
        <v>0.25034759000000001</v>
      </c>
    </row>
    <row r="177" spans="1:14" x14ac:dyDescent="0.35">
      <c r="A177" t="s">
        <v>56</v>
      </c>
      <c r="B177">
        <v>2026</v>
      </c>
      <c r="C177">
        <v>2</v>
      </c>
      <c r="D177" s="7">
        <v>46054</v>
      </c>
      <c r="E177">
        <v>34757</v>
      </c>
      <c r="F177">
        <v>1773</v>
      </c>
      <c r="G177">
        <v>3738</v>
      </c>
      <c r="H177">
        <v>0.47760000000000002</v>
      </c>
      <c r="I177">
        <v>5.1011307074833839E-2</v>
      </c>
      <c r="J177">
        <v>4.2599999999999999E-2</v>
      </c>
      <c r="K177">
        <v>0.30520000000000003</v>
      </c>
      <c r="L177">
        <v>0.29066666666666668</v>
      </c>
      <c r="M177">
        <v>10610</v>
      </c>
      <c r="N177">
        <v>0.24958705</v>
      </c>
    </row>
    <row r="178" spans="1:14" x14ac:dyDescent="0.35">
      <c r="A178" t="s">
        <v>56</v>
      </c>
      <c r="B178">
        <v>2026</v>
      </c>
      <c r="C178">
        <v>3</v>
      </c>
      <c r="D178" s="7">
        <v>46082</v>
      </c>
      <c r="E178">
        <v>38199</v>
      </c>
      <c r="F178">
        <v>1955</v>
      </c>
      <c r="G178">
        <v>4037</v>
      </c>
      <c r="H178">
        <v>0.51129999999999998</v>
      </c>
      <c r="I178">
        <v>5.1179350244770799E-2</v>
      </c>
      <c r="J178">
        <v>3.7999999999999999E-2</v>
      </c>
      <c r="K178">
        <v>0.3397</v>
      </c>
      <c r="L178">
        <v>0.32352380952380949</v>
      </c>
      <c r="M178">
        <v>12979</v>
      </c>
      <c r="N178">
        <v>0.24827505999999999</v>
      </c>
    </row>
    <row r="179" spans="1:14" x14ac:dyDescent="0.35">
      <c r="A179" t="s">
        <v>56</v>
      </c>
      <c r="B179">
        <v>2026</v>
      </c>
      <c r="C179">
        <v>4</v>
      </c>
      <c r="D179" s="7">
        <v>46113</v>
      </c>
      <c r="E179">
        <v>33998</v>
      </c>
      <c r="F179">
        <v>1723</v>
      </c>
      <c r="G179">
        <v>3555</v>
      </c>
      <c r="H179">
        <v>0.4849</v>
      </c>
      <c r="I179">
        <v>5.0679451732454847E-2</v>
      </c>
      <c r="J179">
        <v>4.1200000000000001E-2</v>
      </c>
      <c r="K179">
        <v>0.3266</v>
      </c>
      <c r="L179">
        <v>0.3266</v>
      </c>
      <c r="M179">
        <v>11107</v>
      </c>
      <c r="N179">
        <v>0.24689394000000001</v>
      </c>
    </row>
    <row r="180" spans="1:14" x14ac:dyDescent="0.35">
      <c r="A180" t="s">
        <v>56</v>
      </c>
      <c r="B180">
        <v>2026</v>
      </c>
      <c r="C180">
        <v>5</v>
      </c>
      <c r="D180" s="7">
        <v>46143</v>
      </c>
      <c r="E180">
        <v>33295</v>
      </c>
      <c r="F180">
        <v>1530</v>
      </c>
      <c r="G180">
        <v>2498</v>
      </c>
      <c r="H180">
        <v>0.4834</v>
      </c>
      <c r="I180">
        <v>4.5952845772638529E-2</v>
      </c>
      <c r="J180">
        <v>3.7199999999999997E-2</v>
      </c>
      <c r="K180">
        <v>0.31290000000000001</v>
      </c>
      <c r="L180">
        <v>0.31290000000000001</v>
      </c>
      <c r="M180">
        <v>10426</v>
      </c>
      <c r="N180">
        <v>0.24501106</v>
      </c>
    </row>
    <row r="181" spans="1:14" x14ac:dyDescent="0.35">
      <c r="A181" t="s">
        <v>56</v>
      </c>
      <c r="B181">
        <v>2026</v>
      </c>
      <c r="C181">
        <v>6</v>
      </c>
      <c r="D181" s="7">
        <v>46174</v>
      </c>
      <c r="E181">
        <v>3084</v>
      </c>
      <c r="F181">
        <v>64</v>
      </c>
      <c r="G181">
        <v>2</v>
      </c>
      <c r="H181">
        <v>0.47010000000000002</v>
      </c>
      <c r="I181">
        <v>2.0752269779507129E-2</v>
      </c>
      <c r="J181">
        <v>3.3599999999999998E-2</v>
      </c>
      <c r="K181">
        <v>0.3075</v>
      </c>
      <c r="L181">
        <v>0.3075</v>
      </c>
      <c r="M181">
        <v>949</v>
      </c>
      <c r="N181">
        <v>0.24772704000000001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3"/>
  <sheetViews>
    <sheetView zoomScale="137" zoomScaleNormal="190" workbookViewId="0">
      <selection activeCell="O25" sqref="O25"/>
    </sheetView>
  </sheetViews>
  <sheetFormatPr defaultRowHeight="14.5" x14ac:dyDescent="0.35"/>
  <cols>
    <col min="1" max="1" width="19.81640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3</v>
      </c>
      <c r="H1" t="s">
        <v>8</v>
      </c>
      <c r="I1" t="s">
        <v>11</v>
      </c>
      <c r="J1" t="s">
        <v>12</v>
      </c>
      <c r="K1" t="s">
        <v>9</v>
      </c>
      <c r="L1" t="s">
        <v>7</v>
      </c>
      <c r="M1" t="s">
        <v>10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45931</v>
      </c>
      <c r="B2" t="s">
        <v>17</v>
      </c>
      <c r="C2">
        <v>868</v>
      </c>
      <c r="D2">
        <v>131.13000636155991</v>
      </c>
      <c r="E2">
        <v>2.3223510477820002E-2</v>
      </c>
      <c r="F2">
        <v>0.23424577841356489</v>
      </c>
      <c r="G2">
        <v>139.40503636496069</v>
      </c>
      <c r="H2">
        <v>2.27</v>
      </c>
      <c r="I2">
        <v>1.4999999999999999E-2</v>
      </c>
      <c r="J2">
        <v>4.5182E-2</v>
      </c>
      <c r="K2">
        <v>0.2310230508201441</v>
      </c>
      <c r="L2">
        <v>0.28576726362775551</v>
      </c>
      <c r="M2">
        <v>0.12588866239108171</v>
      </c>
      <c r="N2">
        <v>4.4952388429062393E-2</v>
      </c>
    </row>
    <row r="3" spans="1:17" x14ac:dyDescent="0.35">
      <c r="A3" s="1">
        <v>45931</v>
      </c>
      <c r="B3" t="s">
        <v>18</v>
      </c>
      <c r="C3">
        <v>866</v>
      </c>
      <c r="D3">
        <v>131.157369217178</v>
      </c>
      <c r="E3">
        <v>2.011506484955175E-2</v>
      </c>
      <c r="F3">
        <v>0.2355324403765372</v>
      </c>
      <c r="G3">
        <v>138.70463885255751</v>
      </c>
      <c r="H3">
        <v>2.27</v>
      </c>
      <c r="I3">
        <v>1.4999999999999999E-2</v>
      </c>
      <c r="J3">
        <v>4.5182E-2</v>
      </c>
      <c r="K3">
        <v>0.2308181205890269</v>
      </c>
      <c r="L3">
        <v>0.29031984745837619</v>
      </c>
      <c r="M3">
        <v>0.1278942059288001</v>
      </c>
      <c r="N3">
        <v>4.2741914660226768E-2</v>
      </c>
      <c r="O3" s="5">
        <v>-2.2104737688356251E-3</v>
      </c>
      <c r="P3" s="5">
        <v>1.0020875303348871</v>
      </c>
      <c r="Q3" s="5">
        <v>-2.304147465437834E-3</v>
      </c>
    </row>
    <row r="4" spans="1:17" x14ac:dyDescent="0.35">
      <c r="A4" s="1">
        <v>45962</v>
      </c>
      <c r="B4" t="s">
        <v>17</v>
      </c>
      <c r="C4">
        <v>866</v>
      </c>
      <c r="D4">
        <v>131.5578916021818</v>
      </c>
      <c r="E4">
        <v>2.6380468285925579E-2</v>
      </c>
      <c r="F4">
        <v>0.23346881703176059</v>
      </c>
      <c r="G4">
        <v>138.45441209717231</v>
      </c>
      <c r="H4">
        <v>2.27</v>
      </c>
      <c r="I4">
        <v>1.4999999999999999E-2</v>
      </c>
      <c r="J4">
        <v>4.5182E-2</v>
      </c>
      <c r="K4">
        <v>0.23171063108155199</v>
      </c>
      <c r="L4">
        <v>0.29194632136838</v>
      </c>
      <c r="M4">
        <v>0.12861071425919821</v>
      </c>
      <c r="N4">
        <v>4.2917916822353727E-2</v>
      </c>
      <c r="O4" s="5"/>
      <c r="P4" s="5"/>
      <c r="Q4" s="5"/>
    </row>
    <row r="5" spans="1:17" x14ac:dyDescent="0.35">
      <c r="A5" s="1">
        <v>45962</v>
      </c>
      <c r="B5" t="s">
        <v>18</v>
      </c>
      <c r="C5">
        <v>737</v>
      </c>
      <c r="D5">
        <v>131.73045135684549</v>
      </c>
      <c r="E5">
        <v>2.584373767820735E-2</v>
      </c>
      <c r="F5">
        <v>0.2340077542367747</v>
      </c>
      <c r="G5">
        <v>138.8492795708207</v>
      </c>
      <c r="H5">
        <v>2.27</v>
      </c>
      <c r="I5">
        <v>1.4999999999999999E-2</v>
      </c>
      <c r="J5">
        <v>4.5182E-2</v>
      </c>
      <c r="K5">
        <v>0.23196192405045171</v>
      </c>
      <c r="L5">
        <v>0.28937968278966553</v>
      </c>
      <c r="M5">
        <v>0.12748003647121831</v>
      </c>
      <c r="N5">
        <v>4.4299887579233442E-2</v>
      </c>
      <c r="O5" s="5">
        <v>1.3819707568797079E-3</v>
      </c>
      <c r="P5" s="5">
        <v>3.502247149041305E-2</v>
      </c>
      <c r="Q5" s="5">
        <v>-0.14896073903002299</v>
      </c>
    </row>
    <row r="6" spans="1:17" x14ac:dyDescent="0.35">
      <c r="A6" s="1">
        <v>45992</v>
      </c>
      <c r="B6" t="s">
        <v>17</v>
      </c>
      <c r="C6">
        <v>736</v>
      </c>
      <c r="D6">
        <v>132.0439928857588</v>
      </c>
      <c r="E6">
        <v>2.6775055846186679E-2</v>
      </c>
      <c r="F6">
        <v>0.23337526286072699</v>
      </c>
      <c r="G6">
        <v>138.01583189346499</v>
      </c>
      <c r="H6">
        <v>2.27</v>
      </c>
      <c r="I6">
        <v>1.4999999999999999E-2</v>
      </c>
      <c r="J6">
        <v>4.5182E-2</v>
      </c>
      <c r="K6">
        <v>0.23179979167582429</v>
      </c>
      <c r="L6">
        <v>0.29479709269247761</v>
      </c>
      <c r="M6">
        <v>0.12986656065747909</v>
      </c>
      <c r="N6">
        <v>4.1751231018345263E-2</v>
      </c>
      <c r="O6" s="5"/>
      <c r="P6" s="5"/>
      <c r="Q6" s="5"/>
    </row>
    <row r="7" spans="1:17" x14ac:dyDescent="0.35">
      <c r="A7" s="1">
        <v>45992</v>
      </c>
      <c r="B7" t="s">
        <v>18</v>
      </c>
      <c r="C7">
        <v>645</v>
      </c>
      <c r="D7">
        <v>131.79704647532469</v>
      </c>
      <c r="E7">
        <v>2.781357785134056E-2</v>
      </c>
      <c r="F7">
        <v>0.23669230076943401</v>
      </c>
      <c r="G7">
        <v>138.4143140917522</v>
      </c>
      <c r="H7">
        <v>2.27</v>
      </c>
      <c r="I7">
        <v>1.4999999999999999E-2</v>
      </c>
      <c r="J7">
        <v>4.5182E-2</v>
      </c>
      <c r="K7">
        <v>0.23525920966388861</v>
      </c>
      <c r="L7">
        <v>0.29220695840361072</v>
      </c>
      <c r="M7">
        <v>0.12872553233639239</v>
      </c>
      <c r="N7">
        <v>4.6351677327496253E-2</v>
      </c>
      <c r="O7" s="5">
        <v>4.6004463091509906E-3</v>
      </c>
      <c r="P7" s="5">
        <v>9.1436720139234026E-3</v>
      </c>
      <c r="Q7" s="5">
        <v>-0.12364130434782609</v>
      </c>
    </row>
    <row r="8" spans="1:17" x14ac:dyDescent="0.35">
      <c r="A8" s="1">
        <v>46023</v>
      </c>
      <c r="B8" t="s">
        <v>17</v>
      </c>
      <c r="C8">
        <v>747</v>
      </c>
      <c r="D8">
        <v>131.9857637998897</v>
      </c>
      <c r="E8">
        <v>2.6516597260557578E-2</v>
      </c>
      <c r="F8">
        <v>0.23562504679177451</v>
      </c>
      <c r="G8">
        <v>138.86053344385749</v>
      </c>
      <c r="H8">
        <v>2.27</v>
      </c>
      <c r="I8">
        <v>1.4999999999999999E-2</v>
      </c>
      <c r="J8">
        <v>4.5182E-2</v>
      </c>
      <c r="K8">
        <v>0.23372198772565611</v>
      </c>
      <c r="L8">
        <v>0.28930653261492628</v>
      </c>
      <c r="M8">
        <v>0.12744781172463721</v>
      </c>
      <c r="N8">
        <v>4.6092176001018989E-2</v>
      </c>
      <c r="O8" s="5"/>
      <c r="P8" s="5"/>
      <c r="Q8" s="5"/>
    </row>
    <row r="9" spans="1:17" x14ac:dyDescent="0.35">
      <c r="A9" s="1">
        <v>46023</v>
      </c>
      <c r="B9" t="s">
        <v>18</v>
      </c>
      <c r="C9">
        <v>681</v>
      </c>
      <c r="D9">
        <v>132.97236877299881</v>
      </c>
      <c r="E9">
        <v>2.4010117065048749E-2</v>
      </c>
      <c r="F9">
        <v>0.2355116666223219</v>
      </c>
      <c r="G9">
        <v>140.39125086865801</v>
      </c>
      <c r="H9">
        <v>2.27</v>
      </c>
      <c r="I9">
        <v>1.4999999999999999E-2</v>
      </c>
      <c r="J9">
        <v>4.5182E-2</v>
      </c>
      <c r="K9">
        <v>0.23251520237472059</v>
      </c>
      <c r="L9">
        <v>0.279356869353723</v>
      </c>
      <c r="M9">
        <v>0.1230647001558251</v>
      </c>
      <c r="N9">
        <v>4.9268502218895498E-2</v>
      </c>
      <c r="O9" s="5">
        <v>3.176326217876516E-3</v>
      </c>
      <c r="P9" s="5">
        <v>1.33182645711113E-2</v>
      </c>
      <c r="Q9" s="5">
        <v>-8.8353413654618462E-2</v>
      </c>
    </row>
    <row r="10" spans="1:17" x14ac:dyDescent="0.35">
      <c r="A10" s="1">
        <v>46054</v>
      </c>
      <c r="B10" t="s">
        <v>17</v>
      </c>
      <c r="C10">
        <v>1479</v>
      </c>
      <c r="D10">
        <v>133.55130650635201</v>
      </c>
      <c r="E10">
        <v>2.437752221529647E-2</v>
      </c>
      <c r="F10">
        <v>0.23187248455793261</v>
      </c>
      <c r="G10">
        <v>139.58056967427771</v>
      </c>
      <c r="H10">
        <v>2.27</v>
      </c>
      <c r="I10">
        <v>1.4999999999999999E-2</v>
      </c>
      <c r="J10">
        <v>4.5182E-2</v>
      </c>
      <c r="K10">
        <v>0.22938359509554421</v>
      </c>
      <c r="L10">
        <v>0.29978185261719492</v>
      </c>
      <c r="M10">
        <v>0.1320624901397334</v>
      </c>
      <c r="N10">
        <v>3.7139104955810728E-2</v>
      </c>
      <c r="O10" s="5"/>
      <c r="P10" s="5"/>
      <c r="Q10" s="5"/>
    </row>
    <row r="11" spans="1:17" x14ac:dyDescent="0.35">
      <c r="A11" s="1">
        <v>46054</v>
      </c>
      <c r="B11" t="s">
        <v>18</v>
      </c>
      <c r="C11">
        <v>1355</v>
      </c>
      <c r="D11">
        <v>133.91974567114161</v>
      </c>
      <c r="E11">
        <v>2.5867924351805831E-2</v>
      </c>
      <c r="F11">
        <v>0.2309576491818098</v>
      </c>
      <c r="G11">
        <v>140.71197404674871</v>
      </c>
      <c r="H11">
        <v>2.27</v>
      </c>
      <c r="I11">
        <v>1.4999999999999999E-2</v>
      </c>
      <c r="J11">
        <v>4.5182E-2</v>
      </c>
      <c r="K11">
        <v>0.22921223389799861</v>
      </c>
      <c r="L11">
        <v>0.29242772419613339</v>
      </c>
      <c r="M11">
        <v>0.1288227859894861</v>
      </c>
      <c r="N11">
        <v>4.0207447908512509E-2</v>
      </c>
      <c r="O11" s="5">
        <v>3.0683429527017798E-3</v>
      </c>
      <c r="P11" s="5">
        <v>3.6100347871743151E-3</v>
      </c>
      <c r="Q11" s="5">
        <v>-8.3840432724814118E-2</v>
      </c>
    </row>
    <row r="12" spans="1:17" x14ac:dyDescent="0.35">
      <c r="A12" s="1">
        <v>46082</v>
      </c>
      <c r="B12" t="s">
        <v>17</v>
      </c>
      <c r="C12">
        <v>1853</v>
      </c>
      <c r="D12">
        <v>134.6316433870565</v>
      </c>
      <c r="E12">
        <v>1.8685175991965789E-2</v>
      </c>
      <c r="F12">
        <v>0.2251793925760206</v>
      </c>
      <c r="G12">
        <v>141.96902399153291</v>
      </c>
      <c r="H12">
        <v>2.27</v>
      </c>
      <c r="I12">
        <v>1.4999999999999999E-2</v>
      </c>
      <c r="J12">
        <v>4.3951999999999998E-2</v>
      </c>
      <c r="K12">
        <v>0.22081870534383871</v>
      </c>
      <c r="L12">
        <v>0.28425689955503608</v>
      </c>
      <c r="M12">
        <v>0.12522330376873839</v>
      </c>
      <c r="N12">
        <v>3.66434015751003E-2</v>
      </c>
      <c r="O12" s="5"/>
      <c r="P12" s="5"/>
      <c r="Q12" s="5"/>
    </row>
    <row r="13" spans="1:17" x14ac:dyDescent="0.35">
      <c r="A13" s="1">
        <v>46082</v>
      </c>
      <c r="B13" t="s">
        <v>18</v>
      </c>
      <c r="C13">
        <v>1744</v>
      </c>
      <c r="D13">
        <v>134.91923205366999</v>
      </c>
      <c r="E13">
        <v>1.8794106625130091E-2</v>
      </c>
      <c r="F13">
        <v>0.22640582614578569</v>
      </c>
      <c r="G13">
        <v>142.89846481096811</v>
      </c>
      <c r="H13">
        <v>2.27</v>
      </c>
      <c r="I13">
        <v>1.4999999999999999E-2</v>
      </c>
      <c r="J13">
        <v>4.3951999999999998E-2</v>
      </c>
      <c r="K13">
        <v>0.22197661478754399</v>
      </c>
      <c r="L13">
        <v>0.27821553422870732</v>
      </c>
      <c r="M13">
        <v>0.1225619093518534</v>
      </c>
      <c r="N13">
        <v>4.0462705435690548E-2</v>
      </c>
      <c r="O13" s="5">
        <v>3.819303860590248E-3</v>
      </c>
      <c r="P13" s="5">
        <v>-2.4465460194343609E-2</v>
      </c>
      <c r="Q13" s="5">
        <v>-5.8823529411764719E-2</v>
      </c>
    </row>
    <row r="14" spans="1:17" x14ac:dyDescent="0.35">
      <c r="A14" s="1">
        <v>46113</v>
      </c>
      <c r="B14" t="s">
        <v>17</v>
      </c>
      <c r="C14">
        <v>1185</v>
      </c>
      <c r="D14">
        <v>135.34261469317011</v>
      </c>
      <c r="E14">
        <v>1.683313711533654E-2</v>
      </c>
      <c r="F14">
        <v>0.22700951651154239</v>
      </c>
      <c r="G14">
        <v>144.27564859496891</v>
      </c>
      <c r="H14">
        <v>2.27</v>
      </c>
      <c r="I14">
        <v>1.4999999999999999E-2</v>
      </c>
      <c r="J14">
        <v>5.0102000000000001E-2</v>
      </c>
      <c r="K14">
        <v>0.22165909134838049</v>
      </c>
      <c r="L14">
        <v>0.24954568004489011</v>
      </c>
      <c r="M14">
        <v>0.1099320176409207</v>
      </c>
      <c r="N14">
        <v>4.6625073707459733E-2</v>
      </c>
      <c r="O14" s="5"/>
      <c r="P14" s="5"/>
      <c r="Q14" s="5"/>
    </row>
    <row r="15" spans="1:17" x14ac:dyDescent="0.35">
      <c r="A15" s="1">
        <v>46113</v>
      </c>
      <c r="B15" t="s">
        <v>18</v>
      </c>
      <c r="C15">
        <v>1347</v>
      </c>
      <c r="D15">
        <v>135.64129287881229</v>
      </c>
      <c r="E15">
        <v>1.6581170720980139E-2</v>
      </c>
      <c r="F15">
        <v>0.22600645507412709</v>
      </c>
      <c r="G15">
        <v>144.99093005433789</v>
      </c>
      <c r="H15">
        <v>2.27</v>
      </c>
      <c r="I15">
        <v>1.4999999999999999E-2</v>
      </c>
      <c r="J15">
        <v>5.0102000000000001E-2</v>
      </c>
      <c r="K15">
        <v>0.22064032233590891</v>
      </c>
      <c r="L15">
        <v>0.2448963505589917</v>
      </c>
      <c r="M15">
        <v>0.10788385487180251</v>
      </c>
      <c r="N15">
        <v>4.765446746410635E-2</v>
      </c>
      <c r="O15" s="5">
        <v>1.029393756646624E-3</v>
      </c>
      <c r="P15" s="5">
        <v>5.5184292165502927E-2</v>
      </c>
      <c r="Q15" s="5">
        <v>0.13670886075949371</v>
      </c>
    </row>
    <row r="16" spans="1:17" x14ac:dyDescent="0.35">
      <c r="A16" s="1">
        <v>46143</v>
      </c>
      <c r="B16" t="s">
        <v>17</v>
      </c>
      <c r="C16">
        <v>673</v>
      </c>
      <c r="D16">
        <v>136.385532485857</v>
      </c>
      <c r="E16">
        <v>1.756035441868763E-2</v>
      </c>
      <c r="F16">
        <v>0.2229263146296144</v>
      </c>
      <c r="G16">
        <v>147.04018591338149</v>
      </c>
      <c r="H16">
        <v>2.27</v>
      </c>
      <c r="I16">
        <v>1.4999999999999999E-2</v>
      </c>
      <c r="J16">
        <v>4.7232000000000003E-2</v>
      </c>
      <c r="K16">
        <v>0.21828415369076479</v>
      </c>
      <c r="L16">
        <v>0.23943879156302031</v>
      </c>
      <c r="M16">
        <v>0.10547964386036141</v>
      </c>
      <c r="N16">
        <v>5.0572509830403421E-2</v>
      </c>
      <c r="O16" s="5"/>
      <c r="P16" s="5"/>
      <c r="Q16" s="5"/>
    </row>
    <row r="17" spans="1:17" x14ac:dyDescent="0.35">
      <c r="A17" s="1">
        <v>46143</v>
      </c>
      <c r="B17" t="s">
        <v>18</v>
      </c>
      <c r="C17">
        <v>695</v>
      </c>
      <c r="D17">
        <v>136.4380549774481</v>
      </c>
      <c r="E17">
        <v>1.7356568679715981E-2</v>
      </c>
      <c r="F17">
        <v>0.22512412061176479</v>
      </c>
      <c r="G17">
        <v>147.8483243429497</v>
      </c>
      <c r="H17">
        <v>2.27</v>
      </c>
      <c r="I17">
        <v>1.4999999999999999E-2</v>
      </c>
      <c r="J17">
        <v>4.7232000000000003E-2</v>
      </c>
      <c r="K17">
        <v>0.22018339465131939</v>
      </c>
      <c r="L17">
        <v>0.23418589177082699</v>
      </c>
      <c r="M17">
        <v>0.10316559108847</v>
      </c>
      <c r="N17">
        <v>5.4785803562849393E-2</v>
      </c>
      <c r="O17" s="5">
        <v>4.2132937324459718E-3</v>
      </c>
      <c r="P17" s="5">
        <v>0.18367428910540101</v>
      </c>
      <c r="Q17" s="5">
        <v>3.2689450222882721E-2</v>
      </c>
    </row>
    <row r="19" spans="1:17" x14ac:dyDescent="0.35">
      <c r="N19">
        <f>AVERAGE(N16:N17)</f>
        <v>5.2679156696626407E-2</v>
      </c>
    </row>
    <row r="20" spans="1:17" x14ac:dyDescent="0.35">
      <c r="B20" t="s">
        <v>66</v>
      </c>
      <c r="C20">
        <f>SUM(C16:C17)</f>
        <v>1368</v>
      </c>
      <c r="N20">
        <f>AVERAGE(N14:N15)</f>
        <v>4.7139770585783045E-2</v>
      </c>
      <c r="O20" s="4">
        <f>AVERAGE(O13:O17)</f>
        <v>3.0206637832276145E-3</v>
      </c>
      <c r="P20" s="4">
        <f>AVERAGE(P13:P17)</f>
        <v>7.1464373692186778E-2</v>
      </c>
      <c r="Q20" s="4">
        <f>AVERAGE(Q13:Q17)</f>
        <v>3.6858260523537238E-2</v>
      </c>
    </row>
    <row r="21" spans="1:17" x14ac:dyDescent="0.35">
      <c r="B21" t="s">
        <v>24</v>
      </c>
      <c r="C21">
        <f>SUM(C14:C15)</f>
        <v>2532</v>
      </c>
      <c r="D21">
        <f>C20/C21-1</f>
        <v>-0.45971563981042651</v>
      </c>
      <c r="N21" s="6">
        <f>N19-N20</f>
        <v>5.5393861108433626E-3</v>
      </c>
      <c r="O21" s="4">
        <f>AVERAGE(O7:O11)</f>
        <v>3.6150384932430953E-3</v>
      </c>
      <c r="P21" s="4">
        <f>AVERAGE(P7:P11)</f>
        <v>8.6906571240696739E-3</v>
      </c>
      <c r="Q21" s="4">
        <f>AVERAGE(Q7:Q11)</f>
        <v>-9.8611716909086225E-2</v>
      </c>
    </row>
    <row r="23" spans="1:17" x14ac:dyDescent="0.35">
      <c r="O23" s="4">
        <f>AVERAGE(O5:O13)</f>
        <v>3.2092780194398485E-3</v>
      </c>
      <c r="P23" s="4">
        <f>AVERAGE(P5:P13)</f>
        <v>7.3257965336556933E-3</v>
      </c>
      <c r="Q23" s="4">
        <f>AVERAGE(Q5:Q13)</f>
        <v>-0.10072388383380929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"/>
  <sheetViews>
    <sheetView zoomScale="190" zoomScaleNormal="190" workbookViewId="0">
      <selection activeCell="F21" sqref="F21"/>
    </sheetView>
  </sheetViews>
  <sheetFormatPr defaultRowHeight="14.5" x14ac:dyDescent="0.35"/>
  <cols>
    <col min="1" max="1" width="17.81640625" bestFit="1" customWidth="1"/>
    <col min="5" max="5" width="9.7265625" customWidth="1"/>
  </cols>
  <sheetData>
    <row r="1" spans="1:6" x14ac:dyDescent="0.35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35">
      <c r="A2" s="1">
        <v>45931</v>
      </c>
      <c r="B2">
        <v>47550</v>
      </c>
      <c r="C2">
        <v>20907</v>
      </c>
      <c r="D2">
        <v>1656</v>
      </c>
      <c r="E2">
        <v>0.43968454258675083</v>
      </c>
      <c r="F2">
        <v>7.9207920792079195E-2</v>
      </c>
    </row>
    <row r="3" spans="1:6" x14ac:dyDescent="0.35">
      <c r="A3" s="1">
        <v>45962</v>
      </c>
      <c r="B3">
        <v>51236</v>
      </c>
      <c r="C3">
        <v>21291</v>
      </c>
      <c r="D3">
        <v>1555</v>
      </c>
      <c r="E3">
        <v>0.41554766180029667</v>
      </c>
      <c r="F3">
        <v>7.3035554929312851E-2</v>
      </c>
    </row>
    <row r="4" spans="1:6" x14ac:dyDescent="0.35">
      <c r="A4" s="1">
        <v>45992</v>
      </c>
      <c r="B4">
        <v>50690</v>
      </c>
      <c r="C4">
        <v>19824</v>
      </c>
      <c r="D4">
        <v>1344</v>
      </c>
      <c r="E4">
        <v>0.3910830538567765</v>
      </c>
      <c r="F4">
        <v>6.7796610169491525E-2</v>
      </c>
    </row>
    <row r="5" spans="1:6" x14ac:dyDescent="0.35">
      <c r="A5" s="1">
        <v>46023</v>
      </c>
      <c r="B5">
        <v>52390</v>
      </c>
      <c r="C5">
        <v>21436</v>
      </c>
      <c r="D5">
        <v>1405</v>
      </c>
      <c r="E5">
        <v>0.40916205382706622</v>
      </c>
      <c r="F5">
        <v>6.5543944765814516E-2</v>
      </c>
    </row>
    <row r="6" spans="1:6" x14ac:dyDescent="0.35">
      <c r="A6" s="1">
        <v>46054</v>
      </c>
      <c r="B6">
        <v>64802</v>
      </c>
      <c r="C6">
        <v>31514</v>
      </c>
      <c r="D6">
        <v>2794</v>
      </c>
      <c r="E6">
        <v>0.48631215085954138</v>
      </c>
      <c r="F6">
        <v>8.8659008694548444E-2</v>
      </c>
    </row>
    <row r="7" spans="1:6" x14ac:dyDescent="0.35">
      <c r="A7" s="1">
        <v>46082</v>
      </c>
      <c r="B7">
        <v>78869</v>
      </c>
      <c r="C7">
        <v>38429</v>
      </c>
      <c r="D7">
        <v>3543</v>
      </c>
      <c r="E7">
        <v>0.48725101117042191</v>
      </c>
      <c r="F7">
        <v>9.2195997814150776E-2</v>
      </c>
    </row>
    <row r="8" spans="1:6" x14ac:dyDescent="0.35">
      <c r="A8" s="1">
        <v>46113</v>
      </c>
      <c r="B8">
        <v>66010</v>
      </c>
      <c r="C8">
        <v>29642</v>
      </c>
      <c r="D8">
        <v>2496</v>
      </c>
      <c r="E8">
        <v>0.44905317376155129</v>
      </c>
      <c r="F8">
        <v>8.4204844477430665E-2</v>
      </c>
    </row>
    <row r="9" spans="1:6" x14ac:dyDescent="0.35">
      <c r="A9" s="1">
        <v>46143</v>
      </c>
      <c r="B9">
        <v>63709</v>
      </c>
      <c r="C9">
        <v>26834</v>
      </c>
      <c r="D9">
        <v>1343</v>
      </c>
      <c r="E9" s="5">
        <v>0.42119637727793557</v>
      </c>
      <c r="F9" s="5">
        <v>5.0048446001341583E-2</v>
      </c>
    </row>
    <row r="10" spans="1:6" x14ac:dyDescent="0.35">
      <c r="A10" s="1"/>
    </row>
    <row r="11" spans="1:6" x14ac:dyDescent="0.35">
      <c r="E11" s="5">
        <f>AVERAGE(E7:E9)</f>
        <v>0.45250018740330294</v>
      </c>
      <c r="F11" s="5">
        <f>AVERAGE(F7:F9)</f>
        <v>7.5483096097641006E-2</v>
      </c>
    </row>
    <row r="12" spans="1:6" x14ac:dyDescent="0.35">
      <c r="E12" s="5">
        <f>AVERAGE(E4:E6)</f>
        <v>0.4288524195144614</v>
      </c>
      <c r="F12" s="5">
        <f>AVERAGE(F4:F6)</f>
        <v>7.3999854543284838E-2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KMX-mmroa</vt:lpstr>
      <vt:lpstr>T1 KMX</vt:lpstr>
      <vt:lpstr>FLD-mmroa</vt:lpstr>
      <vt:lpstr>T1 FLD</vt:lpstr>
      <vt:lpstr>FRN-mmroa</vt:lpstr>
      <vt:lpstr>T1 FRN</vt:lpstr>
      <vt:lpstr>ENT-mmroa</vt:lpstr>
      <vt:lpstr>T1 ENT</vt:lpstr>
      <vt:lpstr>STG-mmroa</vt:lpstr>
      <vt:lpstr>T1 STG</vt:lpstr>
      <vt:lpstr>AN-mmroa</vt:lpstr>
      <vt:lpstr>T1 AN</vt:lpstr>
      <vt:lpstr>T1 STE</vt:lpstr>
      <vt:lpstr>Conversion by LOB</vt:lpstr>
      <vt:lpstr>Full Call by LOB</vt:lpstr>
      <vt:lpstr>STE-mmroa</vt:lpstr>
      <vt:lpstr>STE-conversion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2026-05-29T20:14:24Z</dcterms:created>
  <dcterms:modified xsi:type="dcterms:W3CDTF">2026-06-12T14:38:29Z</dcterms:modified>
</cp:coreProperties>
</file>