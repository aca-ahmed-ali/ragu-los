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hmed.ali\ragu-los\RAGU LOS\misc\"/>
    </mc:Choice>
  </mc:AlternateContent>
  <xr:revisionPtr revIDLastSave="0" documentId="13_ncr:1_{AFB59956-7539-4CC4-A56E-7F7CCD32CE35}" xr6:coauthVersionLast="47" xr6:coauthVersionMax="47" xr10:uidLastSave="{00000000-0000-0000-0000-000000000000}"/>
  <bookViews>
    <workbookView xWindow="-110" yWindow="-110" windowWidth="19420" windowHeight="11500" activeTab="8" xr2:uid="{00000000-000D-0000-FFFF-FFFF00000000}"/>
  </bookViews>
  <sheets>
    <sheet name="STE Mult Steps" sheetId="1" r:id="rId1"/>
    <sheet name="STE Flags" sheetId="2" r:id="rId2"/>
    <sheet name="STE Attribution" sheetId="3" r:id="rId3"/>
    <sheet name="Downcredit Mult Steps" sheetId="4" r:id="rId4"/>
    <sheet name="Downcredit Flags" sheetId="5" r:id="rId5"/>
    <sheet name="Downcredit Attribution" sheetId="6" r:id="rId6"/>
    <sheet name="Upcredit Mult Steps" sheetId="7" r:id="rId7"/>
    <sheet name="Upcredit Flags" sheetId="8" r:id="rId8"/>
    <sheet name="Upcredit Attribution" sheetId="9" r:id="rId9"/>
    <sheet name="Summary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5" l="1"/>
  <c r="I3" i="5"/>
  <c r="I4" i="5"/>
  <c r="I5" i="5"/>
  <c r="I6" i="5"/>
  <c r="I7" i="5"/>
  <c r="I8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" i="5"/>
</calcChain>
</file>

<file path=xl/sharedStrings.xml><?xml version="1.0" encoding="utf-8"?>
<sst xmlns="http://schemas.openxmlformats.org/spreadsheetml/2006/main" count="282" uniqueCount="101">
  <si>
    <t>STE | 2026 M03</t>
  </si>
  <si>
    <t>STE | 2026 M04</t>
  </si>
  <si>
    <t>STE | 2026 M05</t>
  </si>
  <si>
    <t>STE | 2026 M06</t>
  </si>
  <si>
    <t>STE | 2026 M07</t>
  </si>
  <si>
    <t>STE | 2026 M08</t>
  </si>
  <si>
    <t>00_initial</t>
  </si>
  <si>
    <t>01_prev_aca_chargeoff</t>
  </si>
  <si>
    <t>02_small_amt_financed</t>
  </si>
  <si>
    <t>03_zero_cash_down</t>
  </si>
  <si>
    <t>04_high_mileage</t>
  </si>
  <si>
    <t>05_high_pti</t>
  </si>
  <si>
    <t>06_car_make</t>
  </si>
  <si>
    <t>07_theft_risk</t>
  </si>
  <si>
    <t>08_mcy_low_mileage</t>
  </si>
  <si>
    <t>09_weekend_weekday</t>
  </si>
  <si>
    <t>10_student_loans</t>
  </si>
  <si>
    <t>11_low_pti</t>
  </si>
  <si>
    <t>12_chime</t>
  </si>
  <si>
    <t>13_employment_type</t>
  </si>
  <si>
    <t>14_auth_tradelines</t>
  </si>
  <si>
    <t>15_fraud</t>
  </si>
  <si>
    <t>16_driver_flag</t>
  </si>
  <si>
    <t>17_pricing_scalar</t>
  </si>
  <si>
    <t>18_final</t>
  </si>
  <si>
    <t>--- FINAL_MULT (mean)</t>
  </si>
  <si>
    <t>--- WTD_MULT_RAGU</t>
  </si>
  <si>
    <t>--- GROSS_LOSS_IMPACT</t>
  </si>
  <si>
    <t>--- N_RECORDS</t>
  </si>
  <si>
    <t>prev_co_flag</t>
  </si>
  <si>
    <t>small_amt_financed_flag</t>
  </si>
  <si>
    <t>pricing_change_flag</t>
  </si>
  <si>
    <t>zero_cash_down_flag</t>
  </si>
  <si>
    <t>high_mileage_vehicle_flag</t>
  </si>
  <si>
    <t>high_pti_flag</t>
  </si>
  <si>
    <t>car_make_penalty_flag</t>
  </si>
  <si>
    <t>car_make_benefit_flag</t>
  </si>
  <si>
    <t>theft_risk_flag</t>
  </si>
  <si>
    <t>mcy_low_mileage_flag</t>
  </si>
  <si>
    <t>weekend_flag</t>
  </si>
  <si>
    <t>weekday_flag</t>
  </si>
  <si>
    <t>student_loan_flag</t>
  </si>
  <si>
    <t>student_loans_cutoff_date</t>
  </si>
  <si>
    <t>low_pti_flag</t>
  </si>
  <si>
    <t>nonkmx_chime_flag</t>
  </si>
  <si>
    <t>seasonal_employment_pct</t>
  </si>
  <si>
    <t>waiter_employment_pct</t>
  </si>
  <si>
    <t>nonkmx_auth_tradelines_flag</t>
  </si>
  <si>
    <t>fraud_adjustment_mean</t>
  </si>
  <si>
    <t>driver_flag</t>
  </si>
  <si>
    <t>pricing_scalar_mean</t>
  </si>
  <si>
    <t>Previous ACA Chargeoff</t>
  </si>
  <si>
    <t>Small Amount Financed</t>
  </si>
  <si>
    <t>Zero Cash Down</t>
  </si>
  <si>
    <t>High Mileage Vehicle</t>
  </si>
  <si>
    <t>High PTI</t>
  </si>
  <si>
    <t>Car Make</t>
  </si>
  <si>
    <t>Theft Risk</t>
  </si>
  <si>
    <t>MCY Low Mileage</t>
  </si>
  <si>
    <t>Weekend / Weekday</t>
  </si>
  <si>
    <t>Student Loans</t>
  </si>
  <si>
    <t>Low PTI</t>
  </si>
  <si>
    <t>Chime / Secured Credit</t>
  </si>
  <si>
    <t>Employment Type</t>
  </si>
  <si>
    <t>Authorized Tradelines</t>
  </si>
  <si>
    <t>Fraud Adjustment</t>
  </si>
  <si>
    <t>Driver Flag</t>
  </si>
  <si>
    <t>Dealer Level (Pricing Scalar)</t>
  </si>
  <si>
    <t>Final Clip</t>
  </si>
  <si>
    <t>--- TOTAL (check)</t>
  </si>
  <si>
    <t>Category</t>
  </si>
  <si>
    <t>Latest Vintage</t>
  </si>
  <si>
    <t>Contract MS</t>
  </si>
  <si>
    <t>Gross Loss Impact</t>
  </si>
  <si>
    <t>Recovery Impact</t>
  </si>
  <si>
    <t>LTV Impact</t>
  </si>
  <si>
    <t>APR Impact</t>
  </si>
  <si>
    <t>RAGU Score</t>
  </si>
  <si>
    <t>LTV</t>
  </si>
  <si>
    <t>Loss Multiplier</t>
  </si>
  <si>
    <t>STE</t>
  </si>
  <si>
    <t>2026 M08</t>
  </si>
  <si>
    <t>Downcredit</t>
  </si>
  <si>
    <t>Upcredit</t>
  </si>
  <si>
    <t>emerging has more zero cash down deals, higher chime, higher PTI, and less Toyota/Hondas</t>
  </si>
  <si>
    <t>1) Credit Scores</t>
  </si>
  <si>
    <t>2) Investment</t>
  </si>
  <si>
    <t>3) Affordability</t>
  </si>
  <si>
    <t>4) Vehicle</t>
  </si>
  <si>
    <t>Example</t>
  </si>
  <si>
    <t>Vantage</t>
  </si>
  <si>
    <t>Cash Down</t>
  </si>
  <si>
    <t>Payment-to-Income</t>
  </si>
  <si>
    <t>Age of Car</t>
  </si>
  <si>
    <t>Age</t>
  </si>
  <si>
    <t>Mileage</t>
  </si>
  <si>
    <t>Impact</t>
  </si>
  <si>
    <t>Decides Immediate Depreciation</t>
  </si>
  <si>
    <t>Decides Annual Depreciation</t>
  </si>
  <si>
    <t>What decides Default?</t>
  </si>
  <si>
    <t>What decides Recovery?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</si>
</sst>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"/>
    <numFmt numFmtId="167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9" fontId="0" fillId="0" borderId="0" xfId="1" applyFont="1"/>
    <xf numFmtId="166" fontId="0" fillId="0" borderId="0" xfId="0" applyNumberFormat="1"/>
    <xf numFmtId="9" fontId="0" fillId="2" borderId="0" xfId="1" applyFont="1" applyFill="1"/>
    <xf numFmtId="9" fontId="0" fillId="0" borderId="0" xfId="0" applyNumberFormat="1"/>
    <xf numFmtId="0" fontId="0" fillId="3" borderId="0" xfId="0" applyFill="1"/>
    <xf numFmtId="167" fontId="0" fillId="0" borderId="0" xfId="0" applyNumberFormat="1"/>
    <xf numFmtId="167" fontId="0" fillId="3" borderId="0" xfId="0" applyNumberFormat="1" applyFill="1"/>
    <xf numFmtId="0" fontId="2" fillId="4" borderId="0" xfId="0" applyFont="1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5" borderId="4" xfId="0" applyFont="1" applyFill="1" applyBorder="1"/>
    <xf numFmtId="0" fontId="2" fillId="4" borderId="1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topLeftCell="A2" zoomScale="235" zoomScaleNormal="235" workbookViewId="0">
      <selection activeCell="M10" sqref="M10"/>
    </sheetView>
  </sheetViews>
  <sheetFormatPr defaultRowHeight="14.5" x14ac:dyDescent="0.35"/>
  <sheetData>
    <row r="1" spans="1:7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5">
      <c r="A2" t="s">
        <v>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 x14ac:dyDescent="0.35">
      <c r="A3" t="s">
        <v>7</v>
      </c>
      <c r="B3">
        <v>1.002437731849497</v>
      </c>
      <c r="C3">
        <v>1.001942421089143</v>
      </c>
      <c r="D3">
        <v>1.0017619047619051</v>
      </c>
      <c r="E3">
        <v>1.0018703784254019</v>
      </c>
      <c r="F3">
        <v>1.001556662515567</v>
      </c>
      <c r="G3">
        <v>1.00174717368962</v>
      </c>
    </row>
    <row r="4" spans="1:7" x14ac:dyDescent="0.35">
      <c r="A4" t="s">
        <v>8</v>
      </c>
      <c r="B4">
        <v>1.002437731849497</v>
      </c>
      <c r="C4">
        <v>1.001942421089143</v>
      </c>
      <c r="D4">
        <v>1.0017619047619051</v>
      </c>
      <c r="E4">
        <v>1.0018703784254019</v>
      </c>
      <c r="F4">
        <v>1.001556662515567</v>
      </c>
      <c r="G4">
        <v>1.00174717368962</v>
      </c>
    </row>
    <row r="5" spans="1:7" x14ac:dyDescent="0.35">
      <c r="A5" t="s">
        <v>9</v>
      </c>
      <c r="B5">
        <v>1.002437731849497</v>
      </c>
      <c r="C5">
        <v>1.001942421089143</v>
      </c>
      <c r="D5">
        <v>1.0017619047619051</v>
      </c>
      <c r="E5">
        <v>1.0018703784254019</v>
      </c>
      <c r="F5">
        <v>1.001556662515567</v>
      </c>
      <c r="G5">
        <v>1.00174717368962</v>
      </c>
    </row>
    <row r="6" spans="1:7" x14ac:dyDescent="0.35">
      <c r="A6" t="s">
        <v>10</v>
      </c>
      <c r="B6">
        <v>1.0037387387387391</v>
      </c>
      <c r="C6">
        <v>1.00309053069719</v>
      </c>
      <c r="D6">
        <v>1.0023333333333331</v>
      </c>
      <c r="E6">
        <v>1.0027446715963459</v>
      </c>
      <c r="F6">
        <v>1.002366127023661</v>
      </c>
      <c r="G6">
        <v>1.002363823227133</v>
      </c>
    </row>
    <row r="7" spans="1:7" x14ac:dyDescent="0.35">
      <c r="A7" t="s">
        <v>11</v>
      </c>
      <c r="B7">
        <v>1.0037387387387391</v>
      </c>
      <c r="C7">
        <v>1.00309053069719</v>
      </c>
      <c r="D7">
        <v>1.0023333333333331</v>
      </c>
      <c r="E7">
        <v>1.0027446715963459</v>
      </c>
      <c r="F7">
        <v>1.002366127023661</v>
      </c>
      <c r="G7">
        <v>1.002363823227133</v>
      </c>
    </row>
    <row r="8" spans="1:7" x14ac:dyDescent="0.35">
      <c r="A8" t="s">
        <v>12</v>
      </c>
      <c r="B8">
        <v>0.9967276099629041</v>
      </c>
      <c r="C8">
        <v>0.99579604578563985</v>
      </c>
      <c r="D8">
        <v>0.99455238095238097</v>
      </c>
      <c r="E8">
        <v>0.99262287951283168</v>
      </c>
      <c r="F8">
        <v>0.99409090909090925</v>
      </c>
      <c r="G8">
        <v>0.99328879753340182</v>
      </c>
    </row>
    <row r="9" spans="1:7" x14ac:dyDescent="0.35">
      <c r="A9" t="s">
        <v>13</v>
      </c>
      <c r="B9">
        <v>0.9967276099629041</v>
      </c>
      <c r="C9">
        <v>0.99579604578563985</v>
      </c>
      <c r="D9">
        <v>0.99455238095238097</v>
      </c>
      <c r="E9">
        <v>0.99262287951283168</v>
      </c>
      <c r="F9">
        <v>0.99409090909090925</v>
      </c>
      <c r="G9">
        <v>0.99328879753340182</v>
      </c>
    </row>
    <row r="10" spans="1:7" x14ac:dyDescent="0.35">
      <c r="A10" t="s">
        <v>14</v>
      </c>
      <c r="B10">
        <v>0.9967276099629041</v>
      </c>
      <c r="C10">
        <v>0.99579604578563985</v>
      </c>
      <c r="D10">
        <v>0.99455238095238097</v>
      </c>
      <c r="E10">
        <v>0.99262287951283168</v>
      </c>
      <c r="F10">
        <v>0.99409090909090925</v>
      </c>
      <c r="G10">
        <v>0.99328879753340182</v>
      </c>
    </row>
    <row r="11" spans="1:7" x14ac:dyDescent="0.35">
      <c r="A11" t="s">
        <v>15</v>
      </c>
      <c r="B11">
        <v>0.99816465288818212</v>
      </c>
      <c r="C11">
        <v>0.9976838709677418</v>
      </c>
      <c r="D11">
        <v>0.99714076190476175</v>
      </c>
      <c r="E11">
        <v>0.99132675076120047</v>
      </c>
      <c r="F11">
        <v>0.99462465753424634</v>
      </c>
      <c r="G11">
        <v>0.99201788283658776</v>
      </c>
    </row>
    <row r="12" spans="1:7" x14ac:dyDescent="0.35">
      <c r="A12" t="s">
        <v>16</v>
      </c>
      <c r="B12">
        <v>0.98042720741918377</v>
      </c>
      <c r="C12">
        <v>0.97899102643080116</v>
      </c>
      <c r="D12">
        <v>0.97652667047619057</v>
      </c>
      <c r="E12">
        <v>0.96940164575902565</v>
      </c>
      <c r="F12">
        <v>0.97203224408468236</v>
      </c>
      <c r="G12">
        <v>0.96852669886947573</v>
      </c>
    </row>
    <row r="13" spans="1:7" x14ac:dyDescent="0.35">
      <c r="A13" t="s">
        <v>17</v>
      </c>
      <c r="B13">
        <v>0.97951890535241115</v>
      </c>
      <c r="C13">
        <v>0.97769377515088451</v>
      </c>
      <c r="D13">
        <v>0.97517937019047607</v>
      </c>
      <c r="E13">
        <v>0.96769332127011765</v>
      </c>
      <c r="F13">
        <v>0.97052780049813203</v>
      </c>
      <c r="G13">
        <v>0.96545669373072973</v>
      </c>
    </row>
    <row r="14" spans="1:7" x14ac:dyDescent="0.35">
      <c r="A14" t="s">
        <v>18</v>
      </c>
      <c r="B14">
        <v>1.009256620267567</v>
      </c>
      <c r="C14">
        <v>1.007692065096067</v>
      </c>
      <c r="D14">
        <v>1.0098453700259999</v>
      </c>
      <c r="E14">
        <v>1.015610827777033</v>
      </c>
      <c r="F14">
        <v>1.0133494249759649</v>
      </c>
      <c r="G14">
        <v>0.99493434822302151</v>
      </c>
    </row>
    <row r="15" spans="1:7" x14ac:dyDescent="0.35">
      <c r="A15" t="s">
        <v>19</v>
      </c>
      <c r="B15">
        <v>1.009076413814467</v>
      </c>
      <c r="C15">
        <v>1.0074008853224969</v>
      </c>
      <c r="D15">
        <v>1.0094598932059999</v>
      </c>
      <c r="E15">
        <v>1.016039382689256</v>
      </c>
      <c r="F15">
        <v>1.013438892690784</v>
      </c>
      <c r="G15">
        <v>0.99519077984892079</v>
      </c>
    </row>
    <row r="16" spans="1:7" x14ac:dyDescent="0.35">
      <c r="A16" t="s">
        <v>20</v>
      </c>
      <c r="B16">
        <v>1.010602336369316</v>
      </c>
      <c r="C16">
        <v>1.0090147580269719</v>
      </c>
      <c r="D16">
        <v>1.0113627618700001</v>
      </c>
      <c r="E16">
        <v>1.0180773903101781</v>
      </c>
      <c r="F16">
        <v>1.015031335557534</v>
      </c>
      <c r="G16">
        <v>0.99630197917985608</v>
      </c>
    </row>
    <row r="17" spans="1:7" x14ac:dyDescent="0.35">
      <c r="A17" t="s">
        <v>21</v>
      </c>
      <c r="B17">
        <v>1.010602336369316</v>
      </c>
      <c r="C17">
        <v>1.0090147580269719</v>
      </c>
      <c r="D17">
        <v>1.0113627618700001</v>
      </c>
      <c r="E17">
        <v>1.0180773903101781</v>
      </c>
      <c r="F17">
        <v>1.015031335557534</v>
      </c>
      <c r="G17">
        <v>0.99630197917985608</v>
      </c>
    </row>
    <row r="18" spans="1:7" x14ac:dyDescent="0.35">
      <c r="A18" t="s">
        <v>22</v>
      </c>
      <c r="B18">
        <v>1.0118182048793321</v>
      </c>
      <c r="C18">
        <v>1.010232819453611</v>
      </c>
      <c r="D18">
        <v>1.0140298110999999</v>
      </c>
      <c r="E18">
        <v>1.0196791717197911</v>
      </c>
      <c r="F18">
        <v>1.0170104332192711</v>
      </c>
      <c r="G18">
        <v>0.99869932860431643</v>
      </c>
    </row>
    <row r="19" spans="1:7" x14ac:dyDescent="0.35">
      <c r="A19" t="s">
        <v>23</v>
      </c>
      <c r="B19">
        <v>1.013169108676895</v>
      </c>
      <c r="C19">
        <v>1.011592640997836</v>
      </c>
      <c r="D19">
        <v>1.0154792156438091</v>
      </c>
      <c r="E19">
        <v>1.0217337684609831</v>
      </c>
      <c r="F19">
        <v>1.0182729634272421</v>
      </c>
      <c r="G19">
        <v>1.00087069635149</v>
      </c>
    </row>
    <row r="20" spans="1:7" x14ac:dyDescent="0.35">
      <c r="A20" t="s">
        <v>24</v>
      </c>
      <c r="B20">
        <v>1.013093266551828</v>
      </c>
      <c r="C20">
        <v>1.0115488715979051</v>
      </c>
      <c r="D20">
        <v>1.015345278277143</v>
      </c>
      <c r="E20">
        <v>1.021565673464071</v>
      </c>
      <c r="F20">
        <v>1.0181864625617369</v>
      </c>
      <c r="G20">
        <v>1.0008417001932171</v>
      </c>
    </row>
    <row r="21" spans="1:7" x14ac:dyDescent="0.35">
      <c r="A21" t="s">
        <v>25</v>
      </c>
      <c r="B21">
        <v>1.013093266551828</v>
      </c>
      <c r="C21">
        <v>1.0115488715979051</v>
      </c>
      <c r="D21">
        <v>1.015345278277143</v>
      </c>
      <c r="E21">
        <v>1.021565673464071</v>
      </c>
      <c r="F21">
        <v>1.0181864625617369</v>
      </c>
      <c r="G21">
        <v>1.0008417001932171</v>
      </c>
    </row>
    <row r="22" spans="1:7" x14ac:dyDescent="0.35">
      <c r="A22" t="s">
        <v>26</v>
      </c>
      <c r="B22">
        <v>1.0142775310767611</v>
      </c>
      <c r="C22">
        <v>1.0108583666185891</v>
      </c>
      <c r="D22">
        <v>1.015841217605667</v>
      </c>
      <c r="E22">
        <v>1.0227174954473559</v>
      </c>
      <c r="F22">
        <v>1.020342712862383</v>
      </c>
      <c r="G22">
        <v>1.004994713716439</v>
      </c>
    </row>
    <row r="23" spans="1:7" x14ac:dyDescent="0.35">
      <c r="A23" t="s">
        <v>27</v>
      </c>
      <c r="B23">
        <v>-0.35693827691903829</v>
      </c>
      <c r="C23">
        <v>-0.27145916546473359</v>
      </c>
      <c r="D23">
        <v>-0.39603044014165789</v>
      </c>
      <c r="E23">
        <v>-0.56793738618389966</v>
      </c>
      <c r="F23">
        <v>-0.50856782155958058</v>
      </c>
      <c r="G23">
        <v>-0.1248678429109589</v>
      </c>
    </row>
    <row r="24" spans="1:7" x14ac:dyDescent="0.35">
      <c r="A24" t="s">
        <v>28</v>
      </c>
      <c r="B24">
        <v>3774</v>
      </c>
      <c r="C24">
        <v>2883</v>
      </c>
      <c r="D24">
        <v>2100</v>
      </c>
      <c r="E24">
        <v>2299</v>
      </c>
      <c r="F24">
        <v>1606</v>
      </c>
      <c r="G24">
        <v>973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4"/>
  <sheetViews>
    <sheetView workbookViewId="0"/>
  </sheetViews>
  <sheetFormatPr defaultRowHeight="14.5" x14ac:dyDescent="0.35"/>
  <sheetData>
    <row r="1" spans="1:7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5">
      <c r="A2" t="s">
        <v>29</v>
      </c>
      <c r="B2">
        <v>2.437731849496555E-2</v>
      </c>
      <c r="C2">
        <v>1.942421089143254E-2</v>
      </c>
      <c r="D2">
        <v>1.7619047619047621E-2</v>
      </c>
      <c r="E2">
        <v>1.8703784254023491E-2</v>
      </c>
      <c r="F2">
        <v>1.556662515566625E-2</v>
      </c>
      <c r="G2">
        <v>1.747173689619733E-2</v>
      </c>
    </row>
    <row r="3" spans="1:7" x14ac:dyDescent="0.3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35">
      <c r="A4" t="s">
        <v>31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</row>
    <row r="5" spans="1:7" x14ac:dyDescent="0.35">
      <c r="A5" t="s">
        <v>32</v>
      </c>
      <c r="B5">
        <v>7.4191838897721255E-2</v>
      </c>
      <c r="C5">
        <v>8.9490114464099893E-2</v>
      </c>
      <c r="D5">
        <v>0.1004761904761905</v>
      </c>
      <c r="E5">
        <v>0.13049151805132669</v>
      </c>
      <c r="F5">
        <v>0.1176836861768369</v>
      </c>
      <c r="G5">
        <v>0.12744090441932171</v>
      </c>
    </row>
    <row r="6" spans="1:7" x14ac:dyDescent="0.35">
      <c r="A6" t="s">
        <v>33</v>
      </c>
      <c r="B6">
        <v>1.298357180710122E-2</v>
      </c>
      <c r="C6">
        <v>1.144640998959417E-2</v>
      </c>
      <c r="D6">
        <v>5.7142857142857143E-3</v>
      </c>
      <c r="E6">
        <v>8.6994345367551115E-3</v>
      </c>
      <c r="F6">
        <v>8.0946450809464502E-3</v>
      </c>
      <c r="G6">
        <v>6.1664953751284684E-3</v>
      </c>
    </row>
    <row r="7" spans="1:7" x14ac:dyDescent="0.35">
      <c r="A7" t="s">
        <v>34</v>
      </c>
      <c r="B7">
        <v>0.12718600953895071</v>
      </c>
      <c r="C7">
        <v>0.1019771071800208</v>
      </c>
      <c r="D7">
        <v>6.5714285714285711E-2</v>
      </c>
      <c r="E7">
        <v>7.5685080469769461E-2</v>
      </c>
      <c r="F7">
        <v>6.7247820672478212E-2</v>
      </c>
      <c r="G7">
        <v>7.1942446043165464E-2</v>
      </c>
    </row>
    <row r="8" spans="1:7" x14ac:dyDescent="0.35">
      <c r="A8" t="s">
        <v>35</v>
      </c>
      <c r="B8">
        <v>4.7694753577106506E-3</v>
      </c>
      <c r="C8">
        <v>4.1623309053069723E-3</v>
      </c>
      <c r="D8">
        <v>3.333333333333334E-3</v>
      </c>
      <c r="E8">
        <v>3.4797738147020439E-3</v>
      </c>
      <c r="F8">
        <v>3.1133250311332502E-3</v>
      </c>
      <c r="G8">
        <v>2.0554984583761558E-3</v>
      </c>
    </row>
    <row r="9" spans="1:7" x14ac:dyDescent="0.35">
      <c r="A9" t="s">
        <v>36</v>
      </c>
      <c r="B9">
        <v>3.7360890302066782E-2</v>
      </c>
      <c r="C9">
        <v>3.8501560874089492E-2</v>
      </c>
      <c r="D9">
        <v>4.0476190476190478E-2</v>
      </c>
      <c r="E9">
        <v>5.2196607220530662E-2</v>
      </c>
      <c r="F9">
        <v>4.2963885429638853E-2</v>
      </c>
      <c r="G9">
        <v>4.6248715313463508E-2</v>
      </c>
    </row>
    <row r="10" spans="1:7" x14ac:dyDescent="0.3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3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35">
      <c r="A12" t="s">
        <v>39</v>
      </c>
      <c r="B12">
        <v>0.26417594064652888</v>
      </c>
      <c r="C12">
        <v>0.25806451612903231</v>
      </c>
      <c r="D12">
        <v>0.24809523809523809</v>
      </c>
      <c r="E12">
        <v>0.30361026533275343</v>
      </c>
      <c r="F12">
        <v>0.27770859277708593</v>
      </c>
      <c r="G12">
        <v>0.30421377183967108</v>
      </c>
    </row>
    <row r="13" spans="1:7" x14ac:dyDescent="0.35">
      <c r="A13" t="s">
        <v>40</v>
      </c>
      <c r="B13">
        <v>0.73582405935347117</v>
      </c>
      <c r="C13">
        <v>0.74193548387096775</v>
      </c>
      <c r="D13">
        <v>0.75190476190476185</v>
      </c>
      <c r="E13">
        <v>0.69638973466724663</v>
      </c>
      <c r="F13">
        <v>0.72229140722291407</v>
      </c>
      <c r="G13">
        <v>0.69578622816032887</v>
      </c>
    </row>
    <row r="14" spans="1:7" x14ac:dyDescent="0.35">
      <c r="A14" t="s">
        <v>41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35">
      <c r="A15" t="s">
        <v>42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</row>
    <row r="16" spans="1:7" x14ac:dyDescent="0.35">
      <c r="A16" t="s">
        <v>43</v>
      </c>
      <c r="B16">
        <v>6.8892421833598302E-3</v>
      </c>
      <c r="C16">
        <v>9.7121054457162681E-3</v>
      </c>
      <c r="D16">
        <v>0.01</v>
      </c>
      <c r="E16">
        <v>1.3049151805132671E-2</v>
      </c>
      <c r="F16">
        <v>1.1207970112079701E-2</v>
      </c>
      <c r="G16">
        <v>2.1582733812949641E-2</v>
      </c>
    </row>
    <row r="17" spans="1:7" x14ac:dyDescent="0.35">
      <c r="A17" t="s">
        <v>44</v>
      </c>
      <c r="B17">
        <v>0.235559088500265</v>
      </c>
      <c r="C17">
        <v>0.23690600069372181</v>
      </c>
      <c r="D17">
        <v>0.25476190476190469</v>
      </c>
      <c r="E17">
        <v>0.30578512396694207</v>
      </c>
      <c r="F17">
        <v>0.28642590286425901</v>
      </c>
      <c r="G17">
        <v>0.23638232271325799</v>
      </c>
    </row>
    <row r="18" spans="1:7" x14ac:dyDescent="0.35">
      <c r="A18" t="s">
        <v>45</v>
      </c>
      <c r="B18">
        <v>7.6841547429782721E-3</v>
      </c>
      <c r="C18">
        <v>6.2434963579604576E-3</v>
      </c>
      <c r="D18">
        <v>5.7142857142857143E-3</v>
      </c>
      <c r="E18">
        <v>1.261418007829491E-2</v>
      </c>
      <c r="F18">
        <v>9.9626400996264009E-3</v>
      </c>
      <c r="G18">
        <v>9.249743062692703E-3</v>
      </c>
    </row>
    <row r="19" spans="1:7" x14ac:dyDescent="0.35">
      <c r="A19" t="s">
        <v>46</v>
      </c>
      <c r="B19">
        <v>9.538950715421303E-3</v>
      </c>
      <c r="C19">
        <v>8.6715227193895246E-3</v>
      </c>
      <c r="D19">
        <v>9.0476190476190474E-3</v>
      </c>
      <c r="E19">
        <v>8.2644628099173556E-3</v>
      </c>
      <c r="F19">
        <v>8.717310087173101E-3</v>
      </c>
      <c r="G19">
        <v>7.1942446043165471E-3</v>
      </c>
    </row>
    <row r="20" spans="1:7" x14ac:dyDescent="0.35">
      <c r="A20" t="s">
        <v>47</v>
      </c>
      <c r="B20">
        <v>1.563328033916269E-2</v>
      </c>
      <c r="C20">
        <v>1.6302462712452309E-2</v>
      </c>
      <c r="D20">
        <v>1.9047619047619049E-2</v>
      </c>
      <c r="E20">
        <v>2.0008699434536759E-2</v>
      </c>
      <c r="F20">
        <v>1.61892901618929E-2</v>
      </c>
      <c r="G20">
        <v>1.1305241521068861E-2</v>
      </c>
    </row>
    <row r="21" spans="1:7" x14ac:dyDescent="0.35">
      <c r="A21" t="s">
        <v>48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</row>
    <row r="22" spans="1:7" x14ac:dyDescent="0.35">
      <c r="A22" t="s">
        <v>49</v>
      </c>
      <c r="B22">
        <v>7.9491255961844191E-3</v>
      </c>
      <c r="C22">
        <v>7.9778009018383628E-3</v>
      </c>
      <c r="D22">
        <v>1.7619047619047621E-2</v>
      </c>
      <c r="E22">
        <v>1.043932144410613E-2</v>
      </c>
      <c r="F22">
        <v>1.307596513075965E-2</v>
      </c>
      <c r="G22">
        <v>1.644398766700925E-2</v>
      </c>
    </row>
    <row r="23" spans="1:7" x14ac:dyDescent="0.35">
      <c r="A23" t="s">
        <v>50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</row>
    <row r="24" spans="1:7" x14ac:dyDescent="0.35">
      <c r="A24" t="s">
        <v>28</v>
      </c>
      <c r="B24">
        <v>3774</v>
      </c>
      <c r="C24">
        <v>2883</v>
      </c>
      <c r="D24">
        <v>2100</v>
      </c>
      <c r="E24">
        <v>2299</v>
      </c>
      <c r="F24">
        <v>1606</v>
      </c>
      <c r="G24">
        <v>973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"/>
  <sheetViews>
    <sheetView workbookViewId="0"/>
  </sheetViews>
  <sheetFormatPr defaultRowHeight="14.5" x14ac:dyDescent="0.35"/>
  <sheetData>
    <row r="1" spans="1:7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5">
      <c r="A2" t="s">
        <v>51</v>
      </c>
      <c r="B2">
        <v>-6.6808237048242444E-2</v>
      </c>
      <c r="C2">
        <v>-4.5875700833777282E-2</v>
      </c>
      <c r="D2">
        <v>-4.5778861786407617E-2</v>
      </c>
      <c r="E2">
        <v>-4.97396207770937E-2</v>
      </c>
      <c r="F2">
        <v>-4.3891138262792811E-2</v>
      </c>
      <c r="G2">
        <v>-0.2590793831517248</v>
      </c>
    </row>
    <row r="3" spans="1:7" x14ac:dyDescent="0.35">
      <c r="A3" t="s">
        <v>52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35">
      <c r="A4" t="s">
        <v>53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35">
      <c r="A5" t="s">
        <v>54</v>
      </c>
      <c r="B5">
        <v>-3.558880539448353E-2</v>
      </c>
      <c r="C5">
        <v>-2.7074014539182741E-2</v>
      </c>
      <c r="D5">
        <v>-1.482990865380541E-2</v>
      </c>
      <c r="E5">
        <v>-2.3218541718359562E-2</v>
      </c>
      <c r="F5">
        <v>-2.2796439875141291E-2</v>
      </c>
      <c r="G5">
        <v>-9.1331909927300517E-2</v>
      </c>
    </row>
    <row r="6" spans="1:7" x14ac:dyDescent="0.35">
      <c r="A6" t="s">
        <v>55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35">
      <c r="A7" t="s">
        <v>56</v>
      </c>
      <c r="B7">
        <v>0.19233634449129611</v>
      </c>
      <c r="C7">
        <v>0.17254372913078769</v>
      </c>
      <c r="D7">
        <v>0.20266400199540119</v>
      </c>
      <c r="E7">
        <v>0.27005178001732583</v>
      </c>
      <c r="F7">
        <v>0.23392257518897069</v>
      </c>
      <c r="G7">
        <v>1.349807376275326</v>
      </c>
    </row>
    <row r="8" spans="1:7" x14ac:dyDescent="0.35">
      <c r="A8" t="s">
        <v>57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35">
      <c r="A9" t="s">
        <v>58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35">
      <c r="A10" t="s">
        <v>59</v>
      </c>
      <c r="B10">
        <v>-3.953240680473364E-2</v>
      </c>
      <c r="C10">
        <v>-4.4775538062528271E-2</v>
      </c>
      <c r="D10">
        <v>-6.7592868996760758E-2</v>
      </c>
      <c r="E10">
        <v>3.4779743681332423E-2</v>
      </c>
      <c r="F10">
        <v>-1.514656442447147E-2</v>
      </c>
      <c r="G10">
        <v>0.1900180006720904</v>
      </c>
    </row>
    <row r="11" spans="1:7" x14ac:dyDescent="0.35">
      <c r="A11" t="s">
        <v>60</v>
      </c>
      <c r="B11">
        <v>0.4919821831621129</v>
      </c>
      <c r="C11">
        <v>0.44714035490621429</v>
      </c>
      <c r="D11">
        <v>0.54325143856512237</v>
      </c>
      <c r="E11">
        <v>0.59532093913399997</v>
      </c>
      <c r="F11">
        <v>0.64834073618705268</v>
      </c>
      <c r="G11">
        <v>3.556762409231113</v>
      </c>
    </row>
    <row r="12" spans="1:7" x14ac:dyDescent="0.35">
      <c r="A12" t="s">
        <v>61</v>
      </c>
      <c r="B12">
        <v>2.543250205183769E-2</v>
      </c>
      <c r="C12">
        <v>3.1346862088614161E-2</v>
      </c>
      <c r="D12">
        <v>3.5904173472976073E-2</v>
      </c>
      <c r="E12">
        <v>4.6949219730128632E-2</v>
      </c>
      <c r="F12">
        <v>4.3707072669538577E-2</v>
      </c>
      <c r="G12">
        <v>0.47118625566850569</v>
      </c>
    </row>
    <row r="13" spans="1:7" x14ac:dyDescent="0.35">
      <c r="A13" t="s">
        <v>62</v>
      </c>
      <c r="B13">
        <v>-0.82064831671112493</v>
      </c>
      <c r="C13">
        <v>-0.71445586302588837</v>
      </c>
      <c r="D13">
        <v>-0.90839938668059705</v>
      </c>
      <c r="E13">
        <v>-1.2864657463886351</v>
      </c>
      <c r="F13">
        <v>-1.2183329353820631</v>
      </c>
      <c r="G13">
        <v>-4.4636366654879307</v>
      </c>
    </row>
    <row r="14" spans="1:7" x14ac:dyDescent="0.35">
      <c r="A14" t="s">
        <v>63</v>
      </c>
      <c r="B14">
        <v>4.8998230592437464E-3</v>
      </c>
      <c r="C14">
        <v>6.832142196663833E-3</v>
      </c>
      <c r="D14">
        <v>9.9286720202597795E-3</v>
      </c>
      <c r="E14">
        <v>-1.122965357694254E-2</v>
      </c>
      <c r="F14">
        <v>-2.491197333768009E-3</v>
      </c>
      <c r="G14">
        <v>-3.824697500811413E-2</v>
      </c>
    </row>
    <row r="15" spans="1:7" x14ac:dyDescent="0.35">
      <c r="A15" t="s">
        <v>64</v>
      </c>
      <c r="B15">
        <v>-4.1462278513993603E-2</v>
      </c>
      <c r="C15">
        <v>-3.7842523081821212E-2</v>
      </c>
      <c r="D15">
        <v>-4.8975131372126522E-2</v>
      </c>
      <c r="E15">
        <v>-5.3338264486542081E-2</v>
      </c>
      <c r="F15">
        <v>-4.4304260174373243E-2</v>
      </c>
      <c r="G15">
        <v>-0.16562243735969531</v>
      </c>
    </row>
    <row r="16" spans="1:7" x14ac:dyDescent="0.35">
      <c r="A16" t="s">
        <v>65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35">
      <c r="A17" t="s">
        <v>66</v>
      </c>
      <c r="B17">
        <v>-3.2992716941951071E-2</v>
      </c>
      <c r="C17">
        <v>-2.8521374146609019E-2</v>
      </c>
      <c r="D17">
        <v>-6.8488387168262235E-2</v>
      </c>
      <c r="E17">
        <v>-4.1846568474424778E-2</v>
      </c>
      <c r="F17">
        <v>-5.4964832659593413E-2</v>
      </c>
      <c r="G17">
        <v>-0.35669272386633072</v>
      </c>
    </row>
    <row r="18" spans="1:7" x14ac:dyDescent="0.35">
      <c r="A18" t="s">
        <v>67</v>
      </c>
      <c r="B18">
        <v>-3.6610449899904932E-2</v>
      </c>
      <c r="C18">
        <v>-3.180014463355995E-2</v>
      </c>
      <c r="D18">
        <v>-3.714441937265249E-2</v>
      </c>
      <c r="E18">
        <v>-5.3580244458595161E-2</v>
      </c>
      <c r="F18">
        <v>-3.5007985608856998E-2</v>
      </c>
      <c r="G18">
        <v>-0.32233155445841888</v>
      </c>
    </row>
    <row r="19" spans="1:7" x14ac:dyDescent="0.35">
      <c r="A19" t="s">
        <v>68</v>
      </c>
      <c r="B19">
        <v>2.0540816309119361E-3</v>
      </c>
      <c r="C19">
        <v>1.022904536355855E-3</v>
      </c>
      <c r="D19">
        <v>3.4302378351949801E-3</v>
      </c>
      <c r="E19">
        <v>4.3795711339111804E-3</v>
      </c>
      <c r="F19">
        <v>2.3971481159178049E-3</v>
      </c>
      <c r="G19">
        <v>4.2997645015058839E-3</v>
      </c>
    </row>
    <row r="20" spans="1:7" x14ac:dyDescent="0.35">
      <c r="A20" t="s">
        <v>69</v>
      </c>
      <c r="B20">
        <v>-0.35693827691903168</v>
      </c>
      <c r="C20">
        <v>-0.27145916546473092</v>
      </c>
      <c r="D20">
        <v>-0.39603044014165778</v>
      </c>
      <c r="E20">
        <v>-0.56793738618389478</v>
      </c>
      <c r="F20">
        <v>-0.50856782155958058</v>
      </c>
      <c r="G20">
        <v>-0.12486784291097409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workbookViewId="0"/>
  </sheetViews>
  <sheetFormatPr defaultRowHeight="14.5" x14ac:dyDescent="0.35"/>
  <sheetData>
    <row r="1" spans="1:7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5">
      <c r="A2" t="s">
        <v>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 x14ac:dyDescent="0.35">
      <c r="A3" t="s">
        <v>7</v>
      </c>
      <c r="B3">
        <v>1.0025385604113111</v>
      </c>
      <c r="C3">
        <v>1.0022077922077921</v>
      </c>
      <c r="D3">
        <v>1.0020539152759951</v>
      </c>
      <c r="E3">
        <v>1.002191943127962</v>
      </c>
      <c r="F3">
        <v>1.0019873532068651</v>
      </c>
      <c r="G3">
        <v>1.0020440251572329</v>
      </c>
    </row>
    <row r="4" spans="1:7" x14ac:dyDescent="0.35">
      <c r="A4" t="s">
        <v>8</v>
      </c>
      <c r="B4">
        <v>1.0025385604113111</v>
      </c>
      <c r="C4">
        <v>1.0022077922077921</v>
      </c>
      <c r="D4">
        <v>1.0020539152759951</v>
      </c>
      <c r="E4">
        <v>1.002191943127962</v>
      </c>
      <c r="F4">
        <v>1.0019873532068651</v>
      </c>
      <c r="G4">
        <v>1.0020440251572329</v>
      </c>
    </row>
    <row r="5" spans="1:7" x14ac:dyDescent="0.35">
      <c r="A5" t="s">
        <v>9</v>
      </c>
      <c r="B5">
        <v>1.0025385604113111</v>
      </c>
      <c r="C5">
        <v>1.0022077922077921</v>
      </c>
      <c r="D5">
        <v>1.0020539152759951</v>
      </c>
      <c r="E5">
        <v>1.002191943127962</v>
      </c>
      <c r="F5">
        <v>1.0019873532068651</v>
      </c>
      <c r="G5">
        <v>1.0020440251572329</v>
      </c>
    </row>
    <row r="6" spans="1:7" x14ac:dyDescent="0.35">
      <c r="A6" t="s">
        <v>10</v>
      </c>
      <c r="B6">
        <v>1.0041163239074551</v>
      </c>
      <c r="C6">
        <v>1.0036406926406931</v>
      </c>
      <c r="D6">
        <v>1.002824133504493</v>
      </c>
      <c r="E6">
        <v>1.0033827014218011</v>
      </c>
      <c r="F6">
        <v>1.00316169828365</v>
      </c>
      <c r="G6">
        <v>1.002987421383648</v>
      </c>
    </row>
    <row r="7" spans="1:7" x14ac:dyDescent="0.35">
      <c r="A7" t="s">
        <v>11</v>
      </c>
      <c r="B7">
        <v>1.0041163239074551</v>
      </c>
      <c r="C7">
        <v>1.0036406926406931</v>
      </c>
      <c r="D7">
        <v>1.002824133504493</v>
      </c>
      <c r="E7">
        <v>1.0033827014218011</v>
      </c>
      <c r="F7">
        <v>1.00316169828365</v>
      </c>
      <c r="G7">
        <v>1.002987421383648</v>
      </c>
    </row>
    <row r="8" spans="1:7" x14ac:dyDescent="0.35">
      <c r="A8" t="s">
        <v>12</v>
      </c>
      <c r="B8">
        <v>0.9983129820051414</v>
      </c>
      <c r="C8">
        <v>0.99791341991342009</v>
      </c>
      <c r="D8">
        <v>0.99682926829268292</v>
      </c>
      <c r="E8">
        <v>0.99400473933649292</v>
      </c>
      <c r="F8">
        <v>0.99549232158988255</v>
      </c>
      <c r="G8">
        <v>0.99602201257861644</v>
      </c>
    </row>
    <row r="9" spans="1:7" x14ac:dyDescent="0.35">
      <c r="A9" t="s">
        <v>13</v>
      </c>
      <c r="B9">
        <v>0.9983129820051414</v>
      </c>
      <c r="C9">
        <v>0.99791341991342009</v>
      </c>
      <c r="D9">
        <v>0.99682926829268292</v>
      </c>
      <c r="E9">
        <v>0.99400473933649292</v>
      </c>
      <c r="F9">
        <v>0.99549232158988255</v>
      </c>
      <c r="G9">
        <v>0.99602201257861644</v>
      </c>
    </row>
    <row r="10" spans="1:7" x14ac:dyDescent="0.35">
      <c r="A10" t="s">
        <v>14</v>
      </c>
      <c r="B10">
        <v>0.9983129820051414</v>
      </c>
      <c r="C10">
        <v>0.99791341991342009</v>
      </c>
      <c r="D10">
        <v>0.99682926829268292</v>
      </c>
      <c r="E10">
        <v>0.99400473933649292</v>
      </c>
      <c r="F10">
        <v>0.99549232158988255</v>
      </c>
      <c r="G10">
        <v>0.99602201257861644</v>
      </c>
    </row>
    <row r="11" spans="1:7" x14ac:dyDescent="0.35">
      <c r="A11" t="s">
        <v>15</v>
      </c>
      <c r="B11">
        <v>1.0000733933161949</v>
      </c>
      <c r="C11">
        <v>0.99993835497835493</v>
      </c>
      <c r="D11">
        <v>0.9994015404364569</v>
      </c>
      <c r="E11">
        <v>0.99332855450236945</v>
      </c>
      <c r="F11">
        <v>0.99714652213188781</v>
      </c>
      <c r="G11">
        <v>0.99511855345911926</v>
      </c>
    </row>
    <row r="12" spans="1:7" x14ac:dyDescent="0.35">
      <c r="A12" t="s">
        <v>16</v>
      </c>
      <c r="B12">
        <v>0.98487552403598955</v>
      </c>
      <c r="C12">
        <v>0.98396540225108231</v>
      </c>
      <c r="D12">
        <v>0.9819549730423619</v>
      </c>
      <c r="E12">
        <v>0.97417205663507112</v>
      </c>
      <c r="F12">
        <v>0.97774486359530266</v>
      </c>
      <c r="G12">
        <v>0.97485631761006297</v>
      </c>
    </row>
    <row r="13" spans="1:7" x14ac:dyDescent="0.35">
      <c r="A13" t="s">
        <v>17</v>
      </c>
      <c r="B13">
        <v>0.98436806613110528</v>
      </c>
      <c r="C13">
        <v>0.98304426136796541</v>
      </c>
      <c r="D13">
        <v>0.98117372105263156</v>
      </c>
      <c r="E13">
        <v>0.9735870655213269</v>
      </c>
      <c r="F13">
        <v>0.97688451454381209</v>
      </c>
      <c r="G13">
        <v>0.97350426572327053</v>
      </c>
    </row>
    <row r="14" spans="1:7" x14ac:dyDescent="0.35">
      <c r="A14" t="s">
        <v>18</v>
      </c>
      <c r="B14">
        <v>1.013189659494794</v>
      </c>
      <c r="C14">
        <v>1.0134701486523641</v>
      </c>
      <c r="D14">
        <v>1.017005754672401</v>
      </c>
      <c r="E14">
        <v>1.018739002298815</v>
      </c>
      <c r="F14">
        <v>1.019826134508943</v>
      </c>
      <c r="G14">
        <v>1.0041839884999999</v>
      </c>
    </row>
    <row r="15" spans="1:7" x14ac:dyDescent="0.35">
      <c r="A15" t="s">
        <v>19</v>
      </c>
      <c r="B15">
        <v>1.012818626406748</v>
      </c>
      <c r="C15">
        <v>1.013159281659636</v>
      </c>
      <c r="D15">
        <v>1.016385033464442</v>
      </c>
      <c r="E15">
        <v>1.0187437664026071</v>
      </c>
      <c r="F15">
        <v>1.019893993343632</v>
      </c>
      <c r="G15">
        <v>1.004195319981132</v>
      </c>
    </row>
    <row r="16" spans="1:7" x14ac:dyDescent="0.35">
      <c r="A16" t="s">
        <v>20</v>
      </c>
      <c r="B16">
        <v>1.0141463669947941</v>
      </c>
      <c r="C16">
        <v>1.014456216541455</v>
      </c>
      <c r="D16">
        <v>1.0185073315609761</v>
      </c>
      <c r="E16">
        <v>1.0200760207841231</v>
      </c>
      <c r="F16">
        <v>1.0206304503300809</v>
      </c>
      <c r="G16">
        <v>1.0049532507264149</v>
      </c>
    </row>
    <row r="17" spans="1:7" x14ac:dyDescent="0.35">
      <c r="A17" t="s">
        <v>21</v>
      </c>
      <c r="B17">
        <v>1.0141463669947941</v>
      </c>
      <c r="C17">
        <v>1.014456216541455</v>
      </c>
      <c r="D17">
        <v>1.0185073315609761</v>
      </c>
      <c r="E17">
        <v>1.0200760207841231</v>
      </c>
      <c r="F17">
        <v>1.0206304503300809</v>
      </c>
      <c r="G17">
        <v>1.0049532507264149</v>
      </c>
    </row>
    <row r="18" spans="1:7" x14ac:dyDescent="0.35">
      <c r="A18" t="s">
        <v>22</v>
      </c>
      <c r="B18">
        <v>1.015481231352378</v>
      </c>
      <c r="C18">
        <v>1.015852295750546</v>
      </c>
      <c r="D18">
        <v>1.021556405844031</v>
      </c>
      <c r="E18">
        <v>1.0216887825511849</v>
      </c>
      <c r="F18">
        <v>1.0227760148239839</v>
      </c>
      <c r="G18">
        <v>1.007522854707547</v>
      </c>
    </row>
    <row r="19" spans="1:7" x14ac:dyDescent="0.35">
      <c r="A19" t="s">
        <v>23</v>
      </c>
      <c r="B19">
        <v>1.0165005826576481</v>
      </c>
      <c r="C19">
        <v>1.016874816178251</v>
      </c>
      <c r="D19">
        <v>1.022677754080231</v>
      </c>
      <c r="E19">
        <v>1.02343819343981</v>
      </c>
      <c r="F19">
        <v>1.0239892039242551</v>
      </c>
      <c r="G19">
        <v>1.008812280314465</v>
      </c>
    </row>
    <row r="20" spans="1:7" x14ac:dyDescent="0.35">
      <c r="A20" t="s">
        <v>24</v>
      </c>
      <c r="B20">
        <v>1.0164086070214009</v>
      </c>
      <c r="C20">
        <v>1.016820189693403</v>
      </c>
      <c r="D20">
        <v>1.022497222327984</v>
      </c>
      <c r="E20">
        <v>1.0233961848888631</v>
      </c>
      <c r="F20">
        <v>1.0238725157580399</v>
      </c>
      <c r="G20">
        <v>1.0087679198396231</v>
      </c>
    </row>
    <row r="21" spans="1:7" x14ac:dyDescent="0.35">
      <c r="A21" t="s">
        <v>25</v>
      </c>
      <c r="B21">
        <v>1.0164086070214009</v>
      </c>
      <c r="C21">
        <v>1.016820189693403</v>
      </c>
      <c r="D21">
        <v>1.022497222327984</v>
      </c>
      <c r="E21">
        <v>1.0233961848888631</v>
      </c>
      <c r="F21">
        <v>1.0238725157580399</v>
      </c>
      <c r="G21">
        <v>1.0087679198396231</v>
      </c>
    </row>
    <row r="22" spans="1:7" x14ac:dyDescent="0.35">
      <c r="A22" t="s">
        <v>26</v>
      </c>
      <c r="B22">
        <v>1.0178322738273911</v>
      </c>
      <c r="C22">
        <v>1.0161679807320001</v>
      </c>
      <c r="D22">
        <v>1.0236817916505829</v>
      </c>
      <c r="E22">
        <v>1.024412090682671</v>
      </c>
      <c r="F22">
        <v>1.025506752200178</v>
      </c>
      <c r="G22">
        <v>1.013489300961657</v>
      </c>
    </row>
    <row r="23" spans="1:7" x14ac:dyDescent="0.35">
      <c r="A23" t="s">
        <v>27</v>
      </c>
      <c r="B23">
        <v>-0.44580684568478551</v>
      </c>
      <c r="C23">
        <v>-0.404199518300004</v>
      </c>
      <c r="D23">
        <v>-0.59204479126455567</v>
      </c>
      <c r="E23">
        <v>-0.61030226706677126</v>
      </c>
      <c r="F23">
        <v>-0.63766880500446632</v>
      </c>
      <c r="G23">
        <v>-0.33723252404143977</v>
      </c>
    </row>
    <row r="24" spans="1:7" x14ac:dyDescent="0.35">
      <c r="A24" t="s">
        <v>28</v>
      </c>
      <c r="B24">
        <v>3112</v>
      </c>
      <c r="C24">
        <v>2310</v>
      </c>
      <c r="D24">
        <v>1558</v>
      </c>
      <c r="E24">
        <v>1688</v>
      </c>
      <c r="F24">
        <v>1107</v>
      </c>
      <c r="G24">
        <v>636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7"/>
  <sheetViews>
    <sheetView zoomScale="175" zoomScaleNormal="175" workbookViewId="0">
      <selection activeCell="E17" sqref="E17"/>
    </sheetView>
  </sheetViews>
  <sheetFormatPr defaultRowHeight="14.5" x14ac:dyDescent="0.35"/>
  <cols>
    <col min="1" max="1" width="26" bestFit="1" customWidth="1"/>
    <col min="4" max="4" width="14" bestFit="1" customWidth="1"/>
    <col min="5" max="5" width="31.08984375" bestFit="1" customWidth="1"/>
    <col min="6" max="6" width="28.36328125" bestFit="1" customWidth="1"/>
    <col min="7" max="7" width="14" bestFit="1" customWidth="1"/>
  </cols>
  <sheetData>
    <row r="1" spans="1:11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11" x14ac:dyDescent="0.35">
      <c r="A2" t="s">
        <v>29</v>
      </c>
      <c r="B2" s="1">
        <v>2.5385604113110541E-2</v>
      </c>
      <c r="C2" s="1">
        <v>2.2077922077922078E-2</v>
      </c>
      <c r="D2" s="1">
        <v>2.0539152759948651E-2</v>
      </c>
      <c r="E2" s="1">
        <v>2.191943127962085E-2</v>
      </c>
      <c r="F2" s="1">
        <v>1.9873532068654019E-2</v>
      </c>
      <c r="G2" s="1">
        <v>2.0440251572327039E-2</v>
      </c>
      <c r="I2" s="4">
        <f>G2-'Upcredit Flags'!G2</f>
        <v>8.5708153705466202E-3</v>
      </c>
    </row>
    <row r="3" spans="1:11" x14ac:dyDescent="0.35">
      <c r="A3" t="s">
        <v>30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I3" s="4">
        <f>G3-'Upcredit Flags'!G3</f>
        <v>0</v>
      </c>
    </row>
    <row r="4" spans="1:11" x14ac:dyDescent="0.35">
      <c r="A4" t="s">
        <v>31</v>
      </c>
      <c r="B4" s="1">
        <v>1</v>
      </c>
      <c r="C4" s="1">
        <v>1</v>
      </c>
      <c r="D4" s="1">
        <v>1</v>
      </c>
      <c r="E4" s="1">
        <v>1</v>
      </c>
      <c r="F4" s="1">
        <v>1</v>
      </c>
      <c r="G4" s="1">
        <v>1</v>
      </c>
      <c r="I4" s="4">
        <f>G4-'Upcredit Flags'!G4</f>
        <v>0</v>
      </c>
    </row>
    <row r="5" spans="1:11" x14ac:dyDescent="0.35">
      <c r="A5" t="s">
        <v>32</v>
      </c>
      <c r="B5" s="1">
        <v>7.9048843187660672E-2</v>
      </c>
      <c r="C5" s="1">
        <v>9.7835497835497831E-2</v>
      </c>
      <c r="D5" s="1">
        <v>0.1129653401797176</v>
      </c>
      <c r="E5" s="1">
        <v>0.14751184834123221</v>
      </c>
      <c r="F5" s="1">
        <v>0.1291779584462511</v>
      </c>
      <c r="G5" s="1">
        <v>0.1430817610062893</v>
      </c>
      <c r="I5" s="4">
        <f>G5-'Upcredit Flags'!G5</f>
        <v>4.5158912341600882E-2</v>
      </c>
      <c r="J5" s="5"/>
      <c r="K5" t="s">
        <v>84</v>
      </c>
    </row>
    <row r="6" spans="1:11" x14ac:dyDescent="0.35">
      <c r="A6" t="s">
        <v>33</v>
      </c>
      <c r="B6" s="1">
        <v>1.574550128534704E-2</v>
      </c>
      <c r="C6" s="1">
        <v>1.428571428571429E-2</v>
      </c>
      <c r="D6" s="1">
        <v>7.7021822849807449E-3</v>
      </c>
      <c r="E6" s="1">
        <v>1.1848341232227491E-2</v>
      </c>
      <c r="F6" s="1">
        <v>1.174345076784101E-2</v>
      </c>
      <c r="G6" s="1">
        <v>9.433962264150943E-3</v>
      </c>
      <c r="I6" s="4">
        <f>G6-'Upcredit Flags'!G6</f>
        <v>9.433962264150943E-3</v>
      </c>
    </row>
    <row r="7" spans="1:11" x14ac:dyDescent="0.35">
      <c r="A7" t="s">
        <v>34</v>
      </c>
      <c r="B7" s="1">
        <v>0.14042416452442161</v>
      </c>
      <c r="C7" s="1">
        <v>0.1125541125541126</v>
      </c>
      <c r="D7" s="1">
        <v>7.8947368421052627E-2</v>
      </c>
      <c r="E7" s="1">
        <v>9.5379146919431279E-2</v>
      </c>
      <c r="F7" s="1">
        <v>8.7624209575429088E-2</v>
      </c>
      <c r="G7" s="1">
        <v>0.1037735849056604</v>
      </c>
      <c r="I7" s="4">
        <f>G7-'Upcredit Flags'!G7</f>
        <v>9.1904148703879973E-2</v>
      </c>
      <c r="J7" s="5"/>
    </row>
    <row r="8" spans="1:11" x14ac:dyDescent="0.35">
      <c r="A8" t="s">
        <v>35</v>
      </c>
      <c r="B8" s="1">
        <v>5.7840616966580976E-3</v>
      </c>
      <c r="C8" s="1">
        <v>5.1948051948051948E-3</v>
      </c>
      <c r="D8" s="1">
        <v>4.4929396662387678E-3</v>
      </c>
      <c r="E8" s="1">
        <v>4.7393364928909956E-3</v>
      </c>
      <c r="F8" s="1">
        <v>4.5167118337850042E-3</v>
      </c>
      <c r="G8" s="1">
        <v>3.1446540880503151E-3</v>
      </c>
      <c r="I8" s="4">
        <f>G8-'Upcredit Flags'!G8</f>
        <v>3.1446540880503151E-3</v>
      </c>
    </row>
    <row r="9" spans="1:11" x14ac:dyDescent="0.35">
      <c r="A9" t="s">
        <v>36</v>
      </c>
      <c r="B9" s="1">
        <v>3.1812339331619539E-2</v>
      </c>
      <c r="C9" s="1">
        <v>3.1168831168831169E-2</v>
      </c>
      <c r="D9" s="3">
        <v>3.2092426187419767E-2</v>
      </c>
      <c r="E9" s="1">
        <v>4.9170616113744077E-2</v>
      </c>
      <c r="F9" s="1">
        <v>4.065040650406504E-2</v>
      </c>
      <c r="G9" s="3">
        <v>3.6163522012578622E-2</v>
      </c>
      <c r="I9" s="4">
        <f>G9-'Upcredit Flags'!G9</f>
        <v>-2.9118377097213669E-2</v>
      </c>
      <c r="J9" s="5"/>
    </row>
    <row r="10" spans="1:11" x14ac:dyDescent="0.35">
      <c r="A10" t="s">
        <v>37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I10" s="4">
        <f>G10-'Upcredit Flags'!G10</f>
        <v>0</v>
      </c>
    </row>
    <row r="11" spans="1:11" x14ac:dyDescent="0.35">
      <c r="A11" t="s">
        <v>38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I11" s="4">
        <f>G11-'Upcredit Flags'!G11</f>
        <v>0</v>
      </c>
    </row>
    <row r="12" spans="1:11" x14ac:dyDescent="0.35">
      <c r="A12" t="s">
        <v>39</v>
      </c>
      <c r="B12" s="1">
        <v>0.25964010282776351</v>
      </c>
      <c r="C12" s="1">
        <v>0.25584415584415582</v>
      </c>
      <c r="D12" s="3">
        <v>0.248395378690629</v>
      </c>
      <c r="E12" s="1">
        <v>0.29443127962085308</v>
      </c>
      <c r="F12" s="1">
        <v>0.26196928635953032</v>
      </c>
      <c r="G12" s="3">
        <v>0.29874213836477992</v>
      </c>
      <c r="I12" s="4">
        <f>G12-'Upcredit Flags'!G12</f>
        <v>-1.579792098240107E-2</v>
      </c>
    </row>
    <row r="13" spans="1:11" x14ac:dyDescent="0.35">
      <c r="A13" t="s">
        <v>40</v>
      </c>
      <c r="B13" s="1">
        <v>0.74035989717223649</v>
      </c>
      <c r="C13" s="1">
        <v>0.74415584415584413</v>
      </c>
      <c r="D13" s="1">
        <v>0.751604621309371</v>
      </c>
      <c r="E13" s="1">
        <v>0.70556872037914697</v>
      </c>
      <c r="F13" s="1">
        <v>0.73803071364046979</v>
      </c>
      <c r="G13" s="1">
        <v>0.70125786163522008</v>
      </c>
      <c r="I13" s="4">
        <f>G13-'Upcredit Flags'!G13</f>
        <v>1.579792098240107E-2</v>
      </c>
    </row>
    <row r="14" spans="1:11" x14ac:dyDescent="0.35">
      <c r="A14" t="s">
        <v>41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I14" s="4">
        <f>G14-'Upcredit Flags'!G14</f>
        <v>0</v>
      </c>
    </row>
    <row r="15" spans="1:11" x14ac:dyDescent="0.35">
      <c r="A15" t="s">
        <v>42</v>
      </c>
      <c r="B15" s="1">
        <v>1</v>
      </c>
      <c r="C15" s="1">
        <v>1</v>
      </c>
      <c r="D15" s="1">
        <v>1</v>
      </c>
      <c r="E15" s="1">
        <v>1</v>
      </c>
      <c r="F15" s="1">
        <v>1</v>
      </c>
      <c r="G15" s="1">
        <v>1</v>
      </c>
      <c r="I15" s="4">
        <f>G15-'Upcredit Flags'!G15</f>
        <v>0</v>
      </c>
    </row>
    <row r="16" spans="1:11" x14ac:dyDescent="0.35">
      <c r="A16" t="s">
        <v>43</v>
      </c>
      <c r="B16" s="1">
        <v>4.177377892030848E-3</v>
      </c>
      <c r="C16" s="1">
        <v>7.3593073593073597E-3</v>
      </c>
      <c r="D16" s="1">
        <v>6.4184852374839542E-3</v>
      </c>
      <c r="E16" s="1">
        <v>5.3317535545023701E-3</v>
      </c>
      <c r="F16" s="1">
        <v>7.2267389340560069E-3</v>
      </c>
      <c r="G16" s="1">
        <v>9.433962264150943E-3</v>
      </c>
      <c r="I16" s="4">
        <f>G16-'Upcredit Flags'!G16</f>
        <v>-3.507642349252562E-2</v>
      </c>
      <c r="J16" s="5"/>
    </row>
    <row r="17" spans="1:10" x14ac:dyDescent="0.35">
      <c r="A17" t="s">
        <v>44</v>
      </c>
      <c r="B17" s="1">
        <v>0.23168380462724941</v>
      </c>
      <c r="C17" s="1">
        <v>0.23809523809523811</v>
      </c>
      <c r="D17" s="3">
        <v>0.25866495507060328</v>
      </c>
      <c r="E17" s="1">
        <v>0.29443127962085308</v>
      </c>
      <c r="F17" s="1">
        <v>0.28635953026196931</v>
      </c>
      <c r="G17" s="3">
        <v>0.24056603773584909</v>
      </c>
      <c r="I17" s="6">
        <f>G17-'Upcredit Flags'!G17</f>
        <v>1.2079390851576083E-2</v>
      </c>
      <c r="J17" s="7"/>
    </row>
    <row r="18" spans="1:10" x14ac:dyDescent="0.35">
      <c r="A18" t="s">
        <v>45</v>
      </c>
      <c r="B18" s="1">
        <v>6.4267352185089976E-3</v>
      </c>
      <c r="C18" s="1">
        <v>6.4935064935064939E-3</v>
      </c>
      <c r="D18" s="1">
        <v>3.851091142490372E-3</v>
      </c>
      <c r="E18" s="1">
        <v>1.007109004739336E-2</v>
      </c>
      <c r="F18" s="1">
        <v>9.9367660343270096E-3</v>
      </c>
      <c r="G18" s="1">
        <v>6.2893081761006293E-3</v>
      </c>
      <c r="I18" s="4">
        <f>G18-'Upcredit Flags'!G18</f>
        <v>-8.5474870761248906E-3</v>
      </c>
    </row>
    <row r="19" spans="1:10" x14ac:dyDescent="0.35">
      <c r="A19" t="s">
        <v>46</v>
      </c>
      <c r="B19" s="1">
        <v>9.9614395886889456E-3</v>
      </c>
      <c r="C19" s="1">
        <v>9.0909090909090905E-3</v>
      </c>
      <c r="D19" s="1">
        <v>9.6277278562259313E-3</v>
      </c>
      <c r="E19" s="1">
        <v>1.007109004739336E-2</v>
      </c>
      <c r="F19" s="1">
        <v>9.0334236675700084E-3</v>
      </c>
      <c r="G19" s="1">
        <v>6.2893081761006293E-3</v>
      </c>
      <c r="I19" s="4">
        <f>G19-'Upcredit Flags'!G19</f>
        <v>-2.6127689752346826E-3</v>
      </c>
    </row>
    <row r="20" spans="1:10" x14ac:dyDescent="0.35">
      <c r="A20" t="s">
        <v>47</v>
      </c>
      <c r="B20" s="1">
        <v>1.3496143958868889E-2</v>
      </c>
      <c r="C20" s="1">
        <v>1.298701298701299E-2</v>
      </c>
      <c r="D20" s="1">
        <v>2.118100128369705E-2</v>
      </c>
      <c r="E20" s="1">
        <v>1.362559241706161E-2</v>
      </c>
      <c r="F20" s="1">
        <v>7.2267389340560069E-3</v>
      </c>
      <c r="G20" s="1">
        <v>7.8616352201257862E-3</v>
      </c>
      <c r="I20" s="4">
        <f>G20-'Upcredit Flags'!G20</f>
        <v>-9.9425190825448342E-3</v>
      </c>
    </row>
    <row r="21" spans="1:10" x14ac:dyDescent="0.35">
      <c r="A21" t="s">
        <v>48</v>
      </c>
      <c r="B21" s="1">
        <v>1</v>
      </c>
      <c r="C21" s="1">
        <v>1</v>
      </c>
      <c r="D21" s="1">
        <v>1</v>
      </c>
      <c r="E21" s="1">
        <v>1</v>
      </c>
      <c r="F21" s="1">
        <v>1</v>
      </c>
      <c r="G21" s="1">
        <v>1</v>
      </c>
      <c r="I21" s="4">
        <f>G21-'Upcredit Flags'!G21</f>
        <v>0</v>
      </c>
    </row>
    <row r="22" spans="1:10" x14ac:dyDescent="0.35">
      <c r="A22" t="s">
        <v>49</v>
      </c>
      <c r="B22" s="1">
        <v>8.6760925449871473E-3</v>
      </c>
      <c r="C22" s="1">
        <v>9.0909090909090905E-3</v>
      </c>
      <c r="D22" s="1">
        <v>1.9897304236200258E-2</v>
      </c>
      <c r="E22" s="1">
        <v>1.066350710900474E-2</v>
      </c>
      <c r="F22" s="1">
        <v>1.445347786811201E-2</v>
      </c>
      <c r="G22" s="1">
        <v>1.7295597484276729E-2</v>
      </c>
      <c r="I22" s="4">
        <f>G22-'Upcredit Flags'!G22</f>
        <v>2.4588022320512094E-3</v>
      </c>
    </row>
    <row r="23" spans="1:10" x14ac:dyDescent="0.35">
      <c r="A23" t="s">
        <v>50</v>
      </c>
      <c r="B23" s="1">
        <v>1</v>
      </c>
      <c r="C23" s="1">
        <v>1</v>
      </c>
      <c r="D23" s="1">
        <v>1</v>
      </c>
      <c r="E23" s="1">
        <v>1</v>
      </c>
      <c r="F23" s="1">
        <v>1</v>
      </c>
      <c r="G23" s="1">
        <v>1</v>
      </c>
      <c r="I23" s="4">
        <f>G23-'Upcredit Flags'!G23</f>
        <v>0</v>
      </c>
    </row>
    <row r="24" spans="1:10" x14ac:dyDescent="0.35">
      <c r="A24" t="s">
        <v>28</v>
      </c>
      <c r="B24">
        <v>3112</v>
      </c>
      <c r="C24">
        <v>2310</v>
      </c>
      <c r="D24">
        <v>1558</v>
      </c>
      <c r="E24">
        <v>1688</v>
      </c>
      <c r="F24">
        <v>1107</v>
      </c>
      <c r="G24">
        <v>636</v>
      </c>
    </row>
    <row r="27" spans="1:10" ht="15" thickBot="1" x14ac:dyDescent="0.4">
      <c r="E27" s="8" t="s">
        <v>99</v>
      </c>
      <c r="F27" s="8" t="s">
        <v>89</v>
      </c>
    </row>
    <row r="28" spans="1:10" x14ac:dyDescent="0.35">
      <c r="E28" s="12" t="s">
        <v>85</v>
      </c>
      <c r="F28" s="9" t="s">
        <v>90</v>
      </c>
    </row>
    <row r="29" spans="1:10" x14ac:dyDescent="0.35">
      <c r="E29" s="13" t="s">
        <v>86</v>
      </c>
      <c r="F29" s="10" t="s">
        <v>91</v>
      </c>
    </row>
    <row r="30" spans="1:10" x14ac:dyDescent="0.35">
      <c r="E30" s="13" t="s">
        <v>87</v>
      </c>
      <c r="F30" s="10" t="s">
        <v>92</v>
      </c>
    </row>
    <row r="31" spans="1:10" ht="15" thickBot="1" x14ac:dyDescent="0.4">
      <c r="E31" s="14" t="s">
        <v>88</v>
      </c>
      <c r="F31" s="11" t="s">
        <v>93</v>
      </c>
    </row>
    <row r="32" spans="1:10" ht="15" thickBot="1" x14ac:dyDescent="0.4">
      <c r="E32" s="14"/>
      <c r="F32" s="11"/>
    </row>
    <row r="34" spans="5:6" ht="15" thickBot="1" x14ac:dyDescent="0.4"/>
    <row r="35" spans="5:6" ht="15" thickBot="1" x14ac:dyDescent="0.4">
      <c r="E35" s="15" t="s">
        <v>100</v>
      </c>
      <c r="F35" s="8" t="s">
        <v>96</v>
      </c>
    </row>
    <row r="36" spans="5:6" x14ac:dyDescent="0.35">
      <c r="E36" s="12" t="s">
        <v>94</v>
      </c>
      <c r="F36" s="9" t="s">
        <v>98</v>
      </c>
    </row>
    <row r="37" spans="5:6" ht="15" thickBot="1" x14ac:dyDescent="0.4">
      <c r="E37" s="14" t="s">
        <v>95</v>
      </c>
      <c r="F37" s="11" t="s">
        <v>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"/>
  <sheetViews>
    <sheetView zoomScale="220" zoomScaleNormal="220" workbookViewId="0">
      <selection activeCell="G13" sqref="G13"/>
    </sheetView>
  </sheetViews>
  <sheetFormatPr defaultRowHeight="14.5" x14ac:dyDescent="0.35"/>
  <cols>
    <col min="1" max="1" width="23.7265625" bestFit="1" customWidth="1"/>
    <col min="4" max="4" width="13.81640625" bestFit="1" customWidth="1"/>
    <col min="7" max="7" width="13.81640625" bestFit="1" customWidth="1"/>
  </cols>
  <sheetData>
    <row r="1" spans="1:7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5">
      <c r="A2" t="s">
        <v>51</v>
      </c>
      <c r="B2">
        <v>-6.9446573620354807E-2</v>
      </c>
      <c r="C2">
        <v>-5.3440589248822043E-2</v>
      </c>
      <c r="D2">
        <v>-5.4601251064076838E-2</v>
      </c>
      <c r="E2">
        <v>-5.7781026783770298E-2</v>
      </c>
      <c r="F2">
        <v>-5.3662866284525899E-2</v>
      </c>
      <c r="G2">
        <v>-7.8881044480379484E-2</v>
      </c>
    </row>
    <row r="3" spans="1:7" x14ac:dyDescent="0.35">
      <c r="A3" t="s">
        <v>52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35">
      <c r="A4" t="s">
        <v>53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35">
      <c r="A5" t="s">
        <v>54</v>
      </c>
      <c r="B5">
        <v>-4.3073809391890171E-2</v>
      </c>
      <c r="C5">
        <v>-3.4621029349565513E-2</v>
      </c>
      <c r="D5">
        <v>-2.044662059975794E-2</v>
      </c>
      <c r="E5">
        <v>-3.1336201053547973E-2</v>
      </c>
      <c r="F5">
        <v>-3.165986894826997E-2</v>
      </c>
      <c r="G5">
        <v>-3.6352381448538702E-2</v>
      </c>
    </row>
    <row r="6" spans="1:7" x14ac:dyDescent="0.35">
      <c r="A6" t="s">
        <v>55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35">
      <c r="A7" t="s">
        <v>56</v>
      </c>
      <c r="B7">
        <v>0.15876916329758259</v>
      </c>
      <c r="C7">
        <v>0.13867677292353489</v>
      </c>
      <c r="D7">
        <v>0.1595591385435837</v>
      </c>
      <c r="E7">
        <v>0.2478054526683825</v>
      </c>
      <c r="F7">
        <v>0.2074362116800067</v>
      </c>
      <c r="G7">
        <v>0.26921137917577681</v>
      </c>
    </row>
    <row r="8" spans="1:7" x14ac:dyDescent="0.35">
      <c r="A8" t="s">
        <v>57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35">
      <c r="A9" t="s">
        <v>58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35">
      <c r="A10" t="s">
        <v>59</v>
      </c>
      <c r="B10">
        <v>-4.8259051037437328E-2</v>
      </c>
      <c r="C10">
        <v>-4.9121316632934529E-2</v>
      </c>
      <c r="D10">
        <v>-6.8580727250193194E-2</v>
      </c>
      <c r="E10">
        <v>1.7957928728035651E-2</v>
      </c>
      <c r="F10">
        <v>-4.4876570397860922E-2</v>
      </c>
      <c r="G10">
        <v>3.5056334468363801E-2</v>
      </c>
    </row>
    <row r="11" spans="1:7" x14ac:dyDescent="0.35">
      <c r="A11" t="s">
        <v>60</v>
      </c>
      <c r="B11">
        <v>0.41945544068539858</v>
      </c>
      <c r="C11">
        <v>0.3902078516753964</v>
      </c>
      <c r="D11">
        <v>0.46865610125862972</v>
      </c>
      <c r="E11">
        <v>0.51389746221124177</v>
      </c>
      <c r="F11">
        <v>0.53109181313227305</v>
      </c>
      <c r="G11">
        <v>0.79469756793704882</v>
      </c>
    </row>
    <row r="12" spans="1:7" x14ac:dyDescent="0.35">
      <c r="A12" t="s">
        <v>61</v>
      </c>
      <c r="B12">
        <v>1.411706993867669E-2</v>
      </c>
      <c r="C12">
        <v>2.2695596906894631E-2</v>
      </c>
      <c r="D12">
        <v>2.1180590978766699E-2</v>
      </c>
      <c r="E12">
        <v>1.5851689042253741E-2</v>
      </c>
      <c r="F12">
        <v>2.3794154830908382E-2</v>
      </c>
      <c r="G12">
        <v>5.3614712534641673E-2</v>
      </c>
    </row>
    <row r="13" spans="1:7" x14ac:dyDescent="0.35">
      <c r="A13" t="s">
        <v>62</v>
      </c>
      <c r="B13">
        <v>-0.79048341582003478</v>
      </c>
      <c r="C13">
        <v>-0.73862914476485819</v>
      </c>
      <c r="D13">
        <v>-0.95450719549293295</v>
      </c>
      <c r="E13">
        <v>-1.196332344971885</v>
      </c>
      <c r="F13">
        <v>-1.1627604526086659</v>
      </c>
      <c r="G13">
        <v>-1.198638785878281</v>
      </c>
    </row>
    <row r="14" spans="1:7" x14ac:dyDescent="0.35">
      <c r="A14" t="s">
        <v>63</v>
      </c>
      <c r="B14">
        <v>1.0032644040936451E-2</v>
      </c>
      <c r="C14">
        <v>7.433995320150143E-3</v>
      </c>
      <c r="D14">
        <v>1.624693455085156E-2</v>
      </c>
      <c r="E14">
        <v>-1.2340955299747371E-4</v>
      </c>
      <c r="F14">
        <v>-1.7984394020910839E-3</v>
      </c>
      <c r="G14">
        <v>-4.3591401285785841E-4</v>
      </c>
    </row>
    <row r="15" spans="1:7" x14ac:dyDescent="0.35">
      <c r="A15" t="s">
        <v>64</v>
      </c>
      <c r="B15">
        <v>-3.5884840519304073E-2</v>
      </c>
      <c r="C15">
        <v>-3.0999496590201521E-2</v>
      </c>
      <c r="D15">
        <v>-5.5508665302542629E-2</v>
      </c>
      <c r="E15">
        <v>-3.4488149181327067E-2</v>
      </c>
      <c r="F15">
        <v>-1.9510374092533009E-2</v>
      </c>
      <c r="G15">
        <v>-2.9145893977099602E-2</v>
      </c>
    </row>
    <row r="16" spans="1:7" x14ac:dyDescent="0.35">
      <c r="A16" t="s">
        <v>65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35">
      <c r="A17" t="s">
        <v>66</v>
      </c>
      <c r="B17">
        <v>-3.6030045878004673E-2</v>
      </c>
      <c r="C17">
        <v>-3.3324995972872022E-2</v>
      </c>
      <c r="D17">
        <v>-7.9546353768620195E-2</v>
      </c>
      <c r="E17">
        <v>-4.1689444261968911E-2</v>
      </c>
      <c r="F17">
        <v>-5.6760598089210912E-2</v>
      </c>
      <c r="G17">
        <v>-9.8649658982883304E-2</v>
      </c>
    </row>
    <row r="18" spans="1:7" x14ac:dyDescent="0.35">
      <c r="A18" t="s">
        <v>67</v>
      </c>
      <c r="B18">
        <v>-2.748198373076504E-2</v>
      </c>
      <c r="C18">
        <v>-2.4378948115711611E-2</v>
      </c>
      <c r="D18">
        <v>-2.9194805871457851E-2</v>
      </c>
      <c r="E18">
        <v>-4.5147443506509607E-2</v>
      </c>
      <c r="F18">
        <v>-3.2042066342919021E-2</v>
      </c>
      <c r="G18">
        <v>-4.9407572940319423E-2</v>
      </c>
    </row>
    <row r="19" spans="1:7" x14ac:dyDescent="0.35">
      <c r="A19" t="s">
        <v>68</v>
      </c>
      <c r="B19">
        <v>2.4785563504214942E-3</v>
      </c>
      <c r="C19">
        <v>1.3017855489882481E-3</v>
      </c>
      <c r="D19">
        <v>4.6980627531898658E-3</v>
      </c>
      <c r="E19">
        <v>1.083219595320214E-3</v>
      </c>
      <c r="F19">
        <v>3.0802515184355809E-3</v>
      </c>
      <c r="G19">
        <v>1.698733563084821E-3</v>
      </c>
    </row>
    <row r="20" spans="1:7" x14ac:dyDescent="0.35">
      <c r="A20" t="s">
        <v>69</v>
      </c>
      <c r="B20">
        <v>-0.44580684568477508</v>
      </c>
      <c r="C20">
        <v>-0.40419951830000111</v>
      </c>
      <c r="D20">
        <v>-0.59204479126456011</v>
      </c>
      <c r="E20">
        <v>-0.61030226706677271</v>
      </c>
      <c r="F20">
        <v>-0.63766880500445278</v>
      </c>
      <c r="G20">
        <v>-0.33723252404144299</v>
      </c>
    </row>
  </sheetData>
  <conditionalFormatting sqref="D2:D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4"/>
  <sheetViews>
    <sheetView workbookViewId="0"/>
  </sheetViews>
  <sheetFormatPr defaultRowHeight="14.5" x14ac:dyDescent="0.35"/>
  <sheetData>
    <row r="1" spans="1:7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5">
      <c r="A2" t="s">
        <v>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 x14ac:dyDescent="0.35">
      <c r="A3" t="s">
        <v>7</v>
      </c>
      <c r="B3">
        <v>1.0019637462235651</v>
      </c>
      <c r="C3">
        <v>1.00087260034904</v>
      </c>
      <c r="D3">
        <v>1.000922509225092</v>
      </c>
      <c r="E3">
        <v>1.000981996726678</v>
      </c>
      <c r="F3">
        <v>1.000601202404809</v>
      </c>
      <c r="G3">
        <v>1.0011869436201779</v>
      </c>
    </row>
    <row r="4" spans="1:7" x14ac:dyDescent="0.35">
      <c r="A4" t="s">
        <v>8</v>
      </c>
      <c r="B4">
        <v>1.0019637462235651</v>
      </c>
      <c r="C4">
        <v>1.00087260034904</v>
      </c>
      <c r="D4">
        <v>1.000922509225092</v>
      </c>
      <c r="E4">
        <v>1.000981996726678</v>
      </c>
      <c r="F4">
        <v>1.000601202404809</v>
      </c>
      <c r="G4">
        <v>1.0011869436201779</v>
      </c>
    </row>
    <row r="5" spans="1:7" x14ac:dyDescent="0.35">
      <c r="A5" t="s">
        <v>9</v>
      </c>
      <c r="B5">
        <v>1.0019637462235651</v>
      </c>
      <c r="C5">
        <v>1.00087260034904</v>
      </c>
      <c r="D5">
        <v>1.000922509225092</v>
      </c>
      <c r="E5">
        <v>1.000981996726678</v>
      </c>
      <c r="F5">
        <v>1.000601202404809</v>
      </c>
      <c r="G5">
        <v>1.0011869436201779</v>
      </c>
    </row>
    <row r="6" spans="1:7" x14ac:dyDescent="0.35">
      <c r="A6" t="s">
        <v>10</v>
      </c>
      <c r="B6">
        <v>1.0019637462235651</v>
      </c>
      <c r="C6">
        <v>1.00087260034904</v>
      </c>
      <c r="D6">
        <v>1.000922509225092</v>
      </c>
      <c r="E6">
        <v>1.000981996726678</v>
      </c>
      <c r="F6">
        <v>1.000601202404809</v>
      </c>
      <c r="G6">
        <v>1.0011869436201779</v>
      </c>
    </row>
    <row r="7" spans="1:7" x14ac:dyDescent="0.35">
      <c r="A7" t="s">
        <v>11</v>
      </c>
      <c r="B7">
        <v>1.0019637462235651</v>
      </c>
      <c r="C7">
        <v>1.00087260034904</v>
      </c>
      <c r="D7">
        <v>1.000922509225092</v>
      </c>
      <c r="E7">
        <v>1.000981996726678</v>
      </c>
      <c r="F7">
        <v>1.000601202404809</v>
      </c>
      <c r="G7">
        <v>1.0011869436201779</v>
      </c>
    </row>
    <row r="8" spans="1:7" x14ac:dyDescent="0.35">
      <c r="A8" t="s">
        <v>12</v>
      </c>
      <c r="B8">
        <v>0.98927492447129928</v>
      </c>
      <c r="C8">
        <v>0.98726003490401382</v>
      </c>
      <c r="D8">
        <v>0.98800738007380073</v>
      </c>
      <c r="E8">
        <v>0.98880523731587577</v>
      </c>
      <c r="F8">
        <v>0.99098196392785576</v>
      </c>
      <c r="G8">
        <v>0.98813056379821962</v>
      </c>
    </row>
    <row r="9" spans="1:7" x14ac:dyDescent="0.35">
      <c r="A9" t="s">
        <v>13</v>
      </c>
      <c r="B9">
        <v>0.98927492447129928</v>
      </c>
      <c r="C9">
        <v>0.98726003490401382</v>
      </c>
      <c r="D9">
        <v>0.98800738007380073</v>
      </c>
      <c r="E9">
        <v>0.98880523731587577</v>
      </c>
      <c r="F9">
        <v>0.99098196392785576</v>
      </c>
      <c r="G9">
        <v>0.98813056379821962</v>
      </c>
    </row>
    <row r="10" spans="1:7" x14ac:dyDescent="0.35">
      <c r="A10" t="s">
        <v>14</v>
      </c>
      <c r="B10">
        <v>0.98927492447129928</v>
      </c>
      <c r="C10">
        <v>0.98726003490401382</v>
      </c>
      <c r="D10">
        <v>0.98800738007380073</v>
      </c>
      <c r="E10">
        <v>0.98880523731587577</v>
      </c>
      <c r="F10">
        <v>0.99098196392785576</v>
      </c>
      <c r="G10">
        <v>0.98813056379821962</v>
      </c>
    </row>
    <row r="11" spans="1:7" x14ac:dyDescent="0.35">
      <c r="A11" t="s">
        <v>15</v>
      </c>
      <c r="B11">
        <v>0.98919184290030193</v>
      </c>
      <c r="C11">
        <v>0.98859511343804518</v>
      </c>
      <c r="D11">
        <v>0.99064206642066399</v>
      </c>
      <c r="E11">
        <v>0.98579639934533536</v>
      </c>
      <c r="F11">
        <v>0.98903006012024042</v>
      </c>
      <c r="G11">
        <v>0.98616617210682478</v>
      </c>
    </row>
    <row r="12" spans="1:7" x14ac:dyDescent="0.35">
      <c r="A12" t="s">
        <v>16</v>
      </c>
      <c r="B12">
        <v>0.9595160876132931</v>
      </c>
      <c r="C12">
        <v>0.95893726003490398</v>
      </c>
      <c r="D12">
        <v>0.96092280442804423</v>
      </c>
      <c r="E12">
        <v>0.95622250736497538</v>
      </c>
      <c r="F12">
        <v>0.95935915831663321</v>
      </c>
      <c r="G12">
        <v>0.95658118694362004</v>
      </c>
    </row>
    <row r="13" spans="1:7" x14ac:dyDescent="0.35">
      <c r="A13" t="s">
        <v>17</v>
      </c>
      <c r="B13">
        <v>0.95672345468277942</v>
      </c>
      <c r="C13">
        <v>0.9561237521815007</v>
      </c>
      <c r="D13">
        <v>0.95794837638376373</v>
      </c>
      <c r="E13">
        <v>0.95141076759410814</v>
      </c>
      <c r="F13">
        <v>0.95642583166332662</v>
      </c>
      <c r="G13">
        <v>0.95026899109792273</v>
      </c>
    </row>
    <row r="14" spans="1:7" x14ac:dyDescent="0.35">
      <c r="A14" t="s">
        <v>18</v>
      </c>
      <c r="B14">
        <v>0.99076777121148019</v>
      </c>
      <c r="C14">
        <v>0.98439822039267011</v>
      </c>
      <c r="D14">
        <v>0.98926256692804426</v>
      </c>
      <c r="E14">
        <v>1.0069686696873981</v>
      </c>
      <c r="F14">
        <v>0.99898125372745472</v>
      </c>
      <c r="G14">
        <v>0.9774780538130563</v>
      </c>
    </row>
    <row r="15" spans="1:7" x14ac:dyDescent="0.35">
      <c r="A15" t="s">
        <v>19</v>
      </c>
      <c r="B15">
        <v>0.99148462289728079</v>
      </c>
      <c r="C15">
        <v>0.98418640794240841</v>
      </c>
      <c r="D15">
        <v>0.98955330921586715</v>
      </c>
      <c r="E15">
        <v>1.0085680247381339</v>
      </c>
      <c r="F15">
        <v>0.99911865937875732</v>
      </c>
      <c r="G15">
        <v>0.97819704832344212</v>
      </c>
    </row>
    <row r="16" spans="1:7" x14ac:dyDescent="0.35">
      <c r="A16" t="s">
        <v>20</v>
      </c>
      <c r="B16">
        <v>0.99394218031722037</v>
      </c>
      <c r="C16">
        <v>0.98707798809947622</v>
      </c>
      <c r="D16">
        <v>0.99082541947416969</v>
      </c>
      <c r="E16">
        <v>1.012555805629296</v>
      </c>
      <c r="F16">
        <v>1.0026100528857711</v>
      </c>
      <c r="G16">
        <v>0.97997495038575644</v>
      </c>
    </row>
    <row r="17" spans="1:7" x14ac:dyDescent="0.35">
      <c r="A17" t="s">
        <v>21</v>
      </c>
      <c r="B17">
        <v>0.99394218031722037</v>
      </c>
      <c r="C17">
        <v>0.98707798809947622</v>
      </c>
      <c r="D17">
        <v>0.99082541947416969</v>
      </c>
      <c r="E17">
        <v>1.012555805629296</v>
      </c>
      <c r="F17">
        <v>1.0026100528857711</v>
      </c>
      <c r="G17">
        <v>0.97997495038575644</v>
      </c>
    </row>
    <row r="18" spans="1:7" x14ac:dyDescent="0.35">
      <c r="A18" t="s">
        <v>22</v>
      </c>
      <c r="B18">
        <v>0.99459866049244694</v>
      </c>
      <c r="C18">
        <v>0.98757838621465954</v>
      </c>
      <c r="D18">
        <v>0.99239432288745388</v>
      </c>
      <c r="E18">
        <v>1.0141272517797051</v>
      </c>
      <c r="F18">
        <v>1.004219854388777</v>
      </c>
      <c r="G18">
        <v>0.98204721405934703</v>
      </c>
    </row>
    <row r="19" spans="1:7" x14ac:dyDescent="0.35">
      <c r="A19" t="s">
        <v>23</v>
      </c>
      <c r="B19">
        <v>0.99750816150453159</v>
      </c>
      <c r="C19">
        <v>0.9902980080715531</v>
      </c>
      <c r="D19">
        <v>0.99478673799815498</v>
      </c>
      <c r="E19">
        <v>1.017024980630769</v>
      </c>
      <c r="F19">
        <v>1.005591844729459</v>
      </c>
      <c r="G19">
        <v>0.98588301860534111</v>
      </c>
    </row>
    <row r="20" spans="1:7" x14ac:dyDescent="0.35">
      <c r="A20" t="s">
        <v>24</v>
      </c>
      <c r="B20">
        <v>0.99750816150453159</v>
      </c>
      <c r="C20">
        <v>0.9902980080715531</v>
      </c>
      <c r="D20">
        <v>0.99478673799815498</v>
      </c>
      <c r="E20">
        <v>1.016508548611293</v>
      </c>
      <c r="F20">
        <v>1.00557231248497</v>
      </c>
      <c r="G20">
        <v>0.98588301860534111</v>
      </c>
    </row>
    <row r="21" spans="1:7" x14ac:dyDescent="0.35">
      <c r="A21" t="s">
        <v>25</v>
      </c>
      <c r="B21">
        <v>0.99750816150453159</v>
      </c>
      <c r="C21">
        <v>0.9902980080715531</v>
      </c>
      <c r="D21">
        <v>0.99478673799815498</v>
      </c>
      <c r="E21">
        <v>1.016508548611293</v>
      </c>
      <c r="F21">
        <v>1.00557231248497</v>
      </c>
      <c r="G21">
        <v>0.98588301860534111</v>
      </c>
    </row>
    <row r="22" spans="1:7" x14ac:dyDescent="0.35">
      <c r="A22" t="s">
        <v>26</v>
      </c>
      <c r="B22">
        <v>0.99783051693521119</v>
      </c>
      <c r="C22">
        <v>0.99073554058322366</v>
      </c>
      <c r="D22">
        <v>0.99508022834481924</v>
      </c>
      <c r="E22">
        <v>1.0182365634587169</v>
      </c>
      <c r="F22">
        <v>1.010308465091774</v>
      </c>
      <c r="G22">
        <v>0.98873022977318403</v>
      </c>
    </row>
    <row r="23" spans="1:7" x14ac:dyDescent="0.35">
      <c r="A23" t="s">
        <v>27</v>
      </c>
      <c r="B23">
        <v>5.4237076619727993E-2</v>
      </c>
      <c r="C23">
        <v>0.23161148541942109</v>
      </c>
      <c r="D23">
        <v>0.1229942913795128</v>
      </c>
      <c r="E23">
        <v>-0.45591408646794213</v>
      </c>
      <c r="F23">
        <v>-0.25771162729435559</v>
      </c>
      <c r="G23">
        <v>0.28174425567038952</v>
      </c>
    </row>
    <row r="24" spans="1:7" x14ac:dyDescent="0.35">
      <c r="A24" t="s">
        <v>28</v>
      </c>
      <c r="B24">
        <v>662</v>
      </c>
      <c r="C24">
        <v>573</v>
      </c>
      <c r="D24">
        <v>542</v>
      </c>
      <c r="E24">
        <v>611</v>
      </c>
      <c r="F24">
        <v>499</v>
      </c>
      <c r="G24">
        <v>337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4"/>
  <sheetViews>
    <sheetView zoomScale="190" zoomScaleNormal="190" workbookViewId="0">
      <selection activeCell="G9" sqref="G9"/>
    </sheetView>
  </sheetViews>
  <sheetFormatPr defaultRowHeight="14.5" x14ac:dyDescent="0.35"/>
  <cols>
    <col min="1" max="1" width="26" bestFit="1" customWidth="1"/>
    <col min="4" max="4" width="13.81640625" bestFit="1" customWidth="1"/>
    <col min="5" max="5" width="15.36328125" customWidth="1"/>
    <col min="6" max="7" width="13.81640625" bestFit="1" customWidth="1"/>
  </cols>
  <sheetData>
    <row r="1" spans="1:7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5">
      <c r="A2" t="s">
        <v>29</v>
      </c>
      <c r="B2" s="1">
        <v>1.963746223564955E-2</v>
      </c>
      <c r="C2" s="1">
        <v>8.7260034904013961E-3</v>
      </c>
      <c r="D2" s="1">
        <v>9.2250922509225092E-3</v>
      </c>
      <c r="E2" s="1">
        <v>9.8199672667757774E-3</v>
      </c>
      <c r="F2" s="1">
        <v>6.0120240480961923E-3</v>
      </c>
      <c r="G2" s="1">
        <v>1.1869436201780419E-2</v>
      </c>
    </row>
    <row r="3" spans="1:7" x14ac:dyDescent="0.35">
      <c r="A3" t="s">
        <v>30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</row>
    <row r="4" spans="1:7" x14ac:dyDescent="0.35">
      <c r="A4" t="s">
        <v>31</v>
      </c>
      <c r="B4" s="1">
        <v>1</v>
      </c>
      <c r="C4" s="1">
        <v>1</v>
      </c>
      <c r="D4" s="1">
        <v>1</v>
      </c>
      <c r="E4" s="1">
        <v>1</v>
      </c>
      <c r="F4" s="1">
        <v>1</v>
      </c>
      <c r="G4" s="1">
        <v>1</v>
      </c>
    </row>
    <row r="5" spans="1:7" x14ac:dyDescent="0.35">
      <c r="A5" t="s">
        <v>32</v>
      </c>
      <c r="B5" s="1">
        <v>5.1359516616314202E-2</v>
      </c>
      <c r="C5" s="1">
        <v>5.5846422338568943E-2</v>
      </c>
      <c r="D5" s="1">
        <v>6.4575645756457564E-2</v>
      </c>
      <c r="E5" s="1">
        <v>8.346972176759411E-2</v>
      </c>
      <c r="F5" s="1">
        <v>9.2184368737474945E-2</v>
      </c>
      <c r="G5" s="1">
        <v>9.7922848664688422E-2</v>
      </c>
    </row>
    <row r="6" spans="1:7" x14ac:dyDescent="0.35">
      <c r="A6" t="s">
        <v>33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</row>
    <row r="7" spans="1:7" x14ac:dyDescent="0.35">
      <c r="A7" t="s">
        <v>34</v>
      </c>
      <c r="B7" s="1">
        <v>6.4954682779456194E-2</v>
      </c>
      <c r="C7" s="1">
        <v>5.9336823734729503E-2</v>
      </c>
      <c r="D7" s="1">
        <v>2.7675276752767531E-2</v>
      </c>
      <c r="E7" s="1">
        <v>2.1276595744680851E-2</v>
      </c>
      <c r="F7" s="1">
        <v>2.204408817635271E-2</v>
      </c>
      <c r="G7" s="1">
        <v>1.1869436201780419E-2</v>
      </c>
    </row>
    <row r="8" spans="1:7" x14ac:dyDescent="0.35">
      <c r="A8" t="s">
        <v>35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</row>
    <row r="9" spans="1:7" x14ac:dyDescent="0.35">
      <c r="A9" t="s">
        <v>36</v>
      </c>
      <c r="B9" s="1">
        <v>6.3444108761329304E-2</v>
      </c>
      <c r="C9" s="1">
        <v>6.8062827225130892E-2</v>
      </c>
      <c r="D9" s="1">
        <v>6.4575645756457564E-2</v>
      </c>
      <c r="E9" s="1">
        <v>6.0556464811783957E-2</v>
      </c>
      <c r="F9" s="1">
        <v>4.8096192384769539E-2</v>
      </c>
      <c r="G9" s="1">
        <v>6.5281899109792291E-2</v>
      </c>
    </row>
    <row r="10" spans="1:7" x14ac:dyDescent="0.35">
      <c r="A10" t="s">
        <v>37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</row>
    <row r="11" spans="1:7" x14ac:dyDescent="0.35">
      <c r="A11" t="s">
        <v>38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</row>
    <row r="12" spans="1:7" x14ac:dyDescent="0.35">
      <c r="A12" t="s">
        <v>39</v>
      </c>
      <c r="B12" s="1">
        <v>0.28549848942598188</v>
      </c>
      <c r="C12" s="1">
        <v>0.26701570680628273</v>
      </c>
      <c r="D12" s="1">
        <v>0.24723247232472331</v>
      </c>
      <c r="E12" s="1">
        <v>0.32896890343698848</v>
      </c>
      <c r="F12" s="1">
        <v>0.31262525050100198</v>
      </c>
      <c r="G12" s="1">
        <v>0.31454005934718099</v>
      </c>
    </row>
    <row r="13" spans="1:7" x14ac:dyDescent="0.35">
      <c r="A13" t="s">
        <v>40</v>
      </c>
      <c r="B13" s="1">
        <v>0.71450151057401812</v>
      </c>
      <c r="C13" s="1">
        <v>0.73298429319371727</v>
      </c>
      <c r="D13" s="1">
        <v>0.75276752767527677</v>
      </c>
      <c r="E13" s="1">
        <v>0.67103109656301141</v>
      </c>
      <c r="F13" s="1">
        <v>0.68737474949899802</v>
      </c>
      <c r="G13" s="1">
        <v>0.68545994065281901</v>
      </c>
    </row>
    <row r="14" spans="1:7" x14ac:dyDescent="0.35">
      <c r="A14" t="s">
        <v>41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</row>
    <row r="15" spans="1:7" x14ac:dyDescent="0.35">
      <c r="A15" t="s">
        <v>42</v>
      </c>
      <c r="B15" s="1">
        <v>1</v>
      </c>
      <c r="C15" s="1">
        <v>1</v>
      </c>
      <c r="D15" s="1">
        <v>1</v>
      </c>
      <c r="E15" s="1">
        <v>1</v>
      </c>
      <c r="F15" s="1">
        <v>1</v>
      </c>
      <c r="G15" s="1">
        <v>1</v>
      </c>
    </row>
    <row r="16" spans="1:7" x14ac:dyDescent="0.35">
      <c r="A16" t="s">
        <v>43</v>
      </c>
      <c r="B16" s="1">
        <v>1.963746223564955E-2</v>
      </c>
      <c r="C16" s="1">
        <v>1.9197207678883069E-2</v>
      </c>
      <c r="D16" s="1">
        <v>2.0295202952029519E-2</v>
      </c>
      <c r="E16" s="1">
        <v>3.4369885433715219E-2</v>
      </c>
      <c r="F16" s="1">
        <v>2.004008016032064E-2</v>
      </c>
      <c r="G16" s="1">
        <v>4.4510385756676561E-2</v>
      </c>
    </row>
    <row r="17" spans="1:7" x14ac:dyDescent="0.35">
      <c r="A17" t="s">
        <v>44</v>
      </c>
      <c r="B17" s="1">
        <v>0.25377643504531722</v>
      </c>
      <c r="C17" s="1">
        <v>0.23211169284467709</v>
      </c>
      <c r="D17" s="1">
        <v>0.24354243542435419</v>
      </c>
      <c r="E17" s="1">
        <v>0.33715220949263502</v>
      </c>
      <c r="F17" s="1">
        <v>0.28657314629258518</v>
      </c>
      <c r="G17" s="1">
        <v>0.228486646884273</v>
      </c>
    </row>
    <row r="18" spans="1:7" x14ac:dyDescent="0.35">
      <c r="A18" t="s">
        <v>45</v>
      </c>
      <c r="B18" s="1">
        <v>1.359516616314199E-2</v>
      </c>
      <c r="C18" s="1">
        <v>5.235602094240838E-3</v>
      </c>
      <c r="D18" s="1">
        <v>1.107011070110701E-2</v>
      </c>
      <c r="E18" s="1">
        <v>1.9639934533551551E-2</v>
      </c>
      <c r="F18" s="1">
        <v>1.002004008016032E-2</v>
      </c>
      <c r="G18" s="1">
        <v>1.483679525222552E-2</v>
      </c>
    </row>
    <row r="19" spans="1:7" x14ac:dyDescent="0.35">
      <c r="A19" t="s">
        <v>46</v>
      </c>
      <c r="B19" s="1">
        <v>7.5528700906344424E-3</v>
      </c>
      <c r="C19" s="1">
        <v>6.9808027923211171E-3</v>
      </c>
      <c r="D19" s="1">
        <v>7.3800738007380072E-3</v>
      </c>
      <c r="E19" s="1">
        <v>3.2733224222585931E-3</v>
      </c>
      <c r="F19" s="1">
        <v>8.0160320641282558E-3</v>
      </c>
      <c r="G19" s="1">
        <v>8.9020771513353119E-3</v>
      </c>
    </row>
    <row r="20" spans="1:7" x14ac:dyDescent="0.35">
      <c r="A20" t="s">
        <v>47</v>
      </c>
      <c r="B20" s="1">
        <v>2.5679758308157101E-2</v>
      </c>
      <c r="C20" s="1">
        <v>2.9668411867364752E-2</v>
      </c>
      <c r="D20" s="1">
        <v>1.291512915129151E-2</v>
      </c>
      <c r="E20" s="1">
        <v>3.7643207855973811E-2</v>
      </c>
      <c r="F20" s="1">
        <v>3.6072144288577163E-2</v>
      </c>
      <c r="G20" s="1">
        <v>1.780415430267062E-2</v>
      </c>
    </row>
    <row r="21" spans="1:7" x14ac:dyDescent="0.35">
      <c r="A21" t="s">
        <v>48</v>
      </c>
      <c r="B21" s="1">
        <v>1</v>
      </c>
      <c r="C21" s="1">
        <v>1</v>
      </c>
      <c r="D21" s="1">
        <v>1</v>
      </c>
      <c r="E21" s="1">
        <v>1</v>
      </c>
      <c r="F21" s="1">
        <v>1</v>
      </c>
      <c r="G21" s="1">
        <v>1</v>
      </c>
    </row>
    <row r="22" spans="1:7" x14ac:dyDescent="0.35">
      <c r="A22" t="s">
        <v>49</v>
      </c>
      <c r="B22" s="1">
        <v>4.5317220543806651E-3</v>
      </c>
      <c r="C22" s="1">
        <v>3.490401396160559E-3</v>
      </c>
      <c r="D22" s="1">
        <v>1.107011070110701E-2</v>
      </c>
      <c r="E22" s="1">
        <v>9.8199672667757774E-3</v>
      </c>
      <c r="F22" s="1">
        <v>1.002004008016032E-2</v>
      </c>
      <c r="G22" s="1">
        <v>1.483679525222552E-2</v>
      </c>
    </row>
    <row r="23" spans="1:7" x14ac:dyDescent="0.35">
      <c r="A23" t="s">
        <v>50</v>
      </c>
      <c r="B23" s="1">
        <v>1</v>
      </c>
      <c r="C23" s="1">
        <v>1</v>
      </c>
      <c r="D23" s="1">
        <v>1</v>
      </c>
      <c r="E23" s="1">
        <v>1</v>
      </c>
      <c r="F23" s="1">
        <v>1</v>
      </c>
      <c r="G23" s="1">
        <v>1</v>
      </c>
    </row>
    <row r="24" spans="1:7" x14ac:dyDescent="0.35">
      <c r="A24" t="s">
        <v>28</v>
      </c>
      <c r="B24">
        <v>662</v>
      </c>
      <c r="C24">
        <v>573</v>
      </c>
      <c r="D24">
        <v>542</v>
      </c>
      <c r="E24">
        <v>611</v>
      </c>
      <c r="F24">
        <v>499</v>
      </c>
      <c r="G24">
        <v>337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0"/>
  <sheetViews>
    <sheetView tabSelected="1" zoomScale="220" zoomScaleNormal="220" workbookViewId="0">
      <selection activeCell="F4" sqref="A1:G20"/>
    </sheetView>
  </sheetViews>
  <sheetFormatPr defaultRowHeight="14.5" x14ac:dyDescent="0.35"/>
  <cols>
    <col min="2" max="2" width="13.81640625" bestFit="1" customWidth="1"/>
  </cols>
  <sheetData>
    <row r="1" spans="1:7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5">
      <c r="A2" t="s">
        <v>51</v>
      </c>
      <c r="B2" s="2">
        <v>-4.2647542729649809E-2</v>
      </c>
      <c r="C2" s="2">
        <v>-2.0720957697916171E-2</v>
      </c>
      <c r="D2" s="2">
        <v>-2.1697583341412072E-2</v>
      </c>
      <c r="E2" s="2">
        <v>-2.7329480510483398E-2</v>
      </c>
      <c r="F2" s="2">
        <v>-2.7873785584950801E-2</v>
      </c>
      <c r="G2" s="2">
        <v>-2.3507262395492889E-2</v>
      </c>
    </row>
    <row r="3" spans="1:7" x14ac:dyDescent="0.35">
      <c r="A3" t="s">
        <v>52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</row>
    <row r="4" spans="1:7" x14ac:dyDescent="0.35">
      <c r="A4" t="s">
        <v>53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</row>
    <row r="5" spans="1:7" x14ac:dyDescent="0.35">
      <c r="A5" t="s">
        <v>54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</row>
    <row r="6" spans="1:7" x14ac:dyDescent="0.35">
      <c r="A6" t="s">
        <v>55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</row>
    <row r="7" spans="1:7" x14ac:dyDescent="0.35">
      <c r="A7" t="s">
        <v>56</v>
      </c>
      <c r="B7" s="2">
        <v>0.27705664868606111</v>
      </c>
      <c r="C7" s="2">
        <v>0.32532337147398982</v>
      </c>
      <c r="D7" s="2">
        <v>0.30560205465437479</v>
      </c>
      <c r="E7" s="2">
        <v>0.34079639284189128</v>
      </c>
      <c r="F7" s="2">
        <v>0.44800347267322799</v>
      </c>
      <c r="G7" s="2">
        <v>0.26012643039344008</v>
      </c>
    </row>
    <row r="8" spans="1:7" x14ac:dyDescent="0.35">
      <c r="A8" t="s">
        <v>57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</row>
    <row r="9" spans="1:7" x14ac:dyDescent="0.35">
      <c r="A9" t="s">
        <v>58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</row>
    <row r="10" spans="1:7" x14ac:dyDescent="0.35">
      <c r="A10" t="s">
        <v>59</v>
      </c>
      <c r="B10" s="2">
        <v>1.8257472700585651E-3</v>
      </c>
      <c r="C10" s="2">
        <v>-3.2104479089493917E-2</v>
      </c>
      <c r="D10" s="2">
        <v>-6.266588914441501E-2</v>
      </c>
      <c r="E10" s="2">
        <v>8.485630704786741E-2</v>
      </c>
      <c r="F10" s="2">
        <v>9.1437950382380034E-2</v>
      </c>
      <c r="G10" s="2">
        <v>3.9434412845117249E-2</v>
      </c>
    </row>
    <row r="11" spans="1:7" x14ac:dyDescent="0.35">
      <c r="A11" t="s">
        <v>60</v>
      </c>
      <c r="B11" s="2">
        <v>0.66214533395953057</v>
      </c>
      <c r="C11" s="2">
        <v>0.72360649257401288</v>
      </c>
      <c r="D11" s="2">
        <v>0.7167364479309104</v>
      </c>
      <c r="E11" s="2">
        <v>0.84811176220708184</v>
      </c>
      <c r="F11" s="2">
        <v>1.412616783652177</v>
      </c>
      <c r="G11" s="2">
        <v>0.60359853643747674</v>
      </c>
    </row>
    <row r="12" spans="1:7" x14ac:dyDescent="0.35">
      <c r="A12" t="s">
        <v>61</v>
      </c>
      <c r="B12" s="2">
        <v>6.3362030173605588E-2</v>
      </c>
      <c r="C12" s="2">
        <v>6.9803898883276469E-2</v>
      </c>
      <c r="D12" s="2">
        <v>7.2950602171955356E-2</v>
      </c>
      <c r="E12" s="2">
        <v>0.1404664628061025</v>
      </c>
      <c r="F12" s="2">
        <v>0.14202008224594809</v>
      </c>
      <c r="G12" s="2">
        <v>0.13119734732529789</v>
      </c>
    </row>
    <row r="13" spans="1:7" x14ac:dyDescent="0.35">
      <c r="A13" t="s">
        <v>62</v>
      </c>
      <c r="B13" s="2">
        <v>-0.76011284885123154</v>
      </c>
      <c r="C13" s="2">
        <v>-0.69234166573536871</v>
      </c>
      <c r="D13" s="2">
        <v>-0.75689653569426962</v>
      </c>
      <c r="E13" s="2">
        <v>-1.5802653969049869</v>
      </c>
      <c r="F13" s="2">
        <v>-2.0189336864986731</v>
      </c>
      <c r="G13" s="2">
        <v>-0.55943798657488897</v>
      </c>
    </row>
    <row r="14" spans="1:7" x14ac:dyDescent="0.35">
      <c r="A14" t="s">
        <v>63</v>
      </c>
      <c r="B14" s="2">
        <v>-1.5722988549802669E-2</v>
      </c>
      <c r="C14" s="2">
        <v>5.1122401588748843E-3</v>
      </c>
      <c r="D14" s="2">
        <v>-6.9147058017360796E-3</v>
      </c>
      <c r="E14" s="2">
        <v>-4.4189465734523349E-2</v>
      </c>
      <c r="F14" s="2">
        <v>-6.378567461011655E-3</v>
      </c>
      <c r="G14" s="2">
        <v>-1.457096992374006E-2</v>
      </c>
    </row>
    <row r="15" spans="1:7" x14ac:dyDescent="0.35">
      <c r="A15" t="s">
        <v>64</v>
      </c>
      <c r="B15" s="2">
        <v>-5.3816411366127061E-2</v>
      </c>
      <c r="C15" s="2">
        <v>-6.9695465102561402E-2</v>
      </c>
      <c r="D15" s="2">
        <v>-3.023064741309171E-2</v>
      </c>
      <c r="E15" s="2">
        <v>-0.1098761444250731</v>
      </c>
      <c r="F15" s="2">
        <v>-0.16178184353888489</v>
      </c>
      <c r="G15" s="2">
        <v>-3.5984600994635768E-2</v>
      </c>
    </row>
    <row r="16" spans="1:7" x14ac:dyDescent="0.35">
      <c r="A16" t="s">
        <v>65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</row>
    <row r="17" spans="1:7" x14ac:dyDescent="0.35">
      <c r="A17" t="s">
        <v>66</v>
      </c>
      <c r="B17" s="2">
        <v>-1.435330242980562E-2</v>
      </c>
      <c r="C17" s="2">
        <v>-1.2040319024797101E-2</v>
      </c>
      <c r="D17" s="2">
        <v>-3.7230283889451293E-2</v>
      </c>
      <c r="E17" s="2">
        <v>-4.3179562357020501E-2</v>
      </c>
      <c r="F17" s="2">
        <v>-7.4404228083017845E-2</v>
      </c>
      <c r="G17" s="2">
        <v>-4.1860155828697482E-2</v>
      </c>
    </row>
    <row r="18" spans="1:7" x14ac:dyDescent="0.35">
      <c r="A18" t="s">
        <v>67</v>
      </c>
      <c r="B18" s="2">
        <v>-6.349958954290208E-2</v>
      </c>
      <c r="C18" s="2">
        <v>-6.5331631020596109E-2</v>
      </c>
      <c r="D18" s="2">
        <v>-5.6659168093354771E-2</v>
      </c>
      <c r="E18" s="2">
        <v>-7.944746562030687E-2</v>
      </c>
      <c r="F18" s="2">
        <v>-6.3318629997104386E-2</v>
      </c>
      <c r="G18" s="2">
        <v>-7.7251495613485724E-2</v>
      </c>
    </row>
    <row r="19" spans="1:7" x14ac:dyDescent="0.35">
      <c r="A19" t="s">
        <v>68</v>
      </c>
      <c r="B19" s="2">
        <v>0</v>
      </c>
      <c r="C19" s="2">
        <v>0</v>
      </c>
      <c r="D19" s="2">
        <v>0</v>
      </c>
      <c r="E19" s="2">
        <v>1.4142504181510661E-2</v>
      </c>
      <c r="F19" s="2">
        <v>9.0082491555710945E-4</v>
      </c>
      <c r="G19" s="2">
        <v>0</v>
      </c>
    </row>
    <row r="20" spans="1:7" x14ac:dyDescent="0.35">
      <c r="A20" t="s">
        <v>69</v>
      </c>
      <c r="B20">
        <v>5.4237076619737007E-2</v>
      </c>
      <c r="C20">
        <v>0.2316114854194207</v>
      </c>
      <c r="D20">
        <v>0.12299429137951</v>
      </c>
      <c r="E20">
        <v>-0.45591408646794018</v>
      </c>
      <c r="F20">
        <v>-0.25771162729435232</v>
      </c>
      <c r="G20">
        <v>0.28174425567039102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"/>
  <sheetViews>
    <sheetView workbookViewId="0"/>
  </sheetViews>
  <sheetFormatPr defaultRowHeight="14.5" x14ac:dyDescent="0.35"/>
  <sheetData>
    <row r="1" spans="1:10" x14ac:dyDescent="0.35">
      <c r="A1" t="s">
        <v>70</v>
      </c>
      <c r="B1" t="s">
        <v>71</v>
      </c>
      <c r="C1" t="s">
        <v>72</v>
      </c>
      <c r="D1" t="s">
        <v>73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</row>
    <row r="2" spans="1:10" x14ac:dyDescent="0.35">
      <c r="A2" t="s">
        <v>80</v>
      </c>
      <c r="B2" t="s">
        <v>81</v>
      </c>
      <c r="C2">
        <v>137.66461026879529</v>
      </c>
      <c r="D2">
        <v>-0.1248678429109589</v>
      </c>
      <c r="E2">
        <v>3.5556379594206851</v>
      </c>
      <c r="F2">
        <v>6.0714887028961098</v>
      </c>
      <c r="G2">
        <v>1.7994706788683039</v>
      </c>
      <c r="H2">
        <v>148.9663397670694</v>
      </c>
      <c r="I2">
        <v>1.429469958557988</v>
      </c>
      <c r="J2">
        <v>1.004994713716439</v>
      </c>
    </row>
    <row r="3" spans="1:10" x14ac:dyDescent="0.35">
      <c r="A3" t="s">
        <v>82</v>
      </c>
      <c r="B3" t="s">
        <v>81</v>
      </c>
      <c r="C3">
        <v>134.24035816875579</v>
      </c>
      <c r="D3">
        <v>-0.33723252404143977</v>
      </c>
      <c r="E3">
        <v>3.3168208931285821</v>
      </c>
      <c r="F3">
        <v>5.3728579541887918</v>
      </c>
      <c r="G3">
        <v>0.31173941108948833</v>
      </c>
      <c r="H3">
        <v>142.90454390312129</v>
      </c>
      <c r="I3">
        <v>1.4741076025034729</v>
      </c>
      <c r="J3">
        <v>1.013489300961657</v>
      </c>
    </row>
    <row r="4" spans="1:10" x14ac:dyDescent="0.35">
      <c r="A4" t="s">
        <v>83</v>
      </c>
      <c r="B4" t="s">
        <v>81</v>
      </c>
      <c r="C4">
        <v>143.90771265956661</v>
      </c>
      <c r="D4">
        <v>0.28174425567038952</v>
      </c>
      <c r="E4">
        <v>4.0248020871885366</v>
      </c>
      <c r="F4">
        <v>7.5386393717450773</v>
      </c>
      <c r="G4">
        <v>4.5119049165777181</v>
      </c>
      <c r="H4">
        <v>160.26480329074829</v>
      </c>
      <c r="I4">
        <v>1.3440027990294641</v>
      </c>
      <c r="J4">
        <v>0.98873022977318403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STE Mult Steps</vt:lpstr>
      <vt:lpstr>STE Flags</vt:lpstr>
      <vt:lpstr>STE Attribution</vt:lpstr>
      <vt:lpstr>Downcredit Mult Steps</vt:lpstr>
      <vt:lpstr>Downcredit Flags</vt:lpstr>
      <vt:lpstr>Downcredit Attribution</vt:lpstr>
      <vt:lpstr>Upcredit Mult Steps</vt:lpstr>
      <vt:lpstr>Upcredit Flags</vt:lpstr>
      <vt:lpstr>Upcredit Attribution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Ali</cp:lastModifiedBy>
  <dcterms:created xsi:type="dcterms:W3CDTF">2026-08-27T20:52:56Z</dcterms:created>
  <dcterms:modified xsi:type="dcterms:W3CDTF">2026-08-31T20:08:55Z</dcterms:modified>
</cp:coreProperties>
</file>