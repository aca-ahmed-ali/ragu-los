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B8660013-F4AE-4F40-A707-61E408B910C3}" xr6:coauthVersionLast="47" xr6:coauthVersionMax="47" xr10:uidLastSave="{00000000-0000-0000-0000-000000000000}"/>
  <bookViews>
    <workbookView xWindow="15315" yWindow="-21720" windowWidth="38640" windowHeight="21120" activeTab="1" xr2:uid="{00000000-000D-0000-FFFF-FFFF00000000}"/>
  </bookViews>
  <sheets>
    <sheet name="Full Call Seasonality" sheetId="1" r:id="rId1"/>
    <sheet name="Rehash Seasonality" sheetId="2" r:id="rId2"/>
    <sheet name="Conversion Seasonal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3" l="1"/>
  <c r="P10" i="2"/>
  <c r="O10" i="2"/>
  <c r="P10" i="1"/>
  <c r="O10" i="1"/>
  <c r="P10" i="3"/>
</calcChain>
</file>

<file path=xl/sharedStrings.xml><?xml version="1.0" encoding="utf-8"?>
<sst xmlns="http://schemas.openxmlformats.org/spreadsheetml/2006/main" count="90" uniqueCount="26">
  <si>
    <t>LOB</t>
  </si>
  <si>
    <t>Metric</t>
  </si>
  <si>
    <t>Overall Avg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</si>
  <si>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</si>
  <si>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</si>
  <si>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</si>
  <si>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</si>
  <si>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</si>
  <si>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</si>
  <si>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</si>
  <si>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</si>
  <si>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</si>
  <si>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</si>
  <si>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</si>
  <si>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</si>
  <si>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Feb15-Mar15</t>
  </si>
  <si>
    <t>AN</t>
  </si>
  <si>
    <t>Full Call Rate</t>
  </si>
  <si>
    <t>ENT</t>
  </si>
  <si>
    <t>FLD</t>
  </si>
  <si>
    <t>FRN</t>
  </si>
  <si>
    <t>MCY</t>
  </si>
  <si>
    <t>STG</t>
  </si>
  <si>
    <t>ALL</t>
  </si>
  <si>
    <t>Booked Contract Rehash Rate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</si>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</sst>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zoomScale="220" zoomScaleNormal="220" workbookViewId="0">
      <selection activeCell="C7" sqref="C7"/>
    </sheetView>
  </sheetViews>
  <sheetFormatPr defaultRowHeight="14.5" x14ac:dyDescent="0.35"/>
  <cols>
    <col min="2" max="2" width="11.36328125" bestFit="1" customWidth="1"/>
    <col min="3" max="3" width="14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0.34424242628575269</v>
      </c>
      <c r="D2">
        <v>1.0037522011755531</v>
      </c>
      <c r="E2">
        <v>0.97528053533708026</v>
      </c>
      <c r="F2">
        <v>1.041626724411058</v>
      </c>
      <c r="G2">
        <v>1.125018658158472</v>
      </c>
      <c r="H2">
        <v>1.0891066118010151</v>
      </c>
      <c r="I2">
        <v>1.006775413105375</v>
      </c>
      <c r="J2">
        <v>0.92840294172883198</v>
      </c>
      <c r="K2">
        <v>0.92630621833570259</v>
      </c>
      <c r="L2">
        <v>0.90032979482719866</v>
      </c>
      <c r="M2">
        <v>0.90509606776427209</v>
      </c>
      <c r="N2">
        <v>0.95032948770349224</v>
      </c>
      <c r="O2">
        <v>0.99685214494867269</v>
      </c>
      <c r="P2">
        <v>0.98328783630291428</v>
      </c>
    </row>
    <row r="3" spans="1:16" x14ac:dyDescent="0.35">
      <c r="A3" t="s">
        <v>18</v>
      </c>
      <c r="B3" t="s">
        <v>17</v>
      </c>
      <c r="C3">
        <v>0.39487483508072407</v>
      </c>
      <c r="D3">
        <v>1.0680366056363719</v>
      </c>
      <c r="E3">
        <v>1.048881286282592</v>
      </c>
      <c r="F3">
        <v>1.0788412709626909</v>
      </c>
      <c r="G3">
        <v>0.99309416717806087</v>
      </c>
      <c r="H3">
        <v>0.91941457810809168</v>
      </c>
      <c r="I3">
        <v>1.015676204883678</v>
      </c>
      <c r="J3">
        <v>0.96264234713561103</v>
      </c>
      <c r="K3">
        <v>0.94684092473819981</v>
      </c>
      <c r="L3">
        <v>0.9117710785623917</v>
      </c>
      <c r="M3">
        <v>0.94480639891162399</v>
      </c>
      <c r="N3">
        <v>1.008452918532337</v>
      </c>
      <c r="O3">
        <v>1.006891199082806</v>
      </c>
      <c r="P3">
        <v>1.062993173037851</v>
      </c>
    </row>
    <row r="4" spans="1:16" x14ac:dyDescent="0.35">
      <c r="A4" t="s">
        <v>19</v>
      </c>
      <c r="B4" t="s">
        <v>17</v>
      </c>
      <c r="C4">
        <v>0.2848865134865135</v>
      </c>
      <c r="D4">
        <v>0.99242024532262474</v>
      </c>
      <c r="E4">
        <v>1.0232388558942409</v>
      </c>
      <c r="F4">
        <v>1.0756091387939011</v>
      </c>
      <c r="G4">
        <v>1.022438908441309</v>
      </c>
      <c r="H4">
        <v>1.006502121862894</v>
      </c>
      <c r="I4">
        <v>0.966959289859606</v>
      </c>
      <c r="J4">
        <v>0.94944143980031181</v>
      </c>
      <c r="K4">
        <v>0.95764216468194219</v>
      </c>
      <c r="L4">
        <v>0.9407995398059662</v>
      </c>
      <c r="M4">
        <v>0.94525461987019166</v>
      </c>
      <c r="N4">
        <v>0.98917212912753094</v>
      </c>
      <c r="O4">
        <v>1.0255878211757889</v>
      </c>
      <c r="P4">
        <v>1.037816234967236</v>
      </c>
    </row>
    <row r="5" spans="1:16" x14ac:dyDescent="0.35">
      <c r="A5" t="s">
        <v>20</v>
      </c>
      <c r="B5" t="s">
        <v>17</v>
      </c>
      <c r="C5">
        <v>0.1666393739287933</v>
      </c>
      <c r="D5">
        <v>0.97194448244958931</v>
      </c>
      <c r="E5">
        <v>1.040766900798366</v>
      </c>
      <c r="F5">
        <v>1.1641567558838339</v>
      </c>
      <c r="G5">
        <v>1.082822018753715</v>
      </c>
      <c r="H5">
        <v>1.016471126428786</v>
      </c>
      <c r="I5">
        <v>0.9684549761328537</v>
      </c>
      <c r="J5">
        <v>0.850758832997768</v>
      </c>
      <c r="K5">
        <v>0.86463684744744174</v>
      </c>
      <c r="L5">
        <v>0.8697742267238121</v>
      </c>
      <c r="M5">
        <v>0.93309520929518508</v>
      </c>
      <c r="N5">
        <v>0.99710375344790392</v>
      </c>
      <c r="O5">
        <v>0.98599608347045675</v>
      </c>
      <c r="P5">
        <v>1.085415752940371</v>
      </c>
    </row>
    <row r="6" spans="1:16" x14ac:dyDescent="0.35">
      <c r="A6" t="s">
        <v>21</v>
      </c>
      <c r="B6" t="s">
        <v>17</v>
      </c>
      <c r="C6">
        <v>0.24005188952263209</v>
      </c>
      <c r="D6">
        <v>0.89964208189458694</v>
      </c>
      <c r="E6">
        <v>0.95026723168285609</v>
      </c>
      <c r="F6">
        <v>1.0146460876771459</v>
      </c>
      <c r="G6">
        <v>1.0257213690050031</v>
      </c>
      <c r="H6">
        <v>1.014049317722326</v>
      </c>
      <c r="I6">
        <v>1.0699891991695289</v>
      </c>
      <c r="J6">
        <v>1.0550147063120321</v>
      </c>
      <c r="K6">
        <v>1.184217715891001</v>
      </c>
      <c r="L6">
        <v>1.0226895731658789</v>
      </c>
      <c r="M6">
        <v>0.95054261156118436</v>
      </c>
      <c r="N6">
        <v>0.87353171661106599</v>
      </c>
      <c r="O6">
        <v>0.84011443206607705</v>
      </c>
      <c r="P6">
        <v>0.97874126932913885</v>
      </c>
    </row>
    <row r="7" spans="1:16" x14ac:dyDescent="0.35">
      <c r="A7" t="s">
        <v>22</v>
      </c>
      <c r="B7" t="s">
        <v>17</v>
      </c>
      <c r="C7">
        <v>0.27429324880570322</v>
      </c>
      <c r="D7">
        <v>0.93703338910617873</v>
      </c>
      <c r="E7">
        <v>1.002720650505651</v>
      </c>
      <c r="F7">
        <v>1.1197675243689991</v>
      </c>
      <c r="G7">
        <v>1.091636971344397</v>
      </c>
      <c r="H7">
        <v>1.0434025318392</v>
      </c>
      <c r="I7">
        <v>0.99560835626542488</v>
      </c>
      <c r="J7">
        <v>0.88047409833339618</v>
      </c>
      <c r="K7">
        <v>0.90606335890541623</v>
      </c>
      <c r="L7">
        <v>0.8935968575970904</v>
      </c>
      <c r="M7">
        <v>0.94638667265574195</v>
      </c>
      <c r="N7">
        <v>0.99659312726039451</v>
      </c>
      <c r="O7">
        <v>0.9976284974664843</v>
      </c>
      <c r="P7">
        <v>1.038531596954186</v>
      </c>
    </row>
    <row r="8" spans="1:16" x14ac:dyDescent="0.35">
      <c r="A8" t="s">
        <v>23</v>
      </c>
      <c r="B8" t="s">
        <v>17</v>
      </c>
      <c r="C8">
        <v>0.26525979097625019</v>
      </c>
      <c r="D8">
        <v>1.033222688813016</v>
      </c>
      <c r="E8">
        <v>1.034027560213638</v>
      </c>
      <c r="F8">
        <v>1.094492160506557</v>
      </c>
      <c r="G8">
        <v>1.034963400997827</v>
      </c>
      <c r="H8">
        <v>0.97298582417138491</v>
      </c>
      <c r="I8">
        <v>0.99458092055634217</v>
      </c>
      <c r="J8">
        <v>0.93043932088539449</v>
      </c>
      <c r="K8">
        <v>0.92440115121290145</v>
      </c>
      <c r="L8">
        <v>0.90249147984925437</v>
      </c>
      <c r="M8">
        <v>0.94991611735285453</v>
      </c>
      <c r="N8">
        <v>0.99938229227730069</v>
      </c>
      <c r="O8">
        <v>1.0005016913647029</v>
      </c>
      <c r="P8">
        <v>1.0540377127940239</v>
      </c>
    </row>
    <row r="10" spans="1:16" x14ac:dyDescent="0.35">
      <c r="O10">
        <f>AVERAGE(O7,O5,O4,O3,O2)</f>
        <v>1.002591149228842</v>
      </c>
      <c r="P10">
        <f>AVERAGE(P7,P5,P4,P3,P2)</f>
        <v>1.0416089188405118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tabSelected="1" topLeftCell="C1" zoomScale="250" zoomScaleNormal="250" workbookViewId="0">
      <selection activeCell="M10" sqref="M10"/>
    </sheetView>
  </sheetViews>
  <sheetFormatPr defaultRowHeight="14.5" x14ac:dyDescent="0.35"/>
  <cols>
    <col min="2" max="2" width="25.7265625" bestFit="1" customWidth="1"/>
    <col min="3" max="3" width="14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24</v>
      </c>
      <c r="C2">
        <v>0.28038351952372609</v>
      </c>
      <c r="D2">
        <v>0.96571211838292237</v>
      </c>
      <c r="E2">
        <v>0.93233336427415681</v>
      </c>
      <c r="F2">
        <v>0.87691871651803754</v>
      </c>
      <c r="G2">
        <v>0.86474678914293357</v>
      </c>
      <c r="H2">
        <v>1.0189655072317561</v>
      </c>
      <c r="I2">
        <v>1.123462812952216</v>
      </c>
      <c r="J2">
        <v>1.009117458054106</v>
      </c>
      <c r="K2">
        <v>1.0772076727329001</v>
      </c>
      <c r="L2">
        <v>1.174626615123924</v>
      </c>
      <c r="M2">
        <v>1.2591135687191379</v>
      </c>
      <c r="N2">
        <v>1.10324540295403</v>
      </c>
      <c r="O2">
        <v>0.93176277222017667</v>
      </c>
      <c r="P2">
        <v>0.93285275875487328</v>
      </c>
    </row>
    <row r="3" spans="1:16" x14ac:dyDescent="0.35">
      <c r="A3" t="s">
        <v>18</v>
      </c>
      <c r="B3" t="s">
        <v>24</v>
      </c>
      <c r="C3">
        <v>0.1030850896492841</v>
      </c>
      <c r="D3">
        <v>1.2050040582351931</v>
      </c>
      <c r="E3">
        <v>1.10159069700498</v>
      </c>
      <c r="F3">
        <v>0.89651502725848031</v>
      </c>
      <c r="G3">
        <v>0.8787443443302777</v>
      </c>
      <c r="H3">
        <v>1.071105312234385</v>
      </c>
      <c r="I3">
        <v>0.88932438991599871</v>
      </c>
      <c r="J3">
        <v>0.93156660469484831</v>
      </c>
      <c r="K3">
        <v>0.91104643360905369</v>
      </c>
      <c r="L3">
        <v>1.059497580954279</v>
      </c>
      <c r="M3">
        <v>1.1471916836904139</v>
      </c>
      <c r="N3">
        <v>0.96756974484118841</v>
      </c>
      <c r="O3">
        <v>0.86928202548808298</v>
      </c>
      <c r="P3">
        <v>1.017224349198623</v>
      </c>
    </row>
    <row r="4" spans="1:16" x14ac:dyDescent="0.35">
      <c r="A4" t="s">
        <v>19</v>
      </c>
      <c r="B4" t="s">
        <v>24</v>
      </c>
      <c r="C4">
        <v>0.1578212876479696</v>
      </c>
      <c r="D4">
        <v>1.153636043053774</v>
      </c>
      <c r="E4">
        <v>0.87772710773565166</v>
      </c>
      <c r="F4">
        <v>0.85986948718932976</v>
      </c>
      <c r="G4">
        <v>0.89331716179146248</v>
      </c>
      <c r="H4">
        <v>0.94181461686960588</v>
      </c>
      <c r="I4">
        <v>1.1201240674465081</v>
      </c>
      <c r="J4">
        <v>1.2033703746142821</v>
      </c>
      <c r="K4">
        <v>1.2008490932842071</v>
      </c>
      <c r="L4">
        <v>1.167837659134022</v>
      </c>
      <c r="M4">
        <v>1.187940419372649</v>
      </c>
      <c r="N4">
        <v>1.069991535217572</v>
      </c>
      <c r="O4">
        <v>0.81572374264066938</v>
      </c>
      <c r="P4">
        <v>0.85484560460153514</v>
      </c>
    </row>
    <row r="5" spans="1:16" x14ac:dyDescent="0.35">
      <c r="A5" t="s">
        <v>20</v>
      </c>
      <c r="B5" t="s">
        <v>24</v>
      </c>
      <c r="C5">
        <v>0.40122906701411948</v>
      </c>
      <c r="D5">
        <v>1.0030208529672251</v>
      </c>
      <c r="E5">
        <v>0.88000145710041788</v>
      </c>
      <c r="F5">
        <v>0.85423815464189945</v>
      </c>
      <c r="G5">
        <v>0.93427736490517976</v>
      </c>
      <c r="H5">
        <v>1.0170261467199271</v>
      </c>
      <c r="I5">
        <v>1.0712175331468889</v>
      </c>
      <c r="J5">
        <v>1.096110272619585</v>
      </c>
      <c r="K5">
        <v>1.2343984036589239</v>
      </c>
      <c r="L5">
        <v>1.2207046029600339</v>
      </c>
      <c r="M5">
        <v>1.1860255911707369</v>
      </c>
      <c r="N5">
        <v>0.9657407992777759</v>
      </c>
      <c r="O5">
        <v>0.9163294028993012</v>
      </c>
      <c r="P5">
        <v>0.86147896489007625</v>
      </c>
    </row>
    <row r="6" spans="1:16" x14ac:dyDescent="0.35">
      <c r="A6" t="s">
        <v>21</v>
      </c>
      <c r="B6" t="s">
        <v>24</v>
      </c>
      <c r="C6">
        <v>0.45918696156972022</v>
      </c>
      <c r="D6">
        <v>1.046523617215199</v>
      </c>
      <c r="E6">
        <v>0.95879825199092472</v>
      </c>
      <c r="F6">
        <v>0.89987059328703489</v>
      </c>
      <c r="G6">
        <v>0.88624152673235501</v>
      </c>
      <c r="H6">
        <v>1.0366802714488821</v>
      </c>
      <c r="I6">
        <v>1.0594480720475541</v>
      </c>
      <c r="J6">
        <v>1.0158157403795629</v>
      </c>
      <c r="K6">
        <v>1.044561897363083</v>
      </c>
      <c r="L6">
        <v>1.0738646845904949</v>
      </c>
      <c r="M6">
        <v>1.051953343592491</v>
      </c>
      <c r="N6">
        <v>1.003166659054606</v>
      </c>
      <c r="O6">
        <v>1.1155209401648121</v>
      </c>
      <c r="P6">
        <v>0.9030239552613597</v>
      </c>
    </row>
    <row r="7" spans="1:16" x14ac:dyDescent="0.35">
      <c r="A7" t="s">
        <v>22</v>
      </c>
      <c r="B7" t="s">
        <v>24</v>
      </c>
      <c r="C7">
        <v>0.31379767030567679</v>
      </c>
      <c r="D7">
        <v>0.97700966779974951</v>
      </c>
      <c r="E7">
        <v>0.96319870676763486</v>
      </c>
      <c r="F7">
        <v>0.89157881311526976</v>
      </c>
      <c r="G7">
        <v>0.94549733896902521</v>
      </c>
      <c r="H7">
        <v>1.0267629116885351</v>
      </c>
      <c r="I7">
        <v>1.02372716380484</v>
      </c>
      <c r="J7">
        <v>1.2027223751506431</v>
      </c>
      <c r="K7">
        <v>1.213984682908916</v>
      </c>
      <c r="L7">
        <v>1.1582916336758819</v>
      </c>
      <c r="M7">
        <v>1.1882280904583551</v>
      </c>
      <c r="N7">
        <v>0.90434683473439259</v>
      </c>
      <c r="O7">
        <v>0.77183427019390016</v>
      </c>
      <c r="P7">
        <v>0.94818774375100801</v>
      </c>
    </row>
    <row r="8" spans="1:16" x14ac:dyDescent="0.35">
      <c r="A8" t="s">
        <v>23</v>
      </c>
      <c r="B8" t="s">
        <v>24</v>
      </c>
      <c r="C8">
        <v>0.27818490349264707</v>
      </c>
      <c r="D8">
        <v>0.98386401553336011</v>
      </c>
      <c r="E8">
        <v>0.91129513999746847</v>
      </c>
      <c r="F8">
        <v>0.87141677713137622</v>
      </c>
      <c r="G8">
        <v>0.93823647203374494</v>
      </c>
      <c r="H8">
        <v>1.0606719320513469</v>
      </c>
      <c r="I8">
        <v>1.0637107583219689</v>
      </c>
      <c r="J8">
        <v>1.077413182049616</v>
      </c>
      <c r="K8">
        <v>1.16571531470879</v>
      </c>
      <c r="L8">
        <v>1.1791269598715</v>
      </c>
      <c r="M8">
        <v>1.1762895722736391</v>
      </c>
      <c r="N8">
        <v>0.97432579927865337</v>
      </c>
      <c r="O8">
        <v>0.8863598956422265</v>
      </c>
      <c r="P8">
        <v>0.88950315639737443</v>
      </c>
    </row>
    <row r="10" spans="1:16" x14ac:dyDescent="0.35">
      <c r="O10">
        <f>AVERAGE(O7,O5,O4,O3,O2)</f>
        <v>0.86098644268842617</v>
      </c>
      <c r="P10">
        <f>AVERAGE(P7,P5,P4,P3,P2)</f>
        <v>0.92291788423922316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zoomScale="235" zoomScaleNormal="235" workbookViewId="0">
      <selection activeCell="O10" sqref="O10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25</v>
      </c>
      <c r="C2">
        <v>6.6735112936344973E-2</v>
      </c>
      <c r="D2">
        <v>0.86042709316615296</v>
      </c>
      <c r="E2">
        <v>1.0531739603699899</v>
      </c>
      <c r="F2">
        <v>1.027451192716017</v>
      </c>
      <c r="G2">
        <v>1.1028954818001471</v>
      </c>
      <c r="H2">
        <v>1.0722075849240389</v>
      </c>
      <c r="I2">
        <v>1.133428995247177</v>
      </c>
      <c r="J2">
        <v>0.99824703872756282</v>
      </c>
      <c r="K2">
        <v>1.0929096507531419</v>
      </c>
      <c r="L2">
        <v>0.91403835190788507</v>
      </c>
      <c r="M2">
        <v>0.85201621506294001</v>
      </c>
      <c r="N2">
        <v>0.86178254071164329</v>
      </c>
      <c r="O2">
        <v>0.88351410580043821</v>
      </c>
      <c r="P2">
        <v>1.052714972162857</v>
      </c>
    </row>
    <row r="3" spans="1:16" x14ac:dyDescent="0.35">
      <c r="A3" t="s">
        <v>18</v>
      </c>
      <c r="B3" t="s">
        <v>25</v>
      </c>
      <c r="C3">
        <v>3.1971697512184247E-2</v>
      </c>
      <c r="D3">
        <v>0.97263992006404454</v>
      </c>
      <c r="E3">
        <v>1.093877983314302</v>
      </c>
      <c r="F3">
        <v>1.009471052646415</v>
      </c>
      <c r="G3">
        <v>0.7737601748632893</v>
      </c>
      <c r="H3">
        <v>0.69242283870888088</v>
      </c>
      <c r="I3">
        <v>1.167539302701643</v>
      </c>
      <c r="J3">
        <v>1.0703412823058871</v>
      </c>
      <c r="K3">
        <v>1.162850000563378</v>
      </c>
      <c r="L3">
        <v>1.0435003221056129</v>
      </c>
      <c r="M3">
        <v>1.0164808742628071</v>
      </c>
      <c r="N3">
        <v>0.88953622996588622</v>
      </c>
      <c r="O3">
        <v>0.89421383462637338</v>
      </c>
      <c r="P3">
        <v>1.1400678476857209</v>
      </c>
    </row>
    <row r="4" spans="1:16" x14ac:dyDescent="0.35">
      <c r="A4" t="s">
        <v>19</v>
      </c>
      <c r="B4" t="s">
        <v>25</v>
      </c>
      <c r="C4">
        <v>4.5186878323276738E-2</v>
      </c>
      <c r="D4">
        <v>0.86900774742515763</v>
      </c>
      <c r="E4">
        <v>1.1257803456070099</v>
      </c>
      <c r="F4">
        <v>1.2059005119720081</v>
      </c>
      <c r="G4">
        <v>1.267862247426164</v>
      </c>
      <c r="H4">
        <v>1.21605622762526</v>
      </c>
      <c r="I4">
        <v>0.90451643618514777</v>
      </c>
      <c r="J4">
        <v>0.8580176578004628</v>
      </c>
      <c r="K4">
        <v>1.0041598945316561</v>
      </c>
      <c r="L4">
        <v>0.89913630530947486</v>
      </c>
      <c r="M4">
        <v>0.91661608089349866</v>
      </c>
      <c r="N4">
        <v>0.77681933602934239</v>
      </c>
      <c r="O4">
        <v>0.79114955244570107</v>
      </c>
      <c r="P4">
        <v>1.188679735292846</v>
      </c>
    </row>
    <row r="5" spans="1:16" x14ac:dyDescent="0.35">
      <c r="A5" t="s">
        <v>20</v>
      </c>
      <c r="B5" t="s">
        <v>25</v>
      </c>
      <c r="C5">
        <v>2.7844734747389611E-2</v>
      </c>
      <c r="D5">
        <v>0.82748370108905478</v>
      </c>
      <c r="E5">
        <v>1.097497148084253</v>
      </c>
      <c r="F5">
        <v>1.13771383395634</v>
      </c>
      <c r="G5">
        <v>1.20361008796562</v>
      </c>
      <c r="H5">
        <v>1.287935343327681</v>
      </c>
      <c r="I5">
        <v>1.0707534945802211</v>
      </c>
      <c r="J5">
        <v>1.0070824626502211</v>
      </c>
      <c r="K5">
        <v>0.99008671149297334</v>
      </c>
      <c r="L5">
        <v>0.81133089571908701</v>
      </c>
      <c r="M5">
        <v>0.78818544459296758</v>
      </c>
      <c r="N5">
        <v>0.77075839811167612</v>
      </c>
      <c r="O5">
        <v>0.78922073671374149</v>
      </c>
      <c r="P5">
        <v>1.1431262208987749</v>
      </c>
    </row>
    <row r="6" spans="1:16" x14ac:dyDescent="0.35">
      <c r="A6" t="s">
        <v>21</v>
      </c>
      <c r="B6" t="s">
        <v>25</v>
      </c>
      <c r="C6">
        <v>6.750076444806849E-2</v>
      </c>
      <c r="D6">
        <v>0.72037395738309651</v>
      </c>
      <c r="E6">
        <v>1.0709885480761521</v>
      </c>
      <c r="F6">
        <v>0.99960421181329784</v>
      </c>
      <c r="G6">
        <v>1.138848961296909</v>
      </c>
      <c r="H6">
        <v>1.414247611844075</v>
      </c>
      <c r="I6">
        <v>1.004740112039989</v>
      </c>
      <c r="J6">
        <v>0.99259062800130404</v>
      </c>
      <c r="K6">
        <v>0.97789207519563226</v>
      </c>
      <c r="L6">
        <v>0.88079622157553872</v>
      </c>
      <c r="M6">
        <v>0.87786462013081801</v>
      </c>
      <c r="N6">
        <v>0.93351057016717864</v>
      </c>
      <c r="O6">
        <v>0.9303884612368537</v>
      </c>
      <c r="P6">
        <v>1.08453294796042</v>
      </c>
    </row>
    <row r="7" spans="1:16" x14ac:dyDescent="0.35">
      <c r="A7" t="s">
        <v>22</v>
      </c>
      <c r="B7" t="s">
        <v>25</v>
      </c>
      <c r="C7">
        <v>4.6874781093175152E-2</v>
      </c>
      <c r="D7">
        <v>0.89809092502927357</v>
      </c>
      <c r="E7">
        <v>1.0956406243262751</v>
      </c>
      <c r="F7">
        <v>1.091903928617673</v>
      </c>
      <c r="G7">
        <v>1.174130074411865</v>
      </c>
      <c r="H7">
        <v>1.127926503547068</v>
      </c>
      <c r="I7">
        <v>1.1404792597014179</v>
      </c>
      <c r="J7">
        <v>1.0242320179296349</v>
      </c>
      <c r="K7">
        <v>0.98051850039910793</v>
      </c>
      <c r="L7">
        <v>0.87349384040819622</v>
      </c>
      <c r="M7">
        <v>0.83978527297241212</v>
      </c>
      <c r="N7">
        <v>0.76792473317132615</v>
      </c>
      <c r="O7">
        <v>0.78951613365482809</v>
      </c>
      <c r="P7">
        <v>1.1409844144159049</v>
      </c>
    </row>
    <row r="8" spans="1:16" x14ac:dyDescent="0.35">
      <c r="A8" t="s">
        <v>23</v>
      </c>
      <c r="B8" t="s">
        <v>25</v>
      </c>
      <c r="C8">
        <v>3.6320485889555727E-2</v>
      </c>
      <c r="D8">
        <v>0.8716667331364083</v>
      </c>
      <c r="E8">
        <v>1.095457232748577</v>
      </c>
      <c r="F8">
        <v>1.100663259575231</v>
      </c>
      <c r="G8">
        <v>1.130142492212395</v>
      </c>
      <c r="H8">
        <v>1.1514358415746</v>
      </c>
      <c r="I8">
        <v>1.0860719474858069</v>
      </c>
      <c r="J8">
        <v>1.002756074687267</v>
      </c>
      <c r="K8">
        <v>1.0361994580808569</v>
      </c>
      <c r="L8">
        <v>0.89182255591659987</v>
      </c>
      <c r="M8">
        <v>0.86479165848960993</v>
      </c>
      <c r="N8">
        <v>0.81215269316027094</v>
      </c>
      <c r="O8">
        <v>0.82768323601836469</v>
      </c>
      <c r="P8">
        <v>1.1377333099874829</v>
      </c>
    </row>
    <row r="10" spans="1:16" x14ac:dyDescent="0.35">
      <c r="O10">
        <f>AVERAGE(O7,O5,O4,O3,O2)</f>
        <v>0.82952287264821645</v>
      </c>
      <c r="P10">
        <f>AVERAGE(P7,P5,P4,P3,P2)</f>
        <v>1.1331146380912207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Call Seasonality</vt:lpstr>
      <vt:lpstr>Rehash Seasonality</vt:lpstr>
      <vt:lpstr>Conversion Seasonality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2026-06-04T15:51:51Z</dcterms:created>
  <dcterms:modified xsi:type="dcterms:W3CDTF">2026-06-04T16:09:33Z</dcterms:modified>
</cp:coreProperties>
</file>