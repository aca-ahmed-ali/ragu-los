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315" yWindow="-21720" windowWidth="38640" windowHeight="21120" tabRatio="600" firstSheet="0" activeTab="7" autoFilterDateGrouping="1"/>
  </bookViews>
  <sheets>
    <sheet name="Data Tables (Q)" sheetId="1" state="visible" r:id="rId1"/>
    <sheet name="Data Tables (M)" sheetId="2" state="visible" r:id="rId2"/>
    <sheet name="Waterfall Tables" sheetId="3" state="visible" r:id="rId3"/>
    <sheet name="t-1 Data Table" sheetId="4" state="visible" r:id="rId4"/>
    <sheet name="distribution_rolledup" sheetId="5" state="visible" r:id="rId5"/>
    <sheet name="POS" sheetId="6" state="visible" r:id="rId6"/>
    <sheet name="AN Table" sheetId="7" state="visible" r:id="rId7"/>
    <sheet name="STG Table" sheetId="8" state="visible" r:id="rId8"/>
    <sheet name="FRN Table" sheetId="9" state="visible" r:id="rId9"/>
    <sheet name="FLD Table" sheetId="10" state="visible" r:id="rId10"/>
    <sheet name="ENT Table" sheetId="11" state="visible" r:id="rId11"/>
    <sheet name="KMX Table" sheetId="12" state="visible" r:id="rId12"/>
    <sheet name="KMX Table (Monthly)" sheetId="13" state="visible" r:id="rId13"/>
    <sheet name="NonKMXENT Table" sheetId="14" state="visible" r:id="rId14"/>
    <sheet name="POS Table" sheetId="15" state="visible" r:id="rId15"/>
    <sheet name="Data Tables (W)" sheetId="16" state="visible" r:id="rId16"/>
    <sheet name="AN Table (Weekly)" sheetId="17" state="visible" r:id="rId17"/>
    <sheet name="FRN Table (Weekly)" sheetId="18" state="visible" r:id="rId18"/>
    <sheet name="STG Table (Weekly)" sheetId="19" state="visible" r:id="rId19"/>
    <sheet name="FLD Table (Weekly)" sheetId="20" state="visible" r:id="rId20"/>
    <sheet name="ENT Table (Weekly)" sheetId="21" state="visible" r:id="rId21"/>
    <sheet name="KMX Table (Weekly)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"/>
    <numFmt numFmtId="166" formatCode="yyyy\-mm\-dd\ h:mm:ss"/>
    <numFmt numFmtId="167" formatCode="yyyy\-mm\-dd"/>
    <numFmt numFmtId="168" formatCode="[$-409]d\-mmm\-yy;@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0000"/>
      <sz val="9"/>
    </font>
    <font>
      <name val="Calibri"/>
      <family val="2"/>
      <color theme="1"/>
      <sz val="11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0000"/>
      <sz val="8"/>
      <scheme val="minor"/>
    </font>
    <font>
      <name val="Calibri"/>
      <family val="2"/>
      <sz val="8"/>
      <scheme val="minor"/>
    </font>
    <font>
      <name val="Calibri"/>
      <family val="2"/>
      <color rgb="FF000000"/>
      <sz val="8"/>
      <scheme val="minor"/>
    </font>
    <font>
      <name val="Calibri"/>
      <family val="2"/>
      <b val="1"/>
      <color theme="1"/>
      <sz val="8"/>
      <scheme val="minor"/>
    </font>
    <font>
      <name val="Arial"/>
      <family val="2"/>
      <color rgb="FF000000"/>
      <sz val="8"/>
    </font>
    <font>
      <name val="Calibri"/>
      <family val="2"/>
      <b val="1"/>
      <color theme="1"/>
      <sz val="7"/>
      <scheme val="minor"/>
    </font>
  </fonts>
  <fills count="9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3" fillId="0" borderId="0"/>
    <xf numFmtId="9" fontId="3" fillId="0" borderId="0"/>
  </cellStyleXfs>
  <cellXfs count="142">
    <xf numFmtId="0" fontId="0" fillId="0" borderId="0" pivotButton="0" quotePrefix="0" xfId="0"/>
    <xf numFmtId="0" fontId="2" fillId="2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 readingOrder="1"/>
    </xf>
    <xf numFmtId="0" fontId="2" fillId="4" borderId="1" applyAlignment="1" pivotButton="0" quotePrefix="0" xfId="0">
      <alignment horizontal="right" vertical="center" wrapText="1" readingOrder="1"/>
    </xf>
    <xf numFmtId="0" fontId="1" fillId="4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0" borderId="1" pivotButton="0" quotePrefix="0" xfId="0"/>
    <xf numFmtId="164" fontId="0" fillId="0" borderId="0" pivotButton="0" quotePrefix="0" xfId="0"/>
    <xf numFmtId="165" fontId="4" fillId="0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9" fontId="4" fillId="4" borderId="1" applyAlignment="1" pivotButton="0" quotePrefix="0" xfId="1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right" vertical="center" wrapText="1" readingOrder="1"/>
    </xf>
    <xf numFmtId="0" fontId="5" fillId="2" borderId="1" applyAlignment="1" pivotButton="0" quotePrefix="0" xfId="0">
      <alignment horizontal="center" vertical="center" wrapText="1"/>
    </xf>
    <xf numFmtId="0" fontId="5" fillId="4" borderId="3" applyAlignment="1" pivotButton="0" quotePrefix="0" xfId="0">
      <alignment horizontal="right" vertical="center" wrapText="1" readingOrder="1"/>
    </xf>
    <xf numFmtId="0" fontId="5" fillId="3" borderId="3" applyAlignment="1" pivotButton="0" quotePrefix="0" xfId="0">
      <alignment horizontal="right" vertical="center" wrapText="1" readingOrder="1"/>
    </xf>
    <xf numFmtId="0" fontId="6" fillId="0" borderId="4" applyAlignment="1" pivotButton="0" quotePrefix="0" xfId="0">
      <alignment horizontal="right" vertical="center" wrapText="1"/>
    </xf>
    <xf numFmtId="0" fontId="5" fillId="0" borderId="5" applyAlignment="1" pivotButton="0" quotePrefix="0" xfId="0">
      <alignment horizontal="right" vertical="center" wrapText="1" readingOrder="1"/>
    </xf>
    <xf numFmtId="164" fontId="7" fillId="4" borderId="1" applyAlignment="1" pivotButton="0" quotePrefix="0" xfId="0">
      <alignment horizontal="center" vertical="center"/>
    </xf>
    <xf numFmtId="0" fontId="5" fillId="4" borderId="6" applyAlignment="1" pivotButton="0" quotePrefix="0" xfId="0">
      <alignment horizontal="right" vertical="center" wrapText="1" readingOrder="1"/>
    </xf>
    <xf numFmtId="0" fontId="5" fillId="2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 readingOrder="1"/>
    </xf>
    <xf numFmtId="0" fontId="8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 wrapText="1" readingOrder="1"/>
    </xf>
    <xf numFmtId="0" fontId="5" fillId="3" borderId="1" applyAlignment="1" pivotButton="0" quotePrefix="0" xfId="0">
      <alignment horizontal="right" vertical="center" wrapText="1" readingOrder="1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 wrapText="1" readingOrder="1"/>
    </xf>
    <xf numFmtId="0" fontId="8" fillId="0" borderId="1" applyAlignment="1" pivotButton="0" quotePrefix="0" xfId="0">
      <alignment horizontal="right" vertical="center"/>
    </xf>
    <xf numFmtId="0" fontId="4" fillId="0" borderId="1" pivotButton="0" quotePrefix="0" xfId="0"/>
    <xf numFmtId="165" fontId="7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49" fontId="4" fillId="0" borderId="0" pivotButton="0" quotePrefix="0" xfId="0"/>
    <xf numFmtId="49" fontId="4" fillId="0" borderId="0" applyAlignment="1" pivotButton="0" quotePrefix="0" xfId="0">
      <alignment horizontal="right"/>
    </xf>
    <xf numFmtId="49" fontId="4" fillId="0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left" vertical="center"/>
    </xf>
    <xf numFmtId="0" fontId="5" fillId="2" borderId="8" applyAlignment="1" pivotButton="0" quotePrefix="0" xfId="0">
      <alignment horizontal="center" vertical="center" wrapText="1"/>
    </xf>
    <xf numFmtId="165" fontId="4" fillId="4" borderId="8" applyAlignment="1" pivotButton="0" quotePrefix="0" xfId="0">
      <alignment horizontal="right" vertical="center"/>
    </xf>
    <xf numFmtId="164" fontId="4" fillId="4" borderId="1" applyAlignment="1" pivotButton="0" quotePrefix="0" xfId="0">
      <alignment vertical="center"/>
    </xf>
    <xf numFmtId="9" fontId="4" fillId="0" borderId="0" pivotButton="0" quotePrefix="0" xfId="1"/>
    <xf numFmtId="0" fontId="8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 wrapText="1" readingOrder="1"/>
    </xf>
    <xf numFmtId="164" fontId="7" fillId="0" borderId="9" applyAlignment="1" pivotButton="0" quotePrefix="0" xfId="0">
      <alignment horizontal="center" vertical="center" wrapText="1" readingOrder="1"/>
    </xf>
    <xf numFmtId="165" fontId="4" fillId="0" borderId="2" applyAlignment="1" pivotButton="0" quotePrefix="0" xfId="0">
      <alignment horizontal="center" vertical="center"/>
    </xf>
    <xf numFmtId="0" fontId="9" fillId="0" borderId="1" pivotButton="0" quotePrefix="0" xfId="0"/>
    <xf numFmtId="0" fontId="7" fillId="0" borderId="1" pivotButton="0" quotePrefix="0" xfId="0"/>
    <xf numFmtId="165" fontId="4" fillId="6" borderId="1" applyAlignment="1" pivotButton="0" quotePrefix="0" xfId="0">
      <alignment horizontal="right" vertical="center"/>
    </xf>
    <xf numFmtId="0" fontId="0" fillId="4" borderId="0" pivotButton="0" quotePrefix="0" xfId="0"/>
    <xf numFmtId="166" fontId="0" fillId="4" borderId="1" pivotButton="0" quotePrefix="0" xfId="0"/>
    <xf numFmtId="166" fontId="0" fillId="0" borderId="1" pivotButton="0" quotePrefix="0" xfId="0"/>
    <xf numFmtId="2" fontId="0" fillId="0" borderId="0" pivotButton="0" quotePrefix="0" xfId="0"/>
    <xf numFmtId="0" fontId="2" fillId="2" borderId="0" applyAlignment="1" pivotButton="0" quotePrefix="0" xfId="0">
      <alignment horizontal="right" vertical="center" wrapText="1"/>
    </xf>
    <xf numFmtId="165" fontId="4" fillId="6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right" vertical="center" wrapText="1" readingOrder="1"/>
    </xf>
    <xf numFmtId="0" fontId="5" fillId="4" borderId="19" applyAlignment="1" pivotButton="0" quotePrefix="0" xfId="0">
      <alignment horizontal="right" vertical="center" wrapText="1" readingOrder="1"/>
    </xf>
    <xf numFmtId="0" fontId="5" fillId="0" borderId="19" applyAlignment="1" pivotButton="0" quotePrefix="0" xfId="0">
      <alignment horizontal="right" vertical="center" wrapText="1" readingOrder="1"/>
    </xf>
    <xf numFmtId="0" fontId="5" fillId="4" borderId="23" applyAlignment="1" pivotButton="0" quotePrefix="0" xfId="0">
      <alignment horizontal="right" vertical="center" wrapText="1" readingOrder="1"/>
    </xf>
    <xf numFmtId="0" fontId="7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24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 wrapText="1"/>
    </xf>
    <xf numFmtId="165" fontId="7" fillId="0" borderId="1" pivotButton="0" quotePrefix="0" xfId="0"/>
    <xf numFmtId="9" fontId="4" fillId="0" borderId="1" applyAlignment="1" pivotButton="0" quotePrefix="0" xfId="1">
      <alignment horizontal="center" vertical="center"/>
    </xf>
    <xf numFmtId="164" fontId="7" fillId="0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165" fontId="7" fillId="4" borderId="1" applyAlignment="1" pivotButton="0" quotePrefix="0" xfId="0">
      <alignment horizontal="right" vertical="center"/>
    </xf>
    <xf numFmtId="165" fontId="4" fillId="0" borderId="8" applyAlignment="1" pivotButton="0" quotePrefix="0" xfId="0">
      <alignment horizontal="right" vertical="center"/>
    </xf>
    <xf numFmtId="165" fontId="4" fillId="0" borderId="1" applyAlignment="1" pivotButton="0" quotePrefix="0" xfId="0">
      <alignment vertical="center"/>
    </xf>
    <xf numFmtId="164" fontId="4" fillId="0" borderId="8" applyAlignment="1" pivotButton="0" quotePrefix="0" xfId="0">
      <alignment horizontal="center" vertical="center"/>
    </xf>
    <xf numFmtId="164" fontId="4" fillId="0" borderId="1" applyAlignment="1" pivotButton="0" quotePrefix="0" xfId="0">
      <alignment vertical="center"/>
    </xf>
    <xf numFmtId="164" fontId="4" fillId="4" borderId="7" applyAlignment="1" pivotButton="0" quotePrefix="0" xfId="0">
      <alignment horizontal="center" vertical="center"/>
    </xf>
    <xf numFmtId="164" fontId="4" fillId="4" borderId="7" applyAlignment="1" pivotButton="0" quotePrefix="0" xfId="0">
      <alignment vertical="center"/>
    </xf>
    <xf numFmtId="0" fontId="6" fillId="0" borderId="20" applyAlignment="1" pivotButton="0" quotePrefix="0" xfId="0">
      <alignment horizontal="right" vertical="center" wrapText="1"/>
    </xf>
    <xf numFmtId="0" fontId="5" fillId="0" borderId="21" applyAlignment="1" pivotButton="0" quotePrefix="0" xfId="0">
      <alignment horizontal="right" vertical="center" wrapText="1" readingOrder="1"/>
    </xf>
    <xf numFmtId="0" fontId="5" fillId="0" borderId="22" applyAlignment="1" pivotButton="0" quotePrefix="0" xfId="0">
      <alignment horizontal="right" vertical="center" wrapText="1" readingOrder="1"/>
    </xf>
    <xf numFmtId="0" fontId="4" fillId="4" borderId="1" applyAlignment="1" pivotButton="0" quotePrefix="0" xfId="0">
      <alignment vertical="center"/>
    </xf>
    <xf numFmtId="164" fontId="4" fillId="0" borderId="0" pivotButton="0" quotePrefix="0" xfId="0"/>
    <xf numFmtId="0" fontId="4" fillId="0" borderId="1" applyAlignment="1" pivotButton="0" quotePrefix="0" xfId="0">
      <alignment vertical="center"/>
    </xf>
    <xf numFmtId="165" fontId="4" fillId="4" borderId="2" applyAlignment="1" pivotButton="0" quotePrefix="0" xfId="0">
      <alignment horizontal="center" vertical="center"/>
    </xf>
    <xf numFmtId="2" fontId="0" fillId="7" borderId="0" pivotButton="0" quotePrefix="0" xfId="0"/>
    <xf numFmtId="0" fontId="2" fillId="2" borderId="8" applyAlignment="1" pivotButton="0" quotePrefix="0" xfId="0">
      <alignment horizontal="right" vertical="center" wrapText="1"/>
    </xf>
    <xf numFmtId="0" fontId="1" fillId="4" borderId="27" applyAlignment="1" pivotButton="0" quotePrefix="0" xfId="0">
      <alignment horizontal="right" vertical="center"/>
    </xf>
    <xf numFmtId="165" fontId="4" fillId="0" borderId="0" applyAlignment="1" pivotButton="0" quotePrefix="0" xfId="0">
      <alignment horizontal="center" vertical="center"/>
    </xf>
    <xf numFmtId="165" fontId="7" fillId="4" borderId="1" applyAlignment="1" pivotButton="0" quotePrefix="0" xfId="0">
      <alignment horizontal="center" vertical="center"/>
    </xf>
    <xf numFmtId="0" fontId="4" fillId="0" borderId="28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10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/>
    </xf>
    <xf numFmtId="9" fontId="3" fillId="0" borderId="0" pivotButton="0" quotePrefix="0" xfId="1"/>
    <xf numFmtId="165" fontId="0" fillId="0" borderId="0" pivotButton="0" quotePrefix="0" xfId="0"/>
    <xf numFmtId="164" fontId="3" fillId="0" borderId="0" pivotButton="0" quotePrefix="0" xfId="1"/>
    <xf numFmtId="165" fontId="0" fillId="8" borderId="0" applyAlignment="1" pivotButton="0" quotePrefix="0" xfId="0">
      <alignment horizontal="center"/>
    </xf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7" fontId="0" fillId="4" borderId="1" pivotButton="0" quotePrefix="0" xfId="0"/>
    <xf numFmtId="167" fontId="0" fillId="0" borderId="1" pivotButton="0" quotePrefix="0" xfId="0"/>
    <xf numFmtId="168" fontId="1" fillId="0" borderId="1" pivotButton="0" quotePrefix="0" xfId="0"/>
    <xf numFmtId="168" fontId="10" fillId="0" borderId="1" applyAlignment="1" pivotButton="0" quotePrefix="0" xfId="0">
      <alignment horizontal="center" vertical="center"/>
    </xf>
    <xf numFmtId="168" fontId="10" fillId="0" borderId="7" applyAlignment="1" pivotButton="0" quotePrefix="0" xfId="0">
      <alignment horizontal="center" vertical="center"/>
    </xf>
    <xf numFmtId="168" fontId="10" fillId="0" borderId="29" applyAlignment="1" pivotButton="0" quotePrefix="0" xfId="0">
      <alignment horizontal="center" vertical="center"/>
    </xf>
    <xf numFmtId="2" fontId="0" fillId="0" borderId="1" applyAlignment="1" pivotButton="0" quotePrefix="0" xfId="0">
      <alignment wrapText="1"/>
    </xf>
    <xf numFmtId="2" fontId="0" fillId="7" borderId="1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2" fontId="0" fillId="7" borderId="0" applyAlignment="1" pivotButton="0" quotePrefix="0" xfId="0">
      <alignment wrapText="1"/>
    </xf>
    <xf numFmtId="2" fontId="0" fillId="0" borderId="0" applyAlignment="1" pivotButton="0" quotePrefix="0" xfId="0">
      <alignment horizontal="left"/>
    </xf>
    <xf numFmtId="2" fontId="0" fillId="0" borderId="1" applyAlignment="1" pivotButton="0" quotePrefix="0" xfId="0">
      <alignment horizontal="left" wrapText="1"/>
    </xf>
    <xf numFmtId="2" fontId="1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0" pivotButton="0" quotePrefix="0" xfId="0"/>
    <xf numFmtId="0" fontId="4" fillId="0" borderId="13" applyAlignment="1" pivotButton="0" quotePrefix="0" xfId="0">
      <alignment horizontal="center" vertical="center"/>
    </xf>
    <xf numFmtId="0" fontId="0" fillId="0" borderId="11" pivotButton="0" quotePrefix="0" xfId="0"/>
    <xf numFmtId="0" fontId="10" fillId="0" borderId="12" applyAlignment="1" pivotButton="0" quotePrefix="0" xfId="0">
      <alignment horizontal="center" vertical="center"/>
    </xf>
    <xf numFmtId="0" fontId="0" fillId="0" borderId="10" pivotButton="0" quotePrefix="0" xfId="0"/>
    <xf numFmtId="0" fontId="4" fillId="0" borderId="14" applyAlignment="1" pivotButton="0" quotePrefix="0" xfId="0">
      <alignment horizontal="center" vertical="center"/>
    </xf>
    <xf numFmtId="0" fontId="0" fillId="0" borderId="15" pivotButton="0" quotePrefix="0" xfId="0"/>
    <xf numFmtId="0" fontId="4" fillId="0" borderId="26" applyAlignment="1" pivotButton="0" quotePrefix="0" xfId="0">
      <alignment horizontal="center"/>
    </xf>
    <xf numFmtId="0" fontId="0" fillId="0" borderId="17" pivotButton="0" quotePrefix="0" xfId="0"/>
    <xf numFmtId="0" fontId="10" fillId="0" borderId="16" applyAlignment="1" pivotButton="0" quotePrefix="0" xfId="0">
      <alignment horizontal="center" vertical="center"/>
    </xf>
    <xf numFmtId="0" fontId="0" fillId="0" borderId="25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theme" Target="theme/theme1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styles" Target="styles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"/>
  <sheetViews>
    <sheetView zoomScale="115" zoomScaleNormal="115" workbookViewId="0">
      <selection activeCell="T23" sqref="T23"/>
    </sheetView>
  </sheetViews>
  <sheetFormatPr baseColWidth="8" defaultRowHeight="14.5"/>
  <cols>
    <col width="54.1796875" customWidth="1" style="115" min="1" max="1"/>
  </cols>
  <sheetData>
    <row r="1" ht="15" customHeight="1" s="115">
      <c r="A1" s="1" t="inlineStr">
        <is>
          <t>AN</t>
        </is>
      </c>
      <c r="B1" s="2" t="n">
        <v>2016</v>
      </c>
      <c r="C1" s="2" t="n">
        <v>2017</v>
      </c>
      <c r="D1" s="2" t="n">
        <v>2018</v>
      </c>
      <c r="E1" s="2" t="n">
        <v>2019</v>
      </c>
      <c r="F1" s="2" t="inlineStr">
        <is>
          <t>2020 Q1</t>
        </is>
      </c>
      <c r="G1" s="2" t="inlineStr">
        <is>
          <t>2020 Q2</t>
        </is>
      </c>
      <c r="H1" s="2" t="inlineStr">
        <is>
          <t>2020 Q3</t>
        </is>
      </c>
      <c r="I1" s="2" t="inlineStr">
        <is>
          <t>2020 Q4</t>
        </is>
      </c>
      <c r="J1" s="2" t="inlineStr">
        <is>
          <t>2021 Q1</t>
        </is>
      </c>
      <c r="K1" s="2" t="inlineStr">
        <is>
          <t>2021 Q2</t>
        </is>
      </c>
      <c r="L1" s="2" t="inlineStr">
        <is>
          <t>2021 Q3</t>
        </is>
      </c>
      <c r="M1" s="2" t="inlineStr">
        <is>
          <t>2021 Q4</t>
        </is>
      </c>
      <c r="N1" s="2" t="inlineStr">
        <is>
          <t>2022 Q1</t>
        </is>
      </c>
      <c r="O1" s="2" t="inlineStr">
        <is>
          <t>2022 Q2</t>
        </is>
      </c>
      <c r="P1" s="2" t="inlineStr">
        <is>
          <t>2022 Q3</t>
        </is>
      </c>
      <c r="Q1" s="2" t="inlineStr">
        <is>
          <t>2022 Q4</t>
        </is>
      </c>
      <c r="R1" s="2" t="inlineStr">
        <is>
          <t>2023 Q1</t>
        </is>
      </c>
      <c r="S1" s="2" t="inlineStr">
        <is>
          <t>2023 Q2</t>
        </is>
      </c>
      <c r="T1" s="2" t="inlineStr">
        <is>
          <t>2023 Q3</t>
        </is>
      </c>
      <c r="U1" s="2" t="inlineStr">
        <is>
          <t>2023 Q4</t>
        </is>
      </c>
      <c r="V1" s="2" t="inlineStr">
        <is>
          <t>2024 Q1</t>
        </is>
      </c>
      <c r="W1" s="2" t="inlineStr">
        <is>
          <t>2024 Q2</t>
        </is>
      </c>
      <c r="X1" s="2" t="inlineStr">
        <is>
          <t>2024 Q3</t>
        </is>
      </c>
      <c r="Y1" s="2" t="inlineStr">
        <is>
          <t>2024 Q4</t>
        </is>
      </c>
      <c r="Z1" s="116" t="inlineStr">
        <is>
          <t>2025 Q1</t>
        </is>
      </c>
      <c r="AA1" s="116" t="inlineStr">
        <is>
          <t>2025 Q2</t>
        </is>
      </c>
      <c r="AB1" s="116" t="inlineStr">
        <is>
          <t>2025 Q3</t>
        </is>
      </c>
      <c r="AC1" s="116" t="inlineStr">
        <is>
          <t>2025 Q4</t>
        </is>
      </c>
    </row>
    <row r="2" ht="15" customHeight="1" s="115">
      <c r="A2" s="5" t="inlineStr">
        <is>
          <t>Contract Model Score</t>
        </is>
      </c>
      <c r="B2" t="n">
        <v>130.0770422059908</v>
      </c>
      <c r="C2" t="n">
        <v>132.8291803851861</v>
      </c>
      <c r="D2" t="n">
        <v>132.9930378740758</v>
      </c>
      <c r="E2" t="n">
        <v>132.1091084187159</v>
      </c>
      <c r="F2" t="n">
        <v>131.7976352184193</v>
      </c>
      <c r="G2" t="n">
        <v>133.7105931441158</v>
      </c>
      <c r="H2" t="n">
        <v>135.2855743152244</v>
      </c>
      <c r="I2" t="n">
        <v>135.7960837732996</v>
      </c>
      <c r="J2" t="n">
        <v>134.6017884183877</v>
      </c>
      <c r="K2" t="n">
        <v>135.1425726936411</v>
      </c>
      <c r="L2" t="n">
        <v>135.3626526730819</v>
      </c>
      <c r="M2" t="n">
        <v>134.4153794285912</v>
      </c>
      <c r="N2" t="n">
        <v>134.0685953427436</v>
      </c>
      <c r="O2" t="n">
        <v>135.8924600216066</v>
      </c>
      <c r="P2" t="n">
        <v>136.1478052310451</v>
      </c>
      <c r="Q2" t="n">
        <v>136.7515535249985</v>
      </c>
      <c r="R2" t="n">
        <v>136.6630469306463</v>
      </c>
      <c r="S2" t="n">
        <v>136.9090698276489</v>
      </c>
      <c r="T2" t="n">
        <v>136.4384935666058</v>
      </c>
      <c r="U2" t="n">
        <v>137.0213509130023</v>
      </c>
      <c r="V2" t="n">
        <v>136.3721183056237</v>
      </c>
      <c r="W2" t="n">
        <v>137.1219832649336</v>
      </c>
      <c r="X2" t="n">
        <v>138.0905208354299</v>
      </c>
      <c r="Y2" t="n">
        <v>136.8013556580202</v>
      </c>
      <c r="Z2" t="n">
        <v>136.8370249449572</v>
      </c>
      <c r="AA2" t="n">
        <v>138.0338190269167</v>
      </c>
      <c r="AB2" t="n">
        <v>138.5580809339626</v>
      </c>
      <c r="AC2" t="n">
        <v>139.3761012547063</v>
      </c>
      <c r="AD2" t="n">
        <v>140.3629653922767</v>
      </c>
    </row>
    <row r="3" ht="15" customHeight="1" s="115">
      <c r="A3" s="6" t="inlineStr">
        <is>
          <t>Model Score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 ht="15" customHeight="1" s="115">
      <c r="A4" s="4" t="inlineStr">
        <is>
          <t>Gross Loss Adjustments (Dealer level, high PTI, etc.)</t>
        </is>
      </c>
      <c r="B4" s="26" t="n">
        <v>0.3682463405176009</v>
      </c>
      <c r="C4" s="26" t="n">
        <v>0.6426849561827055</v>
      </c>
      <c r="D4" s="26" t="n">
        <v>0.7376094636176731</v>
      </c>
      <c r="E4" s="26" t="n">
        <v>0.5411333259654043</v>
      </c>
      <c r="F4" s="26" t="n">
        <v>0.6474952081913159</v>
      </c>
      <c r="G4" s="26" t="n">
        <v>0.5156641879150072</v>
      </c>
      <c r="H4" s="26" t="n">
        <v>-0.1917430802789681</v>
      </c>
      <c r="I4" s="26" t="n">
        <v>0.2567336973397971</v>
      </c>
      <c r="J4" s="26" t="n">
        <v>0.5391716731407428</v>
      </c>
      <c r="K4" s="26" t="n">
        <v>0.5357883844483808</v>
      </c>
      <c r="L4" s="26" t="n">
        <v>0.5450383832581451</v>
      </c>
      <c r="M4" s="26" t="n">
        <v>0.4537365612336544</v>
      </c>
      <c r="N4" s="26" t="n">
        <v>0.8617679127894746</v>
      </c>
      <c r="O4" s="26" t="n">
        <v>0.8006311546207598</v>
      </c>
      <c r="P4" s="26" t="n">
        <v>0.8745180741369154</v>
      </c>
      <c r="Q4" s="26" t="n">
        <v>0.8643882930760185</v>
      </c>
      <c r="R4" s="26" t="n">
        <v>0.5590021586526746</v>
      </c>
      <c r="S4" s="26" t="n">
        <v>0.9201009052645475</v>
      </c>
      <c r="T4" s="26" t="n">
        <v>0.3859211222572014</v>
      </c>
      <c r="U4" s="26" t="n">
        <v>0.3389535571159286</v>
      </c>
      <c r="V4" t="n">
        <v>0.5866414743236703</v>
      </c>
      <c r="W4" t="n">
        <v>1.023650390992884</v>
      </c>
      <c r="X4" t="n">
        <v>0.8205715421931075</v>
      </c>
      <c r="Y4" t="n">
        <v>1.324307894971383</v>
      </c>
      <c r="Z4" t="n">
        <v>1.893871783190008</v>
      </c>
      <c r="AA4" t="n">
        <v>2.556067976100906</v>
      </c>
      <c r="AB4" t="n">
        <v>3.099862282453387</v>
      </c>
      <c r="AC4" t="n">
        <v>3.569683386275358</v>
      </c>
      <c r="AD4" t="n">
        <v>2.650328269063579</v>
      </c>
    </row>
    <row r="5" ht="15" customHeight="1" s="115">
      <c r="A5" s="3" t="inlineStr">
        <is>
          <t>Recovery Adjustments excluding LTV (Mileage, vehicle type, etc.)</t>
        </is>
      </c>
      <c r="B5" t="n">
        <v>-0.4268249083813771</v>
      </c>
      <c r="C5" t="n">
        <v>-0.4910152724406487</v>
      </c>
      <c r="D5" t="n">
        <v>-0.3314510187215092</v>
      </c>
      <c r="E5" t="n">
        <v>-0.4682581185471975</v>
      </c>
      <c r="F5" t="n">
        <v>-0.4054725896633613</v>
      </c>
      <c r="G5" t="n">
        <v>-0.8200998739380339</v>
      </c>
      <c r="H5" t="n">
        <v>-0.4408733586258222</v>
      </c>
      <c r="I5" t="n">
        <v>-0.03135296354534489</v>
      </c>
      <c r="J5" t="n">
        <v>-0.4352292649974743</v>
      </c>
      <c r="K5" t="n">
        <v>-0.6688204572703853</v>
      </c>
      <c r="L5" t="n">
        <v>-0.6437836069813727</v>
      </c>
      <c r="M5" t="n">
        <v>-0.9408008413775804</v>
      </c>
      <c r="N5" t="n">
        <v>-1.418338108666603</v>
      </c>
      <c r="O5" t="n">
        <v>-2.645952508558764</v>
      </c>
      <c r="P5" t="n">
        <v>-3.550579719685345</v>
      </c>
      <c r="Q5" t="n">
        <v>-3.873619437847367</v>
      </c>
      <c r="R5" t="n">
        <v>-3.150067014710203</v>
      </c>
      <c r="S5" t="n">
        <v>-2.747724186949824</v>
      </c>
      <c r="T5" t="n">
        <v>-2.681429121423889</v>
      </c>
      <c r="U5" t="n">
        <v>-2.464721271021375</v>
      </c>
      <c r="V5" t="n">
        <v>-2.092489402783144</v>
      </c>
      <c r="W5" t="n">
        <v>-1.833951748096183</v>
      </c>
      <c r="X5" t="n">
        <v>-1.246193702742346</v>
      </c>
      <c r="Y5" t="n">
        <v>-1.631803037386845</v>
      </c>
      <c r="Z5" t="n">
        <v>-0.0667295300220303</v>
      </c>
      <c r="AA5" t="n">
        <v>0.5452469472575672</v>
      </c>
      <c r="AB5" t="n">
        <v>1.125627406087972</v>
      </c>
      <c r="AC5" t="n">
        <v>1.201357845720452</v>
      </c>
      <c r="AD5" t="n">
        <v>2.199376200952116</v>
      </c>
    </row>
    <row r="6" ht="15" customHeight="1" s="115">
      <c r="A6" s="4" t="inlineStr">
        <is>
          <t>LTV Adjustments</t>
        </is>
      </c>
      <c r="B6" t="n">
        <v>0.4268249083813771</v>
      </c>
      <c r="C6" t="n">
        <v>0.4910152724406487</v>
      </c>
      <c r="D6" t="n">
        <v>0.3314510187215092</v>
      </c>
      <c r="E6" t="n">
        <v>0.4682581185471975</v>
      </c>
      <c r="F6" t="n">
        <v>0.4054725896633613</v>
      </c>
      <c r="G6" t="n">
        <v>0.8200998739380339</v>
      </c>
      <c r="H6" t="n">
        <v>0.4408733586258222</v>
      </c>
      <c r="I6" t="n">
        <v>0.03135296354534489</v>
      </c>
      <c r="J6" t="n">
        <v>0.4352292649974743</v>
      </c>
      <c r="K6" t="n">
        <v>0.6688204572703853</v>
      </c>
      <c r="L6" t="n">
        <v>0.6437836069813727</v>
      </c>
      <c r="M6" t="n">
        <v>0.9408008413775804</v>
      </c>
      <c r="N6" t="n">
        <v>1.418338108666603</v>
      </c>
      <c r="O6" t="n">
        <v>2.645952508558764</v>
      </c>
      <c r="P6" t="n">
        <v>3.550579719685345</v>
      </c>
      <c r="Q6" t="n">
        <v>3.873619437847367</v>
      </c>
      <c r="R6" t="n">
        <v>3.150067014710203</v>
      </c>
      <c r="S6" t="n">
        <v>2.747724186949824</v>
      </c>
      <c r="T6" t="n">
        <v>2.681429121423889</v>
      </c>
      <c r="U6" t="n">
        <v>2.464721271021375</v>
      </c>
      <c r="V6" t="n">
        <v>2.092489402783144</v>
      </c>
      <c r="W6" t="n">
        <v>1.833951748096183</v>
      </c>
      <c r="X6" t="n">
        <v>1.246193702742346</v>
      </c>
      <c r="Y6" t="n">
        <v>1.631803037386845</v>
      </c>
      <c r="Z6" t="n">
        <v>0.0667295300220303</v>
      </c>
      <c r="AA6" t="n">
        <v>-0.5452469472575672</v>
      </c>
      <c r="AB6" t="n">
        <v>-1.125627406087972</v>
      </c>
      <c r="AC6" t="n">
        <v>-1.201357845720452</v>
      </c>
      <c r="AD6" t="n">
        <v>-2.199376200952116</v>
      </c>
    </row>
    <row r="7" ht="15" customHeight="1" s="115">
      <c r="A7" s="3" t="inlineStr">
        <is>
          <t>RAGU Score</t>
        </is>
      </c>
      <c r="B7" t="n">
        <v>130.4452885465084</v>
      </c>
      <c r="C7" t="n">
        <v>133.4718653413688</v>
      </c>
      <c r="D7" t="n">
        <v>133.7306473376935</v>
      </c>
      <c r="E7" t="n">
        <v>132.6502417446814</v>
      </c>
      <c r="F7" t="n">
        <v>132.4451304266106</v>
      </c>
      <c r="G7" t="n">
        <v>134.2262573320309</v>
      </c>
      <c r="H7" t="n">
        <v>135.0938312349455</v>
      </c>
      <c r="I7" t="n">
        <v>136.0528174706394</v>
      </c>
      <c r="J7" t="n">
        <v>135.1409600915285</v>
      </c>
      <c r="K7" t="n">
        <v>135.6783610780895</v>
      </c>
      <c r="L7" t="n">
        <v>135.90769105634</v>
      </c>
      <c r="M7" t="n">
        <v>134.8691159898249</v>
      </c>
      <c r="N7" t="n">
        <v>134.9303632555331</v>
      </c>
      <c r="O7" t="n">
        <v>136.6930911762274</v>
      </c>
      <c r="P7" t="n">
        <v>137.022323305182</v>
      </c>
      <c r="Q7" t="n">
        <v>137.6159418180745</v>
      </c>
      <c r="R7" t="n">
        <v>137.2220490892989</v>
      </c>
      <c r="S7" t="n">
        <v>137.8291707329134</v>
      </c>
      <c r="T7" t="n">
        <v>136.824414688863</v>
      </c>
      <c r="U7" t="n">
        <v>137.3603044701182</v>
      </c>
      <c r="V7" t="n">
        <v>136.9587597799473</v>
      </c>
      <c r="W7" t="n">
        <v>138.1456336559265</v>
      </c>
      <c r="X7" t="n">
        <v>138.911092377623</v>
      </c>
      <c r="Y7" t="n">
        <v>138.1256635529916</v>
      </c>
      <c r="Z7" t="n">
        <v>138.7308967281473</v>
      </c>
      <c r="AA7" t="n">
        <v>140.5898870030177</v>
      </c>
      <c r="AB7" t="n">
        <v>141.657943216416</v>
      </c>
      <c r="AC7" t="n">
        <v>142.9457846409816</v>
      </c>
      <c r="AD7" t="n">
        <v>143.0132936613403</v>
      </c>
    </row>
    <row r="8" ht="15" customHeight="1" s="115">
      <c r="A8" s="5" t="inlineStr">
        <is>
          <t>LTV</t>
        </is>
      </c>
      <c r="B8" t="n">
        <v>1.908724418579126</v>
      </c>
      <c r="C8" t="n">
        <v>1.902094472842504</v>
      </c>
      <c r="D8" t="n">
        <v>1.910865184697851</v>
      </c>
      <c r="E8" t="n">
        <v>1.948271680837691</v>
      </c>
      <c r="F8" t="n">
        <v>1.902825954059609</v>
      </c>
      <c r="G8" t="n">
        <v>1.947112654929206</v>
      </c>
      <c r="H8" t="n">
        <v>1.670444063939288</v>
      </c>
      <c r="I8" t="n">
        <v>1.660197329945024</v>
      </c>
      <c r="J8" t="n">
        <v>1.689412696380897</v>
      </c>
      <c r="K8" t="n">
        <v>1.51544702762656</v>
      </c>
      <c r="L8" t="n">
        <v>1.585208154626411</v>
      </c>
      <c r="M8" t="n">
        <v>1.582735464791746</v>
      </c>
      <c r="N8" t="n">
        <v>1.617122759105214</v>
      </c>
      <c r="O8" t="n">
        <v>1.702285075267774</v>
      </c>
      <c r="P8" t="n">
        <v>1.757637238510031</v>
      </c>
      <c r="Q8" t="n">
        <v>1.815749991756724</v>
      </c>
      <c r="R8" t="n">
        <v>1.82341541085421</v>
      </c>
      <c r="S8" t="n">
        <v>1.720677242216896</v>
      </c>
      <c r="T8" t="n">
        <v>1.679416723477976</v>
      </c>
      <c r="U8" t="n">
        <v>1.710965687473009</v>
      </c>
      <c r="V8" t="n">
        <v>1.739437682345138</v>
      </c>
      <c r="W8" t="n">
        <v>1.689660014751456</v>
      </c>
      <c r="X8" t="n">
        <v>1.601758881930318</v>
      </c>
      <c r="Y8" t="n">
        <v>1.613096711375309</v>
      </c>
      <c r="Z8" t="n">
        <v>1.612319014273018</v>
      </c>
      <c r="AA8" t="n">
        <v>1.57074096795067</v>
      </c>
      <c r="AB8" t="n">
        <v>1.577356806835682</v>
      </c>
      <c r="AC8" t="n">
        <v>1.558013786950688</v>
      </c>
      <c r="AD8" t="n">
        <v>1.587969108319229</v>
      </c>
    </row>
    <row r="9" ht="15" customHeight="1" s="115"/>
    <row r="10" ht="15" customHeight="1" s="115">
      <c r="A10" s="23" t="inlineStr">
        <is>
          <t>FLD</t>
        </is>
      </c>
      <c r="B10" s="25" t="n"/>
      <c r="C10" s="25" t="n"/>
      <c r="D10" s="25" t="n"/>
      <c r="E10" s="25" t="n"/>
      <c r="F10" s="24" t="inlineStr">
        <is>
          <t>2020 Q1</t>
        </is>
      </c>
      <c r="G10" s="2" t="inlineStr">
        <is>
          <t>2020 Q2</t>
        </is>
      </c>
      <c r="H10" s="2" t="inlineStr">
        <is>
          <t>2020 Q3</t>
        </is>
      </c>
      <c r="I10" s="2" t="inlineStr">
        <is>
          <t>2020 Q4</t>
        </is>
      </c>
      <c r="J10" s="2" t="inlineStr">
        <is>
          <t>2021 Q1</t>
        </is>
      </c>
      <c r="K10" s="2" t="inlineStr">
        <is>
          <t>2021 Q2</t>
        </is>
      </c>
      <c r="L10" s="2" t="inlineStr">
        <is>
          <t>2021 Q3</t>
        </is>
      </c>
      <c r="M10" s="2" t="inlineStr">
        <is>
          <t>2021 Q4</t>
        </is>
      </c>
      <c r="N10" s="2" t="inlineStr">
        <is>
          <t>2022 Q1</t>
        </is>
      </c>
      <c r="O10" s="2" t="inlineStr">
        <is>
          <t>2022 Q2</t>
        </is>
      </c>
      <c r="P10" s="2" t="inlineStr">
        <is>
          <t>2022 Q3</t>
        </is>
      </c>
      <c r="Q10" s="2" t="inlineStr">
        <is>
          <t>2022 Q4</t>
        </is>
      </c>
      <c r="R10" s="2" t="inlineStr">
        <is>
          <t>2023 Q1</t>
        </is>
      </c>
      <c r="S10" s="2" t="inlineStr">
        <is>
          <t>2023 Q2</t>
        </is>
      </c>
      <c r="T10" s="2" t="inlineStr">
        <is>
          <t>2023 Q3</t>
        </is>
      </c>
      <c r="U10" s="2" t="inlineStr">
        <is>
          <t>2023 Q4</t>
        </is>
      </c>
      <c r="V10" s="2" t="inlineStr">
        <is>
          <t>2024 Q1</t>
        </is>
      </c>
      <c r="W10" s="2" t="inlineStr">
        <is>
          <t>2024 Q2</t>
        </is>
      </c>
      <c r="X10" s="2" t="inlineStr">
        <is>
          <t>2024 Q3</t>
        </is>
      </c>
      <c r="Y10" s="2" t="inlineStr">
        <is>
          <t>2024 Q4</t>
        </is>
      </c>
      <c r="Z10" s="116" t="inlineStr">
        <is>
          <t>2025 Q1</t>
        </is>
      </c>
      <c r="AA10" s="116" t="inlineStr">
        <is>
          <t>2025 Q2</t>
        </is>
      </c>
      <c r="AB10" s="116" t="inlineStr">
        <is>
          <t>2025 Q3</t>
        </is>
      </c>
      <c r="AC10" s="116" t="inlineStr">
        <is>
          <t>2025 Q4</t>
        </is>
      </c>
    </row>
    <row r="11" ht="15" customHeight="1" s="115">
      <c r="A11" s="5" t="inlineStr">
        <is>
          <t>Contract Model Score</t>
        </is>
      </c>
      <c r="B11" s="8" t="n"/>
      <c r="C11" s="8" t="n"/>
      <c r="D11" s="8" t="n"/>
      <c r="E11" s="8" t="n"/>
      <c r="F11" t="n">
        <v>131.9503879668841</v>
      </c>
      <c r="G11" t="n">
        <v>135.6654717957742</v>
      </c>
      <c r="H11" t="n">
        <v>137.7808599345294</v>
      </c>
      <c r="I11" t="n">
        <v>140.3762479782473</v>
      </c>
      <c r="J11" t="n">
        <v>136.7568472127295</v>
      </c>
      <c r="K11" t="n">
        <v>136.1826116248541</v>
      </c>
      <c r="L11" t="n">
        <v>135.6310489829671</v>
      </c>
      <c r="M11" t="n">
        <v>134.6293495160533</v>
      </c>
      <c r="N11" t="n">
        <v>134.1739245565968</v>
      </c>
      <c r="O11" t="n">
        <v>135.8371796171243</v>
      </c>
      <c r="P11" t="n">
        <v>136.9637513036931</v>
      </c>
      <c r="Q11" t="n">
        <v>138.7722798213712</v>
      </c>
      <c r="R11" t="n">
        <v>141.3231605158098</v>
      </c>
      <c r="S11" t="n">
        <v>138.8631915017576</v>
      </c>
      <c r="T11" t="n">
        <v>137.9566586474825</v>
      </c>
      <c r="U11" t="n">
        <v>139.566199147824</v>
      </c>
      <c r="V11" t="n">
        <v>138.5243999113925</v>
      </c>
      <c r="W11" t="n">
        <v>138.4097814248108</v>
      </c>
      <c r="X11" t="n">
        <v>140.3633073736208</v>
      </c>
      <c r="Y11" t="n">
        <v>138.3876859223873</v>
      </c>
      <c r="Z11" t="n">
        <v>136.7074293203177</v>
      </c>
      <c r="AA11" t="n">
        <v>138.3477967395484</v>
      </c>
      <c r="AB11" t="n">
        <v>138.1020962153943</v>
      </c>
      <c r="AC11" t="n">
        <v>138.9455515120215</v>
      </c>
      <c r="AD11" t="n">
        <v>140.926986683179</v>
      </c>
    </row>
    <row r="12" ht="15" customHeight="1" s="115">
      <c r="A12" s="6" t="inlineStr">
        <is>
          <t>Model Score</t>
        </is>
      </c>
      <c r="B12" s="8" t="n"/>
      <c r="C12" s="8" t="n"/>
      <c r="D12" s="8" t="n"/>
      <c r="E12" s="8" t="n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 ht="15" customHeight="1" s="115">
      <c r="A13" s="4" t="inlineStr">
        <is>
          <t>Gross Loss Adjustments (Dealer level, high PTI, etc.)</t>
        </is>
      </c>
      <c r="B13" s="8" t="n"/>
      <c r="C13" s="8" t="n"/>
      <c r="D13" s="8" t="n"/>
      <c r="E13" s="8" t="n"/>
      <c r="F13" t="n">
        <v>-2.59586145778178</v>
      </c>
      <c r="G13" t="n">
        <v>-2.271837530101124</v>
      </c>
      <c r="H13" t="n">
        <v>-1.641721534721114</v>
      </c>
      <c r="I13" t="n">
        <v>-0.1301091094703679</v>
      </c>
      <c r="J13" t="n">
        <v>1.095396324860531</v>
      </c>
      <c r="K13" t="n">
        <v>-0.9916545778625334</v>
      </c>
      <c r="L13" t="n">
        <v>-1.061934750850128</v>
      </c>
      <c r="M13" t="n">
        <v>0.04205543183624627</v>
      </c>
      <c r="N13" t="n">
        <v>-0.2122736569147037</v>
      </c>
      <c r="O13" t="n">
        <v>0.04355040828542656</v>
      </c>
      <c r="P13" t="n">
        <v>0.487506966154001</v>
      </c>
      <c r="Q13" t="n">
        <v>0.4583649944025581</v>
      </c>
      <c r="R13" t="n">
        <v>0.5530850548747424</v>
      </c>
      <c r="S13" t="n">
        <v>0.2972280150489439</v>
      </c>
      <c r="T13" t="n">
        <v>0.7107683004741432</v>
      </c>
      <c r="U13" t="n">
        <v>0.9870595772999593</v>
      </c>
      <c r="V13" t="n">
        <v>1.384667011892162</v>
      </c>
      <c r="W13" t="n">
        <v>2.201626686107545</v>
      </c>
      <c r="X13" t="n">
        <v>3.109699762141219</v>
      </c>
      <c r="Y13" t="n">
        <v>3.047291706698644</v>
      </c>
      <c r="Z13" t="n">
        <v>3.09581056048475</v>
      </c>
      <c r="AA13" t="n">
        <v>2.619111783519998</v>
      </c>
      <c r="AB13" t="n">
        <v>3.418663229046501</v>
      </c>
      <c r="AC13" t="n">
        <v>2.256823873077167</v>
      </c>
      <c r="AD13" t="n">
        <v>1.875956580137114</v>
      </c>
    </row>
    <row r="14" ht="15" customHeight="1" s="115">
      <c r="A14" s="3" t="inlineStr">
        <is>
          <t>Recovery Adjustments excluding LTV (Mileage, vehicle type, etc.)</t>
        </is>
      </c>
      <c r="B14" s="8" t="n"/>
      <c r="C14" s="8" t="n"/>
      <c r="D14" s="8" t="n"/>
      <c r="E14" s="8" t="n"/>
      <c r="F14" t="n">
        <v>1.648071166202044</v>
      </c>
      <c r="G14" t="n">
        <v>1.638922560738308</v>
      </c>
      <c r="H14" t="n">
        <v>1.981185726993317</v>
      </c>
      <c r="I14" t="n">
        <v>2.082345568842527</v>
      </c>
      <c r="J14" t="n">
        <v>1.585956003646999</v>
      </c>
      <c r="K14" t="n">
        <v>0.9596233516645043</v>
      </c>
      <c r="L14" t="n">
        <v>0.619211578831397</v>
      </c>
      <c r="M14" t="n">
        <v>0.4561364638440466</v>
      </c>
      <c r="N14" t="n">
        <v>0.4872616061476265</v>
      </c>
      <c r="O14" t="n">
        <v>-1.31995942648021</v>
      </c>
      <c r="P14" t="n">
        <v>-2.634313636447644</v>
      </c>
      <c r="Q14" t="n">
        <v>-2.525251071019085</v>
      </c>
      <c r="R14" t="n">
        <v>-2.395928445070922</v>
      </c>
      <c r="S14" t="n">
        <v>-1.874756138610365</v>
      </c>
      <c r="T14" t="n">
        <v>-2.820871661572511</v>
      </c>
      <c r="U14" t="n">
        <v>0.1496602627046855</v>
      </c>
      <c r="V14" t="n">
        <v>-0.8531618069299896</v>
      </c>
      <c r="W14" t="n">
        <v>-1.34545479945649</v>
      </c>
      <c r="X14" t="n">
        <v>-0.2834670730394464</v>
      </c>
      <c r="Y14" t="n">
        <v>-0.3487305970845966</v>
      </c>
      <c r="Z14" t="n">
        <v>1.995582763546452</v>
      </c>
      <c r="AA14" t="n">
        <v>1.608931958488</v>
      </c>
      <c r="AB14" t="n">
        <v>2.180069376723623</v>
      </c>
      <c r="AC14" t="n">
        <v>2.494580087705941</v>
      </c>
      <c r="AD14" t="n">
        <v>1.95794298654269</v>
      </c>
    </row>
    <row r="15" ht="15" customHeight="1" s="115">
      <c r="A15" s="4" t="inlineStr">
        <is>
          <t>LTV Adjustments</t>
        </is>
      </c>
      <c r="B15" s="8" t="n"/>
      <c r="C15" s="8" t="n"/>
      <c r="D15" s="8" t="n"/>
      <c r="E15" s="8" t="n"/>
      <c r="F15" t="n">
        <v>-1.648071166202044</v>
      </c>
      <c r="G15" t="n">
        <v>-1.638922560738308</v>
      </c>
      <c r="H15" t="n">
        <v>-1.981185726993317</v>
      </c>
      <c r="I15" t="n">
        <v>-2.082345568842527</v>
      </c>
      <c r="J15" t="n">
        <v>-1.585956003646999</v>
      </c>
      <c r="K15" t="n">
        <v>-0.9596233516645043</v>
      </c>
      <c r="L15" t="n">
        <v>-0.619211578831397</v>
      </c>
      <c r="M15" t="n">
        <v>-0.4561364638440466</v>
      </c>
      <c r="N15" t="n">
        <v>-0.4872616061476265</v>
      </c>
      <c r="O15" t="n">
        <v>1.31995942648021</v>
      </c>
      <c r="P15" t="n">
        <v>2.634313636447644</v>
      </c>
      <c r="Q15" t="n">
        <v>2.525251071019085</v>
      </c>
      <c r="R15" t="n">
        <v>2.395928445070922</v>
      </c>
      <c r="S15" t="n">
        <v>1.874756138610365</v>
      </c>
      <c r="T15" t="n">
        <v>2.820871661572511</v>
      </c>
      <c r="U15" t="n">
        <v>-0.1496602627046855</v>
      </c>
      <c r="V15" t="n">
        <v>0.8531618069299896</v>
      </c>
      <c r="W15" t="n">
        <v>1.34545479945649</v>
      </c>
      <c r="X15" t="n">
        <v>0.2834670730394464</v>
      </c>
      <c r="Y15" t="n">
        <v>0.3487305970845966</v>
      </c>
      <c r="Z15" t="n">
        <v>-1.995582763546452</v>
      </c>
      <c r="AA15" t="n">
        <v>-1.608931958488</v>
      </c>
      <c r="AB15" t="n">
        <v>-2.180069376723623</v>
      </c>
      <c r="AC15" t="n">
        <v>-2.494580087705941</v>
      </c>
      <c r="AD15" t="n">
        <v>-1.95794298654269</v>
      </c>
    </row>
    <row r="16" ht="15" customHeight="1" s="115">
      <c r="A16" s="3" t="inlineStr">
        <is>
          <t>RAGU Score</t>
        </is>
      </c>
      <c r="B16" s="8" t="n"/>
      <c r="C16" s="8" t="n"/>
      <c r="D16" s="8" t="n"/>
      <c r="E16" s="8" t="n"/>
      <c r="F16" t="n">
        <v>129.3545265091023</v>
      </c>
      <c r="G16" t="n">
        <v>133.393634265673</v>
      </c>
      <c r="H16" t="n">
        <v>136.1391383998083</v>
      </c>
      <c r="I16" t="n">
        <v>140.2461388687769</v>
      </c>
      <c r="J16" t="n">
        <v>137.8522435375901</v>
      </c>
      <c r="K16" t="n">
        <v>135.1909570469915</v>
      </c>
      <c r="L16" t="n">
        <v>134.569114232117</v>
      </c>
      <c r="M16" t="n">
        <v>134.6714049478895</v>
      </c>
      <c r="N16" t="n">
        <v>133.9616508996821</v>
      </c>
      <c r="O16" t="n">
        <v>135.8807300254097</v>
      </c>
      <c r="P16" t="n">
        <v>137.4512582698471</v>
      </c>
      <c r="Q16" t="n">
        <v>139.2306448157737</v>
      </c>
      <c r="R16" t="n">
        <v>141.8762455706845</v>
      </c>
      <c r="S16" t="n">
        <v>139.1604195168066</v>
      </c>
      <c r="T16" t="n">
        <v>138.6674269479566</v>
      </c>
      <c r="U16" t="n">
        <v>140.553258725124</v>
      </c>
      <c r="V16" t="n">
        <v>139.9090669232847</v>
      </c>
      <c r="W16" t="n">
        <v>140.6114081109183</v>
      </c>
      <c r="X16" t="n">
        <v>143.473007135762</v>
      </c>
      <c r="Y16" t="n">
        <v>141.4349776290859</v>
      </c>
      <c r="Z16" t="n">
        <v>139.8032398808024</v>
      </c>
      <c r="AA16" t="n">
        <v>140.9669085230684</v>
      </c>
      <c r="AB16" t="n">
        <v>141.5207594444408</v>
      </c>
      <c r="AC16" t="n">
        <v>141.2023753850986</v>
      </c>
      <c r="AD16" t="n">
        <v>142.8029432633161</v>
      </c>
    </row>
    <row r="17" ht="15" customHeight="1" s="115">
      <c r="A17" s="5" t="inlineStr">
        <is>
          <t>LTV</t>
        </is>
      </c>
      <c r="B17" s="8" t="n"/>
      <c r="C17" s="8" t="n"/>
      <c r="D17" s="8" t="n"/>
      <c r="E17" s="8" t="n"/>
      <c r="F17" t="n">
        <v>1.420562833875741</v>
      </c>
      <c r="G17" t="n">
        <v>1.373162803645541</v>
      </c>
      <c r="H17" t="n">
        <v>1.223783575717392</v>
      </c>
      <c r="I17" t="n">
        <v>1.267723234745683</v>
      </c>
      <c r="J17" t="n">
        <v>1.330530858098688</v>
      </c>
      <c r="K17" t="n">
        <v>1.233604308784353</v>
      </c>
      <c r="L17" t="n">
        <v>1.273769920131982</v>
      </c>
      <c r="M17" t="n">
        <v>1.333837885231426</v>
      </c>
      <c r="N17" t="n">
        <v>1.341087628218755</v>
      </c>
      <c r="O17" t="n">
        <v>1.338747823692028</v>
      </c>
      <c r="P17" t="n">
        <v>1.320280062499043</v>
      </c>
      <c r="Q17" t="n">
        <v>1.315124138314724</v>
      </c>
      <c r="R17" t="n">
        <v>1.267696338742809</v>
      </c>
      <c r="S17" t="n">
        <v>1.305930073414868</v>
      </c>
      <c r="T17" t="n">
        <v>1.268124962021018</v>
      </c>
      <c r="U17" t="n">
        <v>1.28941639806703</v>
      </c>
      <c r="V17" t="n">
        <v>1.384544361693588</v>
      </c>
      <c r="W17" t="n">
        <v>1.36910633679616</v>
      </c>
      <c r="X17" t="n">
        <v>1.348668537510715</v>
      </c>
      <c r="Y17" t="n">
        <v>1.345829180377593</v>
      </c>
      <c r="Z17" t="n">
        <v>1.391918653272099</v>
      </c>
      <c r="AA17" t="n">
        <v>1.421180548982812</v>
      </c>
      <c r="AB17" t="n">
        <v>1.423617737514207</v>
      </c>
      <c r="AC17" t="n">
        <v>1.421858980766973</v>
      </c>
      <c r="AD17" t="n">
        <v>1.473828591141903</v>
      </c>
    </row>
    <row r="18" ht="15" customHeight="1" s="115"/>
    <row r="19" ht="15" customHeight="1" s="115">
      <c r="A19" s="1" t="inlineStr">
        <is>
          <t>FRN</t>
        </is>
      </c>
      <c r="B19" s="2" t="n">
        <v>2016</v>
      </c>
      <c r="C19" s="2" t="n">
        <v>2017</v>
      </c>
      <c r="D19" s="2" t="n">
        <v>2018</v>
      </c>
      <c r="E19" s="2" t="n">
        <v>2019</v>
      </c>
      <c r="F19" s="2" t="inlineStr">
        <is>
          <t>2020 Q1</t>
        </is>
      </c>
      <c r="G19" s="2" t="inlineStr">
        <is>
          <t>2020 Q2</t>
        </is>
      </c>
      <c r="H19" s="2" t="inlineStr">
        <is>
          <t>2020 Q3</t>
        </is>
      </c>
      <c r="I19" s="2" t="inlineStr">
        <is>
          <t>2020 Q4</t>
        </is>
      </c>
      <c r="J19" s="2" t="inlineStr">
        <is>
          <t>2021 Q1</t>
        </is>
      </c>
      <c r="K19" s="2" t="inlineStr">
        <is>
          <t>2021 Q2</t>
        </is>
      </c>
      <c r="L19" s="2" t="inlineStr">
        <is>
          <t>2021 Q3</t>
        </is>
      </c>
      <c r="M19" s="2" t="inlineStr">
        <is>
          <t>2021 Q4</t>
        </is>
      </c>
      <c r="N19" s="2" t="inlineStr">
        <is>
          <t>2022 Q1</t>
        </is>
      </c>
      <c r="O19" s="2" t="inlineStr">
        <is>
          <t>2022 Q2</t>
        </is>
      </c>
      <c r="P19" s="2" t="inlineStr">
        <is>
          <t>2022 Q3</t>
        </is>
      </c>
      <c r="Q19" s="2" t="inlineStr">
        <is>
          <t>2022 Q4</t>
        </is>
      </c>
      <c r="R19" s="2" t="inlineStr">
        <is>
          <t>2023 Q1</t>
        </is>
      </c>
      <c r="S19" s="2" t="inlineStr">
        <is>
          <t>2023 Q2</t>
        </is>
      </c>
      <c r="T19" s="2" t="inlineStr">
        <is>
          <t>2023 Q3</t>
        </is>
      </c>
      <c r="U19" s="2" t="inlineStr">
        <is>
          <t>2023 Q4</t>
        </is>
      </c>
      <c r="V19" s="2" t="inlineStr">
        <is>
          <t>2024 Q1</t>
        </is>
      </c>
      <c r="W19" s="2" t="inlineStr">
        <is>
          <t>2024 Q2</t>
        </is>
      </c>
      <c r="X19" s="2" t="inlineStr">
        <is>
          <t>2024 Q3</t>
        </is>
      </c>
      <c r="Y19" s="2" t="inlineStr">
        <is>
          <t>2024 Q4</t>
        </is>
      </c>
      <c r="Z19" s="116" t="inlineStr">
        <is>
          <t>2025 Q1</t>
        </is>
      </c>
      <c r="AA19" s="116" t="inlineStr">
        <is>
          <t>2025 Q2</t>
        </is>
      </c>
      <c r="AB19" s="116" t="inlineStr">
        <is>
          <t>2025 Q3</t>
        </is>
      </c>
      <c r="AC19" s="116" t="inlineStr">
        <is>
          <t>2025 Q4</t>
        </is>
      </c>
    </row>
    <row r="20" ht="15" customHeight="1" s="115">
      <c r="A20" s="5" t="inlineStr">
        <is>
          <t>Contract Model Score</t>
        </is>
      </c>
      <c r="B20" t="n">
        <v>131.1768537620316</v>
      </c>
      <c r="C20" t="n">
        <v>136.7393795978232</v>
      </c>
      <c r="D20" t="n">
        <v>136.8034875784119</v>
      </c>
      <c r="E20" t="n">
        <v>132.5380299719825</v>
      </c>
      <c r="F20" t="n">
        <v>131.1330302941925</v>
      </c>
      <c r="G20" t="n">
        <v>132.905042846044</v>
      </c>
      <c r="H20" t="n">
        <v>133.9304786690209</v>
      </c>
      <c r="I20" t="n">
        <v>132.8038095162421</v>
      </c>
      <c r="J20" t="n">
        <v>135.4481125583965</v>
      </c>
      <c r="K20" t="n">
        <v>135.1873517847032</v>
      </c>
      <c r="L20" t="n">
        <v>134.9460173890241</v>
      </c>
      <c r="M20" t="n">
        <v>132.8992786628741</v>
      </c>
      <c r="N20" t="n">
        <v>134.0632532207678</v>
      </c>
      <c r="O20" t="n">
        <v>136.8172080102919</v>
      </c>
      <c r="P20" t="n">
        <v>138.0024327281735</v>
      </c>
      <c r="Q20" t="n">
        <v>139.7779316361284</v>
      </c>
      <c r="R20" t="n">
        <v>141.2771903644731</v>
      </c>
      <c r="S20" t="n">
        <v>140.587337420209</v>
      </c>
      <c r="T20" t="n">
        <v>140.7210258075157</v>
      </c>
      <c r="U20" t="n">
        <v>139.0251422865111</v>
      </c>
      <c r="V20" t="n">
        <v>138.131634820861</v>
      </c>
      <c r="W20" t="n">
        <v>140.1735622972094</v>
      </c>
      <c r="X20" t="n">
        <v>141.5537522412373</v>
      </c>
      <c r="Y20" t="n">
        <v>139.9709736928341</v>
      </c>
      <c r="Z20" t="n">
        <v>139.8331504010449</v>
      </c>
      <c r="AA20" t="n">
        <v>140.6343356036855</v>
      </c>
      <c r="AB20" t="n">
        <v>140.9638839291236</v>
      </c>
      <c r="AC20" t="n">
        <v>141.8574881843083</v>
      </c>
      <c r="AD20" t="n">
        <v>142.8676283578772</v>
      </c>
    </row>
    <row r="21" ht="15" customHeight="1" s="115">
      <c r="A21" s="6" t="inlineStr">
        <is>
          <t>Model Score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 ht="15" customHeight="1" s="115">
      <c r="A22" s="4" t="inlineStr">
        <is>
          <t>Gross Loss Adjustments (Dealer level, high PTI, etc.)</t>
        </is>
      </c>
      <c r="B22" t="n">
        <v>-0.3279542032166205</v>
      </c>
      <c r="C22" t="n">
        <v>0.2021061815027281</v>
      </c>
      <c r="D22" t="n">
        <v>-0.1941306522697914</v>
      </c>
      <c r="E22" t="n">
        <v>0.04600203949584625</v>
      </c>
      <c r="F22" t="n">
        <v>0.5322460588374156</v>
      </c>
      <c r="G22" t="n">
        <v>0.7134506873779287</v>
      </c>
      <c r="H22" t="n">
        <v>-0.2700722882668458</v>
      </c>
      <c r="I22" t="n">
        <v>-0.839708924818126</v>
      </c>
      <c r="J22" t="n">
        <v>-0.2833652189533211</v>
      </c>
      <c r="K22" t="n">
        <v>0.09654683198820635</v>
      </c>
      <c r="L22" t="n">
        <v>-0.09886034981744274</v>
      </c>
      <c r="M22" t="n">
        <v>-1.138030628985007</v>
      </c>
      <c r="N22" t="n">
        <v>-1.03787992289142</v>
      </c>
      <c r="O22" t="n">
        <v>0.1675163358317491</v>
      </c>
      <c r="P22" t="n">
        <v>0.2930432487227677</v>
      </c>
      <c r="Q22" t="n">
        <v>0.0319370110224213</v>
      </c>
      <c r="R22" t="n">
        <v>0.8813821917498501</v>
      </c>
      <c r="S22" t="n">
        <v>1.413057803116942</v>
      </c>
      <c r="T22" t="n">
        <v>1.523923874127263</v>
      </c>
      <c r="U22" t="n">
        <v>0.726770222175702</v>
      </c>
      <c r="V22" t="n">
        <v>0.1957940238326046</v>
      </c>
      <c r="W22" t="n">
        <v>0.2559934549204286</v>
      </c>
      <c r="X22" t="n">
        <v>0.6035098077954615</v>
      </c>
      <c r="Y22" t="n">
        <v>0.5046466666912295</v>
      </c>
      <c r="Z22" t="n">
        <v>1.065562892330803</v>
      </c>
      <c r="AA22" t="n">
        <v>1.301896345326412</v>
      </c>
      <c r="AB22" t="n">
        <v>1.96224997749556</v>
      </c>
      <c r="AC22" t="n">
        <v>2.907978114424537</v>
      </c>
      <c r="AD22" t="n">
        <v>2.559004266205278</v>
      </c>
    </row>
    <row r="23" ht="15" customHeight="1" s="115">
      <c r="A23" s="3" t="inlineStr">
        <is>
          <t>Recovery Adjustments excluding LTV (Mileage, vehicle type, etc.)</t>
        </is>
      </c>
      <c r="B23" t="n">
        <v>-1.965296916446221</v>
      </c>
      <c r="C23" t="n">
        <v>-2.25721006660126</v>
      </c>
      <c r="D23" t="n">
        <v>-2.386966977213035</v>
      </c>
      <c r="E23" t="n">
        <v>-1.798270870527432</v>
      </c>
      <c r="F23" t="n">
        <v>-1.289791201581721</v>
      </c>
      <c r="G23" t="n">
        <v>-1.221420998679491</v>
      </c>
      <c r="H23" t="n">
        <v>-1.345115749332933</v>
      </c>
      <c r="I23" t="n">
        <v>-1.035466760637831</v>
      </c>
      <c r="J23" t="n">
        <v>-1.461272949237866</v>
      </c>
      <c r="K23" t="n">
        <v>-1.301156804792157</v>
      </c>
      <c r="L23" t="n">
        <v>-1.516416765666861</v>
      </c>
      <c r="M23" t="n">
        <v>-1.901102986285338</v>
      </c>
      <c r="N23" t="n">
        <v>-2.148238485288402</v>
      </c>
      <c r="O23" t="n">
        <v>-3.674187979774985</v>
      </c>
      <c r="P23" t="n">
        <v>-4.898854970580004</v>
      </c>
      <c r="Q23" t="n">
        <v>-5.267483893569079</v>
      </c>
      <c r="R23" t="n">
        <v>-5.04100151561255</v>
      </c>
      <c r="S23" t="n">
        <v>-4.631920105109799</v>
      </c>
      <c r="T23" t="n">
        <v>-4.909747616165646</v>
      </c>
      <c r="U23" t="n">
        <v>-4.287058783551117</v>
      </c>
      <c r="V23" t="n">
        <v>-3.810079443044714</v>
      </c>
      <c r="W23" t="n">
        <v>-4.144013172877891</v>
      </c>
      <c r="X23" t="n">
        <v>-4.08106254350696</v>
      </c>
      <c r="Y23" t="n">
        <v>-3.160683156950824</v>
      </c>
      <c r="Z23" t="n">
        <v>-0.76388960562943</v>
      </c>
      <c r="AA23" t="n">
        <v>-0.5389773216934941</v>
      </c>
      <c r="AB23" t="n">
        <v>-0.1108795096766926</v>
      </c>
      <c r="AC23" t="n">
        <v>0.5500096644399264</v>
      </c>
      <c r="AD23" t="n">
        <v>0.8141569146979748</v>
      </c>
    </row>
    <row r="24" ht="15" customHeight="1" s="115">
      <c r="A24" s="4" t="inlineStr">
        <is>
          <t>LTV Adjustments</t>
        </is>
      </c>
      <c r="B24" t="n">
        <v>1.965296916446221</v>
      </c>
      <c r="C24" t="n">
        <v>2.25721006660126</v>
      </c>
      <c r="D24" t="n">
        <v>2.386966977213035</v>
      </c>
      <c r="E24" t="n">
        <v>1.798270870527432</v>
      </c>
      <c r="F24" t="n">
        <v>1.289791201581721</v>
      </c>
      <c r="G24" t="n">
        <v>1.221420998679491</v>
      </c>
      <c r="H24" t="n">
        <v>1.345115749332933</v>
      </c>
      <c r="I24" t="n">
        <v>1.035466760637831</v>
      </c>
      <c r="J24" t="n">
        <v>1.461272949237866</v>
      </c>
      <c r="K24" t="n">
        <v>1.301156804792157</v>
      </c>
      <c r="L24" t="n">
        <v>1.516416765666861</v>
      </c>
      <c r="M24" t="n">
        <v>1.901102986285338</v>
      </c>
      <c r="N24" t="n">
        <v>2.148238485288402</v>
      </c>
      <c r="O24" t="n">
        <v>3.674187979774985</v>
      </c>
      <c r="P24" t="n">
        <v>4.898854970580004</v>
      </c>
      <c r="Q24" t="n">
        <v>5.267483893569079</v>
      </c>
      <c r="R24" t="n">
        <v>5.04100151561255</v>
      </c>
      <c r="S24" t="n">
        <v>4.631920105109799</v>
      </c>
      <c r="T24" t="n">
        <v>4.909747616165646</v>
      </c>
      <c r="U24" t="n">
        <v>4.287058783551117</v>
      </c>
      <c r="V24" t="n">
        <v>3.810079443044714</v>
      </c>
      <c r="W24" t="n">
        <v>4.144013172877891</v>
      </c>
      <c r="X24" t="n">
        <v>4.08106254350696</v>
      </c>
      <c r="Y24" t="n">
        <v>3.160683156950824</v>
      </c>
      <c r="Z24" t="n">
        <v>0.76388960562943</v>
      </c>
      <c r="AA24" t="n">
        <v>0.5389773216934941</v>
      </c>
      <c r="AB24" t="n">
        <v>0.1108795096766926</v>
      </c>
      <c r="AC24" t="n">
        <v>-0.5500096644399264</v>
      </c>
      <c r="AD24" t="n">
        <v>-0.8141569146979748</v>
      </c>
    </row>
    <row r="25" ht="15" customHeight="1" s="115">
      <c r="A25" s="3" t="inlineStr">
        <is>
          <t>RAGU Score</t>
        </is>
      </c>
      <c r="B25" t="n">
        <v>130.848899558815</v>
      </c>
      <c r="C25" t="n">
        <v>136.941485779326</v>
      </c>
      <c r="D25" t="n">
        <v>136.6093569261421</v>
      </c>
      <c r="E25" t="n">
        <v>132.5840320114783</v>
      </c>
      <c r="F25" t="n">
        <v>131.66527635303</v>
      </c>
      <c r="G25" t="n">
        <v>133.6184935334219</v>
      </c>
      <c r="H25" t="n">
        <v>133.660406380754</v>
      </c>
      <c r="I25" t="n">
        <v>131.9641005914239</v>
      </c>
      <c r="J25" t="n">
        <v>135.1647473394432</v>
      </c>
      <c r="K25" t="n">
        <v>135.2838986166914</v>
      </c>
      <c r="L25" t="n">
        <v>134.8471570392067</v>
      </c>
      <c r="M25" t="n">
        <v>131.7612480338891</v>
      </c>
      <c r="N25" t="n">
        <v>133.0253732978763</v>
      </c>
      <c r="O25" t="n">
        <v>136.9847243461237</v>
      </c>
      <c r="P25" t="n">
        <v>138.2954759768963</v>
      </c>
      <c r="Q25" t="n">
        <v>139.8098686471508</v>
      </c>
      <c r="R25" t="n">
        <v>142.1585725562229</v>
      </c>
      <c r="S25" t="n">
        <v>142.000395223326</v>
      </c>
      <c r="T25" t="n">
        <v>142.2449496816429</v>
      </c>
      <c r="U25" t="n">
        <v>139.7519125086868</v>
      </c>
      <c r="V25" t="n">
        <v>138.3274288446936</v>
      </c>
      <c r="W25" t="n">
        <v>140.4295557521299</v>
      </c>
      <c r="X25" t="n">
        <v>142.1572620490327</v>
      </c>
      <c r="Y25" t="n">
        <v>140.4756203595253</v>
      </c>
      <c r="Z25" t="n">
        <v>140.8987132933757</v>
      </c>
      <c r="AA25" t="n">
        <v>141.936231949012</v>
      </c>
      <c r="AB25" t="n">
        <v>142.9261339066192</v>
      </c>
      <c r="AC25" t="n">
        <v>144.7654662987329</v>
      </c>
      <c r="AD25" t="n">
        <v>145.4266326240825</v>
      </c>
    </row>
    <row r="26" ht="15" customHeight="1" s="115">
      <c r="A26" s="5" t="inlineStr">
        <is>
          <t>LTV</t>
        </is>
      </c>
      <c r="B26" t="n">
        <v>2.150590397836871</v>
      </c>
      <c r="C26" t="n">
        <v>2.207390718182656</v>
      </c>
      <c r="D26" t="n">
        <v>2.109702937781504</v>
      </c>
      <c r="E26" t="n">
        <v>2.08756589216504</v>
      </c>
      <c r="F26" t="n">
        <v>1.940114249615159</v>
      </c>
      <c r="G26" t="n">
        <v>1.943306644950821</v>
      </c>
      <c r="H26" t="n">
        <v>1.900388923202319</v>
      </c>
      <c r="I26" t="n">
        <v>2.02781015271938</v>
      </c>
      <c r="J26" t="n">
        <v>1.733584518364871</v>
      </c>
      <c r="K26" t="n">
        <v>1.512063540720634</v>
      </c>
      <c r="L26" t="n">
        <v>1.617341941496603</v>
      </c>
      <c r="M26" t="n">
        <v>1.686792479948114</v>
      </c>
      <c r="N26" t="n">
        <v>1.656726724027836</v>
      </c>
      <c r="O26" t="n">
        <v>1.663152125220595</v>
      </c>
      <c r="P26" t="n">
        <v>1.685364212394707</v>
      </c>
      <c r="Q26" t="n">
        <v>1.683762281842204</v>
      </c>
      <c r="R26" t="n">
        <v>1.726087525329442</v>
      </c>
      <c r="S26" t="n">
        <v>1.532697905314607</v>
      </c>
      <c r="T26" t="n">
        <v>1.488779471832771</v>
      </c>
      <c r="U26" t="n">
        <v>1.456922777622528</v>
      </c>
      <c r="V26" t="n">
        <v>1.480038026838188</v>
      </c>
      <c r="W26" t="n">
        <v>1.475826636633168</v>
      </c>
      <c r="X26" t="n">
        <v>1.488331218975525</v>
      </c>
      <c r="Y26" t="n">
        <v>1.48622735983236</v>
      </c>
      <c r="Z26" t="n">
        <v>1.484935950320576</v>
      </c>
      <c r="AA26" t="n">
        <v>1.435427634343173</v>
      </c>
      <c r="AB26" t="n">
        <v>1.429870403430309</v>
      </c>
      <c r="AC26" t="n">
        <v>1.426041694284942</v>
      </c>
      <c r="AD26" t="n">
        <v>1.416614005913019</v>
      </c>
    </row>
    <row r="27" ht="15" customHeight="1" s="115"/>
    <row r="28" ht="15" customHeight="1" s="115">
      <c r="A28" s="1" t="inlineStr">
        <is>
          <t>STG</t>
        </is>
      </c>
      <c r="B28" s="2" t="n">
        <v>2016</v>
      </c>
      <c r="C28" s="2" t="n">
        <v>2017</v>
      </c>
      <c r="D28" s="2" t="n">
        <v>2018</v>
      </c>
      <c r="E28" s="2" t="n">
        <v>2019</v>
      </c>
      <c r="F28" s="2" t="inlineStr">
        <is>
          <t>2020 Q1</t>
        </is>
      </c>
      <c r="G28" s="2" t="inlineStr">
        <is>
          <t>2020 Q2</t>
        </is>
      </c>
      <c r="H28" s="2" t="inlineStr">
        <is>
          <t>2020 Q3</t>
        </is>
      </c>
      <c r="I28" s="2" t="inlineStr">
        <is>
          <t>2020 Q4</t>
        </is>
      </c>
      <c r="J28" s="2" t="inlineStr">
        <is>
          <t>2021 Q1</t>
        </is>
      </c>
      <c r="K28" s="2" t="inlineStr">
        <is>
          <t>2021 Q2</t>
        </is>
      </c>
      <c r="L28" s="2" t="inlineStr">
        <is>
          <t>2021 Q3</t>
        </is>
      </c>
      <c r="M28" s="2" t="inlineStr">
        <is>
          <t>2021 Q4</t>
        </is>
      </c>
      <c r="N28" s="2" t="inlineStr">
        <is>
          <t>2022 Q1</t>
        </is>
      </c>
      <c r="O28" s="2" t="inlineStr">
        <is>
          <t>2022 Q2</t>
        </is>
      </c>
      <c r="P28" s="2" t="inlineStr">
        <is>
          <t>2022 Q3</t>
        </is>
      </c>
      <c r="Q28" s="2" t="inlineStr">
        <is>
          <t>2022 Q4</t>
        </is>
      </c>
      <c r="R28" s="2" t="inlineStr">
        <is>
          <t>2023 Q1</t>
        </is>
      </c>
      <c r="S28" s="2" t="inlineStr">
        <is>
          <t>2023 Q2</t>
        </is>
      </c>
      <c r="T28" s="2" t="inlineStr">
        <is>
          <t>2023 Q3</t>
        </is>
      </c>
      <c r="U28" s="2" t="inlineStr">
        <is>
          <t>2023 Q4</t>
        </is>
      </c>
      <c r="V28" s="2" t="inlineStr">
        <is>
          <t>2024 Q1</t>
        </is>
      </c>
      <c r="W28" s="2" t="inlineStr">
        <is>
          <t>2024 Q2</t>
        </is>
      </c>
      <c r="X28" s="2" t="inlineStr">
        <is>
          <t>2024 Q3</t>
        </is>
      </c>
      <c r="Y28" s="2" t="inlineStr">
        <is>
          <t>2024 Q4</t>
        </is>
      </c>
      <c r="Z28" s="116" t="inlineStr">
        <is>
          <t>2025 Q1</t>
        </is>
      </c>
      <c r="AA28" s="116" t="inlineStr">
        <is>
          <t>2025 Q2</t>
        </is>
      </c>
      <c r="AB28" s="116" t="inlineStr">
        <is>
          <t>2025 Q3</t>
        </is>
      </c>
      <c r="AC28" s="116" t="inlineStr">
        <is>
          <t>2025 Q4</t>
        </is>
      </c>
    </row>
    <row r="29" ht="15" customHeight="1" s="115">
      <c r="A29" s="5" t="inlineStr">
        <is>
          <t>Contract Model Score</t>
        </is>
      </c>
      <c r="B29" t="n">
        <v>129.6420149874915</v>
      </c>
      <c r="C29" t="n">
        <v>131.6566908788627</v>
      </c>
      <c r="D29" t="n">
        <v>131.5690627470231</v>
      </c>
      <c r="E29" t="n">
        <v>129.5052743240392</v>
      </c>
      <c r="F29" t="n">
        <v>130.0303956512855</v>
      </c>
      <c r="G29" t="n">
        <v>133.1356197249684</v>
      </c>
      <c r="H29" t="n">
        <v>135.524196498951</v>
      </c>
      <c r="I29" t="n">
        <v>135.2873254883415</v>
      </c>
      <c r="J29" t="n">
        <v>135.2877143968832</v>
      </c>
      <c r="K29" t="n">
        <v>135.4990065961002</v>
      </c>
      <c r="L29" t="n">
        <v>135.0565320206431</v>
      </c>
      <c r="M29" t="n">
        <v>133.6533590478692</v>
      </c>
      <c r="N29" t="n">
        <v>134.5499996216585</v>
      </c>
      <c r="O29" t="n">
        <v>136.7273116844958</v>
      </c>
      <c r="P29" t="n">
        <v>137.2711437909899</v>
      </c>
      <c r="Q29" t="n">
        <v>138.3019509586567</v>
      </c>
      <c r="R29" t="n">
        <v>139.2303467900551</v>
      </c>
      <c r="S29" t="n">
        <v>137.7158392394139</v>
      </c>
      <c r="T29" t="n">
        <v>138.539836220195</v>
      </c>
      <c r="U29" t="n">
        <v>137.4874727196197</v>
      </c>
      <c r="V29" t="n">
        <v>136.7602328443264</v>
      </c>
      <c r="W29" t="n">
        <v>137.4780242783808</v>
      </c>
      <c r="X29" t="n">
        <v>138.5435356947864</v>
      </c>
      <c r="Y29" t="n">
        <v>137.2090482829979</v>
      </c>
      <c r="Z29" t="n">
        <v>136.6683984146269</v>
      </c>
      <c r="AA29" t="n">
        <v>137.947192238537</v>
      </c>
      <c r="AB29" t="n">
        <v>138.6605471792442</v>
      </c>
      <c r="AC29" t="n">
        <v>140.0375169754368</v>
      </c>
      <c r="AD29" t="n">
        <v>141.7199082865009</v>
      </c>
    </row>
    <row r="30" ht="15" customHeight="1" s="115">
      <c r="A30" s="6" t="inlineStr">
        <is>
          <t>Model Score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 ht="15" customHeight="1" s="115">
      <c r="A31" s="4" t="inlineStr">
        <is>
          <t>Gross Loss Adjustments (Dealer level, high PTI, etc.)</t>
        </is>
      </c>
      <c r="B31" t="n">
        <v>0.5516878524528863</v>
      </c>
      <c r="C31" t="n">
        <v>0.5374568766332288</v>
      </c>
      <c r="D31" t="n">
        <v>0.4728333621430352</v>
      </c>
      <c r="E31" t="n">
        <v>0.2629982618585984</v>
      </c>
      <c r="F31" t="n">
        <v>-0.1770534568650248</v>
      </c>
      <c r="G31" t="n">
        <v>-0.2351745891955943</v>
      </c>
      <c r="H31" t="n">
        <v>0.1178711998851725</v>
      </c>
      <c r="I31" t="n">
        <v>0.04146799468838935</v>
      </c>
      <c r="J31" t="n">
        <v>0.8857700938407902</v>
      </c>
      <c r="K31" t="n">
        <v>1.041958427149666</v>
      </c>
      <c r="L31" t="n">
        <v>0.7406463810488333</v>
      </c>
      <c r="M31" t="n">
        <v>0.4291005365233218</v>
      </c>
      <c r="N31" t="n">
        <v>-0.2239453694388658</v>
      </c>
      <c r="O31" t="n">
        <v>-0.0191701928081045</v>
      </c>
      <c r="P31" t="n">
        <v>-0.4191166707950345</v>
      </c>
      <c r="Q31" t="n">
        <v>0.09472229153732314</v>
      </c>
      <c r="R31" t="n">
        <v>-0.06193691013177727</v>
      </c>
      <c r="S31" t="n">
        <v>0.1310985302154393</v>
      </c>
      <c r="T31" t="n">
        <v>1.100958922782809</v>
      </c>
      <c r="U31" t="n">
        <v>0.8011859647694735</v>
      </c>
      <c r="V31" t="n">
        <v>1.113899291841079</v>
      </c>
      <c r="W31" t="n">
        <v>1.883672310480051</v>
      </c>
      <c r="X31" t="n">
        <v>2.166050225563254</v>
      </c>
      <c r="Y31" t="n">
        <v>2.147740639647992</v>
      </c>
      <c r="Z31" t="n">
        <v>2.289854067929724</v>
      </c>
      <c r="AA31" t="n">
        <v>2.02198471391705</v>
      </c>
      <c r="AB31" t="n">
        <v>2.363447650584675</v>
      </c>
      <c r="AC31" t="n">
        <v>3.107850941734796</v>
      </c>
      <c r="AD31" t="n">
        <v>2.787071031851696</v>
      </c>
    </row>
    <row r="32" ht="15" customHeight="1" s="115">
      <c r="A32" s="3" t="inlineStr">
        <is>
          <t>Recovery Adjustments excluding LTV (Mileage, vehicle type, etc.)</t>
        </is>
      </c>
      <c r="B32" t="n">
        <v>0.1209483838941594</v>
      </c>
      <c r="C32" t="n">
        <v>0.7219588917824353</v>
      </c>
      <c r="D32" t="n">
        <v>0.2508304933616614</v>
      </c>
      <c r="E32" t="n">
        <v>0.2039316750473859</v>
      </c>
      <c r="F32" t="n">
        <v>0.1150354597418186</v>
      </c>
      <c r="G32" t="n">
        <v>0.08440622842755374</v>
      </c>
      <c r="H32" t="n">
        <v>0.2969396910684168</v>
      </c>
      <c r="I32" t="n">
        <v>0.4211028388137379</v>
      </c>
      <c r="J32" t="n">
        <v>0.3198976405286942</v>
      </c>
      <c r="K32" t="n">
        <v>0.2243145777061955</v>
      </c>
      <c r="L32" t="n">
        <v>0.2396449411724006</v>
      </c>
      <c r="M32" t="n">
        <v>0.3570291558168037</v>
      </c>
      <c r="N32" t="n">
        <v>0.2664559812384368</v>
      </c>
      <c r="O32" t="n">
        <v>-1.856920067304145</v>
      </c>
      <c r="P32" t="n">
        <v>-2.530579823455156</v>
      </c>
      <c r="Q32" t="n">
        <v>-2.410118567525871</v>
      </c>
      <c r="R32" t="n">
        <v>-2.269219960732329</v>
      </c>
      <c r="S32" t="n">
        <v>-1.27609456764111</v>
      </c>
      <c r="T32" t="n">
        <v>-1.085277345886993</v>
      </c>
      <c r="U32" t="n">
        <v>-0.7728891881174889</v>
      </c>
      <c r="V32" t="n">
        <v>-0.938167269860827</v>
      </c>
      <c r="W32" t="n">
        <v>-0.415425765819549</v>
      </c>
      <c r="X32" t="n">
        <v>-0.1058460142993169</v>
      </c>
      <c r="Y32" t="n">
        <v>0.2087233929507022</v>
      </c>
      <c r="Z32" t="n">
        <v>2.277492333966364</v>
      </c>
      <c r="AA32" t="n">
        <v>2.999013653251069</v>
      </c>
      <c r="AB32" t="n">
        <v>2.98344563717481</v>
      </c>
      <c r="AC32" t="n">
        <v>3.458365508913204</v>
      </c>
      <c r="AD32" t="n">
        <v>3.772324261832154</v>
      </c>
    </row>
    <row r="33" ht="15" customHeight="1" s="115">
      <c r="A33" s="4" t="inlineStr">
        <is>
          <t>LTV Adjustments</t>
        </is>
      </c>
      <c r="B33" t="n">
        <v>-0.1209483838941594</v>
      </c>
      <c r="C33" t="n">
        <v>-0.7219588917824353</v>
      </c>
      <c r="D33" t="n">
        <v>-0.2508304933616614</v>
      </c>
      <c r="E33" t="n">
        <v>-0.2039316750473859</v>
      </c>
      <c r="F33" t="n">
        <v>-0.1150354597418186</v>
      </c>
      <c r="G33" t="n">
        <v>-0.08440622842755374</v>
      </c>
      <c r="H33" t="n">
        <v>-0.2969396910684168</v>
      </c>
      <c r="I33" t="n">
        <v>-0.4211028388137379</v>
      </c>
      <c r="J33" t="n">
        <v>-0.3198976405286942</v>
      </c>
      <c r="K33" t="n">
        <v>-0.2243145777061955</v>
      </c>
      <c r="L33" t="n">
        <v>-0.2396449411724006</v>
      </c>
      <c r="M33" t="n">
        <v>-0.3570291558168037</v>
      </c>
      <c r="N33" t="n">
        <v>-0.2664559812384368</v>
      </c>
      <c r="O33" t="n">
        <v>1.856920067304145</v>
      </c>
      <c r="P33" t="n">
        <v>2.530579823455156</v>
      </c>
      <c r="Q33" t="n">
        <v>2.410118567525871</v>
      </c>
      <c r="R33" t="n">
        <v>2.269219960732329</v>
      </c>
      <c r="S33" t="n">
        <v>1.27609456764111</v>
      </c>
      <c r="T33" t="n">
        <v>1.085277345886993</v>
      </c>
      <c r="U33" t="n">
        <v>0.7728891881174889</v>
      </c>
      <c r="V33" t="n">
        <v>0.938167269860827</v>
      </c>
      <c r="W33" t="n">
        <v>0.415425765819549</v>
      </c>
      <c r="X33" t="n">
        <v>0.1058460142993169</v>
      </c>
      <c r="Y33" t="n">
        <v>-0.2087233929507022</v>
      </c>
      <c r="Z33" t="n">
        <v>-2.277492333966364</v>
      </c>
      <c r="AA33" t="n">
        <v>-2.999013653251069</v>
      </c>
      <c r="AB33" t="n">
        <v>-2.98344563717481</v>
      </c>
      <c r="AC33" t="n">
        <v>-3.458365508913204</v>
      </c>
      <c r="AD33" t="n">
        <v>-3.772324261832154</v>
      </c>
    </row>
    <row r="34" ht="15" customHeight="1" s="115">
      <c r="A34" s="3" t="inlineStr">
        <is>
          <t>RAGU Score</t>
        </is>
      </c>
      <c r="B34" t="n">
        <v>130.1937028399444</v>
      </c>
      <c r="C34" t="n">
        <v>132.1941477554959</v>
      </c>
      <c r="D34" t="n">
        <v>132.0418961091661</v>
      </c>
      <c r="E34" t="n">
        <v>129.7682725858978</v>
      </c>
      <c r="F34" t="n">
        <v>129.8533421944205</v>
      </c>
      <c r="G34" t="n">
        <v>132.9004451357729</v>
      </c>
      <c r="H34" t="n">
        <v>135.6420676988362</v>
      </c>
      <c r="I34" t="n">
        <v>135.3287934830298</v>
      </c>
      <c r="J34" t="n">
        <v>136.173484490724</v>
      </c>
      <c r="K34" t="n">
        <v>136.5409650232499</v>
      </c>
      <c r="L34" t="n">
        <v>135.7971784016919</v>
      </c>
      <c r="M34" t="n">
        <v>134.0824595843926</v>
      </c>
      <c r="N34" t="n">
        <v>134.3260542522196</v>
      </c>
      <c r="O34" t="n">
        <v>136.7081414916877</v>
      </c>
      <c r="P34" t="n">
        <v>136.8520271201949</v>
      </c>
      <c r="Q34" t="n">
        <v>138.396673250194</v>
      </c>
      <c r="R34" t="n">
        <v>139.1684098799233</v>
      </c>
      <c r="S34" t="n">
        <v>137.8469377696293</v>
      </c>
      <c r="T34" t="n">
        <v>139.6407951429778</v>
      </c>
      <c r="U34" t="n">
        <v>138.2886586843892</v>
      </c>
      <c r="V34" t="n">
        <v>137.8741321361675</v>
      </c>
      <c r="W34" t="n">
        <v>139.3616965888609</v>
      </c>
      <c r="X34" t="n">
        <v>140.7095859203496</v>
      </c>
      <c r="Y34" t="n">
        <v>139.3567889226458</v>
      </c>
      <c r="Z34" t="n">
        <v>138.9582524825566</v>
      </c>
      <c r="AA34" t="n">
        <v>139.9691769524541</v>
      </c>
      <c r="AB34" t="n">
        <v>141.0239948298289</v>
      </c>
      <c r="AC34" t="n">
        <v>143.1453679171716</v>
      </c>
      <c r="AD34" t="n">
        <v>144.5069793183526</v>
      </c>
    </row>
    <row r="35" ht="15" customHeight="1" s="115">
      <c r="A35" s="5" t="inlineStr">
        <is>
          <t>LTV</t>
        </is>
      </c>
      <c r="B35" t="n">
        <v>1.94697556828344</v>
      </c>
      <c r="C35" t="n">
        <v>1.939971378547607</v>
      </c>
      <c r="D35" t="n">
        <v>1.98741431559081</v>
      </c>
      <c r="E35" t="n">
        <v>2.085996662037926</v>
      </c>
      <c r="F35" t="n">
        <v>2.079016142776007</v>
      </c>
      <c r="G35" t="n">
        <v>2.102412821476165</v>
      </c>
      <c r="H35" t="n">
        <v>1.820969584522967</v>
      </c>
      <c r="I35" t="n">
        <v>1.804217594695374</v>
      </c>
      <c r="J35" t="n">
        <v>1.70060930845446</v>
      </c>
      <c r="K35" t="n">
        <v>1.570512902924778</v>
      </c>
      <c r="L35" t="n">
        <v>1.591727478490843</v>
      </c>
      <c r="M35" t="n">
        <v>1.609982327058929</v>
      </c>
      <c r="N35" t="n">
        <v>1.570025136833964</v>
      </c>
      <c r="O35" t="n">
        <v>1.519387988121392</v>
      </c>
      <c r="P35" t="n">
        <v>1.532219168708386</v>
      </c>
      <c r="Q35" t="n">
        <v>1.483026070796802</v>
      </c>
      <c r="R35" t="n">
        <v>1.479259279160093</v>
      </c>
      <c r="S35" t="n">
        <v>1.523111874525295</v>
      </c>
      <c r="T35" t="n">
        <v>1.421229590354279</v>
      </c>
      <c r="U35" t="n">
        <v>1.424908157074082</v>
      </c>
      <c r="V35" t="n">
        <v>1.533912638633824</v>
      </c>
      <c r="W35" t="n">
        <v>1.493996311172916</v>
      </c>
      <c r="X35" t="n">
        <v>1.453154385406351</v>
      </c>
      <c r="Y35" t="n">
        <v>1.462691360955742</v>
      </c>
      <c r="Z35" t="n">
        <v>1.482252997148801</v>
      </c>
      <c r="AA35" t="n">
        <v>1.427390591100928</v>
      </c>
      <c r="AB35" t="n">
        <v>1.43123196457902</v>
      </c>
      <c r="AC35" t="n">
        <v>1.424620471965413</v>
      </c>
      <c r="AD35" t="n">
        <v>1.500801618460841</v>
      </c>
    </row>
    <row r="36" ht="15" customHeight="1" s="115"/>
    <row r="37" ht="15" customHeight="1" s="115">
      <c r="A37" s="1" t="inlineStr">
        <is>
          <t>ENT</t>
        </is>
      </c>
      <c r="B37" s="25" t="n"/>
      <c r="C37" s="25" t="n"/>
      <c r="D37" s="25" t="n"/>
      <c r="E37" s="25" t="n"/>
      <c r="F37" s="2" t="inlineStr">
        <is>
          <t>2020 Q1</t>
        </is>
      </c>
      <c r="G37" s="2" t="inlineStr">
        <is>
          <t>2020 Q2</t>
        </is>
      </c>
      <c r="H37" s="2" t="inlineStr">
        <is>
          <t>2020 Q3</t>
        </is>
      </c>
      <c r="I37" s="2" t="inlineStr">
        <is>
          <t>2020 Q4</t>
        </is>
      </c>
      <c r="J37" s="2" t="inlineStr">
        <is>
          <t>2021 Q1</t>
        </is>
      </c>
      <c r="K37" s="2" t="inlineStr">
        <is>
          <t>2021 Q2</t>
        </is>
      </c>
      <c r="L37" s="2" t="inlineStr">
        <is>
          <t>2021 Q3</t>
        </is>
      </c>
      <c r="M37" s="2" t="inlineStr">
        <is>
          <t>2021 Q4</t>
        </is>
      </c>
      <c r="N37" s="2" t="inlineStr">
        <is>
          <t>2022 Q1</t>
        </is>
      </c>
      <c r="O37" s="2" t="inlineStr">
        <is>
          <t>2022 Q2</t>
        </is>
      </c>
      <c r="P37" s="2" t="inlineStr">
        <is>
          <t>2022 Q3</t>
        </is>
      </c>
      <c r="Q37" s="2" t="inlineStr">
        <is>
          <t>2022 Q4</t>
        </is>
      </c>
      <c r="R37" s="2" t="inlineStr">
        <is>
          <t>2023 Q1</t>
        </is>
      </c>
      <c r="S37" s="2" t="inlineStr">
        <is>
          <t>2023 Q2</t>
        </is>
      </c>
      <c r="T37" s="2" t="inlineStr">
        <is>
          <t>2023 Q3</t>
        </is>
      </c>
      <c r="U37" s="2" t="inlineStr">
        <is>
          <t>2023 Q4</t>
        </is>
      </c>
      <c r="V37" s="2" t="inlineStr">
        <is>
          <t>2024 Q1</t>
        </is>
      </c>
      <c r="W37" s="2" t="inlineStr">
        <is>
          <t>2024 Q2</t>
        </is>
      </c>
      <c r="X37" s="2" t="inlineStr">
        <is>
          <t>2024 Q3</t>
        </is>
      </c>
      <c r="Y37" s="2" t="inlineStr">
        <is>
          <t>2024 Q4</t>
        </is>
      </c>
      <c r="Z37" s="116" t="inlineStr">
        <is>
          <t>2025 Q1</t>
        </is>
      </c>
      <c r="AA37" s="116" t="inlineStr">
        <is>
          <t>2025 Q2</t>
        </is>
      </c>
      <c r="AB37" s="116" t="inlineStr">
        <is>
          <t>2025 Q3</t>
        </is>
      </c>
      <c r="AC37" s="116" t="inlineStr">
        <is>
          <t>2025 Q4</t>
        </is>
      </c>
    </row>
    <row r="38" ht="15" customHeight="1" s="115">
      <c r="A38" s="5" t="inlineStr">
        <is>
          <t>Contract Model Score</t>
        </is>
      </c>
      <c r="B38" s="8" t="n"/>
      <c r="C38" s="8" t="n"/>
      <c r="D38" s="8" t="n"/>
      <c r="E38" s="8" t="n"/>
      <c r="F38" t="n">
        <v>132.3830679174151</v>
      </c>
      <c r="G38" t="n">
        <v>133.2286405340706</v>
      </c>
      <c r="H38" t="n">
        <v>136.3016578362102</v>
      </c>
      <c r="I38" t="n">
        <v>135.3824245085064</v>
      </c>
      <c r="J38" t="n">
        <v>133.8357035140141</v>
      </c>
      <c r="K38" t="n">
        <v>131.8748978349253</v>
      </c>
      <c r="L38" t="n">
        <v>131.1356915650192</v>
      </c>
      <c r="M38" t="n">
        <v>129.4723028681095</v>
      </c>
      <c r="N38" t="n">
        <v>129.3447284104846</v>
      </c>
      <c r="O38" t="n">
        <v>131.4534857039441</v>
      </c>
      <c r="P38" t="n">
        <v>131.7155339764507</v>
      </c>
      <c r="Q38" t="n">
        <v>131.2585142990662</v>
      </c>
      <c r="R38" t="n">
        <v>132.7338487182355</v>
      </c>
      <c r="S38" t="n">
        <v>133.4421953804156</v>
      </c>
      <c r="T38" t="n">
        <v>133.7675545284876</v>
      </c>
      <c r="U38" t="n">
        <v>135.3136659257851</v>
      </c>
      <c r="V38" t="n">
        <v>136.174564953763</v>
      </c>
      <c r="W38" t="n">
        <v>136.8170999933916</v>
      </c>
      <c r="X38" t="n">
        <v>136.692412626705</v>
      </c>
      <c r="Y38" t="n">
        <v>134.948750294055</v>
      </c>
      <c r="Z38" t="n">
        <v>134.5714799684362</v>
      </c>
      <c r="AA38" t="n">
        <v>136.4179223286813</v>
      </c>
      <c r="AB38" t="n">
        <v>137.0062956216543</v>
      </c>
      <c r="AC38" t="n">
        <v>137.2072148391119</v>
      </c>
      <c r="AD38" t="n">
        <v>139.6199021060375</v>
      </c>
    </row>
    <row r="39" ht="15" customHeight="1" s="115">
      <c r="A39" s="6" t="inlineStr">
        <is>
          <t>Model Score</t>
        </is>
      </c>
      <c r="B39" s="8" t="n"/>
      <c r="C39" s="8" t="n"/>
      <c r="D39" s="8" t="n"/>
      <c r="E39" s="8" t="n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 ht="15" customHeight="1" s="115">
      <c r="A40" s="4" t="inlineStr">
        <is>
          <t>Gross Loss Adjustments (Dealer level, high PTI, etc.)</t>
        </is>
      </c>
      <c r="B40" s="8" t="n"/>
      <c r="C40" s="8" t="n"/>
      <c r="D40" s="8" t="n"/>
      <c r="E40" s="8" t="n"/>
      <c r="F40" t="n">
        <v>-0.3263369139204713</v>
      </c>
      <c r="G40" t="n">
        <v>-0.245313050753083</v>
      </c>
      <c r="H40" t="n">
        <v>-0.5147867349232911</v>
      </c>
      <c r="I40" t="n">
        <v>-1.781073604298228</v>
      </c>
      <c r="J40" t="n">
        <v>-1.166309785036049</v>
      </c>
      <c r="K40" t="n">
        <v>-1.364415366389863</v>
      </c>
      <c r="L40" t="n">
        <v>-1.597894472251596</v>
      </c>
      <c r="M40" t="n">
        <v>-1.414143431390244</v>
      </c>
      <c r="N40" t="n">
        <v>-0.9490317185752133</v>
      </c>
      <c r="O40" t="n">
        <v>-1.136073830150764</v>
      </c>
      <c r="P40" t="n">
        <v>-1.642764606135614</v>
      </c>
      <c r="Q40" t="n">
        <v>-1.488023214869742</v>
      </c>
      <c r="R40" t="n">
        <v>-1.793490183034606</v>
      </c>
      <c r="S40" t="n">
        <v>-1.203348395666069</v>
      </c>
      <c r="T40" t="n">
        <v>-0.9196439606975275</v>
      </c>
      <c r="U40" t="n">
        <v>-0.02904857399136063</v>
      </c>
      <c r="V40" t="n">
        <v>-0.4006763865019138</v>
      </c>
      <c r="W40" t="n">
        <v>-0.3082323632840769</v>
      </c>
      <c r="X40" t="n">
        <v>-0.4947607416659991</v>
      </c>
      <c r="Y40" t="n">
        <v>0.003030305513192388</v>
      </c>
      <c r="Z40" t="n">
        <v>-0.1190676378807893</v>
      </c>
      <c r="AA40" t="n">
        <v>0.4951234336828918</v>
      </c>
      <c r="AB40" t="n">
        <v>0.4981247458768507</v>
      </c>
      <c r="AC40" t="n">
        <v>1.858098367146624</v>
      </c>
      <c r="AD40" t="n">
        <v>2.130671670869788</v>
      </c>
    </row>
    <row r="41" ht="15" customHeight="1" s="115">
      <c r="A41" s="3" t="inlineStr">
        <is>
          <t>Recovery Adjustments excluding LTV (Mileage, vehicle type, etc.)</t>
        </is>
      </c>
      <c r="B41" s="8" t="n"/>
      <c r="C41" s="8" t="n"/>
      <c r="D41" s="8" t="n"/>
      <c r="E41" s="8" t="n"/>
      <c r="F41" t="n">
        <v>-0.02708145947008234</v>
      </c>
      <c r="G41" t="n">
        <v>0.1204661822343382</v>
      </c>
      <c r="H41" t="n">
        <v>0.1229328529756515</v>
      </c>
      <c r="I41" t="n">
        <v>0.1395859031936766</v>
      </c>
      <c r="J41" t="n">
        <v>0.1132154081958561</v>
      </c>
      <c r="K41" t="n">
        <v>-0.130671994399961</v>
      </c>
      <c r="L41" t="n">
        <v>-0.5798503975497056</v>
      </c>
      <c r="M41" t="n">
        <v>-0.8279330319978868</v>
      </c>
      <c r="N41" t="n">
        <v>-1.163425820506845</v>
      </c>
      <c r="O41" t="n">
        <v>-1.152943391875198</v>
      </c>
      <c r="P41" t="n">
        <v>-1.474342343660823</v>
      </c>
      <c r="Q41" t="n">
        <v>-1.676079527301738</v>
      </c>
      <c r="R41" t="n">
        <v>-1.705595094878561</v>
      </c>
      <c r="S41" t="n">
        <v>-1.580418890669847</v>
      </c>
      <c r="T41" t="n">
        <v>-1.606686049663949</v>
      </c>
      <c r="U41" t="n">
        <v>-1.512896369849926</v>
      </c>
      <c r="V41" t="n">
        <v>-1.652272418255109</v>
      </c>
      <c r="W41" t="n">
        <v>-1.413303952131628</v>
      </c>
      <c r="X41" t="n">
        <v>-1.005469759322267</v>
      </c>
      <c r="Y41" t="n">
        <v>-0.3344000701401342</v>
      </c>
      <c r="Z41" t="n">
        <v>0.1602297639062158</v>
      </c>
      <c r="AA41" t="n">
        <v>-0.07633553793590409</v>
      </c>
      <c r="AB41" t="n">
        <v>-0.03645037178961275</v>
      </c>
      <c r="AC41" t="n">
        <v>0.2234757086315824</v>
      </c>
      <c r="AD41" t="n">
        <v>0.3255855336254285</v>
      </c>
    </row>
    <row r="42" ht="15" customHeight="1" s="115">
      <c r="A42" s="4" t="inlineStr">
        <is>
          <t>LTV Adjustments</t>
        </is>
      </c>
      <c r="B42" s="8" t="n"/>
      <c r="C42" s="8" t="n"/>
      <c r="D42" s="8" t="n"/>
      <c r="E42" s="8" t="n"/>
      <c r="F42" t="n">
        <v>0.02708145947008234</v>
      </c>
      <c r="G42" t="n">
        <v>-0.1204661822343382</v>
      </c>
      <c r="H42" t="n">
        <v>-0.1229328529756515</v>
      </c>
      <c r="I42" t="n">
        <v>-0.1395859031936766</v>
      </c>
      <c r="J42" t="n">
        <v>-0.1132154081958561</v>
      </c>
      <c r="K42" t="n">
        <v>0.130671994399961</v>
      </c>
      <c r="L42" t="n">
        <v>0.5798503975497056</v>
      </c>
      <c r="M42" t="n">
        <v>0.8279330319978868</v>
      </c>
      <c r="N42" t="n">
        <v>1.163425820506845</v>
      </c>
      <c r="O42" t="n">
        <v>1.152943391875198</v>
      </c>
      <c r="P42" t="n">
        <v>1.474342343660823</v>
      </c>
      <c r="Q42" t="n">
        <v>1.676079527301738</v>
      </c>
      <c r="R42" t="n">
        <v>1.705595094878561</v>
      </c>
      <c r="S42" t="n">
        <v>1.580418890669847</v>
      </c>
      <c r="T42" t="n">
        <v>1.606686049663949</v>
      </c>
      <c r="U42" t="n">
        <v>1.512896369849926</v>
      </c>
      <c r="V42" t="n">
        <v>1.652272418255109</v>
      </c>
      <c r="W42" t="n">
        <v>1.413303952131628</v>
      </c>
      <c r="X42" t="n">
        <v>1.005469759322267</v>
      </c>
      <c r="Y42" t="n">
        <v>0.3344000701401342</v>
      </c>
      <c r="Z42" t="n">
        <v>-0.1602297639062158</v>
      </c>
      <c r="AA42" t="n">
        <v>0.07633553793590409</v>
      </c>
      <c r="AB42" t="n">
        <v>0.03645037178961275</v>
      </c>
      <c r="AC42" t="n">
        <v>-0.2234757086315824</v>
      </c>
      <c r="AD42" t="n">
        <v>-0.3255855336254285</v>
      </c>
    </row>
    <row r="43" ht="15" customHeight="1" s="115">
      <c r="A43" s="3" t="inlineStr">
        <is>
          <t>RAGU Score</t>
        </is>
      </c>
      <c r="B43" s="8" t="n"/>
      <c r="C43" s="8" t="n"/>
      <c r="D43" s="8" t="n"/>
      <c r="E43" s="8" t="n"/>
      <c r="F43" t="n">
        <v>132.0567310034946</v>
      </c>
      <c r="G43" t="n">
        <v>132.9833274833175</v>
      </c>
      <c r="H43" t="n">
        <v>135.7868711012869</v>
      </c>
      <c r="I43" t="n">
        <v>133.6013509042082</v>
      </c>
      <c r="J43" t="n">
        <v>132.6693937289781</v>
      </c>
      <c r="K43" t="n">
        <v>130.5104824685355</v>
      </c>
      <c r="L43" t="n">
        <v>129.5377970927676</v>
      </c>
      <c r="M43" t="n">
        <v>128.0581594367192</v>
      </c>
      <c r="N43" t="n">
        <v>128.3956966919094</v>
      </c>
      <c r="O43" t="n">
        <v>130.3174118737933</v>
      </c>
      <c r="P43" t="n">
        <v>130.0727693703151</v>
      </c>
      <c r="Q43" t="n">
        <v>129.7704910841964</v>
      </c>
      <c r="R43" t="n">
        <v>130.9403585352009</v>
      </c>
      <c r="S43" t="n">
        <v>132.2388469847496</v>
      </c>
      <c r="T43" t="n">
        <v>132.8479105677901</v>
      </c>
      <c r="U43" t="n">
        <v>135.2846173517937</v>
      </c>
      <c r="V43" t="n">
        <v>135.7738885672611</v>
      </c>
      <c r="W43" t="n">
        <v>136.5088676301075</v>
      </c>
      <c r="X43" t="n">
        <v>136.197651885039</v>
      </c>
      <c r="Y43" t="n">
        <v>134.9517805995682</v>
      </c>
      <c r="Z43" t="n">
        <v>134.4524123305554</v>
      </c>
      <c r="AA43" t="n">
        <v>136.9130457623642</v>
      </c>
      <c r="AB43" t="n">
        <v>137.5044203675312</v>
      </c>
      <c r="AC43" t="n">
        <v>139.0653132062585</v>
      </c>
      <c r="AD43" t="n">
        <v>141.7505737769073</v>
      </c>
    </row>
    <row r="44" ht="15" customHeight="1" s="115">
      <c r="A44" s="5" t="inlineStr">
        <is>
          <t>LTV</t>
        </is>
      </c>
      <c r="B44" s="8" t="n"/>
      <c r="C44" s="8" t="n"/>
      <c r="D44" s="8" t="n"/>
      <c r="E44" s="8" t="n"/>
      <c r="F44" t="n">
        <v>1.47142526198688</v>
      </c>
      <c r="G44" t="n">
        <v>1.447644953119726</v>
      </c>
      <c r="H44" t="n">
        <v>1.267015831770249</v>
      </c>
      <c r="I44" t="n">
        <v>1.369969490575058</v>
      </c>
      <c r="J44" t="n">
        <v>1.358629570800735</v>
      </c>
      <c r="K44" t="n">
        <v>1.26069357564493</v>
      </c>
      <c r="L44" t="n">
        <v>1.339563615550471</v>
      </c>
      <c r="M44" t="n">
        <v>1.373010191408757</v>
      </c>
      <c r="N44" t="n">
        <v>1.388626859987071</v>
      </c>
      <c r="O44" t="n">
        <v>1.345391924470619</v>
      </c>
      <c r="P44" t="n">
        <v>1.291448800507781</v>
      </c>
      <c r="Q44" t="n">
        <v>1.346478133799889</v>
      </c>
      <c r="R44" t="n">
        <v>1.377823589576737</v>
      </c>
      <c r="S44" t="n">
        <v>1.32162749727186</v>
      </c>
      <c r="T44" t="n">
        <v>1.259034890781598</v>
      </c>
      <c r="U44" t="n">
        <v>1.308989867792995</v>
      </c>
      <c r="V44" t="n">
        <v>1.323630645526448</v>
      </c>
      <c r="W44" t="n">
        <v>1.301883572897972</v>
      </c>
      <c r="X44" t="n">
        <v>1.318488444582261</v>
      </c>
      <c r="Y44" t="n">
        <v>1.347731370273622</v>
      </c>
      <c r="Z44" t="n">
        <v>1.338145319042306</v>
      </c>
      <c r="AA44" t="n">
        <v>1.309473624371968</v>
      </c>
      <c r="AB44" t="n">
        <v>1.31073099257773</v>
      </c>
      <c r="AC44" t="n">
        <v>1.325223994252924</v>
      </c>
      <c r="AD44" t="n">
        <v>1.352540379311219</v>
      </c>
    </row>
    <row r="45" ht="15" customHeight="1" s="115"/>
    <row r="46" ht="15" customHeight="1" s="115">
      <c r="A46" s="1" t="inlineStr">
        <is>
          <t>nonKMXENT</t>
        </is>
      </c>
      <c r="B46" s="2" t="n">
        <v>2016</v>
      </c>
      <c r="C46" s="2" t="n">
        <v>2017</v>
      </c>
      <c r="D46" s="2" t="n">
        <v>2018</v>
      </c>
      <c r="E46" s="2" t="n">
        <v>2019</v>
      </c>
      <c r="F46" s="2" t="inlineStr">
        <is>
          <t>2020 Q1</t>
        </is>
      </c>
      <c r="G46" s="2" t="inlineStr">
        <is>
          <t>2020 Q2</t>
        </is>
      </c>
      <c r="H46" s="2" t="inlineStr">
        <is>
          <t>2020 Q3</t>
        </is>
      </c>
      <c r="I46" s="2" t="inlineStr">
        <is>
          <t>2020 Q4</t>
        </is>
      </c>
      <c r="J46" s="2" t="inlineStr">
        <is>
          <t>2021 Q1</t>
        </is>
      </c>
      <c r="K46" s="2" t="inlineStr">
        <is>
          <t>2021 Q2</t>
        </is>
      </c>
      <c r="L46" s="2" t="inlineStr">
        <is>
          <t>2021 Q3</t>
        </is>
      </c>
      <c r="M46" s="2" t="inlineStr">
        <is>
          <t>2021 Q4</t>
        </is>
      </c>
      <c r="N46" s="2" t="inlineStr">
        <is>
          <t>2022 Q1</t>
        </is>
      </c>
      <c r="O46" s="2" t="inlineStr">
        <is>
          <t>2022 Q2</t>
        </is>
      </c>
      <c r="P46" s="2" t="inlineStr">
        <is>
          <t>2022 Q3</t>
        </is>
      </c>
      <c r="Q46" s="2" t="inlineStr">
        <is>
          <t>2022 Q4</t>
        </is>
      </c>
      <c r="R46" s="2" t="inlineStr">
        <is>
          <t>2023 Q1</t>
        </is>
      </c>
      <c r="S46" s="2" t="inlineStr">
        <is>
          <t>2023 Q2</t>
        </is>
      </c>
      <c r="T46" s="2" t="inlineStr">
        <is>
          <t>2023 Q3</t>
        </is>
      </c>
      <c r="U46" s="2" t="inlineStr">
        <is>
          <t>2023 Q4</t>
        </is>
      </c>
      <c r="V46" s="2" t="inlineStr">
        <is>
          <t>2024 Q1</t>
        </is>
      </c>
      <c r="W46" s="2" t="inlineStr">
        <is>
          <t>2024 Q2</t>
        </is>
      </c>
      <c r="X46" s="2" t="inlineStr">
        <is>
          <t>2024 Q3</t>
        </is>
      </c>
      <c r="Y46" s="2" t="inlineStr">
        <is>
          <t>2024 Q4</t>
        </is>
      </c>
      <c r="Z46" s="116" t="inlineStr">
        <is>
          <t>2025 Q1</t>
        </is>
      </c>
      <c r="AA46" s="116" t="inlineStr">
        <is>
          <t>2025 Q2</t>
        </is>
      </c>
      <c r="AB46" s="116" t="inlineStr">
        <is>
          <t>2025 Q3</t>
        </is>
      </c>
      <c r="AC46" s="116" t="inlineStr">
        <is>
          <t>2025 Q4</t>
        </is>
      </c>
    </row>
    <row r="47" ht="15" customHeight="1" s="115">
      <c r="A47" s="5" t="inlineStr">
        <is>
          <t>Contract Model Score</t>
        </is>
      </c>
      <c r="B47" t="n">
        <v>130.1100843291934</v>
      </c>
      <c r="C47" t="n">
        <v>132.5876191815915</v>
      </c>
      <c r="D47" t="n">
        <v>132.5189650279567</v>
      </c>
      <c r="E47" t="n">
        <v>130.5253266183844</v>
      </c>
      <c r="F47" t="n">
        <v>130.9115049474443</v>
      </c>
      <c r="G47" t="n">
        <v>133.5681795151722</v>
      </c>
      <c r="H47" t="n">
        <v>135.3287156077005</v>
      </c>
      <c r="I47" t="n">
        <v>135.0045174643163</v>
      </c>
      <c r="J47" t="n">
        <v>135.3346609884608</v>
      </c>
      <c r="K47" t="n">
        <v>135.4270504442538</v>
      </c>
      <c r="L47" t="n">
        <v>135.142492022365</v>
      </c>
      <c r="M47" t="n">
        <v>133.5823735198444</v>
      </c>
      <c r="N47" t="n">
        <v>134.2454239434767</v>
      </c>
      <c r="O47" t="n">
        <v>136.5410515303455</v>
      </c>
      <c r="P47" t="n">
        <v>137.3492500651486</v>
      </c>
      <c r="Q47" t="n">
        <v>138.6377378124944</v>
      </c>
      <c r="R47" t="n">
        <v>139.457129114703</v>
      </c>
      <c r="S47" t="n">
        <v>138.7519525641671</v>
      </c>
      <c r="T47" t="n">
        <v>138.8758119536593</v>
      </c>
      <c r="U47" t="n">
        <v>138.3110142634407</v>
      </c>
      <c r="V47" t="n">
        <v>137.5327769491045</v>
      </c>
      <c r="W47" t="n">
        <v>138.7636912827668</v>
      </c>
      <c r="X47" t="n">
        <v>140.0746956158838</v>
      </c>
      <c r="Y47" t="n">
        <v>138.6195657047954</v>
      </c>
      <c r="Z47" t="n">
        <v>138.1377774999921</v>
      </c>
      <c r="AA47" t="n">
        <v>139.2205027617649</v>
      </c>
      <c r="AB47" t="n">
        <v>139.6100380592523</v>
      </c>
      <c r="AC47" t="n">
        <v>140.5626239993246</v>
      </c>
      <c r="AD47" t="n">
        <v>141.8829259122428</v>
      </c>
    </row>
    <row r="48" ht="15" customHeight="1" s="115">
      <c r="A48" s="6" t="inlineStr">
        <is>
          <t>Model Score</t>
        </is>
      </c>
      <c r="B48" t="n">
        <v>0.1546062412359959</v>
      </c>
      <c r="C48" t="n">
        <v>0.09548344217574822</v>
      </c>
      <c r="D48" t="n">
        <v>0.03111514892165701</v>
      </c>
      <c r="E48" t="n">
        <v>0.006087694289846013</v>
      </c>
      <c r="F48" t="n">
        <v>-0.002930705114692955</v>
      </c>
      <c r="G48" t="n">
        <v>0.001145209251859569</v>
      </c>
      <c r="H48" t="n">
        <v>0.002030683323681615</v>
      </c>
      <c r="I48" t="n">
        <v>0.006805469066819114</v>
      </c>
      <c r="J48" t="n">
        <v>0.0002510194973979196</v>
      </c>
      <c r="K48" t="n">
        <v>3.566449197478505e-05</v>
      </c>
      <c r="L48" t="n">
        <v>0.001487676061316279</v>
      </c>
      <c r="M48" t="n">
        <v>-0.0004078231956157197</v>
      </c>
      <c r="N48" t="n">
        <v>-0.0007339099506680213</v>
      </c>
      <c r="O48" t="n">
        <v>-0.002052823457205477</v>
      </c>
      <c r="P48" t="n">
        <v>-0.002316001226887465</v>
      </c>
      <c r="Q48" t="n">
        <v>0.003833111816589962</v>
      </c>
      <c r="R48" t="n">
        <v>-0.002625235253901792</v>
      </c>
      <c r="S48" t="n">
        <v>0.01302909282549081</v>
      </c>
      <c r="T48" t="n">
        <v>-0.01725876218921485</v>
      </c>
      <c r="U48" t="n">
        <v>-0.0003323821570972996</v>
      </c>
      <c r="V48" t="n">
        <v>-0.01373876706338706</v>
      </c>
      <c r="W48" t="n">
        <v>-0.01194577983250156</v>
      </c>
      <c r="X48" t="n">
        <v>-0.0008873841961474227</v>
      </c>
      <c r="Y48" t="n">
        <v>-0.00754053784916664</v>
      </c>
      <c r="Z48" t="n">
        <v>-0.0156203842684306</v>
      </c>
      <c r="AA48" t="n">
        <v>-0.01923452589790031</v>
      </c>
      <c r="AB48" t="n">
        <v>-0.007512662259358649</v>
      </c>
      <c r="AC48" t="n">
        <v>0.003002889149684052</v>
      </c>
      <c r="AD48" t="n">
        <v>0.01849723394536795</v>
      </c>
    </row>
    <row r="49" ht="15" customHeight="1" s="115">
      <c r="A49" s="4" t="inlineStr">
        <is>
          <t>Gross Loss Adjustments (Dealer level, high PTI, etc.)</t>
        </is>
      </c>
      <c r="B49" t="n">
        <v>0.2588813202717688</v>
      </c>
      <c r="C49" t="n">
        <v>0.5587927938031783</v>
      </c>
      <c r="D49" t="n">
        <v>0.563802785553662</v>
      </c>
      <c r="E49" t="n">
        <v>0.2926034565936959</v>
      </c>
      <c r="F49" t="n">
        <v>-0.3453681264068678</v>
      </c>
      <c r="G49" t="n">
        <v>-0.1691914422711136</v>
      </c>
      <c r="H49" t="n">
        <v>-0.2725073397857329</v>
      </c>
      <c r="I49" t="n">
        <v>-0.2097614047833929</v>
      </c>
      <c r="J49" t="n">
        <v>0.4826876959477318</v>
      </c>
      <c r="K49" t="n">
        <v>0.3673913307956127</v>
      </c>
      <c r="L49" t="n">
        <v>0.1594608349436726</v>
      </c>
      <c r="M49" t="n">
        <v>-0.217533614267694</v>
      </c>
      <c r="N49" t="n">
        <v>-0.3747707302003107</v>
      </c>
      <c r="O49" t="n">
        <v>0.183026509036381</v>
      </c>
      <c r="P49" t="n">
        <v>0.2158207545201662</v>
      </c>
      <c r="Q49" t="n">
        <v>0.2709398649026866</v>
      </c>
      <c r="R49" t="n">
        <v>0.5302305331144339</v>
      </c>
      <c r="S49" t="n">
        <v>0.8333868189168356</v>
      </c>
      <c r="T49" t="n">
        <v>1.059104042908615</v>
      </c>
      <c r="U49" t="n">
        <v>0.7073260407477449</v>
      </c>
      <c r="V49" t="n">
        <v>0.619877401308969</v>
      </c>
      <c r="W49" t="n">
        <v>1.066323593173991</v>
      </c>
      <c r="X49" t="n">
        <v>1.342817185312242</v>
      </c>
      <c r="Y49" t="n">
        <v>1.308409194130263</v>
      </c>
      <c r="Z49" t="n">
        <v>1.766681617024233</v>
      </c>
      <c r="AA49" t="n">
        <v>1.839336102621701</v>
      </c>
      <c r="AB49" t="n">
        <v>2.428481782539933</v>
      </c>
      <c r="AC49" t="n">
        <v>2.961652552700684</v>
      </c>
      <c r="AD49" t="n">
        <v>2.54318823801745</v>
      </c>
    </row>
    <row r="50" ht="15" customHeight="1" s="115">
      <c r="A50" s="3" t="inlineStr">
        <is>
          <t>Recovery Adjustments excluding LTV (Mileage, vehicle type, etc.)</t>
        </is>
      </c>
      <c r="B50" t="n">
        <v>-0.6406325952869452</v>
      </c>
      <c r="C50" t="n">
        <v>-0.02759212715596959</v>
      </c>
      <c r="D50" t="n">
        <v>-0.05850485996791122</v>
      </c>
      <c r="E50" t="n">
        <v>0.1553939260182631</v>
      </c>
      <c r="F50" t="n">
        <v>0.05062037557388521</v>
      </c>
      <c r="G50" t="n">
        <v>-0.1909338485945398</v>
      </c>
      <c r="H50" t="n">
        <v>-0.1192591205133056</v>
      </c>
      <c r="I50" t="n">
        <v>-0.03874703697186987</v>
      </c>
      <c r="J50" t="n">
        <v>-0.2874441012629632</v>
      </c>
      <c r="K50" t="n">
        <v>-0.3589070830671801</v>
      </c>
      <c r="L50" t="n">
        <v>-0.4817370317637995</v>
      </c>
      <c r="M50" t="n">
        <v>-0.7414105223078593</v>
      </c>
      <c r="N50" t="n">
        <v>-0.9412248592616379</v>
      </c>
      <c r="O50" t="n">
        <v>-2.675043220326216</v>
      </c>
      <c r="P50" t="n">
        <v>-3.792650717443252</v>
      </c>
      <c r="Q50" t="n">
        <v>-3.975754982199504</v>
      </c>
      <c r="R50" t="n">
        <v>-3.596279135892701</v>
      </c>
      <c r="S50" t="n">
        <v>-3.078204817720064</v>
      </c>
      <c r="T50" t="n">
        <v>-3.261798899636489</v>
      </c>
      <c r="U50" t="n">
        <v>-2.71918654782246</v>
      </c>
      <c r="V50" t="n">
        <v>-2.564325704093193</v>
      </c>
      <c r="W50" t="n">
        <v>-2.528150926152961</v>
      </c>
      <c r="X50" t="n">
        <v>-2.298599809149664</v>
      </c>
      <c r="Y50" t="n">
        <v>-1.828331629589513</v>
      </c>
      <c r="Z50" t="n">
        <v>0.4764446721921729</v>
      </c>
      <c r="AA50" t="n">
        <v>0.8522724374906545</v>
      </c>
      <c r="AB50" t="n">
        <v>1.175651925858688</v>
      </c>
      <c r="AC50" t="n">
        <v>1.689504256293446</v>
      </c>
      <c r="AD50" t="n">
        <v>1.954808790775274</v>
      </c>
    </row>
    <row r="51" ht="15" customHeight="1" s="115">
      <c r="A51" s="4" t="inlineStr">
        <is>
          <t>LTV Adjustments</t>
        </is>
      </c>
      <c r="B51" t="n">
        <v>0.6406325952869452</v>
      </c>
      <c r="C51" t="n">
        <v>0.02759212715596959</v>
      </c>
      <c r="D51" t="n">
        <v>0.05850485996791122</v>
      </c>
      <c r="E51" t="n">
        <v>-0.1553939260182631</v>
      </c>
      <c r="F51" t="n">
        <v>-0.05062037557388521</v>
      </c>
      <c r="G51" t="n">
        <v>0.1909338485945398</v>
      </c>
      <c r="H51" t="n">
        <v>0.1192591205133056</v>
      </c>
      <c r="I51" t="n">
        <v>0.03874703697186987</v>
      </c>
      <c r="J51" t="n">
        <v>0.2874441012629632</v>
      </c>
      <c r="K51" t="n">
        <v>0.3589070830671801</v>
      </c>
      <c r="L51" t="n">
        <v>0.4817370317637995</v>
      </c>
      <c r="M51" t="n">
        <v>0.7414105223078593</v>
      </c>
      <c r="N51" t="n">
        <v>0.9412248592616379</v>
      </c>
      <c r="O51" t="n">
        <v>2.675043220326216</v>
      </c>
      <c r="P51" t="n">
        <v>3.792650717443252</v>
      </c>
      <c r="Q51" t="n">
        <v>3.975754982199504</v>
      </c>
      <c r="R51" t="n">
        <v>3.596279135892701</v>
      </c>
      <c r="S51" t="n">
        <v>3.078204817720064</v>
      </c>
      <c r="T51" t="n">
        <v>3.261798899636489</v>
      </c>
      <c r="U51" t="n">
        <v>2.71918654782246</v>
      </c>
      <c r="V51" t="n">
        <v>2.564325704093193</v>
      </c>
      <c r="W51" t="n">
        <v>2.528150926152961</v>
      </c>
      <c r="X51" t="n">
        <v>2.298599809149664</v>
      </c>
      <c r="Y51" t="n">
        <v>1.828331629589513</v>
      </c>
      <c r="Z51" t="n">
        <v>-0.4764446721921729</v>
      </c>
      <c r="AA51" t="n">
        <v>-0.8522724374906545</v>
      </c>
      <c r="AB51" t="n">
        <v>-1.175651925858688</v>
      </c>
      <c r="AC51" t="n">
        <v>-1.689504256293446</v>
      </c>
      <c r="AD51" t="n">
        <v>-1.954808790775274</v>
      </c>
    </row>
    <row r="52" ht="15" customHeight="1" s="115">
      <c r="A52" s="3" t="inlineStr">
        <is>
          <t>RAGU Score</t>
        </is>
      </c>
      <c r="B52" t="n">
        <v>130.5235718907012</v>
      </c>
      <c r="C52" t="n">
        <v>133.2418954175704</v>
      </c>
      <c r="D52" t="n">
        <v>133.113882962432</v>
      </c>
      <c r="E52" t="n">
        <v>130.8240177692679</v>
      </c>
      <c r="F52" t="n">
        <v>130.5632061159228</v>
      </c>
      <c r="G52" t="n">
        <v>133.400133282153</v>
      </c>
      <c r="H52" t="n">
        <v>135.0582389512385</v>
      </c>
      <c r="I52" t="n">
        <v>134.8015615285997</v>
      </c>
      <c r="J52" t="n">
        <v>135.817599703906</v>
      </c>
      <c r="K52" t="n">
        <v>135.7944774395414</v>
      </c>
      <c r="L52" t="n">
        <v>135.30344053337</v>
      </c>
      <c r="M52" t="n">
        <v>133.3644320823811</v>
      </c>
      <c r="N52" t="n">
        <v>133.8699193033257</v>
      </c>
      <c r="O52" t="n">
        <v>136.7220252159247</v>
      </c>
      <c r="P52" t="n">
        <v>137.5627548184419</v>
      </c>
      <c r="Q52" t="n">
        <v>138.9125107892137</v>
      </c>
      <c r="R52" t="n">
        <v>139.9847344125635</v>
      </c>
      <c r="S52" t="n">
        <v>139.5983684759094</v>
      </c>
      <c r="T52" t="n">
        <v>139.9176572343787</v>
      </c>
      <c r="U52" t="n">
        <v>139.0180079220313</v>
      </c>
      <c r="V52" t="n">
        <v>138.1389155833501</v>
      </c>
      <c r="W52" t="n">
        <v>139.8180690961083</v>
      </c>
      <c r="X52" t="n">
        <v>141.4166254169999</v>
      </c>
      <c r="Y52" t="n">
        <v>139.9204343610765</v>
      </c>
      <c r="Z52" t="n">
        <v>139.8888387327479</v>
      </c>
      <c r="AA52" t="n">
        <v>141.0406043384887</v>
      </c>
      <c r="AB52" t="n">
        <v>142.0310071795329</v>
      </c>
      <c r="AC52" t="n">
        <v>143.527279441175</v>
      </c>
      <c r="AD52" t="n">
        <v>144.4446113842056</v>
      </c>
    </row>
    <row r="53" ht="15" customHeight="1" s="115">
      <c r="A53" s="5" t="inlineStr">
        <is>
          <t>LTV</t>
        </is>
      </c>
      <c r="B53" t="n">
        <v>1.987040233137538</v>
      </c>
      <c r="C53" t="n">
        <v>1.934547427068216</v>
      </c>
      <c r="D53" t="n">
        <v>1.951985850126581</v>
      </c>
      <c r="E53" t="n">
        <v>1.947352643874749</v>
      </c>
      <c r="F53" t="n">
        <v>1.901161142162839</v>
      </c>
      <c r="G53" t="n">
        <v>1.928520321051674</v>
      </c>
      <c r="H53" t="n">
        <v>1.738075617276113</v>
      </c>
      <c r="I53" t="n">
        <v>1.802961037863246</v>
      </c>
      <c r="J53" t="n">
        <v>1.672801338257625</v>
      </c>
      <c r="K53" t="n">
        <v>1.496064236724928</v>
      </c>
      <c r="L53" t="n">
        <v>1.554439658419416</v>
      </c>
      <c r="M53" t="n">
        <v>1.604094384795869</v>
      </c>
      <c r="N53" t="n">
        <v>1.58168695362438</v>
      </c>
      <c r="O53" t="n">
        <v>1.582959910257514</v>
      </c>
      <c r="P53" t="n">
        <v>1.610749103449782</v>
      </c>
      <c r="Q53" t="n">
        <v>1.609850248810366</v>
      </c>
      <c r="R53" t="n">
        <v>1.641168568086577</v>
      </c>
      <c r="S53" t="n">
        <v>1.545051427457153</v>
      </c>
      <c r="T53" t="n">
        <v>1.480386658798652</v>
      </c>
      <c r="U53" t="n">
        <v>1.474622884674758</v>
      </c>
      <c r="V53" t="n">
        <v>1.528636471329303</v>
      </c>
      <c r="W53" t="n">
        <v>1.498557310527369</v>
      </c>
      <c r="X53" t="n">
        <v>1.479389711989047</v>
      </c>
      <c r="Y53" t="n">
        <v>1.484187291358844</v>
      </c>
      <c r="Z53" t="n">
        <v>1.493124122345071</v>
      </c>
      <c r="AA53" t="n">
        <v>1.451915300526212</v>
      </c>
      <c r="AB53" t="n">
        <v>1.452336155829108</v>
      </c>
      <c r="AC53" t="n">
        <v>1.444400136827086</v>
      </c>
      <c r="AD53" t="n">
        <v>1.47407494501725</v>
      </c>
    </row>
    <row r="54" ht="15" customHeight="1" s="115"/>
    <row r="55" ht="15" customHeight="1" s="115">
      <c r="A55" s="1" t="inlineStr">
        <is>
          <t>KMX</t>
        </is>
      </c>
      <c r="B55" s="2" t="n">
        <v>2016</v>
      </c>
      <c r="C55" s="2" t="n">
        <v>2017</v>
      </c>
      <c r="D55" s="2" t="n">
        <v>2018</v>
      </c>
      <c r="E55" s="2" t="n">
        <v>2019</v>
      </c>
      <c r="F55" s="2" t="inlineStr">
        <is>
          <t>2020 Q1</t>
        </is>
      </c>
      <c r="G55" s="2" t="inlineStr">
        <is>
          <t>2020 Q2</t>
        </is>
      </c>
      <c r="H55" s="2" t="inlineStr">
        <is>
          <t>2020 Q3</t>
        </is>
      </c>
      <c r="I55" s="2" t="inlineStr">
        <is>
          <t>2020 Q4</t>
        </is>
      </c>
      <c r="J55" s="2" t="inlineStr">
        <is>
          <t>2021 Q1</t>
        </is>
      </c>
      <c r="K55" s="2" t="inlineStr">
        <is>
          <t>2021 Q2</t>
        </is>
      </c>
      <c r="L55" s="2" t="inlineStr">
        <is>
          <t>2021 Q3</t>
        </is>
      </c>
      <c r="M55" s="2" t="inlineStr">
        <is>
          <t>2021 Q4</t>
        </is>
      </c>
      <c r="N55" s="2" t="inlineStr">
        <is>
          <t>2022 Q1</t>
        </is>
      </c>
      <c r="O55" s="2" t="inlineStr">
        <is>
          <t>2022 Q2</t>
        </is>
      </c>
      <c r="P55" s="2" t="inlineStr">
        <is>
          <t>2022 Q3</t>
        </is>
      </c>
      <c r="Q55" s="2" t="inlineStr">
        <is>
          <t>2022 Q4</t>
        </is>
      </c>
      <c r="R55" s="2" t="inlineStr">
        <is>
          <t>2023 Q1</t>
        </is>
      </c>
      <c r="S55" s="2" t="inlineStr">
        <is>
          <t>2023 Q2</t>
        </is>
      </c>
      <c r="T55" s="2" t="inlineStr">
        <is>
          <t>2023 Q3</t>
        </is>
      </c>
      <c r="U55" s="2" t="inlineStr">
        <is>
          <t>2023 Q4</t>
        </is>
      </c>
      <c r="V55" s="2" t="inlineStr">
        <is>
          <t>2024 Q1</t>
        </is>
      </c>
      <c r="W55" s="2" t="inlineStr">
        <is>
          <t>2024 Q2</t>
        </is>
      </c>
      <c r="X55" s="2" t="inlineStr">
        <is>
          <t>2024 Q3</t>
        </is>
      </c>
      <c r="Y55" s="2" t="inlineStr">
        <is>
          <t>2024 Q4</t>
        </is>
      </c>
      <c r="Z55" s="116" t="inlineStr">
        <is>
          <t>2025 Q1</t>
        </is>
      </c>
      <c r="AA55" s="116" t="inlineStr">
        <is>
          <t>2025 Q2</t>
        </is>
      </c>
      <c r="AB55" s="116" t="inlineStr">
        <is>
          <t>2025 Q3</t>
        </is>
      </c>
      <c r="AC55" s="116" t="inlineStr">
        <is>
          <t>2025 Q4</t>
        </is>
      </c>
    </row>
    <row r="56" ht="15" customHeight="1" s="115">
      <c r="A56" s="5" t="inlineStr">
        <is>
          <t>Contract Model Score</t>
        </is>
      </c>
      <c r="B56" t="n">
        <v>136.5643253943556</v>
      </c>
      <c r="C56" t="n">
        <v>139.1004442603476</v>
      </c>
      <c r="D56" t="n">
        <v>137.7797790403167</v>
      </c>
      <c r="E56" t="n">
        <v>136.8778487077798</v>
      </c>
      <c r="F56" t="n">
        <v>135.8633224944541</v>
      </c>
      <c r="G56" t="n">
        <v>138.3720419324735</v>
      </c>
      <c r="H56" t="n">
        <v>138.7894963218604</v>
      </c>
      <c r="I56" t="n">
        <v>136.9589043681356</v>
      </c>
      <c r="J56" t="n">
        <v>135.464326976926</v>
      </c>
      <c r="K56" t="n">
        <v>135.7380087477724</v>
      </c>
      <c r="L56" t="n">
        <v>134.5037235232797</v>
      </c>
      <c r="M56" t="n">
        <v>133.1929716459206</v>
      </c>
      <c r="N56" t="n">
        <v>133.2647412548158</v>
      </c>
      <c r="O56" t="n">
        <v>134.7011497921341</v>
      </c>
      <c r="P56" t="n">
        <v>136.0582679564172</v>
      </c>
      <c r="Q56" t="n">
        <v>138.3336975652311</v>
      </c>
      <c r="R56" t="n">
        <v>140.0967165784893</v>
      </c>
      <c r="S56" t="n">
        <v>140.6586391183844</v>
      </c>
      <c r="T56" t="n">
        <v>140.5045947179389</v>
      </c>
      <c r="U56" t="n">
        <v>140.5607805151965</v>
      </c>
      <c r="V56" t="n">
        <v>139.5682503747967</v>
      </c>
      <c r="W56" t="n">
        <v>140.4321183388456</v>
      </c>
      <c r="X56" t="n">
        <v>139.8851148311564</v>
      </c>
      <c r="Y56" t="n">
        <v>139.7678180252279</v>
      </c>
      <c r="Z56" t="n">
        <v>139.7087676349219</v>
      </c>
      <c r="AA56" t="n">
        <v>139.8667228088468</v>
      </c>
      <c r="AB56" t="n">
        <v>139.9179087577999</v>
      </c>
      <c r="AC56" t="n">
        <v>140.9420542609512</v>
      </c>
      <c r="AD56" t="n">
        <v>141.7730986865161</v>
      </c>
    </row>
    <row r="57" ht="15" customHeight="1" s="115">
      <c r="A57" s="6" t="inlineStr">
        <is>
          <t>Model Score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 ht="15" customHeight="1" s="115">
      <c r="A58" s="4" t="inlineStr">
        <is>
          <t>Gross Loss Adjustments (Dealer level, high PTI, etc.)</t>
        </is>
      </c>
      <c r="B58" t="n">
        <v>3.491701599493126</v>
      </c>
      <c r="C58" t="n">
        <v>3.634493738867945</v>
      </c>
      <c r="D58" t="n">
        <v>3.243643364889039</v>
      </c>
      <c r="E58" t="n">
        <v>3.175813790326401</v>
      </c>
      <c r="F58" t="n">
        <v>3.145233870690674</v>
      </c>
      <c r="G58" t="n">
        <v>3.529560503137702</v>
      </c>
      <c r="H58" t="n">
        <v>3.337840647218286</v>
      </c>
      <c r="I58" t="n">
        <v>2.728583247585817</v>
      </c>
      <c r="J58" t="n">
        <v>2.351467492519475</v>
      </c>
      <c r="K58" t="n">
        <v>2.136961540091818</v>
      </c>
      <c r="L58" t="n">
        <v>1.732327011010852</v>
      </c>
      <c r="M58" t="n">
        <v>1.193849681393317</v>
      </c>
      <c r="N58" t="n">
        <v>1.037543939981958</v>
      </c>
      <c r="O58" t="n">
        <v>1.179337075221639</v>
      </c>
      <c r="P58" t="n">
        <v>1.435166666520331</v>
      </c>
      <c r="Q58" t="n">
        <v>2.126276350717148</v>
      </c>
      <c r="R58" t="n">
        <v>2.675905961089995</v>
      </c>
      <c r="S58" t="n">
        <v>2.94536925343948</v>
      </c>
      <c r="T58" t="n">
        <v>2.947745290874906</v>
      </c>
      <c r="U58" t="n">
        <v>3.155247919903729</v>
      </c>
      <c r="V58" t="n">
        <v>3.629164156672033</v>
      </c>
      <c r="W58" t="n">
        <v>4.197145926319052</v>
      </c>
      <c r="X58" t="n">
        <v>3.995536876790794</v>
      </c>
      <c r="Y58" t="n">
        <v>3.382390004031805</v>
      </c>
      <c r="Z58" t="n">
        <v>2.398141045400166</v>
      </c>
      <c r="AA58" t="n">
        <v>3.191638114016285</v>
      </c>
      <c r="AB58" t="n">
        <v>3.776184090371771</v>
      </c>
      <c r="AC58" t="n">
        <v>4.225938856020122</v>
      </c>
      <c r="AD58" t="n">
        <v>5.900382688585751</v>
      </c>
    </row>
    <row r="59" ht="15" customHeight="1" s="115">
      <c r="A59" s="3" t="inlineStr">
        <is>
          <t>Recovery Adjustments excluding LTV (Mileage, vehicle type, etc.)</t>
        </is>
      </c>
      <c r="B59" t="n">
        <v>0.3934361049432766</v>
      </c>
      <c r="C59" t="n">
        <v>0.190529987871173</v>
      </c>
      <c r="D59" t="n">
        <v>-0.01515094491907121</v>
      </c>
      <c r="E59" t="n">
        <v>-0.1062456126854556</v>
      </c>
      <c r="F59" t="n">
        <v>-1.22771113581075</v>
      </c>
      <c r="G59" t="n">
        <v>-0.6498831572189943</v>
      </c>
      <c r="H59" t="n">
        <v>-1.111361748055799</v>
      </c>
      <c r="I59" t="n">
        <v>-1.573810387006915</v>
      </c>
      <c r="J59" t="n">
        <v>-1.031684375471798</v>
      </c>
      <c r="K59" t="n">
        <v>0.08396327698221739</v>
      </c>
      <c r="L59" t="n">
        <v>0.8563061532880738</v>
      </c>
      <c r="M59" t="n">
        <v>0.5932164286618047</v>
      </c>
      <c r="N59" t="n">
        <v>0.9487659523684329</v>
      </c>
      <c r="O59" t="n">
        <v>0.8433666955653223</v>
      </c>
      <c r="P59" t="n">
        <v>0.6719672229467619</v>
      </c>
      <c r="Q59" t="n">
        <v>0.06956567007782155</v>
      </c>
      <c r="R59" t="n">
        <v>-0.3449978811092933</v>
      </c>
      <c r="S59" t="n">
        <v>0.3624714729136258</v>
      </c>
      <c r="T59" t="n">
        <v>0.3876210815212744</v>
      </c>
      <c r="U59" t="n">
        <v>0.3754446599287178</v>
      </c>
      <c r="V59" t="n">
        <v>0.1345748859894229</v>
      </c>
      <c r="W59" t="n">
        <v>1.393803235014104</v>
      </c>
      <c r="X59" t="n">
        <v>0.9746656347378746</v>
      </c>
      <c r="Y59" t="n">
        <v>0.9999550762495346</v>
      </c>
      <c r="Z59" t="n">
        <v>1.613263163879651</v>
      </c>
      <c r="AA59" t="n">
        <v>1.814954706869884</v>
      </c>
      <c r="AB59" t="n">
        <v>1.544474186970518</v>
      </c>
      <c r="AC59" t="n">
        <v>1.36212279715383</v>
      </c>
      <c r="AD59" t="n">
        <v>1.67680319484225</v>
      </c>
    </row>
    <row r="60" ht="15" customHeight="1" s="115">
      <c r="A60" s="4" t="inlineStr">
        <is>
          <t>LTV Adjustments</t>
        </is>
      </c>
      <c r="B60" t="n">
        <v>-0.3934361049432766</v>
      </c>
      <c r="C60" t="n">
        <v>-0.190529987871173</v>
      </c>
      <c r="D60" t="n">
        <v>0.01515094491907121</v>
      </c>
      <c r="E60" t="n">
        <v>0.1062456126854556</v>
      </c>
      <c r="F60" t="n">
        <v>1.22771113581075</v>
      </c>
      <c r="G60" t="n">
        <v>0.6498831572189943</v>
      </c>
      <c r="H60" t="n">
        <v>1.111361748055799</v>
      </c>
      <c r="I60" t="n">
        <v>1.573810387006915</v>
      </c>
      <c r="J60" t="n">
        <v>1.031684375471798</v>
      </c>
      <c r="K60" t="n">
        <v>-0.08396327698221739</v>
      </c>
      <c r="L60" t="n">
        <v>-0.8563061532880738</v>
      </c>
      <c r="M60" t="n">
        <v>-0.5932164286618047</v>
      </c>
      <c r="N60" t="n">
        <v>-0.9487659523684329</v>
      </c>
      <c r="O60" t="n">
        <v>-0.8433666955653223</v>
      </c>
      <c r="P60" t="n">
        <v>-0.6719672229467619</v>
      </c>
      <c r="Q60" t="n">
        <v>-0.06956567007782155</v>
      </c>
      <c r="R60" t="n">
        <v>0.3449978811092933</v>
      </c>
      <c r="S60" t="n">
        <v>-0.3624714729136258</v>
      </c>
      <c r="T60" t="n">
        <v>-0.3876210815212744</v>
      </c>
      <c r="U60" t="n">
        <v>-0.3754446599287178</v>
      </c>
      <c r="V60" t="n">
        <v>-0.1345748859894229</v>
      </c>
      <c r="W60" t="n">
        <v>-1.393803235014104</v>
      </c>
      <c r="X60" t="n">
        <v>-0.9746656347378746</v>
      </c>
      <c r="Y60" t="n">
        <v>-0.9999550762495346</v>
      </c>
      <c r="Z60" t="n">
        <v>-1.613263163879651</v>
      </c>
      <c r="AA60" t="n">
        <v>-1.814954706869884</v>
      </c>
      <c r="AB60" t="n">
        <v>-1.544474186970518</v>
      </c>
      <c r="AC60" t="n">
        <v>-1.36212279715383</v>
      </c>
      <c r="AD60" t="n">
        <v>-1.67680319484225</v>
      </c>
    </row>
    <row r="61" ht="15" customHeight="1" s="115">
      <c r="A61" s="3" t="inlineStr">
        <is>
          <t>RAGU Score</t>
        </is>
      </c>
      <c r="B61" t="n">
        <v>140.0560269938487</v>
      </c>
      <c r="C61" t="n">
        <v>142.7349379992155</v>
      </c>
      <c r="D61" t="n">
        <v>141.0234224052058</v>
      </c>
      <c r="E61" t="n">
        <v>140.0536624981062</v>
      </c>
      <c r="F61" t="n">
        <v>139.0085563651447</v>
      </c>
      <c r="G61" t="n">
        <v>141.9016024356112</v>
      </c>
      <c r="H61" t="n">
        <v>142.1273369690787</v>
      </c>
      <c r="I61" t="n">
        <v>139.6874876157215</v>
      </c>
      <c r="J61" t="n">
        <v>137.8157944694455</v>
      </c>
      <c r="K61" t="n">
        <v>137.8749702878642</v>
      </c>
      <c r="L61" t="n">
        <v>136.2360505342905</v>
      </c>
      <c r="M61" t="n">
        <v>134.3868213273139</v>
      </c>
      <c r="N61" t="n">
        <v>134.3022851947977</v>
      </c>
      <c r="O61" t="n">
        <v>135.8804868673558</v>
      </c>
      <c r="P61" t="n">
        <v>137.4934346229376</v>
      </c>
      <c r="Q61" t="n">
        <v>140.4599739159482</v>
      </c>
      <c r="R61" t="n">
        <v>142.7726225395793</v>
      </c>
      <c r="S61" t="n">
        <v>143.6040083718239</v>
      </c>
      <c r="T61" t="n">
        <v>143.4523400088138</v>
      </c>
      <c r="U61" t="n">
        <v>143.7160284351003</v>
      </c>
      <c r="V61" t="n">
        <v>143.1974145314687</v>
      </c>
      <c r="W61" t="n">
        <v>144.6292642651647</v>
      </c>
      <c r="X61" t="n">
        <v>143.8806517079472</v>
      </c>
      <c r="Y61" t="n">
        <v>143.1502080292597</v>
      </c>
      <c r="Z61" t="n">
        <v>142.1069086803221</v>
      </c>
      <c r="AA61" t="n">
        <v>143.0583609228631</v>
      </c>
      <c r="AB61" t="n">
        <v>143.6940928481717</v>
      </c>
      <c r="AC61" t="n">
        <v>145.1679931169714</v>
      </c>
      <c r="AD61" t="n">
        <v>147.6734813751018</v>
      </c>
    </row>
    <row r="62" ht="15" customHeight="1" s="115">
      <c r="A62" s="5" t="inlineStr">
        <is>
          <t>LTV</t>
        </is>
      </c>
      <c r="B62" t="n">
        <v>1.586732514758801</v>
      </c>
      <c r="C62" t="n">
        <v>1.571889770412024</v>
      </c>
      <c r="D62" t="n">
        <v>1.585633194488973</v>
      </c>
      <c r="E62" t="n">
        <v>1.609182228920004</v>
      </c>
      <c r="F62" t="n">
        <v>1.701982246140887</v>
      </c>
      <c r="G62" t="n">
        <v>1.737184631455639</v>
      </c>
      <c r="H62" t="n">
        <v>1.580621733212627</v>
      </c>
      <c r="I62" t="n">
        <v>1.720194164008383</v>
      </c>
      <c r="J62" t="n">
        <v>1.57655636856439</v>
      </c>
      <c r="K62" t="n">
        <v>1.430531602448977</v>
      </c>
      <c r="L62" t="n">
        <v>1.480398759154727</v>
      </c>
      <c r="M62" t="n">
        <v>1.491580162966509</v>
      </c>
      <c r="N62" t="n">
        <v>1.611170698597869</v>
      </c>
      <c r="O62" t="n">
        <v>1.550873192831845</v>
      </c>
      <c r="P62" t="n">
        <v>1.620398694364392</v>
      </c>
      <c r="Q62" t="n">
        <v>1.730810235513741</v>
      </c>
      <c r="R62" t="n">
        <v>1.757893336506091</v>
      </c>
      <c r="S62" t="n">
        <v>1.662522731466893</v>
      </c>
      <c r="T62" t="n">
        <v>1.830518796383333</v>
      </c>
      <c r="U62" t="n">
        <v>1.937975908595265</v>
      </c>
      <c r="V62" t="n">
        <v>1.872477658558929</v>
      </c>
      <c r="W62" t="n">
        <v>1.640754642069332</v>
      </c>
      <c r="X62" t="n">
        <v>1.686652008517968</v>
      </c>
      <c r="Y62" t="n">
        <v>1.679621278229509</v>
      </c>
      <c r="Z62" t="n">
        <v>1.631148578263583</v>
      </c>
      <c r="AA62" t="n">
        <v>1.604482107049305</v>
      </c>
      <c r="AB62" t="n">
        <v>1.615923211681098</v>
      </c>
      <c r="AC62" t="n">
        <v>1.604254482326025</v>
      </c>
      <c r="AD62" t="n">
        <v>1.571139383989019</v>
      </c>
    </row>
    <row r="63" ht="15" customHeight="1" s="115"/>
    <row r="64" ht="15" customHeight="1" s="115">
      <c r="A64" s="1" t="inlineStr">
        <is>
          <t>POS</t>
        </is>
      </c>
      <c r="B64" s="2" t="n">
        <v>2016</v>
      </c>
      <c r="C64" s="2" t="n">
        <v>2017</v>
      </c>
      <c r="D64" s="2" t="n">
        <v>2018</v>
      </c>
      <c r="E64" s="2" t="n">
        <v>2019</v>
      </c>
      <c r="F64" s="2" t="inlineStr">
        <is>
          <t>2020 Q1</t>
        </is>
      </c>
      <c r="G64" s="2" t="inlineStr">
        <is>
          <t>2020 Q2</t>
        </is>
      </c>
      <c r="H64" s="2" t="inlineStr">
        <is>
          <t>2020 Q3</t>
        </is>
      </c>
      <c r="I64" s="2" t="inlineStr">
        <is>
          <t>2020 Q4</t>
        </is>
      </c>
      <c r="J64" s="2" t="inlineStr">
        <is>
          <t>2021 Q1</t>
        </is>
      </c>
      <c r="K64" s="2" t="inlineStr">
        <is>
          <t>2021 Q2</t>
        </is>
      </c>
      <c r="L64" s="2" t="inlineStr">
        <is>
          <t>2021 Q3</t>
        </is>
      </c>
      <c r="M64" s="2" t="inlineStr">
        <is>
          <t>2021 Q4</t>
        </is>
      </c>
      <c r="N64" s="2" t="inlineStr">
        <is>
          <t>2022 Q1</t>
        </is>
      </c>
      <c r="O64" s="2" t="inlineStr">
        <is>
          <t>2022 Q2</t>
        </is>
      </c>
      <c r="P64" s="2" t="inlineStr">
        <is>
          <t>2022 Q3</t>
        </is>
      </c>
      <c r="Q64" s="2" t="inlineStr">
        <is>
          <t>2022 Q4</t>
        </is>
      </c>
      <c r="R64" s="2" t="inlineStr">
        <is>
          <t>2023 Q1</t>
        </is>
      </c>
      <c r="S64" s="2" t="inlineStr">
        <is>
          <t>2023 Q2</t>
        </is>
      </c>
      <c r="T64" s="2" t="inlineStr">
        <is>
          <t>2023 Q3</t>
        </is>
      </c>
      <c r="U64" s="2" t="inlineStr">
        <is>
          <t>2023 Q4</t>
        </is>
      </c>
      <c r="V64" s="2" t="inlineStr">
        <is>
          <t>2024 Q1</t>
        </is>
      </c>
      <c r="W64" s="2" t="inlineStr">
        <is>
          <t>2024 Q2</t>
        </is>
      </c>
      <c r="X64" s="2" t="inlineStr">
        <is>
          <t>2024 Q3</t>
        </is>
      </c>
      <c r="Y64" s="2" t="inlineStr">
        <is>
          <t>2024 Q4</t>
        </is>
      </c>
      <c r="Z64" s="116" t="inlineStr">
        <is>
          <t>2025 Q1</t>
        </is>
      </c>
      <c r="AA64" s="116" t="inlineStr">
        <is>
          <t>2025 Q2</t>
        </is>
      </c>
      <c r="AB64" s="116" t="inlineStr">
        <is>
          <t>2025 Q3</t>
        </is>
      </c>
      <c r="AC64" s="116" t="inlineStr">
        <is>
          <t>2025 Q4</t>
        </is>
      </c>
    </row>
    <row r="65" ht="15" customHeight="1" s="115">
      <c r="A65" s="5" t="inlineStr">
        <is>
          <t>Contract Model Score</t>
        </is>
      </c>
      <c r="B65" t="n">
        <v>134.0091439840029</v>
      </c>
      <c r="C65" t="n">
        <v>137.0902304676798</v>
      </c>
      <c r="D65" t="n">
        <v>136.1790849664392</v>
      </c>
      <c r="E65" t="n">
        <v>135.2281784323935</v>
      </c>
      <c r="F65" t="n">
        <v>134.2283638661647</v>
      </c>
      <c r="G65" t="n">
        <v>136.51598414821</v>
      </c>
      <c r="H65" t="n">
        <v>137.702766480094</v>
      </c>
      <c r="I65" t="n">
        <v>136.3202207907392</v>
      </c>
      <c r="J65" t="n">
        <v>135.2249056055439</v>
      </c>
      <c r="K65" t="n">
        <v>134.9886888609598</v>
      </c>
      <c r="L65" t="n">
        <v>134.1899400481363</v>
      </c>
      <c r="M65" t="n">
        <v>132.8107529836769</v>
      </c>
      <c r="N65" t="n">
        <v>133.0376303514948</v>
      </c>
      <c r="O65" t="n">
        <v>134.8219541411176</v>
      </c>
      <c r="P65" t="n">
        <v>135.9056914255522</v>
      </c>
      <c r="Q65" t="n">
        <v>137.1422610159288</v>
      </c>
      <c r="R65" t="n">
        <v>138.5553085984987</v>
      </c>
      <c r="S65" t="n">
        <v>138.990518182732</v>
      </c>
      <c r="T65" t="n">
        <v>139.0741242161609</v>
      </c>
      <c r="U65" t="n">
        <v>138.9460991900871</v>
      </c>
      <c r="V65" t="n">
        <v>138.3496798172151</v>
      </c>
      <c r="W65" t="n">
        <v>139.2243595727681</v>
      </c>
      <c r="X65" t="n">
        <v>139.5356327351711</v>
      </c>
      <c r="Y65" t="n">
        <v>138.6091958511158</v>
      </c>
      <c r="Z65" t="n">
        <v>138.2993572946158</v>
      </c>
      <c r="AA65" t="n">
        <v>139.1018874982006</v>
      </c>
      <c r="AB65" t="n">
        <v>139.4159554086358</v>
      </c>
      <c r="AC65" t="n">
        <v>140.3199954655755</v>
      </c>
      <c r="AD65" t="n">
        <v>141.5782957108321</v>
      </c>
    </row>
    <row r="66" ht="15" customHeight="1" s="115">
      <c r="A66" s="6" t="inlineStr">
        <is>
          <t>Model Score</t>
        </is>
      </c>
      <c r="B66" t="n">
        <v>-2.391339766619097</v>
      </c>
      <c r="C66" t="n">
        <v>-0.812495971428433</v>
      </c>
      <c r="D66" t="n">
        <v>-0.3522332266376225</v>
      </c>
      <c r="E66" t="n">
        <v>-0.5482058272642121</v>
      </c>
      <c r="F66" t="n">
        <v>-0.4957035522776891</v>
      </c>
      <c r="G66" t="n">
        <v>-0.4374923432363573</v>
      </c>
      <c r="H66" t="n">
        <v>-0.2418060297799514</v>
      </c>
      <c r="I66" t="n">
        <v>-0.1029357514845799</v>
      </c>
      <c r="J66" t="n">
        <v>-0.005799582991585339</v>
      </c>
      <c r="K66" t="n">
        <v>0.05151729968477525</v>
      </c>
      <c r="L66" t="n">
        <v>0.05774219882076181</v>
      </c>
      <c r="M66" t="n">
        <v>0.06375985386796401</v>
      </c>
      <c r="N66" t="n">
        <v>0.01566287758024032</v>
      </c>
      <c r="O66" t="n">
        <v>0.01045778689703525</v>
      </c>
      <c r="P66" t="n">
        <v>0.02794834558076786</v>
      </c>
      <c r="Q66" t="n">
        <v>0.03989436892663889</v>
      </c>
      <c r="R66" t="n">
        <v>0.1143253724106614</v>
      </c>
      <c r="S66" t="n">
        <v>0.1626336554319323</v>
      </c>
      <c r="T66" t="n">
        <v>-0.6893929772945455</v>
      </c>
      <c r="U66" t="n">
        <v>-0.5300628927338948</v>
      </c>
      <c r="V66" t="n">
        <v>-0.02276394334603538</v>
      </c>
      <c r="W66" t="n">
        <v>-0.02622977593685505</v>
      </c>
      <c r="X66" t="n">
        <v>0.002018151456894657</v>
      </c>
      <c r="Y66" t="n">
        <v>0.007304926663664446</v>
      </c>
      <c r="Z66" t="n">
        <v>0.02792654465716282</v>
      </c>
      <c r="AA66" t="n">
        <v>0.01583229958896482</v>
      </c>
      <c r="AB66" t="n">
        <v>0.001914188933028527</v>
      </c>
      <c r="AC66" t="n">
        <v>0.007734499063587918</v>
      </c>
      <c r="AD66" t="n">
        <v>0.02011601059780332</v>
      </c>
    </row>
    <row r="67" ht="15" customHeight="1" s="115">
      <c r="A67" s="4" t="inlineStr">
        <is>
          <t>Gross Loss Adjustments (Dealer level, high PTI, etc.)</t>
        </is>
      </c>
      <c r="B67" t="n">
        <v>0.9532665283398671</v>
      </c>
      <c r="C67" t="n">
        <v>2.281626526752234</v>
      </c>
      <c r="D67" t="n">
        <v>2.242910059764966</v>
      </c>
      <c r="E67" t="n">
        <v>2.176542883515651</v>
      </c>
      <c r="F67" t="n">
        <v>1.545460647546946</v>
      </c>
      <c r="G67" t="n">
        <v>1.785325579160855</v>
      </c>
      <c r="H67" t="n">
        <v>1.824066168093367</v>
      </c>
      <c r="I67" t="n">
        <v>1.35988177463139</v>
      </c>
      <c r="J67" t="n">
        <v>1.403721020142683</v>
      </c>
      <c r="K67" t="n">
        <v>1.027950420561552</v>
      </c>
      <c r="L67" t="n">
        <v>0.8076806393013101</v>
      </c>
      <c r="M67" t="n">
        <v>0.4313591312752578</v>
      </c>
      <c r="N67" t="n">
        <v>0.241899385035083</v>
      </c>
      <c r="O67" t="n">
        <v>0.6336418742568526</v>
      </c>
      <c r="P67" t="n">
        <v>0.7388387509689665</v>
      </c>
      <c r="Q67" t="n">
        <v>1.089370827848541</v>
      </c>
      <c r="R67" t="n">
        <v>1.542735369343262</v>
      </c>
      <c r="S67" t="n">
        <v>1.891543512323523</v>
      </c>
      <c r="T67" t="n">
        <v>1.400534647348877</v>
      </c>
      <c r="U67" t="n">
        <v>1.36108692440618</v>
      </c>
      <c r="V67" t="n">
        <v>1.94801054112591</v>
      </c>
      <c r="W67" t="n">
        <v>2.201193599766526</v>
      </c>
      <c r="X67" t="n">
        <v>2.355187216802932</v>
      </c>
      <c r="Y67" t="n">
        <v>2.068841665870877</v>
      </c>
      <c r="Z67" t="n">
        <v>1.779841931260108</v>
      </c>
      <c r="AA67" t="n">
        <v>2.243591709694698</v>
      </c>
      <c r="AB67" t="n">
        <v>2.800723521591351</v>
      </c>
      <c r="AC67" t="n">
        <v>3.436669151834934</v>
      </c>
      <c r="AD67" t="n">
        <v>4.576702182921423</v>
      </c>
    </row>
    <row r="68" ht="15" customHeight="1" s="115">
      <c r="A68" s="3" t="inlineStr">
        <is>
          <t>Recovery Adjustments excluding LTV (Mileage, vehicle type, etc.)</t>
        </is>
      </c>
      <c r="B68" t="n">
        <v>-0.3952981360056924</v>
      </c>
      <c r="C68" t="n">
        <v>0.1049152999016201</v>
      </c>
      <c r="D68" t="n">
        <v>-0.02397931833320399</v>
      </c>
      <c r="E68" t="n">
        <v>-0.008427599732925728</v>
      </c>
      <c r="F68" t="n">
        <v>-0.6408692153451057</v>
      </c>
      <c r="G68" t="n">
        <v>-0.3880536684107767</v>
      </c>
      <c r="H68" t="n">
        <v>-0.6643020418755157</v>
      </c>
      <c r="I68" t="n">
        <v>-0.9227431209093879</v>
      </c>
      <c r="J68" t="n">
        <v>-0.6777253718027225</v>
      </c>
      <c r="K68" t="n">
        <v>-0.08292346324444111</v>
      </c>
      <c r="L68" t="n">
        <v>0.2655504163523119</v>
      </c>
      <c r="M68" t="n">
        <v>0.01366293729077483</v>
      </c>
      <c r="N68" t="n">
        <v>-0.01634012271051688</v>
      </c>
      <c r="O68" t="n">
        <v>-0.3524064933737066</v>
      </c>
      <c r="P68" t="n">
        <v>-0.8233866853632321</v>
      </c>
      <c r="Q68" t="n">
        <v>-1.109658760507614</v>
      </c>
      <c r="R68" t="n">
        <v>-1.073304510252314</v>
      </c>
      <c r="S68" t="n">
        <v>-0.566275116146187</v>
      </c>
      <c r="T68" t="n">
        <v>-1.30543198099636</v>
      </c>
      <c r="U68" t="n">
        <v>-1.37078694643472</v>
      </c>
      <c r="V68" t="n">
        <v>-1.070097764246952</v>
      </c>
      <c r="W68" t="n">
        <v>-0.6638152802824493</v>
      </c>
      <c r="X68" t="n">
        <v>-0.5179655894122845</v>
      </c>
      <c r="Y68" t="n">
        <v>-0.287098286445655</v>
      </c>
      <c r="Z68" t="n">
        <v>0.9670990834007682</v>
      </c>
      <c r="AA68" t="n">
        <v>1.169367387192096</v>
      </c>
      <c r="AB68" t="n">
        <v>1.208361528177591</v>
      </c>
      <c r="AC68" t="n">
        <v>1.360102901937978</v>
      </c>
      <c r="AD68" t="n">
        <v>1.632779236508497</v>
      </c>
    </row>
    <row r="69" ht="15" customHeight="1" s="115">
      <c r="A69" s="4" t="inlineStr">
        <is>
          <t>LTV Adjustments</t>
        </is>
      </c>
      <c r="B69" t="n">
        <v>0.3952981360056924</v>
      </c>
      <c r="C69" t="n">
        <v>-0.1049152999016201</v>
      </c>
      <c r="D69" t="n">
        <v>0.02397931833320399</v>
      </c>
      <c r="E69" t="n">
        <v>0.008427599732925728</v>
      </c>
      <c r="F69" t="n">
        <v>0.6408692153451057</v>
      </c>
      <c r="G69" t="n">
        <v>0.3880536684107767</v>
      </c>
      <c r="H69" t="n">
        <v>0.6643020418755157</v>
      </c>
      <c r="I69" t="n">
        <v>0.9227431209093879</v>
      </c>
      <c r="J69" t="n">
        <v>0.6777253718027225</v>
      </c>
      <c r="K69" t="n">
        <v>0.08292346324444111</v>
      </c>
      <c r="L69" t="n">
        <v>-0.2655504163523119</v>
      </c>
      <c r="M69" t="n">
        <v>-0.01366293729077483</v>
      </c>
      <c r="N69" t="n">
        <v>0.01634012271051688</v>
      </c>
      <c r="O69" t="n">
        <v>0.3524064933737066</v>
      </c>
      <c r="P69" t="n">
        <v>0.8233866853632321</v>
      </c>
      <c r="Q69" t="n">
        <v>1.109658760507614</v>
      </c>
      <c r="R69" t="n">
        <v>1.073304510252314</v>
      </c>
      <c r="S69" t="n">
        <v>0.566275116146187</v>
      </c>
      <c r="T69" t="n">
        <v>1.30543198099636</v>
      </c>
      <c r="U69" t="n">
        <v>1.37078694643472</v>
      </c>
      <c r="V69" t="n">
        <v>1.070097764246952</v>
      </c>
      <c r="W69" t="n">
        <v>0.6638152802824493</v>
      </c>
      <c r="X69" t="n">
        <v>0.5179655894122845</v>
      </c>
      <c r="Y69" t="n">
        <v>0.287098286445655</v>
      </c>
      <c r="Z69" t="n">
        <v>-0.9670990834007682</v>
      </c>
      <c r="AA69" t="n">
        <v>-1.169367387192096</v>
      </c>
      <c r="AB69" t="n">
        <v>-1.208361528177591</v>
      </c>
      <c r="AC69" t="n">
        <v>-1.360102901937978</v>
      </c>
      <c r="AD69" t="n">
        <v>-1.632779236508497</v>
      </c>
    </row>
    <row r="70" ht="15" customHeight="1" s="115">
      <c r="A70" s="3" t="inlineStr">
        <is>
          <t>RAGU Score</t>
        </is>
      </c>
      <c r="B70" t="n">
        <v>132.5710707457236</v>
      </c>
      <c r="C70" t="n">
        <v>138.5593610230036</v>
      </c>
      <c r="D70" t="n">
        <v>138.0697617995665</v>
      </c>
      <c r="E70" t="n">
        <v>136.8565154886449</v>
      </c>
      <c r="F70" t="n">
        <v>135.2781209614339</v>
      </c>
      <c r="G70" t="n">
        <v>137.8638173841344</v>
      </c>
      <c r="H70" t="n">
        <v>139.2850266184074</v>
      </c>
      <c r="I70" t="n">
        <v>137.577166813886</v>
      </c>
      <c r="J70" t="n">
        <v>136.622827042695</v>
      </c>
      <c r="K70" t="n">
        <v>136.0681565812061</v>
      </c>
      <c r="L70" t="n">
        <v>135.0553628862584</v>
      </c>
      <c r="M70" t="n">
        <v>133.3058719688202</v>
      </c>
      <c r="N70" t="n">
        <v>133.2951926141102</v>
      </c>
      <c r="O70" t="n">
        <v>135.4660538022715</v>
      </c>
      <c r="P70" t="n">
        <v>136.672478522102</v>
      </c>
      <c r="Q70" t="n">
        <v>138.271526212704</v>
      </c>
      <c r="R70" t="n">
        <v>140.2123693402526</v>
      </c>
      <c r="S70" t="n">
        <v>141.0446953504874</v>
      </c>
      <c r="T70" t="n">
        <v>139.7852658862152</v>
      </c>
      <c r="U70" t="n">
        <v>139.7771232217594</v>
      </c>
      <c r="V70" t="n">
        <v>140.274926414995</v>
      </c>
      <c r="W70" t="n">
        <v>141.3993233965978</v>
      </c>
      <c r="X70" t="n">
        <v>141.8928381034309</v>
      </c>
      <c r="Y70" t="n">
        <v>140.6853424436504</v>
      </c>
      <c r="Z70" t="n">
        <v>140.1071257705331</v>
      </c>
      <c r="AA70" t="n">
        <v>141.3613115074843</v>
      </c>
      <c r="AB70" t="n">
        <v>142.2185931191601</v>
      </c>
      <c r="AC70" t="n">
        <v>143.764399116474</v>
      </c>
      <c r="AD70" t="n">
        <v>146.1751139043513</v>
      </c>
    </row>
    <row r="71">
      <c r="A71" s="5" t="inlineStr">
        <is>
          <t>LTV</t>
        </is>
      </c>
      <c r="B71" t="n">
        <v>1.901057179856074</v>
      </c>
      <c r="C71" t="n">
        <v>1.731407116758754</v>
      </c>
      <c r="D71" t="n">
        <v>1.722440326504317</v>
      </c>
      <c r="E71" t="n">
        <v>1.723621501208032</v>
      </c>
      <c r="F71" t="n">
        <v>1.751766665876617</v>
      </c>
      <c r="G71" t="n">
        <v>1.769851658391099</v>
      </c>
      <c r="H71" t="n">
        <v>1.597927653839625</v>
      </c>
      <c r="I71" t="n">
        <v>1.702806211644842</v>
      </c>
      <c r="J71" t="n">
        <v>1.573617538753776</v>
      </c>
      <c r="K71" t="n">
        <v>1.425222814996772</v>
      </c>
      <c r="L71" t="n">
        <v>1.48408068189574</v>
      </c>
      <c r="M71" t="n">
        <v>1.513491377322241</v>
      </c>
      <c r="N71" t="n">
        <v>1.5684678323873</v>
      </c>
      <c r="O71" t="n">
        <v>1.535843447518769</v>
      </c>
      <c r="P71" t="n">
        <v>1.580379640019772</v>
      </c>
      <c r="Q71" t="n">
        <v>1.637564729195249</v>
      </c>
      <c r="R71" t="n">
        <v>1.671523560984765</v>
      </c>
      <c r="S71" t="n">
        <v>1.586249396799188</v>
      </c>
      <c r="T71" t="n">
        <v>1.577020926120684</v>
      </c>
      <c r="U71" t="n">
        <v>1.592762857226892</v>
      </c>
      <c r="V71" t="n">
        <v>1.66725129236058</v>
      </c>
      <c r="W71" t="n">
        <v>1.531850530048761</v>
      </c>
      <c r="X71" t="n">
        <v>1.556198260567635</v>
      </c>
      <c r="Y71" t="n">
        <v>1.553923136826645</v>
      </c>
      <c r="Z71" t="n">
        <v>1.533269158079947</v>
      </c>
      <c r="AA71" t="n">
        <v>1.498749878171886</v>
      </c>
      <c r="AB71" t="n">
        <v>1.509268027096629</v>
      </c>
      <c r="AC71" t="n">
        <v>1.507008931083129</v>
      </c>
      <c r="AD71" t="n">
        <v>1.522119997131508</v>
      </c>
    </row>
    <row r="75"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116" t="n"/>
      <c r="AA75" s="116" t="n"/>
      <c r="AB75" s="11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71"/>
  <sheetViews>
    <sheetView zoomScale="130" zoomScaleNormal="130" workbookViewId="0">
      <pane xSplit="1" topLeftCell="BA1" activePane="topRight" state="frozen"/>
      <selection activeCell="A7" sqref="A7"/>
      <selection pane="topRight" activeCell="BV1" sqref="BV1"/>
    </sheetView>
  </sheetViews>
  <sheetFormatPr baseColWidth="8" defaultRowHeight="14.5"/>
  <cols>
    <col width="26.81640625" customWidth="1" style="115" min="1" max="1"/>
  </cols>
  <sheetData>
    <row r="1" ht="15" customHeight="1" s="115">
      <c r="A1" s="67" t="inlineStr">
        <is>
          <t>AN</t>
        </is>
      </c>
      <c r="B1" s="2" t="n">
        <v>2016</v>
      </c>
      <c r="C1" s="2" t="n">
        <v>2017</v>
      </c>
      <c r="D1" s="2" t="n">
        <v>2018</v>
      </c>
      <c r="E1" s="2" t="n">
        <v>2019</v>
      </c>
      <c r="F1" s="2" t="inlineStr">
        <is>
          <t>2020 M01</t>
        </is>
      </c>
      <c r="G1" s="2" t="inlineStr">
        <is>
          <t>2020 M02</t>
        </is>
      </c>
      <c r="H1" s="2" t="inlineStr">
        <is>
          <t>2020 M03</t>
        </is>
      </c>
      <c r="I1" s="2" t="inlineStr">
        <is>
          <t>2020 M04</t>
        </is>
      </c>
      <c r="J1" s="2" t="inlineStr">
        <is>
          <t>2020 M05</t>
        </is>
      </c>
      <c r="K1" s="2" t="inlineStr">
        <is>
          <t>2020 M06</t>
        </is>
      </c>
      <c r="L1" s="2" t="inlineStr">
        <is>
          <t>2020 M07</t>
        </is>
      </c>
      <c r="M1" s="2" t="inlineStr">
        <is>
          <t>2020 M08</t>
        </is>
      </c>
      <c r="N1" s="2" t="inlineStr">
        <is>
          <t>2020 M09</t>
        </is>
      </c>
      <c r="O1" s="2" t="inlineStr">
        <is>
          <t>2020 M10</t>
        </is>
      </c>
      <c r="P1" s="2" t="inlineStr">
        <is>
          <t>2020 M11</t>
        </is>
      </c>
      <c r="Q1" s="2" t="inlineStr">
        <is>
          <t>2020 M12</t>
        </is>
      </c>
      <c r="R1" s="2" t="inlineStr">
        <is>
          <t>2021 M01</t>
        </is>
      </c>
      <c r="S1" s="2" t="inlineStr">
        <is>
          <t>2021 M02</t>
        </is>
      </c>
      <c r="T1" s="2" t="inlineStr">
        <is>
          <t>2021 M03</t>
        </is>
      </c>
      <c r="U1" s="2" t="inlineStr">
        <is>
          <t>2021 M04</t>
        </is>
      </c>
      <c r="V1" s="2" t="inlineStr">
        <is>
          <t>2021 M05</t>
        </is>
      </c>
      <c r="W1" s="2" t="inlineStr">
        <is>
          <t>2021 M06</t>
        </is>
      </c>
      <c r="X1" s="2" t="inlineStr">
        <is>
          <t>2021 M07</t>
        </is>
      </c>
      <c r="Y1" s="2" t="inlineStr">
        <is>
          <t>2021 M08</t>
        </is>
      </c>
      <c r="Z1" s="2" t="inlineStr">
        <is>
          <t>2021 M09</t>
        </is>
      </c>
      <c r="AA1" s="2" t="inlineStr">
        <is>
          <t>2021 M10</t>
        </is>
      </c>
      <c r="AB1" s="2" t="inlineStr">
        <is>
          <t>2021 M11</t>
        </is>
      </c>
      <c r="AC1" s="2" t="inlineStr">
        <is>
          <t>2021 M12</t>
        </is>
      </c>
      <c r="AD1" s="2" t="inlineStr">
        <is>
          <t>2022 M01</t>
        </is>
      </c>
      <c r="AE1" s="2" t="inlineStr">
        <is>
          <t>2022 M02</t>
        </is>
      </c>
      <c r="AF1" s="2" t="inlineStr">
        <is>
          <t>2022 M03</t>
        </is>
      </c>
      <c r="AG1" s="2" t="inlineStr">
        <is>
          <t>2022 M04</t>
        </is>
      </c>
      <c r="AH1" s="2" t="inlineStr">
        <is>
          <t>2022 M05</t>
        </is>
      </c>
      <c r="AI1" s="2" t="inlineStr">
        <is>
          <t>2022 M06</t>
        </is>
      </c>
      <c r="AJ1" s="2" t="inlineStr">
        <is>
          <t>2022 M07</t>
        </is>
      </c>
      <c r="AK1" s="2" t="inlineStr">
        <is>
          <t>2022 M08</t>
        </is>
      </c>
      <c r="AL1" s="2" t="inlineStr">
        <is>
          <t>2022 M09</t>
        </is>
      </c>
      <c r="AM1" s="2" t="inlineStr">
        <is>
          <t>2022 M10</t>
        </is>
      </c>
      <c r="AN1" s="2" t="inlineStr">
        <is>
          <t>2022 M11</t>
        </is>
      </c>
      <c r="AO1" s="2" t="inlineStr">
        <is>
          <t>2022 M12</t>
        </is>
      </c>
      <c r="AP1" s="2" t="inlineStr">
        <is>
          <t>2023 M01</t>
        </is>
      </c>
      <c r="AQ1" s="2" t="inlineStr">
        <is>
          <t>2023 M02</t>
        </is>
      </c>
      <c r="AR1" s="2" t="inlineStr">
        <is>
          <t>2023 M03</t>
        </is>
      </c>
      <c r="AS1" s="2" t="inlineStr">
        <is>
          <t>2023 M04</t>
        </is>
      </c>
      <c r="AT1" s="2" t="inlineStr">
        <is>
          <t>2023 M05</t>
        </is>
      </c>
      <c r="AU1" s="2" t="inlineStr">
        <is>
          <t>2023 M06</t>
        </is>
      </c>
      <c r="AV1" s="2" t="inlineStr">
        <is>
          <t>2023 M07</t>
        </is>
      </c>
      <c r="AW1" s="2" t="inlineStr">
        <is>
          <t>2023 M08</t>
        </is>
      </c>
      <c r="AX1" s="2" t="inlineStr">
        <is>
          <t>2023 M09</t>
        </is>
      </c>
      <c r="AY1" s="2" t="inlineStr">
        <is>
          <t>2023 M10</t>
        </is>
      </c>
      <c r="AZ1" s="2" t="inlineStr">
        <is>
          <t>2023 M11</t>
        </is>
      </c>
      <c r="BA1" s="2" t="inlineStr">
        <is>
          <t>2023 M12</t>
        </is>
      </c>
      <c r="BB1" s="2" t="inlineStr">
        <is>
          <t>2024 M01</t>
        </is>
      </c>
      <c r="BC1" s="2" t="inlineStr">
        <is>
          <t>2024 M02</t>
        </is>
      </c>
      <c r="BD1" s="2" t="inlineStr">
        <is>
          <t>2024 M03</t>
        </is>
      </c>
      <c r="BE1" s="2" t="inlineStr">
        <is>
          <t>2024 M04</t>
        </is>
      </c>
      <c r="BF1" s="2" t="inlineStr">
        <is>
          <t>2024 M05</t>
        </is>
      </c>
      <c r="BG1" s="2" t="inlineStr">
        <is>
          <t>2024 M06</t>
        </is>
      </c>
      <c r="BH1" s="2" t="inlineStr">
        <is>
          <t>2024 M07</t>
        </is>
      </c>
      <c r="BI1" s="2" t="inlineStr">
        <is>
          <t>2024 M08</t>
        </is>
      </c>
      <c r="BJ1" s="2" t="inlineStr">
        <is>
          <t>2024 M09</t>
        </is>
      </c>
      <c r="BK1" s="2" t="inlineStr">
        <is>
          <t>2024 M10</t>
        </is>
      </c>
      <c r="BL1" s="2" t="inlineStr">
        <is>
          <t>2024 M11</t>
        </is>
      </c>
      <c r="BM1" s="2" t="inlineStr">
        <is>
          <t>2024 M12</t>
        </is>
      </c>
      <c r="BN1" s="2" t="inlineStr">
        <is>
          <t>2025 M01</t>
        </is>
      </c>
      <c r="BO1" s="2" t="inlineStr">
        <is>
          <t xml:space="preserve">2025 M02 </t>
        </is>
      </c>
      <c r="BP1" s="2" t="inlineStr">
        <is>
          <t>2025 M03</t>
        </is>
      </c>
      <c r="BQ1" s="2" t="inlineStr">
        <is>
          <t>2025 M04</t>
        </is>
      </c>
      <c r="BR1" s="2" t="inlineStr">
        <is>
          <t>2025 M05</t>
        </is>
      </c>
      <c r="BS1" s="2" t="inlineStr">
        <is>
          <t>2025 M06</t>
        </is>
      </c>
      <c r="BT1" s="2" t="inlineStr">
        <is>
          <t>2025 M07</t>
        </is>
      </c>
      <c r="BU1" s="2" t="inlineStr">
        <is>
          <t>2025 M08</t>
        </is>
      </c>
      <c r="BV1" s="2" t="inlineStr">
        <is>
          <t>2025 M09</t>
        </is>
      </c>
      <c r="BW1" s="2" t="inlineStr">
        <is>
          <t>2025 M10</t>
        </is>
      </c>
    </row>
    <row r="2" ht="15" customHeight="1" s="115">
      <c r="A2" s="5" t="inlineStr">
        <is>
          <t>Contract Model Score</t>
        </is>
      </c>
      <c r="B2" t="n">
        <v>130.0763793559981</v>
      </c>
      <c r="C2" t="n">
        <v>132.8298078938998</v>
      </c>
      <c r="D2" t="n">
        <v>132.9927478881667</v>
      </c>
      <c r="E2" t="n">
        <v>132.109464377161</v>
      </c>
      <c r="F2" t="n">
        <v>132.2584915163263</v>
      </c>
      <c r="G2" t="n">
        <v>131.7487024259495</v>
      </c>
      <c r="H2" t="n">
        <v>131.542558914402</v>
      </c>
      <c r="I2" t="n">
        <v>132.1897136066583</v>
      </c>
      <c r="J2" t="n">
        <v>133.7488517004501</v>
      </c>
      <c r="K2" t="n">
        <v>134.651029013413</v>
      </c>
      <c r="L2" t="n">
        <v>134.8015942625251</v>
      </c>
      <c r="M2" t="n">
        <v>135.3214284387432</v>
      </c>
      <c r="N2" t="n">
        <v>135.8370340037734</v>
      </c>
      <c r="O2" t="n">
        <v>135.637322084385</v>
      </c>
      <c r="P2" t="n">
        <v>136.6048233354681</v>
      </c>
      <c r="Q2" t="n">
        <v>135.2569797198974</v>
      </c>
      <c r="R2" t="n">
        <v>135.37459537493</v>
      </c>
      <c r="S2" t="n">
        <v>135.0819686664635</v>
      </c>
      <c r="T2" t="n">
        <v>134.0413090656743</v>
      </c>
      <c r="U2" t="n">
        <v>134.8576859698276</v>
      </c>
      <c r="V2" t="n">
        <v>135.4290032555248</v>
      </c>
      <c r="W2" t="n">
        <v>135.2315550280329</v>
      </c>
      <c r="X2" t="n">
        <v>135.1453359409438</v>
      </c>
      <c r="Y2" t="n">
        <v>136.0633241735103</v>
      </c>
      <c r="Z2" t="n">
        <v>134.8806890223568</v>
      </c>
      <c r="AA2" t="n">
        <v>134.9248584400412</v>
      </c>
      <c r="AB2" t="n">
        <v>133.4376756280883</v>
      </c>
      <c r="AC2" t="n">
        <v>134.7674462060828</v>
      </c>
      <c r="AD2" t="n">
        <v>134.0616006736963</v>
      </c>
      <c r="AE2" t="n">
        <v>133.4624690617113</v>
      </c>
      <c r="AF2" t="n">
        <v>134.4283602470399</v>
      </c>
      <c r="AG2" t="n">
        <v>135.3286052757488</v>
      </c>
      <c r="AH2" t="n">
        <v>136.2741453840974</v>
      </c>
      <c r="AI2" t="n">
        <v>136.1420918174017</v>
      </c>
      <c r="AJ2" t="n">
        <v>136.0538985806289</v>
      </c>
      <c r="AK2" t="n">
        <v>136.1803899126517</v>
      </c>
      <c r="AL2" t="n">
        <v>136.2013414899079</v>
      </c>
      <c r="AM2" t="n">
        <v>136.4005390673735</v>
      </c>
      <c r="AN2" t="n">
        <v>137.3465529206436</v>
      </c>
      <c r="AO2" t="n">
        <v>136.5602389263979</v>
      </c>
      <c r="AP2" t="n">
        <v>137.3543325376226</v>
      </c>
      <c r="AQ2" t="n">
        <v>136.7765244346589</v>
      </c>
      <c r="AR2" t="n">
        <v>136.2040296866654</v>
      </c>
      <c r="AS2" t="n">
        <v>137.326354063012</v>
      </c>
      <c r="AT2" t="n">
        <v>136.6899043654856</v>
      </c>
      <c r="AU2" t="n">
        <v>136.7589706058788</v>
      </c>
      <c r="AV2" t="n">
        <v>135.5723395542412</v>
      </c>
      <c r="AW2" t="n">
        <v>136.7224087473446</v>
      </c>
      <c r="AX2" t="n">
        <v>136.9942895508454</v>
      </c>
      <c r="AY2" t="n">
        <v>137.341004641806</v>
      </c>
      <c r="AZ2" t="n">
        <v>136.6469235361093</v>
      </c>
      <c r="BA2" t="n">
        <v>137.1930621929846</v>
      </c>
      <c r="BB2" t="n">
        <v>136.5337429803313</v>
      </c>
      <c r="BC2" t="n">
        <v>136.5808221885021</v>
      </c>
      <c r="BD2" t="n">
        <v>136.1498536840097</v>
      </c>
      <c r="BE2" t="n">
        <v>137.0347238859185</v>
      </c>
      <c r="BF2" t="n">
        <v>137.2346738019811</v>
      </c>
      <c r="BG2" t="n">
        <v>137.1082366373121</v>
      </c>
      <c r="BH2" t="n">
        <v>137.8010564634216</v>
      </c>
      <c r="BI2" t="n">
        <v>138.4646553326977</v>
      </c>
      <c r="BJ2" t="n">
        <v>138.0710501494503</v>
      </c>
      <c r="BK2" t="n">
        <v>137.1619670983178</v>
      </c>
      <c r="BL2" t="n">
        <v>136.3105767187436</v>
      </c>
      <c r="BM2" t="n">
        <v>136.8004218804863</v>
      </c>
      <c r="BN2" t="n">
        <v>136.8370717124654</v>
      </c>
      <c r="BO2" t="n">
        <v>137.0943375173729</v>
      </c>
      <c r="BP2" t="n">
        <v>136.6947195331652</v>
      </c>
      <c r="BQ2" t="n">
        <v>137.5743920113526</v>
      </c>
      <c r="BR2" t="n">
        <v>138.3100651456535</v>
      </c>
      <c r="BS2" t="n">
        <v>138.2707529193766</v>
      </c>
      <c r="BT2" t="n">
        <v>138.4666178220857</v>
      </c>
      <c r="BU2" t="n">
        <v>138.347606212836</v>
      </c>
      <c r="BV2" t="n">
        <v>138.8690348950672</v>
      </c>
      <c r="BW2" t="n">
        <v>138.811794833691</v>
      </c>
      <c r="BX2" t="n">
        <v>138.9892378785499</v>
      </c>
      <c r="BY2" t="n">
        <v>140.3077052416783</v>
      </c>
      <c r="BZ2" t="n">
        <v>141.1653861308471</v>
      </c>
    </row>
    <row r="3" ht="15" customHeight="1" s="115">
      <c r="A3" s="6" t="inlineStr">
        <is>
          <t>Model Score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 ht="15" customHeight="1" s="115">
      <c r="A4" s="4" t="inlineStr">
        <is>
          <t>Gross Loss Adjustments (Dealer level, high PTI, etc.)</t>
        </is>
      </c>
      <c r="B4" s="26" t="n">
        <v>0.3682463405176009</v>
      </c>
      <c r="C4" s="26" t="n">
        <v>0.6426849561826771</v>
      </c>
      <c r="D4" s="26" t="n">
        <v>0.7376094636176163</v>
      </c>
      <c r="E4" s="26" t="n">
        <v>0.5411333259654327</v>
      </c>
      <c r="F4" s="26" t="n">
        <v>0.5716556775704191</v>
      </c>
      <c r="G4" s="26" t="n">
        <v>0.6922344210679796</v>
      </c>
      <c r="H4" s="26" t="n">
        <v>0.6688320796479559</v>
      </c>
      <c r="I4" s="26" t="n">
        <v>0.1257700024297037</v>
      </c>
      <c r="J4" s="26" t="n">
        <v>0.6429378408704451</v>
      </c>
      <c r="K4" s="26" t="n">
        <v>0.6643346959071721</v>
      </c>
      <c r="L4" s="26" t="n">
        <v>-0.1795957208340724</v>
      </c>
      <c r="M4" s="26" t="n">
        <v>-0.2263153094148436</v>
      </c>
      <c r="N4" s="26" t="n">
        <v>-0.1714415459044005</v>
      </c>
      <c r="O4" s="26" t="n">
        <v>0.448031251712905</v>
      </c>
      <c r="P4" s="26" t="n">
        <v>0.3871014749119865</v>
      </c>
      <c r="Q4" s="26" t="n">
        <v>-0.03932218593305947</v>
      </c>
      <c r="R4" s="26" t="n">
        <v>0.3946557382425624</v>
      </c>
      <c r="S4" s="26" t="n">
        <v>0.4657981253114087</v>
      </c>
      <c r="T4" s="26" t="n">
        <v>0.6381394064925701</v>
      </c>
      <c r="U4" s="26" t="n">
        <v>0.8719809660184694</v>
      </c>
      <c r="V4" t="n">
        <v>0.415731848108436</v>
      </c>
      <c r="W4" t="n">
        <v>0.2246294596545226</v>
      </c>
      <c r="X4" t="n">
        <v>0.2825811369087603</v>
      </c>
      <c r="Y4" t="n">
        <v>0.6200191001587996</v>
      </c>
      <c r="Z4" t="n">
        <v>0.8097951137003463</v>
      </c>
      <c r="AA4" t="n">
        <v>0.7993247297452228</v>
      </c>
      <c r="AB4" t="n">
        <v>0.1484573338609607</v>
      </c>
      <c r="AC4" t="n">
        <v>0.3706347061323356</v>
      </c>
      <c r="AD4" t="n">
        <v>0.5639892384590439</v>
      </c>
      <c r="AE4" t="n">
        <v>0.7861633000374013</v>
      </c>
      <c r="AF4" t="n">
        <v>1.056109178511207</v>
      </c>
      <c r="AG4" t="n">
        <v>0.9402580100597504</v>
      </c>
      <c r="AH4" t="n">
        <v>1.057148922187821</v>
      </c>
      <c r="AI4" t="n">
        <v>0.3989203252824893</v>
      </c>
      <c r="AJ4" t="n">
        <v>0.6408790014897647</v>
      </c>
      <c r="AK4" t="n">
        <v>1.041328281940849</v>
      </c>
      <c r="AL4" t="n">
        <v>0.9116996412545006</v>
      </c>
      <c r="AM4" t="n">
        <v>0.7621381424193885</v>
      </c>
      <c r="AN4" t="n">
        <v>0.239435457745202</v>
      </c>
      <c r="AO4" t="n">
        <v>1.70982341674403</v>
      </c>
      <c r="AP4" t="n">
        <v>0.09158670977802785</v>
      </c>
      <c r="AQ4" t="n">
        <v>0.8096596554168229</v>
      </c>
      <c r="AR4" t="n">
        <v>0.7826411228246855</v>
      </c>
      <c r="AS4" t="n">
        <v>0.502367518804391</v>
      </c>
      <c r="AT4" t="n">
        <v>0.9486484780364322</v>
      </c>
      <c r="AU4" t="n">
        <v>0.9715203389548606</v>
      </c>
      <c r="AV4" t="n">
        <v>0.2828389472925892</v>
      </c>
      <c r="AW4" t="n">
        <v>0.2802862876902452</v>
      </c>
      <c r="AX4" t="n">
        <v>0.6143021050326638</v>
      </c>
      <c r="AY4" t="n">
        <v>0.8537304310312948</v>
      </c>
      <c r="AZ4" t="n">
        <v>-0.04515587326193327</v>
      </c>
      <c r="BA4" t="n">
        <v>0.342332668321518</v>
      </c>
      <c r="BB4" t="n">
        <v>0.6756808501609157</v>
      </c>
      <c r="BC4" t="n">
        <v>0.2729991515558936</v>
      </c>
      <c r="BD4" t="n">
        <v>0.7432554019845838</v>
      </c>
      <c r="BE4" t="n">
        <v>0.7426841882042368</v>
      </c>
      <c r="BF4" t="n">
        <v>1.166602341891945</v>
      </c>
      <c r="BG4" t="n">
        <v>1.255131737374199</v>
      </c>
      <c r="BH4" t="n">
        <v>0.9226664554553849</v>
      </c>
      <c r="BI4" t="n">
        <v>0.688516944568363</v>
      </c>
      <c r="BJ4" t="n">
        <v>0.831861383880323</v>
      </c>
      <c r="BK4" t="n">
        <v>1.177889629532331</v>
      </c>
      <c r="BL4" t="n">
        <v>1.239409442658456</v>
      </c>
      <c r="BM4" t="n">
        <v>1.514258865329424</v>
      </c>
      <c r="BN4" t="n">
        <v>1.691973773957358</v>
      </c>
      <c r="BO4" t="n">
        <v>1.970651665531705</v>
      </c>
      <c r="BP4" t="n">
        <v>1.963412677443898</v>
      </c>
      <c r="BQ4" t="n">
        <v>2.418089063054651</v>
      </c>
      <c r="BR4" t="n">
        <v>2.534092148301085</v>
      </c>
      <c r="BS4" t="n">
        <v>2.746223651481358</v>
      </c>
      <c r="BT4" t="n">
        <v>3.101772097613548</v>
      </c>
      <c r="BU4" t="n">
        <v>3.21402423367411</v>
      </c>
      <c r="BV4" t="n">
        <v>2.983159805093806</v>
      </c>
      <c r="BW4" t="n">
        <v>3.466630632284847</v>
      </c>
      <c r="BX4" t="n">
        <v>3.37490938119015</v>
      </c>
      <c r="BY4" t="n">
        <v>3.829675023324995</v>
      </c>
      <c r="BZ4" t="n">
        <v>2.465187732473026</v>
      </c>
    </row>
    <row r="5" ht="15" customHeight="1" s="115">
      <c r="A5" s="3" t="inlineStr">
        <is>
          <t>Recovery Adjustments excluding LTV (Mileage, vehicle type, etc.)</t>
        </is>
      </c>
      <c r="B5" t="n">
        <v>-0.423734090083542</v>
      </c>
      <c r="C5" t="n">
        <v>-0.4887411378438742</v>
      </c>
      <c r="D5" t="n">
        <v>-0.3297088761704003</v>
      </c>
      <c r="E5" t="n">
        <v>-0.4680916241046589</v>
      </c>
      <c r="F5" t="n">
        <v>-0.2608162382820467</v>
      </c>
      <c r="G5" t="n">
        <v>-0.5589461663319071</v>
      </c>
      <c r="H5" t="n">
        <v>-0.4069333168697256</v>
      </c>
      <c r="I5" t="n">
        <v>-1.045167204139233</v>
      </c>
      <c r="J5" t="n">
        <v>-0.9131019338218778</v>
      </c>
      <c r="K5" t="n">
        <v>-0.5954410148548561</v>
      </c>
      <c r="L5" t="n">
        <v>-0.590410939667521</v>
      </c>
      <c r="M5" t="n">
        <v>-0.3456621540317713</v>
      </c>
      <c r="N5" t="n">
        <v>-0.3541379320878661</v>
      </c>
      <c r="O5" t="n">
        <v>-0.05231277756163877</v>
      </c>
      <c r="P5" t="n">
        <v>-0.0996557175613475</v>
      </c>
      <c r="Q5" t="n">
        <v>0.04683866640303336</v>
      </c>
      <c r="R5" t="n">
        <v>-0.00686038961961799</v>
      </c>
      <c r="S5" t="n">
        <v>-0.3187912617294444</v>
      </c>
      <c r="T5" t="n">
        <v>-0.6815765540715972</v>
      </c>
      <c r="U5" t="n">
        <v>-0.7998797183527984</v>
      </c>
      <c r="V5" t="n">
        <v>-0.5169519106811151</v>
      </c>
      <c r="W5" t="n">
        <v>-0.6462162229030355</v>
      </c>
      <c r="X5" t="n">
        <v>-0.7676286223353941</v>
      </c>
      <c r="Y5" t="n">
        <v>-0.6093055420293183</v>
      </c>
      <c r="Z5" t="n">
        <v>-0.5157818103480452</v>
      </c>
      <c r="AA5" t="n">
        <v>-0.9723611919688722</v>
      </c>
      <c r="AB5" t="n">
        <v>-1.034344267522698</v>
      </c>
      <c r="AC5" t="n">
        <v>-0.8219154713618764</v>
      </c>
      <c r="AD5" t="n">
        <v>-1.37440111200425</v>
      </c>
      <c r="AE5" t="n">
        <v>-1.392504755377018</v>
      </c>
      <c r="AF5" t="n">
        <v>-1.455755955004804</v>
      </c>
      <c r="AG5" t="n">
        <v>-2.362514626666439</v>
      </c>
      <c r="AH5" t="n">
        <v>-2.368633123151</v>
      </c>
      <c r="AI5" t="n">
        <v>-3.203286737911355</v>
      </c>
      <c r="AJ5" t="n">
        <v>-3.361243826442319</v>
      </c>
      <c r="AK5" t="n">
        <v>-3.385250584474875</v>
      </c>
      <c r="AL5" t="n">
        <v>-3.917659549192535</v>
      </c>
      <c r="AM5" t="n">
        <v>-3.87377658841632</v>
      </c>
      <c r="AN5" t="n">
        <v>-4.502500038477081</v>
      </c>
      <c r="AO5" t="n">
        <v>-3.082141254087304</v>
      </c>
      <c r="AP5" t="n">
        <v>-3.139193299667909</v>
      </c>
      <c r="AQ5" t="n">
        <v>-3.50313738704611</v>
      </c>
      <c r="AR5" t="n">
        <v>-2.788843361896397</v>
      </c>
      <c r="AS5" t="n">
        <v>-1.375181105353903</v>
      </c>
      <c r="AT5" t="n">
        <v>-2.602926890167367</v>
      </c>
      <c r="AU5" t="n">
        <v>-3.134927824890099</v>
      </c>
      <c r="AV5" t="n">
        <v>-2.983885514586149</v>
      </c>
      <c r="AW5" t="n">
        <v>-2.345405448762421</v>
      </c>
      <c r="AX5" t="n">
        <v>-2.776362992460889</v>
      </c>
      <c r="AY5" t="n">
        <v>-3.19199028415116</v>
      </c>
      <c r="AZ5" t="n">
        <v>-2.484222712628593</v>
      </c>
      <c r="BA5" t="n">
        <v>-1.697935168964477</v>
      </c>
      <c r="BB5" t="n">
        <v>-2.103109380581316</v>
      </c>
      <c r="BC5" t="n">
        <v>-2.006651639558868</v>
      </c>
      <c r="BD5" t="n">
        <v>-2.142799178013576</v>
      </c>
      <c r="BE5" t="n">
        <v>-2.127585917525181</v>
      </c>
      <c r="BF5" t="n">
        <v>-1.790794114648719</v>
      </c>
      <c r="BG5" t="n">
        <v>-1.444251844306564</v>
      </c>
      <c r="BH5" t="n">
        <v>-0.6731208740154386</v>
      </c>
      <c r="BI5" t="n">
        <v>-1.551808480993657</v>
      </c>
      <c r="BJ5" t="n">
        <v>-1.64761814037999</v>
      </c>
      <c r="BK5" t="n">
        <v>-2.448830404718819</v>
      </c>
      <c r="BL5" t="n">
        <v>-1.28042531988288</v>
      </c>
      <c r="BM5" t="n">
        <v>-1.064098667877602</v>
      </c>
      <c r="BN5" t="n">
        <v>0.2836899229415621</v>
      </c>
      <c r="BO5" t="n">
        <v>-0.2918332838978017</v>
      </c>
      <c r="BP5" t="n">
        <v>-0.1302080937438177</v>
      </c>
      <c r="BQ5" t="n">
        <v>0.4309891851811187</v>
      </c>
      <c r="BR5" t="n">
        <v>0.5224448105393265</v>
      </c>
      <c r="BS5" t="n">
        <v>0.7091743406927549</v>
      </c>
      <c r="BT5" t="n">
        <v>1.333011257432702</v>
      </c>
      <c r="BU5" t="n">
        <v>1.141642532134114</v>
      </c>
      <c r="BV5" t="n">
        <v>0.8794488574152695</v>
      </c>
      <c r="BW5" t="n">
        <v>1.540893163908407</v>
      </c>
      <c r="BX5" t="n">
        <v>0.9800352094222546</v>
      </c>
      <c r="BY5" t="n">
        <v>1.044294008148171</v>
      </c>
      <c r="BZ5" t="n">
        <v>1.327413178721343</v>
      </c>
    </row>
    <row r="6" ht="15" customHeight="1" s="115">
      <c r="A6" s="4" t="inlineStr">
        <is>
          <t>LTV Adjustments</t>
        </is>
      </c>
      <c r="B6" t="n">
        <v>0.423734090083542</v>
      </c>
      <c r="C6" t="n">
        <v>0.4887411378438742</v>
      </c>
      <c r="D6" t="n">
        <v>0.3297088761704003</v>
      </c>
      <c r="E6" t="n">
        <v>0.4680916241046589</v>
      </c>
      <c r="F6" t="n">
        <v>0.2608162382820467</v>
      </c>
      <c r="G6" t="n">
        <v>0.5589461663319071</v>
      </c>
      <c r="H6" t="n">
        <v>0.4069333168697256</v>
      </c>
      <c r="I6" t="n">
        <v>1.045167204139233</v>
      </c>
      <c r="J6" t="n">
        <v>0.9131019338218778</v>
      </c>
      <c r="K6" t="n">
        <v>0.5954410148548561</v>
      </c>
      <c r="L6" t="n">
        <v>0.590410939667521</v>
      </c>
      <c r="M6" t="n">
        <v>0.3456621540317713</v>
      </c>
      <c r="N6" t="n">
        <v>0.3541379320878661</v>
      </c>
      <c r="O6" t="n">
        <v>0.05231277756163877</v>
      </c>
      <c r="P6" t="n">
        <v>0.0996557175613475</v>
      </c>
      <c r="Q6" t="n">
        <v>-0.04683866640303336</v>
      </c>
      <c r="R6" t="n">
        <v>0.00686038961961799</v>
      </c>
      <c r="S6" t="n">
        <v>0.3187912617294444</v>
      </c>
      <c r="T6" t="n">
        <v>0.6815765540715972</v>
      </c>
      <c r="U6" t="n">
        <v>0.7998797183527984</v>
      </c>
      <c r="V6" t="n">
        <v>0.5169519106811151</v>
      </c>
      <c r="W6" t="n">
        <v>0.6462162229030355</v>
      </c>
      <c r="X6" t="n">
        <v>0.7676286223353941</v>
      </c>
      <c r="Y6" t="n">
        <v>0.6093055420293183</v>
      </c>
      <c r="Z6" t="n">
        <v>0.5157818103480452</v>
      </c>
      <c r="AA6" t="n">
        <v>0.9723611919688722</v>
      </c>
      <c r="AB6" t="n">
        <v>1.034344267522698</v>
      </c>
      <c r="AC6" t="n">
        <v>0.8219154713618764</v>
      </c>
      <c r="AD6" t="n">
        <v>1.37440111200425</v>
      </c>
      <c r="AE6" t="n">
        <v>1.392504755377018</v>
      </c>
      <c r="AF6" t="n">
        <v>1.455755955004804</v>
      </c>
      <c r="AG6" t="n">
        <v>2.362514626666439</v>
      </c>
      <c r="AH6" t="n">
        <v>2.368633123151</v>
      </c>
      <c r="AI6" t="n">
        <v>3.203286737911355</v>
      </c>
      <c r="AJ6" t="n">
        <v>3.361243826442319</v>
      </c>
      <c r="AK6" t="n">
        <v>3.385250584474875</v>
      </c>
      <c r="AL6" t="n">
        <v>3.917659549192535</v>
      </c>
      <c r="AM6" t="n">
        <v>3.87377658841632</v>
      </c>
      <c r="AN6" t="n">
        <v>4.502500038477081</v>
      </c>
      <c r="AO6" t="n">
        <v>3.082141254087304</v>
      </c>
      <c r="AP6" t="n">
        <v>3.139193299667909</v>
      </c>
      <c r="AQ6" t="n">
        <v>3.50313738704611</v>
      </c>
      <c r="AR6" t="n">
        <v>2.788843361896397</v>
      </c>
      <c r="AS6" t="n">
        <v>1.375181105353903</v>
      </c>
      <c r="AT6" t="n">
        <v>2.602926890167367</v>
      </c>
      <c r="AU6" t="n">
        <v>3.134927824890099</v>
      </c>
      <c r="AV6" t="n">
        <v>2.983885514586149</v>
      </c>
      <c r="AW6" t="n">
        <v>2.345405448762421</v>
      </c>
      <c r="AX6" t="n">
        <v>2.776362992460889</v>
      </c>
      <c r="AY6" t="n">
        <v>3.19199028415116</v>
      </c>
      <c r="AZ6" t="n">
        <v>2.484222712628593</v>
      </c>
      <c r="BA6" t="n">
        <v>1.697935168964477</v>
      </c>
      <c r="BB6" t="n">
        <v>2.103109380581316</v>
      </c>
      <c r="BC6" t="n">
        <v>2.006651639558868</v>
      </c>
      <c r="BD6" t="n">
        <v>2.142799178013576</v>
      </c>
      <c r="BE6" t="n">
        <v>2.127585917525181</v>
      </c>
      <c r="BF6" t="n">
        <v>1.790794114648719</v>
      </c>
      <c r="BG6" t="n">
        <v>1.444251844306564</v>
      </c>
      <c r="BH6" t="n">
        <v>0.6731208740154386</v>
      </c>
      <c r="BI6" t="n">
        <v>1.551808480993657</v>
      </c>
      <c r="BJ6" t="n">
        <v>1.64761814037999</v>
      </c>
      <c r="BK6" t="n">
        <v>2.448830404718819</v>
      </c>
      <c r="BL6" t="n">
        <v>1.28042531988288</v>
      </c>
      <c r="BM6" t="n">
        <v>1.064098667877602</v>
      </c>
      <c r="BN6" t="n">
        <v>-0.2836899229415621</v>
      </c>
      <c r="BO6" t="n">
        <v>0.2918332838978017</v>
      </c>
      <c r="BP6" t="n">
        <v>0.1302080937438177</v>
      </c>
      <c r="BQ6" t="n">
        <v>-0.4309891851811187</v>
      </c>
      <c r="BR6" t="n">
        <v>-0.5224448105393265</v>
      </c>
      <c r="BS6" t="n">
        <v>-0.7091743406927549</v>
      </c>
      <c r="BT6" t="n">
        <v>-1.333011257432702</v>
      </c>
      <c r="BU6" t="n">
        <v>-1.141642532134114</v>
      </c>
      <c r="BV6" t="n">
        <v>-0.8794488574152695</v>
      </c>
      <c r="BW6" t="n">
        <v>-1.540893163908407</v>
      </c>
      <c r="BX6" t="n">
        <v>-0.9800352094222546</v>
      </c>
      <c r="BY6" t="n">
        <v>-1.044294008148171</v>
      </c>
      <c r="BZ6" t="n">
        <v>-1.327413178721343</v>
      </c>
    </row>
    <row r="7" ht="15" customHeight="1" s="115">
      <c r="A7" s="3" t="inlineStr">
        <is>
          <t>RAGU Score</t>
        </is>
      </c>
      <c r="B7" t="n">
        <v>130.4446256965157</v>
      </c>
      <c r="C7" t="n">
        <v>133.4724928500825</v>
      </c>
      <c r="D7" t="n">
        <v>133.7303573517843</v>
      </c>
      <c r="E7" t="n">
        <v>132.6505977031264</v>
      </c>
      <c r="F7" t="n">
        <v>132.8301471938967</v>
      </c>
      <c r="G7" t="n">
        <v>132.4409368470175</v>
      </c>
      <c r="H7" t="n">
        <v>132.21139099405</v>
      </c>
      <c r="I7" t="n">
        <v>132.315483609088</v>
      </c>
      <c r="J7" t="n">
        <v>134.3917895413205</v>
      </c>
      <c r="K7" t="n">
        <v>135.3153637093202</v>
      </c>
      <c r="L7" t="n">
        <v>134.621998541691</v>
      </c>
      <c r="M7" t="n">
        <v>135.0951131293283</v>
      </c>
      <c r="N7" t="n">
        <v>135.665592457869</v>
      </c>
      <c r="O7" t="n">
        <v>136.0853533360979</v>
      </c>
      <c r="P7" t="n">
        <v>136.9919248103801</v>
      </c>
      <c r="Q7" t="n">
        <v>135.2176575339644</v>
      </c>
      <c r="R7" t="n">
        <v>135.7692511131725</v>
      </c>
      <c r="S7" t="n">
        <v>135.5477667917749</v>
      </c>
      <c r="T7" t="n">
        <v>134.6794484721669</v>
      </c>
      <c r="U7" t="n">
        <v>135.7296669358461</v>
      </c>
      <c r="V7" t="n">
        <v>135.8447351036333</v>
      </c>
      <c r="W7" t="n">
        <v>135.4561844876874</v>
      </c>
      <c r="X7" t="n">
        <v>135.4279170778525</v>
      </c>
      <c r="Y7" t="n">
        <v>136.6833432736691</v>
      </c>
      <c r="Z7" t="n">
        <v>135.6904841360571</v>
      </c>
      <c r="AA7" t="n">
        <v>135.7241831697864</v>
      </c>
      <c r="AB7" t="n">
        <v>133.5861329619493</v>
      </c>
      <c r="AC7" t="n">
        <v>135.1380809122152</v>
      </c>
      <c r="AD7" t="n">
        <v>134.6255899121553</v>
      </c>
      <c r="AE7" t="n">
        <v>134.2486323617487</v>
      </c>
      <c r="AF7" t="n">
        <v>135.4844694255511</v>
      </c>
      <c r="AG7" t="n">
        <v>136.2688632858085</v>
      </c>
      <c r="AH7" t="n">
        <v>137.3312943062853</v>
      </c>
      <c r="AI7" t="n">
        <v>136.5410121426842</v>
      </c>
      <c r="AJ7" t="n">
        <v>136.6947775821186</v>
      </c>
      <c r="AK7" t="n">
        <v>137.2217181945926</v>
      </c>
      <c r="AL7" t="n">
        <v>137.1130411311624</v>
      </c>
      <c r="AM7" t="n">
        <v>137.1626772097929</v>
      </c>
      <c r="AN7" t="n">
        <v>137.5859883783888</v>
      </c>
      <c r="AO7" t="n">
        <v>138.270062343142</v>
      </c>
      <c r="AP7" t="n">
        <v>137.4459192474007</v>
      </c>
      <c r="AQ7" t="n">
        <v>137.5861840900758</v>
      </c>
      <c r="AR7" t="n">
        <v>136.9866708094901</v>
      </c>
      <c r="AS7" t="n">
        <v>137.8287215818164</v>
      </c>
      <c r="AT7" t="n">
        <v>137.6385528435221</v>
      </c>
      <c r="AU7" t="n">
        <v>137.7304909448337</v>
      </c>
      <c r="AV7" t="n">
        <v>135.8551785015338</v>
      </c>
      <c r="AW7" t="n">
        <v>137.0026950350349</v>
      </c>
      <c r="AX7" t="n">
        <v>137.6085916558781</v>
      </c>
      <c r="AY7" t="n">
        <v>138.1947350728373</v>
      </c>
      <c r="AZ7" t="n">
        <v>136.6017676628473</v>
      </c>
      <c r="BA7" t="n">
        <v>137.5353948613061</v>
      </c>
      <c r="BB7" t="n">
        <v>137.2094238304922</v>
      </c>
      <c r="BC7" t="n">
        <v>136.853821340058</v>
      </c>
      <c r="BD7" t="n">
        <v>136.8931090859943</v>
      </c>
      <c r="BE7" t="n">
        <v>137.7774080741227</v>
      </c>
      <c r="BF7" t="n">
        <v>138.4012761438731</v>
      </c>
      <c r="BG7" t="n">
        <v>138.3633683746863</v>
      </c>
      <c r="BH7" t="n">
        <v>138.7237229188769</v>
      </c>
      <c r="BI7" t="n">
        <v>139.153172277266</v>
      </c>
      <c r="BJ7" t="n">
        <v>138.9029115333306</v>
      </c>
      <c r="BK7" t="n">
        <v>138.3398567278502</v>
      </c>
      <c r="BL7" t="n">
        <v>137.5499861614021</v>
      </c>
      <c r="BM7" t="n">
        <v>138.3146807458158</v>
      </c>
      <c r="BN7" t="n">
        <v>138.5290454864228</v>
      </c>
      <c r="BO7" t="n">
        <v>139.0649891829046</v>
      </c>
      <c r="BP7" t="n">
        <v>138.6581322106091</v>
      </c>
      <c r="BQ7" t="n">
        <v>139.9924810744072</v>
      </c>
      <c r="BR7" t="n">
        <v>140.8441572939545</v>
      </c>
      <c r="BS7" t="n">
        <v>141.016976570858</v>
      </c>
      <c r="BT7" t="n">
        <v>141.5683899196992</v>
      </c>
      <c r="BU7" t="n">
        <v>141.5616304465101</v>
      </c>
      <c r="BV7" t="n">
        <v>141.852194700161</v>
      </c>
      <c r="BW7" t="n">
        <v>142.2784254659758</v>
      </c>
      <c r="BX7" t="n">
        <v>142.3641472597401</v>
      </c>
      <c r="BY7" t="n">
        <v>144.1373802650033</v>
      </c>
      <c r="BZ7" t="n">
        <v>143.6305738633202</v>
      </c>
    </row>
    <row r="8" ht="15" customHeight="1" s="115">
      <c r="A8" s="5" t="inlineStr">
        <is>
          <t>LTV</t>
        </is>
      </c>
      <c r="B8" t="n">
        <v>1.908724418579126</v>
      </c>
      <c r="C8" t="n">
        <v>1.902090975963978</v>
      </c>
      <c r="D8" t="n">
        <v>1.910893673728212</v>
      </c>
      <c r="E8" t="n">
        <v>1.948313579437233</v>
      </c>
      <c r="F8" t="n">
        <v>1.974324789418549</v>
      </c>
      <c r="G8" t="n">
        <v>1.908223517240493</v>
      </c>
      <c r="H8" t="n">
        <v>1.856177021591875</v>
      </c>
      <c r="I8" t="n">
        <v>2.042164487038559</v>
      </c>
      <c r="J8" t="n">
        <v>1.963587532398842</v>
      </c>
      <c r="K8" t="n">
        <v>1.873448323448017</v>
      </c>
      <c r="L8" t="n">
        <v>1.748038563767358</v>
      </c>
      <c r="M8" t="n">
        <v>1.630755586111051</v>
      </c>
      <c r="N8" t="n">
        <v>1.616984942009043</v>
      </c>
      <c r="O8" t="n">
        <v>1.627102983258746</v>
      </c>
      <c r="P8" t="n">
        <v>1.616256610851642</v>
      </c>
      <c r="Q8" t="n">
        <v>1.7297384671858</v>
      </c>
      <c r="R8" t="n">
        <v>1.756939220210286</v>
      </c>
      <c r="S8" t="n">
        <v>1.739532776401907</v>
      </c>
      <c r="T8" t="n">
        <v>1.63699494668337</v>
      </c>
      <c r="U8" t="n">
        <v>1.567600367748014</v>
      </c>
      <c r="V8" t="n">
        <v>1.498790537967351</v>
      </c>
      <c r="W8" t="n">
        <v>1.465296043484244</v>
      </c>
      <c r="X8" t="n">
        <v>1.574153693960169</v>
      </c>
      <c r="Y8" t="n">
        <v>1.53702133326943</v>
      </c>
      <c r="Z8" t="n">
        <v>1.652907085142658</v>
      </c>
      <c r="AA8" t="n">
        <v>1.57360102652799</v>
      </c>
      <c r="AB8" t="n">
        <v>1.577698069502458</v>
      </c>
      <c r="AC8" t="n">
        <v>1.596735481490682</v>
      </c>
      <c r="AD8" t="n">
        <v>1.622327831610068</v>
      </c>
      <c r="AE8" t="n">
        <v>1.599858390250638</v>
      </c>
      <c r="AF8" t="n">
        <v>1.620882307165977</v>
      </c>
      <c r="AG8" t="n">
        <v>1.625425574887472</v>
      </c>
      <c r="AH8" t="n">
        <v>1.727535388968484</v>
      </c>
      <c r="AI8" t="n">
        <v>1.76590151627287</v>
      </c>
      <c r="AJ8" t="n">
        <v>1.771076806368194</v>
      </c>
      <c r="AK8" t="n">
        <v>1.745819562184524</v>
      </c>
      <c r="AL8" t="n">
        <v>1.758086410443901</v>
      </c>
      <c r="AM8" t="n">
        <v>1.770658138884912</v>
      </c>
      <c r="AN8" t="n">
        <v>1.824999134082145</v>
      </c>
      <c r="AO8" t="n">
        <v>1.86648028901443</v>
      </c>
      <c r="AP8" t="n">
        <v>1.855320184280887</v>
      </c>
      <c r="AQ8" t="n">
        <v>1.811060598607649</v>
      </c>
      <c r="AR8" t="n">
        <v>1.803196162877636</v>
      </c>
      <c r="AS8" t="n">
        <v>2.212473579027733</v>
      </c>
      <c r="AT8" t="n">
        <v>1.712276443943706</v>
      </c>
      <c r="AU8" t="n">
        <v>1.633614930544208</v>
      </c>
      <c r="AV8" t="n">
        <v>1.651871951540331</v>
      </c>
      <c r="AW8" t="n">
        <v>1.668960058516116</v>
      </c>
      <c r="AX8" t="n">
        <v>1.718975714898958</v>
      </c>
      <c r="AY8" t="n">
        <v>1.744461538805375</v>
      </c>
      <c r="AZ8" t="n">
        <v>1.659640287996755</v>
      </c>
      <c r="BA8" t="n">
        <v>1.744929287912433</v>
      </c>
      <c r="BB8" t="n">
        <v>1.760015944102937</v>
      </c>
      <c r="BC8" t="n">
        <v>1.73788013760499</v>
      </c>
      <c r="BD8" t="n">
        <v>1.7289584332478</v>
      </c>
      <c r="BE8" t="n">
        <v>1.735487769074622</v>
      </c>
      <c r="BF8" t="n">
        <v>1.697194799530744</v>
      </c>
      <c r="BG8" t="n">
        <v>1.613239189507017</v>
      </c>
      <c r="BH8" t="n">
        <v>1.53556184266011</v>
      </c>
      <c r="BI8" t="n">
        <v>1.633741766763665</v>
      </c>
      <c r="BJ8" t="n">
        <v>1.654887384858183</v>
      </c>
      <c r="BK8" t="n">
        <v>1.633332985959918</v>
      </c>
      <c r="BL8" t="n">
        <v>1.634401931978221</v>
      </c>
      <c r="BM8" t="n">
        <v>1.580631191718272</v>
      </c>
      <c r="BN8" t="n">
        <v>1.613394423217273</v>
      </c>
      <c r="BO8" t="n">
        <v>1.609235914080335</v>
      </c>
      <c r="BP8" t="n">
        <v>1.613530500640345</v>
      </c>
      <c r="BQ8" t="n">
        <v>1.584970664644226</v>
      </c>
      <c r="BR8" t="n">
        <v>1.545794860696796</v>
      </c>
      <c r="BS8" t="n">
        <v>1.582859973920555</v>
      </c>
      <c r="BT8" t="n">
        <v>1.610135004362763</v>
      </c>
      <c r="BU8" t="n">
        <v>1.575943226550907</v>
      </c>
      <c r="BV8" t="n">
        <v>1.54224708024545</v>
      </c>
      <c r="BW8" t="n">
        <v>1.528530157083356</v>
      </c>
      <c r="BX8" t="n">
        <v>1.575463390753635</v>
      </c>
      <c r="BY8" t="n">
        <v>1.573370285130275</v>
      </c>
      <c r="BZ8" t="n">
        <v>1.575951022760129</v>
      </c>
    </row>
    <row r="9" ht="15" customHeight="1" s="115"/>
    <row r="10" ht="15" customHeight="1" s="115">
      <c r="A10" s="23" t="inlineStr">
        <is>
          <t>FLD</t>
        </is>
      </c>
      <c r="B10" s="2" t="n">
        <v>2016</v>
      </c>
      <c r="C10" s="2" t="n">
        <v>2017</v>
      </c>
      <c r="D10" s="2" t="n">
        <v>2018</v>
      </c>
      <c r="E10" s="2" t="n">
        <v>2019</v>
      </c>
      <c r="F10" s="2" t="inlineStr">
        <is>
          <t>2020 M01</t>
        </is>
      </c>
      <c r="G10" s="2" t="inlineStr">
        <is>
          <t>2020 M02</t>
        </is>
      </c>
      <c r="H10" s="2" t="inlineStr">
        <is>
          <t>2020 M03</t>
        </is>
      </c>
      <c r="I10" s="2" t="inlineStr">
        <is>
          <t>2020 M04</t>
        </is>
      </c>
      <c r="J10" s="2" t="inlineStr">
        <is>
          <t>2020 M05</t>
        </is>
      </c>
      <c r="K10" s="2" t="inlineStr">
        <is>
          <t>2020 M06</t>
        </is>
      </c>
      <c r="L10" s="2" t="inlineStr">
        <is>
          <t>2020 M07</t>
        </is>
      </c>
      <c r="M10" s="2" t="inlineStr">
        <is>
          <t>2020 M08</t>
        </is>
      </c>
      <c r="N10" s="2" t="inlineStr">
        <is>
          <t>2020 M09</t>
        </is>
      </c>
      <c r="O10" s="2" t="inlineStr">
        <is>
          <t>2020 M10</t>
        </is>
      </c>
      <c r="P10" s="2" t="inlineStr">
        <is>
          <t>2020 M11</t>
        </is>
      </c>
      <c r="Q10" s="2" t="inlineStr">
        <is>
          <t>2020 M12</t>
        </is>
      </c>
      <c r="R10" s="2" t="inlineStr">
        <is>
          <t>2021 M01</t>
        </is>
      </c>
      <c r="S10" s="2" t="inlineStr">
        <is>
          <t>2021 M02</t>
        </is>
      </c>
      <c r="T10" s="2" t="inlineStr">
        <is>
          <t>2021 M03</t>
        </is>
      </c>
      <c r="U10" s="2" t="inlineStr">
        <is>
          <t>2021 M04</t>
        </is>
      </c>
      <c r="V10" s="2" t="inlineStr">
        <is>
          <t>2021 M05</t>
        </is>
      </c>
      <c r="W10" s="2" t="inlineStr">
        <is>
          <t>2021 M06</t>
        </is>
      </c>
      <c r="X10" s="2" t="inlineStr">
        <is>
          <t>2021 M07</t>
        </is>
      </c>
      <c r="Y10" s="2" t="inlineStr">
        <is>
          <t>2021 M08</t>
        </is>
      </c>
      <c r="Z10" s="2" t="inlineStr">
        <is>
          <t>2021 M09</t>
        </is>
      </c>
      <c r="AA10" s="2" t="inlineStr">
        <is>
          <t>2021 M10</t>
        </is>
      </c>
      <c r="AB10" s="2" t="inlineStr">
        <is>
          <t>2021 M11</t>
        </is>
      </c>
      <c r="AC10" s="2" t="inlineStr">
        <is>
          <t>2021 M12</t>
        </is>
      </c>
      <c r="AD10" s="2" t="inlineStr">
        <is>
          <t>2022 M01</t>
        </is>
      </c>
      <c r="AE10" s="2" t="inlineStr">
        <is>
          <t>2022 M02</t>
        </is>
      </c>
      <c r="AF10" s="2" t="inlineStr">
        <is>
          <t>2022 M03</t>
        </is>
      </c>
      <c r="AG10" s="2" t="inlineStr">
        <is>
          <t>2022 M04</t>
        </is>
      </c>
      <c r="AH10" s="2" t="inlineStr">
        <is>
          <t>2022 M05</t>
        </is>
      </c>
      <c r="AI10" s="2" t="inlineStr">
        <is>
          <t>2022 M06</t>
        </is>
      </c>
      <c r="AJ10" s="2" t="inlineStr">
        <is>
          <t>2022 M07</t>
        </is>
      </c>
      <c r="AK10" s="2" t="inlineStr">
        <is>
          <t>2022 M08</t>
        </is>
      </c>
      <c r="AL10" s="2" t="inlineStr">
        <is>
          <t>2022 M09</t>
        </is>
      </c>
      <c r="AM10" s="2" t="inlineStr">
        <is>
          <t>2022 M10</t>
        </is>
      </c>
      <c r="AN10" s="2" t="inlineStr">
        <is>
          <t>2022 M11</t>
        </is>
      </c>
      <c r="AO10" s="2" t="inlineStr">
        <is>
          <t>2022 M12</t>
        </is>
      </c>
      <c r="AP10" s="2" t="inlineStr">
        <is>
          <t>2023 M01</t>
        </is>
      </c>
      <c r="AQ10" s="2" t="inlineStr">
        <is>
          <t>2023 M02</t>
        </is>
      </c>
      <c r="AR10" s="2" t="inlineStr">
        <is>
          <t>2023 M03</t>
        </is>
      </c>
      <c r="AS10" s="2" t="inlineStr">
        <is>
          <t>2023 M04</t>
        </is>
      </c>
      <c r="AT10" s="2" t="inlineStr">
        <is>
          <t>2023 M05</t>
        </is>
      </c>
      <c r="AU10" s="2" t="inlineStr">
        <is>
          <t>2023 M06</t>
        </is>
      </c>
      <c r="AV10" s="2" t="inlineStr">
        <is>
          <t>2023 M07</t>
        </is>
      </c>
      <c r="AW10" s="2" t="inlineStr">
        <is>
          <t>2023 M08</t>
        </is>
      </c>
      <c r="AX10" s="2" t="inlineStr">
        <is>
          <t>2023 M09</t>
        </is>
      </c>
      <c r="AY10" s="2" t="inlineStr">
        <is>
          <t>2023 M10</t>
        </is>
      </c>
      <c r="AZ10" s="2" t="inlineStr">
        <is>
          <t>2023 M11</t>
        </is>
      </c>
      <c r="BA10" s="2" t="inlineStr">
        <is>
          <t>2023 M12</t>
        </is>
      </c>
      <c r="BB10" s="2" t="inlineStr">
        <is>
          <t>2024 M01</t>
        </is>
      </c>
      <c r="BC10" s="2" t="inlineStr">
        <is>
          <t>2024 M02</t>
        </is>
      </c>
      <c r="BD10" s="2" t="inlineStr">
        <is>
          <t>2024 M03</t>
        </is>
      </c>
      <c r="BE10" s="2" t="inlineStr">
        <is>
          <t>2024 M04</t>
        </is>
      </c>
      <c r="BF10" s="2" t="inlineStr">
        <is>
          <t>2024 M05</t>
        </is>
      </c>
      <c r="BG10" s="2" t="inlineStr">
        <is>
          <t>2024 M06</t>
        </is>
      </c>
      <c r="BH10" s="2" t="inlineStr">
        <is>
          <t>2024 M07</t>
        </is>
      </c>
      <c r="BI10" s="2" t="inlineStr">
        <is>
          <t>2024 M08</t>
        </is>
      </c>
      <c r="BJ10" s="2" t="inlineStr">
        <is>
          <t>2024 M09</t>
        </is>
      </c>
      <c r="BK10" s="2" t="inlineStr">
        <is>
          <t>2024 M10</t>
        </is>
      </c>
      <c r="BL10" s="2" t="inlineStr">
        <is>
          <t>2024 M11</t>
        </is>
      </c>
      <c r="BM10" s="2" t="inlineStr">
        <is>
          <t>2024 M12</t>
        </is>
      </c>
      <c r="BN10" s="2" t="inlineStr">
        <is>
          <t>2025 M01</t>
        </is>
      </c>
      <c r="BO10" s="2" t="inlineStr">
        <is>
          <t xml:space="preserve">2025 M02 </t>
        </is>
      </c>
      <c r="BP10" s="2" t="inlineStr">
        <is>
          <t>2025 M03</t>
        </is>
      </c>
      <c r="BQ10" s="2" t="inlineStr">
        <is>
          <t>2025 M04</t>
        </is>
      </c>
      <c r="BR10" s="2" t="inlineStr">
        <is>
          <t>2025 M05</t>
        </is>
      </c>
      <c r="BS10" s="2" t="inlineStr">
        <is>
          <t>2025 M06</t>
        </is>
      </c>
      <c r="BT10" s="2" t="inlineStr">
        <is>
          <t>2025 M07</t>
        </is>
      </c>
      <c r="BU10" s="2" t="inlineStr">
        <is>
          <t>2025 M08</t>
        </is>
      </c>
      <c r="BV10" s="2" t="inlineStr">
        <is>
          <t>2025 M09</t>
        </is>
      </c>
      <c r="BW10" s="2" t="inlineStr">
        <is>
          <t>2025 M10</t>
        </is>
      </c>
    </row>
    <row r="11" ht="15" customHeight="1" s="115">
      <c r="A11" s="5" t="inlineStr">
        <is>
          <t>Contract Model Score</t>
        </is>
      </c>
      <c r="B11" s="8" t="n"/>
      <c r="C11" s="8" t="n"/>
      <c r="D11" s="8" t="n"/>
      <c r="E11" s="8" t="n"/>
      <c r="F11" t="n">
        <v>131.6982643195936</v>
      </c>
      <c r="G11" t="n">
        <v>133.054650484341</v>
      </c>
      <c r="H11" t="n">
        <v>131.4444867304469</v>
      </c>
      <c r="I11" t="n">
        <v>132.4864116947754</v>
      </c>
      <c r="J11" t="n">
        <v>135.7858917143609</v>
      </c>
      <c r="K11" t="n">
        <v>137.674591378332</v>
      </c>
      <c r="L11" t="n">
        <v>137.632111324415</v>
      </c>
      <c r="M11" t="n">
        <v>137.410283596488</v>
      </c>
      <c r="N11" t="n">
        <v>138.5008405235725</v>
      </c>
      <c r="O11" t="n">
        <v>138.3830724957922</v>
      </c>
      <c r="P11" t="n">
        <v>141.105626120179</v>
      </c>
      <c r="Q11" t="n">
        <v>142.8258104017078</v>
      </c>
      <c r="R11" t="n">
        <v>139.6114069091973</v>
      </c>
      <c r="S11" t="n">
        <v>137.1592760764735</v>
      </c>
      <c r="T11" t="n">
        <v>135.94380297564</v>
      </c>
      <c r="U11" t="n">
        <v>136.4344474915521</v>
      </c>
      <c r="V11" t="n">
        <v>136.5957249052393</v>
      </c>
      <c r="W11" t="n">
        <v>135.4451540454592</v>
      </c>
      <c r="X11" t="n">
        <v>134.8073290263544</v>
      </c>
      <c r="Y11" t="n">
        <v>136.8461583611966</v>
      </c>
      <c r="Z11" t="n">
        <v>135.3038204360949</v>
      </c>
      <c r="AA11" t="n">
        <v>135.507624612885</v>
      </c>
      <c r="AB11" t="n">
        <v>134.0863460778139</v>
      </c>
      <c r="AC11" t="n">
        <v>134.2287900240212</v>
      </c>
      <c r="AD11" t="n">
        <v>134.3194117231274</v>
      </c>
      <c r="AE11" t="n">
        <v>133.6771153369227</v>
      </c>
      <c r="AF11" t="n">
        <v>134.4076299045273</v>
      </c>
      <c r="AG11" t="n">
        <v>135.8259315045926</v>
      </c>
      <c r="AH11" t="n">
        <v>135.4638986815173</v>
      </c>
      <c r="AI11" t="n">
        <v>136.2808526957623</v>
      </c>
      <c r="AJ11" t="n">
        <v>136.9458891627478</v>
      </c>
      <c r="AK11" t="n">
        <v>136.9563962777689</v>
      </c>
      <c r="AL11" t="n">
        <v>136.9900728651384</v>
      </c>
      <c r="AM11" t="n">
        <v>136.8836433200913</v>
      </c>
      <c r="AN11" t="n">
        <v>139.4072333406889</v>
      </c>
      <c r="AO11" t="n">
        <v>140.8107856923582</v>
      </c>
      <c r="AP11" t="n">
        <v>141.682607776617</v>
      </c>
      <c r="AQ11" t="n">
        <v>142.3872328303489</v>
      </c>
      <c r="AR11" t="n">
        <v>140.5333594504914</v>
      </c>
      <c r="AS11" t="n">
        <v>139.7213541062525</v>
      </c>
      <c r="AT11" t="n">
        <v>139.3660953456296</v>
      </c>
      <c r="AU11" t="n">
        <v>137.9144157955313</v>
      </c>
      <c r="AV11" t="n">
        <v>137.559247596714</v>
      </c>
      <c r="AW11" t="n">
        <v>137.8688547526919</v>
      </c>
      <c r="AX11" t="n">
        <v>138.4734171960448</v>
      </c>
      <c r="AY11" t="n">
        <v>139.4497456468499</v>
      </c>
      <c r="AZ11" t="n">
        <v>139.9060017625663</v>
      </c>
      <c r="BA11" t="n">
        <v>139.2653346143108</v>
      </c>
      <c r="BB11" t="n">
        <v>139.002340887088</v>
      </c>
      <c r="BC11" t="n">
        <v>138.8490786152281</v>
      </c>
      <c r="BD11" t="n">
        <v>138.1606757861559</v>
      </c>
      <c r="BE11" t="n">
        <v>138.5689574772371</v>
      </c>
      <c r="BF11" t="n">
        <v>138.0407551775946</v>
      </c>
      <c r="BG11" t="n">
        <v>138.6256830027653</v>
      </c>
      <c r="BH11" t="n">
        <v>139.0146908451023</v>
      </c>
      <c r="BI11" t="n">
        <v>140.9427910742152</v>
      </c>
      <c r="BJ11" t="n">
        <v>141.9113604664737</v>
      </c>
      <c r="BK11" t="n">
        <v>140.4681578212951</v>
      </c>
      <c r="BL11" t="n">
        <v>137.6929582630412</v>
      </c>
      <c r="BM11" t="n">
        <v>137.3540643101455</v>
      </c>
      <c r="BN11" t="n">
        <v>136.4215737313627</v>
      </c>
      <c r="BO11" t="n">
        <v>136.411651379112</v>
      </c>
      <c r="BP11" t="n">
        <v>137.0048078408043</v>
      </c>
      <c r="BQ11" t="n">
        <v>138.2483268549402</v>
      </c>
      <c r="BR11" t="n">
        <v>138.6684550841544</v>
      </c>
      <c r="BS11" t="n">
        <v>138.1284540103049</v>
      </c>
      <c r="BT11" t="n">
        <v>138.5913438881804</v>
      </c>
      <c r="BU11" t="n">
        <v>137.6271122901465</v>
      </c>
      <c r="BV11" t="n">
        <v>138.1409944082915</v>
      </c>
      <c r="BW11" t="n">
        <v>137.9781388052853</v>
      </c>
      <c r="BX11" t="n">
        <v>138.5536301578065</v>
      </c>
      <c r="BY11" t="n">
        <v>140.4970015707966</v>
      </c>
      <c r="BZ11" t="n">
        <v>140.5088663214055</v>
      </c>
    </row>
    <row r="12" ht="15" customHeight="1" s="115">
      <c r="A12" s="6" t="inlineStr">
        <is>
          <t>Model Score</t>
        </is>
      </c>
      <c r="B12" s="8" t="n"/>
      <c r="C12" s="8" t="n"/>
      <c r="D12" s="8" t="n"/>
      <c r="E12" s="8" t="n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</row>
    <row r="13" ht="15" customHeight="1" s="115">
      <c r="A13" s="4" t="inlineStr">
        <is>
          <t>Gross Loss Adjustments (Dealer level, high PTI, etc.)</t>
        </is>
      </c>
      <c r="B13" s="8" t="n"/>
      <c r="C13" s="8" t="n"/>
      <c r="D13" s="8" t="n"/>
      <c r="E13" s="8" t="n"/>
      <c r="F13" t="n">
        <v>-2.61857502684245</v>
      </c>
      <c r="G13" t="n">
        <v>-2.662490177754535</v>
      </c>
      <c r="H13" t="n">
        <v>-2.538951264241234</v>
      </c>
      <c r="I13" t="n">
        <v>-2.183001768399095</v>
      </c>
      <c r="J13" t="n">
        <v>-1.958657262018818</v>
      </c>
      <c r="K13" t="n">
        <v>-2.57077013298553</v>
      </c>
      <c r="L13" t="n">
        <v>-1.606756949393059</v>
      </c>
      <c r="M13" t="n">
        <v>-1.660638565508179</v>
      </c>
      <c r="N13" t="n">
        <v>-1.676504703684941</v>
      </c>
      <c r="O13" t="n">
        <v>-0.9052288850304535</v>
      </c>
      <c r="P13" t="n">
        <v>0.3602461294552484</v>
      </c>
      <c r="Q13" t="n">
        <v>0.6655194345057112</v>
      </c>
      <c r="R13" t="n">
        <v>1.037193597549845</v>
      </c>
      <c r="S13" t="n">
        <v>1.032099292395799</v>
      </c>
      <c r="T13" t="n">
        <v>1.127393935215963</v>
      </c>
      <c r="U13" t="n">
        <v>-0.7266041766623061</v>
      </c>
      <c r="V13" t="n">
        <v>-0.5718769744440522</v>
      </c>
      <c r="W13" t="n">
        <v>-1.745860656783094</v>
      </c>
      <c r="X13" t="n">
        <v>-1.439636543017627</v>
      </c>
      <c r="Y13" t="n">
        <v>-0.6267114792162261</v>
      </c>
      <c r="Z13" t="n">
        <v>-1.09996586097094</v>
      </c>
      <c r="AA13" t="n">
        <v>0.152669760528795</v>
      </c>
      <c r="AB13" t="n">
        <v>0.3415660890069319</v>
      </c>
      <c r="AC13" t="n">
        <v>-0.3769242868476397</v>
      </c>
      <c r="AD13" t="n">
        <v>-0.9591424784702269</v>
      </c>
      <c r="AE13" t="n">
        <v>0.4715673900370234</v>
      </c>
      <c r="AF13" t="n">
        <v>-0.1954260868142512</v>
      </c>
      <c r="AG13" t="n">
        <v>0.05537168855579466</v>
      </c>
      <c r="AH13" t="n">
        <v>-0.071605104507654</v>
      </c>
      <c r="AI13" t="n">
        <v>0.1641373271034752</v>
      </c>
      <c r="AJ13" t="n">
        <v>0.6541028474514974</v>
      </c>
      <c r="AK13" t="n">
        <v>0.6254731897445538</v>
      </c>
      <c r="AL13" t="n">
        <v>0.1690996331346923</v>
      </c>
      <c r="AM13" t="n">
        <v>-0.1447734890050469</v>
      </c>
      <c r="AN13" t="n">
        <v>0.5818757272560049</v>
      </c>
      <c r="AO13" t="n">
        <v>1.249313139567505</v>
      </c>
      <c r="AP13" t="n">
        <v>0.2343144465821183</v>
      </c>
      <c r="AQ13" t="n">
        <v>0.6763166823016888</v>
      </c>
      <c r="AR13" t="n">
        <v>0.7083331337663026</v>
      </c>
      <c r="AS13" t="n">
        <v>-0.2525344798522724</v>
      </c>
      <c r="AT13" t="n">
        <v>1.142568209081873</v>
      </c>
      <c r="AU13" t="n">
        <v>-0.2680827407189383</v>
      </c>
      <c r="AV13" t="n">
        <v>0.9914460020291074</v>
      </c>
      <c r="AW13" t="n">
        <v>1.2426692452118</v>
      </c>
      <c r="AX13" t="n">
        <v>-0.1911494877138296</v>
      </c>
      <c r="AY13" t="n">
        <v>0.8958697294279148</v>
      </c>
      <c r="AZ13" t="n">
        <v>1.178715144489672</v>
      </c>
      <c r="BA13" t="n">
        <v>0.85292391693946</v>
      </c>
      <c r="BB13" t="n">
        <v>0.9586568107063442</v>
      </c>
      <c r="BC13" t="n">
        <v>1.222375943763694</v>
      </c>
      <c r="BD13" t="n">
        <v>1.650252786153828</v>
      </c>
      <c r="BE13" t="n">
        <v>2.084564909400683</v>
      </c>
      <c r="BF13" t="n">
        <v>2.311054889316409</v>
      </c>
      <c r="BG13" t="n">
        <v>2.234440731428293</v>
      </c>
      <c r="BH13" t="n">
        <v>3.149485225058925</v>
      </c>
      <c r="BI13" t="n">
        <v>3.104676860500405</v>
      </c>
      <c r="BJ13" t="n">
        <v>3.052377475225313</v>
      </c>
      <c r="BK13" t="n">
        <v>3.385036781230752</v>
      </c>
      <c r="BL13" t="n">
        <v>3.217522265699699</v>
      </c>
      <c r="BM13" t="n">
        <v>2.670848012944447</v>
      </c>
      <c r="BN13" t="n">
        <v>2.936933887909731</v>
      </c>
      <c r="BO13" t="n">
        <v>3.389999127791327</v>
      </c>
      <c r="BP13" t="n">
        <v>3.010880910496667</v>
      </c>
      <c r="BQ13" t="n">
        <v>2.354749393443484</v>
      </c>
      <c r="BR13" t="n">
        <v>2.62204270684785</v>
      </c>
      <c r="BS13" t="n">
        <v>2.919936490126048</v>
      </c>
      <c r="BT13" t="n">
        <v>3.150168948749183</v>
      </c>
      <c r="BU13" t="n">
        <v>3.413304916134933</v>
      </c>
      <c r="BV13" t="n">
        <v>3.63186854213825</v>
      </c>
      <c r="BW13" t="n">
        <v>1.894159776737467</v>
      </c>
      <c r="BX13" t="n">
        <v>2.130176764757664</v>
      </c>
      <c r="BY13" t="n">
        <v>2.815870222127728</v>
      </c>
      <c r="BZ13" t="n">
        <v>1.8121339485009</v>
      </c>
    </row>
    <row r="14" ht="15" customHeight="1" s="115">
      <c r="A14" s="3" t="inlineStr">
        <is>
          <t>Recovery Adjustments excluding LTV (Mileage, vehicle type, etc.)</t>
        </is>
      </c>
      <c r="B14" s="8" t="n"/>
      <c r="C14" s="8" t="n"/>
      <c r="D14" s="8" t="n"/>
      <c r="E14" s="8" t="n"/>
      <c r="F14" t="n">
        <v>1.814844834543948</v>
      </c>
      <c r="G14" t="n">
        <v>1.60263282245586</v>
      </c>
      <c r="H14" t="n">
        <v>1.562452974672425</v>
      </c>
      <c r="I14" t="n">
        <v>1.343309686343986</v>
      </c>
      <c r="J14" t="n">
        <v>1.586408258746587</v>
      </c>
      <c r="K14" t="n">
        <v>1.882158210179142</v>
      </c>
      <c r="L14" t="n">
        <v>1.965649106695906</v>
      </c>
      <c r="M14" t="n">
        <v>1.937246867303656</v>
      </c>
      <c r="N14" t="n">
        <v>2.064532848083019</v>
      </c>
      <c r="O14" t="n">
        <v>1.758542238875805</v>
      </c>
      <c r="P14" t="n">
        <v>2.147335147288516</v>
      </c>
      <c r="Q14" t="n">
        <v>2.554338454794163</v>
      </c>
      <c r="R14" t="n">
        <v>2.166625093251781</v>
      </c>
      <c r="S14" t="n">
        <v>2.00723167992291</v>
      </c>
      <c r="T14" t="n">
        <v>1.335047701438526</v>
      </c>
      <c r="U14" t="n">
        <v>0.4611240125818767</v>
      </c>
      <c r="V14" t="n">
        <v>1.109919909871223</v>
      </c>
      <c r="W14" t="n">
        <v>1.414692674816166</v>
      </c>
      <c r="X14" t="n">
        <v>1.160324475152464</v>
      </c>
      <c r="Y14" t="n">
        <v>0.7402974433253746</v>
      </c>
      <c r="Z14" t="n">
        <v>0.006820534072261353</v>
      </c>
      <c r="AA14" t="n">
        <v>0.101973722065452</v>
      </c>
      <c r="AB14" t="n">
        <v>0.4771806252376507</v>
      </c>
      <c r="AC14" t="n">
        <v>0.8331892669267518</v>
      </c>
      <c r="AD14" t="n">
        <v>0.720618603398691</v>
      </c>
      <c r="AE14" t="n">
        <v>0.3519371726678742</v>
      </c>
      <c r="AF14" t="n">
        <v>0.4303638834399237</v>
      </c>
      <c r="AG14" t="n">
        <v>-0.4270461877150638</v>
      </c>
      <c r="AH14" t="n">
        <v>-1.600646052818803</v>
      </c>
      <c r="AI14" t="n">
        <v>-1.989501342522374</v>
      </c>
      <c r="AJ14" t="n">
        <v>-1.809273037450055</v>
      </c>
      <c r="AK14" t="n">
        <v>-3.302304882867929</v>
      </c>
      <c r="AL14" t="n">
        <v>-2.64259045731032</v>
      </c>
      <c r="AM14" t="n">
        <v>-1.34184712127589</v>
      </c>
      <c r="AN14" t="n">
        <v>-3.904779094889705</v>
      </c>
      <c r="AO14" t="n">
        <v>-2.484980314446034</v>
      </c>
      <c r="AP14" t="n">
        <v>-3.198101157299504</v>
      </c>
      <c r="AQ14" t="n">
        <v>-0.8526875574485189</v>
      </c>
      <c r="AR14" t="n">
        <v>-3.123805097571278</v>
      </c>
      <c r="AS14" t="n">
        <v>-2.727064787602842</v>
      </c>
      <c r="AT14" t="n">
        <v>-1.104664054317738</v>
      </c>
      <c r="AU14" t="n">
        <v>-2.292448128965759</v>
      </c>
      <c r="AV14" t="n">
        <v>-2.471507598811428</v>
      </c>
      <c r="AW14" t="n">
        <v>-2.301192808359332</v>
      </c>
      <c r="AX14" t="n">
        <v>-3.703928568999174</v>
      </c>
      <c r="AY14" t="n">
        <v>0.1955717360354754</v>
      </c>
      <c r="AZ14" t="n">
        <v>0.3144631025252806</v>
      </c>
      <c r="BA14" t="n">
        <v>-0.08756006447393361</v>
      </c>
      <c r="BB14" t="n">
        <v>-0.6678096381816943</v>
      </c>
      <c r="BC14" t="n">
        <v>-1.03473842181026</v>
      </c>
      <c r="BD14" t="n">
        <v>-0.8307560520180743</v>
      </c>
      <c r="BE14" t="n">
        <v>-1.46488113902771</v>
      </c>
      <c r="BF14" t="n">
        <v>-1.365213326173517</v>
      </c>
      <c r="BG14" t="n">
        <v>-1.153417694172674</v>
      </c>
      <c r="BH14" t="n">
        <v>-0.1281933293586803</v>
      </c>
      <c r="BI14" t="n">
        <v>-0.05571908694261651</v>
      </c>
      <c r="BJ14" t="n">
        <v>-0.7693108627724996</v>
      </c>
      <c r="BK14" t="n">
        <v>-0.4552025585421688</v>
      </c>
      <c r="BL14" t="n">
        <v>-0.276660992098499</v>
      </c>
      <c r="BM14" t="n">
        <v>-0.3216128266957128</v>
      </c>
      <c r="BN14" t="n">
        <v>2.524388004286919</v>
      </c>
      <c r="BO14" t="n">
        <v>2.485760228892616</v>
      </c>
      <c r="BP14" t="n">
        <v>1.435622727956087</v>
      </c>
      <c r="BQ14" t="n">
        <v>1.528605274286264</v>
      </c>
      <c r="BR14" t="n">
        <v>1.435778498263517</v>
      </c>
      <c r="BS14" t="n">
        <v>1.893983706945789</v>
      </c>
      <c r="BT14" t="n">
        <v>2.028203619517598</v>
      </c>
      <c r="BU14" t="n">
        <v>2.06257609443449</v>
      </c>
      <c r="BV14" t="n">
        <v>2.398633575337186</v>
      </c>
      <c r="BW14" t="n">
        <v>2.260545781332979</v>
      </c>
      <c r="BX14" t="n">
        <v>2.592359657238006</v>
      </c>
      <c r="BY14" t="n">
        <v>2.678999770963628</v>
      </c>
      <c r="BZ14" t="n">
        <v>2.509895229542821</v>
      </c>
    </row>
    <row r="15" ht="15" customHeight="1" s="115">
      <c r="A15" s="4" t="inlineStr">
        <is>
          <t>LTV Adjustments</t>
        </is>
      </c>
      <c r="B15" s="8" t="n"/>
      <c r="C15" s="8" t="n"/>
      <c r="D15" s="8" t="n"/>
      <c r="E15" s="8" t="n"/>
      <c r="F15" t="n">
        <v>-1.814844834543948</v>
      </c>
      <c r="G15" t="n">
        <v>-1.60263282245586</v>
      </c>
      <c r="H15" t="n">
        <v>-1.562452974672425</v>
      </c>
      <c r="I15" t="n">
        <v>-1.343309686343986</v>
      </c>
      <c r="J15" t="n">
        <v>-1.586408258746587</v>
      </c>
      <c r="K15" t="n">
        <v>-1.882158210179142</v>
      </c>
      <c r="L15" t="n">
        <v>-1.965649106695906</v>
      </c>
      <c r="M15" t="n">
        <v>-1.937246867303656</v>
      </c>
      <c r="N15" t="n">
        <v>-2.064532848083019</v>
      </c>
      <c r="O15" t="n">
        <v>-1.758542238875805</v>
      </c>
      <c r="P15" t="n">
        <v>-2.147335147288516</v>
      </c>
      <c r="Q15" t="n">
        <v>-2.554338454794163</v>
      </c>
      <c r="R15" t="n">
        <v>-2.166625093251781</v>
      </c>
      <c r="S15" t="n">
        <v>-2.00723167992291</v>
      </c>
      <c r="T15" t="n">
        <v>-1.335047701438526</v>
      </c>
      <c r="U15" t="n">
        <v>-0.4611240125818767</v>
      </c>
      <c r="V15" t="n">
        <v>-1.109919909871223</v>
      </c>
      <c r="W15" t="n">
        <v>-1.414692674816166</v>
      </c>
      <c r="X15" t="n">
        <v>-1.160324475152464</v>
      </c>
      <c r="Y15" t="n">
        <v>-0.7402974433253746</v>
      </c>
      <c r="Z15" t="n">
        <v>-0.006820534072261353</v>
      </c>
      <c r="AA15" t="n">
        <v>-0.101973722065452</v>
      </c>
      <c r="AB15" t="n">
        <v>-0.4771806252376507</v>
      </c>
      <c r="AC15" t="n">
        <v>-0.8331892669267518</v>
      </c>
      <c r="AD15" t="n">
        <v>-0.720618603398691</v>
      </c>
      <c r="AE15" t="n">
        <v>-0.3519371726678742</v>
      </c>
      <c r="AF15" t="n">
        <v>-0.4303638834399237</v>
      </c>
      <c r="AG15" t="n">
        <v>0.4270461877150638</v>
      </c>
      <c r="AH15" t="n">
        <v>1.600646052818803</v>
      </c>
      <c r="AI15" t="n">
        <v>1.989501342522374</v>
      </c>
      <c r="AJ15" t="n">
        <v>1.809273037450055</v>
      </c>
      <c r="AK15" t="n">
        <v>3.302304882867929</v>
      </c>
      <c r="AL15" t="n">
        <v>2.64259045731032</v>
      </c>
      <c r="AM15" t="n">
        <v>1.34184712127589</v>
      </c>
      <c r="AN15" t="n">
        <v>3.904779094889705</v>
      </c>
      <c r="AO15" t="n">
        <v>2.484980314446034</v>
      </c>
      <c r="AP15" t="n">
        <v>3.198101157299504</v>
      </c>
      <c r="AQ15" t="n">
        <v>0.8526875574485189</v>
      </c>
      <c r="AR15" t="n">
        <v>3.123805097571278</v>
      </c>
      <c r="AS15" t="n">
        <v>2.727064787602842</v>
      </c>
      <c r="AT15" t="n">
        <v>1.104664054317738</v>
      </c>
      <c r="AU15" t="n">
        <v>2.292448128965759</v>
      </c>
      <c r="AV15" t="n">
        <v>2.471507598811428</v>
      </c>
      <c r="AW15" t="n">
        <v>2.301192808359332</v>
      </c>
      <c r="AX15" t="n">
        <v>3.703928568999174</v>
      </c>
      <c r="AY15" t="n">
        <v>-0.1955717360354754</v>
      </c>
      <c r="AZ15" t="n">
        <v>-0.3144631025252806</v>
      </c>
      <c r="BA15" t="n">
        <v>0.08756006447393361</v>
      </c>
      <c r="BB15" t="n">
        <v>0.6678096381816943</v>
      </c>
      <c r="BC15" t="n">
        <v>1.03473842181026</v>
      </c>
      <c r="BD15" t="n">
        <v>0.8307560520180743</v>
      </c>
      <c r="BE15" t="n">
        <v>1.46488113902771</v>
      </c>
      <c r="BF15" t="n">
        <v>1.365213326173517</v>
      </c>
      <c r="BG15" t="n">
        <v>1.153417694172674</v>
      </c>
      <c r="BH15" t="n">
        <v>0.1281933293586803</v>
      </c>
      <c r="BI15" t="n">
        <v>0.05571908694261651</v>
      </c>
      <c r="BJ15" t="n">
        <v>0.7693108627724996</v>
      </c>
      <c r="BK15" t="n">
        <v>0.4552025585421688</v>
      </c>
      <c r="BL15" t="n">
        <v>0.276660992098499</v>
      </c>
      <c r="BM15" t="n">
        <v>0.3216128266957128</v>
      </c>
      <c r="BN15" t="n">
        <v>-2.524388004286919</v>
      </c>
      <c r="BO15" t="n">
        <v>-2.485760228892616</v>
      </c>
      <c r="BP15" t="n">
        <v>-1.435622727956087</v>
      </c>
      <c r="BQ15" t="n">
        <v>-1.528605274286264</v>
      </c>
      <c r="BR15" t="n">
        <v>-1.435778498263517</v>
      </c>
      <c r="BS15" t="n">
        <v>-1.893983706945789</v>
      </c>
      <c r="BT15" t="n">
        <v>-2.028203619517598</v>
      </c>
      <c r="BU15" t="n">
        <v>-2.06257609443449</v>
      </c>
      <c r="BV15" t="n">
        <v>-2.398633575337186</v>
      </c>
      <c r="BW15" t="n">
        <v>-2.260545781332979</v>
      </c>
      <c r="BX15" t="n">
        <v>-2.592359657238006</v>
      </c>
      <c r="BY15" t="n">
        <v>-2.678999770963628</v>
      </c>
      <c r="BZ15" t="n">
        <v>-2.509895229542821</v>
      </c>
    </row>
    <row r="16" ht="15" customHeight="1" s="115">
      <c r="A16" s="3" t="inlineStr">
        <is>
          <t>RAGU Score</t>
        </is>
      </c>
      <c r="B16" s="8" t="n"/>
      <c r="C16" s="8" t="n"/>
      <c r="D16" s="8" t="n"/>
      <c r="E16" s="8" t="n"/>
      <c r="F16" t="n">
        <v>129.0796892927512</v>
      </c>
      <c r="G16" t="n">
        <v>130.3921603065864</v>
      </c>
      <c r="H16" t="n">
        <v>128.9055354662056</v>
      </c>
      <c r="I16" t="n">
        <v>130.3034099263763</v>
      </c>
      <c r="J16" t="n">
        <v>133.8272344523421</v>
      </c>
      <c r="K16" t="n">
        <v>135.1038212453464</v>
      </c>
      <c r="L16" t="n">
        <v>136.025354375022</v>
      </c>
      <c r="M16" t="n">
        <v>135.7496450309798</v>
      </c>
      <c r="N16" t="n">
        <v>136.8243358198876</v>
      </c>
      <c r="O16" t="n">
        <v>137.4778436107618</v>
      </c>
      <c r="P16" t="n">
        <v>141.4658722496342</v>
      </c>
      <c r="Q16" t="n">
        <v>143.4913298362135</v>
      </c>
      <c r="R16" t="n">
        <v>140.6486005067472</v>
      </c>
      <c r="S16" t="n">
        <v>138.1913753688693</v>
      </c>
      <c r="T16" t="n">
        <v>137.0711969108559</v>
      </c>
      <c r="U16" t="n">
        <v>135.7078433148898</v>
      </c>
      <c r="V16" t="n">
        <v>136.0238479307952</v>
      </c>
      <c r="W16" t="n">
        <v>133.6992933886761</v>
      </c>
      <c r="X16" t="n">
        <v>133.3676924833368</v>
      </c>
      <c r="Y16" t="n">
        <v>136.2194468819804</v>
      </c>
      <c r="Z16" t="n">
        <v>134.2038545751239</v>
      </c>
      <c r="AA16" t="n">
        <v>135.6602943734138</v>
      </c>
      <c r="AB16" t="n">
        <v>134.4279121668208</v>
      </c>
      <c r="AC16" t="n">
        <v>133.8518657371736</v>
      </c>
      <c r="AD16" t="n">
        <v>133.3602692446572</v>
      </c>
      <c r="AE16" t="n">
        <v>134.1486827269597</v>
      </c>
      <c r="AF16" t="n">
        <v>134.2122038177131</v>
      </c>
      <c r="AG16" t="n">
        <v>135.8813031931484</v>
      </c>
      <c r="AH16" t="n">
        <v>135.3922935770097</v>
      </c>
      <c r="AI16" t="n">
        <v>136.4449900228658</v>
      </c>
      <c r="AJ16" t="n">
        <v>137.5999920101993</v>
      </c>
      <c r="AK16" t="n">
        <v>137.5818694675134</v>
      </c>
      <c r="AL16" t="n">
        <v>137.1591724982731</v>
      </c>
      <c r="AM16" t="n">
        <v>136.7388698310862</v>
      </c>
      <c r="AN16" t="n">
        <v>139.9891090679449</v>
      </c>
      <c r="AO16" t="n">
        <v>142.0600988319257</v>
      </c>
      <c r="AP16" t="n">
        <v>141.9169222231992</v>
      </c>
      <c r="AQ16" t="n">
        <v>143.0635495126506</v>
      </c>
      <c r="AR16" t="n">
        <v>141.2416925842577</v>
      </c>
      <c r="AS16" t="n">
        <v>139.4688196264003</v>
      </c>
      <c r="AT16" t="n">
        <v>140.5086635547115</v>
      </c>
      <c r="AU16" t="n">
        <v>137.6463330548124</v>
      </c>
      <c r="AV16" t="n">
        <v>138.5506935987431</v>
      </c>
      <c r="AW16" t="n">
        <v>139.1115239979037</v>
      </c>
      <c r="AX16" t="n">
        <v>138.2822677083309</v>
      </c>
      <c r="AY16" t="n">
        <v>140.3456153762778</v>
      </c>
      <c r="AZ16" t="n">
        <v>141.084716907056</v>
      </c>
      <c r="BA16" t="n">
        <v>140.1182585312503</v>
      </c>
      <c r="BB16" t="n">
        <v>139.9609976977943</v>
      </c>
      <c r="BC16" t="n">
        <v>140.0714545589918</v>
      </c>
      <c r="BD16" t="n">
        <v>139.8109285723097</v>
      </c>
      <c r="BE16" t="n">
        <v>140.6535223866378</v>
      </c>
      <c r="BF16" t="n">
        <v>140.351810066911</v>
      </c>
      <c r="BG16" t="n">
        <v>140.8601237341936</v>
      </c>
      <c r="BH16" t="n">
        <v>142.1641760701612</v>
      </c>
      <c r="BI16" t="n">
        <v>144.0474679347156</v>
      </c>
      <c r="BJ16" t="n">
        <v>144.963737941699</v>
      </c>
      <c r="BK16" t="n">
        <v>143.8531946025259</v>
      </c>
      <c r="BL16" t="n">
        <v>140.9104805287409</v>
      </c>
      <c r="BM16" t="n">
        <v>140.0249123230899</v>
      </c>
      <c r="BN16" t="n">
        <v>139.3585076192725</v>
      </c>
      <c r="BO16" t="n">
        <v>139.8016505069033</v>
      </c>
      <c r="BP16" t="n">
        <v>140.015688751301</v>
      </c>
      <c r="BQ16" t="n">
        <v>140.6030762483837</v>
      </c>
      <c r="BR16" t="n">
        <v>141.2904977910023</v>
      </c>
      <c r="BS16" t="n">
        <v>141.048390500431</v>
      </c>
      <c r="BT16" t="n">
        <v>141.7415128369296</v>
      </c>
      <c r="BU16" t="n">
        <v>141.0404172062814</v>
      </c>
      <c r="BV16" t="n">
        <v>141.7728629504297</v>
      </c>
      <c r="BW16" t="n">
        <v>139.8722985820227</v>
      </c>
      <c r="BX16" t="n">
        <v>140.6838069225641</v>
      </c>
      <c r="BY16" t="n">
        <v>143.3128717929243</v>
      </c>
      <c r="BZ16" t="n">
        <v>142.3210002699064</v>
      </c>
    </row>
    <row r="17" ht="15" customHeight="1" s="115">
      <c r="A17" s="5" t="inlineStr">
        <is>
          <t>LTV</t>
        </is>
      </c>
      <c r="B17" s="8" t="n"/>
      <c r="C17" s="8" t="n"/>
      <c r="D17" s="8" t="n"/>
      <c r="E17" s="8" t="n"/>
      <c r="F17" t="n">
        <v>1.463383255607082</v>
      </c>
      <c r="G17" t="n">
        <v>1.432878869736339</v>
      </c>
      <c r="H17" t="n">
        <v>1.383541163114897</v>
      </c>
      <c r="I17" t="n">
        <v>1.398730253112577</v>
      </c>
      <c r="J17" t="n">
        <v>1.378366701662527</v>
      </c>
      <c r="K17" t="n">
        <v>1.352454441382004</v>
      </c>
      <c r="L17" t="n">
        <v>1.250830864690567</v>
      </c>
      <c r="M17" t="n">
        <v>1.210039994732665</v>
      </c>
      <c r="N17" t="n">
        <v>1.195732910098523</v>
      </c>
      <c r="O17" t="n">
        <v>1.253086133567049</v>
      </c>
      <c r="P17" t="n">
        <v>1.317332442797972</v>
      </c>
      <c r="Q17" t="n">
        <v>1.249979075685407</v>
      </c>
      <c r="R17" t="n">
        <v>1.373771738944825</v>
      </c>
      <c r="S17" t="n">
        <v>1.300182474363824</v>
      </c>
      <c r="T17" t="n">
        <v>1.328532257406138</v>
      </c>
      <c r="U17" t="n">
        <v>1.229730194497632</v>
      </c>
      <c r="V17" t="n">
        <v>1.211980330005317</v>
      </c>
      <c r="W17" t="n">
        <v>1.260670405536136</v>
      </c>
      <c r="X17" t="n">
        <v>1.246184998667904</v>
      </c>
      <c r="Y17" t="n">
        <v>1.299160733848865</v>
      </c>
      <c r="Z17" t="n">
        <v>1.27689131943671</v>
      </c>
      <c r="AA17" t="n">
        <v>1.359835611811443</v>
      </c>
      <c r="AB17" t="n">
        <v>1.321941990280765</v>
      </c>
      <c r="AC17" t="n">
        <v>1.316695519102585</v>
      </c>
      <c r="AD17" t="n">
        <v>1.375918289337371</v>
      </c>
      <c r="AE17" t="n">
        <v>1.341572600924257</v>
      </c>
      <c r="AF17" t="n">
        <v>1.318616298684882</v>
      </c>
      <c r="AG17" t="n">
        <v>1.335757968655177</v>
      </c>
      <c r="AH17" t="n">
        <v>1.334846588438786</v>
      </c>
      <c r="AI17" t="n">
        <v>1.346843022461744</v>
      </c>
      <c r="AJ17" t="n">
        <v>1.313139339386522</v>
      </c>
      <c r="AK17" t="n">
        <v>1.26462002049386</v>
      </c>
      <c r="AL17" t="n">
        <v>1.389441620942542</v>
      </c>
      <c r="AM17" t="n">
        <v>1.393606535338334</v>
      </c>
      <c r="AN17" t="n">
        <v>1.307239721500205</v>
      </c>
      <c r="AO17" t="n">
        <v>1.202116524348337</v>
      </c>
      <c r="AP17" t="n">
        <v>1.199072651028865</v>
      </c>
      <c r="AQ17" t="n">
        <v>1.273771131665839</v>
      </c>
      <c r="AR17" t="n">
        <v>1.322462211070893</v>
      </c>
      <c r="AS17" t="n">
        <v>1.688118995314929</v>
      </c>
      <c r="AT17" t="n">
        <v>1.300156275020449</v>
      </c>
      <c r="AU17" t="n">
        <v>1.258205377936307</v>
      </c>
      <c r="AV17" t="n">
        <v>1.268765107200517</v>
      </c>
      <c r="AW17" t="n">
        <v>1.253948758091387</v>
      </c>
      <c r="AX17" t="n">
        <v>1.283929072662722</v>
      </c>
      <c r="AY17" t="n">
        <v>1.300465013023832</v>
      </c>
      <c r="AZ17" t="n">
        <v>1.26368138000221</v>
      </c>
      <c r="BA17" t="n">
        <v>1.308641937033459</v>
      </c>
      <c r="BB17" t="n">
        <v>1.376198960429897</v>
      </c>
      <c r="BC17" t="n">
        <v>1.380987529864426</v>
      </c>
      <c r="BD17" t="n">
        <v>1.389952101470369</v>
      </c>
      <c r="BE17" t="n">
        <v>1.396671468404588</v>
      </c>
      <c r="BF17" t="n">
        <v>1.356894957298855</v>
      </c>
      <c r="BG17" t="n">
        <v>1.345295258348891</v>
      </c>
      <c r="BH17" t="n">
        <v>1.339266537018958</v>
      </c>
      <c r="BI17" t="n">
        <v>1.377629952631667</v>
      </c>
      <c r="BJ17" t="n">
        <v>1.332248941888842</v>
      </c>
      <c r="BK17" t="n">
        <v>1.335924195633716</v>
      </c>
      <c r="BL17" t="n">
        <v>1.387104935639879</v>
      </c>
      <c r="BM17" t="n">
        <v>1.323689377651472</v>
      </c>
      <c r="BN17" t="n">
        <v>1.365678576826104</v>
      </c>
      <c r="BO17" t="n">
        <v>1.396101685182775</v>
      </c>
      <c r="BP17" t="n">
        <v>1.403580027406429</v>
      </c>
      <c r="BQ17" t="n">
        <v>1.433824786580768</v>
      </c>
      <c r="BR17" t="n">
        <v>1.420695206714913</v>
      </c>
      <c r="BS17" t="n">
        <v>1.407169610854736</v>
      </c>
      <c r="BT17" t="n">
        <v>1.425914908234376</v>
      </c>
      <c r="BU17" t="n">
        <v>1.425526625358804</v>
      </c>
      <c r="BV17" t="n">
        <v>1.420243088818498</v>
      </c>
      <c r="BW17" t="n">
        <v>1.413277763473019</v>
      </c>
      <c r="BX17" t="n">
        <v>1.404973682372882</v>
      </c>
      <c r="BY17" t="n">
        <v>1.447947042500796</v>
      </c>
      <c r="BZ17" t="n">
        <v>1.438111027121241</v>
      </c>
    </row>
    <row r="18" ht="15" customHeight="1" s="115"/>
    <row r="19" ht="15" customHeight="1" s="115">
      <c r="A19" s="1" t="inlineStr">
        <is>
          <t>FRN</t>
        </is>
      </c>
      <c r="B19" s="2" t="n">
        <v>2016</v>
      </c>
      <c r="C19" s="2" t="n">
        <v>2017</v>
      </c>
      <c r="D19" s="2" t="n">
        <v>2018</v>
      </c>
      <c r="E19" s="2" t="n">
        <v>2019</v>
      </c>
      <c r="F19" s="2" t="inlineStr">
        <is>
          <t>2020 M01</t>
        </is>
      </c>
      <c r="G19" s="2" t="inlineStr">
        <is>
          <t>2020 M02</t>
        </is>
      </c>
      <c r="H19" s="2" t="inlineStr">
        <is>
          <t>2020 M03</t>
        </is>
      </c>
      <c r="I19" s="2" t="inlineStr">
        <is>
          <t>2020 M04</t>
        </is>
      </c>
      <c r="J19" s="2" t="inlineStr">
        <is>
          <t>2020 M05</t>
        </is>
      </c>
      <c r="K19" s="2" t="inlineStr">
        <is>
          <t>2020 M06</t>
        </is>
      </c>
      <c r="L19" s="2" t="inlineStr">
        <is>
          <t>2020 M07</t>
        </is>
      </c>
      <c r="M19" s="2" t="inlineStr">
        <is>
          <t>2020 M08</t>
        </is>
      </c>
      <c r="N19" s="2" t="inlineStr">
        <is>
          <t>2020 M09</t>
        </is>
      </c>
      <c r="O19" s="2" t="inlineStr">
        <is>
          <t>2020 M10</t>
        </is>
      </c>
      <c r="P19" s="2" t="inlineStr">
        <is>
          <t>2020 M11</t>
        </is>
      </c>
      <c r="Q19" s="2" t="inlineStr">
        <is>
          <t>2020 M12</t>
        </is>
      </c>
      <c r="R19" s="2" t="inlineStr">
        <is>
          <t>2021 M01</t>
        </is>
      </c>
      <c r="S19" s="2" t="inlineStr">
        <is>
          <t>2021 M02</t>
        </is>
      </c>
      <c r="T19" s="2" t="inlineStr">
        <is>
          <t>2021 M03</t>
        </is>
      </c>
      <c r="U19" s="2" t="inlineStr">
        <is>
          <t>2021 M04</t>
        </is>
      </c>
      <c r="V19" s="2" t="inlineStr">
        <is>
          <t>2021 M05</t>
        </is>
      </c>
      <c r="W19" s="2" t="inlineStr">
        <is>
          <t>2021 M06</t>
        </is>
      </c>
      <c r="X19" s="2" t="inlineStr">
        <is>
          <t>2021 M07</t>
        </is>
      </c>
      <c r="Y19" s="2" t="inlineStr">
        <is>
          <t>2021 M08</t>
        </is>
      </c>
      <c r="Z19" s="2" t="inlineStr">
        <is>
          <t>2021 M09</t>
        </is>
      </c>
      <c r="AA19" s="2" t="inlineStr">
        <is>
          <t>2021 M10</t>
        </is>
      </c>
      <c r="AB19" s="2" t="inlineStr">
        <is>
          <t>2021 M11</t>
        </is>
      </c>
      <c r="AC19" s="2" t="inlineStr">
        <is>
          <t>2021 M12</t>
        </is>
      </c>
      <c r="AD19" s="2" t="inlineStr">
        <is>
          <t>2022 M01</t>
        </is>
      </c>
      <c r="AE19" s="2" t="inlineStr">
        <is>
          <t>2022 M02</t>
        </is>
      </c>
      <c r="AF19" s="2" t="inlineStr">
        <is>
          <t>2022 M03</t>
        </is>
      </c>
      <c r="AG19" s="2" t="inlineStr">
        <is>
          <t>2022 M04</t>
        </is>
      </c>
      <c r="AH19" s="2" t="inlineStr">
        <is>
          <t>2022 M05</t>
        </is>
      </c>
      <c r="AI19" s="2" t="inlineStr">
        <is>
          <t>2022 M06</t>
        </is>
      </c>
      <c r="AJ19" s="2" t="inlineStr">
        <is>
          <t>2022 M07</t>
        </is>
      </c>
      <c r="AK19" s="2" t="inlineStr">
        <is>
          <t>2022 M08</t>
        </is>
      </c>
      <c r="AL19" s="2" t="inlineStr">
        <is>
          <t>2022 M09</t>
        </is>
      </c>
      <c r="AM19" s="2" t="inlineStr">
        <is>
          <t>2022 M10</t>
        </is>
      </c>
      <c r="AN19" s="2" t="inlineStr">
        <is>
          <t>2022 M11</t>
        </is>
      </c>
      <c r="AO19" s="2" t="inlineStr">
        <is>
          <t>2022 M12</t>
        </is>
      </c>
      <c r="AP19" s="2" t="inlineStr">
        <is>
          <t>2023 M01</t>
        </is>
      </c>
      <c r="AQ19" s="2" t="inlineStr">
        <is>
          <t>2023 M02</t>
        </is>
      </c>
      <c r="AR19" s="2" t="inlineStr">
        <is>
          <t>2023 M03</t>
        </is>
      </c>
      <c r="AS19" s="2" t="inlineStr">
        <is>
          <t>2023 M04</t>
        </is>
      </c>
      <c r="AT19" s="2" t="inlineStr">
        <is>
          <t>2023 M05</t>
        </is>
      </c>
      <c r="AU19" s="2" t="inlineStr">
        <is>
          <t>2023 M06</t>
        </is>
      </c>
      <c r="AV19" s="2" t="inlineStr">
        <is>
          <t>2023 M07</t>
        </is>
      </c>
      <c r="AW19" s="2" t="inlineStr">
        <is>
          <t>2023 M08</t>
        </is>
      </c>
      <c r="AX19" s="2" t="inlineStr">
        <is>
          <t>2023 M09</t>
        </is>
      </c>
      <c r="AY19" s="2" t="inlineStr">
        <is>
          <t>2023 M10</t>
        </is>
      </c>
      <c r="AZ19" s="2" t="inlineStr">
        <is>
          <t>2023 M11</t>
        </is>
      </c>
      <c r="BA19" s="2" t="inlineStr">
        <is>
          <t>2023 M12</t>
        </is>
      </c>
      <c r="BB19" s="2" t="inlineStr">
        <is>
          <t>2024 M01</t>
        </is>
      </c>
      <c r="BC19" s="2" t="inlineStr">
        <is>
          <t>2024 M02</t>
        </is>
      </c>
      <c r="BD19" s="2" t="inlineStr">
        <is>
          <t>2024 M03</t>
        </is>
      </c>
      <c r="BE19" s="2" t="inlineStr">
        <is>
          <t>2024 M04</t>
        </is>
      </c>
      <c r="BF19" s="2" t="inlineStr">
        <is>
          <t>2024 M05</t>
        </is>
      </c>
      <c r="BG19" s="2" t="inlineStr">
        <is>
          <t>2024 M06</t>
        </is>
      </c>
      <c r="BH19" s="2" t="inlineStr">
        <is>
          <t>2024 M07</t>
        </is>
      </c>
      <c r="BI19" s="2" t="inlineStr">
        <is>
          <t>2024 M08</t>
        </is>
      </c>
      <c r="BJ19" s="2" t="inlineStr">
        <is>
          <t>2024 M09</t>
        </is>
      </c>
      <c r="BK19" s="2" t="inlineStr">
        <is>
          <t>2024 M10</t>
        </is>
      </c>
      <c r="BL19" s="2" t="inlineStr">
        <is>
          <t>2024 M11</t>
        </is>
      </c>
      <c r="BM19" s="2" t="inlineStr">
        <is>
          <t>2024 M12</t>
        </is>
      </c>
      <c r="BN19" s="2" t="inlineStr">
        <is>
          <t>2025 M01</t>
        </is>
      </c>
      <c r="BO19" s="2" t="inlineStr">
        <is>
          <t xml:space="preserve">2025 M02 </t>
        </is>
      </c>
      <c r="BP19" s="2" t="inlineStr">
        <is>
          <t>2025 M03</t>
        </is>
      </c>
      <c r="BQ19" s="2" t="inlineStr">
        <is>
          <t>2025 M04</t>
        </is>
      </c>
      <c r="BR19" s="2" t="inlineStr">
        <is>
          <t>2025 M05</t>
        </is>
      </c>
      <c r="BS19" s="2" t="inlineStr">
        <is>
          <t>2025 M06</t>
        </is>
      </c>
      <c r="BT19" s="2" t="inlineStr">
        <is>
          <t>2025 M07</t>
        </is>
      </c>
      <c r="BU19" s="2" t="inlineStr">
        <is>
          <t>2025 M08</t>
        </is>
      </c>
      <c r="BV19" s="2" t="inlineStr">
        <is>
          <t>2025 M09</t>
        </is>
      </c>
      <c r="BW19" s="2" t="inlineStr">
        <is>
          <t>2025 M10</t>
        </is>
      </c>
    </row>
    <row r="20" ht="15" customHeight="1" s="115">
      <c r="A20" s="5" t="inlineStr">
        <is>
          <t>Contract Model Score</t>
        </is>
      </c>
      <c r="B20" t="n">
        <v>131.184889157838</v>
      </c>
      <c r="C20" t="n">
        <v>136.7214619721745</v>
      </c>
      <c r="D20" t="n">
        <v>136.8194208407229</v>
      </c>
      <c r="E20" t="n">
        <v>132.5431801285816</v>
      </c>
      <c r="F20" t="n">
        <v>131.2655976278748</v>
      </c>
      <c r="G20" t="n">
        <v>131.2473386992042</v>
      </c>
      <c r="H20" t="n">
        <v>131.0009934349312</v>
      </c>
      <c r="I20" t="n">
        <v>131.4995280594622</v>
      </c>
      <c r="J20" t="n">
        <v>133.2475396663238</v>
      </c>
      <c r="K20" t="n">
        <v>133.398404858203</v>
      </c>
      <c r="L20" t="n">
        <v>134.4153567985732</v>
      </c>
      <c r="M20" t="n">
        <v>134.081896298598</v>
      </c>
      <c r="N20" t="n">
        <v>133.2062078952452</v>
      </c>
      <c r="O20" t="n">
        <v>132.6251086439565</v>
      </c>
      <c r="P20" t="n">
        <v>131.1167447123574</v>
      </c>
      <c r="Q20" t="n">
        <v>135.0010072638273</v>
      </c>
      <c r="R20" t="n">
        <v>135.4548473548588</v>
      </c>
      <c r="S20" t="n">
        <v>135.5556834761246</v>
      </c>
      <c r="T20" t="n">
        <v>135.3989613423778</v>
      </c>
      <c r="U20" t="n">
        <v>135.3541619128254</v>
      </c>
      <c r="V20" t="n">
        <v>135.51118954377</v>
      </c>
      <c r="W20" t="n">
        <v>134.6764920772093</v>
      </c>
      <c r="X20" t="n">
        <v>134.2364737025086</v>
      </c>
      <c r="Y20" t="n">
        <v>135.9752780366438</v>
      </c>
      <c r="Z20" t="n">
        <v>134.5695013526745</v>
      </c>
      <c r="AA20" t="n">
        <v>134.4280304849791</v>
      </c>
      <c r="AB20" t="n">
        <v>132.0163472108637</v>
      </c>
      <c r="AC20" t="n">
        <v>132.2998505617378</v>
      </c>
      <c r="AD20" t="n">
        <v>134.0148140775568</v>
      </c>
      <c r="AE20" t="n">
        <v>133.66104763531</v>
      </c>
      <c r="AF20" t="n">
        <v>134.3136473913628</v>
      </c>
      <c r="AG20" t="n">
        <v>135.7024189682811</v>
      </c>
      <c r="AH20" t="n">
        <v>137.3415006989118</v>
      </c>
      <c r="AI20" t="n">
        <v>137.6481080732165</v>
      </c>
      <c r="AJ20" t="n">
        <v>138.1870066462091</v>
      </c>
      <c r="AK20" t="n">
        <v>137.9966687936564</v>
      </c>
      <c r="AL20" t="n">
        <v>137.8524490009466</v>
      </c>
      <c r="AM20" t="n">
        <v>138.3423180423589</v>
      </c>
      <c r="AN20" t="n">
        <v>140.9463349776094</v>
      </c>
      <c r="AO20" t="n">
        <v>141.0317970897246</v>
      </c>
      <c r="AP20" t="n">
        <v>141.0721619294677</v>
      </c>
      <c r="AQ20" t="n">
        <v>141.6837794669069</v>
      </c>
      <c r="AR20" t="n">
        <v>141.1713360166242</v>
      </c>
      <c r="AS20" t="n">
        <v>140.557995773986</v>
      </c>
      <c r="AT20" t="n">
        <v>140.5431285316188</v>
      </c>
      <c r="AU20" t="n">
        <v>140.6516346712865</v>
      </c>
      <c r="AV20" t="n">
        <v>139.5230291724058</v>
      </c>
      <c r="AW20" t="n">
        <v>141.1792657994238</v>
      </c>
      <c r="AX20" t="n">
        <v>141.1616902750435</v>
      </c>
      <c r="AY20" t="n">
        <v>140.1282887773465</v>
      </c>
      <c r="AZ20" t="n">
        <v>138.5540083051309</v>
      </c>
      <c r="BA20" t="n">
        <v>138.6684432806736</v>
      </c>
      <c r="BB20" t="n">
        <v>139.0426467306197</v>
      </c>
      <c r="BC20" t="n">
        <v>138.5115588686835</v>
      </c>
      <c r="BD20" t="n">
        <v>137.5884696328318</v>
      </c>
      <c r="BE20" t="n">
        <v>139.3722092525029</v>
      </c>
      <c r="BF20" t="n">
        <v>140.531077492667</v>
      </c>
      <c r="BG20" t="n">
        <v>140.7201788334294</v>
      </c>
      <c r="BH20" t="n">
        <v>141.1387011190893</v>
      </c>
      <c r="BI20" t="n">
        <v>141.9990510789245</v>
      </c>
      <c r="BJ20" t="n">
        <v>141.6976222631211</v>
      </c>
      <c r="BK20" t="n">
        <v>140.6279258200325</v>
      </c>
      <c r="BL20" t="n">
        <v>139.9645247853209</v>
      </c>
      <c r="BM20" t="n">
        <v>139.2914550892371</v>
      </c>
      <c r="BN20" t="n">
        <v>139.705278253885</v>
      </c>
      <c r="BO20" t="n">
        <v>140.1230310031006</v>
      </c>
      <c r="BP20" t="n">
        <v>139.7474725068886</v>
      </c>
      <c r="BQ20" t="n">
        <v>140.3139892810706</v>
      </c>
      <c r="BR20" t="n">
        <v>140.8803661326843</v>
      </c>
      <c r="BS20" t="n">
        <v>140.750942574882</v>
      </c>
      <c r="BT20" t="n">
        <v>140.8743655249581</v>
      </c>
      <c r="BU20" t="n">
        <v>140.7330331585729</v>
      </c>
      <c r="BV20" t="n">
        <v>141.3326908828394</v>
      </c>
      <c r="BW20" t="n">
        <v>141.6955244700919</v>
      </c>
      <c r="BX20" t="n">
        <v>141.5711101607067</v>
      </c>
      <c r="BY20" t="n">
        <v>142.2760587037503</v>
      </c>
      <c r="BZ20" t="n">
        <v>143.1314123321826</v>
      </c>
    </row>
    <row r="21" ht="15" customHeight="1" s="115">
      <c r="A21" s="6" t="inlineStr">
        <is>
          <t>Model Score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</row>
    <row r="22" ht="15" customHeight="1" s="115">
      <c r="A22" s="4" t="inlineStr">
        <is>
          <t>Gross Loss Adjustments (Dealer level, high PTI, etc.)</t>
        </is>
      </c>
      <c r="B22" t="n">
        <v>-0.3279542032166489</v>
      </c>
      <c r="C22" t="n">
        <v>0.2021061815026997</v>
      </c>
      <c r="D22" t="n">
        <v>-0.1941306522697914</v>
      </c>
      <c r="E22" t="n">
        <v>0.04600203949581783</v>
      </c>
      <c r="F22" t="n">
        <v>0.2089419789993201</v>
      </c>
      <c r="G22" t="n">
        <v>0.6896707707373366</v>
      </c>
      <c r="H22" t="n">
        <v>0.5800647539052761</v>
      </c>
      <c r="I22" t="n">
        <v>0.7829946559203051</v>
      </c>
      <c r="J22" t="n">
        <v>0.8989107543281136</v>
      </c>
      <c r="K22" t="n">
        <v>0.5437379252865071</v>
      </c>
      <c r="L22" t="n">
        <v>-0.1364396611105576</v>
      </c>
      <c r="M22" t="n">
        <v>-0.2596390071607004</v>
      </c>
      <c r="N22" t="n">
        <v>-0.4396584548683791</v>
      </c>
      <c r="O22" t="n">
        <v>-1.043495660639707</v>
      </c>
      <c r="P22" t="n">
        <v>-0.9632764385895882</v>
      </c>
      <c r="Q22" t="n">
        <v>-0.422627237197986</v>
      </c>
      <c r="R22" t="n">
        <v>-0.521398998147248</v>
      </c>
      <c r="S22" t="n">
        <v>-0.2115728167032955</v>
      </c>
      <c r="T22" t="n">
        <v>-0.2161873049582255</v>
      </c>
      <c r="U22" t="n">
        <v>0.1128632704707968</v>
      </c>
      <c r="V22" t="n">
        <v>0.1719135828488163</v>
      </c>
      <c r="W22" t="n">
        <v>0.001116977966205468</v>
      </c>
      <c r="X22" t="n">
        <v>-0.1494623418226411</v>
      </c>
      <c r="Y22" t="n">
        <v>-0.02652487320287378</v>
      </c>
      <c r="Z22" t="n">
        <v>-0.1245730082837895</v>
      </c>
      <c r="AA22" t="n">
        <v>-1.038509107824524</v>
      </c>
      <c r="AB22" t="n">
        <v>-1.136836250860625</v>
      </c>
      <c r="AC22" t="n">
        <v>-1.244384434548607</v>
      </c>
      <c r="AD22" t="n">
        <v>-1.183124507130231</v>
      </c>
      <c r="AE22" t="n">
        <v>-0.936020809118304</v>
      </c>
      <c r="AF22" t="n">
        <v>-1.01531120645285</v>
      </c>
      <c r="AG22" t="n">
        <v>-0.226578640989203</v>
      </c>
      <c r="AH22" t="n">
        <v>0.3873550299375665</v>
      </c>
      <c r="AI22" t="n">
        <v>0.452329774789149</v>
      </c>
      <c r="AJ22" t="n">
        <v>0.61673918228405</v>
      </c>
      <c r="AK22" t="n">
        <v>0.4025329551652987</v>
      </c>
      <c r="AL22" t="n">
        <v>-0.09261634484576575</v>
      </c>
      <c r="AM22" t="n">
        <v>-0.1446993342701717</v>
      </c>
      <c r="AN22" t="n">
        <v>0.3570415220164307</v>
      </c>
      <c r="AO22" t="n">
        <v>-0.06077808900559489</v>
      </c>
      <c r="AP22" t="n">
        <v>0.6232054071007269</v>
      </c>
      <c r="AQ22" t="n">
        <v>1.116868974533674</v>
      </c>
      <c r="AR22" t="n">
        <v>0.9361783702494222</v>
      </c>
      <c r="AS22" t="n">
        <v>0.4432876709361437</v>
      </c>
      <c r="AT22" t="n">
        <v>1.461821182348871</v>
      </c>
      <c r="AU22" t="n">
        <v>1.602852709323543</v>
      </c>
      <c r="AV22" t="n">
        <v>1.875877333273053</v>
      </c>
      <c r="AW22" t="n">
        <v>1.36626164640856</v>
      </c>
      <c r="AX22" t="n">
        <v>1.418732666125067</v>
      </c>
      <c r="AY22" t="n">
        <v>0.9444574159269621</v>
      </c>
      <c r="AZ22" t="n">
        <v>0.6824844015588667</v>
      </c>
      <c r="BA22" t="n">
        <v>0.5955368010374116</v>
      </c>
      <c r="BB22" t="n">
        <v>0.3351149777727755</v>
      </c>
      <c r="BC22" t="n">
        <v>0.4547696854409651</v>
      </c>
      <c r="BD22" t="n">
        <v>-0.0009071082285743159</v>
      </c>
      <c r="BE22" t="n">
        <v>0.07387243612723182</v>
      </c>
      <c r="BF22" t="n">
        <v>0.4755178571817282</v>
      </c>
      <c r="BG22" t="n">
        <v>0.2393881384113001</v>
      </c>
      <c r="BH22" t="n">
        <v>0.5269469293905047</v>
      </c>
      <c r="BI22" t="n">
        <v>0.7056326107194479</v>
      </c>
      <c r="BJ22" t="n">
        <v>0.608527984725896</v>
      </c>
      <c r="BK22" t="n">
        <v>0.4689691201130017</v>
      </c>
      <c r="BL22" t="n">
        <v>0.4966973562245869</v>
      </c>
      <c r="BM22" t="n">
        <v>0.5491667119847534</v>
      </c>
      <c r="BN22" t="n">
        <v>0.9267930808994436</v>
      </c>
      <c r="BO22" t="n">
        <v>0.9739908256524643</v>
      </c>
      <c r="BP22" t="n">
        <v>1.208137191997281</v>
      </c>
      <c r="BQ22" t="n">
        <v>0.9834270138287309</v>
      </c>
      <c r="BR22" t="n">
        <v>1.415171889289553</v>
      </c>
      <c r="BS22" t="n">
        <v>1.538838715525515</v>
      </c>
      <c r="BT22" t="n">
        <v>1.165048236923013</v>
      </c>
      <c r="BU22" t="n">
        <v>2.247635098509846</v>
      </c>
      <c r="BV22" t="n">
        <v>2.727379096308709</v>
      </c>
      <c r="BW22" t="n">
        <v>2.726952699828416</v>
      </c>
      <c r="BX22" t="n">
        <v>2.840305581014064</v>
      </c>
      <c r="BY22" t="n">
        <v>3.170530485846228</v>
      </c>
      <c r="BZ22" t="n">
        <v>2.508341064419625</v>
      </c>
    </row>
    <row r="23" ht="15" customHeight="1" s="115">
      <c r="A23" s="3" t="inlineStr">
        <is>
          <t>Recovery Adjustments excluding LTV (Mileage, vehicle type, etc.)</t>
        </is>
      </c>
      <c r="B23" t="n">
        <v>-1.964315164904889</v>
      </c>
      <c r="C23" t="n">
        <v>-2.254957623784009</v>
      </c>
      <c r="D23" t="n">
        <v>-2.385637116938994</v>
      </c>
      <c r="E23" t="n">
        <v>-1.797416413524189</v>
      </c>
      <c r="F23" t="n">
        <v>-1.34771509756311</v>
      </c>
      <c r="G23" t="n">
        <v>-1.30815540800964</v>
      </c>
      <c r="H23" t="n">
        <v>-1.251254862893376</v>
      </c>
      <c r="I23" t="n">
        <v>-1.184560435394587</v>
      </c>
      <c r="J23" t="n">
        <v>-1.427307143244292</v>
      </c>
      <c r="K23" t="n">
        <v>-1.090554275472527</v>
      </c>
      <c r="L23" t="n">
        <v>-1.459500173061656</v>
      </c>
      <c r="M23" t="n">
        <v>-1.237283467276342</v>
      </c>
      <c r="N23" t="n">
        <v>-1.309006020407452</v>
      </c>
      <c r="O23" t="n">
        <v>-1.340570962753702</v>
      </c>
      <c r="P23" t="n">
        <v>-1.259626409997651</v>
      </c>
      <c r="Q23" t="n">
        <v>-0.3165766981014997</v>
      </c>
      <c r="R23" t="n">
        <v>-1.191542335560143</v>
      </c>
      <c r="S23" t="n">
        <v>-1.029334499100969</v>
      </c>
      <c r="T23" t="n">
        <v>-1.748247229967404</v>
      </c>
      <c r="U23" t="n">
        <v>-1.570212988385975</v>
      </c>
      <c r="V23" t="n">
        <v>-0.9290696952639053</v>
      </c>
      <c r="W23" t="n">
        <v>-1.384927302020969</v>
      </c>
      <c r="X23" t="n">
        <v>-1.215922309907825</v>
      </c>
      <c r="Y23" t="n">
        <v>-1.594781016204962</v>
      </c>
      <c r="Z23" t="n">
        <v>-1.750268922773756</v>
      </c>
      <c r="AA23" t="n">
        <v>-1.853288855582406</v>
      </c>
      <c r="AB23" t="n">
        <v>-1.820299994700548</v>
      </c>
      <c r="AC23" t="n">
        <v>-2.041750789379705</v>
      </c>
      <c r="AD23" t="n">
        <v>-2.029406675286623</v>
      </c>
      <c r="AE23" t="n">
        <v>-2.061887490014641</v>
      </c>
      <c r="AF23" t="n">
        <v>-2.260140419988431</v>
      </c>
      <c r="AG23" t="n">
        <v>-3.357909412500646</v>
      </c>
      <c r="AH23" t="n">
        <v>-3.271273737025467</v>
      </c>
      <c r="AI23" t="n">
        <v>-4.442272658928914</v>
      </c>
      <c r="AJ23" t="n">
        <v>-4.813576537585362</v>
      </c>
      <c r="AK23" t="n">
        <v>-4.86972538466236</v>
      </c>
      <c r="AL23" t="n">
        <v>-4.997601487313744</v>
      </c>
      <c r="AM23" t="n">
        <v>-4.685645351062476</v>
      </c>
      <c r="AN23" t="n">
        <v>-6.12019270313931</v>
      </c>
      <c r="AO23" t="n">
        <v>-5.110589718949427</v>
      </c>
      <c r="AP23" t="n">
        <v>-5.307868762486549</v>
      </c>
      <c r="AQ23" t="n">
        <v>-5.02323104435149</v>
      </c>
      <c r="AR23" t="n">
        <v>-4.715557546425401</v>
      </c>
      <c r="AS23" t="n">
        <v>-5.487954577768477</v>
      </c>
      <c r="AT23" t="n">
        <v>-4.500218128271769</v>
      </c>
      <c r="AU23" t="n">
        <v>-4.517306810089792</v>
      </c>
      <c r="AV23" t="n">
        <v>-4.815635662280016</v>
      </c>
      <c r="AW23" t="n">
        <v>-4.879762357069893</v>
      </c>
      <c r="AX23" t="n">
        <v>-5.008689915050326</v>
      </c>
      <c r="AY23" t="n">
        <v>-4.003935837302379</v>
      </c>
      <c r="AZ23" t="n">
        <v>-4.51149129502528</v>
      </c>
      <c r="BA23" t="n">
        <v>-4.232563056158369</v>
      </c>
      <c r="BB23" t="n">
        <v>-3.808791754840854</v>
      </c>
      <c r="BC23" t="n">
        <v>-4.304392712283288</v>
      </c>
      <c r="BD23" t="n">
        <v>-3.530276562106138</v>
      </c>
      <c r="BE23" t="n">
        <v>-4.270290947326714</v>
      </c>
      <c r="BF23" t="n">
        <v>-4.096182745869697</v>
      </c>
      <c r="BG23" t="n">
        <v>-4.051336279806435</v>
      </c>
      <c r="BH23" t="n">
        <v>-3.757200175678264</v>
      </c>
      <c r="BI23" t="n">
        <v>-4.182275114915171</v>
      </c>
      <c r="BJ23" t="n">
        <v>-4.427950649874305</v>
      </c>
      <c r="BK23" t="n">
        <v>-3.706048445408442</v>
      </c>
      <c r="BL23" t="n">
        <v>-3.544849487918896</v>
      </c>
      <c r="BM23" t="n">
        <v>-2.165540693049138</v>
      </c>
      <c r="BN23" t="n">
        <v>-0.7332970941850192</v>
      </c>
      <c r="BO23" t="n">
        <v>-0.8383778987285098</v>
      </c>
      <c r="BP23" t="n">
        <v>-0.7402463232613457</v>
      </c>
      <c r="BQ23" t="n">
        <v>-0.6614938017935685</v>
      </c>
      <c r="BR23" t="n">
        <v>-0.6346755617404938</v>
      </c>
      <c r="BS23" t="n">
        <v>-0.2967404270297038</v>
      </c>
      <c r="BT23" t="n">
        <v>-0.3302349725571503</v>
      </c>
      <c r="BU23" t="n">
        <v>-0.06003350698924237</v>
      </c>
      <c r="BV23" t="n">
        <v>0.137561682895722</v>
      </c>
      <c r="BW23" t="n">
        <v>0.4713071566096403</v>
      </c>
      <c r="BX23" t="n">
        <v>0.4806393577683252</v>
      </c>
      <c r="BY23" t="n">
        <v>0.694540080841989</v>
      </c>
      <c r="BZ23" t="n">
        <v>-0.007353413785892826</v>
      </c>
    </row>
    <row r="24" ht="15" customHeight="1" s="115">
      <c r="A24" s="4" t="inlineStr">
        <is>
          <t>LTV Adjustments</t>
        </is>
      </c>
      <c r="B24" t="n">
        <v>1.964315164904889</v>
      </c>
      <c r="C24" t="n">
        <v>2.254957623784009</v>
      </c>
      <c r="D24" t="n">
        <v>2.385637116938994</v>
      </c>
      <c r="E24" t="n">
        <v>1.797416413524189</v>
      </c>
      <c r="F24" t="n">
        <v>1.34771509756311</v>
      </c>
      <c r="G24" t="n">
        <v>1.30815540800964</v>
      </c>
      <c r="H24" t="n">
        <v>1.251254862893376</v>
      </c>
      <c r="I24" t="n">
        <v>1.184560435394587</v>
      </c>
      <c r="J24" t="n">
        <v>1.427307143244292</v>
      </c>
      <c r="K24" t="n">
        <v>1.090554275472527</v>
      </c>
      <c r="L24" t="n">
        <v>1.459500173061656</v>
      </c>
      <c r="M24" t="n">
        <v>1.237283467276342</v>
      </c>
      <c r="N24" t="n">
        <v>1.309006020407452</v>
      </c>
      <c r="O24" t="n">
        <v>1.340570962753702</v>
      </c>
      <c r="P24" t="n">
        <v>1.259626409997651</v>
      </c>
      <c r="Q24" t="n">
        <v>0.3165766981014997</v>
      </c>
      <c r="R24" t="n">
        <v>1.191542335560143</v>
      </c>
      <c r="S24" t="n">
        <v>1.029334499100969</v>
      </c>
      <c r="T24" t="n">
        <v>1.748247229967404</v>
      </c>
      <c r="U24" t="n">
        <v>1.570212988385975</v>
      </c>
      <c r="V24" t="n">
        <v>0.9290696952639053</v>
      </c>
      <c r="W24" t="n">
        <v>1.384927302020969</v>
      </c>
      <c r="X24" t="n">
        <v>1.215922309907825</v>
      </c>
      <c r="Y24" t="n">
        <v>1.594781016204962</v>
      </c>
      <c r="Z24" t="n">
        <v>1.750268922773756</v>
      </c>
      <c r="AA24" t="n">
        <v>1.853288855582406</v>
      </c>
      <c r="AB24" t="n">
        <v>1.820299994700548</v>
      </c>
      <c r="AC24" t="n">
        <v>2.041750789379705</v>
      </c>
      <c r="AD24" t="n">
        <v>2.029406675286623</v>
      </c>
      <c r="AE24" t="n">
        <v>2.061887490014641</v>
      </c>
      <c r="AF24" t="n">
        <v>2.260140419988431</v>
      </c>
      <c r="AG24" t="n">
        <v>3.357909412500646</v>
      </c>
      <c r="AH24" t="n">
        <v>3.271273737025467</v>
      </c>
      <c r="AI24" t="n">
        <v>4.442272658928914</v>
      </c>
      <c r="AJ24" t="n">
        <v>4.813576537585362</v>
      </c>
      <c r="AK24" t="n">
        <v>4.86972538466236</v>
      </c>
      <c r="AL24" t="n">
        <v>4.997601487313744</v>
      </c>
      <c r="AM24" t="n">
        <v>4.685645351062476</v>
      </c>
      <c r="AN24" t="n">
        <v>6.12019270313931</v>
      </c>
      <c r="AO24" t="n">
        <v>5.110589718949427</v>
      </c>
      <c r="AP24" t="n">
        <v>5.307868762486549</v>
      </c>
      <c r="AQ24" t="n">
        <v>5.02323104435149</v>
      </c>
      <c r="AR24" t="n">
        <v>4.715557546425401</v>
      </c>
      <c r="AS24" t="n">
        <v>5.487954577768477</v>
      </c>
      <c r="AT24" t="n">
        <v>4.500218128271769</v>
      </c>
      <c r="AU24" t="n">
        <v>4.517306810089792</v>
      </c>
      <c r="AV24" t="n">
        <v>4.815635662280016</v>
      </c>
      <c r="AW24" t="n">
        <v>4.879762357069893</v>
      </c>
      <c r="AX24" t="n">
        <v>5.008689915050326</v>
      </c>
      <c r="AY24" t="n">
        <v>4.003935837302379</v>
      </c>
      <c r="AZ24" t="n">
        <v>4.51149129502528</v>
      </c>
      <c r="BA24" t="n">
        <v>4.232563056158369</v>
      </c>
      <c r="BB24" t="n">
        <v>3.808791754840854</v>
      </c>
      <c r="BC24" t="n">
        <v>4.304392712283288</v>
      </c>
      <c r="BD24" t="n">
        <v>3.530276562106138</v>
      </c>
      <c r="BE24" t="n">
        <v>4.270290947326714</v>
      </c>
      <c r="BF24" t="n">
        <v>4.096182745869697</v>
      </c>
      <c r="BG24" t="n">
        <v>4.051336279806435</v>
      </c>
      <c r="BH24" t="n">
        <v>3.757200175678264</v>
      </c>
      <c r="BI24" t="n">
        <v>4.182275114915171</v>
      </c>
      <c r="BJ24" t="n">
        <v>4.427950649874305</v>
      </c>
      <c r="BK24" t="n">
        <v>3.706048445408442</v>
      </c>
      <c r="BL24" t="n">
        <v>3.544849487918896</v>
      </c>
      <c r="BM24" t="n">
        <v>2.165540693049138</v>
      </c>
      <c r="BN24" t="n">
        <v>0.7332970941850192</v>
      </c>
      <c r="BO24" t="n">
        <v>0.8383778987285098</v>
      </c>
      <c r="BP24" t="n">
        <v>0.7402463232613457</v>
      </c>
      <c r="BQ24" t="n">
        <v>0.6614938017935685</v>
      </c>
      <c r="BR24" t="n">
        <v>0.6346755617404938</v>
      </c>
      <c r="BS24" t="n">
        <v>0.2967404270297038</v>
      </c>
      <c r="BT24" t="n">
        <v>0.3302349725571503</v>
      </c>
      <c r="BU24" t="n">
        <v>0.06003350698924237</v>
      </c>
      <c r="BV24" t="n">
        <v>-0.137561682895722</v>
      </c>
      <c r="BW24" t="n">
        <v>-0.4713071566096403</v>
      </c>
      <c r="BX24" t="n">
        <v>-0.4806393577683252</v>
      </c>
      <c r="BY24" t="n">
        <v>-0.694540080841989</v>
      </c>
      <c r="BZ24" t="n">
        <v>0.007353413785892826</v>
      </c>
    </row>
    <row r="25" ht="15" customHeight="1" s="115">
      <c r="A25" s="3" t="inlineStr">
        <is>
          <t>RAGU Score</t>
        </is>
      </c>
      <c r="B25" t="n">
        <v>130.8569349546214</v>
      </c>
      <c r="C25" t="n">
        <v>136.9235681536772</v>
      </c>
      <c r="D25" t="n">
        <v>136.6252901884531</v>
      </c>
      <c r="E25" t="n">
        <v>132.5891821680774</v>
      </c>
      <c r="F25" t="n">
        <v>131.4745396068741</v>
      </c>
      <c r="G25" t="n">
        <v>131.9370094699416</v>
      </c>
      <c r="H25" t="n">
        <v>131.5810581888365</v>
      </c>
      <c r="I25" t="n">
        <v>132.2825227153825</v>
      </c>
      <c r="J25" t="n">
        <v>134.1464504206519</v>
      </c>
      <c r="K25" t="n">
        <v>133.9421427834895</v>
      </c>
      <c r="L25" t="n">
        <v>134.2789171374626</v>
      </c>
      <c r="M25" t="n">
        <v>133.8222572914373</v>
      </c>
      <c r="N25" t="n">
        <v>132.7665494403768</v>
      </c>
      <c r="O25" t="n">
        <v>131.5816129833168</v>
      </c>
      <c r="P25" t="n">
        <v>130.1534682737678</v>
      </c>
      <c r="Q25" t="n">
        <v>134.5783800266293</v>
      </c>
      <c r="R25" t="n">
        <v>134.9334483567116</v>
      </c>
      <c r="S25" t="n">
        <v>135.3441106594213</v>
      </c>
      <c r="T25" t="n">
        <v>135.1827740374196</v>
      </c>
      <c r="U25" t="n">
        <v>135.4670251832962</v>
      </c>
      <c r="V25" t="n">
        <v>135.6831031266188</v>
      </c>
      <c r="W25" t="n">
        <v>134.6776090551755</v>
      </c>
      <c r="X25" t="n">
        <v>134.0870113606859</v>
      </c>
      <c r="Y25" t="n">
        <v>135.948753163441</v>
      </c>
      <c r="Z25" t="n">
        <v>134.4449283443907</v>
      </c>
      <c r="AA25" t="n">
        <v>133.3895213771546</v>
      </c>
      <c r="AB25" t="n">
        <v>130.879510960003</v>
      </c>
      <c r="AC25" t="n">
        <v>131.0554661271892</v>
      </c>
      <c r="AD25" t="n">
        <v>132.8316895704265</v>
      </c>
      <c r="AE25" t="n">
        <v>132.7250268261917</v>
      </c>
      <c r="AF25" t="n">
        <v>133.2983361849099</v>
      </c>
      <c r="AG25" t="n">
        <v>135.4758403272919</v>
      </c>
      <c r="AH25" t="n">
        <v>137.7288557288494</v>
      </c>
      <c r="AI25" t="n">
        <v>138.1004378480056</v>
      </c>
      <c r="AJ25" t="n">
        <v>138.8037458284931</v>
      </c>
      <c r="AK25" t="n">
        <v>138.3992017488217</v>
      </c>
      <c r="AL25" t="n">
        <v>137.7598326561009</v>
      </c>
      <c r="AM25" t="n">
        <v>138.1976187080887</v>
      </c>
      <c r="AN25" t="n">
        <v>141.3033764996258</v>
      </c>
      <c r="AO25" t="n">
        <v>140.9710190007191</v>
      </c>
      <c r="AP25" t="n">
        <v>141.6953673365684</v>
      </c>
      <c r="AQ25" t="n">
        <v>142.8006484414406</v>
      </c>
      <c r="AR25" t="n">
        <v>142.1075143868736</v>
      </c>
      <c r="AS25" t="n">
        <v>141.0012834449221</v>
      </c>
      <c r="AT25" t="n">
        <v>142.0049497139676</v>
      </c>
      <c r="AU25" t="n">
        <v>142.25448738061</v>
      </c>
      <c r="AV25" t="n">
        <v>141.3989065056788</v>
      </c>
      <c r="AW25" t="n">
        <v>142.5455274458324</v>
      </c>
      <c r="AX25" t="n">
        <v>142.5804229411686</v>
      </c>
      <c r="AY25" t="n">
        <v>141.0727461932735</v>
      </c>
      <c r="AZ25" t="n">
        <v>139.2364927066898</v>
      </c>
      <c r="BA25" t="n">
        <v>139.263980081711</v>
      </c>
      <c r="BB25" t="n">
        <v>139.3777617083925</v>
      </c>
      <c r="BC25" t="n">
        <v>138.9663285541244</v>
      </c>
      <c r="BD25" t="n">
        <v>137.5875625246032</v>
      </c>
      <c r="BE25" t="n">
        <v>139.4460816886301</v>
      </c>
      <c r="BF25" t="n">
        <v>141.0065953498487</v>
      </c>
      <c r="BG25" t="n">
        <v>140.9595669718407</v>
      </c>
      <c r="BH25" t="n">
        <v>141.6656480484798</v>
      </c>
      <c r="BI25" t="n">
        <v>142.7046836896439</v>
      </c>
      <c r="BJ25" t="n">
        <v>142.306150247847</v>
      </c>
      <c r="BK25" t="n">
        <v>141.0968949401455</v>
      </c>
      <c r="BL25" t="n">
        <v>140.4612221415455</v>
      </c>
      <c r="BM25" t="n">
        <v>139.8406218012219</v>
      </c>
      <c r="BN25" t="n">
        <v>140.6320713347845</v>
      </c>
      <c r="BO25" t="n">
        <v>141.097021828753</v>
      </c>
      <c r="BP25" t="n">
        <v>140.9556096988859</v>
      </c>
      <c r="BQ25" t="n">
        <v>141.2974162948993</v>
      </c>
      <c r="BR25" t="n">
        <v>142.2955380219738</v>
      </c>
      <c r="BS25" t="n">
        <v>142.2897812904075</v>
      </c>
      <c r="BT25" t="n">
        <v>142.0394137618811</v>
      </c>
      <c r="BU25" t="n">
        <v>142.9806682570827</v>
      </c>
      <c r="BV25" t="n">
        <v>144.0600699791481</v>
      </c>
      <c r="BW25" t="n">
        <v>144.4224771699203</v>
      </c>
      <c r="BX25" t="n">
        <v>144.4114157417208</v>
      </c>
      <c r="BY25" t="n">
        <v>145.4465891895965</v>
      </c>
      <c r="BZ25" t="n">
        <v>145.6397533966022</v>
      </c>
    </row>
    <row r="26" ht="15" customHeight="1" s="115">
      <c r="A26" s="5" t="inlineStr">
        <is>
          <t>LTV</t>
        </is>
      </c>
      <c r="B26" t="n">
        <v>2.150590397836872</v>
      </c>
      <c r="C26" t="n">
        <v>2.207601387907891</v>
      </c>
      <c r="D26" t="n">
        <v>2.109702937781504</v>
      </c>
      <c r="E26" t="n">
        <v>2.08756589216504</v>
      </c>
      <c r="F26" t="n">
        <v>2.019409092395228</v>
      </c>
      <c r="G26" t="n">
        <v>1.918520410046189</v>
      </c>
      <c r="H26" t="n">
        <v>1.917476129757737</v>
      </c>
      <c r="I26" t="n">
        <v>1.87421132497013</v>
      </c>
      <c r="J26" t="n">
        <v>2.000817435252102</v>
      </c>
      <c r="K26" t="n">
        <v>1.937593433753399</v>
      </c>
      <c r="L26" t="n">
        <v>1.854244531480121</v>
      </c>
      <c r="M26" t="n">
        <v>1.918693619874072</v>
      </c>
      <c r="N26" t="n">
        <v>1.937802245776955</v>
      </c>
      <c r="O26" t="n">
        <v>2.042744446129707</v>
      </c>
      <c r="P26" t="n">
        <v>2.173749810905288</v>
      </c>
      <c r="Q26" t="n">
        <v>1.836193205727311</v>
      </c>
      <c r="R26" t="n">
        <v>1.860985689689779</v>
      </c>
      <c r="S26" t="n">
        <v>1.779102772537632</v>
      </c>
      <c r="T26" t="n">
        <v>1.661822566130578</v>
      </c>
      <c r="U26" t="n">
        <v>1.560782629784427</v>
      </c>
      <c r="V26" t="n">
        <v>1.461541921813634</v>
      </c>
      <c r="W26" t="n">
        <v>1.510550644521487</v>
      </c>
      <c r="X26" t="n">
        <v>1.551705229308542</v>
      </c>
      <c r="Y26" t="n">
        <v>1.610811988144112</v>
      </c>
      <c r="Z26" t="n">
        <v>1.695937009235952</v>
      </c>
      <c r="AA26" t="n">
        <v>1.674770033791464</v>
      </c>
      <c r="AB26" t="n">
        <v>1.679594697199168</v>
      </c>
      <c r="AC26" t="n">
        <v>1.707767913146256</v>
      </c>
      <c r="AD26" t="n">
        <v>1.641818245660492</v>
      </c>
      <c r="AE26" t="n">
        <v>1.672707550907558</v>
      </c>
      <c r="AF26" t="n">
        <v>1.655978011960071</v>
      </c>
      <c r="AG26" t="n">
        <v>1.665526027729403</v>
      </c>
      <c r="AH26" t="n">
        <v>1.690407569782894</v>
      </c>
      <c r="AI26" t="n">
        <v>1.631866069154425</v>
      </c>
      <c r="AJ26" t="n">
        <v>1.717934409218331</v>
      </c>
      <c r="AK26" t="n">
        <v>1.671948515013027</v>
      </c>
      <c r="AL26" t="n">
        <v>1.671270491833585</v>
      </c>
      <c r="AM26" t="n">
        <v>1.694615679663172</v>
      </c>
      <c r="AN26" t="n">
        <v>1.642948713118668</v>
      </c>
      <c r="AO26" t="n">
        <v>1.71911140265217</v>
      </c>
      <c r="AP26" t="n">
        <v>1.714593125295969</v>
      </c>
      <c r="AQ26" t="n">
        <v>1.649220726709983</v>
      </c>
      <c r="AR26" t="n">
        <v>1.825808430375151</v>
      </c>
      <c r="AS26" t="n">
        <v>1.913727814246199</v>
      </c>
      <c r="AT26" t="n">
        <v>1.568040814662755</v>
      </c>
      <c r="AU26" t="n">
        <v>1.41192827438429</v>
      </c>
      <c r="AV26" t="n">
        <v>1.401029604529374</v>
      </c>
      <c r="AW26" t="n">
        <v>1.478356867144918</v>
      </c>
      <c r="AX26" t="n">
        <v>1.564197921609753</v>
      </c>
      <c r="AY26" t="n">
        <v>1.5003223612819</v>
      </c>
      <c r="AZ26" t="n">
        <v>1.432701233041838</v>
      </c>
      <c r="BA26" t="n">
        <v>1.450052749453892</v>
      </c>
      <c r="BB26" t="n">
        <v>1.482909710060899</v>
      </c>
      <c r="BC26" t="n">
        <v>1.469437266406281</v>
      </c>
      <c r="BD26" t="n">
        <v>1.484687606030322</v>
      </c>
      <c r="BE26" t="n">
        <v>1.486475211500246</v>
      </c>
      <c r="BF26" t="n">
        <v>1.47336059700768</v>
      </c>
      <c r="BG26" t="n">
        <v>1.4668326258304</v>
      </c>
      <c r="BH26" t="n">
        <v>1.478488994166017</v>
      </c>
      <c r="BI26" t="n">
        <v>1.48580894189786</v>
      </c>
      <c r="BJ26" t="n">
        <v>1.505147141873549</v>
      </c>
      <c r="BK26" t="n">
        <v>1.516513556637588</v>
      </c>
      <c r="BL26" t="n">
        <v>1.474793719352966</v>
      </c>
      <c r="BM26" t="n">
        <v>1.465456620309154</v>
      </c>
      <c r="BN26" t="n">
        <v>1.489711943353702</v>
      </c>
      <c r="BO26" t="n">
        <v>1.492843175996175</v>
      </c>
      <c r="BP26" t="n">
        <v>1.477336854319343</v>
      </c>
      <c r="BQ26" t="n">
        <v>1.448736648308013</v>
      </c>
      <c r="BR26" t="n">
        <v>1.440808712123999</v>
      </c>
      <c r="BS26" t="n">
        <v>1.414833862657797</v>
      </c>
      <c r="BT26" t="n">
        <v>1.438033828670258</v>
      </c>
      <c r="BU26" t="n">
        <v>1.432114095021245</v>
      </c>
      <c r="BV26" t="n">
        <v>1.416479808071758</v>
      </c>
      <c r="BW26" t="n">
        <v>1.413577266064469</v>
      </c>
      <c r="BX26" t="n">
        <v>1.412653016855614</v>
      </c>
      <c r="BY26" t="n">
        <v>1.450646808828439</v>
      </c>
      <c r="BZ26" t="n">
        <v>1.424775433150481</v>
      </c>
    </row>
    <row r="27" ht="15" customHeight="1" s="115"/>
    <row r="28" ht="15" customHeight="1" s="115">
      <c r="A28" s="1" t="inlineStr">
        <is>
          <t>STG</t>
        </is>
      </c>
      <c r="B28" s="2" t="n">
        <v>2016</v>
      </c>
      <c r="C28" s="2" t="n">
        <v>2017</v>
      </c>
      <c r="D28" s="2" t="n">
        <v>2018</v>
      </c>
      <c r="E28" s="2" t="n">
        <v>2019</v>
      </c>
      <c r="F28" s="2" t="inlineStr">
        <is>
          <t>2020 M01</t>
        </is>
      </c>
      <c r="G28" s="2" t="inlineStr">
        <is>
          <t>2020 M02</t>
        </is>
      </c>
      <c r="H28" s="2" t="inlineStr">
        <is>
          <t>2020 M03</t>
        </is>
      </c>
      <c r="I28" s="2" t="inlineStr">
        <is>
          <t>2020 M04</t>
        </is>
      </c>
      <c r="J28" s="2" t="inlineStr">
        <is>
          <t>2020 M05</t>
        </is>
      </c>
      <c r="K28" s="2" t="inlineStr">
        <is>
          <t>2020 M06</t>
        </is>
      </c>
      <c r="L28" s="2" t="inlineStr">
        <is>
          <t>2020 M07</t>
        </is>
      </c>
      <c r="M28" s="2" t="inlineStr">
        <is>
          <t>2020 M08</t>
        </is>
      </c>
      <c r="N28" s="2" t="inlineStr">
        <is>
          <t>2020 M09</t>
        </is>
      </c>
      <c r="O28" s="2" t="inlineStr">
        <is>
          <t>2020 M10</t>
        </is>
      </c>
      <c r="P28" s="2" t="inlineStr">
        <is>
          <t>2020 M11</t>
        </is>
      </c>
      <c r="Q28" s="2" t="inlineStr">
        <is>
          <t>2020 M12</t>
        </is>
      </c>
      <c r="R28" s="2" t="inlineStr">
        <is>
          <t>2021 M01</t>
        </is>
      </c>
      <c r="S28" s="2" t="inlineStr">
        <is>
          <t>2021 M02</t>
        </is>
      </c>
      <c r="T28" s="2" t="inlineStr">
        <is>
          <t>2021 M03</t>
        </is>
      </c>
      <c r="U28" s="2" t="inlineStr">
        <is>
          <t>2021 M04</t>
        </is>
      </c>
      <c r="V28" s="2" t="inlineStr">
        <is>
          <t>2021 M05</t>
        </is>
      </c>
      <c r="W28" s="2" t="inlineStr">
        <is>
          <t>2021 M06</t>
        </is>
      </c>
      <c r="X28" s="2" t="inlineStr">
        <is>
          <t>2021 M07</t>
        </is>
      </c>
      <c r="Y28" s="2" t="inlineStr">
        <is>
          <t>2021 M08</t>
        </is>
      </c>
      <c r="Z28" s="2" t="inlineStr">
        <is>
          <t>2021 M09</t>
        </is>
      </c>
      <c r="AA28" s="2" t="inlineStr">
        <is>
          <t>2021 M10</t>
        </is>
      </c>
      <c r="AB28" s="2" t="inlineStr">
        <is>
          <t>2021 M11</t>
        </is>
      </c>
      <c r="AC28" s="2" t="inlineStr">
        <is>
          <t>2021 M12</t>
        </is>
      </c>
      <c r="AD28" s="2" t="inlineStr">
        <is>
          <t>2022 M01</t>
        </is>
      </c>
      <c r="AE28" s="2" t="inlineStr">
        <is>
          <t>2022 M02</t>
        </is>
      </c>
      <c r="AF28" s="2" t="inlineStr">
        <is>
          <t>2022 M03</t>
        </is>
      </c>
      <c r="AG28" s="2" t="inlineStr">
        <is>
          <t>2022 M04</t>
        </is>
      </c>
      <c r="AH28" s="2" t="inlineStr">
        <is>
          <t>2022 M05</t>
        </is>
      </c>
      <c r="AI28" s="2" t="inlineStr">
        <is>
          <t>2022 M06</t>
        </is>
      </c>
      <c r="AJ28" s="2" t="inlineStr">
        <is>
          <t>2022 M07</t>
        </is>
      </c>
      <c r="AK28" s="2" t="inlineStr">
        <is>
          <t>2022 M08</t>
        </is>
      </c>
      <c r="AL28" s="2" t="inlineStr">
        <is>
          <t>2022 M09</t>
        </is>
      </c>
      <c r="AM28" s="2" t="inlineStr">
        <is>
          <t>2022 M10</t>
        </is>
      </c>
      <c r="AN28" s="2" t="inlineStr">
        <is>
          <t>2022 M11</t>
        </is>
      </c>
      <c r="AO28" s="2" t="inlineStr">
        <is>
          <t>2022 M12</t>
        </is>
      </c>
      <c r="AP28" s="2" t="inlineStr">
        <is>
          <t>2023 M01</t>
        </is>
      </c>
      <c r="AQ28" s="2" t="inlineStr">
        <is>
          <t>2023 M02</t>
        </is>
      </c>
      <c r="AR28" s="2" t="inlineStr">
        <is>
          <t>2023 M03</t>
        </is>
      </c>
      <c r="AS28" s="2" t="inlineStr">
        <is>
          <t>2023 M04</t>
        </is>
      </c>
      <c r="AT28" s="2" t="inlineStr">
        <is>
          <t>2023 M05</t>
        </is>
      </c>
      <c r="AU28" s="2" t="inlineStr">
        <is>
          <t>2023 M06</t>
        </is>
      </c>
      <c r="AV28" s="2" t="inlineStr">
        <is>
          <t>2023 M07</t>
        </is>
      </c>
      <c r="AW28" s="2" t="inlineStr">
        <is>
          <t>2023 M08</t>
        </is>
      </c>
      <c r="AX28" s="2" t="inlineStr">
        <is>
          <t>2023 M09</t>
        </is>
      </c>
      <c r="AY28" s="2" t="inlineStr">
        <is>
          <t>2023 M10</t>
        </is>
      </c>
      <c r="AZ28" s="2" t="inlineStr">
        <is>
          <t>2023 M11</t>
        </is>
      </c>
      <c r="BA28" s="2" t="inlineStr">
        <is>
          <t>2023 M12</t>
        </is>
      </c>
      <c r="BB28" s="2" t="inlineStr">
        <is>
          <t>2024 M01</t>
        </is>
      </c>
      <c r="BC28" s="2" t="inlineStr">
        <is>
          <t>2024 M02</t>
        </is>
      </c>
      <c r="BD28" s="2" t="inlineStr">
        <is>
          <t>2024 M03</t>
        </is>
      </c>
      <c r="BE28" s="2" t="inlineStr">
        <is>
          <t>2024 M04</t>
        </is>
      </c>
      <c r="BF28" s="2" t="inlineStr">
        <is>
          <t>2024 M05</t>
        </is>
      </c>
      <c r="BG28" s="2" t="inlineStr">
        <is>
          <t>2024 M06</t>
        </is>
      </c>
      <c r="BH28" s="2" t="inlineStr">
        <is>
          <t>2024 M07</t>
        </is>
      </c>
      <c r="BI28" s="2" t="inlineStr">
        <is>
          <t>2024 M08</t>
        </is>
      </c>
      <c r="BJ28" s="2" t="inlineStr">
        <is>
          <t>2024 M09</t>
        </is>
      </c>
      <c r="BK28" s="2" t="inlineStr">
        <is>
          <t>2024 M10</t>
        </is>
      </c>
      <c r="BL28" s="2" t="inlineStr">
        <is>
          <t>2024 M11</t>
        </is>
      </c>
      <c r="BM28" s="2" t="inlineStr">
        <is>
          <t>2024 M12</t>
        </is>
      </c>
      <c r="BN28" s="2" t="inlineStr">
        <is>
          <t>2025 M01</t>
        </is>
      </c>
      <c r="BO28" s="2" t="inlineStr">
        <is>
          <t xml:space="preserve">2025 M02 </t>
        </is>
      </c>
      <c r="BP28" s="2" t="inlineStr">
        <is>
          <t>2025 M03</t>
        </is>
      </c>
      <c r="BQ28" s="2" t="inlineStr">
        <is>
          <t>2025 M04</t>
        </is>
      </c>
      <c r="BR28" s="2" t="inlineStr">
        <is>
          <t>2025 M05</t>
        </is>
      </c>
      <c r="BS28" s="2" t="inlineStr">
        <is>
          <t>2025 M06</t>
        </is>
      </c>
      <c r="BT28" s="2" t="inlineStr">
        <is>
          <t>2025 M07</t>
        </is>
      </c>
      <c r="BU28" s="2" t="inlineStr">
        <is>
          <t>2025 M08</t>
        </is>
      </c>
      <c r="BV28" s="2" t="inlineStr">
        <is>
          <t>2025 M09</t>
        </is>
      </c>
      <c r="BW28" s="2" t="inlineStr">
        <is>
          <t>2025 M10</t>
        </is>
      </c>
    </row>
    <row r="29" ht="15" customHeight="1" s="115">
      <c r="A29" s="5" t="inlineStr">
        <is>
          <t>Contract Model Score</t>
        </is>
      </c>
      <c r="B29" t="n">
        <v>129.639548537972</v>
      </c>
      <c r="C29" t="n">
        <v>131.654098995806</v>
      </c>
      <c r="D29" t="n">
        <v>131.5696405112681</v>
      </c>
      <c r="E29" t="n">
        <v>129.5060817692462</v>
      </c>
      <c r="F29" t="n">
        <v>129.7843869494103</v>
      </c>
      <c r="G29" t="n">
        <v>130.3193979990354</v>
      </c>
      <c r="H29" t="n">
        <v>130.0181296614089</v>
      </c>
      <c r="I29" t="n">
        <v>130.2818579047114</v>
      </c>
      <c r="J29" t="n">
        <v>133.5524228107509</v>
      </c>
      <c r="K29" t="n">
        <v>134.9073961178536</v>
      </c>
      <c r="L29" t="n">
        <v>135.2445866866463</v>
      </c>
      <c r="M29" t="n">
        <v>135.8577318462194</v>
      </c>
      <c r="N29" t="n">
        <v>135.5006905849425</v>
      </c>
      <c r="O29" t="n">
        <v>135.7513247354568</v>
      </c>
      <c r="P29" t="n">
        <v>135.1395820904378</v>
      </c>
      <c r="Q29" t="n">
        <v>134.8959363708329</v>
      </c>
      <c r="R29" t="n">
        <v>135.5641473098218</v>
      </c>
      <c r="S29" t="n">
        <v>135.0533183629655</v>
      </c>
      <c r="T29" t="n">
        <v>135.2662294284613</v>
      </c>
      <c r="U29" t="n">
        <v>135.395705576946</v>
      </c>
      <c r="V29" t="n">
        <v>135.3616525533025</v>
      </c>
      <c r="W29" t="n">
        <v>135.7413103911784</v>
      </c>
      <c r="X29" t="n">
        <v>135.0384326269536</v>
      </c>
      <c r="Y29" t="n">
        <v>135.7340472257332</v>
      </c>
      <c r="Z29" t="n">
        <v>134.3391484099211</v>
      </c>
      <c r="AA29" t="n">
        <v>134.6826143290619</v>
      </c>
      <c r="AB29" t="n">
        <v>132.9452096860683</v>
      </c>
      <c r="AC29" t="n">
        <v>133.3444063281678</v>
      </c>
      <c r="AD29" t="n">
        <v>134.28640076604</v>
      </c>
      <c r="AE29" t="n">
        <v>134.7028377532983</v>
      </c>
      <c r="AF29" t="n">
        <v>134.611304513717</v>
      </c>
      <c r="AG29" t="n">
        <v>136.2690832796752</v>
      </c>
      <c r="AH29" t="n">
        <v>136.7331817657254</v>
      </c>
      <c r="AI29" t="n">
        <v>137.23263245384</v>
      </c>
      <c r="AJ29" t="n">
        <v>136.9571565632423</v>
      </c>
      <c r="AK29" t="n">
        <v>137.6334519819593</v>
      </c>
      <c r="AL29" t="n">
        <v>137.2392806726929</v>
      </c>
      <c r="AM29" t="n">
        <v>137.7362860689217</v>
      </c>
      <c r="AN29" t="n">
        <v>139.0585209131781</v>
      </c>
      <c r="AO29" t="n">
        <v>138.4460380200636</v>
      </c>
      <c r="AP29" t="n">
        <v>139.9678671866428</v>
      </c>
      <c r="AQ29" t="n">
        <v>138.7537581368566</v>
      </c>
      <c r="AR29" t="n">
        <v>139.1114824966616</v>
      </c>
      <c r="AS29" t="n">
        <v>137.4188281876969</v>
      </c>
      <c r="AT29" t="n">
        <v>138.1730085741157</v>
      </c>
      <c r="AU29" t="n">
        <v>137.5106289642191</v>
      </c>
      <c r="AV29" t="n">
        <v>137.6828852111047</v>
      </c>
      <c r="AW29" t="n">
        <v>138.4260949552296</v>
      </c>
      <c r="AX29" t="n">
        <v>139.2348069772675</v>
      </c>
      <c r="AY29" t="n">
        <v>138.3625591434542</v>
      </c>
      <c r="AZ29" t="n">
        <v>137.3416131718508</v>
      </c>
      <c r="BA29" t="n">
        <v>136.9045475990521</v>
      </c>
      <c r="BB29" t="n">
        <v>137.3485952472713</v>
      </c>
      <c r="BC29" t="n">
        <v>136.8505947544353</v>
      </c>
      <c r="BD29" t="n">
        <v>136.4385176734848</v>
      </c>
      <c r="BE29" t="n">
        <v>137.1696221779438</v>
      </c>
      <c r="BF29" t="n">
        <v>137.4454458367376</v>
      </c>
      <c r="BG29" t="n">
        <v>137.8501760271641</v>
      </c>
      <c r="BH29" t="n">
        <v>138.1237824897241</v>
      </c>
      <c r="BI29" t="n">
        <v>138.8832445188904</v>
      </c>
      <c r="BJ29" t="n">
        <v>138.7835541071947</v>
      </c>
      <c r="BK29" t="n">
        <v>137.9691671250357</v>
      </c>
      <c r="BL29" t="n">
        <v>136.8270697262273</v>
      </c>
      <c r="BM29" t="n">
        <v>136.7456570885896</v>
      </c>
      <c r="BN29" t="n">
        <v>136.7577460140186</v>
      </c>
      <c r="BO29" t="n">
        <v>136.5240054045448</v>
      </c>
      <c r="BP29" t="n">
        <v>136.697792269022</v>
      </c>
      <c r="BQ29" t="n">
        <v>137.4979279082825</v>
      </c>
      <c r="BR29" t="n">
        <v>137.9311843996159</v>
      </c>
      <c r="BS29" t="n">
        <v>138.5377957505842</v>
      </c>
      <c r="BT29" t="n">
        <v>138.6014086121793</v>
      </c>
      <c r="BU29" t="n">
        <v>138.3412108092845</v>
      </c>
      <c r="BV29" t="n">
        <v>139.0805536515429</v>
      </c>
      <c r="BW29" t="n">
        <v>139.192157683341</v>
      </c>
      <c r="BX29" t="n">
        <v>139.6075513956118</v>
      </c>
      <c r="BY29" t="n">
        <v>141.459947904726</v>
      </c>
      <c r="BZ29" t="n">
        <v>141.4108322446811</v>
      </c>
    </row>
    <row r="30" ht="15" customHeight="1" s="115">
      <c r="A30" s="6" t="inlineStr">
        <is>
          <t>Model Score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 ht="15" customHeight="1" s="115">
      <c r="A31" s="4" t="inlineStr">
        <is>
          <t>Gross Loss Adjustments (Dealer level, high PTI, etc.)</t>
        </is>
      </c>
      <c r="B31" t="n">
        <v>0.5516878524528579</v>
      </c>
      <c r="C31" t="n">
        <v>0.5374568766332288</v>
      </c>
      <c r="D31" t="n">
        <v>0.4728333621430068</v>
      </c>
      <c r="E31" t="n">
        <v>0.2629982618586268</v>
      </c>
      <c r="F31" t="n">
        <v>-0.1400632674834412</v>
      </c>
      <c r="G31" t="n">
        <v>-0.3969684638543356</v>
      </c>
      <c r="H31" t="n">
        <v>-0.0547556137055949</v>
      </c>
      <c r="I31" t="n">
        <v>-0.3904014759576739</v>
      </c>
      <c r="J31" t="n">
        <v>-0.2567041293931425</v>
      </c>
      <c r="K31" t="n">
        <v>-0.1009074930699683</v>
      </c>
      <c r="L31" t="n">
        <v>0.03708553755154753</v>
      </c>
      <c r="M31" t="n">
        <v>0.1403027800416226</v>
      </c>
      <c r="N31" t="n">
        <v>0.200531761793826</v>
      </c>
      <c r="O31" t="n">
        <v>0.1501800876509378</v>
      </c>
      <c r="P31" t="n">
        <v>-0.05817866949331574</v>
      </c>
      <c r="Q31" t="n">
        <v>0.01870321234363814</v>
      </c>
      <c r="R31" t="n">
        <v>0.849071773801171</v>
      </c>
      <c r="S31" t="n">
        <v>0.9407646504382399</v>
      </c>
      <c r="T31" t="n">
        <v>0.8770251868967875</v>
      </c>
      <c r="U31" t="n">
        <v>1.064556305997485</v>
      </c>
      <c r="V31" t="n">
        <v>1.12465001667087</v>
      </c>
      <c r="W31" t="n">
        <v>0.940813306004884</v>
      </c>
      <c r="X31" t="n">
        <v>0.7013691407135809</v>
      </c>
      <c r="Y31" t="n">
        <v>0.8162152038816828</v>
      </c>
      <c r="Z31" t="n">
        <v>0.7035025601747407</v>
      </c>
      <c r="AA31" t="n">
        <v>0.3525275946419981</v>
      </c>
      <c r="AB31" t="n">
        <v>0.5250736148913973</v>
      </c>
      <c r="AC31" t="n">
        <v>0.4138791701706737</v>
      </c>
      <c r="AD31" t="n">
        <v>-0.285845878501334</v>
      </c>
      <c r="AE31" t="n">
        <v>-0.4299315548923062</v>
      </c>
      <c r="AF31" t="n">
        <v>-0.0170803943494775</v>
      </c>
      <c r="AG31" t="n">
        <v>0.02254804954958445</v>
      </c>
      <c r="AH31" t="n">
        <v>-0.0746160063028185</v>
      </c>
      <c r="AI31" t="n">
        <v>-0.005033204095298061</v>
      </c>
      <c r="AJ31" t="n">
        <v>-0.07883158104317545</v>
      </c>
      <c r="AK31" t="n">
        <v>-0.666032095285118</v>
      </c>
      <c r="AL31" t="n">
        <v>-0.5310841304054463</v>
      </c>
      <c r="AM31" t="n">
        <v>-0.08097606424038872</v>
      </c>
      <c r="AN31" t="n">
        <v>0.1927257571655048</v>
      </c>
      <c r="AO31" t="n">
        <v>0.2853091186555048</v>
      </c>
      <c r="AP31" t="n">
        <v>-0.5258666786344008</v>
      </c>
      <c r="AQ31" t="n">
        <v>-0.1405815439337061</v>
      </c>
      <c r="AR31" t="n">
        <v>0.6149757016747515</v>
      </c>
      <c r="AS31" t="n">
        <v>-0.6892546068020806</v>
      </c>
      <c r="AT31" t="n">
        <v>0.2599130475654761</v>
      </c>
      <c r="AU31" t="n">
        <v>0.1589528471110384</v>
      </c>
      <c r="AV31" t="n">
        <v>0.5595434779286563</v>
      </c>
      <c r="AW31" t="n">
        <v>1.253005295620198</v>
      </c>
      <c r="AX31" t="n">
        <v>1.333422378250134</v>
      </c>
      <c r="AY31" t="n">
        <v>0.9084147148804789</v>
      </c>
      <c r="AZ31" t="n">
        <v>0.6148996279121945</v>
      </c>
      <c r="BA31" t="n">
        <v>0.918810092455999</v>
      </c>
      <c r="BB31" t="n">
        <v>1.04771102080403</v>
      </c>
      <c r="BC31" t="n">
        <v>1.042270436512695</v>
      </c>
      <c r="BD31" t="n">
        <v>1.186022860964556</v>
      </c>
      <c r="BE31" t="n">
        <v>1.735982515853493</v>
      </c>
      <c r="BF31" t="n">
        <v>1.887161002992713</v>
      </c>
      <c r="BG31" t="n">
        <v>2.035668768876945</v>
      </c>
      <c r="BH31" t="n">
        <v>2.190853472082438</v>
      </c>
      <c r="BI31" t="n">
        <v>1.988285535245069</v>
      </c>
      <c r="BJ31" t="n">
        <v>2.30831322218134</v>
      </c>
      <c r="BK31" t="n">
        <v>1.950480434772317</v>
      </c>
      <c r="BL31" t="n">
        <v>2.115949960005992</v>
      </c>
      <c r="BM31" t="n">
        <v>2.382518272171183</v>
      </c>
      <c r="BN31" t="n">
        <v>2.30349329843304</v>
      </c>
      <c r="BO31" t="n">
        <v>2.28916597584481</v>
      </c>
      <c r="BP31" t="n">
        <v>2.280595786608956</v>
      </c>
      <c r="BQ31" t="n">
        <v>2.058452302267455</v>
      </c>
      <c r="BR31" t="n">
        <v>1.904943039481765</v>
      </c>
      <c r="BS31" t="n">
        <v>2.111043723337815</v>
      </c>
      <c r="BT31" t="n">
        <v>1.955738228732088</v>
      </c>
      <c r="BU31" t="n">
        <v>2.427950273539381</v>
      </c>
      <c r="BV31" t="n">
        <v>2.823317709014106</v>
      </c>
      <c r="BW31" t="n">
        <v>2.70077416131744</v>
      </c>
      <c r="BX31" t="n">
        <v>3.251225121557525</v>
      </c>
      <c r="BY31" t="n">
        <v>3.444044817524542</v>
      </c>
      <c r="BZ31" t="n">
        <v>2.771489650574637</v>
      </c>
    </row>
    <row r="32" ht="15" customHeight="1" s="115">
      <c r="A32" s="3" t="inlineStr">
        <is>
          <t>Recovery Adjustments excluding LTV (Mileage, vehicle type, etc.)</t>
        </is>
      </c>
      <c r="B32" t="n">
        <v>0.1259069551939547</v>
      </c>
      <c r="C32" t="n">
        <v>0.7227627748766849</v>
      </c>
      <c r="D32" t="n">
        <v>0.251505272702417</v>
      </c>
      <c r="E32" t="n">
        <v>0.2041071710682445</v>
      </c>
      <c r="F32" t="n">
        <v>0.1277235065208231</v>
      </c>
      <c r="G32" t="n">
        <v>0.1697529612896176</v>
      </c>
      <c r="H32" t="n">
        <v>0.06816266215508904</v>
      </c>
      <c r="I32" t="n">
        <v>0.05441777882461452</v>
      </c>
      <c r="J32" t="n">
        <v>-0.01795702337525995</v>
      </c>
      <c r="K32" t="n">
        <v>0.1984117011341198</v>
      </c>
      <c r="L32" t="n">
        <v>0.2010480360982285</v>
      </c>
      <c r="M32" t="n">
        <v>0.3423373734863162</v>
      </c>
      <c r="N32" t="n">
        <v>0.3733444540937398</v>
      </c>
      <c r="O32" t="n">
        <v>0.6065325957836762</v>
      </c>
      <c r="P32" t="n">
        <v>0.1276747240891041</v>
      </c>
      <c r="Q32" t="n">
        <v>0.5210674119213081</v>
      </c>
      <c r="R32" t="n">
        <v>0.5951686711630941</v>
      </c>
      <c r="S32" t="n">
        <v>0.4357463732052054</v>
      </c>
      <c r="T32" t="n">
        <v>0.1309140545879472</v>
      </c>
      <c r="U32" t="n">
        <v>0.0986702353403075</v>
      </c>
      <c r="V32" t="n">
        <v>0.6237928077236745</v>
      </c>
      <c r="W32" t="n">
        <v>-0.001299919542304906</v>
      </c>
      <c r="X32" t="n">
        <v>0.2331605680856228</v>
      </c>
      <c r="Y32" t="n">
        <v>0.06744163120751523</v>
      </c>
      <c r="Z32" t="n">
        <v>0.4340921547044161</v>
      </c>
      <c r="AA32" t="n">
        <v>0.2932458539989113</v>
      </c>
      <c r="AB32" t="n">
        <v>0.03358898582325764</v>
      </c>
      <c r="AC32" t="n">
        <v>0.7063273838742532</v>
      </c>
      <c r="AD32" t="n">
        <v>0.7670464567644331</v>
      </c>
      <c r="AE32" t="n">
        <v>0.362081666510079</v>
      </c>
      <c r="AF32" t="n">
        <v>-0.1484599992496669</v>
      </c>
      <c r="AG32" t="n">
        <v>-1.248288062375337</v>
      </c>
      <c r="AH32" t="n">
        <v>-1.98355756407625</v>
      </c>
      <c r="AI32" t="n">
        <v>-2.401418642056001</v>
      </c>
      <c r="AJ32" t="n">
        <v>-2.248110495120642</v>
      </c>
      <c r="AK32" t="n">
        <v>-2.835340167070797</v>
      </c>
      <c r="AL32" t="n">
        <v>-2.506083641186706</v>
      </c>
      <c r="AM32" t="n">
        <v>-2.020720282678866</v>
      </c>
      <c r="AN32" t="n">
        <v>-3.766657528827949</v>
      </c>
      <c r="AO32" t="n">
        <v>-1.540049667904839</v>
      </c>
      <c r="AP32" t="n">
        <v>-2.967653544280751</v>
      </c>
      <c r="AQ32" t="n">
        <v>-2.03526996884537</v>
      </c>
      <c r="AR32" t="n">
        <v>-1.624516836889228</v>
      </c>
      <c r="AS32" t="n">
        <v>-1.218238600844785</v>
      </c>
      <c r="AT32" t="n">
        <v>-1.639181435301822</v>
      </c>
      <c r="AU32" t="n">
        <v>-0.9455071991307875</v>
      </c>
      <c r="AV32" t="n">
        <v>-1.436421531212062</v>
      </c>
      <c r="AW32" t="n">
        <v>-0.7825660440259128</v>
      </c>
      <c r="AX32" t="n">
        <v>-1.105502819479966</v>
      </c>
      <c r="AY32" t="n">
        <v>-0.8376399441596902</v>
      </c>
      <c r="AZ32" t="n">
        <v>-0.8502861948102236</v>
      </c>
      <c r="BA32" t="n">
        <v>-0.6285076234483427</v>
      </c>
      <c r="BB32" t="n">
        <v>-1.294790053775898</v>
      </c>
      <c r="BC32" t="n">
        <v>-1.017575144580604</v>
      </c>
      <c r="BD32" t="n">
        <v>-0.7232225961274139</v>
      </c>
      <c r="BE32" t="n">
        <v>-0.8844350138805055</v>
      </c>
      <c r="BF32" t="n">
        <v>-0.3997823756459127</v>
      </c>
      <c r="BG32" t="n">
        <v>0.08218619343750788</v>
      </c>
      <c r="BH32" t="n">
        <v>0.5107733955490232</v>
      </c>
      <c r="BI32" t="n">
        <v>0.1330603888222868</v>
      </c>
      <c r="BJ32" t="n">
        <v>-1.13996349222208</v>
      </c>
      <c r="BK32" t="n">
        <v>-0.6582732092728065</v>
      </c>
      <c r="BL32" t="n">
        <v>0.1259219651027195</v>
      </c>
      <c r="BM32" t="n">
        <v>1.249736627967962</v>
      </c>
      <c r="BN32" t="n">
        <v>2.453559024037389</v>
      </c>
      <c r="BO32" t="n">
        <v>2.188768636334288</v>
      </c>
      <c r="BP32" t="n">
        <v>2.221271627213156</v>
      </c>
      <c r="BQ32" t="n">
        <v>2.731583761172772</v>
      </c>
      <c r="BR32" t="n">
        <v>3.109615924347793</v>
      </c>
      <c r="BS32" t="n">
        <v>3.21373009681767</v>
      </c>
      <c r="BT32" t="n">
        <v>3.02441342070378</v>
      </c>
      <c r="BU32" t="n">
        <v>2.779686078949567</v>
      </c>
      <c r="BV32" t="n">
        <v>3.154558853174109</v>
      </c>
      <c r="BW32" t="n">
        <v>3.327693750807981</v>
      </c>
      <c r="BX32" t="n">
        <v>3.420420567928886</v>
      </c>
      <c r="BY32" t="n">
        <v>3.654164675346351</v>
      </c>
      <c r="BZ32" t="n">
        <v>4.196214759851102</v>
      </c>
    </row>
    <row r="33" ht="15" customHeight="1" s="115">
      <c r="A33" s="4" t="inlineStr">
        <is>
          <t>LTV Adjustments</t>
        </is>
      </c>
      <c r="B33" t="n">
        <v>-0.1259069551939547</v>
      </c>
      <c r="C33" t="n">
        <v>-0.7227627748766849</v>
      </c>
      <c r="D33" t="n">
        <v>-0.251505272702417</v>
      </c>
      <c r="E33" t="n">
        <v>-0.2041071710682445</v>
      </c>
      <c r="F33" t="n">
        <v>-0.1277235065208231</v>
      </c>
      <c r="G33" t="n">
        <v>-0.1697529612896176</v>
      </c>
      <c r="H33" t="n">
        <v>-0.06816266215508904</v>
      </c>
      <c r="I33" t="n">
        <v>-0.05441777882461452</v>
      </c>
      <c r="J33" t="n">
        <v>0.01795702337525995</v>
      </c>
      <c r="K33" t="n">
        <v>-0.1984117011341198</v>
      </c>
      <c r="L33" t="n">
        <v>-0.2010480360982285</v>
      </c>
      <c r="M33" t="n">
        <v>-0.3423373734863162</v>
      </c>
      <c r="N33" t="n">
        <v>-0.3733444540937398</v>
      </c>
      <c r="O33" t="n">
        <v>-0.6065325957836762</v>
      </c>
      <c r="P33" t="n">
        <v>-0.1276747240891041</v>
      </c>
      <c r="Q33" t="n">
        <v>-0.5210674119213081</v>
      </c>
      <c r="R33" t="n">
        <v>-0.5951686711630941</v>
      </c>
      <c r="S33" t="n">
        <v>-0.4357463732052054</v>
      </c>
      <c r="T33" t="n">
        <v>-0.1309140545879472</v>
      </c>
      <c r="U33" t="n">
        <v>-0.0986702353403075</v>
      </c>
      <c r="V33" t="n">
        <v>-0.6237928077236745</v>
      </c>
      <c r="W33" t="n">
        <v>0.001299919542304906</v>
      </c>
      <c r="X33" t="n">
        <v>-0.2331605680856228</v>
      </c>
      <c r="Y33" t="n">
        <v>-0.06744163120751523</v>
      </c>
      <c r="Z33" t="n">
        <v>-0.4340921547044161</v>
      </c>
      <c r="AA33" t="n">
        <v>-0.2932458539989113</v>
      </c>
      <c r="AB33" t="n">
        <v>-0.03358898582325764</v>
      </c>
      <c r="AC33" t="n">
        <v>-0.7063273838742532</v>
      </c>
      <c r="AD33" t="n">
        <v>-0.7670464567644331</v>
      </c>
      <c r="AE33" t="n">
        <v>-0.362081666510079</v>
      </c>
      <c r="AF33" t="n">
        <v>0.1484599992496669</v>
      </c>
      <c r="AG33" t="n">
        <v>1.248288062375337</v>
      </c>
      <c r="AH33" t="n">
        <v>1.98355756407625</v>
      </c>
      <c r="AI33" t="n">
        <v>2.401418642056001</v>
      </c>
      <c r="AJ33" t="n">
        <v>2.248110495120642</v>
      </c>
      <c r="AK33" t="n">
        <v>2.835340167070797</v>
      </c>
      <c r="AL33" t="n">
        <v>2.506083641186706</v>
      </c>
      <c r="AM33" t="n">
        <v>2.020720282678866</v>
      </c>
      <c r="AN33" t="n">
        <v>3.766657528827949</v>
      </c>
      <c r="AO33" t="n">
        <v>1.540049667904839</v>
      </c>
      <c r="AP33" t="n">
        <v>2.967653544280751</v>
      </c>
      <c r="AQ33" t="n">
        <v>2.03526996884537</v>
      </c>
      <c r="AR33" t="n">
        <v>1.624516836889228</v>
      </c>
      <c r="AS33" t="n">
        <v>1.218238600844785</v>
      </c>
      <c r="AT33" t="n">
        <v>1.639181435301822</v>
      </c>
      <c r="AU33" t="n">
        <v>0.9455071991307875</v>
      </c>
      <c r="AV33" t="n">
        <v>1.436421531212062</v>
      </c>
      <c r="AW33" t="n">
        <v>0.7825660440259128</v>
      </c>
      <c r="AX33" t="n">
        <v>1.105502819479966</v>
      </c>
      <c r="AY33" t="n">
        <v>0.8376399441596902</v>
      </c>
      <c r="AZ33" t="n">
        <v>0.8502861948102236</v>
      </c>
      <c r="BA33" t="n">
        <v>0.6285076234483427</v>
      </c>
      <c r="BB33" t="n">
        <v>1.294790053775898</v>
      </c>
      <c r="BC33" t="n">
        <v>1.017575144580604</v>
      </c>
      <c r="BD33" t="n">
        <v>0.7232225961274139</v>
      </c>
      <c r="BE33" t="n">
        <v>0.8844350138805055</v>
      </c>
      <c r="BF33" t="n">
        <v>0.3997823756459127</v>
      </c>
      <c r="BG33" t="n">
        <v>-0.08218619343750788</v>
      </c>
      <c r="BH33" t="n">
        <v>-0.5107733955490232</v>
      </c>
      <c r="BI33" t="n">
        <v>-0.1330603888222868</v>
      </c>
      <c r="BJ33" t="n">
        <v>1.13996349222208</v>
      </c>
      <c r="BK33" t="n">
        <v>0.6582732092728065</v>
      </c>
      <c r="BL33" t="n">
        <v>-0.1259219651027195</v>
      </c>
      <c r="BM33" t="n">
        <v>-1.249736627967962</v>
      </c>
      <c r="BN33" t="n">
        <v>-2.453559024037389</v>
      </c>
      <c r="BO33" t="n">
        <v>-2.188768636334288</v>
      </c>
      <c r="BP33" t="n">
        <v>-2.221271627213156</v>
      </c>
      <c r="BQ33" t="n">
        <v>-2.731583761172772</v>
      </c>
      <c r="BR33" t="n">
        <v>-3.109615924347793</v>
      </c>
      <c r="BS33" t="n">
        <v>-3.21373009681767</v>
      </c>
      <c r="BT33" t="n">
        <v>-3.02441342070378</v>
      </c>
      <c r="BU33" t="n">
        <v>-2.779686078949567</v>
      </c>
      <c r="BV33" t="n">
        <v>-3.154558853174109</v>
      </c>
      <c r="BW33" t="n">
        <v>-3.327693750807981</v>
      </c>
      <c r="BX33" t="n">
        <v>-3.420420567928886</v>
      </c>
      <c r="BY33" t="n">
        <v>-3.654164675346351</v>
      </c>
      <c r="BZ33" t="n">
        <v>-4.196214759851102</v>
      </c>
    </row>
    <row r="34" ht="15" customHeight="1" s="115">
      <c r="A34" s="3" t="inlineStr">
        <is>
          <t>RAGU Score</t>
        </is>
      </c>
      <c r="B34" t="n">
        <v>130.1912363904248</v>
      </c>
      <c r="C34" t="n">
        <v>132.1915558724392</v>
      </c>
      <c r="D34" t="n">
        <v>132.0424738734111</v>
      </c>
      <c r="E34" t="n">
        <v>129.7690800311049</v>
      </c>
      <c r="F34" t="n">
        <v>129.6443236819269</v>
      </c>
      <c r="G34" t="n">
        <v>129.9224295351811</v>
      </c>
      <c r="H34" t="n">
        <v>129.9633740477034</v>
      </c>
      <c r="I34" t="n">
        <v>129.8914564287537</v>
      </c>
      <c r="J34" t="n">
        <v>133.2957186813577</v>
      </c>
      <c r="K34" t="n">
        <v>134.8064886247837</v>
      </c>
      <c r="L34" t="n">
        <v>135.2816722241978</v>
      </c>
      <c r="M34" t="n">
        <v>135.998034626261</v>
      </c>
      <c r="N34" t="n">
        <v>135.7012223467363</v>
      </c>
      <c r="O34" t="n">
        <v>135.9015048231078</v>
      </c>
      <c r="P34" t="n">
        <v>135.0814034209445</v>
      </c>
      <c r="Q34" t="n">
        <v>134.9146395831766</v>
      </c>
      <c r="R34" t="n">
        <v>136.4132190836229</v>
      </c>
      <c r="S34" t="n">
        <v>135.9940830134038</v>
      </c>
      <c r="T34" t="n">
        <v>136.143254615358</v>
      </c>
      <c r="U34" t="n">
        <v>136.4602618829435</v>
      </c>
      <c r="V34" t="n">
        <v>136.4863025699734</v>
      </c>
      <c r="W34" t="n">
        <v>136.6821236971832</v>
      </c>
      <c r="X34" t="n">
        <v>135.7398017676672</v>
      </c>
      <c r="Y34" t="n">
        <v>136.5502624296149</v>
      </c>
      <c r="Z34" t="n">
        <v>135.0426509700958</v>
      </c>
      <c r="AA34" t="n">
        <v>135.0351419237039</v>
      </c>
      <c r="AB34" t="n">
        <v>133.4702833009597</v>
      </c>
      <c r="AC34" t="n">
        <v>133.7582854983385</v>
      </c>
      <c r="AD34" t="n">
        <v>134.0005548875387</v>
      </c>
      <c r="AE34" t="n">
        <v>134.272906198406</v>
      </c>
      <c r="AF34" t="n">
        <v>134.5942241193675</v>
      </c>
      <c r="AG34" t="n">
        <v>136.2916313292247</v>
      </c>
      <c r="AH34" t="n">
        <v>136.6585657594226</v>
      </c>
      <c r="AI34" t="n">
        <v>137.2275992497447</v>
      </c>
      <c r="AJ34" t="n">
        <v>136.8783249821991</v>
      </c>
      <c r="AK34" t="n">
        <v>136.9674198866742</v>
      </c>
      <c r="AL34" t="n">
        <v>136.7081965422874</v>
      </c>
      <c r="AM34" t="n">
        <v>137.6553100046813</v>
      </c>
      <c r="AN34" t="n">
        <v>139.2512466703436</v>
      </c>
      <c r="AO34" t="n">
        <v>138.7313471387191</v>
      </c>
      <c r="AP34" t="n">
        <v>139.4420005080084</v>
      </c>
      <c r="AQ34" t="n">
        <v>138.6131765929229</v>
      </c>
      <c r="AR34" t="n">
        <v>139.7264581983364</v>
      </c>
      <c r="AS34" t="n">
        <v>136.7295735808948</v>
      </c>
      <c r="AT34" t="n">
        <v>138.4329216216812</v>
      </c>
      <c r="AU34" t="n">
        <v>137.6695818113302</v>
      </c>
      <c r="AV34" t="n">
        <v>138.2424286890334</v>
      </c>
      <c r="AW34" t="n">
        <v>139.6791002508498</v>
      </c>
      <c r="AX34" t="n">
        <v>140.5682293555177</v>
      </c>
      <c r="AY34" t="n">
        <v>139.2709738583347</v>
      </c>
      <c r="AZ34" t="n">
        <v>137.956512799763</v>
      </c>
      <c r="BA34" t="n">
        <v>137.8233576915081</v>
      </c>
      <c r="BB34" t="n">
        <v>138.3963062680753</v>
      </c>
      <c r="BC34" t="n">
        <v>137.892865190948</v>
      </c>
      <c r="BD34" t="n">
        <v>137.6245405344493</v>
      </c>
      <c r="BE34" t="n">
        <v>138.9056046937973</v>
      </c>
      <c r="BF34" t="n">
        <v>139.3326068397303</v>
      </c>
      <c r="BG34" t="n">
        <v>139.8858447960411</v>
      </c>
      <c r="BH34" t="n">
        <v>140.3146359618065</v>
      </c>
      <c r="BI34" t="n">
        <v>140.8715300541355</v>
      </c>
      <c r="BJ34" t="n">
        <v>141.091867329376</v>
      </c>
      <c r="BK34" t="n">
        <v>139.9196475598081</v>
      </c>
      <c r="BL34" t="n">
        <v>138.9430196862333</v>
      </c>
      <c r="BM34" t="n">
        <v>139.1281753607607</v>
      </c>
      <c r="BN34" t="n">
        <v>139.0612393124517</v>
      </c>
      <c r="BO34" t="n">
        <v>138.8131713803896</v>
      </c>
      <c r="BP34" t="n">
        <v>138.978388055631</v>
      </c>
      <c r="BQ34" t="n">
        <v>139.5563802105499</v>
      </c>
      <c r="BR34" t="n">
        <v>139.8361274390976</v>
      </c>
      <c r="BS34" t="n">
        <v>140.648839473922</v>
      </c>
      <c r="BT34" t="n">
        <v>140.5571468409114</v>
      </c>
      <c r="BU34" t="n">
        <v>140.7691610828239</v>
      </c>
      <c r="BV34" t="n">
        <v>141.903871360557</v>
      </c>
      <c r="BW34" t="n">
        <v>141.8929318446584</v>
      </c>
      <c r="BX34" t="n">
        <v>142.8587765171693</v>
      </c>
      <c r="BY34" t="n">
        <v>144.9039927222505</v>
      </c>
      <c r="BZ34" t="n">
        <v>144.1823218952558</v>
      </c>
    </row>
    <row r="35" ht="15" customHeight="1" s="115">
      <c r="A35" s="5" t="inlineStr">
        <is>
          <t>LTV</t>
        </is>
      </c>
      <c r="B35" t="n">
        <v>1.947172083480024</v>
      </c>
      <c r="C35" t="n">
        <v>1.939822211127781</v>
      </c>
      <c r="D35" t="n">
        <v>1.987114876779719</v>
      </c>
      <c r="E35" t="n">
        <v>2.085942957183463</v>
      </c>
      <c r="F35" t="n">
        <v>2.0676888887635</v>
      </c>
      <c r="G35" t="n">
        <v>2.129023541050877</v>
      </c>
      <c r="H35" t="n">
        <v>2.05341217324525</v>
      </c>
      <c r="I35" t="n">
        <v>2.094438796214075</v>
      </c>
      <c r="J35" t="n">
        <v>2.151349147277412</v>
      </c>
      <c r="K35" t="n">
        <v>2.065749749949183</v>
      </c>
      <c r="L35" t="n">
        <v>1.86467040915267</v>
      </c>
      <c r="M35" t="n">
        <v>1.804524105598111</v>
      </c>
      <c r="N35" t="n">
        <v>1.774196006727612</v>
      </c>
      <c r="O35" t="n">
        <v>1.761814883982466</v>
      </c>
      <c r="P35" t="n">
        <v>1.844421750201805</v>
      </c>
      <c r="Q35" t="n">
        <v>1.811671683743093</v>
      </c>
      <c r="R35" t="n">
        <v>1.800795724323894</v>
      </c>
      <c r="S35" t="n">
        <v>1.704822194662511</v>
      </c>
      <c r="T35" t="n">
        <v>1.649114027820801</v>
      </c>
      <c r="U35" t="n">
        <v>1.610348745779641</v>
      </c>
      <c r="V35" t="n">
        <v>1.554719692280473</v>
      </c>
      <c r="W35" t="n">
        <v>1.541642645969661</v>
      </c>
      <c r="X35" t="n">
        <v>1.525762524355588</v>
      </c>
      <c r="Y35" t="n">
        <v>1.611128534651268</v>
      </c>
      <c r="Z35" t="n">
        <v>1.645991128262585</v>
      </c>
      <c r="AA35" t="n">
        <v>1.569714935632194</v>
      </c>
      <c r="AB35" t="n">
        <v>1.668836711977521</v>
      </c>
      <c r="AC35" t="n">
        <v>1.594603688670594</v>
      </c>
      <c r="AD35" t="n">
        <v>1.583451638955836</v>
      </c>
      <c r="AE35" t="n">
        <v>1.572156516084317</v>
      </c>
      <c r="AF35" t="n">
        <v>1.558969950308731</v>
      </c>
      <c r="AG35" t="n">
        <v>1.52768323805286</v>
      </c>
      <c r="AH35" t="n">
        <v>1.54988768179906</v>
      </c>
      <c r="AI35" t="n">
        <v>1.4747179773991</v>
      </c>
      <c r="AJ35" t="n">
        <v>1.503362113153013</v>
      </c>
      <c r="AK35" t="n">
        <v>1.540839167499475</v>
      </c>
      <c r="AL35" t="n">
        <v>1.555056474476829</v>
      </c>
      <c r="AM35" t="n">
        <v>1.480112204049842</v>
      </c>
      <c r="AN35" t="n">
        <v>1.529142843484628</v>
      </c>
      <c r="AO35" t="n">
        <v>1.441196736995812</v>
      </c>
      <c r="AP35" t="n">
        <v>1.460252330275552</v>
      </c>
      <c r="AQ35" t="n">
        <v>1.3699099614164</v>
      </c>
      <c r="AR35" t="n">
        <v>1.634475260566782</v>
      </c>
      <c r="AS35" t="n">
        <v>2.099258563532488</v>
      </c>
      <c r="AT35" t="n">
        <v>1.563074905131215</v>
      </c>
      <c r="AU35" t="n">
        <v>1.383163246604745</v>
      </c>
      <c r="AV35" t="n">
        <v>1.343809932211331</v>
      </c>
      <c r="AW35" t="n">
        <v>1.419773283537594</v>
      </c>
      <c r="AX35" t="n">
        <v>1.474935404885906</v>
      </c>
      <c r="AY35" t="n">
        <v>1.422909153840405</v>
      </c>
      <c r="AZ35" t="n">
        <v>1.38550377777632</v>
      </c>
      <c r="BA35" t="n">
        <v>1.471257874927455</v>
      </c>
      <c r="BB35" t="n">
        <v>1.51849883950683</v>
      </c>
      <c r="BC35" t="n">
        <v>1.53468034362863</v>
      </c>
      <c r="BD35" t="n">
        <v>1.540646468559457</v>
      </c>
      <c r="BE35" t="n">
        <v>1.532942388083969</v>
      </c>
      <c r="BF35" t="n">
        <v>1.498806106105616</v>
      </c>
      <c r="BG35" t="n">
        <v>1.446892528481988</v>
      </c>
      <c r="BH35" t="n">
        <v>1.43138999297798</v>
      </c>
      <c r="BI35" t="n">
        <v>1.441995456409997</v>
      </c>
      <c r="BJ35" t="n">
        <v>1.494200146047017</v>
      </c>
      <c r="BK35" t="n">
        <v>1.471901307419639</v>
      </c>
      <c r="BL35" t="n">
        <v>1.459034216097627</v>
      </c>
      <c r="BM35" t="n">
        <v>1.455899185029715</v>
      </c>
      <c r="BN35" t="n">
        <v>1.480280136999494</v>
      </c>
      <c r="BO35" t="n">
        <v>1.509772231305633</v>
      </c>
      <c r="BP35" t="n">
        <v>1.467234960971175</v>
      </c>
      <c r="BQ35" t="n">
        <v>1.457664665259818</v>
      </c>
      <c r="BR35" t="n">
        <v>1.418899405643934</v>
      </c>
      <c r="BS35" t="n">
        <v>1.399325095499915</v>
      </c>
      <c r="BT35" t="n">
        <v>1.444148912405658</v>
      </c>
      <c r="BU35" t="n">
        <v>1.420314362038711</v>
      </c>
      <c r="BV35" t="n">
        <v>1.426975758532483</v>
      </c>
      <c r="BW35" t="n">
        <v>1.391291073460794</v>
      </c>
      <c r="BX35" t="n">
        <v>1.442331459066943</v>
      </c>
      <c r="BY35" t="n">
        <v>1.45103025222551</v>
      </c>
      <c r="BZ35" t="n">
        <v>1.571335441908694</v>
      </c>
    </row>
    <row r="36" ht="15" customHeight="1" s="115"/>
    <row r="37" ht="15" customHeight="1" s="115">
      <c r="A37" s="1" t="inlineStr">
        <is>
          <t>ENT</t>
        </is>
      </c>
      <c r="B37" s="2" t="n">
        <v>2016</v>
      </c>
      <c r="C37" s="2" t="n">
        <v>2017</v>
      </c>
      <c r="D37" s="2" t="n">
        <v>2018</v>
      </c>
      <c r="E37" s="2" t="n">
        <v>2019</v>
      </c>
      <c r="F37" s="2" t="inlineStr">
        <is>
          <t>2020 M01</t>
        </is>
      </c>
      <c r="G37" s="2" t="inlineStr">
        <is>
          <t>2020 M02</t>
        </is>
      </c>
      <c r="H37" s="2" t="inlineStr">
        <is>
          <t>2020 M03</t>
        </is>
      </c>
      <c r="I37" s="2" t="inlineStr">
        <is>
          <t>2020 M04</t>
        </is>
      </c>
      <c r="J37" s="2" t="inlineStr">
        <is>
          <t>2020 M05</t>
        </is>
      </c>
      <c r="K37" s="2" t="inlineStr">
        <is>
          <t>2020 M06</t>
        </is>
      </c>
      <c r="L37" s="2" t="inlineStr">
        <is>
          <t>2020 M07</t>
        </is>
      </c>
      <c r="M37" s="2" t="inlineStr">
        <is>
          <t>2020 M08</t>
        </is>
      </c>
      <c r="N37" s="2" t="inlineStr">
        <is>
          <t>2020 M09</t>
        </is>
      </c>
      <c r="O37" s="2" t="inlineStr">
        <is>
          <t>2020 M10</t>
        </is>
      </c>
      <c r="P37" s="2" t="inlineStr">
        <is>
          <t>2020 M11</t>
        </is>
      </c>
      <c r="Q37" s="2" t="inlineStr">
        <is>
          <t>2020 M12</t>
        </is>
      </c>
      <c r="R37" s="2" t="inlineStr">
        <is>
          <t>2021 M01</t>
        </is>
      </c>
      <c r="S37" s="2" t="inlineStr">
        <is>
          <t>2021 M02</t>
        </is>
      </c>
      <c r="T37" s="2" t="inlineStr">
        <is>
          <t>2021 M03</t>
        </is>
      </c>
      <c r="U37" s="2" t="inlineStr">
        <is>
          <t>2021 M04</t>
        </is>
      </c>
      <c r="V37" s="2" t="inlineStr">
        <is>
          <t>2021 M05</t>
        </is>
      </c>
      <c r="W37" s="2" t="inlineStr">
        <is>
          <t>2021 M06</t>
        </is>
      </c>
      <c r="X37" s="2" t="inlineStr">
        <is>
          <t>2021 M07</t>
        </is>
      </c>
      <c r="Y37" s="2" t="inlineStr">
        <is>
          <t>2021 M08</t>
        </is>
      </c>
      <c r="Z37" s="2" t="inlineStr">
        <is>
          <t>2021 M09</t>
        </is>
      </c>
      <c r="AA37" s="2" t="inlineStr">
        <is>
          <t>2021 M10</t>
        </is>
      </c>
      <c r="AB37" s="2" t="inlineStr">
        <is>
          <t>2021 M11</t>
        </is>
      </c>
      <c r="AC37" s="2" t="inlineStr">
        <is>
          <t>2021 M12</t>
        </is>
      </c>
      <c r="AD37" s="2" t="inlineStr">
        <is>
          <t>2022 M01</t>
        </is>
      </c>
      <c r="AE37" s="2" t="inlineStr">
        <is>
          <t>2022 M02</t>
        </is>
      </c>
      <c r="AF37" s="2" t="inlineStr">
        <is>
          <t>2022 M03</t>
        </is>
      </c>
      <c r="AG37" s="2" t="inlineStr">
        <is>
          <t>2022 M04</t>
        </is>
      </c>
      <c r="AH37" s="2" t="inlineStr">
        <is>
          <t>2022 M05</t>
        </is>
      </c>
      <c r="AI37" s="2" t="inlineStr">
        <is>
          <t>2022 M06</t>
        </is>
      </c>
      <c r="AJ37" s="2" t="inlineStr">
        <is>
          <t>2022 M07</t>
        </is>
      </c>
      <c r="AK37" s="2" t="inlineStr">
        <is>
          <t>2022 M08</t>
        </is>
      </c>
      <c r="AL37" s="2" t="inlineStr">
        <is>
          <t>2022 M09</t>
        </is>
      </c>
      <c r="AM37" s="2" t="inlineStr">
        <is>
          <t>2022 M10</t>
        </is>
      </c>
      <c r="AN37" s="2" t="inlineStr">
        <is>
          <t>2022 M11</t>
        </is>
      </c>
      <c r="AO37" s="2" t="inlineStr">
        <is>
          <t>2022 M12</t>
        </is>
      </c>
      <c r="AP37" s="2" t="inlineStr">
        <is>
          <t>2023 M01</t>
        </is>
      </c>
      <c r="AQ37" s="2" t="inlineStr">
        <is>
          <t>2023 M02</t>
        </is>
      </c>
      <c r="AR37" s="2" t="inlineStr">
        <is>
          <t>2023 M03</t>
        </is>
      </c>
      <c r="AS37" s="2" t="inlineStr">
        <is>
          <t>2023 M04</t>
        </is>
      </c>
      <c r="AT37" s="2" t="inlineStr">
        <is>
          <t>2023 M05</t>
        </is>
      </c>
      <c r="AU37" s="2" t="inlineStr">
        <is>
          <t>2023 M06</t>
        </is>
      </c>
      <c r="AV37" s="2" t="inlineStr">
        <is>
          <t>2023 M07</t>
        </is>
      </c>
      <c r="AW37" s="2" t="inlineStr">
        <is>
          <t>2023 M08</t>
        </is>
      </c>
      <c r="AX37" s="2" t="inlineStr">
        <is>
          <t>2023 M09</t>
        </is>
      </c>
      <c r="AY37" s="2" t="inlineStr">
        <is>
          <t>2023 M10</t>
        </is>
      </c>
      <c r="AZ37" s="2" t="inlineStr">
        <is>
          <t>2023 M11</t>
        </is>
      </c>
      <c r="BA37" s="2" t="inlineStr">
        <is>
          <t>2023 M12</t>
        </is>
      </c>
      <c r="BB37" s="2" t="inlineStr">
        <is>
          <t>2024 M01</t>
        </is>
      </c>
      <c r="BC37" s="2" t="inlineStr">
        <is>
          <t>2024 M02</t>
        </is>
      </c>
      <c r="BD37" s="2" t="inlineStr">
        <is>
          <t>2024 M03</t>
        </is>
      </c>
      <c r="BE37" s="2" t="inlineStr">
        <is>
          <t>2024 M04</t>
        </is>
      </c>
      <c r="BF37" s="2" t="inlineStr">
        <is>
          <t>2024 M05</t>
        </is>
      </c>
      <c r="BG37" s="2" t="inlineStr">
        <is>
          <t>2024 M06</t>
        </is>
      </c>
      <c r="BH37" s="2" t="inlineStr">
        <is>
          <t>2024 M07</t>
        </is>
      </c>
      <c r="BI37" s="2" t="inlineStr">
        <is>
          <t>2024 M08</t>
        </is>
      </c>
      <c r="BJ37" s="2" t="inlineStr">
        <is>
          <t>2024 M09</t>
        </is>
      </c>
      <c r="BK37" s="2" t="inlineStr">
        <is>
          <t>2024 M10</t>
        </is>
      </c>
      <c r="BL37" s="2" t="inlineStr">
        <is>
          <t>2024 M11</t>
        </is>
      </c>
      <c r="BM37" s="2" t="inlineStr">
        <is>
          <t>2024 M12</t>
        </is>
      </c>
      <c r="BN37" s="2" t="inlineStr">
        <is>
          <t>2025 M01</t>
        </is>
      </c>
      <c r="BO37" s="2" t="inlineStr">
        <is>
          <t xml:space="preserve">2025 M02 </t>
        </is>
      </c>
      <c r="BP37" s="2" t="inlineStr">
        <is>
          <t>2025 M03</t>
        </is>
      </c>
      <c r="BQ37" s="2" t="inlineStr">
        <is>
          <t>2025 M04</t>
        </is>
      </c>
      <c r="BR37" s="2" t="inlineStr">
        <is>
          <t>2025 M05</t>
        </is>
      </c>
      <c r="BS37" s="2" t="inlineStr">
        <is>
          <t>2025 M06</t>
        </is>
      </c>
      <c r="BT37" s="2" t="inlineStr">
        <is>
          <t>2025 M07</t>
        </is>
      </c>
      <c r="BU37" s="2" t="inlineStr">
        <is>
          <t>2025 M08</t>
        </is>
      </c>
      <c r="BV37" s="2" t="inlineStr">
        <is>
          <t>2025 M09</t>
        </is>
      </c>
      <c r="BW37" s="2" t="inlineStr">
        <is>
          <t>2025 M10</t>
        </is>
      </c>
    </row>
    <row r="38" ht="15" customHeight="1" s="115">
      <c r="A38" s="5" t="inlineStr">
        <is>
          <t>Contract Model Score</t>
        </is>
      </c>
      <c r="B38" s="8" t="n"/>
      <c r="C38" s="8" t="n"/>
      <c r="D38" s="8" t="n"/>
      <c r="E38" s="8" t="n"/>
      <c r="F38" t="n">
        <v>129.4283149403124</v>
      </c>
      <c r="G38" t="n">
        <v>133.578764544199</v>
      </c>
      <c r="H38" t="n">
        <v>133.136653123807</v>
      </c>
      <c r="I38" t="n">
        <v>130.5753235519227</v>
      </c>
      <c r="J38" t="n">
        <v>133.6896742901609</v>
      </c>
      <c r="K38" t="n">
        <v>135.9175368102681</v>
      </c>
      <c r="L38" t="n">
        <v>136.5420877203078</v>
      </c>
      <c r="M38" t="n">
        <v>136.230454110564</v>
      </c>
      <c r="N38" t="n">
        <v>136.1290525751823</v>
      </c>
      <c r="O38" t="n">
        <v>135.9071779876058</v>
      </c>
      <c r="P38" t="n">
        <v>135.8273133210008</v>
      </c>
      <c r="Q38" t="n">
        <v>134.5804140660568</v>
      </c>
      <c r="R38" t="n">
        <v>134.5806982482346</v>
      </c>
      <c r="S38" t="n">
        <v>134.1223291710035</v>
      </c>
      <c r="T38" t="n">
        <v>133.3829199628645</v>
      </c>
      <c r="U38" t="n">
        <v>132.2079408374745</v>
      </c>
      <c r="V38" t="n">
        <v>131.8700146647721</v>
      </c>
      <c r="W38" t="n">
        <v>131.4443887166787</v>
      </c>
      <c r="X38" t="n">
        <v>130.4202906450425</v>
      </c>
      <c r="Y38" t="n">
        <v>132.1711354964847</v>
      </c>
      <c r="Z38" t="n">
        <v>130.8640421460593</v>
      </c>
      <c r="AA38" t="n">
        <v>129.946678949673</v>
      </c>
      <c r="AB38" t="n">
        <v>129.796331162229</v>
      </c>
      <c r="AC38" t="n">
        <v>128.6143049243001</v>
      </c>
      <c r="AD38" t="n">
        <v>128.7531585511979</v>
      </c>
      <c r="AE38" t="n">
        <v>129.1479414195474</v>
      </c>
      <c r="AF38" t="n">
        <v>129.8581598421499</v>
      </c>
      <c r="AG38" t="n">
        <v>130.649545216409</v>
      </c>
      <c r="AH38" t="n">
        <v>131.7484047485781</v>
      </c>
      <c r="AI38" t="n">
        <v>132.0268633503148</v>
      </c>
      <c r="AJ38" t="n">
        <v>132.3060932349237</v>
      </c>
      <c r="AK38" t="n">
        <v>131.7914611774912</v>
      </c>
      <c r="AL38" t="n">
        <v>131.1860635362286</v>
      </c>
      <c r="AM38" t="n">
        <v>130.5742604453522</v>
      </c>
      <c r="AN38" t="n">
        <v>131.2934096566633</v>
      </c>
      <c r="AO38" t="n">
        <v>131.9415314079803</v>
      </c>
      <c r="AP38" t="n">
        <v>132.0843278706825</v>
      </c>
      <c r="AQ38" t="n">
        <v>132.6273962599321</v>
      </c>
      <c r="AR38" t="n">
        <v>133.1330884377789</v>
      </c>
      <c r="AS38" t="n">
        <v>133.8799244098684</v>
      </c>
      <c r="AT38" t="n">
        <v>134.1054138994957</v>
      </c>
      <c r="AU38" t="n">
        <v>132.5449991783443</v>
      </c>
      <c r="AV38" t="n">
        <v>132.381891101212</v>
      </c>
      <c r="AW38" t="n">
        <v>134.1747650724742</v>
      </c>
      <c r="AX38" t="n">
        <v>135.0368099884617</v>
      </c>
      <c r="AY38" t="n">
        <v>135.0175815411987</v>
      </c>
      <c r="AZ38" t="n">
        <v>135.0267831857024</v>
      </c>
      <c r="BA38" t="n">
        <v>135.9035057546299</v>
      </c>
      <c r="BB38" t="n">
        <v>136.1298485087052</v>
      </c>
      <c r="BC38" t="n">
        <v>136.143811768147</v>
      </c>
      <c r="BD38" t="n">
        <v>136.2143705576194</v>
      </c>
      <c r="BE38" t="n">
        <v>136.5587153390216</v>
      </c>
      <c r="BF38" t="n">
        <v>136.8403864333776</v>
      </c>
      <c r="BG38" t="n">
        <v>137.2216542158503</v>
      </c>
      <c r="BH38" t="n">
        <v>136.7738477095858</v>
      </c>
      <c r="BI38" t="n">
        <v>136.6003363556268</v>
      </c>
      <c r="BJ38" t="n">
        <v>136.6875860318254</v>
      </c>
      <c r="BK38" t="n">
        <v>135.5093683798355</v>
      </c>
      <c r="BL38" t="n">
        <v>134.761054046321</v>
      </c>
      <c r="BM38" t="n">
        <v>134.5590106758667</v>
      </c>
      <c r="BN38" t="n">
        <v>134.3579298154629</v>
      </c>
      <c r="BO38" t="n">
        <v>134.0251977524425</v>
      </c>
      <c r="BP38" t="n">
        <v>135.0082798167512</v>
      </c>
      <c r="BQ38" t="n">
        <v>136.0975561265248</v>
      </c>
      <c r="BR38" t="n">
        <v>136.3900958721789</v>
      </c>
      <c r="BS38" t="n">
        <v>136.9021760988257</v>
      </c>
      <c r="BT38" t="n">
        <v>137.1861307493228</v>
      </c>
      <c r="BU38" t="n">
        <v>137.0153171294839</v>
      </c>
      <c r="BV38" t="n">
        <v>136.8039219756049</v>
      </c>
      <c r="BW38" t="n">
        <v>136.9429257144973</v>
      </c>
      <c r="BX38" t="n">
        <v>136.8552682827209</v>
      </c>
      <c r="BY38" t="n">
        <v>137.9758777374139</v>
      </c>
      <c r="BZ38" t="n">
        <v>139.3170168916355</v>
      </c>
    </row>
    <row r="39" ht="15" customHeight="1" s="115">
      <c r="A39" s="6" t="inlineStr">
        <is>
          <t>Model Score</t>
        </is>
      </c>
      <c r="B39" s="8" t="n"/>
      <c r="C39" s="8" t="n"/>
      <c r="D39" s="8" t="n"/>
      <c r="E39" s="8" t="n"/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</row>
    <row r="40" ht="15" customHeight="1" s="115">
      <c r="A40" s="4" t="inlineStr">
        <is>
          <t>Gross Loss Adjustments (Dealer level, high PTI, etc.)</t>
        </is>
      </c>
      <c r="B40" s="8" t="n"/>
      <c r="C40" s="8" t="n"/>
      <c r="D40" s="8" t="n"/>
      <c r="E40" s="8" t="n"/>
      <c r="F40" t="n">
        <v>-0.6087861646528268</v>
      </c>
      <c r="G40" t="n">
        <v>-0.4101123633930115</v>
      </c>
      <c r="H40" t="n">
        <v>-0.1530214945580894</v>
      </c>
      <c r="I40" t="n">
        <v>-0.3160558444518244</v>
      </c>
      <c r="J40" t="n">
        <v>-0.2250288915359135</v>
      </c>
      <c r="K40" t="n">
        <v>-0.1822204173187458</v>
      </c>
      <c r="L40" t="n">
        <v>-0.5560549603696074</v>
      </c>
      <c r="M40" t="n">
        <v>-0.3894273888436146</v>
      </c>
      <c r="N40" t="n">
        <v>-0.6113420778755199</v>
      </c>
      <c r="O40" t="n">
        <v>-1.619801803094276</v>
      </c>
      <c r="P40" t="n">
        <v>-1.743537070423059</v>
      </c>
      <c r="Q40" t="n">
        <v>-1.960045096670598</v>
      </c>
      <c r="R40" t="n">
        <v>-1.274896990167747</v>
      </c>
      <c r="S40" t="n">
        <v>-1.301614859040882</v>
      </c>
      <c r="T40" t="n">
        <v>-1.055165393365314</v>
      </c>
      <c r="U40" t="n">
        <v>-1.299158371562896</v>
      </c>
      <c r="V40" t="n">
        <v>-1.258075249240846</v>
      </c>
      <c r="W40" t="n">
        <v>-1.553287363460214</v>
      </c>
      <c r="X40" t="n">
        <v>-1.671019004254845</v>
      </c>
      <c r="Y40" t="n">
        <v>-1.500599139104168</v>
      </c>
      <c r="Z40" t="n">
        <v>-1.618768465667131</v>
      </c>
      <c r="AA40" t="n">
        <v>-1.121768958231229</v>
      </c>
      <c r="AB40" t="n">
        <v>-1.557989302805225</v>
      </c>
      <c r="AC40" t="n">
        <v>-1.601244894926779</v>
      </c>
      <c r="AD40" t="n">
        <v>-1.185705158697814</v>
      </c>
      <c r="AE40" t="n">
        <v>-0.9664788061361946</v>
      </c>
      <c r="AF40" t="n">
        <v>-0.7893043161130606</v>
      </c>
      <c r="AG40" t="n">
        <v>-1.062707875017679</v>
      </c>
      <c r="AH40" t="n">
        <v>-1.144626929808936</v>
      </c>
      <c r="AI40" t="n">
        <v>-1.214497066320831</v>
      </c>
      <c r="AJ40" t="n">
        <v>-1.561707748914785</v>
      </c>
      <c r="AK40" t="n">
        <v>-1.702364932148981</v>
      </c>
      <c r="AL40" t="n">
        <v>-1.649448449652994</v>
      </c>
      <c r="AM40" t="n">
        <v>-1.474268855761835</v>
      </c>
      <c r="AN40" t="n">
        <v>-1.558743579270725</v>
      </c>
      <c r="AO40" t="n">
        <v>-1.43540938193587</v>
      </c>
      <c r="AP40" t="n">
        <v>-2.160437972741448</v>
      </c>
      <c r="AQ40" t="n">
        <v>-1.591729303469265</v>
      </c>
      <c r="AR40" t="n">
        <v>-1.606597020253048</v>
      </c>
      <c r="AS40" t="n">
        <v>-1.454740989171199</v>
      </c>
      <c r="AT40" t="n">
        <v>-0.9549464021366418</v>
      </c>
      <c r="AU40" t="n">
        <v>-1.333622569635622</v>
      </c>
      <c r="AV40" t="n">
        <v>-1.276010966519209</v>
      </c>
      <c r="AW40" t="n">
        <v>-0.887858471659797</v>
      </c>
      <c r="AX40" t="n">
        <v>-0.4995119888994282</v>
      </c>
      <c r="AY40" t="n">
        <v>0.05905571620488104</v>
      </c>
      <c r="AZ40" t="n">
        <v>0.04252040235871846</v>
      </c>
      <c r="BA40" t="n">
        <v>-0.196302674633273</v>
      </c>
      <c r="BB40" t="n">
        <v>-0.4750598254646548</v>
      </c>
      <c r="BC40" t="n">
        <v>-0.2219244609538578</v>
      </c>
      <c r="BD40" t="n">
        <v>-0.4647970464864954</v>
      </c>
      <c r="BE40" t="n">
        <v>-0.5246954908671739</v>
      </c>
      <c r="BF40" t="n">
        <v>-0.1427500809666071</v>
      </c>
      <c r="BG40" t="n">
        <v>-0.1635677384446126</v>
      </c>
      <c r="BH40" t="n">
        <v>-0.7052225937969467</v>
      </c>
      <c r="BI40" t="n">
        <v>-0.3768899169352267</v>
      </c>
      <c r="BJ40" t="n">
        <v>-0.3696920111018756</v>
      </c>
      <c r="BK40" t="n">
        <v>0.0191840918192554</v>
      </c>
      <c r="BL40" t="n">
        <v>0.0831207093323485</v>
      </c>
      <c r="BM40" t="n">
        <v>-0.08474060570685538</v>
      </c>
      <c r="BN40" t="n">
        <v>-0.1705665691503384</v>
      </c>
      <c r="BO40" t="n">
        <v>-0.1289757495049457</v>
      </c>
      <c r="BP40" t="n">
        <v>-0.08264732638531314</v>
      </c>
      <c r="BQ40" t="n">
        <v>0.2328753859910648</v>
      </c>
      <c r="BR40" t="n">
        <v>0.5366147953772895</v>
      </c>
      <c r="BS40" t="n">
        <v>0.7915289130972667</v>
      </c>
      <c r="BT40" t="n">
        <v>0.4808051473717114</v>
      </c>
      <c r="BU40" t="n">
        <v>0.480581572706086</v>
      </c>
      <c r="BV40" t="n">
        <v>0.5311030331653512</v>
      </c>
      <c r="BW40" t="n">
        <v>1.519372499381547</v>
      </c>
      <c r="BX40" t="n">
        <v>1.939564640993325</v>
      </c>
      <c r="BY40" t="n">
        <v>2.212856801454421</v>
      </c>
      <c r="BZ40" t="n">
        <v>1.984815098292103</v>
      </c>
    </row>
    <row r="41" ht="15" customHeight="1" s="115">
      <c r="A41" s="3" t="inlineStr">
        <is>
          <t>Recovery Adjustments excluding LTV (Mileage, vehicle type, etc.)</t>
        </is>
      </c>
      <c r="B41" s="8" t="n"/>
      <c r="C41" s="8" t="n"/>
      <c r="D41" s="8" t="n"/>
      <c r="E41" s="8" t="n"/>
      <c r="F41" t="n">
        <v>-0.1034586703935645</v>
      </c>
      <c r="G41" t="n">
        <v>-0.06633602350319734</v>
      </c>
      <c r="H41" t="n">
        <v>0.03026720482074552</v>
      </c>
      <c r="I41" t="n">
        <v>-0.08012667472317503</v>
      </c>
      <c r="J41" t="n">
        <v>0.1402486276575701</v>
      </c>
      <c r="K41" t="n">
        <v>0.3550519279331183</v>
      </c>
      <c r="L41" t="n">
        <v>0.1878642575659626</v>
      </c>
      <c r="M41" t="n">
        <v>0.07485432498381783</v>
      </c>
      <c r="N41" t="n">
        <v>0.1075239909774552</v>
      </c>
      <c r="O41" t="n">
        <v>0.1413271114379313</v>
      </c>
      <c r="P41" t="n">
        <v>0.1006134030386931</v>
      </c>
      <c r="Q41" t="n">
        <v>0.1712206252127828</v>
      </c>
      <c r="R41" t="n">
        <v>0.1348285545423664</v>
      </c>
      <c r="S41" t="n">
        <v>0.1740028223323122</v>
      </c>
      <c r="T41" t="n">
        <v>0.07490358227269667</v>
      </c>
      <c r="U41" t="n">
        <v>0.003771988359858369</v>
      </c>
      <c r="V41" t="n">
        <v>-0.1137715604963603</v>
      </c>
      <c r="W41" t="n">
        <v>-0.3194249311361261</v>
      </c>
      <c r="X41" t="n">
        <v>-0.4619961945618059</v>
      </c>
      <c r="Y41" t="n">
        <v>-0.5842985829207521</v>
      </c>
      <c r="Z41" t="n">
        <v>-0.7043100099699586</v>
      </c>
      <c r="AA41" t="n">
        <v>-0.6390917747848448</v>
      </c>
      <c r="AB41" t="n">
        <v>-0.8437550465864376</v>
      </c>
      <c r="AC41" t="n">
        <v>-1.024577738173889</v>
      </c>
      <c r="AD41" t="n">
        <v>-1.221128639876923</v>
      </c>
      <c r="AE41" t="n">
        <v>-1.121609693742442</v>
      </c>
      <c r="AF41" t="n">
        <v>-1.15261394728698</v>
      </c>
      <c r="AG41" t="n">
        <v>-1.169329703487023</v>
      </c>
      <c r="AH41" t="n">
        <v>-1.076666802973648</v>
      </c>
      <c r="AI41" t="n">
        <v>-1.211537700411583</v>
      </c>
      <c r="AJ41" t="n">
        <v>-1.381562257171964</v>
      </c>
      <c r="AK41" t="n">
        <v>-1.410818640619027</v>
      </c>
      <c r="AL41" t="n">
        <v>-1.60690656239332</v>
      </c>
      <c r="AM41" t="n">
        <v>-1.62968738844171</v>
      </c>
      <c r="AN41" t="n">
        <v>-1.769203114649628</v>
      </c>
      <c r="AO41" t="n">
        <v>-1.635666659875682</v>
      </c>
      <c r="AP41" t="n">
        <v>-1.763940690598474</v>
      </c>
      <c r="AQ41" t="n">
        <v>-1.610494886629482</v>
      </c>
      <c r="AR41" t="n">
        <v>-1.729425350011638</v>
      </c>
      <c r="AS41" t="n">
        <v>-1.515915727927734</v>
      </c>
      <c r="AT41" t="n">
        <v>-1.518173719020041</v>
      </c>
      <c r="AU41" t="n">
        <v>-1.634596213646518</v>
      </c>
      <c r="AV41" t="n">
        <v>-1.564297267198071</v>
      </c>
      <c r="AW41" t="n">
        <v>-1.591993383908203</v>
      </c>
      <c r="AX41" t="n">
        <v>-1.680692407031671</v>
      </c>
      <c r="AY41" t="n">
        <v>-1.440720543794015</v>
      </c>
      <c r="AZ41" t="n">
        <v>-1.543747849246955</v>
      </c>
      <c r="BA41" t="n">
        <v>-1.553082657690652</v>
      </c>
      <c r="BB41" t="n">
        <v>-1.704123804892959</v>
      </c>
      <c r="BC41" t="n">
        <v>-1.601938990836203</v>
      </c>
      <c r="BD41" t="n">
        <v>-1.652806341993767</v>
      </c>
      <c r="BE41" t="n">
        <v>-1.606219308278753</v>
      </c>
      <c r="BF41" t="n">
        <v>-1.333329289552438</v>
      </c>
      <c r="BG41" t="n">
        <v>-1.191299534863504</v>
      </c>
      <c r="BH41" t="n">
        <v>-1.04655441943936</v>
      </c>
      <c r="BI41" t="n">
        <v>-1.091652802880162</v>
      </c>
      <c r="BJ41" t="n">
        <v>-0.8800824624871666</v>
      </c>
      <c r="BK41" t="n">
        <v>-0.6784771889484205</v>
      </c>
      <c r="BL41" t="n">
        <v>-0.3132812390903155</v>
      </c>
      <c r="BM41" t="n">
        <v>0.00729622596338686</v>
      </c>
      <c r="BN41" t="n">
        <v>0.1254660280188489</v>
      </c>
      <c r="BO41" t="n">
        <v>0.3064791197479906</v>
      </c>
      <c r="BP41" t="n">
        <v>0.08847187148018065</v>
      </c>
      <c r="BQ41" t="n">
        <v>-0.141992584591776</v>
      </c>
      <c r="BR41" t="n">
        <v>-0.05046863616777841</v>
      </c>
      <c r="BS41" t="n">
        <v>-0.01731004289163707</v>
      </c>
      <c r="BT41" t="n">
        <v>-0.0604282115986905</v>
      </c>
      <c r="BU41" t="n">
        <v>-0.01694872879085096</v>
      </c>
      <c r="BV41" t="n">
        <v>-0.02619056744904924</v>
      </c>
      <c r="BW41" t="n">
        <v>0.09027691500668311</v>
      </c>
      <c r="BX41" t="n">
        <v>0.1801265280019493</v>
      </c>
      <c r="BY41" t="n">
        <v>0.4681827995439392</v>
      </c>
      <c r="BZ41" t="n">
        <v>0.557954879717272</v>
      </c>
    </row>
    <row r="42" ht="15" customHeight="1" s="115">
      <c r="A42" s="4" t="inlineStr">
        <is>
          <t>LTV Adjustments</t>
        </is>
      </c>
      <c r="B42" s="8" t="n"/>
      <c r="C42" s="8" t="n"/>
      <c r="D42" s="8" t="n"/>
      <c r="E42" s="8" t="n"/>
      <c r="F42" t="n">
        <v>0.1034586703935645</v>
      </c>
      <c r="G42" t="n">
        <v>0.06633602350319734</v>
      </c>
      <c r="H42" t="n">
        <v>-0.03026720482074552</v>
      </c>
      <c r="I42" t="n">
        <v>0.08012667472317503</v>
      </c>
      <c r="J42" t="n">
        <v>-0.1402486276575701</v>
      </c>
      <c r="K42" t="n">
        <v>-0.3550519279331183</v>
      </c>
      <c r="L42" t="n">
        <v>-0.1878642575659626</v>
      </c>
      <c r="M42" t="n">
        <v>-0.07485432498381783</v>
      </c>
      <c r="N42" t="n">
        <v>-0.1075239909774552</v>
      </c>
      <c r="O42" t="n">
        <v>-0.1413271114379313</v>
      </c>
      <c r="P42" t="n">
        <v>-0.1006134030386931</v>
      </c>
      <c r="Q42" t="n">
        <v>-0.1712206252127828</v>
      </c>
      <c r="R42" t="n">
        <v>-0.1348285545423664</v>
      </c>
      <c r="S42" t="n">
        <v>-0.1740028223323122</v>
      </c>
      <c r="T42" t="n">
        <v>-0.07490358227269667</v>
      </c>
      <c r="U42" t="n">
        <v>-0.003771988359858369</v>
      </c>
      <c r="V42" t="n">
        <v>0.1137715604963603</v>
      </c>
      <c r="W42" t="n">
        <v>0.3194249311361261</v>
      </c>
      <c r="X42" t="n">
        <v>0.4619961945618059</v>
      </c>
      <c r="Y42" t="n">
        <v>0.5842985829207521</v>
      </c>
      <c r="Z42" t="n">
        <v>0.7043100099699586</v>
      </c>
      <c r="AA42" t="n">
        <v>0.6390917747848448</v>
      </c>
      <c r="AB42" t="n">
        <v>0.8437550465864376</v>
      </c>
      <c r="AC42" t="n">
        <v>1.024577738173889</v>
      </c>
      <c r="AD42" t="n">
        <v>1.221128639876923</v>
      </c>
      <c r="AE42" t="n">
        <v>1.121609693742442</v>
      </c>
      <c r="AF42" t="n">
        <v>1.15261394728698</v>
      </c>
      <c r="AG42" t="n">
        <v>1.169329703487023</v>
      </c>
      <c r="AH42" t="n">
        <v>1.076666802973648</v>
      </c>
      <c r="AI42" t="n">
        <v>1.211537700411583</v>
      </c>
      <c r="AJ42" t="n">
        <v>1.381562257171964</v>
      </c>
      <c r="AK42" t="n">
        <v>1.410818640619027</v>
      </c>
      <c r="AL42" t="n">
        <v>1.60690656239332</v>
      </c>
      <c r="AM42" t="n">
        <v>1.62968738844171</v>
      </c>
      <c r="AN42" t="n">
        <v>1.769203114649628</v>
      </c>
      <c r="AO42" t="n">
        <v>1.635666659875682</v>
      </c>
      <c r="AP42" t="n">
        <v>1.763940690598474</v>
      </c>
      <c r="AQ42" t="n">
        <v>1.610494886629482</v>
      </c>
      <c r="AR42" t="n">
        <v>1.729425350011638</v>
      </c>
      <c r="AS42" t="n">
        <v>1.515915727927734</v>
      </c>
      <c r="AT42" t="n">
        <v>1.518173719020041</v>
      </c>
      <c r="AU42" t="n">
        <v>1.634596213646518</v>
      </c>
      <c r="AV42" t="n">
        <v>1.564297267198071</v>
      </c>
      <c r="AW42" t="n">
        <v>1.591993383908203</v>
      </c>
      <c r="AX42" t="n">
        <v>1.680692407031671</v>
      </c>
      <c r="AY42" t="n">
        <v>1.440720543794015</v>
      </c>
      <c r="AZ42" t="n">
        <v>1.543747849246955</v>
      </c>
      <c r="BA42" t="n">
        <v>1.553082657690652</v>
      </c>
      <c r="BB42" t="n">
        <v>1.704123804892959</v>
      </c>
      <c r="BC42" t="n">
        <v>1.601938990836203</v>
      </c>
      <c r="BD42" t="n">
        <v>1.652806341993767</v>
      </c>
      <c r="BE42" t="n">
        <v>1.606219308278753</v>
      </c>
      <c r="BF42" t="n">
        <v>1.333329289552438</v>
      </c>
      <c r="BG42" t="n">
        <v>1.191299534863504</v>
      </c>
      <c r="BH42" t="n">
        <v>1.04655441943936</v>
      </c>
      <c r="BI42" t="n">
        <v>1.091652802880162</v>
      </c>
      <c r="BJ42" t="n">
        <v>0.8800824624871666</v>
      </c>
      <c r="BK42" t="n">
        <v>0.6784771889484205</v>
      </c>
      <c r="BL42" t="n">
        <v>0.3132812390903155</v>
      </c>
      <c r="BM42" t="n">
        <v>-0.00729622596338686</v>
      </c>
      <c r="BN42" t="n">
        <v>-0.1254660280188489</v>
      </c>
      <c r="BO42" t="n">
        <v>-0.3064791197479906</v>
      </c>
      <c r="BP42" t="n">
        <v>-0.08847187148018065</v>
      </c>
      <c r="BQ42" t="n">
        <v>0.141992584591776</v>
      </c>
      <c r="BR42" t="n">
        <v>0.05046863616777841</v>
      </c>
      <c r="BS42" t="n">
        <v>0.01731004289163707</v>
      </c>
      <c r="BT42" t="n">
        <v>0.0604282115986905</v>
      </c>
      <c r="BU42" t="n">
        <v>0.01694872879085096</v>
      </c>
      <c r="BV42" t="n">
        <v>0.02619056744904924</v>
      </c>
      <c r="BW42" t="n">
        <v>-0.09027691500668311</v>
      </c>
      <c r="BX42" t="n">
        <v>-0.1801265280019493</v>
      </c>
      <c r="BY42" t="n">
        <v>-0.4681827995439392</v>
      </c>
      <c r="BZ42" t="n">
        <v>-0.557954879717272</v>
      </c>
    </row>
    <row r="43" ht="15" customHeight="1" s="115">
      <c r="A43" s="3" t="inlineStr">
        <is>
          <t>RAGU Score</t>
        </is>
      </c>
      <c r="B43" s="8" t="n"/>
      <c r="C43" s="8" t="n"/>
      <c r="D43" s="8" t="n"/>
      <c r="E43" s="8" t="n"/>
      <c r="F43" t="n">
        <v>128.8195287756596</v>
      </c>
      <c r="G43" t="n">
        <v>133.168652180806</v>
      </c>
      <c r="H43" t="n">
        <v>132.9836316292489</v>
      </c>
      <c r="I43" t="n">
        <v>130.2592677074708</v>
      </c>
      <c r="J43" t="n">
        <v>133.464645398625</v>
      </c>
      <c r="K43" t="n">
        <v>135.7353163929493</v>
      </c>
      <c r="L43" t="n">
        <v>135.9860327599382</v>
      </c>
      <c r="M43" t="n">
        <v>135.8410267217204</v>
      </c>
      <c r="N43" t="n">
        <v>135.5177104973068</v>
      </c>
      <c r="O43" t="n">
        <v>134.2873761845116</v>
      </c>
      <c r="P43" t="n">
        <v>134.0837762505777</v>
      </c>
      <c r="Q43" t="n">
        <v>132.6203689693862</v>
      </c>
      <c r="R43" t="n">
        <v>133.3058012580668</v>
      </c>
      <c r="S43" t="n">
        <v>132.8207143119627</v>
      </c>
      <c r="T43" t="n">
        <v>132.3277545694992</v>
      </c>
      <c r="U43" t="n">
        <v>130.9087824659116</v>
      </c>
      <c r="V43" t="n">
        <v>130.6119394155313</v>
      </c>
      <c r="W43" t="n">
        <v>129.8911013532185</v>
      </c>
      <c r="X43" t="n">
        <v>128.7492716407876</v>
      </c>
      <c r="Y43" t="n">
        <v>130.6705363573805</v>
      </c>
      <c r="Z43" t="n">
        <v>129.2452736803921</v>
      </c>
      <c r="AA43" t="n">
        <v>128.8249099914418</v>
      </c>
      <c r="AB43" t="n">
        <v>128.2383418594237</v>
      </c>
      <c r="AC43" t="n">
        <v>127.0130600293733</v>
      </c>
      <c r="AD43" t="n">
        <v>127.5674533925001</v>
      </c>
      <c r="AE43" t="n">
        <v>128.1814626134112</v>
      </c>
      <c r="AF43" t="n">
        <v>129.0688555260368</v>
      </c>
      <c r="AG43" t="n">
        <v>129.5868373413913</v>
      </c>
      <c r="AH43" t="n">
        <v>130.6037778187691</v>
      </c>
      <c r="AI43" t="n">
        <v>130.812366283994</v>
      </c>
      <c r="AJ43" t="n">
        <v>130.744385486009</v>
      </c>
      <c r="AK43" t="n">
        <v>130.0890962453422</v>
      </c>
      <c r="AL43" t="n">
        <v>129.5366150865756</v>
      </c>
      <c r="AM43" t="n">
        <v>129.0999915895904</v>
      </c>
      <c r="AN43" t="n">
        <v>129.7346660773926</v>
      </c>
      <c r="AO43" t="n">
        <v>130.5061220260444</v>
      </c>
      <c r="AP43" t="n">
        <v>129.923889897941</v>
      </c>
      <c r="AQ43" t="n">
        <v>131.0356669564628</v>
      </c>
      <c r="AR43" t="n">
        <v>131.5264914175258</v>
      </c>
      <c r="AS43" t="n">
        <v>132.4251834206972</v>
      </c>
      <c r="AT43" t="n">
        <v>133.150467497359</v>
      </c>
      <c r="AU43" t="n">
        <v>131.2113766087086</v>
      </c>
      <c r="AV43" t="n">
        <v>131.1058801346928</v>
      </c>
      <c r="AW43" t="n">
        <v>133.2869066008144</v>
      </c>
      <c r="AX43" t="n">
        <v>134.5372979995622</v>
      </c>
      <c r="AY43" t="n">
        <v>135.0766372574036</v>
      </c>
      <c r="AZ43" t="n">
        <v>135.0693035880611</v>
      </c>
      <c r="BA43" t="n">
        <v>135.7072030799966</v>
      </c>
      <c r="BB43" t="n">
        <v>135.6547886832405</v>
      </c>
      <c r="BC43" t="n">
        <v>135.9218873071932</v>
      </c>
      <c r="BD43" t="n">
        <v>135.749573511133</v>
      </c>
      <c r="BE43" t="n">
        <v>136.0340198481545</v>
      </c>
      <c r="BF43" t="n">
        <v>136.697636352411</v>
      </c>
      <c r="BG43" t="n">
        <v>137.0580864774057</v>
      </c>
      <c r="BH43" t="n">
        <v>136.0686251157889</v>
      </c>
      <c r="BI43" t="n">
        <v>136.2234464386915</v>
      </c>
      <c r="BJ43" t="n">
        <v>136.3178940207236</v>
      </c>
      <c r="BK43" t="n">
        <v>135.5285524716548</v>
      </c>
      <c r="BL43" t="n">
        <v>134.8441747556534</v>
      </c>
      <c r="BM43" t="n">
        <v>134.4742700701598</v>
      </c>
      <c r="BN43" t="n">
        <v>134.1873632463125</v>
      </c>
      <c r="BO43" t="n">
        <v>133.8962220029375</v>
      </c>
      <c r="BP43" t="n">
        <v>134.9256324903659</v>
      </c>
      <c r="BQ43" t="n">
        <v>136.3304315125159</v>
      </c>
      <c r="BR43" t="n">
        <v>136.9267106675562</v>
      </c>
      <c r="BS43" t="n">
        <v>137.693705011923</v>
      </c>
      <c r="BT43" t="n">
        <v>137.6669358966945</v>
      </c>
      <c r="BU43" t="n">
        <v>137.49589870219</v>
      </c>
      <c r="BV43" t="n">
        <v>137.3350250087703</v>
      </c>
      <c r="BW43" t="n">
        <v>138.4622982138788</v>
      </c>
      <c r="BX43" t="n">
        <v>138.7948329237142</v>
      </c>
      <c r="BY43" t="n">
        <v>140.1887345388683</v>
      </c>
      <c r="BZ43" t="n">
        <v>141.3018319899276</v>
      </c>
    </row>
    <row r="44" ht="15" customHeight="1" s="115">
      <c r="A44" s="5" t="inlineStr">
        <is>
          <t>LTV</t>
        </is>
      </c>
      <c r="B44" s="8" t="n"/>
      <c r="C44" s="8" t="n"/>
      <c r="D44" s="8" t="n"/>
      <c r="E44" s="8" t="n"/>
      <c r="F44" t="n">
        <v>1.553750055840317</v>
      </c>
      <c r="G44" t="n">
        <v>1.485294354276631</v>
      </c>
      <c r="H44" t="n">
        <v>1.426191281614033</v>
      </c>
      <c r="I44" t="n">
        <v>1.435477196209441</v>
      </c>
      <c r="J44" t="n">
        <v>1.482293720320448</v>
      </c>
      <c r="K44" t="n">
        <v>1.422656961490767</v>
      </c>
      <c r="L44" t="n">
        <v>1.282801008986156</v>
      </c>
      <c r="M44" t="n">
        <v>1.235074655113813</v>
      </c>
      <c r="N44" t="n">
        <v>1.285704647682426</v>
      </c>
      <c r="O44" t="n">
        <v>1.346199756472103</v>
      </c>
      <c r="P44" t="n">
        <v>1.383923470815378</v>
      </c>
      <c r="Q44" t="n">
        <v>1.379644671650121</v>
      </c>
      <c r="R44" t="n">
        <v>1.398022051491152</v>
      </c>
      <c r="S44" t="n">
        <v>1.408067787290352</v>
      </c>
      <c r="T44" t="n">
        <v>1.318137563634</v>
      </c>
      <c r="U44" t="n">
        <v>1.261663886994077</v>
      </c>
      <c r="V44" t="n">
        <v>1.259969324366989</v>
      </c>
      <c r="W44" t="n">
        <v>1.257164644339761</v>
      </c>
      <c r="X44" t="n">
        <v>1.299682947121543</v>
      </c>
      <c r="Y44" t="n">
        <v>1.350102812727764</v>
      </c>
      <c r="Z44" t="n">
        <v>1.372456284629064</v>
      </c>
      <c r="AA44" t="n">
        <v>1.369666368677223</v>
      </c>
      <c r="AB44" t="n">
        <v>1.353455023911573</v>
      </c>
      <c r="AC44" t="n">
        <v>1.397651880517485</v>
      </c>
      <c r="AD44" t="n">
        <v>1.382371026340129</v>
      </c>
      <c r="AE44" t="n">
        <v>1.394053147580706</v>
      </c>
      <c r="AF44" t="n">
        <v>1.389216086309972</v>
      </c>
      <c r="AG44" t="n">
        <v>1.374706341235873</v>
      </c>
      <c r="AH44" t="n">
        <v>1.368683886724422</v>
      </c>
      <c r="AI44" t="n">
        <v>1.286290077477568</v>
      </c>
      <c r="AJ44" t="n">
        <v>1.290253585075088</v>
      </c>
      <c r="AK44" t="n">
        <v>1.305433421616576</v>
      </c>
      <c r="AL44" t="n">
        <v>1.278905562180358</v>
      </c>
      <c r="AM44" t="n">
        <v>1.309409733127285</v>
      </c>
      <c r="AN44" t="n">
        <v>1.362239928499408</v>
      </c>
      <c r="AO44" t="n">
        <v>1.370172383331423</v>
      </c>
      <c r="AP44" t="n">
        <v>1.346327165407311</v>
      </c>
      <c r="AQ44" t="n">
        <v>1.314555460516554</v>
      </c>
      <c r="AR44" t="n">
        <v>1.463863120027913</v>
      </c>
      <c r="AS44" t="n">
        <v>1.720195710614704</v>
      </c>
      <c r="AT44" t="n">
        <v>1.286904632717976</v>
      </c>
      <c r="AU44" t="n">
        <v>1.263944037102024</v>
      </c>
      <c r="AV44" t="n">
        <v>1.250572285274899</v>
      </c>
      <c r="AW44" t="n">
        <v>1.245015102680737</v>
      </c>
      <c r="AX44" t="n">
        <v>1.287659810445474</v>
      </c>
      <c r="AY44" t="n">
        <v>1.28264790992451</v>
      </c>
      <c r="AZ44" t="n">
        <v>1.306111307292468</v>
      </c>
      <c r="BA44" t="n">
        <v>1.339035073019081</v>
      </c>
      <c r="BB44" t="n">
        <v>1.347246968694447</v>
      </c>
      <c r="BC44" t="n">
        <v>1.335966079790158</v>
      </c>
      <c r="BD44" t="n">
        <v>1.303122235192568</v>
      </c>
      <c r="BE44" t="n">
        <v>1.298614227266144</v>
      </c>
      <c r="BF44" t="n">
        <v>1.305830505665844</v>
      </c>
      <c r="BG44" t="n">
        <v>1.302221455993146</v>
      </c>
      <c r="BH44" t="n">
        <v>1.321331652002125</v>
      </c>
      <c r="BI44" t="n">
        <v>1.318102467893091</v>
      </c>
      <c r="BJ44" t="n">
        <v>1.315694682812473</v>
      </c>
      <c r="BK44" t="n">
        <v>1.342592922704054</v>
      </c>
      <c r="BL44" t="n">
        <v>1.352732773488775</v>
      </c>
      <c r="BM44" t="n">
        <v>1.348596781716434</v>
      </c>
      <c r="BN44" t="n">
        <v>1.355544389597728</v>
      </c>
      <c r="BO44" t="n">
        <v>1.346162106962908</v>
      </c>
      <c r="BP44" t="n">
        <v>1.322160293146808</v>
      </c>
      <c r="BQ44" t="n">
        <v>1.318523237345721</v>
      </c>
      <c r="BR44" t="n">
        <v>1.301427987853515</v>
      </c>
      <c r="BS44" t="n">
        <v>1.30611331782709</v>
      </c>
      <c r="BT44" t="n">
        <v>1.310713066492149</v>
      </c>
      <c r="BU44" t="n">
        <v>1.311325100677342</v>
      </c>
      <c r="BV44" t="n">
        <v>1.310206122187057</v>
      </c>
      <c r="BW44" t="n">
        <v>1.309706043582115</v>
      </c>
      <c r="BX44" t="n">
        <v>1.32012098164907</v>
      </c>
      <c r="BY44" t="n">
        <v>1.353159553423579</v>
      </c>
      <c r="BZ44" t="n">
        <v>1.370515132341062</v>
      </c>
    </row>
    <row r="45" ht="15" customHeight="1" s="115"/>
    <row r="46" ht="15" customHeight="1" s="115">
      <c r="A46" s="1" t="inlineStr">
        <is>
          <t>nonKMXENT</t>
        </is>
      </c>
      <c r="B46" s="2" t="n">
        <v>2016</v>
      </c>
      <c r="C46" s="2" t="n">
        <v>2017</v>
      </c>
      <c r="D46" s="2" t="n">
        <v>2018</v>
      </c>
      <c r="E46" s="2" t="n">
        <v>2019</v>
      </c>
      <c r="F46" s="2" t="inlineStr">
        <is>
          <t>2020 M01</t>
        </is>
      </c>
      <c r="G46" s="2" t="inlineStr">
        <is>
          <t>2020 M02</t>
        </is>
      </c>
      <c r="H46" s="2" t="inlineStr">
        <is>
          <t>2020 M03</t>
        </is>
      </c>
      <c r="I46" s="2" t="inlineStr">
        <is>
          <t>2020 M04</t>
        </is>
      </c>
      <c r="J46" s="2" t="inlineStr">
        <is>
          <t>2020 M05</t>
        </is>
      </c>
      <c r="K46" s="2" t="inlineStr">
        <is>
          <t>2020 M06</t>
        </is>
      </c>
      <c r="L46" s="2" t="inlineStr">
        <is>
          <t>2020 M07</t>
        </is>
      </c>
      <c r="M46" s="2" t="inlineStr">
        <is>
          <t>2020 M08</t>
        </is>
      </c>
      <c r="N46" s="2" t="inlineStr">
        <is>
          <t>2020 M09</t>
        </is>
      </c>
      <c r="O46" s="2" t="inlineStr">
        <is>
          <t>2020 M10</t>
        </is>
      </c>
      <c r="P46" s="2" t="inlineStr">
        <is>
          <t>2020 M11</t>
        </is>
      </c>
      <c r="Q46" s="2" t="inlineStr">
        <is>
          <t>2020 M12</t>
        </is>
      </c>
      <c r="R46" s="2" t="inlineStr">
        <is>
          <t>2021 M01</t>
        </is>
      </c>
      <c r="S46" s="2" t="inlineStr">
        <is>
          <t>2021 M02</t>
        </is>
      </c>
      <c r="T46" s="2" t="inlineStr">
        <is>
          <t>2021 M03</t>
        </is>
      </c>
      <c r="U46" s="2" t="inlineStr">
        <is>
          <t>2021 M04</t>
        </is>
      </c>
      <c r="V46" s="2" t="inlineStr">
        <is>
          <t>2021 M05</t>
        </is>
      </c>
      <c r="W46" s="2" t="inlineStr">
        <is>
          <t>2021 M06</t>
        </is>
      </c>
      <c r="X46" s="2" t="inlineStr">
        <is>
          <t>2021 M07</t>
        </is>
      </c>
      <c r="Y46" s="2" t="inlineStr">
        <is>
          <t>2021 M08</t>
        </is>
      </c>
      <c r="Z46" s="2" t="inlineStr">
        <is>
          <t>2021 M09</t>
        </is>
      </c>
      <c r="AA46" s="2" t="inlineStr">
        <is>
          <t>2021 M10</t>
        </is>
      </c>
      <c r="AB46" s="2" t="inlineStr">
        <is>
          <t>2021 M11</t>
        </is>
      </c>
      <c r="AC46" s="2" t="inlineStr">
        <is>
          <t>2021 M12</t>
        </is>
      </c>
      <c r="AD46" s="2" t="inlineStr">
        <is>
          <t>2022 M01</t>
        </is>
      </c>
      <c r="AE46" s="2" t="inlineStr">
        <is>
          <t>2022 M02</t>
        </is>
      </c>
      <c r="AF46" s="2" t="inlineStr">
        <is>
          <t>2022 M03</t>
        </is>
      </c>
      <c r="AG46" s="2" t="inlineStr">
        <is>
          <t>2022 M04</t>
        </is>
      </c>
      <c r="AH46" s="2" t="inlineStr">
        <is>
          <t>2022 M05</t>
        </is>
      </c>
      <c r="AI46" s="2" t="inlineStr">
        <is>
          <t>2022 M06</t>
        </is>
      </c>
      <c r="AJ46" s="2" t="inlineStr">
        <is>
          <t>2022 M07</t>
        </is>
      </c>
      <c r="AK46" s="2" t="inlineStr">
        <is>
          <t>2022 M08</t>
        </is>
      </c>
      <c r="AL46" s="2" t="inlineStr">
        <is>
          <t>2022 M09</t>
        </is>
      </c>
      <c r="AM46" s="2" t="inlineStr">
        <is>
          <t>2022 M10</t>
        </is>
      </c>
      <c r="AN46" s="2" t="inlineStr">
        <is>
          <t>2022 M11</t>
        </is>
      </c>
      <c r="AO46" s="2" t="inlineStr">
        <is>
          <t>2022 M12</t>
        </is>
      </c>
      <c r="AP46" s="2" t="inlineStr">
        <is>
          <t>2023 M01</t>
        </is>
      </c>
      <c r="AQ46" s="2" t="inlineStr">
        <is>
          <t>2023 M02</t>
        </is>
      </c>
      <c r="AR46" s="2" t="inlineStr">
        <is>
          <t>2023 M03</t>
        </is>
      </c>
      <c r="AS46" s="2" t="inlineStr">
        <is>
          <t>2023 M04</t>
        </is>
      </c>
      <c r="AT46" s="2" t="inlineStr">
        <is>
          <t>2023 M05</t>
        </is>
      </c>
      <c r="AU46" s="2" t="inlineStr">
        <is>
          <t>2023 M06</t>
        </is>
      </c>
      <c r="AV46" s="2" t="inlineStr">
        <is>
          <t>2023 M07</t>
        </is>
      </c>
      <c r="AW46" s="2" t="inlineStr">
        <is>
          <t>2023 M08</t>
        </is>
      </c>
      <c r="AX46" s="2" t="inlineStr">
        <is>
          <t>2023 M09</t>
        </is>
      </c>
      <c r="AY46" s="2" t="inlineStr">
        <is>
          <t>2023 M10</t>
        </is>
      </c>
      <c r="AZ46" s="2" t="inlineStr">
        <is>
          <t>2023 M11</t>
        </is>
      </c>
      <c r="BA46" s="2" t="inlineStr">
        <is>
          <t>2023 M12</t>
        </is>
      </c>
      <c r="BB46" s="2" t="inlineStr">
        <is>
          <t>2024 M01</t>
        </is>
      </c>
      <c r="BC46" s="2" t="inlineStr">
        <is>
          <t>2024 M02</t>
        </is>
      </c>
      <c r="BD46" s="2" t="inlineStr">
        <is>
          <t>2024 M03</t>
        </is>
      </c>
      <c r="BE46" s="2" t="inlineStr">
        <is>
          <t>2024 M04</t>
        </is>
      </c>
      <c r="BF46" s="2" t="inlineStr">
        <is>
          <t>2024 M05</t>
        </is>
      </c>
      <c r="BG46" s="2" t="inlineStr">
        <is>
          <t>2024 M06</t>
        </is>
      </c>
      <c r="BH46" s="2" t="inlineStr">
        <is>
          <t>2024 M07</t>
        </is>
      </c>
      <c r="BI46" s="2" t="inlineStr">
        <is>
          <t>2024 M08</t>
        </is>
      </c>
      <c r="BJ46" s="2" t="inlineStr">
        <is>
          <t>2024 M09</t>
        </is>
      </c>
      <c r="BK46" s="2" t="inlineStr">
        <is>
          <t>2024 M10</t>
        </is>
      </c>
      <c r="BL46" s="2" t="inlineStr">
        <is>
          <t>2024 M11</t>
        </is>
      </c>
      <c r="BM46" s="2" t="inlineStr">
        <is>
          <t>2024 M12</t>
        </is>
      </c>
      <c r="BN46" s="2" t="inlineStr">
        <is>
          <t>2025 M01</t>
        </is>
      </c>
      <c r="BO46" s="2" t="inlineStr">
        <is>
          <t xml:space="preserve">2025 M02 </t>
        </is>
      </c>
      <c r="BP46" s="2" t="inlineStr">
        <is>
          <t>2025 M03</t>
        </is>
      </c>
      <c r="BQ46" s="2" t="inlineStr">
        <is>
          <t>2025 M04</t>
        </is>
      </c>
      <c r="BR46" s="2" t="inlineStr">
        <is>
          <t>2025 M05</t>
        </is>
      </c>
      <c r="BS46" s="2" t="inlineStr">
        <is>
          <t>2025 M06</t>
        </is>
      </c>
      <c r="BT46" s="2" t="inlineStr">
        <is>
          <t>2025 M07</t>
        </is>
      </c>
      <c r="BU46" s="2" t="inlineStr">
        <is>
          <t>2025 M08</t>
        </is>
      </c>
      <c r="BV46" s="2" t="inlineStr">
        <is>
          <t>2025 M09</t>
        </is>
      </c>
      <c r="BW46" s="2" t="inlineStr">
        <is>
          <t>2025 M10</t>
        </is>
      </c>
    </row>
    <row r="47" ht="15" customHeight="1" s="115">
      <c r="A47" s="5" t="inlineStr">
        <is>
          <t>Contract Model Score</t>
        </is>
      </c>
      <c r="B47" t="n">
        <v>130.1115794706788</v>
      </c>
      <c r="C47" t="n">
        <v>132.5872085203612</v>
      </c>
      <c r="D47" t="n">
        <v>132.5195749935182</v>
      </c>
      <c r="E47" t="n">
        <v>130.5262422382896</v>
      </c>
      <c r="F47" t="n">
        <v>130.8117749868259</v>
      </c>
      <c r="G47" t="n">
        <v>131.2281696758353</v>
      </c>
      <c r="H47" t="n">
        <v>130.7757036720269</v>
      </c>
      <c r="I47" t="n">
        <v>131.2261164811479</v>
      </c>
      <c r="J47" t="n">
        <v>133.8437294985833</v>
      </c>
      <c r="K47" t="n">
        <v>134.8888458301772</v>
      </c>
      <c r="L47" t="n">
        <v>135.270710710574</v>
      </c>
      <c r="M47" t="n">
        <v>135.5068983612268</v>
      </c>
      <c r="N47" t="n">
        <v>135.2101229393022</v>
      </c>
      <c r="O47" t="n">
        <v>134.9681350123726</v>
      </c>
      <c r="P47" t="n">
        <v>134.4418423109434</v>
      </c>
      <c r="Q47" t="n">
        <v>135.6283153754589</v>
      </c>
      <c r="R47" t="n">
        <v>135.7524410285362</v>
      </c>
      <c r="S47" t="n">
        <v>135.3741481104609</v>
      </c>
      <c r="T47" t="n">
        <v>135.134422436633</v>
      </c>
      <c r="U47" t="n">
        <v>135.4240959992793</v>
      </c>
      <c r="V47" t="n">
        <v>135.5964264685111</v>
      </c>
      <c r="W47" t="n">
        <v>135.2640741629934</v>
      </c>
      <c r="X47" t="n">
        <v>134.7490903364623</v>
      </c>
      <c r="Y47" t="n">
        <v>136.016851126047</v>
      </c>
      <c r="Z47" t="n">
        <v>134.6428811708158</v>
      </c>
      <c r="AA47" t="n">
        <v>134.7202969050206</v>
      </c>
      <c r="AB47" t="n">
        <v>132.7458626272979</v>
      </c>
      <c r="AC47" t="n">
        <v>133.2802071141278</v>
      </c>
      <c r="AD47" t="n">
        <v>134.1584206144259</v>
      </c>
      <c r="AE47" t="n">
        <v>134.0307879311682</v>
      </c>
      <c r="AF47" t="n">
        <v>134.4356965108075</v>
      </c>
      <c r="AG47" t="n">
        <v>135.8463123428663</v>
      </c>
      <c r="AH47" t="n">
        <v>136.7478787197772</v>
      </c>
      <c r="AI47" t="n">
        <v>137.1247268731846</v>
      </c>
      <c r="AJ47" t="n">
        <v>137.2900826322781</v>
      </c>
      <c r="AK47" t="n">
        <v>137.4352757655828</v>
      </c>
      <c r="AL47" t="n">
        <v>137.3144436592148</v>
      </c>
      <c r="AM47" t="n">
        <v>137.6542799725121</v>
      </c>
      <c r="AN47" t="n">
        <v>139.510011225556</v>
      </c>
      <c r="AO47" t="n">
        <v>139.2403100712475</v>
      </c>
      <c r="AP47" t="n">
        <v>139.8043111064664</v>
      </c>
      <c r="AQ47" t="n">
        <v>139.643779812211</v>
      </c>
      <c r="AR47" t="n">
        <v>139.1543077466145</v>
      </c>
      <c r="AS47" t="n">
        <v>138.8766981012248</v>
      </c>
      <c r="AT47" t="n">
        <v>138.7935136679648</v>
      </c>
      <c r="AU47" t="n">
        <v>138.6087307819584</v>
      </c>
      <c r="AV47" t="n">
        <v>137.8540902347636</v>
      </c>
      <c r="AW47" t="n">
        <v>139.0742207395074</v>
      </c>
      <c r="AX47" t="n">
        <v>139.5088304492494</v>
      </c>
      <c r="AY47" t="n">
        <v>139.087139891869</v>
      </c>
      <c r="AZ47" t="n">
        <v>138.0299422628105</v>
      </c>
      <c r="BA47" t="n">
        <v>137.9700844356846</v>
      </c>
      <c r="BB47" t="n">
        <v>138.1010035587512</v>
      </c>
      <c r="BC47" t="n">
        <v>137.7913180539735</v>
      </c>
      <c r="BD47" t="n">
        <v>137.1476263115898</v>
      </c>
      <c r="BE47" t="n">
        <v>138.3292733463794</v>
      </c>
      <c r="BF47" t="n">
        <v>138.7994705002123</v>
      </c>
      <c r="BG47" t="n">
        <v>139.2328677720336</v>
      </c>
      <c r="BH47" t="n">
        <v>139.6109361482338</v>
      </c>
      <c r="BI47" t="n">
        <v>140.4791259322506</v>
      </c>
      <c r="BJ47" t="n">
        <v>140.3190329580142</v>
      </c>
      <c r="BK47" t="n">
        <v>139.3604305267862</v>
      </c>
      <c r="BL47" t="n">
        <v>138.4665584615501</v>
      </c>
      <c r="BM47" t="n">
        <v>138.0133268093847</v>
      </c>
      <c r="BN47" t="n">
        <v>138.1076902256548</v>
      </c>
      <c r="BO47" t="n">
        <v>138.2144037231351</v>
      </c>
      <c r="BP47" t="n">
        <v>138.1122775173125</v>
      </c>
      <c r="BQ47" t="n">
        <v>138.8502160752163</v>
      </c>
      <c r="BR47" t="n">
        <v>139.3942036309305</v>
      </c>
      <c r="BS47" t="n">
        <v>139.4822551177209</v>
      </c>
      <c r="BT47" t="n">
        <v>139.6596177536831</v>
      </c>
      <c r="BU47" t="n">
        <v>139.3172824940841</v>
      </c>
      <c r="BV47" t="n">
        <v>139.858191507463</v>
      </c>
      <c r="BW47" t="n">
        <v>140.017669809412</v>
      </c>
      <c r="BX47" t="n">
        <v>140.1897186360379</v>
      </c>
      <c r="BY47" t="n">
        <v>141.5107088157929</v>
      </c>
      <c r="BZ47" t="n">
        <v>142.0291006111157</v>
      </c>
    </row>
    <row r="48" ht="15" customHeight="1" s="115">
      <c r="A48" s="6" t="inlineStr">
        <is>
          <t>Model Score</t>
        </is>
      </c>
      <c r="B48" t="n">
        <v>0.1447627239279257</v>
      </c>
      <c r="C48" t="n">
        <v>0.09460464231366927</v>
      </c>
      <c r="D48" t="n">
        <v>0.03181587900823502</v>
      </c>
      <c r="E48" t="n">
        <v>0.006237426446460859</v>
      </c>
      <c r="F48" t="n">
        <v>-0.004273285048725484</v>
      </c>
      <c r="G48" t="n">
        <v>0.002711461149800698</v>
      </c>
      <c r="H48" t="n">
        <v>-0.00498849924207434</v>
      </c>
      <c r="I48" t="n">
        <v>-0.0003031382273093186</v>
      </c>
      <c r="J48" t="n">
        <v>-0.001917732928774285</v>
      </c>
      <c r="K48" t="n">
        <v>0.003795111453086975</v>
      </c>
      <c r="L48" t="n">
        <v>0.005545850711456524</v>
      </c>
      <c r="M48" t="n">
        <v>-0.0008686855336179633</v>
      </c>
      <c r="N48" t="n">
        <v>-0.0003250609474036992</v>
      </c>
      <c r="O48" t="n">
        <v>0.01030422245224827</v>
      </c>
      <c r="P48" t="n">
        <v>-0.00197050422352163</v>
      </c>
      <c r="Q48" t="n">
        <v>0.002340414369797372</v>
      </c>
      <c r="R48" t="n">
        <v>0.000700142537937154</v>
      </c>
      <c r="S48" t="n">
        <v>0.001239709638383601</v>
      </c>
      <c r="T48" t="n">
        <v>0.0004840390836591268</v>
      </c>
      <c r="U48" t="n">
        <v>0.001341323750210677</v>
      </c>
      <c r="V48" t="n">
        <v>-0.002288376671373271</v>
      </c>
      <c r="W48" t="n">
        <v>0.002678979663329528</v>
      </c>
      <c r="X48" t="n">
        <v>0.001750180141243618</v>
      </c>
      <c r="Y48" t="n">
        <v>0.001955434461820005</v>
      </c>
      <c r="Z48" t="n">
        <v>0.002511823188740436</v>
      </c>
      <c r="AA48" t="n">
        <v>0.003379932079866421</v>
      </c>
      <c r="AB48" t="n">
        <v>0.0009918396387433859</v>
      </c>
      <c r="AC48" t="n">
        <v>-0.009016029069584874</v>
      </c>
      <c r="AD48" t="n">
        <v>0.0001706921825359586</v>
      </c>
      <c r="AE48" t="n">
        <v>-0.001578816109372383</v>
      </c>
      <c r="AF48" t="n">
        <v>-0.0005419128112293947</v>
      </c>
      <c r="AG48" t="n">
        <v>0.0007314344525184424</v>
      </c>
      <c r="AH48" t="n">
        <v>-0.003926258288743156</v>
      </c>
      <c r="AI48" t="n">
        <v>-0.006119572644450955</v>
      </c>
      <c r="AJ48" t="n">
        <v>-0.004341198155259463</v>
      </c>
      <c r="AK48" t="n">
        <v>0.003812595117096862</v>
      </c>
      <c r="AL48" t="n">
        <v>-0.004173392728091585</v>
      </c>
      <c r="AM48" t="n">
        <v>-0.0009214679718070329</v>
      </c>
      <c r="AN48" t="n">
        <v>0.007762622470579572</v>
      </c>
      <c r="AO48" t="n">
        <v>-0.008217084508601147</v>
      </c>
      <c r="AP48" t="n">
        <v>0.01479611935619118</v>
      </c>
      <c r="AQ48" t="n">
        <v>0.01316186502762662</v>
      </c>
      <c r="AR48" t="n">
        <v>-0.04687566195519821</v>
      </c>
      <c r="AS48" t="n">
        <v>0.198538033204926</v>
      </c>
      <c r="AT48" t="n">
        <v>-0.01197859467308149</v>
      </c>
      <c r="AU48" t="n">
        <v>-0.01194233990634075</v>
      </c>
      <c r="AV48" t="n">
        <v>0.009150902869322408</v>
      </c>
      <c r="AW48" t="n">
        <v>-0.03746492318234118</v>
      </c>
      <c r="AX48" t="n">
        <v>-0.01743566396478968</v>
      </c>
      <c r="AY48" t="n">
        <v>-0.009030793068717458</v>
      </c>
      <c r="AZ48" t="n">
        <v>-0.004727794698425214</v>
      </c>
      <c r="BA48" t="n">
        <v>0.005322335876456918</v>
      </c>
      <c r="BB48" t="n">
        <v>-0.008289970497344257</v>
      </c>
      <c r="BC48" t="n">
        <v>-0.01561854436531007</v>
      </c>
      <c r="BD48" t="n">
        <v>-0.01273258273886313</v>
      </c>
      <c r="BE48" t="n">
        <v>-0.01375535162671326</v>
      </c>
      <c r="BF48" t="n">
        <v>-0.01001176774278179</v>
      </c>
      <c r="BG48" t="n">
        <v>-0.004576300852875193</v>
      </c>
      <c r="BH48" t="n">
        <v>-0.005364296779532651</v>
      </c>
      <c r="BI48" t="n">
        <v>-0.008852423568356471</v>
      </c>
      <c r="BJ48" t="n">
        <v>0.01738647334494203</v>
      </c>
      <c r="BK48" t="n">
        <v>-0.02177410534449109</v>
      </c>
      <c r="BL48" t="n">
        <v>0.01821122913759154</v>
      </c>
      <c r="BM48" t="n">
        <v>-0.008128255217172864</v>
      </c>
      <c r="BN48" t="n">
        <v>-0.002224670631164827</v>
      </c>
      <c r="BO48" t="n">
        <v>-0.02845461804056981</v>
      </c>
      <c r="BP48" t="n">
        <v>-0.01905223664581968</v>
      </c>
      <c r="BQ48" t="n">
        <v>-0.02910699884617429</v>
      </c>
      <c r="BR48" t="n">
        <v>-0.01692197607357571</v>
      </c>
      <c r="BS48" t="n">
        <v>-0.01130761785074696</v>
      </c>
      <c r="BT48" t="n">
        <v>-0.009732921942259054</v>
      </c>
      <c r="BU48" t="n">
        <v>-0.01525324180329335</v>
      </c>
      <c r="BV48" t="n">
        <v>-0.0006254760609465393</v>
      </c>
      <c r="BW48" t="n">
        <v>0.00128474252636579</v>
      </c>
      <c r="BX48" t="n">
        <v>0.01711830714265261</v>
      </c>
      <c r="BY48" t="n">
        <v>-0.006728897837462</v>
      </c>
      <c r="BZ48" t="n">
        <v>0.006438417462533153</v>
      </c>
    </row>
    <row r="49" ht="15" customHeight="1" s="115">
      <c r="A49" s="4" t="inlineStr">
        <is>
          <t>Gross Loss Adjustments (Dealer level, high PTI, etc.)</t>
        </is>
      </c>
      <c r="B49" t="n">
        <v>0.2588813202717404</v>
      </c>
      <c r="C49" t="n">
        <v>0.5587927938032067</v>
      </c>
      <c r="D49" t="n">
        <v>0.5638027855536905</v>
      </c>
      <c r="E49" t="n">
        <v>0.2926034565936959</v>
      </c>
      <c r="F49" t="n">
        <v>-0.4299913355787623</v>
      </c>
      <c r="G49" t="n">
        <v>-0.4111409801560058</v>
      </c>
      <c r="H49" t="n">
        <v>-0.2474062802069739</v>
      </c>
      <c r="I49" t="n">
        <v>-0.3243084982444771</v>
      </c>
      <c r="J49" t="n">
        <v>-0.06281353423042901</v>
      </c>
      <c r="K49" t="n">
        <v>-0.1531548607882485</v>
      </c>
      <c r="L49" t="n">
        <v>-0.2823184173368247</v>
      </c>
      <c r="M49" t="n">
        <v>-0.2606559077954671</v>
      </c>
      <c r="N49" t="n">
        <v>-0.2726350542660327</v>
      </c>
      <c r="O49" t="n">
        <v>-0.2879160372681895</v>
      </c>
      <c r="P49" t="n">
        <v>-0.2504129234096695</v>
      </c>
      <c r="Q49" t="n">
        <v>-0.07364775947047519</v>
      </c>
      <c r="R49" t="n">
        <v>0.3652981742002339</v>
      </c>
      <c r="S49" t="n">
        <v>0.5059497139232292</v>
      </c>
      <c r="T49" t="n">
        <v>0.5241465148313864</v>
      </c>
      <c r="U49" t="n">
        <v>0.4819102722291575</v>
      </c>
      <c r="V49" t="n">
        <v>0.4449103547479183</v>
      </c>
      <c r="W49" t="n">
        <v>0.1619207778276177</v>
      </c>
      <c r="X49" t="n">
        <v>0.05376354072174649</v>
      </c>
      <c r="Y49" t="n">
        <v>0.2854184161872411</v>
      </c>
      <c r="Z49" t="n">
        <v>0.1426274372312832</v>
      </c>
      <c r="AA49" t="n">
        <v>-0.1344024284701675</v>
      </c>
      <c r="AB49" t="n">
        <v>-0.2401549546945319</v>
      </c>
      <c r="AC49" t="n">
        <v>-0.278226067944729</v>
      </c>
      <c r="AD49" t="n">
        <v>-0.595561846075185</v>
      </c>
      <c r="AE49" t="n">
        <v>-0.320314339608899</v>
      </c>
      <c r="AF49" t="n">
        <v>-0.2783971949039881</v>
      </c>
      <c r="AG49" t="n">
        <v>0.05735320575263358</v>
      </c>
      <c r="AH49" t="n">
        <v>0.2573342142883348</v>
      </c>
      <c r="AI49" t="n">
        <v>0.2568141665971098</v>
      </c>
      <c r="AJ49" t="n">
        <v>0.4085059076222706</v>
      </c>
      <c r="AK49" t="n">
        <v>0.2554347141964399</v>
      </c>
      <c r="AL49" t="n">
        <v>-0.01157319357693609</v>
      </c>
      <c r="AM49" t="n">
        <v>0.03559415245950959</v>
      </c>
      <c r="AN49" t="n">
        <v>0.3221551545253476</v>
      </c>
      <c r="AO49" t="n">
        <v>0.6153771395561307</v>
      </c>
      <c r="AP49" t="n">
        <v>0.1575947589349767</v>
      </c>
      <c r="AQ49" t="n">
        <v>0.6772227297254858</v>
      </c>
      <c r="AR49" t="n">
        <v>0.7889015754570892</v>
      </c>
      <c r="AS49" t="n">
        <v>0.1420800663559021</v>
      </c>
      <c r="AT49" t="n">
        <v>0.990930781361385</v>
      </c>
      <c r="AU49" t="n">
        <v>0.8291849050344808</v>
      </c>
      <c r="AV49" t="n">
        <v>1.051616838392249</v>
      </c>
      <c r="AW49" t="n">
        <v>1.080268465678813</v>
      </c>
      <c r="AX49" t="n">
        <v>1.043504834352404</v>
      </c>
      <c r="AY49" t="n">
        <v>0.9135277274929479</v>
      </c>
      <c r="AZ49" t="n">
        <v>0.5853149923278522</v>
      </c>
      <c r="BA49" t="n">
        <v>0.672062185537186</v>
      </c>
      <c r="BB49" t="n">
        <v>0.6537299189383248</v>
      </c>
      <c r="BC49" t="n">
        <v>0.6484415703140201</v>
      </c>
      <c r="BD49" t="n">
        <v>0.5886211606694474</v>
      </c>
      <c r="BE49" t="n">
        <v>0.8781183666426671</v>
      </c>
      <c r="BF49" t="n">
        <v>1.237497492076784</v>
      </c>
      <c r="BG49" t="n">
        <v>1.093988376016483</v>
      </c>
      <c r="BH49" t="n">
        <v>1.337844642664862</v>
      </c>
      <c r="BI49" t="n">
        <v>1.308767076465756</v>
      </c>
      <c r="BJ49" t="n">
        <v>1.385201879360864</v>
      </c>
      <c r="BK49" t="n">
        <v>1.23118772573477</v>
      </c>
      <c r="BL49" t="n">
        <v>1.260713972729008</v>
      </c>
      <c r="BM49" t="n">
        <v>1.425532923699251</v>
      </c>
      <c r="BN49" t="n">
        <v>1.639542479237406</v>
      </c>
      <c r="BO49" t="n">
        <v>1.7839273654848</v>
      </c>
      <c r="BP49" t="n">
        <v>1.834890435482521</v>
      </c>
      <c r="BQ49" t="n">
        <v>1.667947917094835</v>
      </c>
      <c r="BR49" t="n">
        <v>1.856789639279356</v>
      </c>
      <c r="BS49" t="n">
        <v>2.02220246580427</v>
      </c>
      <c r="BT49" t="n">
        <v>1.868014647238226</v>
      </c>
      <c r="BU49" t="n">
        <v>2.597821739508731</v>
      </c>
      <c r="BV49" t="n">
        <v>2.931771605424899</v>
      </c>
      <c r="BW49" t="n">
        <v>2.699028366982049</v>
      </c>
      <c r="BX49" t="n">
        <v>2.909748339119631</v>
      </c>
      <c r="BY49" t="n">
        <v>3.293771909985765</v>
      </c>
      <c r="BZ49" t="n">
        <v>2.487689770786147</v>
      </c>
    </row>
    <row r="50" ht="15" customHeight="1" s="115">
      <c r="A50" s="3" t="inlineStr">
        <is>
          <t>Recovery Adjustments excluding LTV (Mileage, vehicle type, etc.)</t>
        </is>
      </c>
      <c r="B50" t="n">
        <v>-0.6388852036074013</v>
      </c>
      <c r="C50" t="n">
        <v>-0.02684565855781784</v>
      </c>
      <c r="D50" t="n">
        <v>-0.05794611398948746</v>
      </c>
      <c r="E50" t="n">
        <v>0.1554729574661451</v>
      </c>
      <c r="F50" t="n">
        <v>0.1738285242881261</v>
      </c>
      <c r="G50" t="n">
        <v>0.01090555278568672</v>
      </c>
      <c r="H50" t="n">
        <v>-0.005229666615946371</v>
      </c>
      <c r="I50" t="n">
        <v>-0.2344502033951699</v>
      </c>
      <c r="J50" t="n">
        <v>-0.311144132573645</v>
      </c>
      <c r="K50" t="n">
        <v>-0.06351068110072333</v>
      </c>
      <c r="L50" t="n">
        <v>-0.19046284868611</v>
      </c>
      <c r="M50" t="n">
        <v>-0.01863223773835898</v>
      </c>
      <c r="N50" t="n">
        <v>-0.1354394441721354</v>
      </c>
      <c r="O50" t="n">
        <v>-0.08477254693809755</v>
      </c>
      <c r="P50" t="n">
        <v>-0.3028132454148533</v>
      </c>
      <c r="Q50" t="n">
        <v>0.2989696860270783</v>
      </c>
      <c r="R50" t="n">
        <v>0.01170337076604255</v>
      </c>
      <c r="S50" t="n">
        <v>-0.06130275635123894</v>
      </c>
      <c r="T50" t="n">
        <v>-0.5097914889219908</v>
      </c>
      <c r="U50" t="n">
        <v>-0.5686967841769217</v>
      </c>
      <c r="V50" t="n">
        <v>-0.05884961762075136</v>
      </c>
      <c r="W50" t="n">
        <v>-0.4101626590476144</v>
      </c>
      <c r="X50" t="n">
        <v>-0.320958745640155</v>
      </c>
      <c r="Y50" t="n">
        <v>-0.5717663021764849</v>
      </c>
      <c r="Z50" t="n">
        <v>-0.56443862050088</v>
      </c>
      <c r="AA50" t="n">
        <v>-0.7787225053752422</v>
      </c>
      <c r="AB50" t="n">
        <v>-0.8773440199423987</v>
      </c>
      <c r="AC50" t="n">
        <v>-0.5670114557423744</v>
      </c>
      <c r="AD50" t="n">
        <v>-0.646586228781274</v>
      </c>
      <c r="AE50" t="n">
        <v>-0.8007279896921489</v>
      </c>
      <c r="AF50" t="n">
        <v>-1.203639716839206</v>
      </c>
      <c r="AG50" t="n">
        <v>-2.264059374210461</v>
      </c>
      <c r="AH50" t="n">
        <v>-2.492780047533813</v>
      </c>
      <c r="AI50" t="n">
        <v>-3.339183640384874</v>
      </c>
      <c r="AJ50" t="n">
        <v>-3.488916442465893</v>
      </c>
      <c r="AK50" t="n">
        <v>-3.905073727392647</v>
      </c>
      <c r="AL50" t="n">
        <v>-3.954892556628238</v>
      </c>
      <c r="AM50" t="n">
        <v>-3.508787683393024</v>
      </c>
      <c r="AN50" t="n">
        <v>-5.008057460527766</v>
      </c>
      <c r="AO50" t="n">
        <v>-3.392889740869435</v>
      </c>
      <c r="AP50" t="n">
        <v>-3.979161966083609</v>
      </c>
      <c r="AQ50" t="n">
        <v>-3.455651596235441</v>
      </c>
      <c r="AR50" t="n">
        <v>-3.308598311787335</v>
      </c>
      <c r="AS50" t="n">
        <v>-3.587967209465546</v>
      </c>
      <c r="AT50" t="n">
        <v>-2.937726668709331</v>
      </c>
      <c r="AU50" t="n">
        <v>-3.096375901002546</v>
      </c>
      <c r="AV50" t="n">
        <v>-3.293027497191616</v>
      </c>
      <c r="AW50" t="n">
        <v>-3.061622421588623</v>
      </c>
      <c r="AX50" t="n">
        <v>-3.437276377030685</v>
      </c>
      <c r="AY50" t="n">
        <v>-2.644186642086538</v>
      </c>
      <c r="AZ50" t="n">
        <v>-2.914265989041184</v>
      </c>
      <c r="BA50" t="n">
        <v>-2.543293125311379</v>
      </c>
      <c r="BB50" t="n">
        <v>-2.563501780924867</v>
      </c>
      <c r="BC50" t="n">
        <v>-2.845179491586947</v>
      </c>
      <c r="BD50" t="n">
        <v>-2.40189633668831</v>
      </c>
      <c r="BE50" t="n">
        <v>-2.790830857938374</v>
      </c>
      <c r="BF50" t="n">
        <v>-2.384061702317524</v>
      </c>
      <c r="BG50" t="n">
        <v>-2.376742714796109</v>
      </c>
      <c r="BH50" t="n">
        <v>-1.888705076260635</v>
      </c>
      <c r="BI50" t="n">
        <v>-2.311492152266482</v>
      </c>
      <c r="BJ50" t="n">
        <v>-2.846440694415094</v>
      </c>
      <c r="BK50" t="n">
        <v>-2.460972998325076</v>
      </c>
      <c r="BL50" t="n">
        <v>-2.106814000547615</v>
      </c>
      <c r="BM50" t="n">
        <v>-0.914096470577789</v>
      </c>
      <c r="BN50" t="n">
        <v>0.6131765886587743</v>
      </c>
      <c r="BO50" t="n">
        <v>0.4490667175297745</v>
      </c>
      <c r="BP50" t="n">
        <v>0.4093950762501208</v>
      </c>
      <c r="BQ50" t="n">
        <v>0.7235198637409894</v>
      </c>
      <c r="BR50" t="n">
        <v>0.8082830005853907</v>
      </c>
      <c r="BS50" t="n">
        <v>1.053123464956741</v>
      </c>
      <c r="BT50" t="n">
        <v>1.047750775446588</v>
      </c>
      <c r="BU50" t="n">
        <v>1.147960796223487</v>
      </c>
      <c r="BV50" t="n">
        <v>1.362225984143322</v>
      </c>
      <c r="BW50" t="n">
        <v>1.684115038009907</v>
      </c>
      <c r="BX50" t="n">
        <v>1.607353673655865</v>
      </c>
      <c r="BY50" t="n">
        <v>1.766533766573076</v>
      </c>
      <c r="BZ50" t="n">
        <v>1.542344787608215</v>
      </c>
    </row>
    <row r="51" ht="15" customHeight="1" s="115">
      <c r="A51" s="4" t="inlineStr">
        <is>
          <t>LTV Adjustments</t>
        </is>
      </c>
      <c r="B51" t="n">
        <v>0.6388852036074013</v>
      </c>
      <c r="C51" t="n">
        <v>0.02684565855781784</v>
      </c>
      <c r="D51" t="n">
        <v>0.05794611398948746</v>
      </c>
      <c r="E51" t="n">
        <v>-0.1554729574661451</v>
      </c>
      <c r="F51" t="n">
        <v>-0.1738285242881261</v>
      </c>
      <c r="G51" t="n">
        <v>-0.01090555278568672</v>
      </c>
      <c r="H51" t="n">
        <v>0.005229666615946371</v>
      </c>
      <c r="I51" t="n">
        <v>0.2344502033951699</v>
      </c>
      <c r="J51" t="n">
        <v>0.311144132573645</v>
      </c>
      <c r="K51" t="n">
        <v>0.06351068110072333</v>
      </c>
      <c r="L51" t="n">
        <v>0.19046284868611</v>
      </c>
      <c r="M51" t="n">
        <v>0.01863223773835898</v>
      </c>
      <c r="N51" t="n">
        <v>0.1354394441721354</v>
      </c>
      <c r="O51" t="n">
        <v>0.08477254693809755</v>
      </c>
      <c r="P51" t="n">
        <v>0.3028132454148533</v>
      </c>
      <c r="Q51" t="n">
        <v>-0.2989696860270783</v>
      </c>
      <c r="R51" t="n">
        <v>-0.01170337076604255</v>
      </c>
      <c r="S51" t="n">
        <v>0.06130275635123894</v>
      </c>
      <c r="T51" t="n">
        <v>0.5097914889219908</v>
      </c>
      <c r="U51" t="n">
        <v>0.5686967841769217</v>
      </c>
      <c r="V51" t="n">
        <v>0.05884961762075136</v>
      </c>
      <c r="W51" t="n">
        <v>0.4101626590476144</v>
      </c>
      <c r="X51" t="n">
        <v>0.320958745640155</v>
      </c>
      <c r="Y51" t="n">
        <v>0.5717663021764849</v>
      </c>
      <c r="Z51" t="n">
        <v>0.56443862050088</v>
      </c>
      <c r="AA51" t="n">
        <v>0.7787225053752422</v>
      </c>
      <c r="AB51" t="n">
        <v>0.8773440199423987</v>
      </c>
      <c r="AC51" t="n">
        <v>0.5670114557423744</v>
      </c>
      <c r="AD51" t="n">
        <v>0.646586228781274</v>
      </c>
      <c r="AE51" t="n">
        <v>0.8007279896921489</v>
      </c>
      <c r="AF51" t="n">
        <v>1.203639716839206</v>
      </c>
      <c r="AG51" t="n">
        <v>2.264059374210461</v>
      </c>
      <c r="AH51" t="n">
        <v>2.492780047533813</v>
      </c>
      <c r="AI51" t="n">
        <v>3.339183640384874</v>
      </c>
      <c r="AJ51" t="n">
        <v>3.488916442465893</v>
      </c>
      <c r="AK51" t="n">
        <v>3.905073727392647</v>
      </c>
      <c r="AL51" t="n">
        <v>3.954892556628238</v>
      </c>
      <c r="AM51" t="n">
        <v>3.508787683393024</v>
      </c>
      <c r="AN51" t="n">
        <v>5.008057460527766</v>
      </c>
      <c r="AO51" t="n">
        <v>3.392889740869435</v>
      </c>
      <c r="AP51" t="n">
        <v>3.979161966083609</v>
      </c>
      <c r="AQ51" t="n">
        <v>3.455651596235441</v>
      </c>
      <c r="AR51" t="n">
        <v>3.308598311787335</v>
      </c>
      <c r="AS51" t="n">
        <v>3.587967209465546</v>
      </c>
      <c r="AT51" t="n">
        <v>2.937726668709331</v>
      </c>
      <c r="AU51" t="n">
        <v>3.096375901002546</v>
      </c>
      <c r="AV51" t="n">
        <v>3.293027497191616</v>
      </c>
      <c r="AW51" t="n">
        <v>3.061622421588623</v>
      </c>
      <c r="AX51" t="n">
        <v>3.437276377030685</v>
      </c>
      <c r="AY51" t="n">
        <v>2.644186642086538</v>
      </c>
      <c r="AZ51" t="n">
        <v>2.914265989041184</v>
      </c>
      <c r="BA51" t="n">
        <v>2.543293125311379</v>
      </c>
      <c r="BB51" t="n">
        <v>2.563501780924867</v>
      </c>
      <c r="BC51" t="n">
        <v>2.845179491586947</v>
      </c>
      <c r="BD51" t="n">
        <v>2.40189633668831</v>
      </c>
      <c r="BE51" t="n">
        <v>2.790830857938374</v>
      </c>
      <c r="BF51" t="n">
        <v>2.384061702317524</v>
      </c>
      <c r="BG51" t="n">
        <v>2.376742714796109</v>
      </c>
      <c r="BH51" t="n">
        <v>1.888705076260635</v>
      </c>
      <c r="BI51" t="n">
        <v>2.311492152266482</v>
      </c>
      <c r="BJ51" t="n">
        <v>2.846440694415094</v>
      </c>
      <c r="BK51" t="n">
        <v>2.460972998325076</v>
      </c>
      <c r="BL51" t="n">
        <v>2.106814000547615</v>
      </c>
      <c r="BM51" t="n">
        <v>0.914096470577789</v>
      </c>
      <c r="BN51" t="n">
        <v>-0.6131765886587743</v>
      </c>
      <c r="BO51" t="n">
        <v>-0.4490667175297745</v>
      </c>
      <c r="BP51" t="n">
        <v>-0.4093950762501208</v>
      </c>
      <c r="BQ51" t="n">
        <v>-0.7235198637409894</v>
      </c>
      <c r="BR51" t="n">
        <v>-0.8082830005853907</v>
      </c>
      <c r="BS51" t="n">
        <v>-1.053123464956741</v>
      </c>
      <c r="BT51" t="n">
        <v>-1.047750775446588</v>
      </c>
      <c r="BU51" t="n">
        <v>-1.147960796223487</v>
      </c>
      <c r="BV51" t="n">
        <v>-1.362225984143322</v>
      </c>
      <c r="BW51" t="n">
        <v>-1.684115038009907</v>
      </c>
      <c r="BX51" t="n">
        <v>-1.607353673655865</v>
      </c>
      <c r="BY51" t="n">
        <v>-1.766533766573076</v>
      </c>
      <c r="BZ51" t="n">
        <v>-1.542344787608215</v>
      </c>
    </row>
    <row r="52" ht="15" customHeight="1" s="115">
      <c r="A52" s="3" t="inlineStr">
        <is>
          <t>RAGU Score</t>
        </is>
      </c>
      <c r="B52" t="n">
        <v>130.5152235148784</v>
      </c>
      <c r="C52" t="n">
        <v>133.2406059564781</v>
      </c>
      <c r="D52" t="n">
        <v>133.1151936580801</v>
      </c>
      <c r="E52" t="n">
        <v>130.8250831213298</v>
      </c>
      <c r="F52" t="n">
        <v>130.3775103661984</v>
      </c>
      <c r="G52" t="n">
        <v>130.8197401568291</v>
      </c>
      <c r="H52" t="n">
        <v>130.5233088925779</v>
      </c>
      <c r="I52" t="n">
        <v>130.9015048446761</v>
      </c>
      <c r="J52" t="n">
        <v>133.7789982314241</v>
      </c>
      <c r="K52" t="n">
        <v>134.7394860808421</v>
      </c>
      <c r="L52" t="n">
        <v>134.9939381439486</v>
      </c>
      <c r="M52" t="n">
        <v>135.2453737678977</v>
      </c>
      <c r="N52" t="n">
        <v>134.9371628240887</v>
      </c>
      <c r="O52" t="n">
        <v>134.6905231975566</v>
      </c>
      <c r="P52" t="n">
        <v>134.1894588833102</v>
      </c>
      <c r="Q52" t="n">
        <v>135.5570080303582</v>
      </c>
      <c r="R52" t="n">
        <v>136.1184393452743</v>
      </c>
      <c r="S52" t="n">
        <v>135.8813375340225</v>
      </c>
      <c r="T52" t="n">
        <v>135.659052990548</v>
      </c>
      <c r="U52" t="n">
        <v>135.9073475952587</v>
      </c>
      <c r="V52" t="n">
        <v>136.0390484465877</v>
      </c>
      <c r="W52" t="n">
        <v>135.4286739204844</v>
      </c>
      <c r="X52" t="n">
        <v>134.8046040573253</v>
      </c>
      <c r="Y52" t="n">
        <v>136.3042249766961</v>
      </c>
      <c r="Z52" t="n">
        <v>134.7880204312359</v>
      </c>
      <c r="AA52" t="n">
        <v>134.5892744086303</v>
      </c>
      <c r="AB52" t="n">
        <v>132.5066995122421</v>
      </c>
      <c r="AC52" t="n">
        <v>132.9929650171135</v>
      </c>
      <c r="AD52" t="n">
        <v>133.5630294605333</v>
      </c>
      <c r="AE52" t="n">
        <v>133.7088947754499</v>
      </c>
      <c r="AF52" t="n">
        <v>134.1567574030923</v>
      </c>
      <c r="AG52" t="n">
        <v>135.9043969830715</v>
      </c>
      <c r="AH52" t="n">
        <v>137.0012866757768</v>
      </c>
      <c r="AI52" t="n">
        <v>137.3754214671372</v>
      </c>
      <c r="AJ52" t="n">
        <v>137.6942473417451</v>
      </c>
      <c r="AK52" t="n">
        <v>137.6945230748964</v>
      </c>
      <c r="AL52" t="n">
        <v>137.2986970729098</v>
      </c>
      <c r="AM52" t="n">
        <v>137.6889526569998</v>
      </c>
      <c r="AN52" t="n">
        <v>139.839929002552</v>
      </c>
      <c r="AO52" t="n">
        <v>139.8474701262951</v>
      </c>
      <c r="AP52" t="n">
        <v>139.9767019847575</v>
      </c>
      <c r="AQ52" t="n">
        <v>140.3341644069641</v>
      </c>
      <c r="AR52" t="n">
        <v>139.8963336601164</v>
      </c>
      <c r="AS52" t="n">
        <v>139.2173162007856</v>
      </c>
      <c r="AT52" t="n">
        <v>139.7724658546531</v>
      </c>
      <c r="AU52" t="n">
        <v>139.4259733470866</v>
      </c>
      <c r="AV52" t="n">
        <v>138.9148579760252</v>
      </c>
      <c r="AW52" t="n">
        <v>140.1170242820038</v>
      </c>
      <c r="AX52" t="n">
        <v>140.5348996196371</v>
      </c>
      <c r="AY52" t="n">
        <v>139.9916368262932</v>
      </c>
      <c r="AZ52" t="n">
        <v>138.6105294604399</v>
      </c>
      <c r="BA52" t="n">
        <v>138.6474689570982</v>
      </c>
      <c r="BB52" t="n">
        <v>138.7464435071921</v>
      </c>
      <c r="BC52" t="n">
        <v>138.4241410799222</v>
      </c>
      <c r="BD52" t="n">
        <v>137.7235148895204</v>
      </c>
      <c r="BE52" t="n">
        <v>139.1936363613954</v>
      </c>
      <c r="BF52" t="n">
        <v>140.0269562245463</v>
      </c>
      <c r="BG52" t="n">
        <v>140.3222798471972</v>
      </c>
      <c r="BH52" t="n">
        <v>140.9434164941191</v>
      </c>
      <c r="BI52" t="n">
        <v>141.779040585148</v>
      </c>
      <c r="BJ52" t="n">
        <v>141.7216213107201</v>
      </c>
      <c r="BK52" t="n">
        <v>140.5698441471765</v>
      </c>
      <c r="BL52" t="n">
        <v>139.7454836634166</v>
      </c>
      <c r="BM52" t="n">
        <v>139.4307314778668</v>
      </c>
      <c r="BN52" t="n">
        <v>139.745008034261</v>
      </c>
      <c r="BO52" t="n">
        <v>139.9698764705793</v>
      </c>
      <c r="BP52" t="n">
        <v>139.9281157161492</v>
      </c>
      <c r="BQ52" t="n">
        <v>140.489056993465</v>
      </c>
      <c r="BR52" t="n">
        <v>141.2340712941362</v>
      </c>
      <c r="BS52" t="n">
        <v>141.4931499656744</v>
      </c>
      <c r="BT52" t="n">
        <v>141.517899478979</v>
      </c>
      <c r="BU52" t="n">
        <v>141.8998509917895</v>
      </c>
      <c r="BV52" t="n">
        <v>142.7893376368269</v>
      </c>
      <c r="BW52" t="n">
        <v>142.7179829189204</v>
      </c>
      <c r="BX52" t="n">
        <v>143.1165852823002</v>
      </c>
      <c r="BY52" t="n">
        <v>144.7977518279412</v>
      </c>
      <c r="BZ52" t="n">
        <v>144.5232287993644</v>
      </c>
    </row>
    <row r="53" ht="15" customHeight="1" s="115">
      <c r="A53" s="5" t="inlineStr">
        <is>
          <t>LTV</t>
        </is>
      </c>
      <c r="B53" t="n">
        <v>1.987115831409973</v>
      </c>
      <c r="C53" t="n">
        <v>1.934491979380584</v>
      </c>
      <c r="D53" t="n">
        <v>1.95182532645841</v>
      </c>
      <c r="E53" t="n">
        <v>1.947362978320258</v>
      </c>
      <c r="F53" t="n">
        <v>1.928978858409809</v>
      </c>
      <c r="G53" t="n">
        <v>1.927925288694072</v>
      </c>
      <c r="H53" t="n">
        <v>1.865677707886971</v>
      </c>
      <c r="I53" t="n">
        <v>1.937506315156148</v>
      </c>
      <c r="J53" t="n">
        <v>1.970317562145817</v>
      </c>
      <c r="K53" t="n">
        <v>1.889143690363883</v>
      </c>
      <c r="L53" t="n">
        <v>1.753725948856242</v>
      </c>
      <c r="M53" t="n">
        <v>1.725499521475186</v>
      </c>
      <c r="N53" t="n">
        <v>1.728266113154157</v>
      </c>
      <c r="O53" t="n">
        <v>1.777318972505749</v>
      </c>
      <c r="P53" t="n">
        <v>1.878549519936779</v>
      </c>
      <c r="Q53" t="n">
        <v>1.756009137558022</v>
      </c>
      <c r="R53" t="n">
        <v>1.780224157532876</v>
      </c>
      <c r="S53" t="n">
        <v>1.702762940967555</v>
      </c>
      <c r="T53" t="n">
        <v>1.613047348131978</v>
      </c>
      <c r="U53" t="n">
        <v>1.534026373171006</v>
      </c>
      <c r="V53" t="n">
        <v>1.466138449640531</v>
      </c>
      <c r="W53" t="n">
        <v>1.482054000984799</v>
      </c>
      <c r="X53" t="n">
        <v>1.504384484977381</v>
      </c>
      <c r="Y53" t="n">
        <v>1.558372072342206</v>
      </c>
      <c r="Z53" t="n">
        <v>1.606217319416584</v>
      </c>
      <c r="AA53" t="n">
        <v>1.584393002676235</v>
      </c>
      <c r="AB53" t="n">
        <v>1.62311517282075</v>
      </c>
      <c r="AC53" t="n">
        <v>1.60491398354656</v>
      </c>
      <c r="AD53" t="n">
        <v>1.583663315790731</v>
      </c>
      <c r="AE53" t="n">
        <v>1.582525124011299</v>
      </c>
      <c r="AF53" t="n">
        <v>1.579371604296746</v>
      </c>
      <c r="AG53" t="n">
        <v>1.578855306574048</v>
      </c>
      <c r="AH53" t="n">
        <v>1.601439084295999</v>
      </c>
      <c r="AI53" t="n">
        <v>1.568093737818652</v>
      </c>
      <c r="AJ53" t="n">
        <v>1.6114958699066</v>
      </c>
      <c r="AK53" t="n">
        <v>1.59992795189884</v>
      </c>
      <c r="AL53" t="n">
        <v>1.621594657957336</v>
      </c>
      <c r="AM53" t="n">
        <v>1.61320024061423</v>
      </c>
      <c r="AN53" t="n">
        <v>1.609509623959929</v>
      </c>
      <c r="AO53" t="n">
        <v>1.604476730953958</v>
      </c>
      <c r="AP53" t="n">
        <v>1.63833620512811</v>
      </c>
      <c r="AQ53" t="n">
        <v>1.582707171396984</v>
      </c>
      <c r="AR53" t="n">
        <v>1.708697242880735</v>
      </c>
      <c r="AS53" t="n">
        <v>1.996545997288361</v>
      </c>
      <c r="AT53" t="n">
        <v>1.57077702083732</v>
      </c>
      <c r="AU53" t="n">
        <v>1.432242527125927</v>
      </c>
      <c r="AV53" t="n">
        <v>1.423405623266111</v>
      </c>
      <c r="AW53" t="n">
        <v>1.47411418353724</v>
      </c>
      <c r="AX53" t="n">
        <v>1.532432511313983</v>
      </c>
      <c r="AY53" t="n">
        <v>1.499336691744123</v>
      </c>
      <c r="AZ53" t="n">
        <v>1.443336899053463</v>
      </c>
      <c r="BA53" t="n">
        <v>1.490663624543191</v>
      </c>
      <c r="BB53" t="n">
        <v>1.536558952181518</v>
      </c>
      <c r="BC53" t="n">
        <v>1.525491425357627</v>
      </c>
      <c r="BD53" t="n">
        <v>1.526933988272885</v>
      </c>
      <c r="BE53" t="n">
        <v>1.526056263027346</v>
      </c>
      <c r="BF53" t="n">
        <v>1.499479451029829</v>
      </c>
      <c r="BG53" t="n">
        <v>1.466068464924412</v>
      </c>
      <c r="BH53" t="n">
        <v>1.457545866907131</v>
      </c>
      <c r="BI53" t="n">
        <v>1.483819936730048</v>
      </c>
      <c r="BJ53" t="n">
        <v>1.505865629443849</v>
      </c>
      <c r="BK53" t="n">
        <v>1.505298475642173</v>
      </c>
      <c r="BL53" t="n">
        <v>1.481111233724073</v>
      </c>
      <c r="BM53" t="n">
        <v>1.465652912712434</v>
      </c>
      <c r="BN53" t="n">
        <v>1.492237608921404</v>
      </c>
      <c r="BO53" t="n">
        <v>1.504799861738464</v>
      </c>
      <c r="BP53" t="n">
        <v>1.486838371311619</v>
      </c>
      <c r="BQ53" t="n">
        <v>1.470280956902934</v>
      </c>
      <c r="BR53" t="n">
        <v>1.448670222282596</v>
      </c>
      <c r="BS53" t="n">
        <v>1.434024307838699</v>
      </c>
      <c r="BT53" t="n">
        <v>1.463714114286917</v>
      </c>
      <c r="BU53" t="n">
        <v>1.451390050871318</v>
      </c>
      <c r="BV53" t="n">
        <v>1.439743487615299</v>
      </c>
      <c r="BW53" t="n">
        <v>1.423063213501777</v>
      </c>
      <c r="BX53" t="n">
        <v>1.442924986984805</v>
      </c>
      <c r="BY53" t="n">
        <v>1.469393998260122</v>
      </c>
      <c r="BZ53" t="n">
        <v>1.490684896432739</v>
      </c>
    </row>
    <row r="54" ht="15" customHeight="1" s="115"/>
    <row r="55" ht="15" customHeight="1" s="115">
      <c r="A55" s="1" t="inlineStr">
        <is>
          <t>KMX</t>
        </is>
      </c>
      <c r="B55" s="2" t="n">
        <v>2016</v>
      </c>
      <c r="C55" s="2" t="n">
        <v>2017</v>
      </c>
      <c r="D55" s="2" t="n">
        <v>2018</v>
      </c>
      <c r="E55" s="2" t="n">
        <v>2019</v>
      </c>
      <c r="F55" s="2" t="inlineStr">
        <is>
          <t>2020 M01</t>
        </is>
      </c>
      <c r="G55" s="2" t="inlineStr">
        <is>
          <t>2020 M02</t>
        </is>
      </c>
      <c r="H55" s="2" t="inlineStr">
        <is>
          <t>2020 M03</t>
        </is>
      </c>
      <c r="I55" s="2" t="inlineStr">
        <is>
          <t>2020 M04</t>
        </is>
      </c>
      <c r="J55" s="2" t="inlineStr">
        <is>
          <t>2020 M05</t>
        </is>
      </c>
      <c r="K55" s="2" t="inlineStr">
        <is>
          <t>2020 M06</t>
        </is>
      </c>
      <c r="L55" s="2" t="inlineStr">
        <is>
          <t>2020 M07</t>
        </is>
      </c>
      <c r="M55" s="2" t="inlineStr">
        <is>
          <t>2020 M08</t>
        </is>
      </c>
      <c r="N55" s="2" t="inlineStr">
        <is>
          <t>2020 M09</t>
        </is>
      </c>
      <c r="O55" s="2" t="inlineStr">
        <is>
          <t>2020 M10</t>
        </is>
      </c>
      <c r="P55" s="2" t="inlineStr">
        <is>
          <t>2020 M11</t>
        </is>
      </c>
      <c r="Q55" s="2" t="inlineStr">
        <is>
          <t>2020 M12</t>
        </is>
      </c>
      <c r="R55" s="2" t="inlineStr">
        <is>
          <t>2021 M01</t>
        </is>
      </c>
      <c r="S55" s="2" t="inlineStr">
        <is>
          <t>2021 M02</t>
        </is>
      </c>
      <c r="T55" s="2" t="inlineStr">
        <is>
          <t>2021 M03</t>
        </is>
      </c>
      <c r="U55" s="2" t="inlineStr">
        <is>
          <t>2021 M04</t>
        </is>
      </c>
      <c r="V55" s="2" t="inlineStr">
        <is>
          <t>2021 M05</t>
        </is>
      </c>
      <c r="W55" s="2" t="inlineStr">
        <is>
          <t>2021 M06</t>
        </is>
      </c>
      <c r="X55" s="2" t="inlineStr">
        <is>
          <t>2021 M07</t>
        </is>
      </c>
      <c r="Y55" s="2" t="inlineStr">
        <is>
          <t>2021 M08</t>
        </is>
      </c>
      <c r="Z55" s="2" t="inlineStr">
        <is>
          <t>2021 M09</t>
        </is>
      </c>
      <c r="AA55" s="2" t="inlineStr">
        <is>
          <t>2021 M10</t>
        </is>
      </c>
      <c r="AB55" s="2" t="inlineStr">
        <is>
          <t>2021 M11</t>
        </is>
      </c>
      <c r="AC55" s="2" t="inlineStr">
        <is>
          <t>2021 M12</t>
        </is>
      </c>
      <c r="AD55" s="2" t="inlineStr">
        <is>
          <t>2022 M01</t>
        </is>
      </c>
      <c r="AE55" s="2" t="inlineStr">
        <is>
          <t>2022 M02</t>
        </is>
      </c>
      <c r="AF55" s="2" t="inlineStr">
        <is>
          <t>2022 M03</t>
        </is>
      </c>
      <c r="AG55" s="2" t="inlineStr">
        <is>
          <t>2022 M04</t>
        </is>
      </c>
      <c r="AH55" s="2" t="inlineStr">
        <is>
          <t>2022 M05</t>
        </is>
      </c>
      <c r="AI55" s="2" t="inlineStr">
        <is>
          <t>2022 M06</t>
        </is>
      </c>
      <c r="AJ55" s="2" t="inlineStr">
        <is>
          <t>2022 M07</t>
        </is>
      </c>
      <c r="AK55" s="2" t="inlineStr">
        <is>
          <t>2022 M08</t>
        </is>
      </c>
      <c r="AL55" s="2" t="inlineStr">
        <is>
          <t>2022 M09</t>
        </is>
      </c>
      <c r="AM55" s="2" t="inlineStr">
        <is>
          <t>2022 M10</t>
        </is>
      </c>
      <c r="AN55" s="2" t="inlineStr">
        <is>
          <t>2022 M11</t>
        </is>
      </c>
      <c r="AO55" s="2" t="inlineStr">
        <is>
          <t>2022 M12</t>
        </is>
      </c>
      <c r="AP55" s="2" t="inlineStr">
        <is>
          <t>2023 M01</t>
        </is>
      </c>
      <c r="AQ55" s="2" t="inlineStr">
        <is>
          <t>2023 M02</t>
        </is>
      </c>
      <c r="AR55" s="2" t="inlineStr">
        <is>
          <t>2023 M03</t>
        </is>
      </c>
      <c r="AS55" s="2" t="inlineStr">
        <is>
          <t>2023 M04</t>
        </is>
      </c>
      <c r="AT55" s="2" t="inlineStr">
        <is>
          <t>2023 M05</t>
        </is>
      </c>
      <c r="AU55" s="2" t="inlineStr">
        <is>
          <t>2023 M06</t>
        </is>
      </c>
      <c r="AV55" s="2" t="inlineStr">
        <is>
          <t>2023 M07</t>
        </is>
      </c>
      <c r="AW55" s="2" t="inlineStr">
        <is>
          <t>2023 M08</t>
        </is>
      </c>
      <c r="AX55" s="2" t="inlineStr">
        <is>
          <t>2023 M09</t>
        </is>
      </c>
      <c r="AY55" s="2" t="inlineStr">
        <is>
          <t>2023 M10</t>
        </is>
      </c>
      <c r="AZ55" s="2" t="inlineStr">
        <is>
          <t>2023 M11</t>
        </is>
      </c>
      <c r="BA55" s="2" t="inlineStr">
        <is>
          <t>2023 M12</t>
        </is>
      </c>
      <c r="BB55" s="2" t="inlineStr">
        <is>
          <t>2024 M01</t>
        </is>
      </c>
      <c r="BC55" s="2" t="inlineStr">
        <is>
          <t>2024 M02</t>
        </is>
      </c>
      <c r="BD55" s="2" t="inlineStr">
        <is>
          <t>2024 M03</t>
        </is>
      </c>
      <c r="BE55" s="2" t="inlineStr">
        <is>
          <t>2024 M04</t>
        </is>
      </c>
      <c r="BF55" s="2" t="inlineStr">
        <is>
          <t>2024 M05</t>
        </is>
      </c>
      <c r="BG55" s="2" t="inlineStr">
        <is>
          <t>2024 M06</t>
        </is>
      </c>
      <c r="BH55" s="2" t="inlineStr">
        <is>
          <t>2024 M07</t>
        </is>
      </c>
      <c r="BI55" s="2" t="inlineStr">
        <is>
          <t>2024 M08</t>
        </is>
      </c>
      <c r="BJ55" s="2" t="inlineStr">
        <is>
          <t>2024 M09</t>
        </is>
      </c>
      <c r="BK55" s="2" t="inlineStr">
        <is>
          <t>2024 M10</t>
        </is>
      </c>
      <c r="BL55" s="2" t="inlineStr">
        <is>
          <t>2024 M11</t>
        </is>
      </c>
      <c r="BM55" s="2" t="inlineStr">
        <is>
          <t>2024 M12</t>
        </is>
      </c>
      <c r="BN55" s="2" t="inlineStr">
        <is>
          <t>2025 M01</t>
        </is>
      </c>
      <c r="BO55" s="2" t="inlineStr">
        <is>
          <t xml:space="preserve">2025 M02 </t>
        </is>
      </c>
      <c r="BP55" s="2" t="inlineStr">
        <is>
          <t>2025 M03</t>
        </is>
      </c>
      <c r="BQ55" s="2" t="inlineStr">
        <is>
          <t>2025 M04</t>
        </is>
      </c>
      <c r="BR55" s="2" t="inlineStr">
        <is>
          <t>2025 M05</t>
        </is>
      </c>
      <c r="BS55" s="2" t="inlineStr">
        <is>
          <t>2025 M06</t>
        </is>
      </c>
      <c r="BT55" s="2" t="inlineStr">
        <is>
          <t>2025 M07</t>
        </is>
      </c>
      <c r="BU55" s="2" t="inlineStr">
        <is>
          <t>2025 M08</t>
        </is>
      </c>
      <c r="BV55" s="2" t="inlineStr">
        <is>
          <t>2025 M09</t>
        </is>
      </c>
      <c r="BW55" s="2" t="inlineStr">
        <is>
          <t>2025 M10</t>
        </is>
      </c>
    </row>
    <row r="56" ht="15" customHeight="1" s="115">
      <c r="A56" s="5" t="inlineStr">
        <is>
          <t>Contract Model Score</t>
        </is>
      </c>
      <c r="B56" t="n">
        <v>136.5894979686638</v>
      </c>
      <c r="C56" t="n">
        <v>139.0904814105938</v>
      </c>
      <c r="D56" t="n">
        <v>137.7755098690287</v>
      </c>
      <c r="E56" t="n">
        <v>136.8743234398356</v>
      </c>
      <c r="F56" t="n">
        <v>136.0708942400334</v>
      </c>
      <c r="G56" t="n">
        <v>136.0720005588141</v>
      </c>
      <c r="H56" t="n">
        <v>135.5840294849747</v>
      </c>
      <c r="I56" t="n">
        <v>136.4571105626171</v>
      </c>
      <c r="J56" t="n">
        <v>138.3985631473594</v>
      </c>
      <c r="K56" t="n">
        <v>139.2226309973312</v>
      </c>
      <c r="L56" t="n">
        <v>139.3203596409466</v>
      </c>
      <c r="M56" t="n">
        <v>138.6370761177538</v>
      </c>
      <c r="N56" t="n">
        <v>138.2904983988365</v>
      </c>
      <c r="O56" t="n">
        <v>137.4178108856661</v>
      </c>
      <c r="P56" t="n">
        <v>136.5446592576798</v>
      </c>
      <c r="Q56" t="n">
        <v>136.9216517393356</v>
      </c>
      <c r="R56" t="n">
        <v>136.3149821714746</v>
      </c>
      <c r="S56" t="n">
        <v>135.2748407316317</v>
      </c>
      <c r="T56" t="n">
        <v>135.1667567494515</v>
      </c>
      <c r="U56" t="n">
        <v>135.8285268400341</v>
      </c>
      <c r="V56" t="n">
        <v>135.8274217698316</v>
      </c>
      <c r="W56" t="n">
        <v>135.5271018478095</v>
      </c>
      <c r="X56" t="n">
        <v>133.7671070974056</v>
      </c>
      <c r="Y56" t="n">
        <v>136.0047560603676</v>
      </c>
      <c r="Z56" t="n">
        <v>133.7143011216222</v>
      </c>
      <c r="AA56" t="n">
        <v>133.8042020247</v>
      </c>
      <c r="AB56" t="n">
        <v>133.0463581098396</v>
      </c>
      <c r="AC56" t="n">
        <v>132.6115272899939</v>
      </c>
      <c r="AD56" t="n">
        <v>132.0759442578381</v>
      </c>
      <c r="AE56" t="n">
        <v>133.4169218956658</v>
      </c>
      <c r="AF56" t="n">
        <v>133.8290538335216</v>
      </c>
      <c r="AG56" t="n">
        <v>134.729896170107</v>
      </c>
      <c r="AH56" t="n">
        <v>134.340785170362</v>
      </c>
      <c r="AI56" t="n">
        <v>135.0997264625352</v>
      </c>
      <c r="AJ56" t="n">
        <v>135.8011449187726</v>
      </c>
      <c r="AK56" t="n">
        <v>136.2928481085854</v>
      </c>
      <c r="AL56" t="n">
        <v>136.0744397910174</v>
      </c>
      <c r="AM56" t="n">
        <v>137.2766795524031</v>
      </c>
      <c r="AN56" t="n">
        <v>138.6328121942909</v>
      </c>
      <c r="AO56" t="n">
        <v>139.2827800342602</v>
      </c>
      <c r="AP56" t="n">
        <v>140.3693476648599</v>
      </c>
      <c r="AQ56" t="n">
        <v>139.8223823229784</v>
      </c>
      <c r="AR56" t="n">
        <v>140.1473905091524</v>
      </c>
      <c r="AS56" t="n">
        <v>140.4452051272794</v>
      </c>
      <c r="AT56" t="n">
        <v>140.7382995913138</v>
      </c>
      <c r="AU56" t="n">
        <v>140.7770423145982</v>
      </c>
      <c r="AV56" t="n">
        <v>140.6672898200018</v>
      </c>
      <c r="AW56" t="n">
        <v>140.6335026874411</v>
      </c>
      <c r="AX56" t="n">
        <v>140.2204913343355</v>
      </c>
      <c r="AY56" t="n">
        <v>140.0689060271764</v>
      </c>
      <c r="AZ56" t="n">
        <v>140.9302649034074</v>
      </c>
      <c r="BA56" t="n">
        <v>140.8439343524392</v>
      </c>
      <c r="BB56" t="n">
        <v>140.3627448333695</v>
      </c>
      <c r="BC56" t="n">
        <v>138.5345847678738</v>
      </c>
      <c r="BD56" t="n">
        <v>140.0786248405386</v>
      </c>
      <c r="BE56" t="n">
        <v>140.5561026398327</v>
      </c>
      <c r="BF56" t="n">
        <v>140.5766270426338</v>
      </c>
      <c r="BG56" t="n">
        <v>140.1433368553613</v>
      </c>
      <c r="BH56" t="n">
        <v>139.7154956598361</v>
      </c>
      <c r="BI56" t="n">
        <v>139.7336367290381</v>
      </c>
      <c r="BJ56" t="n">
        <v>140.2760303773641</v>
      </c>
      <c r="BK56" t="n">
        <v>140.2009518965784</v>
      </c>
      <c r="BL56" t="n">
        <v>139.5666929748313</v>
      </c>
      <c r="BM56" t="n">
        <v>139.5715748170967</v>
      </c>
      <c r="BN56" t="n">
        <v>139.9567928282775</v>
      </c>
      <c r="BO56" t="n">
        <v>139.5711876510649</v>
      </c>
      <c r="BP56" t="n">
        <v>139.6838613822345</v>
      </c>
      <c r="BQ56" t="n">
        <v>139.8094608469797</v>
      </c>
      <c r="BR56" t="n">
        <v>139.7761311422684</v>
      </c>
      <c r="BS56" t="n">
        <v>140.0272861866104</v>
      </c>
      <c r="BT56" t="n">
        <v>140.1327765779435</v>
      </c>
      <c r="BU56" t="n">
        <v>139.7908156622952</v>
      </c>
      <c r="BV56" t="n">
        <v>139.843765440666</v>
      </c>
      <c r="BW56" t="n">
        <v>140.2196489854974</v>
      </c>
      <c r="BX56" t="n">
        <v>140.7690564876758</v>
      </c>
      <c r="BY56" t="n">
        <v>141.8419520229081</v>
      </c>
      <c r="BZ56" t="n">
        <v>141.7430855892673</v>
      </c>
    </row>
    <row r="57" ht="15" customHeight="1" s="115">
      <c r="A57" s="6" t="inlineStr">
        <is>
          <t>Model Score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</row>
    <row r="58" ht="15" customHeight="1" s="115">
      <c r="A58" s="4" t="inlineStr">
        <is>
          <t>Gross Loss Adjustments (Dealer level, high PTI, etc.)</t>
        </is>
      </c>
      <c r="B58" t="n">
        <v>3.492281408413788</v>
      </c>
      <c r="C58" t="n">
        <v>3.63449373886786</v>
      </c>
      <c r="D58" t="n">
        <v>3.24368721629051</v>
      </c>
      <c r="E58" t="n">
        <v>3.175813790326401</v>
      </c>
      <c r="F58" t="n">
        <v>3.13981873850426</v>
      </c>
      <c r="G58" t="n">
        <v>3.153959942952582</v>
      </c>
      <c r="H58" t="n">
        <v>3.142349282208158</v>
      </c>
      <c r="I58" t="n">
        <v>3.20199849380856</v>
      </c>
      <c r="J58" t="n">
        <v>3.527175552694587</v>
      </c>
      <c r="K58" t="n">
        <v>3.670096013399586</v>
      </c>
      <c r="L58" t="n">
        <v>3.529971184579068</v>
      </c>
      <c r="M58" t="n">
        <v>3.230037115374927</v>
      </c>
      <c r="N58" t="n">
        <v>3.218380599103682</v>
      </c>
      <c r="O58" t="n">
        <v>3.008882463318429</v>
      </c>
      <c r="P58" t="n">
        <v>2.61523461173195</v>
      </c>
      <c r="Q58" t="n">
        <v>2.54358332866866</v>
      </c>
      <c r="R58" t="n">
        <v>2.41453443812054</v>
      </c>
      <c r="S58" t="n">
        <v>2.378201987079905</v>
      </c>
      <c r="T58" t="n">
        <v>2.311533196637129</v>
      </c>
      <c r="U58" t="n">
        <v>2.185234506273218</v>
      </c>
      <c r="V58" t="n">
        <v>2.132522930632575</v>
      </c>
      <c r="W58" t="n">
        <v>2.074206006378859</v>
      </c>
      <c r="X58" t="n">
        <v>1.798169236385746</v>
      </c>
      <c r="Y58" t="n">
        <v>1.884389062836931</v>
      </c>
      <c r="Z58" t="n">
        <v>1.504542843249141</v>
      </c>
      <c r="AA58" t="n">
        <v>1.448261747833754</v>
      </c>
      <c r="AB58" t="n">
        <v>1.048756509659142</v>
      </c>
      <c r="AC58" t="n">
        <v>1.06559743368777</v>
      </c>
      <c r="AD58" t="n">
        <v>0.9770234516661844</v>
      </c>
      <c r="AF58" t="n">
        <v>1.063068886328495</v>
      </c>
      <c r="AG58" t="n">
        <v>1.11771888618091</v>
      </c>
      <c r="AH58" t="n">
        <v>1.130396313483772</v>
      </c>
      <c r="AI58" t="n">
        <v>1.312692140704939</v>
      </c>
      <c r="AJ58" t="n">
        <v>1.397128751273328</v>
      </c>
      <c r="AK58" t="n">
        <v>1.483191877931858</v>
      </c>
      <c r="AL58" t="n">
        <v>1.422922054932656</v>
      </c>
      <c r="AM58" t="n">
        <v>1.95870018651587</v>
      </c>
      <c r="AN58" t="n">
        <v>2.098626087246288</v>
      </c>
      <c r="AO58" t="n">
        <v>2.36932754902611</v>
      </c>
      <c r="AP58" t="n">
        <v>2.781615744342361</v>
      </c>
      <c r="AQ58" t="n">
        <v>2.739085654944745</v>
      </c>
      <c r="AR58" t="n">
        <v>2.525809515175524</v>
      </c>
      <c r="AS58" t="n">
        <v>2.773018137349624</v>
      </c>
      <c r="AT58" t="n">
        <v>3.037790538819593</v>
      </c>
      <c r="AU58" t="n">
        <v>3.008698594360084</v>
      </c>
      <c r="AV58" t="n">
        <v>3.093310772701557</v>
      </c>
      <c r="AW58" t="n">
        <v>2.824477645418369</v>
      </c>
      <c r="AX58" t="n">
        <v>2.932650310769361</v>
      </c>
      <c r="AY58" t="n">
        <v>2.752405408395759</v>
      </c>
      <c r="BA58" t="n">
        <v>3.462439677453432</v>
      </c>
      <c r="BB58" t="n">
        <v>3.455276970936723</v>
      </c>
      <c r="BC58" t="n">
        <v>3.366015347584892</v>
      </c>
      <c r="BD58" t="n">
        <v>3.949422294596985</v>
      </c>
      <c r="BE58" t="n">
        <v>4.144969986842142</v>
      </c>
      <c r="BF58" t="n">
        <v>4.273820115180001</v>
      </c>
      <c r="BG58" t="n">
        <v>4.171211179642313</v>
      </c>
      <c r="BH58" t="n">
        <v>4.016460273417181</v>
      </c>
      <c r="BI58" t="n">
        <v>3.909700577351515</v>
      </c>
      <c r="BJ58" t="n">
        <v>4.073378058666236</v>
      </c>
      <c r="BK58" t="n">
        <v>3.97199421234717</v>
      </c>
      <c r="BL58" t="n">
        <v>3.393384965073238</v>
      </c>
      <c r="BM58" t="n">
        <v>2.836461824598359</v>
      </c>
      <c r="BN58" t="n">
        <v>2.534239728239783</v>
      </c>
      <c r="BO58" t="n">
        <v>2.286692834472149</v>
      </c>
      <c r="BP58" t="n">
        <v>2.403588129326323</v>
      </c>
      <c r="BQ58" t="n">
        <v>2.529754511235438</v>
      </c>
      <c r="BR58" t="n">
        <v>3.252368963708022</v>
      </c>
      <c r="BS58" t="n">
        <v>3.858421963462916</v>
      </c>
      <c r="BT58" t="n">
        <v>3.809290338854623</v>
      </c>
      <c r="BU58" t="n">
        <v>3.649851014917004</v>
      </c>
      <c r="BV58" t="n">
        <v>3.855334326322605</v>
      </c>
      <c r="BW58" t="n">
        <v>3.721630059201061</v>
      </c>
      <c r="BX58" t="n">
        <v>3.747712595845599</v>
      </c>
      <c r="BY58" t="n">
        <v>5.134627107511221</v>
      </c>
      <c r="BZ58" t="n">
        <v>5.863020045426367</v>
      </c>
    </row>
    <row r="59" ht="15" customHeight="1" s="115">
      <c r="A59" s="3" t="inlineStr">
        <is>
          <t>Recovery Adjustments excluding LTV (Mileage, vehicle type, etc.)</t>
        </is>
      </c>
      <c r="B59" t="n">
        <v>0.3980510266323165</v>
      </c>
      <c r="C59" t="n">
        <v>0.1924528266500261</v>
      </c>
      <c r="D59" t="n">
        <v>-0.01354309107804852</v>
      </c>
      <c r="E59" t="n">
        <v>-0.1031680191138946</v>
      </c>
      <c r="F59" t="n">
        <v>-1.2009701947986</v>
      </c>
      <c r="G59" t="n">
        <v>-1.360980304903137</v>
      </c>
      <c r="H59" t="n">
        <v>-1.15079942761497</v>
      </c>
      <c r="I59" t="n">
        <v>-0.9737094405655284</v>
      </c>
      <c r="J59" t="n">
        <v>-0.5654758579341888</v>
      </c>
      <c r="K59" t="n">
        <v>-0.5756383193484282</v>
      </c>
      <c r="L59" t="n">
        <v>-0.9356031930454094</v>
      </c>
      <c r="M59" t="n">
        <v>-1.013418631019732</v>
      </c>
      <c r="N59" t="n">
        <v>-1.41688321674954</v>
      </c>
      <c r="O59" t="n">
        <v>-1.394966126481791</v>
      </c>
      <c r="P59" t="n">
        <v>-1.595831350025719</v>
      </c>
      <c r="Q59" t="n">
        <v>-1.745625848840859</v>
      </c>
      <c r="R59" t="n">
        <v>-1.729451667810196</v>
      </c>
      <c r="S59" t="n">
        <v>-1.326268337372682</v>
      </c>
      <c r="T59" t="n">
        <v>-0.570369559396994</v>
      </c>
      <c r="U59" t="n">
        <v>-0.2507411444282468</v>
      </c>
      <c r="V59" t="n">
        <v>0.1053586312752373</v>
      </c>
      <c r="W59" t="n">
        <v>0.538142196137926</v>
      </c>
      <c r="X59" t="n">
        <v>0.8563770622341735</v>
      </c>
      <c r="Y59" t="n">
        <v>1.090985453374742</v>
      </c>
      <c r="Z59" t="n">
        <v>0.6188659097483082</v>
      </c>
      <c r="AA59" t="n">
        <v>0.5754744509091552</v>
      </c>
      <c r="AB59" t="n">
        <v>0.5006995441265474</v>
      </c>
      <c r="AC59" t="n">
        <v>0.7308332543579468</v>
      </c>
      <c r="AD59" t="n">
        <v>0.8212876680589147</v>
      </c>
      <c r="AF59" t="n">
        <v>0.9940544781224219</v>
      </c>
      <c r="AG59" t="n">
        <v>0.7950149487276974</v>
      </c>
      <c r="AH59" t="n">
        <v>0.9173858332241878</v>
      </c>
      <c r="AI59" t="n">
        <v>0.8092155665612779</v>
      </c>
      <c r="AJ59" t="n">
        <v>0.7944368088745648</v>
      </c>
      <c r="AK59" t="n">
        <v>0.7728687675357833</v>
      </c>
      <c r="AL59" t="n">
        <v>0.4293530934991168</v>
      </c>
      <c r="AM59" t="n">
        <v>0.4484173803432441</v>
      </c>
      <c r="AN59" t="n">
        <v>-0.06559373386272682</v>
      </c>
      <c r="AO59" t="n">
        <v>-0.2534219537550655</v>
      </c>
      <c r="AP59" t="n">
        <v>-0.3751230115380224</v>
      </c>
      <c r="AQ59" t="n">
        <v>-0.4001704511322259</v>
      </c>
      <c r="AR59" t="n">
        <v>-0.2635965966526044</v>
      </c>
      <c r="AS59" t="n">
        <v>0.1076390405357301</v>
      </c>
      <c r="AT59" t="n">
        <v>0.4377139671327939</v>
      </c>
      <c r="AU59" t="n">
        <v>0.5302417631765195</v>
      </c>
      <c r="AV59" t="n">
        <v>0.499227807856812</v>
      </c>
      <c r="AW59" t="n">
        <v>0.4168340066460132</v>
      </c>
      <c r="AX59" t="n">
        <v>0.2472219446548536</v>
      </c>
      <c r="AY59" t="n">
        <v>0.3400637525044772</v>
      </c>
      <c r="BA59" t="n">
        <v>0.4423462936547082</v>
      </c>
      <c r="BB59" t="n">
        <v>0.1634183676727901</v>
      </c>
      <c r="BC59" t="n">
        <v>-0.3093420267847193</v>
      </c>
      <c r="BD59" t="n">
        <v>0.5235484472204348</v>
      </c>
      <c r="BE59" t="n">
        <v>1.373657021561598</v>
      </c>
      <c r="BF59" t="n">
        <v>1.374413129742209</v>
      </c>
      <c r="BG59" t="n">
        <v>1.43619657716809</v>
      </c>
      <c r="BH59" t="n">
        <v>1.156927171504947</v>
      </c>
      <c r="BI59" t="n">
        <v>1.135610534049022</v>
      </c>
      <c r="BJ59" t="n">
        <v>0.5583977987244282</v>
      </c>
      <c r="BK59" t="n">
        <v>0.7748062107725104</v>
      </c>
      <c r="BL59" t="n">
        <v>1.040507415995393</v>
      </c>
      <c r="BM59" t="n">
        <v>1.163412679368548</v>
      </c>
      <c r="BN59" t="n">
        <v>1.431052466311115</v>
      </c>
      <c r="BO59" t="n">
        <v>1.657960977478723</v>
      </c>
      <c r="BP59" t="n">
        <v>1.679728328930338</v>
      </c>
      <c r="BQ59" t="n">
        <v>1.93275954023423</v>
      </c>
      <c r="BR59" t="n">
        <v>1.665684115161298</v>
      </c>
      <c r="BS59" t="n">
        <v>1.848027878198991</v>
      </c>
      <c r="BT59" t="n">
        <v>1.855361915936385</v>
      </c>
      <c r="BU59" t="n">
        <v>1.76040460607004</v>
      </c>
      <c r="BV59" t="n">
        <v>1.067464851539086</v>
      </c>
      <c r="BW59" t="n">
        <v>1.090557810186084</v>
      </c>
      <c r="BX59" t="n">
        <v>1.219992976151246</v>
      </c>
      <c r="BY59" t="n">
        <v>1.771992149241782</v>
      </c>
      <c r="BZ59" t="n">
        <v>1.709115219606787</v>
      </c>
    </row>
    <row r="60" ht="15" customHeight="1" s="115">
      <c r="A60" s="4" t="inlineStr">
        <is>
          <t>LTV Adjustments</t>
        </is>
      </c>
      <c r="B60" t="n">
        <v>-0.3980510266323165</v>
      </c>
      <c r="C60" t="n">
        <v>-0.1924528266500261</v>
      </c>
      <c r="D60" t="n">
        <v>0.01354309107804852</v>
      </c>
      <c r="E60" t="n">
        <v>0.1031680191138946</v>
      </c>
      <c r="F60" t="n">
        <v>1.2009701947986</v>
      </c>
      <c r="G60" t="n">
        <v>1.360980304903137</v>
      </c>
      <c r="H60" t="n">
        <v>1.15079942761497</v>
      </c>
      <c r="I60" t="n">
        <v>0.9737094405655284</v>
      </c>
      <c r="J60" t="n">
        <v>0.5654758579341888</v>
      </c>
      <c r="K60" t="n">
        <v>0.5756383193484282</v>
      </c>
      <c r="L60" t="n">
        <v>0.9356031930454094</v>
      </c>
      <c r="M60" t="n">
        <v>1.013418631019732</v>
      </c>
      <c r="N60" t="n">
        <v>1.41688321674954</v>
      </c>
      <c r="O60" t="n">
        <v>1.394966126481791</v>
      </c>
      <c r="P60" t="n">
        <v>1.595831350025719</v>
      </c>
      <c r="Q60" t="n">
        <v>1.745625848840859</v>
      </c>
      <c r="R60" t="n">
        <v>1.729451667810196</v>
      </c>
      <c r="S60" t="n">
        <v>1.326268337372682</v>
      </c>
      <c r="T60" t="n">
        <v>0.570369559396994</v>
      </c>
      <c r="U60" t="n">
        <v>0.2507411444282468</v>
      </c>
      <c r="V60" t="n">
        <v>-0.1053586312752373</v>
      </c>
      <c r="W60" t="n">
        <v>-0.538142196137926</v>
      </c>
      <c r="X60" t="n">
        <v>-0.8563770622341735</v>
      </c>
      <c r="Y60" t="n">
        <v>-1.090985453374742</v>
      </c>
      <c r="Z60" t="n">
        <v>-0.6188659097483082</v>
      </c>
      <c r="AA60" t="n">
        <v>-0.5754744509091552</v>
      </c>
      <c r="AB60" t="n">
        <v>-0.5006995441265474</v>
      </c>
      <c r="AC60" t="n">
        <v>-0.7308332543579468</v>
      </c>
      <c r="AD60" t="n">
        <v>-0.8212876680589147</v>
      </c>
      <c r="AF60" t="n">
        <v>-0.9940544781224219</v>
      </c>
      <c r="AG60" t="n">
        <v>-0.7950149487276974</v>
      </c>
      <c r="AH60" t="n">
        <v>-0.9173858332241878</v>
      </c>
      <c r="AI60" t="n">
        <v>-0.8092155665612779</v>
      </c>
      <c r="AJ60" t="n">
        <v>-0.7944368088745648</v>
      </c>
      <c r="AK60" t="n">
        <v>-0.7728687675357833</v>
      </c>
      <c r="AL60" t="n">
        <v>-0.4293530934991168</v>
      </c>
      <c r="AM60" t="n">
        <v>-0.4484173803432441</v>
      </c>
      <c r="AN60" t="n">
        <v>0.06559373386272682</v>
      </c>
      <c r="AO60" t="n">
        <v>0.2534219537550655</v>
      </c>
      <c r="AP60" t="n">
        <v>0.3751230115380224</v>
      </c>
      <c r="AQ60" t="n">
        <v>0.4001704511322259</v>
      </c>
      <c r="AR60" t="n">
        <v>0.2635965966526044</v>
      </c>
      <c r="AS60" t="n">
        <v>-0.1076390405357301</v>
      </c>
      <c r="AT60" t="n">
        <v>-0.4377139671327939</v>
      </c>
      <c r="AU60" t="n">
        <v>-0.5302417631765195</v>
      </c>
      <c r="AV60" t="n">
        <v>-0.499227807856812</v>
      </c>
      <c r="AW60" t="n">
        <v>-0.4168340066460132</v>
      </c>
      <c r="AX60" t="n">
        <v>-0.2472219446548536</v>
      </c>
      <c r="AY60" t="n">
        <v>-0.3400637525044772</v>
      </c>
      <c r="BA60" t="n">
        <v>-0.4423462936547082</v>
      </c>
      <c r="BB60" t="n">
        <v>-0.1634183676727901</v>
      </c>
      <c r="BC60" t="n">
        <v>0.3093420267847193</v>
      </c>
      <c r="BD60" t="n">
        <v>-0.5235484472204348</v>
      </c>
      <c r="BE60" t="n">
        <v>-1.373657021561598</v>
      </c>
      <c r="BF60" t="n">
        <v>-1.374413129742209</v>
      </c>
      <c r="BG60" t="n">
        <v>-1.43619657716809</v>
      </c>
      <c r="BH60" t="n">
        <v>-1.156927171504947</v>
      </c>
      <c r="BI60" t="n">
        <v>-1.135610534049022</v>
      </c>
      <c r="BJ60" t="n">
        <v>-0.5583977987244282</v>
      </c>
      <c r="BK60" t="n">
        <v>-0.7748062107725104</v>
      </c>
      <c r="BL60" t="n">
        <v>-1.040507415995393</v>
      </c>
      <c r="BM60" t="n">
        <v>-1.163412679368548</v>
      </c>
      <c r="BN60" t="n">
        <v>-1.431052466311115</v>
      </c>
      <c r="BO60" t="n">
        <v>-1.657960977478723</v>
      </c>
      <c r="BP60" t="n">
        <v>-1.679728328930338</v>
      </c>
      <c r="BQ60" t="n">
        <v>-1.93275954023423</v>
      </c>
      <c r="BR60" t="n">
        <v>-1.665684115161298</v>
      </c>
      <c r="BS60" t="n">
        <v>-1.848027878198991</v>
      </c>
      <c r="BT60" t="n">
        <v>-1.855361915936385</v>
      </c>
      <c r="BU60" t="n">
        <v>-1.76040460607004</v>
      </c>
      <c r="BV60" t="n">
        <v>-1.067464851539086</v>
      </c>
      <c r="BW60" t="n">
        <v>-1.090557810186084</v>
      </c>
      <c r="BX60" t="n">
        <v>-1.219992976151246</v>
      </c>
      <c r="BY60" t="n">
        <v>-1.771992149241782</v>
      </c>
      <c r="BZ60" t="n">
        <v>-1.709115219606787</v>
      </c>
    </row>
    <row r="61" ht="15" customHeight="1" s="115">
      <c r="A61" s="3" t="inlineStr">
        <is>
          <t>RAGU Score</t>
        </is>
      </c>
      <c r="B61" t="n">
        <v>140.0817793770776</v>
      </c>
      <c r="C61" t="n">
        <v>142.7249751494616</v>
      </c>
      <c r="D61" t="n">
        <v>141.0191970853192</v>
      </c>
      <c r="E61" t="n">
        <v>140.050137230162</v>
      </c>
      <c r="F61" t="n">
        <v>139.2107129785377</v>
      </c>
      <c r="G61" t="n">
        <v>139.2259605017667</v>
      </c>
      <c r="H61" t="n">
        <v>138.7263787671829</v>
      </c>
      <c r="I61" t="n">
        <v>139.6591090564256</v>
      </c>
      <c r="J61" t="n">
        <v>141.925738700054</v>
      </c>
      <c r="K61" t="n">
        <v>142.8927270107308</v>
      </c>
      <c r="L61" t="n">
        <v>142.8503308255257</v>
      </c>
      <c r="M61" t="n">
        <v>141.8671132331288</v>
      </c>
      <c r="N61" t="n">
        <v>141.5088789979401</v>
      </c>
      <c r="O61" t="n">
        <v>140.4266933489845</v>
      </c>
      <c r="P61" t="n">
        <v>139.1598938694117</v>
      </c>
      <c r="Q61" t="n">
        <v>139.4652350680042</v>
      </c>
      <c r="R61" t="n">
        <v>138.7295166095951</v>
      </c>
      <c r="S61" t="n">
        <v>137.6530427187116</v>
      </c>
      <c r="T61" t="n">
        <v>137.4782899460886</v>
      </c>
      <c r="U61" t="n">
        <v>138.0137613463073</v>
      </c>
      <c r="V61" t="n">
        <v>137.9599447004642</v>
      </c>
      <c r="W61" t="n">
        <v>137.6013078541883</v>
      </c>
      <c r="X61" t="n">
        <v>135.5652763337913</v>
      </c>
      <c r="Y61" t="n">
        <v>137.8891451232045</v>
      </c>
      <c r="Z61" t="n">
        <v>135.2188439648713</v>
      </c>
      <c r="AA61" t="n">
        <v>135.2524637725338</v>
      </c>
      <c r="AB61" t="n">
        <v>134.0951146194988</v>
      </c>
      <c r="AC61" t="n">
        <v>133.6771247236817</v>
      </c>
      <c r="AD61" t="n">
        <v>133.0529677095043</v>
      </c>
      <c r="AF61" t="n">
        <v>134.8921227198501</v>
      </c>
      <c r="AG61" t="n">
        <v>135.8476150562879</v>
      </c>
      <c r="AH61" t="n">
        <v>135.4711814838458</v>
      </c>
      <c r="AI61" t="n">
        <v>136.4124186032401</v>
      </c>
      <c r="AJ61" t="n">
        <v>137.1982736700459</v>
      </c>
      <c r="AK61" t="n">
        <v>137.7760399865173</v>
      </c>
      <c r="AL61" t="n">
        <v>137.4973618459501</v>
      </c>
      <c r="AM61" t="n">
        <v>139.235379738919</v>
      </c>
      <c r="AN61" t="n">
        <v>140.7314382815372</v>
      </c>
      <c r="AO61" t="n">
        <v>141.6521075832863</v>
      </c>
      <c r="AP61" t="n">
        <v>143.1509634092023</v>
      </c>
      <c r="AQ61" t="n">
        <v>142.5614679779232</v>
      </c>
      <c r="AR61" t="n">
        <v>142.6732000243279</v>
      </c>
      <c r="AS61" t="n">
        <v>143.218223264629</v>
      </c>
      <c r="AT61" t="n">
        <v>143.7760901301334</v>
      </c>
      <c r="AU61" t="n">
        <v>143.7857409089583</v>
      </c>
      <c r="AV61" t="n">
        <v>143.7606005927033</v>
      </c>
      <c r="AW61" t="n">
        <v>143.4579803328595</v>
      </c>
      <c r="AX61" t="n">
        <v>143.1531416451048</v>
      </c>
      <c r="AY61" t="n">
        <v>142.8213114355721</v>
      </c>
      <c r="BA61" t="n">
        <v>144.3063740298926</v>
      </c>
      <c r="BB61" t="n">
        <v>143.8180218043062</v>
      </c>
      <c r="BC61" t="n">
        <v>141.9006001154587</v>
      </c>
      <c r="BD61" t="n">
        <v>144.0280471351356</v>
      </c>
      <c r="BE61" t="n">
        <v>144.7010726266748</v>
      </c>
      <c r="BF61" t="n">
        <v>144.8504471578138</v>
      </c>
      <c r="BG61" t="n">
        <v>144.3145480350036</v>
      </c>
      <c r="BH61" t="n">
        <v>143.7319559332533</v>
      </c>
      <c r="BI61" t="n">
        <v>143.6433373063896</v>
      </c>
      <c r="BJ61" t="n">
        <v>144.3494084360303</v>
      </c>
      <c r="BK61" t="n">
        <v>144.1729461089256</v>
      </c>
      <c r="BL61" t="n">
        <v>142.9600779399046</v>
      </c>
      <c r="BM61" t="n">
        <v>142.4080366416951</v>
      </c>
      <c r="BN61" t="n">
        <v>142.4910325565172</v>
      </c>
      <c r="BO61" t="n">
        <v>141.8578804855371</v>
      </c>
      <c r="BP61" t="n">
        <v>142.0874495115608</v>
      </c>
      <c r="BQ61" t="n">
        <v>142.3392153582152</v>
      </c>
      <c r="BR61" t="n">
        <v>143.0285001059764</v>
      </c>
      <c r="BS61" t="n">
        <v>143.8857081500734</v>
      </c>
      <c r="BT61" t="n">
        <v>143.9420669167982</v>
      </c>
      <c r="BU61" t="n">
        <v>143.4406666772122</v>
      </c>
      <c r="BV61" t="n">
        <v>143.6990997669886</v>
      </c>
      <c r="BW61" t="n">
        <v>143.9412790446985</v>
      </c>
      <c r="BX61" t="n">
        <v>144.5167690835214</v>
      </c>
      <c r="BY61" t="n">
        <v>146.9765791304193</v>
      </c>
      <c r="BZ61" t="n">
        <v>147.6061056346937</v>
      </c>
    </row>
    <row r="62" ht="15" customHeight="1" s="115">
      <c r="A62" s="5" t="inlineStr">
        <is>
          <t>LTV</t>
        </is>
      </c>
      <c r="B62" t="n">
        <v>1.585027480385098</v>
      </c>
      <c r="C62" t="n">
        <v>1.571889770412024</v>
      </c>
      <c r="D62" t="n">
        <v>1.585608973329492</v>
      </c>
      <c r="E62" t="n">
        <v>1.609182228920004</v>
      </c>
      <c r="F62" t="n">
        <v>1.742354744790683</v>
      </c>
      <c r="G62" t="n">
        <v>1.70693690166792</v>
      </c>
      <c r="H62" t="n">
        <v>1.675450606134707</v>
      </c>
      <c r="I62" t="n">
        <v>1.750556117834418</v>
      </c>
      <c r="J62" t="n">
        <v>1.76562160830021</v>
      </c>
      <c r="K62" t="n">
        <v>1.708588742574805</v>
      </c>
      <c r="L62" t="n">
        <v>1.602661296025019</v>
      </c>
      <c r="M62" t="n">
        <v>1.548284919266485</v>
      </c>
      <c r="N62" t="n">
        <v>1.586736595980496</v>
      </c>
      <c r="O62" t="n">
        <v>1.671920858808706</v>
      </c>
      <c r="P62" t="n">
        <v>1.736321222684156</v>
      </c>
      <c r="Q62" t="n">
        <v>1.756046434129627</v>
      </c>
      <c r="R62" t="n">
        <v>1.726569252540396</v>
      </c>
      <c r="S62" t="n">
        <v>1.640643484937627</v>
      </c>
      <c r="T62" t="n">
        <v>1.481326642329505</v>
      </c>
      <c r="U62" t="n">
        <v>1.435319655484514</v>
      </c>
      <c r="V62" t="n">
        <v>1.428330464108092</v>
      </c>
      <c r="W62" t="n">
        <v>1.42600539284276</v>
      </c>
      <c r="X62" t="n">
        <v>1.454228875939984</v>
      </c>
      <c r="Y62" t="n">
        <v>1.501177433367557</v>
      </c>
      <c r="Z62" t="n">
        <v>1.485854461716272</v>
      </c>
      <c r="AA62" t="n">
        <v>1.481682098156668</v>
      </c>
      <c r="AB62" t="n">
        <v>1.495153765504784</v>
      </c>
      <c r="AC62" t="n">
        <v>1.499158256160708</v>
      </c>
      <c r="AD62" t="n">
        <v>1.636929077301609</v>
      </c>
      <c r="AF62" t="n">
        <v>1.510190304925841</v>
      </c>
      <c r="AG62" t="n">
        <v>1.563185906419356</v>
      </c>
      <c r="AH62" t="n">
        <v>1.546579288945693</v>
      </c>
      <c r="AI62" t="n">
        <v>1.541590763953199</v>
      </c>
      <c r="AJ62" t="n">
        <v>1.563359348350537</v>
      </c>
      <c r="AK62" t="n">
        <v>1.635401659048922</v>
      </c>
      <c r="AL62" t="n">
        <v>1.665669334265314</v>
      </c>
      <c r="AM62" t="n">
        <v>1.688454342839497</v>
      </c>
      <c r="AN62" t="n">
        <v>1.745772139747628</v>
      </c>
      <c r="AO62" t="n">
        <v>1.767635224331945</v>
      </c>
      <c r="AP62" t="n">
        <v>1.784007445024657</v>
      </c>
      <c r="AQ62" t="n">
        <v>1.726969448826694</v>
      </c>
      <c r="AR62" t="n">
        <v>1.76863345573889</v>
      </c>
      <c r="AS62" t="n">
        <v>1.678177638922179</v>
      </c>
      <c r="AT62" t="n">
        <v>1.633928064586771</v>
      </c>
      <c r="AU62" t="n">
        <v>1.679633085907825</v>
      </c>
      <c r="AV62" t="n">
        <v>1.843557729120111</v>
      </c>
      <c r="AW62" t="n">
        <v>1.817665748382463</v>
      </c>
      <c r="AX62" t="n">
        <v>1.831083845099526</v>
      </c>
      <c r="AY62" t="n">
        <v>1.804897923574297</v>
      </c>
      <c r="BA62" t="n">
        <v>1.928588482542303</v>
      </c>
      <c r="BB62" t="n">
        <v>1.87483128330553</v>
      </c>
      <c r="BC62" t="n">
        <v>2.014317868939056</v>
      </c>
      <c r="BD62" t="n">
        <v>1.747971510718168</v>
      </c>
      <c r="BE62" t="n">
        <v>1.6647149362472</v>
      </c>
      <c r="BF62" t="n">
        <v>1.626256175954189</v>
      </c>
      <c r="BG62" t="n">
        <v>1.630487409723725</v>
      </c>
      <c r="BH62" t="n">
        <v>1.697748481989598</v>
      </c>
      <c r="BI62" t="n">
        <v>1.674009405987439</v>
      </c>
      <c r="BJ62" t="n">
        <v>1.6880948914098</v>
      </c>
      <c r="BK62" t="n">
        <v>1.686175654928677</v>
      </c>
      <c r="BL62" t="n">
        <v>1.671398879813403</v>
      </c>
      <c r="BM62" t="n">
        <v>1.68192328931406</v>
      </c>
      <c r="BN62" t="n">
        <v>1.680921754565471</v>
      </c>
      <c r="BO62" t="n">
        <v>1.621546636849307</v>
      </c>
      <c r="BP62" t="n">
        <v>1.611332509780861</v>
      </c>
      <c r="BQ62" t="n">
        <v>1.598727474363875</v>
      </c>
      <c r="BR62" t="n">
        <v>1.617439890804233</v>
      </c>
      <c r="BS62" t="n">
        <v>1.596755169214657</v>
      </c>
      <c r="BT62" t="n">
        <v>1.604962004737773</v>
      </c>
      <c r="BU62" t="n">
        <v>1.607213988258952</v>
      </c>
      <c r="BV62" t="n">
        <v>1.634128316473927</v>
      </c>
      <c r="BW62" t="n">
        <v>1.633265192318029</v>
      </c>
      <c r="BX62" t="n">
        <v>1.621102454699971</v>
      </c>
      <c r="BY62" t="n">
        <v>1.560565623686405</v>
      </c>
      <c r="BZ62" t="n">
        <v>1.573605098066236</v>
      </c>
    </row>
    <row r="63" ht="15" customHeight="1" s="115"/>
    <row r="64" ht="15" customHeight="1" s="115">
      <c r="A64" s="1" t="inlineStr">
        <is>
          <t>POS</t>
        </is>
      </c>
      <c r="B64" s="2" t="n">
        <v>2016</v>
      </c>
      <c r="C64" s="2" t="n">
        <v>2017</v>
      </c>
      <c r="D64" s="2" t="n">
        <v>2018</v>
      </c>
      <c r="E64" s="2" t="n">
        <v>2019</v>
      </c>
      <c r="F64" s="2" t="inlineStr">
        <is>
          <t>2020 M01</t>
        </is>
      </c>
      <c r="G64" s="2" t="inlineStr">
        <is>
          <t>2020 M02</t>
        </is>
      </c>
      <c r="H64" s="2" t="inlineStr">
        <is>
          <t>2020 M03</t>
        </is>
      </c>
      <c r="I64" s="2" t="inlineStr">
        <is>
          <t>2020 M04</t>
        </is>
      </c>
      <c r="J64" s="2" t="inlineStr">
        <is>
          <t>2020 M05</t>
        </is>
      </c>
      <c r="K64" s="2" t="inlineStr">
        <is>
          <t>2020 M06</t>
        </is>
      </c>
      <c r="L64" s="2" t="inlineStr">
        <is>
          <t>2020 M07</t>
        </is>
      </c>
      <c r="M64" s="2" t="inlineStr">
        <is>
          <t>2020 M08</t>
        </is>
      </c>
      <c r="N64" s="2" t="inlineStr">
        <is>
          <t>2020 M09</t>
        </is>
      </c>
      <c r="O64" s="2" t="inlineStr">
        <is>
          <t>2020 M10</t>
        </is>
      </c>
      <c r="P64" s="2" t="inlineStr">
        <is>
          <t>2020 M11</t>
        </is>
      </c>
      <c r="Q64" s="2" t="inlineStr">
        <is>
          <t>2020 M12</t>
        </is>
      </c>
      <c r="R64" s="2" t="inlineStr">
        <is>
          <t>2021 M01</t>
        </is>
      </c>
      <c r="S64" s="2" t="inlineStr">
        <is>
          <t>2021 M02</t>
        </is>
      </c>
      <c r="T64" s="2" t="inlineStr">
        <is>
          <t>2021 M03</t>
        </is>
      </c>
      <c r="U64" s="2" t="inlineStr">
        <is>
          <t>2021 M04</t>
        </is>
      </c>
      <c r="V64" s="2" t="inlineStr">
        <is>
          <t>2021 M05</t>
        </is>
      </c>
      <c r="W64" s="2" t="inlineStr">
        <is>
          <t>2021 M06</t>
        </is>
      </c>
      <c r="X64" s="2" t="inlineStr">
        <is>
          <t>2021 M07</t>
        </is>
      </c>
      <c r="Y64" s="2" t="inlineStr">
        <is>
          <t>2021 M08</t>
        </is>
      </c>
      <c r="Z64" s="2" t="inlineStr">
        <is>
          <t>2021 M09</t>
        </is>
      </c>
      <c r="AA64" s="2" t="inlineStr">
        <is>
          <t>2021 M10</t>
        </is>
      </c>
      <c r="AB64" s="2" t="inlineStr">
        <is>
          <t>2021 M11</t>
        </is>
      </c>
      <c r="AC64" s="2" t="inlineStr">
        <is>
          <t>2021 M12</t>
        </is>
      </c>
      <c r="AD64" s="2" t="inlineStr">
        <is>
          <t>2022 M01</t>
        </is>
      </c>
      <c r="AE64" s="2" t="inlineStr">
        <is>
          <t>2022 M02</t>
        </is>
      </c>
      <c r="AF64" s="2" t="inlineStr">
        <is>
          <t>2022 M03</t>
        </is>
      </c>
      <c r="AG64" s="2" t="inlineStr">
        <is>
          <t>2022 M04</t>
        </is>
      </c>
      <c r="AH64" s="2" t="inlineStr">
        <is>
          <t>2022 M05</t>
        </is>
      </c>
      <c r="AI64" s="2" t="inlineStr">
        <is>
          <t>2022 M06</t>
        </is>
      </c>
      <c r="AJ64" s="2" t="inlineStr">
        <is>
          <t>2022 M07</t>
        </is>
      </c>
      <c r="AK64" s="2" t="inlineStr">
        <is>
          <t>2022 M08</t>
        </is>
      </c>
      <c r="AL64" s="2" t="inlineStr">
        <is>
          <t>2022 M09</t>
        </is>
      </c>
      <c r="AM64" s="2" t="inlineStr">
        <is>
          <t>2022 M10</t>
        </is>
      </c>
      <c r="AN64" s="2" t="inlineStr">
        <is>
          <t>2022 M11</t>
        </is>
      </c>
      <c r="AO64" s="2" t="inlineStr">
        <is>
          <t>2022 M12</t>
        </is>
      </c>
      <c r="AP64" s="2" t="inlineStr">
        <is>
          <t>2023 M01</t>
        </is>
      </c>
      <c r="AQ64" s="2" t="inlineStr">
        <is>
          <t>2023 M02</t>
        </is>
      </c>
      <c r="AR64" s="2" t="inlineStr">
        <is>
          <t>2023 M03</t>
        </is>
      </c>
      <c r="AS64" s="2" t="inlineStr">
        <is>
          <t>2023 M04</t>
        </is>
      </c>
      <c r="AT64" s="2" t="inlineStr">
        <is>
          <t>2023 M05</t>
        </is>
      </c>
      <c r="AU64" s="2" t="inlineStr">
        <is>
          <t>2023 M06</t>
        </is>
      </c>
      <c r="AV64" s="2" t="inlineStr">
        <is>
          <t>2023 M07</t>
        </is>
      </c>
      <c r="AW64" s="2" t="inlineStr">
        <is>
          <t>2023 M08</t>
        </is>
      </c>
      <c r="AX64" s="2" t="inlineStr">
        <is>
          <t>2023 M09</t>
        </is>
      </c>
      <c r="AY64" s="2" t="inlineStr">
        <is>
          <t>2023 M10</t>
        </is>
      </c>
      <c r="AZ64" s="2" t="inlineStr">
        <is>
          <t>2023 M11</t>
        </is>
      </c>
      <c r="BA64" s="2" t="inlineStr">
        <is>
          <t>2023 M12</t>
        </is>
      </c>
      <c r="BB64" s="2" t="inlineStr">
        <is>
          <t>2024 M01</t>
        </is>
      </c>
      <c r="BC64" s="2" t="inlineStr">
        <is>
          <t>2024 M02</t>
        </is>
      </c>
      <c r="BD64" s="2" t="inlineStr">
        <is>
          <t>2024 M03</t>
        </is>
      </c>
      <c r="BE64" s="2" t="inlineStr">
        <is>
          <t>2024 M04</t>
        </is>
      </c>
      <c r="BF64" s="2" t="inlineStr">
        <is>
          <t>2024 M05</t>
        </is>
      </c>
      <c r="BG64" s="2" t="inlineStr">
        <is>
          <t>2024 M06</t>
        </is>
      </c>
      <c r="BH64" s="2" t="inlineStr">
        <is>
          <t>2024 M07</t>
        </is>
      </c>
      <c r="BI64" s="2" t="inlineStr">
        <is>
          <t>2024 M08</t>
        </is>
      </c>
      <c r="BJ64" s="2" t="inlineStr">
        <is>
          <t>2024 M09</t>
        </is>
      </c>
      <c r="BK64" s="2" t="inlineStr">
        <is>
          <t>2024 M10</t>
        </is>
      </c>
      <c r="BL64" s="2" t="inlineStr">
        <is>
          <t>2024 M11</t>
        </is>
      </c>
      <c r="BM64" s="2" t="inlineStr">
        <is>
          <t>2024 M12</t>
        </is>
      </c>
      <c r="BN64" s="2" t="inlineStr">
        <is>
          <t>2025 M01</t>
        </is>
      </c>
      <c r="BO64" s="2" t="inlineStr">
        <is>
          <t xml:space="preserve">2025 M02 </t>
        </is>
      </c>
      <c r="BP64" s="2" t="inlineStr">
        <is>
          <t>2025 M03</t>
        </is>
      </c>
      <c r="BQ64" s="2" t="inlineStr">
        <is>
          <t>2025 M04</t>
        </is>
      </c>
      <c r="BR64" s="2" t="inlineStr">
        <is>
          <t>2025 M05</t>
        </is>
      </c>
      <c r="BS64" s="2" t="inlineStr">
        <is>
          <t>2025 M06</t>
        </is>
      </c>
      <c r="BT64" s="2" t="inlineStr">
        <is>
          <t>2025 M07</t>
        </is>
      </c>
      <c r="BU64" s="2" t="inlineStr">
        <is>
          <t>2025 M08</t>
        </is>
      </c>
      <c r="BV64" s="2" t="inlineStr">
        <is>
          <t>2025 M09</t>
        </is>
      </c>
      <c r="BW64" s="2" t="inlineStr">
        <is>
          <t>2025 M10</t>
        </is>
      </c>
    </row>
    <row r="65" ht="15" customHeight="1" s="115">
      <c r="A65" s="5" t="inlineStr">
        <is>
          <t>Contract Model Score</t>
        </is>
      </c>
      <c r="B65" t="n">
        <v>133.9701709703528</v>
      </c>
      <c r="C65" t="n">
        <v>137.088049236567</v>
      </c>
      <c r="D65" t="n">
        <v>136.1776745720702</v>
      </c>
      <c r="E65" t="n">
        <v>135.2240279735026</v>
      </c>
      <c r="F65" t="n">
        <v>134.058654046687</v>
      </c>
      <c r="G65" t="n">
        <v>134.6600662130225</v>
      </c>
      <c r="H65" t="n">
        <v>134.0364443112649</v>
      </c>
      <c r="I65" t="n">
        <v>133.8906779829942</v>
      </c>
      <c r="J65" t="n">
        <v>136.7584504341642</v>
      </c>
      <c r="K65" t="n">
        <v>137.7925697771455</v>
      </c>
      <c r="L65" t="n">
        <v>138.0538687271763</v>
      </c>
      <c r="M65" t="n">
        <v>137.6387494463234</v>
      </c>
      <c r="N65" t="n">
        <v>137.3338829041011</v>
      </c>
      <c r="O65" t="n">
        <v>136.6438504800994</v>
      </c>
      <c r="P65" t="n">
        <v>136.0063392684817</v>
      </c>
      <c r="Q65" t="n">
        <v>136.3015817883987</v>
      </c>
      <c r="R65" t="n">
        <v>135.9752233694372</v>
      </c>
      <c r="S65" t="n">
        <v>135.1436452834228</v>
      </c>
      <c r="T65" t="n">
        <v>134.9255336917068</v>
      </c>
      <c r="U65" t="n">
        <v>135.0897900552639</v>
      </c>
      <c r="V65" t="n">
        <v>135.0939861839946</v>
      </c>
      <c r="W65" t="n">
        <v>134.755983593301</v>
      </c>
      <c r="X65" t="n">
        <v>133.541328709874</v>
      </c>
      <c r="Y65" t="n">
        <v>135.4591011496866</v>
      </c>
      <c r="Z65" t="n">
        <v>133.5574387592152</v>
      </c>
      <c r="AA65" t="n">
        <v>133.5371970947796</v>
      </c>
      <c r="AB65" t="n">
        <v>132.5557214370132</v>
      </c>
      <c r="AC65" t="n">
        <v>132.2654968619638</v>
      </c>
      <c r="AD65" t="n">
        <v>132.1831879394001</v>
      </c>
      <c r="AE65" t="n">
        <v>133.0840594950954</v>
      </c>
      <c r="AF65" t="n">
        <v>133.5052230322217</v>
      </c>
      <c r="AG65" t="n">
        <v>134.5573115917914</v>
      </c>
      <c r="AH65" t="n">
        <v>134.6767289403992</v>
      </c>
      <c r="AI65" t="n">
        <v>135.2761442499562</v>
      </c>
      <c r="AJ65" t="n">
        <v>135.8478112876931</v>
      </c>
      <c r="AK65" t="n">
        <v>136.078022704556</v>
      </c>
      <c r="AL65" t="n">
        <v>135.7785681424845</v>
      </c>
      <c r="AM65" t="n">
        <v>136.2609349553096</v>
      </c>
      <c r="AN65" t="n">
        <v>137.5574469876502</v>
      </c>
      <c r="AO65" t="n">
        <v>137.8054301535919</v>
      </c>
      <c r="AP65" t="n">
        <v>138.5565580103459</v>
      </c>
      <c r="AQ65" t="n">
        <v>138.629836739014</v>
      </c>
      <c r="AR65" t="n">
        <v>138.5061792021732</v>
      </c>
      <c r="AS65" t="n">
        <v>138.907417350748</v>
      </c>
      <c r="AT65" t="n">
        <v>139.3613513434035</v>
      </c>
      <c r="AU65" t="n">
        <v>138.6917321404326</v>
      </c>
      <c r="AV65" t="n">
        <v>138.5766224818321</v>
      </c>
      <c r="AW65" t="n">
        <v>139.2513314036958</v>
      </c>
      <c r="AX65" t="n">
        <v>139.3569647369528</v>
      </c>
      <c r="AY65" t="n">
        <v>139.0392105642609</v>
      </c>
      <c r="AZ65" t="n">
        <v>138.8818442484987</v>
      </c>
      <c r="BA65" t="n">
        <v>138.9129111671825</v>
      </c>
      <c r="BB65" t="n">
        <v>138.8698124065522</v>
      </c>
      <c r="BC65" t="n">
        <v>138.0135964369396</v>
      </c>
      <c r="BD65" t="n">
        <v>138.3409194983585</v>
      </c>
      <c r="BE65" t="n">
        <v>138.9709469756048</v>
      </c>
      <c r="BF65" t="n">
        <v>139.3209172180293</v>
      </c>
      <c r="BG65" t="n">
        <v>139.4197286006967</v>
      </c>
      <c r="BH65" t="n">
        <v>139.299971480895</v>
      </c>
      <c r="BI65" t="n">
        <v>139.6004116042191</v>
      </c>
      <c r="BJ65" t="n">
        <v>139.7687774509979</v>
      </c>
      <c r="BK65" t="n">
        <v>139.139181966685</v>
      </c>
      <c r="BL65" t="n">
        <v>138.4910033478878</v>
      </c>
      <c r="BM65" t="n">
        <v>138.2099282760587</v>
      </c>
      <c r="BN65" t="n">
        <v>138.2695898406956</v>
      </c>
      <c r="BO65" t="n">
        <v>138.2733281047124</v>
      </c>
      <c r="BP65" t="n">
        <v>138.3308718878808</v>
      </c>
      <c r="BQ65" t="n">
        <v>138.8109818916384</v>
      </c>
      <c r="BR65" t="n">
        <v>139.1685022022573</v>
      </c>
      <c r="BS65" t="n">
        <v>139.3798083875013</v>
      </c>
      <c r="BT65" t="n">
        <v>139.529301247379</v>
      </c>
      <c r="BU65" t="n">
        <v>139.2546394476401</v>
      </c>
      <c r="BV65" t="n">
        <v>139.4568914930385</v>
      </c>
      <c r="BW65" t="n">
        <v>139.6688213683796</v>
      </c>
      <c r="BX65" t="n">
        <v>140.0455494010288</v>
      </c>
      <c r="BY65" t="n">
        <v>141.3008476691734</v>
      </c>
      <c r="BZ65" t="n">
        <v>141.599958920769</v>
      </c>
    </row>
    <row r="66" ht="15" customHeight="1" s="115">
      <c r="A66" s="6" t="inlineStr">
        <is>
          <t>Model Score</t>
        </is>
      </c>
      <c r="B66" t="n">
        <v>-2.353677813685096</v>
      </c>
      <c r="C66" t="n">
        <v>-0.8164625432402772</v>
      </c>
      <c r="D66" t="n">
        <v>-0.3530369378724458</v>
      </c>
      <c r="E66" t="n">
        <v>-0.5459735796797816</v>
      </c>
      <c r="F66" t="n">
        <v>-0.6338375497682591</v>
      </c>
      <c r="G66" t="n">
        <v>-0.4810700232779652</v>
      </c>
      <c r="H66" t="n">
        <v>-0.4203859839121264</v>
      </c>
      <c r="I66" t="n">
        <v>-0.5606689046224176</v>
      </c>
      <c r="J66" t="n">
        <v>-0.4091097806692403</v>
      </c>
      <c r="K66" t="n">
        <v>-0.3363361372242082</v>
      </c>
      <c r="L66" t="n">
        <v>-0.2935031836206576</v>
      </c>
      <c r="M66" t="n">
        <v>-0.2289333383930909</v>
      </c>
      <c r="N66" t="n">
        <v>-0.1957328325564731</v>
      </c>
      <c r="O66" t="n">
        <v>-0.1355330169531612</v>
      </c>
      <c r="P66" t="n">
        <v>-0.1030874120326644</v>
      </c>
      <c r="Q66" t="n">
        <v>-0.06562255291973429</v>
      </c>
      <c r="R66" t="n">
        <v>-0.03224490502563526</v>
      </c>
      <c r="S66" t="n">
        <v>0.001221459773262268</v>
      </c>
      <c r="T66" t="n">
        <v>0.002055238781878188</v>
      </c>
      <c r="U66" t="n">
        <v>0.04694333594491695</v>
      </c>
      <c r="V66" t="n">
        <v>0.05824368506975475</v>
      </c>
      <c r="W66" t="n">
        <v>0.05231096964379844</v>
      </c>
      <c r="X66" t="n">
        <v>0.07425074603617077</v>
      </c>
      <c r="Y66" t="n">
        <v>0.04540893975985227</v>
      </c>
      <c r="Z66" t="n">
        <v>0.05481698709917282</v>
      </c>
      <c r="AA66" t="n">
        <v>0.07321607642131767</v>
      </c>
      <c r="AB66" t="n">
        <v>0.03249198656683916</v>
      </c>
      <c r="AC66" t="n">
        <v>0.09387067914008185</v>
      </c>
      <c r="AD66" t="n">
        <v>0.1477375542260972</v>
      </c>
      <c r="AE66" t="n">
        <v>-0.3998516528407947</v>
      </c>
      <c r="AF66" t="n">
        <v>0.05428372242991486</v>
      </c>
      <c r="AG66" t="n">
        <v>0.003230410546137819</v>
      </c>
      <c r="AH66" t="n">
        <v>0.008284466588293071</v>
      </c>
      <c r="AI66" t="n">
        <v>0.02339698888587805</v>
      </c>
      <c r="AJ66" t="n">
        <v>0.01589230424258403</v>
      </c>
      <c r="AK66" t="n">
        <v>0.034179231404039</v>
      </c>
      <c r="AL66" t="n">
        <v>0.03393274816852454</v>
      </c>
      <c r="AM66" t="n">
        <v>0.06180513818748068</v>
      </c>
      <c r="AN66" t="n">
        <v>0.02314583140304194</v>
      </c>
      <c r="AO66" t="n">
        <v>0.02078627635611952</v>
      </c>
      <c r="AP66" t="n">
        <v>0.02114299169221567</v>
      </c>
      <c r="AQ66" t="n">
        <v>-0.02174061230041957</v>
      </c>
      <c r="AR66" t="n">
        <v>0.2741714256277987</v>
      </c>
      <c r="AS66" t="n">
        <v>0.9680404946520014</v>
      </c>
      <c r="AT66" t="n">
        <v>-0.09409322023770983</v>
      </c>
      <c r="AU66" t="n">
        <v>-0.1965794797933427</v>
      </c>
      <c r="AV66" t="n">
        <v>-0.9500310618471133</v>
      </c>
      <c r="AW66" t="n">
        <v>-0.672598889832642</v>
      </c>
      <c r="AX66" t="n">
        <v>-0.4345006281400572</v>
      </c>
      <c r="AY66" t="n">
        <v>-0.4367196632006198</v>
      </c>
      <c r="AZ66" t="n">
        <v>-1.738691895340992</v>
      </c>
      <c r="BA66" t="n">
        <v>0.01641156733742832</v>
      </c>
      <c r="BB66" t="n">
        <v>-0.0259450973289006</v>
      </c>
      <c r="BC66" t="n">
        <v>-0.02413304749597955</v>
      </c>
      <c r="BD66" t="n">
        <v>-0.01270691430812576</v>
      </c>
      <c r="BE66" t="n">
        <v>-0.03051992264232695</v>
      </c>
      <c r="BF66" t="n">
        <v>-0.02633343102465346</v>
      </c>
      <c r="BG66" t="n">
        <v>-0.01725938362085344</v>
      </c>
      <c r="BH66" t="n">
        <v>-0.004364625311524151</v>
      </c>
      <c r="BI66" t="n">
        <v>0.01512940553888598</v>
      </c>
      <c r="BJ66" t="n">
        <v>-0.00221599010421869</v>
      </c>
      <c r="BK66" t="n">
        <v>-0.01241674093770939</v>
      </c>
      <c r="BL66" t="n">
        <v>0.02051751369864974</v>
      </c>
      <c r="BM66" t="n">
        <v>0.01829526284461735</v>
      </c>
      <c r="BN66" t="n">
        <v>0.03118486505647411</v>
      </c>
      <c r="BO66" t="n">
        <v>0.003133437040474973</v>
      </c>
      <c r="BP66" t="n">
        <v>0.04229092057070716</v>
      </c>
      <c r="BQ66" t="n">
        <v>0.02845939351249172</v>
      </c>
      <c r="BR66" t="n">
        <v>0.01353841489259366</v>
      </c>
      <c r="BS66" t="n">
        <v>0.00221753558008686</v>
      </c>
      <c r="BT66" t="n">
        <v>-0.002402568381256742</v>
      </c>
      <c r="BU66" t="n">
        <v>-0.005721838998198336</v>
      </c>
      <c r="BV66" t="n">
        <v>0.01477847493390527</v>
      </c>
      <c r="BW66" t="n">
        <v>0.01099480898051297</v>
      </c>
      <c r="BX66" t="n">
        <v>0.008025368909073904</v>
      </c>
      <c r="BY66" t="n">
        <v>-0.0004734702808946167</v>
      </c>
      <c r="BZ66" t="n">
        <v>0.01030797546050621</v>
      </c>
    </row>
    <row r="67" ht="15" customHeight="1" s="115">
      <c r="A67" s="4" t="inlineStr">
        <is>
          <t>Gross Loss Adjustments (Dealer level, high PTI, etc.)</t>
        </is>
      </c>
      <c r="B67" t="n">
        <v>0.9533079848787338</v>
      </c>
      <c r="C67" t="n">
        <v>2.281626526752234</v>
      </c>
      <c r="D67" t="n">
        <v>2.242922851623376</v>
      </c>
      <c r="E67" t="n">
        <v>2.176542883515651</v>
      </c>
      <c r="F67" t="n">
        <v>1.410054175511306</v>
      </c>
      <c r="G67" t="n">
        <v>1.610206813056692</v>
      </c>
      <c r="H67" t="n">
        <v>1.583548477729437</v>
      </c>
      <c r="I67" t="n">
        <v>1.175379911405628</v>
      </c>
      <c r="J67" t="n">
        <v>1.907818431861813</v>
      </c>
      <c r="K67" t="n">
        <v>2.030778665770868</v>
      </c>
      <c r="L67" t="n">
        <v>1.925213248804226</v>
      </c>
      <c r="M67" t="n">
        <v>1.759598667771655</v>
      </c>
      <c r="N67" t="n">
        <v>1.76840833926488</v>
      </c>
      <c r="O67" t="n">
        <v>1.494656700854279</v>
      </c>
      <c r="P67" t="n">
        <v>1.37980665232223</v>
      </c>
      <c r="Q67" t="n">
        <v>1.186541406131482</v>
      </c>
      <c r="R67" t="n">
        <v>1.389498492394949</v>
      </c>
      <c r="S67" t="n">
        <v>1.431087490853002</v>
      </c>
      <c r="T67" t="n">
        <v>1.396966038407271</v>
      </c>
      <c r="U67" t="n">
        <v>1.129762005141373</v>
      </c>
      <c r="V67" t="n">
        <v>1.056215645454984</v>
      </c>
      <c r="W67" t="n">
        <v>0.8687673579996442</v>
      </c>
      <c r="X67" t="n">
        <v>0.7807959849905615</v>
      </c>
      <c r="Y67" t="n">
        <v>0.9539369000465854</v>
      </c>
      <c r="Z67" t="n">
        <v>0.6823295526888842</v>
      </c>
      <c r="AA67" t="n">
        <v>0.6416884377416352</v>
      </c>
      <c r="AB67" t="n">
        <v>0.3607723948404384</v>
      </c>
      <c r="AC67" t="n">
        <v>0.2730213277532698</v>
      </c>
      <c r="AD67" t="n">
        <v>0.04959112028922164</v>
      </c>
      <c r="AE67" t="n">
        <v>-0.4983607169299091</v>
      </c>
      <c r="AF67" t="n">
        <v>0.4898456715793031</v>
      </c>
      <c r="AG67" t="n">
        <v>0.5484902010729513</v>
      </c>
      <c r="AH67" t="n">
        <v>0.6573718627012681</v>
      </c>
      <c r="AI67" t="n">
        <v>0.7077596056202538</v>
      </c>
      <c r="AJ67" t="n">
        <v>0.8296076543485924</v>
      </c>
      <c r="AK67" t="n">
        <v>0.769204523559182</v>
      </c>
      <c r="AL67" t="n">
        <v>0.6140323814423425</v>
      </c>
      <c r="AM67" t="n">
        <v>0.9311665096313675</v>
      </c>
      <c r="AN67" t="n">
        <v>1.103988370047944</v>
      </c>
      <c r="AO67" t="n">
        <v>1.280568978685068</v>
      </c>
      <c r="AP67" t="n">
        <v>1.313609086833111</v>
      </c>
      <c r="AQ67" t="n">
        <v>1.719463029229161</v>
      </c>
      <c r="AR67" t="n">
        <v>1.565842948292783</v>
      </c>
      <c r="AS67" t="n">
        <v>2.279260641555084</v>
      </c>
      <c r="AT67" t="n">
        <v>1.971229586247091</v>
      </c>
      <c r="AU67" t="n">
        <v>1.568082864602786</v>
      </c>
      <c r="AV67" t="n">
        <v>1.314178288120161</v>
      </c>
      <c r="AW67" t="n">
        <v>1.348082546358597</v>
      </c>
      <c r="AX67" t="n">
        <v>1.539990572169927</v>
      </c>
      <c r="AY67" t="n">
        <v>1.453723347278782</v>
      </c>
      <c r="AZ67" t="n">
        <v>0.4256386486268013</v>
      </c>
      <c r="BA67" t="n">
        <v>1.79893293318969</v>
      </c>
      <c r="BB67" t="n">
        <v>1.802372064693316</v>
      </c>
      <c r="BC67" t="n">
        <v>2.046599441755546</v>
      </c>
      <c r="BD67" t="n">
        <v>1.950632921806999</v>
      </c>
      <c r="BE67" t="n">
        <v>1.97406893711721</v>
      </c>
      <c r="BF67" t="n">
        <v>2.348975450618298</v>
      </c>
      <c r="BG67" t="n">
        <v>2.303833565970621</v>
      </c>
      <c r="BH67" t="n">
        <v>2.278414491563154</v>
      </c>
      <c r="BI67" t="n">
        <v>2.430141322458581</v>
      </c>
      <c r="BJ67" t="n">
        <v>2.372214582117039</v>
      </c>
      <c r="BK67" t="n">
        <v>2.215073255955502</v>
      </c>
      <c r="BL67" t="n">
        <v>2.152397957985272</v>
      </c>
      <c r="BM67" t="n">
        <v>1.850972564542644</v>
      </c>
      <c r="BN67" t="n">
        <v>1.734080170437579</v>
      </c>
      <c r="BO67" t="n">
        <v>1.759901563036635</v>
      </c>
      <c r="BP67" t="n">
        <v>1.819185621581084</v>
      </c>
      <c r="BQ67" t="n">
        <v>1.820008242305732</v>
      </c>
      <c r="BR67" t="n">
        <v>2.307233946954085</v>
      </c>
      <c r="BS67" t="n">
        <v>2.666284802497074</v>
      </c>
      <c r="BT67" t="n">
        <v>2.520540074061756</v>
      </c>
      <c r="BU67" t="n">
        <v>2.821079454227174</v>
      </c>
      <c r="BV67" t="n">
        <v>3.084710032162803</v>
      </c>
      <c r="BW67" t="n">
        <v>3.007330414881039</v>
      </c>
      <c r="BX67" t="n">
        <v>3.19661846274002</v>
      </c>
      <c r="BY67" t="n">
        <v>4.106434453018721</v>
      </c>
      <c r="BZ67" t="n">
        <v>4.619511090107096</v>
      </c>
    </row>
    <row r="68" ht="15" customHeight="1" s="115">
      <c r="A68" s="3" t="inlineStr">
        <is>
          <t>Recovery Adjustments excluding LTV (Mileage, vehicle type, etc.)</t>
        </is>
      </c>
      <c r="B68" t="n">
        <v>-0.3915933289229372</v>
      </c>
      <c r="C68" t="n">
        <v>0.1067823894114497</v>
      </c>
      <c r="D68" t="n">
        <v>-0.02241157252484527</v>
      </c>
      <c r="E68" t="n">
        <v>-0.006293086629256095</v>
      </c>
      <c r="F68" t="n">
        <v>-0.555752776448287</v>
      </c>
      <c r="G68" t="n">
        <v>-0.7652816405259557</v>
      </c>
      <c r="H68" t="n">
        <v>-0.6095972724943124</v>
      </c>
      <c r="I68" t="n">
        <v>-0.5127209866513738</v>
      </c>
      <c r="J68" t="n">
        <v>-0.390056231196013</v>
      </c>
      <c r="K68" t="n">
        <v>-0.3097231715811972</v>
      </c>
      <c r="L68" t="n">
        <v>-0.5776433436316779</v>
      </c>
      <c r="M68" t="n">
        <v>-0.5766931353990969</v>
      </c>
      <c r="N68" t="n">
        <v>-0.8583929381430266</v>
      </c>
      <c r="O68" t="n">
        <v>-0.8105135508149601</v>
      </c>
      <c r="P68" t="n">
        <v>-1.054924212393189</v>
      </c>
      <c r="Q68" t="n">
        <v>-0.8962453403553354</v>
      </c>
      <c r="R68" t="n">
        <v>-1.008327224565306</v>
      </c>
      <c r="S68" t="n">
        <v>-0.8115002503821245</v>
      </c>
      <c r="T68" t="n">
        <v>-0.459381044084239</v>
      </c>
      <c r="U68" t="n">
        <v>-0.2970953896913784</v>
      </c>
      <c r="V68" t="n">
        <v>0.02535151199842289</v>
      </c>
      <c r="W68" t="n">
        <v>0.09574117290009099</v>
      </c>
      <c r="X68" t="n">
        <v>0.3177716022205175</v>
      </c>
      <c r="Y68" t="n">
        <v>0.3752197617328363</v>
      </c>
      <c r="Z68" t="n">
        <v>0.1004665353997041</v>
      </c>
      <c r="AA68" t="n">
        <v>0.02035180453810881</v>
      </c>
      <c r="AB68" t="n">
        <v>-0.05868678479868095</v>
      </c>
      <c r="AC68" t="n">
        <v>0.09088587826980188</v>
      </c>
      <c r="AD68" t="n">
        <v>-0.0216795723473524</v>
      </c>
      <c r="AE68" t="n">
        <v>-0.8481416093769383</v>
      </c>
      <c r="AF68" t="n">
        <v>0.1665143940383871</v>
      </c>
      <c r="AG68" t="n">
        <v>-0.3077656895629843</v>
      </c>
      <c r="AH68" t="n">
        <v>-0.1800560420501256</v>
      </c>
      <c r="AI68" t="n">
        <v>-0.5943599875013206</v>
      </c>
      <c r="AJ68" t="n">
        <v>-0.5814137177583802</v>
      </c>
      <c r="AK68" t="n">
        <v>-0.8045179639127298</v>
      </c>
      <c r="AL68" t="n">
        <v>-1.082909375647802</v>
      </c>
      <c r="AM68" t="n">
        <v>-0.8587674947580979</v>
      </c>
      <c r="AN68" t="n">
        <v>-1.381087340079688</v>
      </c>
      <c r="AO68" t="n">
        <v>-1.108437089408341</v>
      </c>
      <c r="AP68" t="n">
        <v>-1.273692059690347</v>
      </c>
      <c r="AQ68" t="n">
        <v>-1.032661128731633</v>
      </c>
      <c r="AR68" t="n">
        <v>-0.928952488758398</v>
      </c>
      <c r="AS68" t="n">
        <v>-0.2604918862932664</v>
      </c>
      <c r="AT68" t="n">
        <v>-0.5621554805682081</v>
      </c>
      <c r="AU68" t="n">
        <v>-0.7536893908716706</v>
      </c>
      <c r="AV68" t="n">
        <v>-1.195040307600294</v>
      </c>
      <c r="AW68" t="n">
        <v>-1.240867056371115</v>
      </c>
      <c r="AX68" t="n">
        <v>-1.477785257376837</v>
      </c>
      <c r="AY68" t="n">
        <v>-1.16924970276267</v>
      </c>
      <c r="AZ68" t="n">
        <v>-2.392087729403642</v>
      </c>
      <c r="BA68" t="n">
        <v>-0.9505321805526137</v>
      </c>
      <c r="BB68" t="n">
        <v>-1.084658070602899</v>
      </c>
      <c r="BC68" t="n">
        <v>-1.241384773229953</v>
      </c>
      <c r="BD68" t="n">
        <v>-0.9306608648361703</v>
      </c>
      <c r="BE68" t="n">
        <v>-0.8680431845355372</v>
      </c>
      <c r="BF68" t="n">
        <v>-0.592495143032437</v>
      </c>
      <c r="BG68" t="n">
        <v>-0.4982394432514354</v>
      </c>
      <c r="BH68" t="n">
        <v>-0.3499195115027476</v>
      </c>
      <c r="BI68" t="n">
        <v>-0.3355012820570664</v>
      </c>
      <c r="BJ68" t="n">
        <v>-0.9225026628576529</v>
      </c>
      <c r="BK68" t="n">
        <v>-0.7738287589798745</v>
      </c>
      <c r="BL68" t="n">
        <v>-0.2668385957580028</v>
      </c>
      <c r="BM68" t="n">
        <v>0.1853213383629964</v>
      </c>
      <c r="BN68" t="n">
        <v>0.9047201467990931</v>
      </c>
      <c r="BO68" t="n">
        <v>1.041990567993423</v>
      </c>
      <c r="BP68" t="n">
        <v>0.9561092774819144</v>
      </c>
      <c r="BQ68" t="n">
        <v>1.128129845235549</v>
      </c>
      <c r="BR68" t="n">
        <v>1.106326162097417</v>
      </c>
      <c r="BS68" t="n">
        <v>1.287230814811494</v>
      </c>
      <c r="BT68" t="n">
        <v>1.271229667819398</v>
      </c>
      <c r="BU68" t="n">
        <v>1.300419612734288</v>
      </c>
      <c r="BV68" t="n">
        <v>1.060603472615611</v>
      </c>
      <c r="BW68" t="n">
        <v>1.196299835458262</v>
      </c>
      <c r="BX68" t="n">
        <v>1.247950748021566</v>
      </c>
      <c r="BY68" t="n">
        <v>1.646921478949139</v>
      </c>
      <c r="BZ68" t="n">
        <v>1.582804471236415</v>
      </c>
    </row>
    <row r="69" ht="15" customHeight="1" s="115">
      <c r="A69" s="4" t="inlineStr">
        <is>
          <t>LTV Adjustments</t>
        </is>
      </c>
      <c r="B69" t="n">
        <v>0.3915933289229372</v>
      </c>
      <c r="C69" t="n">
        <v>-0.1067823894114497</v>
      </c>
      <c r="D69" t="n">
        <v>0.02241157252484527</v>
      </c>
      <c r="E69" t="n">
        <v>0.006293086629256095</v>
      </c>
      <c r="F69" t="n">
        <v>0.555752776448287</v>
      </c>
      <c r="G69" t="n">
        <v>0.7652816405259557</v>
      </c>
      <c r="H69" t="n">
        <v>0.6095972724943124</v>
      </c>
      <c r="I69" t="n">
        <v>0.5127209866513738</v>
      </c>
      <c r="J69" t="n">
        <v>0.390056231196013</v>
      </c>
      <c r="K69" t="n">
        <v>0.3097231715811972</v>
      </c>
      <c r="L69" t="n">
        <v>0.5776433436316779</v>
      </c>
      <c r="M69" t="n">
        <v>0.5766931353990969</v>
      </c>
      <c r="N69" t="n">
        <v>0.8583929381430266</v>
      </c>
      <c r="O69" t="n">
        <v>0.8105135508149601</v>
      </c>
      <c r="P69" t="n">
        <v>1.054924212393189</v>
      </c>
      <c r="Q69" t="n">
        <v>0.8962453403553354</v>
      </c>
      <c r="R69" t="n">
        <v>1.008327224565306</v>
      </c>
      <c r="S69" t="n">
        <v>0.8115002503821245</v>
      </c>
      <c r="T69" t="n">
        <v>0.459381044084239</v>
      </c>
      <c r="U69" t="n">
        <v>0.2970953896913784</v>
      </c>
      <c r="V69" t="n">
        <v>-0.02535151199842289</v>
      </c>
      <c r="W69" t="n">
        <v>-0.09574117290009099</v>
      </c>
      <c r="X69" t="n">
        <v>-0.3177716022205175</v>
      </c>
      <c r="Y69" t="n">
        <v>-0.3752197617328363</v>
      </c>
      <c r="Z69" t="n">
        <v>-0.1004665353997041</v>
      </c>
      <c r="AA69" t="n">
        <v>-0.02035180453810881</v>
      </c>
      <c r="AB69" t="n">
        <v>0.05868678479868095</v>
      </c>
      <c r="AC69" t="n">
        <v>-0.09088587826980188</v>
      </c>
      <c r="AD69" t="n">
        <v>0.0216795723473524</v>
      </c>
      <c r="AE69" t="n">
        <v>0.8481416093769383</v>
      </c>
      <c r="AF69" t="n">
        <v>-0.1665143940383871</v>
      </c>
      <c r="AG69" t="n">
        <v>0.3077656895629843</v>
      </c>
      <c r="AH69" t="n">
        <v>0.1800560420501256</v>
      </c>
      <c r="AI69" t="n">
        <v>0.5943599875013206</v>
      </c>
      <c r="AJ69" t="n">
        <v>0.5814137177583802</v>
      </c>
      <c r="AK69" t="n">
        <v>0.8045179639127298</v>
      </c>
      <c r="AL69" t="n">
        <v>1.082909375647802</v>
      </c>
      <c r="AM69" t="n">
        <v>0.8587674947580979</v>
      </c>
      <c r="AN69" t="n">
        <v>1.381087340079688</v>
      </c>
      <c r="AO69" t="n">
        <v>1.108437089408341</v>
      </c>
      <c r="AP69" t="n">
        <v>1.273692059690347</v>
      </c>
      <c r="AQ69" t="n">
        <v>1.032661128731633</v>
      </c>
      <c r="AR69" t="n">
        <v>0.928952488758398</v>
      </c>
      <c r="AS69" t="n">
        <v>0.2604918862932664</v>
      </c>
      <c r="AT69" t="n">
        <v>0.5621554805682081</v>
      </c>
      <c r="AU69" t="n">
        <v>0.7536893908716706</v>
      </c>
      <c r="AV69" t="n">
        <v>1.195040307600294</v>
      </c>
      <c r="AW69" t="n">
        <v>1.240867056371115</v>
      </c>
      <c r="AX69" t="n">
        <v>1.477785257376837</v>
      </c>
      <c r="AY69" t="n">
        <v>1.16924970276267</v>
      </c>
      <c r="AZ69" t="n">
        <v>2.392087729403642</v>
      </c>
      <c r="BA69" t="n">
        <v>0.9505321805526137</v>
      </c>
      <c r="BB69" t="n">
        <v>1.084658070602899</v>
      </c>
      <c r="BC69" t="n">
        <v>1.241384773229953</v>
      </c>
      <c r="BD69" t="n">
        <v>0.9306608648361703</v>
      </c>
      <c r="BE69" t="n">
        <v>0.8680431845355372</v>
      </c>
      <c r="BF69" t="n">
        <v>0.592495143032437</v>
      </c>
      <c r="BG69" t="n">
        <v>0.4982394432514354</v>
      </c>
      <c r="BH69" t="n">
        <v>0.3499195115027476</v>
      </c>
      <c r="BI69" t="n">
        <v>0.3355012820570664</v>
      </c>
      <c r="BJ69" t="n">
        <v>0.9225026628576529</v>
      </c>
      <c r="BK69" t="n">
        <v>0.7738287589798745</v>
      </c>
      <c r="BL69" t="n">
        <v>0.2668385957580028</v>
      </c>
      <c r="BM69" t="n">
        <v>-0.1853213383629964</v>
      </c>
      <c r="BN69" t="n">
        <v>-0.9047201467990931</v>
      </c>
      <c r="BO69" t="n">
        <v>-1.041990567993423</v>
      </c>
      <c r="BP69" t="n">
        <v>-0.9561092774819144</v>
      </c>
      <c r="BQ69" t="n">
        <v>-1.128129845235549</v>
      </c>
      <c r="BR69" t="n">
        <v>-1.106326162097417</v>
      </c>
      <c r="BS69" t="n">
        <v>-1.287230814811494</v>
      </c>
      <c r="BT69" t="n">
        <v>-1.271229667819398</v>
      </c>
      <c r="BU69" t="n">
        <v>-1.300419612734288</v>
      </c>
      <c r="BV69" t="n">
        <v>-1.060603472615611</v>
      </c>
      <c r="BW69" t="n">
        <v>-1.196299835458262</v>
      </c>
      <c r="BX69" t="n">
        <v>-1.247950748021566</v>
      </c>
      <c r="BY69" t="n">
        <v>-1.646921478949139</v>
      </c>
      <c r="BZ69" t="n">
        <v>-1.582804471236415</v>
      </c>
    </row>
    <row r="70" ht="15" customHeight="1" s="115">
      <c r="A70" s="3" t="inlineStr">
        <is>
          <t>RAGU Score</t>
        </is>
      </c>
      <c r="B70" t="n">
        <v>132.5698011415464</v>
      </c>
      <c r="C70" t="n">
        <v>138.553213220079</v>
      </c>
      <c r="D70" t="n">
        <v>138.0675604858212</v>
      </c>
      <c r="E70" t="n">
        <v>136.8545972773384</v>
      </c>
      <c r="F70" t="n">
        <v>134.83487067243</v>
      </c>
      <c r="G70" t="n">
        <v>135.7892030028012</v>
      </c>
      <c r="H70" t="n">
        <v>135.1996068050822</v>
      </c>
      <c r="I70" t="n">
        <v>134.5053889897775</v>
      </c>
      <c r="J70" t="n">
        <v>138.2571590853568</v>
      </c>
      <c r="K70" t="n">
        <v>139.4870123056922</v>
      </c>
      <c r="L70" t="n">
        <v>139.6855787923598</v>
      </c>
      <c r="M70" t="n">
        <v>139.169414775702</v>
      </c>
      <c r="N70" t="n">
        <v>138.9065584108095</v>
      </c>
      <c r="O70" t="n">
        <v>138.0029741640005</v>
      </c>
      <c r="P70" t="n">
        <v>137.2830585087712</v>
      </c>
      <c r="Q70" t="n">
        <v>137.4225006416105</v>
      </c>
      <c r="R70" t="n">
        <v>137.3324769568065</v>
      </c>
      <c r="S70" t="n">
        <v>136.5759542340491</v>
      </c>
      <c r="T70" t="n">
        <v>136.324554968896</v>
      </c>
      <c r="U70" t="n">
        <v>136.2664953963502</v>
      </c>
      <c r="V70" t="n">
        <v>136.2084455145194</v>
      </c>
      <c r="W70" t="n">
        <v>135.6770619209445</v>
      </c>
      <c r="X70" t="n">
        <v>134.3963754409008</v>
      </c>
      <c r="Y70" t="n">
        <v>136.458446989493</v>
      </c>
      <c r="Z70" t="n">
        <v>134.2945852990033</v>
      </c>
      <c r="AA70" t="n">
        <v>134.2521016089425</v>
      </c>
      <c r="AB70" t="n">
        <v>132.9489858184205</v>
      </c>
      <c r="AC70" t="n">
        <v>132.6323888688572</v>
      </c>
      <c r="AD70" t="n">
        <v>132.3805166139155</v>
      </c>
      <c r="AE70" t="n">
        <v>132.1858471253247</v>
      </c>
      <c r="AF70" t="n">
        <v>134.0493524262309</v>
      </c>
      <c r="AG70" t="n">
        <v>135.1090322034105</v>
      </c>
      <c r="AH70" t="n">
        <v>135.3423852696887</v>
      </c>
      <c r="AI70" t="n">
        <v>136.0073008444623</v>
      </c>
      <c r="AJ70" t="n">
        <v>136.6933112462843</v>
      </c>
      <c r="AK70" t="n">
        <v>136.8814064595192</v>
      </c>
      <c r="AL70" t="n">
        <v>136.4265332720954</v>
      </c>
      <c r="AM70" t="n">
        <v>137.2539066031284</v>
      </c>
      <c r="AN70" t="n">
        <v>138.6845811891012</v>
      </c>
      <c r="AO70" t="n">
        <v>139.1067854086331</v>
      </c>
      <c r="AP70" t="n">
        <v>139.8913100888713</v>
      </c>
      <c r="AQ70" t="n">
        <v>140.3275591559427</v>
      </c>
      <c r="AR70" t="n">
        <v>140.3461935760938</v>
      </c>
      <c r="AS70" t="n">
        <v>142.1547184869551</v>
      </c>
      <c r="AT70" t="n">
        <v>141.2384877094129</v>
      </c>
      <c r="AU70" t="n">
        <v>140.063235525242</v>
      </c>
      <c r="AV70" t="n">
        <v>138.9407697081051</v>
      </c>
      <c r="AW70" t="n">
        <v>139.9268150602218</v>
      </c>
      <c r="AX70" t="n">
        <v>140.4624546809827</v>
      </c>
      <c r="AY70" t="n">
        <v>140.056214248339</v>
      </c>
      <c r="AZ70" t="n">
        <v>137.5687910017845</v>
      </c>
      <c r="BA70" t="n">
        <v>140.7282556677096</v>
      </c>
      <c r="BB70" t="n">
        <v>140.6462393739166</v>
      </c>
      <c r="BC70" t="n">
        <v>140.0360628311992</v>
      </c>
      <c r="BD70" t="n">
        <v>140.2788455058573</v>
      </c>
      <c r="BE70" t="n">
        <v>140.9144959900797</v>
      </c>
      <c r="BF70" t="n">
        <v>141.643559237623</v>
      </c>
      <c r="BG70" t="n">
        <v>141.7063027830465</v>
      </c>
      <c r="BH70" t="n">
        <v>141.5740213471466</v>
      </c>
      <c r="BI70" t="n">
        <v>142.0456823322166</v>
      </c>
      <c r="BJ70" t="n">
        <v>142.1387760430107</v>
      </c>
      <c r="BK70" t="n">
        <v>141.3418384817028</v>
      </c>
      <c r="BL70" t="n">
        <v>140.6639188195718</v>
      </c>
      <c r="BM70" t="n">
        <v>140.079196103446</v>
      </c>
      <c r="BN70" t="n">
        <v>140.0348548761897</v>
      </c>
      <c r="BO70" t="n">
        <v>140.0363631047895</v>
      </c>
      <c r="BP70" t="n">
        <v>140.1923484300326</v>
      </c>
      <c r="BQ70" t="n">
        <v>140.6594495274567</v>
      </c>
      <c r="BR70" t="n">
        <v>141.489274564104</v>
      </c>
      <c r="BS70" t="n">
        <v>142.0483107255785</v>
      </c>
      <c r="BT70" t="n">
        <v>142.0474387530595</v>
      </c>
      <c r="BU70" t="n">
        <v>142.069997062869</v>
      </c>
      <c r="BV70" t="n">
        <v>142.5563800001352</v>
      </c>
      <c r="BW70" t="n">
        <v>142.6871465922411</v>
      </c>
      <c r="BX70" t="n">
        <v>143.2501932326779</v>
      </c>
      <c r="BY70" t="n">
        <v>145.4068086519112</v>
      </c>
      <c r="BZ70" t="n">
        <v>146.2297779863366</v>
      </c>
    </row>
    <row r="71">
      <c r="A71" s="5" t="inlineStr">
        <is>
          <t>LTV</t>
        </is>
      </c>
      <c r="B71" t="n">
        <v>1.900760643413442</v>
      </c>
      <c r="C71" t="n">
        <v>1.731382727730066</v>
      </c>
      <c r="D71" t="n">
        <v>1.72236721251558</v>
      </c>
      <c r="E71" t="n">
        <v>1.723625013846683</v>
      </c>
      <c r="F71" t="n">
        <v>1.79979931455357</v>
      </c>
      <c r="G71" t="n">
        <v>1.764287067009221</v>
      </c>
      <c r="H71" t="n">
        <v>1.715176311600857</v>
      </c>
      <c r="I71" t="n">
        <v>1.766721845039345</v>
      </c>
      <c r="J71" t="n">
        <v>1.800443835862363</v>
      </c>
      <c r="K71" t="n">
        <v>1.746112983404947</v>
      </c>
      <c r="L71" t="n">
        <v>1.622184082502973</v>
      </c>
      <c r="M71" t="n">
        <v>1.568691874179778</v>
      </c>
      <c r="N71" t="n">
        <v>1.597872936810765</v>
      </c>
      <c r="O71" t="n">
        <v>1.668137032657276</v>
      </c>
      <c r="P71" t="n">
        <v>1.736738007313375</v>
      </c>
      <c r="Q71" t="n">
        <v>1.704774895216683</v>
      </c>
      <c r="R71" t="n">
        <v>1.699896594758911</v>
      </c>
      <c r="S71" t="n">
        <v>1.624563255668479</v>
      </c>
      <c r="T71" t="n">
        <v>1.495549966903483</v>
      </c>
      <c r="U71" t="n">
        <v>1.437109663775395</v>
      </c>
      <c r="V71" t="n">
        <v>1.415577656277361</v>
      </c>
      <c r="W71" t="n">
        <v>1.418807491365794</v>
      </c>
      <c r="X71" t="n">
        <v>1.448703880955385</v>
      </c>
      <c r="Y71" t="n">
        <v>1.498643634590193</v>
      </c>
      <c r="Z71" t="n">
        <v>1.506640985992605</v>
      </c>
      <c r="AA71" t="n">
        <v>1.499512081881222</v>
      </c>
      <c r="AB71" t="n">
        <v>1.518280105664554</v>
      </c>
      <c r="AC71" t="n">
        <v>1.523904525296388</v>
      </c>
      <c r="AD71" t="n">
        <v>1.576995205483962</v>
      </c>
      <c r="AE71" t="n">
        <v>1.53059290803794</v>
      </c>
      <c r="AF71" t="n">
        <v>1.515951280638102</v>
      </c>
      <c r="AG71" t="n">
        <v>1.544983418088377</v>
      </c>
      <c r="AH71" t="n">
        <v>1.541595709094041</v>
      </c>
      <c r="AI71" t="n">
        <v>1.518194217002389</v>
      </c>
      <c r="AJ71" t="n">
        <v>1.549493070597812</v>
      </c>
      <c r="AK71" t="n">
        <v>1.587806840437366</v>
      </c>
      <c r="AL71" t="n">
        <v>1.603614960698616</v>
      </c>
      <c r="AM71" t="n">
        <v>1.609914145514553</v>
      </c>
      <c r="AN71" t="n">
        <v>1.652079204263079</v>
      </c>
      <c r="AO71" t="n">
        <v>1.657775915625728</v>
      </c>
      <c r="AP71" t="n">
        <v>1.669079105034208</v>
      </c>
      <c r="AQ71" t="n">
        <v>1.63753640682884</v>
      </c>
      <c r="AR71" t="n">
        <v>1.707207538308292</v>
      </c>
      <c r="AS71" t="n">
        <v>1.704284469832891</v>
      </c>
      <c r="AT71" t="n">
        <v>1.565137696257807</v>
      </c>
      <c r="AU71" t="n">
        <v>1.532805408174508</v>
      </c>
      <c r="AV71" t="n">
        <v>1.557474683729715</v>
      </c>
      <c r="AW71" t="n">
        <v>1.563298397714988</v>
      </c>
      <c r="AX71" t="n">
        <v>1.610755395066921</v>
      </c>
      <c r="AY71" t="n">
        <v>1.57319076999662</v>
      </c>
      <c r="AZ71" t="n">
        <v>1.402968625014748</v>
      </c>
      <c r="BA71" t="n">
        <v>1.664854357897449</v>
      </c>
      <c r="BB71" t="n">
        <v>1.666169669014614</v>
      </c>
      <c r="BC71" t="n">
        <v>1.772792788687151</v>
      </c>
      <c r="BD71" t="n">
        <v>1.592945579681735</v>
      </c>
      <c r="BE71" t="n">
        <v>1.5457922045474</v>
      </c>
      <c r="BF71" t="n">
        <v>1.528046928885986</v>
      </c>
      <c r="BG71" t="n">
        <v>1.519725216542299</v>
      </c>
      <c r="BH71" t="n">
        <v>1.547852052520139</v>
      </c>
      <c r="BI71" t="n">
        <v>1.560573110137569</v>
      </c>
      <c r="BJ71" t="n">
        <v>1.562200412218215</v>
      </c>
      <c r="BK71" t="n">
        <v>1.557719402815651</v>
      </c>
      <c r="BL71" t="n">
        <v>1.557498723827719</v>
      </c>
      <c r="BM71" t="n">
        <v>1.546987642726505</v>
      </c>
      <c r="BN71" t="n">
        <v>1.549853629738696</v>
      </c>
      <c r="BO71" t="n">
        <v>1.539544504516791</v>
      </c>
      <c r="BP71" t="n">
        <v>1.519660985492448</v>
      </c>
      <c r="BQ71" t="n">
        <v>1.501940808315792</v>
      </c>
      <c r="BR71" t="n">
        <v>1.504683517637714</v>
      </c>
      <c r="BS71" t="n">
        <v>1.488666807447195</v>
      </c>
      <c r="BT71" t="n">
        <v>1.504180735291454</v>
      </c>
      <c r="BU71" t="n">
        <v>1.505346361985431</v>
      </c>
      <c r="BV71" t="n">
        <v>1.518586491684756</v>
      </c>
      <c r="BW71" t="n">
        <v>1.504578701890206</v>
      </c>
      <c r="BX71" t="n">
        <v>1.514610559215486</v>
      </c>
      <c r="BY71" t="n">
        <v>1.502998902435315</v>
      </c>
      <c r="BZ71" t="n">
        <v>1.533666264139377</v>
      </c>
    </row>
  </sheetData>
  <pageMargins left="0.7" right="0.7" top="0.75" bottom="0.75" header="0.3" footer="0.3"/>
  <pageSetup orientation="portrait" horizontalDpi="204" verticalDpi="19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8"/>
  <sheetViews>
    <sheetView topLeftCell="A148" workbookViewId="0">
      <selection activeCell="X154" sqref="X154"/>
    </sheetView>
  </sheetViews>
  <sheetFormatPr baseColWidth="8" defaultColWidth="9.1796875" defaultRowHeight="14.5"/>
  <cols>
    <col width="12.7265625" customWidth="1" style="127" min="1" max="1"/>
    <col width="12.7265625" customWidth="1" style="66" min="2" max="25"/>
    <col width="11.453125" customWidth="1" style="66" min="26" max="26"/>
    <col width="9.1796875" customWidth="1" style="66" min="27" max="59"/>
    <col width="9.1796875" customWidth="1" style="66" min="60" max="16384"/>
  </cols>
  <sheetData>
    <row r="1">
      <c r="A1" s="129" t="inlineStr">
        <is>
          <t>AN</t>
        </is>
      </c>
    </row>
    <row r="2" ht="60" customHeight="1" s="115">
      <c r="A2" s="128" t="inlineStr">
        <is>
          <t>Vintage</t>
        </is>
      </c>
      <c r="B2" s="123" t="inlineStr">
        <is>
          <t>None</t>
        </is>
      </c>
      <c r="C2" s="123" t="inlineStr">
        <is>
          <t>Previous ACA chargeoff</t>
        </is>
      </c>
      <c r="D2" s="123" t="inlineStr">
        <is>
          <t>Small amount financed</t>
        </is>
      </c>
      <c r="E2" s="123" t="inlineStr">
        <is>
          <t>Zero cash down</t>
        </is>
      </c>
      <c r="F2" s="123" t="inlineStr">
        <is>
          <t>High mileage vehicle</t>
        </is>
      </c>
      <c r="G2" s="123" t="inlineStr">
        <is>
          <t>High PTI</t>
        </is>
      </c>
      <c r="H2" s="123" t="inlineStr">
        <is>
          <t>Car make</t>
        </is>
      </c>
      <c r="I2" s="123" t="inlineStr">
        <is>
          <t>Theft risk</t>
        </is>
      </c>
      <c r="J2" s="124" t="inlineStr">
        <is>
          <t>MCY high model score, low mileage</t>
        </is>
      </c>
      <c r="K2" s="123" t="inlineStr">
        <is>
          <t>Weekday/weekend decision</t>
        </is>
      </c>
      <c r="L2" s="123" t="inlineStr">
        <is>
          <t>Secured credit (Chime, etc.)</t>
        </is>
      </c>
      <c r="M2" s="123" t="inlineStr">
        <is>
          <t>Employment type</t>
        </is>
      </c>
      <c r="N2" s="124" t="inlineStr">
        <is>
          <t>High cash down EchoPark</t>
        </is>
      </c>
      <c r="O2" s="123" t="inlineStr">
        <is>
          <t>Authorized tradelines</t>
        </is>
      </c>
      <c r="P2" s="123" t="inlineStr">
        <is>
          <t>Clip</t>
        </is>
      </c>
      <c r="Q2" s="123" t="inlineStr">
        <is>
          <t>Vehicle Age</t>
        </is>
      </c>
      <c r="R2" s="123" t="inlineStr">
        <is>
          <t>Dealer Level (Non-KMX)</t>
        </is>
      </c>
      <c r="S2" s="123" t="inlineStr">
        <is>
          <t>Mileage/age</t>
        </is>
      </c>
      <c r="T2" s="123" t="inlineStr">
        <is>
          <t>Japanese</t>
        </is>
      </c>
      <c r="U2" s="123" t="inlineStr">
        <is>
          <t>Vehicle class</t>
        </is>
      </c>
      <c r="V2" s="123" t="inlineStr">
        <is>
          <t>Fuel type</t>
        </is>
      </c>
      <c r="W2" s="123" t="inlineStr">
        <is>
          <t>Luxury classification</t>
        </is>
      </c>
      <c r="X2" s="123" t="inlineStr">
        <is>
          <t>LOB</t>
        </is>
      </c>
      <c r="Y2" s="123" t="inlineStr">
        <is>
          <t>Driver flag</t>
        </is>
      </c>
      <c r="Z2" s="124" t="inlineStr">
        <is>
          <t>Impound probability</t>
        </is>
      </c>
      <c r="AA2" s="124" t="inlineStr">
        <is>
          <t>Job time</t>
        </is>
      </c>
      <c r="AB2" s="124" t="inlineStr">
        <is>
          <t>Low FICO</t>
        </is>
      </c>
      <c r="AC2" s="124" t="inlineStr">
        <is>
          <t>Low Vantage</t>
        </is>
      </c>
      <c r="AD2" s="124" t="inlineStr">
        <is>
          <t>Louisiana</t>
        </is>
      </c>
      <c r="AE2" s="124" t="inlineStr">
        <is>
          <t>Existing DQ</t>
        </is>
      </c>
      <c r="AF2" s="123" t="inlineStr">
        <is>
          <t>Null FICO with Vantage</t>
        </is>
      </c>
      <c r="AG2" s="124" t="inlineStr">
        <is>
          <t>Soft Pull</t>
        </is>
      </c>
    </row>
    <row r="3">
      <c r="A3" s="127" t="inlineStr">
        <is>
          <t>2016 Q1</t>
        </is>
      </c>
      <c r="B3" s="66" t="n">
        <v>0</v>
      </c>
      <c r="C3" s="66" t="n">
        <v>-0.08884901907333642</v>
      </c>
      <c r="D3" s="66" t="n">
        <v>-0.009560662048187396</v>
      </c>
      <c r="E3" s="66" t="n">
        <v>-0.05566888931952008</v>
      </c>
      <c r="F3" s="66" t="n">
        <v>-0.4364812207943771</v>
      </c>
      <c r="G3" s="66" t="n">
        <v>-0.01774753600705026</v>
      </c>
      <c r="H3" s="66" t="n">
        <v>0.2844118972883791</v>
      </c>
      <c r="I3" s="66" t="n">
        <v>0.2511435973833329</v>
      </c>
      <c r="J3" s="99" t="n">
        <v>0</v>
      </c>
      <c r="K3" s="66" t="n">
        <v>0.01744299853797315</v>
      </c>
      <c r="L3" s="66" t="n">
        <v>-0.6305838349156545</v>
      </c>
      <c r="M3" s="66" t="n">
        <v>0</v>
      </c>
      <c r="N3" s="99" t="n">
        <v>0</v>
      </c>
      <c r="O3" s="66" t="n">
        <v>-0.04280645154588569</v>
      </c>
      <c r="P3" s="66" t="n">
        <v>0.1342110187890739</v>
      </c>
      <c r="Q3" s="66" t="n">
        <v>0</v>
      </c>
      <c r="R3" s="66" t="n">
        <v>0.6665240019655698</v>
      </c>
      <c r="S3" s="66" t="n">
        <v>0</v>
      </c>
      <c r="T3" s="66" t="n">
        <v>0</v>
      </c>
      <c r="U3" s="66" t="n">
        <v>0</v>
      </c>
      <c r="V3" s="66" t="n">
        <v>0</v>
      </c>
      <c r="W3" s="66" t="n">
        <v>0</v>
      </c>
      <c r="X3" s="66" t="n">
        <v>0</v>
      </c>
      <c r="Y3" s="66" t="n">
        <v>0</v>
      </c>
      <c r="Z3" s="99" t="n">
        <v>0</v>
      </c>
      <c r="AA3" s="99" t="n">
        <v>0</v>
      </c>
      <c r="AB3" s="99" t="n">
        <v>0</v>
      </c>
      <c r="AC3" s="99" t="n">
        <v>0</v>
      </c>
      <c r="AD3" s="99" t="n">
        <v>0</v>
      </c>
      <c r="AE3" s="99" t="n">
        <v>0</v>
      </c>
      <c r="AF3" s="66" t="n">
        <v>-0.1405008713085181</v>
      </c>
      <c r="AG3" s="99" t="n">
        <v>0</v>
      </c>
    </row>
    <row r="4">
      <c r="A4" s="127" t="inlineStr">
        <is>
          <t>2016 Q2</t>
        </is>
      </c>
      <c r="B4" s="66" t="n">
        <v>0</v>
      </c>
      <c r="C4" s="66" t="n">
        <v>-0.01633240263447533</v>
      </c>
      <c r="D4" s="66" t="n">
        <v>-0.008410216508792701</v>
      </c>
      <c r="E4" s="66" t="n">
        <v>-0.1010691324257209</v>
      </c>
      <c r="F4" s="66" t="n">
        <v>-0.4166554070131099</v>
      </c>
      <c r="G4" s="66" t="n">
        <v>-0.02225533883574826</v>
      </c>
      <c r="H4" s="66" t="n">
        <v>0.2724761173233219</v>
      </c>
      <c r="I4" s="66" t="n">
        <v>0.2729689104965018</v>
      </c>
      <c r="J4" s="99" t="n">
        <v>0</v>
      </c>
      <c r="K4" s="66" t="n">
        <v>-0.03304153904244345</v>
      </c>
      <c r="L4" s="66" t="n">
        <v>-0.02544925142919396</v>
      </c>
      <c r="M4" s="66" t="n">
        <v>0</v>
      </c>
      <c r="N4" s="99" t="n">
        <v>0</v>
      </c>
      <c r="O4" s="66" t="n">
        <v>-0.01582579972134113</v>
      </c>
      <c r="P4" s="66" t="n">
        <v>0.04115048616679928</v>
      </c>
      <c r="Q4" s="66" t="n">
        <v>0</v>
      </c>
      <c r="R4" s="66" t="n">
        <v>0.5626994900505053</v>
      </c>
      <c r="S4" s="66" t="n">
        <v>0</v>
      </c>
      <c r="T4" s="66" t="n">
        <v>0</v>
      </c>
      <c r="U4" s="66" t="n">
        <v>0</v>
      </c>
      <c r="V4" s="66" t="n">
        <v>0</v>
      </c>
      <c r="W4" s="66" t="n">
        <v>0</v>
      </c>
      <c r="X4" s="66" t="n">
        <v>0</v>
      </c>
      <c r="Y4" s="66" t="n">
        <v>0</v>
      </c>
      <c r="Z4" s="99" t="n">
        <v>0</v>
      </c>
      <c r="AA4" s="99" t="n">
        <v>0</v>
      </c>
      <c r="AB4" s="99" t="n">
        <v>0</v>
      </c>
      <c r="AC4" s="99" t="n">
        <v>0</v>
      </c>
      <c r="AD4" s="99" t="n">
        <v>0</v>
      </c>
      <c r="AE4" s="99" t="n">
        <v>0</v>
      </c>
      <c r="AF4" s="66" t="n">
        <v>0.07111922237493218</v>
      </c>
      <c r="AG4" s="99" t="n">
        <v>0</v>
      </c>
    </row>
    <row r="5">
      <c r="A5" s="127" t="inlineStr">
        <is>
          <t>2016 Q3</t>
        </is>
      </c>
      <c r="B5" s="66" t="n">
        <v>0</v>
      </c>
      <c r="C5" s="66" t="n">
        <v>-0.008661050843244311</v>
      </c>
      <c r="D5" s="66" t="n">
        <v>-0.009047123095513143</v>
      </c>
      <c r="E5" s="66" t="n">
        <v>-0.1231252437081594</v>
      </c>
      <c r="F5" s="66" t="n">
        <v>-0.3713388468881078</v>
      </c>
      <c r="G5" s="66" t="n">
        <v>-0.01307130704532256</v>
      </c>
      <c r="H5" s="66" t="n">
        <v>0.3311263681769105</v>
      </c>
      <c r="I5" s="66" t="n">
        <v>0.2844546955898011</v>
      </c>
      <c r="J5" s="99" t="n">
        <v>0</v>
      </c>
      <c r="K5" s="66" t="n">
        <v>-0.05951543025128103</v>
      </c>
      <c r="L5" s="66" t="n">
        <v>0.2405552221009657</v>
      </c>
      <c r="M5" s="66" t="n">
        <v>0</v>
      </c>
      <c r="N5" s="99" t="n">
        <v>0</v>
      </c>
      <c r="O5" s="66" t="n">
        <v>0</v>
      </c>
      <c r="P5" s="66" t="n">
        <v>0.0003560569083447263</v>
      </c>
      <c r="Q5" s="66" t="n">
        <v>0</v>
      </c>
      <c r="R5" s="66" t="n">
        <v>0.4257993492397532</v>
      </c>
      <c r="S5" s="66" t="n">
        <v>0</v>
      </c>
      <c r="T5" s="66" t="n">
        <v>0</v>
      </c>
      <c r="U5" s="66" t="n">
        <v>0</v>
      </c>
      <c r="V5" s="66" t="n">
        <v>0</v>
      </c>
      <c r="W5" s="66" t="n">
        <v>0</v>
      </c>
      <c r="X5" s="66" t="n">
        <v>0</v>
      </c>
      <c r="Y5" s="66" t="n">
        <v>0</v>
      </c>
      <c r="Z5" s="99" t="n">
        <v>0</v>
      </c>
      <c r="AA5" s="99" t="n">
        <v>0</v>
      </c>
      <c r="AB5" s="99" t="n">
        <v>0</v>
      </c>
      <c r="AC5" s="99" t="n">
        <v>0</v>
      </c>
      <c r="AD5" s="99" t="n">
        <v>0</v>
      </c>
      <c r="AE5" s="99" t="n">
        <v>0</v>
      </c>
      <c r="AF5" s="66" t="n">
        <v>0.2186719997102955</v>
      </c>
      <c r="AG5" s="99" t="n">
        <v>0</v>
      </c>
    </row>
    <row r="6">
      <c r="A6" s="127" t="inlineStr">
        <is>
          <t>2016 Q4</t>
        </is>
      </c>
      <c r="B6" s="66" t="n">
        <v>0</v>
      </c>
      <c r="C6" s="66" t="n">
        <v>-0.01842697350338085</v>
      </c>
      <c r="D6" s="66" t="n">
        <v>-0.01060248045664025</v>
      </c>
      <c r="E6" s="66" t="n">
        <v>-0.1156210758737473</v>
      </c>
      <c r="F6" s="66" t="n">
        <v>-0.3329481314840734</v>
      </c>
      <c r="G6" s="66" t="n">
        <v>-0.02198920993424736</v>
      </c>
      <c r="H6" s="66" t="n">
        <v>0.3949012865050463</v>
      </c>
      <c r="I6" s="66" t="n">
        <v>0.2813582388158409</v>
      </c>
      <c r="J6" s="99" t="n">
        <v>0</v>
      </c>
      <c r="K6" s="66" t="n">
        <v>-0.03019597099947191</v>
      </c>
      <c r="L6" s="66" t="n">
        <v>0.2379768018564334</v>
      </c>
      <c r="M6" s="66" t="n">
        <v>0</v>
      </c>
      <c r="N6" s="99" t="n">
        <v>0</v>
      </c>
      <c r="O6" s="66" t="n">
        <v>0</v>
      </c>
      <c r="P6" s="66" t="n">
        <v>0.001616756314234635</v>
      </c>
      <c r="Q6" s="66" t="n">
        <v>0</v>
      </c>
      <c r="R6" s="66" t="n">
        <v>0.5107402494241171</v>
      </c>
      <c r="S6" s="66" t="n">
        <v>0</v>
      </c>
      <c r="T6" s="66" t="n">
        <v>0</v>
      </c>
      <c r="U6" s="66" t="n">
        <v>0</v>
      </c>
      <c r="V6" s="66" t="n">
        <v>0</v>
      </c>
      <c r="W6" s="66" t="n">
        <v>0</v>
      </c>
      <c r="X6" s="66" t="n">
        <v>0</v>
      </c>
      <c r="Y6" s="66" t="n">
        <v>0</v>
      </c>
      <c r="Z6" s="99" t="n">
        <v>0</v>
      </c>
      <c r="AA6" s="99" t="n">
        <v>0</v>
      </c>
      <c r="AB6" s="99" t="n">
        <v>0</v>
      </c>
      <c r="AC6" s="99" t="n">
        <v>0</v>
      </c>
      <c r="AD6" s="99" t="n">
        <v>0</v>
      </c>
      <c r="AE6" s="99" t="n">
        <v>0</v>
      </c>
      <c r="AF6" s="66" t="n">
        <v>0.216351812826673</v>
      </c>
      <c r="AG6" s="99" t="n">
        <v>0</v>
      </c>
    </row>
    <row r="7">
      <c r="A7" s="127" t="inlineStr">
        <is>
          <t>2017 Q1</t>
        </is>
      </c>
      <c r="B7" s="66" t="n">
        <v>0</v>
      </c>
      <c r="C7" s="66" t="n">
        <v>-0.01580440650874948</v>
      </c>
      <c r="D7" s="66" t="n">
        <v>-0.01454272425309</v>
      </c>
      <c r="E7" s="66" t="n">
        <v>-0.08421427889703637</v>
      </c>
      <c r="F7" s="66" t="n">
        <v>-0.3508425181348116</v>
      </c>
      <c r="G7" s="66" t="n">
        <v>-0.01634584061483224</v>
      </c>
      <c r="H7" s="66" t="n">
        <v>0.3233984229943303</v>
      </c>
      <c r="I7" s="66" t="n">
        <v>0.2795944650623028</v>
      </c>
      <c r="J7" s="99" t="n">
        <v>0</v>
      </c>
      <c r="K7" s="66" t="n">
        <v>-0.0290038505286816</v>
      </c>
      <c r="L7" s="66" t="n">
        <v>0.236430413219523</v>
      </c>
      <c r="M7" s="66" t="n">
        <v>0</v>
      </c>
      <c r="N7" s="99" t="n">
        <v>0</v>
      </c>
      <c r="O7" s="66" t="n">
        <v>-0.009216612546367742</v>
      </c>
      <c r="P7" s="66" t="n">
        <v>0.001401238636844937</v>
      </c>
      <c r="Q7" s="66" t="n">
        <v>0</v>
      </c>
      <c r="R7" s="66" t="n">
        <v>0.7315782087911771</v>
      </c>
      <c r="S7" s="66" t="n">
        <v>0</v>
      </c>
      <c r="T7" s="66" t="n">
        <v>0</v>
      </c>
      <c r="U7" s="66" t="n">
        <v>0</v>
      </c>
      <c r="V7" s="66" t="n">
        <v>0</v>
      </c>
      <c r="W7" s="66" t="n">
        <v>0</v>
      </c>
      <c r="X7" s="66" t="n">
        <v>0</v>
      </c>
      <c r="Y7" s="66" t="n">
        <v>0</v>
      </c>
      <c r="Z7" s="99" t="n">
        <v>0</v>
      </c>
      <c r="AA7" s="99" t="n">
        <v>0</v>
      </c>
      <c r="AB7" s="99" t="n">
        <v>0</v>
      </c>
      <c r="AC7" s="99" t="n">
        <v>0</v>
      </c>
      <c r="AD7" s="99" t="n">
        <v>0</v>
      </c>
      <c r="AE7" s="99" t="n">
        <v>0</v>
      </c>
      <c r="AF7" s="66" t="n">
        <v>0.2149137873767017</v>
      </c>
      <c r="AG7" s="99" t="n">
        <v>0</v>
      </c>
    </row>
    <row r="8">
      <c r="A8" s="127" t="inlineStr">
        <is>
          <t>2017 Q2</t>
        </is>
      </c>
      <c r="B8" s="66" t="n">
        <v>0</v>
      </c>
      <c r="C8" s="66" t="n">
        <v>-0.02358161183920515</v>
      </c>
      <c r="D8" s="66" t="n">
        <v>-0.01481365477187069</v>
      </c>
      <c r="E8" s="66" t="n">
        <v>-0.111923788110829</v>
      </c>
      <c r="F8" s="66" t="n">
        <v>-0.3148337514234925</v>
      </c>
      <c r="G8" s="66" t="n">
        <v>-0.01106091386336061</v>
      </c>
      <c r="H8" s="66" t="n">
        <v>0.3122225300158732</v>
      </c>
      <c r="I8" s="66" t="n">
        <v>0.2807786852257834</v>
      </c>
      <c r="J8" s="99" t="n">
        <v>0</v>
      </c>
      <c r="K8" s="66" t="n">
        <v>-0.05602542057803817</v>
      </c>
      <c r="L8" s="66" t="n">
        <v>0.2376152814839827</v>
      </c>
      <c r="M8" s="66" t="n">
        <v>0</v>
      </c>
      <c r="N8" s="99" t="n">
        <v>0</v>
      </c>
      <c r="O8" s="66" t="n">
        <v>-0.008968716696074353</v>
      </c>
      <c r="P8" s="66" t="n">
        <v>0.006944818543843212</v>
      </c>
      <c r="Q8" s="66" t="n">
        <v>0</v>
      </c>
      <c r="R8" s="66" t="n">
        <v>0.5261672854347808</v>
      </c>
      <c r="S8" s="66" t="n">
        <v>0</v>
      </c>
      <c r="T8" s="66" t="n">
        <v>0</v>
      </c>
      <c r="U8" s="66" t="n">
        <v>0</v>
      </c>
      <c r="V8" s="66" t="n">
        <v>0</v>
      </c>
      <c r="W8" s="66" t="n">
        <v>0</v>
      </c>
      <c r="X8" s="66" t="n">
        <v>0</v>
      </c>
      <c r="Y8" s="66" t="n">
        <v>0</v>
      </c>
      <c r="Z8" s="99" t="n">
        <v>0</v>
      </c>
      <c r="AA8" s="99" t="n">
        <v>0</v>
      </c>
      <c r="AB8" s="99" t="n">
        <v>0</v>
      </c>
      <c r="AC8" s="99" t="n">
        <v>0</v>
      </c>
      <c r="AD8" s="99" t="n">
        <v>0</v>
      </c>
      <c r="AE8" s="99" t="n">
        <v>0</v>
      </c>
      <c r="AF8" s="66" t="n">
        <v>0.216098978709681</v>
      </c>
      <c r="AG8" s="99" t="n">
        <v>0</v>
      </c>
    </row>
    <row r="9">
      <c r="A9" s="127" t="inlineStr">
        <is>
          <t>2017 Q3</t>
        </is>
      </c>
      <c r="B9" s="66" t="n">
        <v>0</v>
      </c>
      <c r="C9" s="66" t="n">
        <v>-0.03159372237820435</v>
      </c>
      <c r="D9" s="66" t="n">
        <v>-0.01002663560129236</v>
      </c>
      <c r="E9" s="66" t="n">
        <v>-0.1308173039473388</v>
      </c>
      <c r="F9" s="66" t="n">
        <v>-0.3221510626825932</v>
      </c>
      <c r="G9" s="66" t="n">
        <v>-0.01774275839235884</v>
      </c>
      <c r="H9" s="66" t="n">
        <v>0.3386722361059924</v>
      </c>
      <c r="I9" s="66" t="n">
        <v>0.2805765385793393</v>
      </c>
      <c r="J9" s="99" t="n">
        <v>0</v>
      </c>
      <c r="K9" s="66" t="n">
        <v>-0.01628836630982278</v>
      </c>
      <c r="L9" s="66" t="n">
        <v>0.2373607160278937</v>
      </c>
      <c r="M9" s="66" t="n">
        <v>0</v>
      </c>
      <c r="N9" s="99" t="n">
        <v>0</v>
      </c>
      <c r="O9" s="66" t="n">
        <v>-0.01344245579710446</v>
      </c>
      <c r="P9" s="66" t="n">
        <v>0.002297263590889997</v>
      </c>
      <c r="Q9" s="66" t="n">
        <v>0</v>
      </c>
      <c r="R9" s="66" t="n">
        <v>0.602683241658923</v>
      </c>
      <c r="S9" s="66" t="n">
        <v>0</v>
      </c>
      <c r="T9" s="66" t="n">
        <v>0</v>
      </c>
      <c r="U9" s="66" t="n">
        <v>0</v>
      </c>
      <c r="V9" s="66" t="n">
        <v>0</v>
      </c>
      <c r="W9" s="66" t="n">
        <v>0</v>
      </c>
      <c r="X9" s="66" t="n">
        <v>0</v>
      </c>
      <c r="Y9" s="66" t="n">
        <v>0</v>
      </c>
      <c r="Z9" s="99" t="n">
        <v>0</v>
      </c>
      <c r="AA9" s="99" t="n">
        <v>0</v>
      </c>
      <c r="AB9" s="99" t="n">
        <v>0</v>
      </c>
      <c r="AC9" s="99" t="n">
        <v>0</v>
      </c>
      <c r="AD9" s="99" t="n">
        <v>0</v>
      </c>
      <c r="AE9" s="99" t="n">
        <v>0</v>
      </c>
      <c r="AF9" s="66" t="n">
        <v>0.2158182832712043</v>
      </c>
      <c r="AG9" s="99" t="n">
        <v>0</v>
      </c>
    </row>
    <row r="10">
      <c r="A10" s="127" t="inlineStr">
        <is>
          <t>2017 Q4</t>
        </is>
      </c>
      <c r="B10" s="66" t="n">
        <v>0</v>
      </c>
      <c r="C10" s="66" t="n">
        <v>-0.02899966298008394</v>
      </c>
      <c r="D10" s="66" t="n">
        <v>-0.01089145808089143</v>
      </c>
      <c r="E10" s="66" t="n">
        <v>-0.1193385037355199</v>
      </c>
      <c r="F10" s="66" t="n">
        <v>-0.3018290838043072</v>
      </c>
      <c r="G10" s="66" t="n">
        <v>-0.02175824546100102</v>
      </c>
      <c r="H10" s="66" t="n">
        <v>0.3115583192103202</v>
      </c>
      <c r="I10" s="66" t="n">
        <v>0.2793377610061896</v>
      </c>
      <c r="J10" s="99" t="n">
        <v>0</v>
      </c>
      <c r="K10" s="66" t="n">
        <v>-0.05424258489949807</v>
      </c>
      <c r="L10" s="66" t="n">
        <v>0.2363039719053575</v>
      </c>
      <c r="M10" s="66" t="n">
        <v>0</v>
      </c>
      <c r="N10" s="99" t="n">
        <v>0</v>
      </c>
      <c r="O10" s="66" t="n">
        <v>-0.0059058477003191</v>
      </c>
      <c r="P10" s="66" t="n">
        <v>0.001197771102226852</v>
      </c>
      <c r="Q10" s="66" t="n">
        <v>0</v>
      </c>
      <c r="R10" s="66" t="n">
        <v>0.7432198056569348</v>
      </c>
      <c r="S10" s="66" t="n">
        <v>0</v>
      </c>
      <c r="T10" s="66" t="n">
        <v>0</v>
      </c>
      <c r="U10" s="66" t="n">
        <v>0</v>
      </c>
      <c r="V10" s="66" t="n">
        <v>0</v>
      </c>
      <c r="W10" s="66" t="n">
        <v>0</v>
      </c>
      <c r="X10" s="66" t="n">
        <v>0</v>
      </c>
      <c r="Y10" s="66" t="n">
        <v>0</v>
      </c>
      <c r="Z10" s="99" t="n">
        <v>0</v>
      </c>
      <c r="AA10" s="99" t="n">
        <v>0</v>
      </c>
      <c r="AB10" s="99" t="n">
        <v>0</v>
      </c>
      <c r="AC10" s="99" t="n">
        <v>0</v>
      </c>
      <c r="AD10" s="99" t="n">
        <v>0</v>
      </c>
      <c r="AE10" s="99" t="n">
        <v>0</v>
      </c>
      <c r="AF10" s="66" t="n">
        <v>0.2148522800656849</v>
      </c>
      <c r="AG10" s="99" t="n">
        <v>0</v>
      </c>
    </row>
    <row r="11">
      <c r="A11" s="127" t="inlineStr">
        <is>
          <t>2018 Q1</t>
        </is>
      </c>
      <c r="B11" s="66" t="n">
        <v>0</v>
      </c>
      <c r="C11" s="66" t="n">
        <v>-0.02838362101977054</v>
      </c>
      <c r="D11" s="66" t="n">
        <v>-0.01313063454239227</v>
      </c>
      <c r="E11" s="66" t="n">
        <v>-0.09248799560947418</v>
      </c>
      <c r="F11" s="66" t="n">
        <v>-0.3446931179299497</v>
      </c>
      <c r="G11" s="66" t="n">
        <v>-0.01096278757893288</v>
      </c>
      <c r="H11" s="66" t="n">
        <v>0.2934460172296269</v>
      </c>
      <c r="I11" s="66" t="n">
        <v>0.277742391595325</v>
      </c>
      <c r="J11" s="99" t="n">
        <v>0</v>
      </c>
      <c r="K11" s="66" t="n">
        <v>-0.02840681957334823</v>
      </c>
      <c r="L11" s="66" t="n">
        <v>0.234988785353579</v>
      </c>
      <c r="M11" s="66" t="n">
        <v>0</v>
      </c>
      <c r="N11" s="99" t="n">
        <v>0</v>
      </c>
      <c r="O11" s="66" t="n">
        <v>-0.02222964582335862</v>
      </c>
      <c r="P11" s="66" t="n">
        <v>0.001040496937321223</v>
      </c>
      <c r="Q11" s="66" t="n">
        <v>0</v>
      </c>
      <c r="R11" s="66" t="n">
        <v>0.8650431708667838</v>
      </c>
      <c r="S11" s="66" t="n">
        <v>0</v>
      </c>
      <c r="T11" s="66" t="n">
        <v>0</v>
      </c>
      <c r="U11" s="66" t="n">
        <v>0</v>
      </c>
      <c r="V11" s="66" t="n">
        <v>0</v>
      </c>
      <c r="W11" s="66" t="n">
        <v>0</v>
      </c>
      <c r="X11" s="66" t="n">
        <v>0</v>
      </c>
      <c r="Y11" s="66" t="n">
        <v>0</v>
      </c>
      <c r="Z11" s="99" t="n">
        <v>0</v>
      </c>
      <c r="AA11" s="99" t="n">
        <v>0</v>
      </c>
      <c r="AB11" s="99" t="n">
        <v>0</v>
      </c>
      <c r="AC11" s="99" t="n">
        <v>0</v>
      </c>
      <c r="AD11" s="99" t="n">
        <v>0</v>
      </c>
      <c r="AE11" s="99" t="n">
        <v>0</v>
      </c>
      <c r="AF11" s="66" t="n">
        <v>0.2136767604239651</v>
      </c>
      <c r="AG11" s="99" t="n">
        <v>0</v>
      </c>
    </row>
    <row r="12">
      <c r="A12" s="127" t="inlineStr">
        <is>
          <t>2018 Q2</t>
        </is>
      </c>
      <c r="B12" s="66" t="n">
        <v>0</v>
      </c>
      <c r="C12" s="66" t="n">
        <v>-0.02182886758663471</v>
      </c>
      <c r="D12" s="66" t="n">
        <v>-0.01057657439494619</v>
      </c>
      <c r="E12" s="66" t="n">
        <v>-0.08373887235973143</v>
      </c>
      <c r="F12" s="66" t="n">
        <v>-0.3209148612694719</v>
      </c>
      <c r="G12" s="66" t="n">
        <v>-0.01471688343727351</v>
      </c>
      <c r="H12" s="66" t="n">
        <v>0.272103793680003</v>
      </c>
      <c r="I12" s="66" t="n">
        <v>0.2784298283777105</v>
      </c>
      <c r="J12" s="99" t="n">
        <v>0</v>
      </c>
      <c r="K12" s="66" t="n">
        <v>-0.03858227236068501</v>
      </c>
      <c r="L12" s="66" t="n">
        <v>0.2354645275496239</v>
      </c>
      <c r="M12" s="66" t="n">
        <v>0</v>
      </c>
      <c r="N12" s="99" t="n">
        <v>0</v>
      </c>
      <c r="O12" s="66" t="n">
        <v>-0.01778006996502768</v>
      </c>
      <c r="P12" s="66" t="n">
        <v>0.00242399124741155</v>
      </c>
      <c r="Q12" s="66" t="n">
        <v>0</v>
      </c>
      <c r="R12" s="66" t="n">
        <v>0.8349792337997144</v>
      </c>
      <c r="S12" s="66" t="n">
        <v>0</v>
      </c>
      <c r="T12" s="66" t="n">
        <v>0</v>
      </c>
      <c r="U12" s="66" t="n">
        <v>0</v>
      </c>
      <c r="V12" s="66" t="n">
        <v>0</v>
      </c>
      <c r="W12" s="66" t="n">
        <v>0</v>
      </c>
      <c r="X12" s="66" t="n">
        <v>0</v>
      </c>
      <c r="Y12" s="66" t="n">
        <v>0</v>
      </c>
      <c r="Z12" s="99" t="n">
        <v>0</v>
      </c>
      <c r="AA12" s="99" t="n">
        <v>0</v>
      </c>
      <c r="AB12" s="99" t="n">
        <v>0</v>
      </c>
      <c r="AC12" s="99" t="n">
        <v>0</v>
      </c>
      <c r="AD12" s="99" t="n">
        <v>0</v>
      </c>
      <c r="AE12" s="99" t="n">
        <v>0</v>
      </c>
      <c r="AF12" s="66" t="n">
        <v>0.2140469760762187</v>
      </c>
      <c r="AG12" s="99" t="n">
        <v>0</v>
      </c>
    </row>
    <row r="13">
      <c r="A13" s="127" t="inlineStr">
        <is>
          <t>2018 Q3</t>
        </is>
      </c>
      <c r="B13" s="66" t="n">
        <v>0</v>
      </c>
      <c r="C13" s="66" t="n">
        <v>-0.02656818522339677</v>
      </c>
      <c r="D13" s="66" t="n">
        <v>-0.01287447223774052</v>
      </c>
      <c r="E13" s="66" t="n">
        <v>-0.1313660438455884</v>
      </c>
      <c r="F13" s="66" t="n">
        <v>-0.3473414132278378</v>
      </c>
      <c r="G13" s="66" t="n">
        <v>-0.009512161122700036</v>
      </c>
      <c r="H13" s="66" t="n">
        <v>0.3322749095106587</v>
      </c>
      <c r="I13" s="66" t="n">
        <v>0.2790403593021153</v>
      </c>
      <c r="J13" s="99" t="n">
        <v>0</v>
      </c>
      <c r="K13" s="66" t="n">
        <v>-0.04678494376852882</v>
      </c>
      <c r="L13" s="66" t="n">
        <v>0.2361074466978152</v>
      </c>
      <c r="M13" s="66" t="n">
        <v>0</v>
      </c>
      <c r="N13" s="99" t="n">
        <v>0</v>
      </c>
      <c r="O13" s="66" t="n">
        <v>-0.01909969747595142</v>
      </c>
      <c r="P13" s="66" t="n">
        <v>0.003998048779010333</v>
      </c>
      <c r="Q13" s="66" t="n">
        <v>0</v>
      </c>
      <c r="R13" s="66" t="n">
        <v>0.717444181301488</v>
      </c>
      <c r="S13" s="66" t="n">
        <v>0</v>
      </c>
      <c r="T13" s="66" t="n">
        <v>0</v>
      </c>
      <c r="U13" s="66" t="n">
        <v>0</v>
      </c>
      <c r="V13" s="66" t="n">
        <v>0</v>
      </c>
      <c r="W13" s="66" t="n">
        <v>0</v>
      </c>
      <c r="X13" s="66" t="n">
        <v>0</v>
      </c>
      <c r="Y13" s="66" t="n">
        <v>0</v>
      </c>
      <c r="Z13" s="99" t="n">
        <v>0</v>
      </c>
      <c r="AA13" s="99" t="n">
        <v>0</v>
      </c>
      <c r="AB13" s="99" t="n">
        <v>0</v>
      </c>
      <c r="AC13" s="99" t="n">
        <v>0</v>
      </c>
      <c r="AD13" s="99" t="n">
        <v>0</v>
      </c>
      <c r="AE13" s="99" t="n">
        <v>0</v>
      </c>
      <c r="AF13" s="66" t="n">
        <v>0.2147060402632519</v>
      </c>
      <c r="AG13" s="99" t="n">
        <v>0</v>
      </c>
    </row>
    <row r="14">
      <c r="A14" s="127" t="inlineStr">
        <is>
          <t>2018 Q4</t>
        </is>
      </c>
      <c r="B14" s="66" t="n">
        <v>0</v>
      </c>
      <c r="C14" s="66" t="n">
        <v>-0.02467269481866197</v>
      </c>
      <c r="D14" s="66" t="n">
        <v>-0.01084832270584002</v>
      </c>
      <c r="E14" s="66" t="n">
        <v>-0.1139088050184114</v>
      </c>
      <c r="F14" s="66" t="n">
        <v>-0.4048177229867349</v>
      </c>
      <c r="G14" s="66" t="n">
        <v>-0.01039505477268676</v>
      </c>
      <c r="H14" s="66" t="n">
        <v>0.3095573320156007</v>
      </c>
      <c r="I14" s="66" t="n">
        <v>0.2800258416075394</v>
      </c>
      <c r="J14" s="99" t="n">
        <v>0</v>
      </c>
      <c r="K14" s="66" t="n">
        <v>-0.02912798762238822</v>
      </c>
      <c r="L14" s="66" t="n">
        <v>0.2370623769322151</v>
      </c>
      <c r="M14" s="66" t="n">
        <v>0</v>
      </c>
      <c r="N14" s="99" t="n">
        <v>0</v>
      </c>
      <c r="O14" s="66" t="n">
        <v>-0.02869617368236277</v>
      </c>
      <c r="P14" s="66" t="n">
        <v>0.002072970308063304</v>
      </c>
      <c r="Q14" s="66" t="n">
        <v>0</v>
      </c>
      <c r="R14" s="66" t="n">
        <v>0.6586064246278056</v>
      </c>
      <c r="S14" s="66" t="n">
        <v>0</v>
      </c>
      <c r="T14" s="66" t="n">
        <v>0</v>
      </c>
      <c r="U14" s="66" t="n">
        <v>0</v>
      </c>
      <c r="V14" s="66" t="n">
        <v>0</v>
      </c>
      <c r="W14" s="66" t="n">
        <v>0</v>
      </c>
      <c r="X14" s="66" t="n">
        <v>0</v>
      </c>
      <c r="Y14" s="66" t="n">
        <v>0</v>
      </c>
      <c r="Z14" s="99" t="n">
        <v>0</v>
      </c>
      <c r="AA14" s="99" t="n">
        <v>0</v>
      </c>
      <c r="AB14" s="99" t="n">
        <v>0</v>
      </c>
      <c r="AC14" s="99" t="n">
        <v>0</v>
      </c>
      <c r="AD14" s="99" t="n">
        <v>0</v>
      </c>
      <c r="AE14" s="99" t="n">
        <v>0</v>
      </c>
      <c r="AF14" s="66" t="n">
        <v>0.2156457407531605</v>
      </c>
      <c r="AG14" s="99" t="n">
        <v>0</v>
      </c>
    </row>
    <row r="15">
      <c r="A15" s="127" t="inlineStr">
        <is>
          <t>2019 Q1</t>
        </is>
      </c>
      <c r="B15" s="66" t="n">
        <v>0</v>
      </c>
      <c r="C15" s="66" t="n">
        <v>-0.014527088905254</v>
      </c>
      <c r="D15" s="66" t="n">
        <v>-0.009685316367239238</v>
      </c>
      <c r="E15" s="66" t="n">
        <v>-0.09235343035547317</v>
      </c>
      <c r="F15" s="66" t="n">
        <v>-0.3606771659704009</v>
      </c>
      <c r="G15" s="66" t="n">
        <v>-0.01426597597856016</v>
      </c>
      <c r="H15" s="66" t="n">
        <v>0.2823351661591005</v>
      </c>
      <c r="I15" s="66" t="n">
        <v>0.283843108895951</v>
      </c>
      <c r="J15" s="99" t="n">
        <v>0</v>
      </c>
      <c r="K15" s="66" t="n">
        <v>-0.030790155744711</v>
      </c>
      <c r="L15" s="66" t="n">
        <v>0.2400043030925474</v>
      </c>
      <c r="M15" s="66" t="n">
        <v>0</v>
      </c>
      <c r="N15" s="99" t="n">
        <v>0</v>
      </c>
      <c r="O15" s="66" t="n">
        <v>-0.02600673456223035</v>
      </c>
      <c r="P15" s="66" t="n">
        <v>0.003453282371793875</v>
      </c>
      <c r="Q15" s="66" t="n">
        <v>0</v>
      </c>
      <c r="R15" s="66" t="n">
        <v>0.4595586259638083</v>
      </c>
      <c r="S15" s="66" t="n">
        <v>0</v>
      </c>
      <c r="T15" s="66" t="n">
        <v>0</v>
      </c>
      <c r="U15" s="66" t="n">
        <v>0</v>
      </c>
      <c r="V15" s="66" t="n">
        <v>0</v>
      </c>
      <c r="W15" s="66" t="n">
        <v>0</v>
      </c>
      <c r="X15" s="66" t="n">
        <v>0</v>
      </c>
      <c r="Y15" s="66" t="n">
        <v>0</v>
      </c>
      <c r="Z15" s="99" t="n">
        <v>0</v>
      </c>
      <c r="AA15" s="99" t="n">
        <v>0</v>
      </c>
      <c r="AB15" s="99" t="n">
        <v>0</v>
      </c>
      <c r="AC15" s="99" t="n">
        <v>0</v>
      </c>
      <c r="AD15" s="99" t="n">
        <v>0</v>
      </c>
      <c r="AE15" s="99" t="n">
        <v>0</v>
      </c>
      <c r="AF15" s="66" t="n">
        <v>0.2181513226238678</v>
      </c>
      <c r="AG15" s="99" t="n">
        <v>0</v>
      </c>
    </row>
    <row r="16">
      <c r="A16" s="127" t="inlineStr">
        <is>
          <t>2019 Q2</t>
        </is>
      </c>
      <c r="B16" s="66" t="n">
        <v>0</v>
      </c>
      <c r="C16" s="66" t="n">
        <v>-0.006815377690742253</v>
      </c>
      <c r="D16" s="66" t="n">
        <v>-0.01020516128474469</v>
      </c>
      <c r="E16" s="66" t="n">
        <v>-0.1092547627105773</v>
      </c>
      <c r="F16" s="66" t="n">
        <v>-0.3213658869421749</v>
      </c>
      <c r="G16" s="66" t="n">
        <v>-0.0222617721346694</v>
      </c>
      <c r="H16" s="66" t="n">
        <v>0.3451061864261362</v>
      </c>
      <c r="I16" s="66" t="n">
        <v>0.2807552156372424</v>
      </c>
      <c r="J16" s="99" t="n">
        <v>0</v>
      </c>
      <c r="K16" s="66" t="n">
        <v>-0.03734564776624438</v>
      </c>
      <c r="L16" s="66" t="n">
        <v>0.237389675456086</v>
      </c>
      <c r="M16" s="66" t="n">
        <v>0</v>
      </c>
      <c r="N16" s="99" t="n">
        <v>0</v>
      </c>
      <c r="O16" s="66" t="n">
        <v>-0.02243155258278762</v>
      </c>
      <c r="P16" s="66" t="n">
        <v>0.0007678209448727102</v>
      </c>
      <c r="Q16" s="66" t="n">
        <v>0</v>
      </c>
      <c r="R16" s="66" t="n">
        <v>0.6639347518742511</v>
      </c>
      <c r="S16" s="66" t="n">
        <v>0</v>
      </c>
      <c r="T16" s="66" t="n">
        <v>0</v>
      </c>
      <c r="U16" s="66" t="n">
        <v>0</v>
      </c>
      <c r="V16" s="66" t="n">
        <v>0</v>
      </c>
      <c r="W16" s="66" t="n">
        <v>0</v>
      </c>
      <c r="X16" s="66" t="n">
        <v>0</v>
      </c>
      <c r="Y16" s="66" t="n">
        <v>0</v>
      </c>
      <c r="Z16" s="99" t="n">
        <v>0</v>
      </c>
      <c r="AA16" s="99" t="n">
        <v>0</v>
      </c>
      <c r="AB16" s="99" t="n">
        <v>0</v>
      </c>
      <c r="AC16" s="99" t="n">
        <v>0</v>
      </c>
      <c r="AD16" s="99" t="n">
        <v>0</v>
      </c>
      <c r="AE16" s="99" t="n">
        <v>0</v>
      </c>
      <c r="AF16" s="66" t="n">
        <v>0.2157726107294309</v>
      </c>
      <c r="AG16" s="99" t="n">
        <v>0</v>
      </c>
    </row>
    <row r="17">
      <c r="A17" s="127" t="inlineStr">
        <is>
          <t>2019 Q3</t>
        </is>
      </c>
      <c r="B17" s="66" t="n">
        <v>0</v>
      </c>
      <c r="C17" s="66" t="n">
        <v>-0.002957117857334879</v>
      </c>
      <c r="D17" s="66" t="n">
        <v>-0.009575024683954325</v>
      </c>
      <c r="E17" s="66" t="n">
        <v>-0.1286123168882511</v>
      </c>
      <c r="F17" s="66" t="n">
        <v>-0.373372656898141</v>
      </c>
      <c r="G17" s="66" t="n">
        <v>-0.01052385181799309</v>
      </c>
      <c r="H17" s="66" t="n">
        <v>0.3020343518579978</v>
      </c>
      <c r="I17" s="66" t="n">
        <v>0.2781192848347303</v>
      </c>
      <c r="J17" s="99" t="n">
        <v>0</v>
      </c>
      <c r="K17" s="66" t="n">
        <v>-0.03410425535997774</v>
      </c>
      <c r="L17" s="66" t="n">
        <v>0.2351899991253106</v>
      </c>
      <c r="M17" s="66" t="n">
        <v>0</v>
      </c>
      <c r="N17" s="99" t="n">
        <v>0</v>
      </c>
      <c r="O17" s="66" t="n">
        <v>-0.02543690412878163</v>
      </c>
      <c r="P17" s="66" t="n">
        <v>0.003311141946426233</v>
      </c>
      <c r="Q17" s="66" t="n">
        <v>0</v>
      </c>
      <c r="R17" s="66" t="n">
        <v>0.9129791104201388</v>
      </c>
      <c r="S17" s="66" t="n">
        <v>0</v>
      </c>
      <c r="T17" s="66" t="n">
        <v>0</v>
      </c>
      <c r="U17" s="66" t="n">
        <v>0</v>
      </c>
      <c r="V17" s="66" t="n">
        <v>0</v>
      </c>
      <c r="W17" s="66" t="n">
        <v>0</v>
      </c>
      <c r="X17" s="66" t="n">
        <v>0</v>
      </c>
      <c r="Y17" s="66" t="n">
        <v>0</v>
      </c>
      <c r="Z17" s="99" t="n">
        <v>0</v>
      </c>
      <c r="AA17" s="99" t="n">
        <v>0</v>
      </c>
      <c r="AB17" s="99" t="n">
        <v>0</v>
      </c>
      <c r="AC17" s="99" t="n">
        <v>0</v>
      </c>
      <c r="AD17" s="99" t="n">
        <v>0</v>
      </c>
      <c r="AE17" s="99" t="n">
        <v>0</v>
      </c>
      <c r="AF17" s="66" t="n">
        <v>0.2137904006428926</v>
      </c>
      <c r="AG17" s="99" t="n">
        <v>0</v>
      </c>
    </row>
    <row r="18">
      <c r="A18" s="127" t="inlineStr">
        <is>
          <t>2019 Q4</t>
        </is>
      </c>
      <c r="B18" s="66" t="n">
        <v>0</v>
      </c>
      <c r="C18" s="66" t="n">
        <v>-0.004342124225104271</v>
      </c>
      <c r="D18" s="66" t="n">
        <v>-0.008996104132535265</v>
      </c>
      <c r="E18" s="66" t="n">
        <v>-0.1270759402757449</v>
      </c>
      <c r="F18" s="66" t="n">
        <v>-0.3887262937733738</v>
      </c>
      <c r="G18" s="66" t="n">
        <v>-0.009995529048609342</v>
      </c>
      <c r="H18" s="66" t="n">
        <v>0.306637054853212</v>
      </c>
      <c r="I18" s="66" t="n">
        <v>0.2813701683927547</v>
      </c>
      <c r="J18" s="99" t="n">
        <v>0</v>
      </c>
      <c r="K18" s="66" t="n">
        <v>-0.03931552186543286</v>
      </c>
      <c r="L18" s="66" t="n">
        <v>0.2379647111232828</v>
      </c>
      <c r="M18" s="66" t="n">
        <v>0</v>
      </c>
      <c r="N18" s="99" t="n">
        <v>0</v>
      </c>
      <c r="O18" s="66" t="n">
        <v>-0.01749881827004174</v>
      </c>
      <c r="P18" s="66" t="n">
        <v>0.004781442700192429</v>
      </c>
      <c r="Q18" s="66" t="n">
        <v>0</v>
      </c>
      <c r="R18" s="66" t="n">
        <v>0.6506616758175596</v>
      </c>
      <c r="S18" s="66" t="n">
        <v>0</v>
      </c>
      <c r="T18" s="66" t="n">
        <v>0</v>
      </c>
      <c r="U18" s="66" t="n">
        <v>0</v>
      </c>
      <c r="V18" s="66" t="n">
        <v>0</v>
      </c>
      <c r="W18" s="66" t="n">
        <v>0</v>
      </c>
      <c r="X18" s="66" t="n">
        <v>0</v>
      </c>
      <c r="Y18" s="66" t="n">
        <v>0</v>
      </c>
      <c r="Z18" s="99" t="n">
        <v>0</v>
      </c>
      <c r="AA18" s="99" t="n">
        <v>0</v>
      </c>
      <c r="AB18" s="99" t="n">
        <v>0</v>
      </c>
      <c r="AC18" s="99" t="n">
        <v>0</v>
      </c>
      <c r="AD18" s="99" t="n">
        <v>0</v>
      </c>
      <c r="AE18" s="99" t="n">
        <v>0</v>
      </c>
      <c r="AF18" s="66" t="n">
        <v>0.2163277483329011</v>
      </c>
      <c r="AG18" s="99" t="n">
        <v>0</v>
      </c>
    </row>
    <row r="19">
      <c r="A19" s="127" t="inlineStr">
        <is>
          <t>2020 Q1</t>
        </is>
      </c>
      <c r="B19" s="66" t="n">
        <v>0</v>
      </c>
      <c r="C19" s="66" t="n">
        <v>-0.01088331487153482</v>
      </c>
      <c r="D19" s="66" t="n">
        <v>-0.007842774439779987</v>
      </c>
      <c r="E19" s="66" t="n">
        <v>-0.1163050521317643</v>
      </c>
      <c r="F19" s="66" t="n">
        <v>-0.356624403903993</v>
      </c>
      <c r="G19" s="66" t="n">
        <v>-0.02341135025929475</v>
      </c>
      <c r="H19" s="66" t="n">
        <v>0.2539521437751944</v>
      </c>
      <c r="I19" s="66" t="n">
        <v>0.2822708506951415</v>
      </c>
      <c r="J19" s="99" t="n">
        <v>0</v>
      </c>
      <c r="K19" s="66" t="n">
        <v>-0.05436456117070065</v>
      </c>
      <c r="L19" s="66" t="n">
        <v>0.2386579595532226</v>
      </c>
      <c r="M19" s="66" t="n">
        <v>0</v>
      </c>
      <c r="N19" s="99" t="n">
        <v>0</v>
      </c>
      <c r="O19" s="66" t="n">
        <v>-0.02827537661642054</v>
      </c>
      <c r="P19" s="66" t="n">
        <v>0.0008733909223508363</v>
      </c>
      <c r="Q19" s="66" t="n">
        <v>0</v>
      </c>
      <c r="R19" s="66" t="n">
        <v>0.7163574529006951</v>
      </c>
      <c r="S19" s="66" t="n">
        <v>0</v>
      </c>
      <c r="T19" s="66" t="n">
        <v>0</v>
      </c>
      <c r="U19" s="66" t="n">
        <v>0</v>
      </c>
      <c r="V19" s="66" t="n">
        <v>0</v>
      </c>
      <c r="W19" s="66" t="n">
        <v>0</v>
      </c>
      <c r="X19" s="66" t="n">
        <v>0</v>
      </c>
      <c r="Y19" s="66" t="n">
        <v>0</v>
      </c>
      <c r="Z19" s="99" t="n">
        <v>0</v>
      </c>
      <c r="AA19" s="99" t="n">
        <v>0</v>
      </c>
      <c r="AB19" s="99" t="n">
        <v>0</v>
      </c>
      <c r="AC19" s="99" t="n">
        <v>0</v>
      </c>
      <c r="AD19" s="99" t="n">
        <v>0</v>
      </c>
      <c r="AE19" s="99" t="n">
        <v>0</v>
      </c>
      <c r="AF19" s="66" t="n">
        <v>0.2169175941203605</v>
      </c>
      <c r="AG19" s="99" t="n">
        <v>0</v>
      </c>
    </row>
    <row r="20">
      <c r="A20" s="127" t="inlineStr">
        <is>
          <t>2020 Q2</t>
        </is>
      </c>
      <c r="B20" s="66" t="n">
        <v>0</v>
      </c>
      <c r="C20" s="66" t="n">
        <v>-0.01045710624788398</v>
      </c>
      <c r="D20" s="66" t="n">
        <v>-0.008851200200410858</v>
      </c>
      <c r="E20" s="66" t="n">
        <v>-0.04419843340545526</v>
      </c>
      <c r="F20" s="66" t="n">
        <v>-0.3017600222528642</v>
      </c>
      <c r="G20" s="66" t="n">
        <v>-0.0117410953031083</v>
      </c>
      <c r="H20" s="66" t="n">
        <v>0.2824470485652739</v>
      </c>
      <c r="I20" s="66" t="n">
        <v>0.2841472263912124</v>
      </c>
      <c r="J20" s="99" t="n">
        <v>0</v>
      </c>
      <c r="K20" s="66" t="n">
        <v>-0.05008237405479576</v>
      </c>
      <c r="L20" s="66" t="n">
        <v>0.240234097386093</v>
      </c>
      <c r="M20" s="66" t="n">
        <v>0</v>
      </c>
      <c r="N20" s="99" t="n">
        <v>0</v>
      </c>
      <c r="O20" s="66" t="n">
        <v>-0.01805429629766309</v>
      </c>
      <c r="P20" s="66" t="n">
        <v>0</v>
      </c>
      <c r="Q20" s="66" t="n">
        <v>0</v>
      </c>
      <c r="R20" s="66" t="n">
        <v>0.3920013742551589</v>
      </c>
      <c r="S20" s="66" t="n">
        <v>0</v>
      </c>
      <c r="T20" s="66" t="n">
        <v>0</v>
      </c>
      <c r="U20" s="66" t="n">
        <v>0</v>
      </c>
      <c r="V20" s="66" t="n">
        <v>0</v>
      </c>
      <c r="W20" s="66" t="n">
        <v>0</v>
      </c>
      <c r="X20" s="66" t="n">
        <v>0</v>
      </c>
      <c r="Y20" s="66" t="n">
        <v>0</v>
      </c>
      <c r="Z20" s="99" t="n">
        <v>0</v>
      </c>
      <c r="AA20" s="99" t="n">
        <v>0</v>
      </c>
      <c r="AB20" s="99" t="n">
        <v>0</v>
      </c>
      <c r="AC20" s="99" t="n">
        <v>0</v>
      </c>
      <c r="AD20" s="99" t="n">
        <v>0</v>
      </c>
      <c r="AE20" s="99" t="n">
        <v>0</v>
      </c>
      <c r="AF20" s="66" t="n">
        <v>0.2183440679274895</v>
      </c>
      <c r="AG20" s="99" t="n">
        <v>0</v>
      </c>
    </row>
    <row r="21">
      <c r="A21" s="127" t="inlineStr">
        <is>
          <t>2020 Q3</t>
        </is>
      </c>
      <c r="B21" s="66" t="n">
        <v>0</v>
      </c>
      <c r="C21" s="66" t="n">
        <v>-0.01043872850380012</v>
      </c>
      <c r="D21" s="66" t="n">
        <v>-0.007678773534962602</v>
      </c>
      <c r="E21" s="66" t="n">
        <v>-0.0543659312001239</v>
      </c>
      <c r="F21" s="66" t="n">
        <v>-0.2177758121730733</v>
      </c>
      <c r="G21" s="66" t="n">
        <v>-0.03184855301552147</v>
      </c>
      <c r="H21" s="66" t="n">
        <v>0.3475217184085295</v>
      </c>
      <c r="I21" s="66" t="n">
        <v>0.284167661610752</v>
      </c>
      <c r="J21" s="99" t="n">
        <v>0</v>
      </c>
      <c r="K21" s="66" t="n">
        <v>-0.08603128289917095</v>
      </c>
      <c r="L21" s="66" t="n">
        <v>0.2401381605477013</v>
      </c>
      <c r="M21" s="66" t="n">
        <v>0</v>
      </c>
      <c r="N21" s="99" t="n">
        <v>0</v>
      </c>
      <c r="O21" s="66" t="n">
        <v>-0.02624631815564271</v>
      </c>
      <c r="P21" s="66" t="n">
        <v>0.0004546089479617876</v>
      </c>
      <c r="Q21" s="66" t="n">
        <v>0</v>
      </c>
      <c r="R21" s="66" t="n">
        <v>0.3654396506934461</v>
      </c>
      <c r="S21" s="66" t="n">
        <v>0</v>
      </c>
      <c r="T21" s="66" t="n">
        <v>0</v>
      </c>
      <c r="U21" s="66" t="n">
        <v>0</v>
      </c>
      <c r="V21" s="66" t="n">
        <v>0</v>
      </c>
      <c r="W21" s="66" t="n">
        <v>0</v>
      </c>
      <c r="X21" s="66" t="n">
        <v>0</v>
      </c>
      <c r="Y21" s="66" t="n">
        <v>0</v>
      </c>
      <c r="Z21" s="99" t="n">
        <v>0</v>
      </c>
      <c r="AA21" s="99" t="n">
        <v>0</v>
      </c>
      <c r="AB21" s="99" t="n">
        <v>0</v>
      </c>
      <c r="AC21" s="99" t="n">
        <v>0</v>
      </c>
      <c r="AD21" s="99" t="n">
        <v>0</v>
      </c>
      <c r="AE21" s="99" t="n">
        <v>0</v>
      </c>
      <c r="AF21" s="66" t="n">
        <v>0.2181901213814115</v>
      </c>
      <c r="AG21" s="99" t="n">
        <v>0</v>
      </c>
    </row>
    <row r="22">
      <c r="A22" s="127" t="inlineStr">
        <is>
          <t>2020 Q4</t>
        </is>
      </c>
      <c r="B22" s="66" t="n">
        <v>0</v>
      </c>
      <c r="C22" s="66" t="n">
        <v>-0.009621554373183017</v>
      </c>
      <c r="D22" s="66" t="n">
        <v>-0.008404956566494093</v>
      </c>
      <c r="E22" s="66" t="n">
        <v>-0.09019173471270392</v>
      </c>
      <c r="F22" s="66" t="n">
        <v>-0.1720879496965324</v>
      </c>
      <c r="G22" s="66" t="n">
        <v>-0.02903154855022194</v>
      </c>
      <c r="H22" s="66" t="n">
        <v>0.4000875518079567</v>
      </c>
      <c r="I22" s="66" t="n">
        <v>0.2772724084437925</v>
      </c>
      <c r="J22" s="99" t="n">
        <v>0</v>
      </c>
      <c r="K22" s="66" t="n">
        <v>-0.03758293789454115</v>
      </c>
      <c r="L22" s="66" t="n">
        <v>0.2342828176734599</v>
      </c>
      <c r="M22" s="66" t="n">
        <v>0</v>
      </c>
      <c r="N22" s="99" t="n">
        <v>0</v>
      </c>
      <c r="O22" s="66" t="n">
        <v>-0.0212088006069564</v>
      </c>
      <c r="P22" s="66" t="n">
        <v>9.040683386274395e-05</v>
      </c>
      <c r="Q22" s="66" t="n">
        <v>0</v>
      </c>
      <c r="R22" s="66" t="n">
        <v>0.796653984307369</v>
      </c>
      <c r="S22" s="66" t="n">
        <v>0</v>
      </c>
      <c r="T22" s="66" t="n">
        <v>0</v>
      </c>
      <c r="U22" s="66" t="n">
        <v>0</v>
      </c>
      <c r="V22" s="66" t="n">
        <v>0</v>
      </c>
      <c r="W22" s="66" t="n">
        <v>0</v>
      </c>
      <c r="X22" s="66" t="n">
        <v>0</v>
      </c>
      <c r="Y22" s="66" t="n">
        <v>0</v>
      </c>
      <c r="Z22" s="99" t="n">
        <v>0</v>
      </c>
      <c r="AA22" s="99" t="n">
        <v>0</v>
      </c>
      <c r="AB22" s="99" t="n">
        <v>0</v>
      </c>
      <c r="AC22" s="99" t="n">
        <v>0</v>
      </c>
      <c r="AD22" s="99" t="n">
        <v>0</v>
      </c>
      <c r="AE22" s="99" t="n">
        <v>0</v>
      </c>
      <c r="AF22" s="66" t="n">
        <v>0.2128531580318906</v>
      </c>
      <c r="AG22" s="99" t="n">
        <v>0</v>
      </c>
    </row>
    <row r="23">
      <c r="A23" s="127" t="inlineStr">
        <is>
          <t>2021 Q1</t>
        </is>
      </c>
      <c r="B23" s="66" t="n">
        <v>0</v>
      </c>
      <c r="C23" s="66" t="n">
        <v>-0.003844386234874264</v>
      </c>
      <c r="D23" s="66" t="n">
        <v>-0.005639837373308865</v>
      </c>
      <c r="E23" s="66" t="n">
        <v>-0.06610141221491972</v>
      </c>
      <c r="F23" s="66" t="n">
        <v>-0.2292963983235836</v>
      </c>
      <c r="G23" s="66" t="n">
        <v>-0.03512183397151603</v>
      </c>
      <c r="H23" s="66" t="n">
        <v>0.4321535265056298</v>
      </c>
      <c r="I23" s="66" t="n">
        <v>0.2801174330400045</v>
      </c>
      <c r="J23" s="99" t="n">
        <v>0</v>
      </c>
      <c r="K23" s="66" t="n">
        <v>-0.05670471444503278</v>
      </c>
      <c r="L23" s="66" t="n">
        <v>0.2368185555203866</v>
      </c>
      <c r="M23" s="66" t="n">
        <v>0</v>
      </c>
      <c r="N23" s="99" t="n">
        <v>0</v>
      </c>
      <c r="O23" s="66" t="n">
        <v>-0.02472123607353183</v>
      </c>
      <c r="P23" s="66" t="n">
        <v>0</v>
      </c>
      <c r="Q23" s="66" t="n">
        <v>0</v>
      </c>
      <c r="R23" s="66" t="n">
        <v>0.5229727998306544</v>
      </c>
      <c r="S23" s="66" t="n">
        <v>0</v>
      </c>
      <c r="T23" s="66" t="n">
        <v>0</v>
      </c>
      <c r="U23" s="66" t="n">
        <v>0</v>
      </c>
      <c r="V23" s="66" t="n">
        <v>0</v>
      </c>
      <c r="W23" s="66" t="n">
        <v>0</v>
      </c>
      <c r="X23" s="66" t="n">
        <v>0</v>
      </c>
      <c r="Y23" s="66" t="n">
        <v>0</v>
      </c>
      <c r="Z23" s="99" t="n">
        <v>0</v>
      </c>
      <c r="AA23" s="99" t="n">
        <v>0</v>
      </c>
      <c r="AB23" s="99" t="n">
        <v>0</v>
      </c>
      <c r="AC23" s="99" t="n">
        <v>0</v>
      </c>
      <c r="AD23" s="99" t="n">
        <v>0</v>
      </c>
      <c r="AE23" s="99" t="n">
        <v>0</v>
      </c>
      <c r="AF23" s="66" t="n">
        <v>0.2152347211204528</v>
      </c>
      <c r="AG23" s="99" t="n">
        <v>0</v>
      </c>
    </row>
    <row r="24">
      <c r="A24" s="127" t="inlineStr">
        <is>
          <t>2021 Q2</t>
        </is>
      </c>
      <c r="B24" s="66" t="n">
        <v>0</v>
      </c>
      <c r="C24" s="66" t="n">
        <v>-0.007464164358282233</v>
      </c>
      <c r="D24" s="66" t="n">
        <v>-0.006207768506953926</v>
      </c>
      <c r="E24" s="66" t="n">
        <v>-0.03687074802911638</v>
      </c>
      <c r="F24" s="66" t="n">
        <v>-0.2053036753942763</v>
      </c>
      <c r="G24" s="66" t="n">
        <v>-0.04484473841901604</v>
      </c>
      <c r="H24" s="66" t="n">
        <v>0.4396270160654012</v>
      </c>
      <c r="I24" s="66" t="n">
        <v>0.2737607129760704</v>
      </c>
      <c r="J24" s="99" t="n">
        <v>0</v>
      </c>
      <c r="K24" s="66" t="n">
        <v>-0.05488665945509297</v>
      </c>
      <c r="L24" s="66" t="n">
        <v>0.2313678554294256</v>
      </c>
      <c r="M24" s="66" t="n">
        <v>0</v>
      </c>
      <c r="N24" s="99" t="n">
        <v>0</v>
      </c>
      <c r="O24" s="66" t="n">
        <v>-0.01765793085860423</v>
      </c>
      <c r="P24" s="66" t="n">
        <v>0.0006383377742054108</v>
      </c>
      <c r="Q24" s="66" t="n">
        <v>0</v>
      </c>
      <c r="R24" s="66" t="n">
        <v>0.9849664888338623</v>
      </c>
      <c r="S24" s="66" t="n">
        <v>0</v>
      </c>
      <c r="T24" s="66" t="n">
        <v>0</v>
      </c>
      <c r="U24" s="66" t="n">
        <v>0</v>
      </c>
      <c r="V24" s="66" t="n">
        <v>0</v>
      </c>
      <c r="W24" s="66" t="n">
        <v>0</v>
      </c>
      <c r="X24" s="66" t="n">
        <v>0</v>
      </c>
      <c r="Y24" s="66" t="n">
        <v>0</v>
      </c>
      <c r="Z24" s="99" t="n">
        <v>0</v>
      </c>
      <c r="AA24" s="99" t="n">
        <v>0</v>
      </c>
      <c r="AB24" s="99" t="n">
        <v>0</v>
      </c>
      <c r="AC24" s="99" t="n">
        <v>0</v>
      </c>
      <c r="AD24" s="99" t="n">
        <v>0</v>
      </c>
      <c r="AE24" s="99" t="n">
        <v>0</v>
      </c>
      <c r="AF24" s="66" t="n">
        <v>0.2102356582584264</v>
      </c>
      <c r="AG24" s="99" t="n">
        <v>0</v>
      </c>
    </row>
    <row r="25">
      <c r="A25" s="127" t="inlineStr">
        <is>
          <t>2021 Q3</t>
        </is>
      </c>
      <c r="B25" s="66" t="n">
        <v>0</v>
      </c>
      <c r="C25" s="66" t="n">
        <v>-0.009799382973369575</v>
      </c>
      <c r="D25" s="66" t="n">
        <v>-0.00290301826794348</v>
      </c>
      <c r="E25" s="66" t="n">
        <v>-0.08909428882159887</v>
      </c>
      <c r="F25" s="66" t="n">
        <v>-0.2542733641716381</v>
      </c>
      <c r="G25" s="66" t="n">
        <v>-0.06050280805285979</v>
      </c>
      <c r="H25" s="66" t="n">
        <v>0.4093976861135218</v>
      </c>
      <c r="I25" s="66" t="n">
        <v>0.2782813344259125</v>
      </c>
      <c r="J25" s="99" t="n">
        <v>0</v>
      </c>
      <c r="K25" s="66" t="n">
        <v>-0.07700249582478591</v>
      </c>
      <c r="L25" s="66" t="n">
        <v>0.2354277304950756</v>
      </c>
      <c r="M25" s="66" t="n">
        <v>0</v>
      </c>
      <c r="N25" s="99" t="n">
        <v>0</v>
      </c>
      <c r="O25" s="66" t="n">
        <v>-0.02733282494261857</v>
      </c>
      <c r="P25" s="66" t="n">
        <v>0.002060370751166829</v>
      </c>
      <c r="Q25" s="66" t="n">
        <v>0</v>
      </c>
      <c r="R25" s="66" t="n">
        <v>0.675182101699221</v>
      </c>
      <c r="S25" s="66" t="n">
        <v>0</v>
      </c>
      <c r="T25" s="66" t="n">
        <v>0</v>
      </c>
      <c r="U25" s="66" t="n">
        <v>0</v>
      </c>
      <c r="V25" s="66" t="n">
        <v>0</v>
      </c>
      <c r="W25" s="66" t="n">
        <v>0</v>
      </c>
      <c r="X25" s="66" t="n">
        <v>0</v>
      </c>
      <c r="Y25" s="66" t="n">
        <v>0</v>
      </c>
      <c r="Z25" s="99" t="n">
        <v>0</v>
      </c>
      <c r="AA25" s="99" t="n">
        <v>0</v>
      </c>
      <c r="AB25" s="99" t="n">
        <v>0</v>
      </c>
      <c r="AC25" s="99" t="n">
        <v>0</v>
      </c>
      <c r="AD25" s="99" t="n">
        <v>0</v>
      </c>
      <c r="AE25" s="99" t="n">
        <v>0</v>
      </c>
      <c r="AF25" s="66" t="n">
        <v>0.2140658582326012</v>
      </c>
      <c r="AG25" s="99" t="n">
        <v>0</v>
      </c>
    </row>
    <row r="26">
      <c r="A26" s="127" t="inlineStr">
        <is>
          <t>2021 Q4</t>
        </is>
      </c>
      <c r="B26" s="66" t="n">
        <v>0</v>
      </c>
      <c r="C26" s="66" t="n">
        <v>-0.02608256820900579</v>
      </c>
      <c r="D26" s="66" t="n">
        <v>-0.003240917017762968</v>
      </c>
      <c r="E26" s="66" t="n">
        <v>-0.1213869168531971</v>
      </c>
      <c r="F26" s="66" t="n">
        <v>-0.3312745000448558</v>
      </c>
      <c r="G26" s="66" t="n">
        <v>-0.05806613716077891</v>
      </c>
      <c r="H26" s="66" t="n">
        <v>0.3431353379046413</v>
      </c>
      <c r="I26" s="66" t="n">
        <v>0.2808177399714111</v>
      </c>
      <c r="J26" s="99" t="n">
        <v>0</v>
      </c>
      <c r="K26" s="66" t="n">
        <v>-0.06604042714803882</v>
      </c>
      <c r="L26" s="66" t="n">
        <v>0.2376633511612454</v>
      </c>
      <c r="M26" s="66" t="n">
        <v>0</v>
      </c>
      <c r="N26" s="99" t="n">
        <v>0</v>
      </c>
      <c r="O26" s="66" t="n">
        <v>-0.0259126902610376</v>
      </c>
      <c r="P26" s="66" t="n">
        <v>0.00229615905456626</v>
      </c>
      <c r="Q26" s="66" t="n">
        <v>0</v>
      </c>
      <c r="R26" s="66" t="n">
        <v>0.5960027438310078</v>
      </c>
      <c r="S26" s="66" t="n">
        <v>0</v>
      </c>
      <c r="T26" s="66" t="n">
        <v>0</v>
      </c>
      <c r="U26" s="66" t="n">
        <v>0</v>
      </c>
      <c r="V26" s="66" t="n">
        <v>0</v>
      </c>
      <c r="W26" s="66" t="n">
        <v>0</v>
      </c>
      <c r="X26" s="66" t="n">
        <v>0</v>
      </c>
      <c r="Y26" s="66" t="n">
        <v>0</v>
      </c>
      <c r="Z26" s="99" t="n">
        <v>0</v>
      </c>
      <c r="AA26" s="99" t="n">
        <v>0</v>
      </c>
      <c r="AB26" s="99" t="n">
        <v>0</v>
      </c>
      <c r="AC26" s="99" t="n">
        <v>0</v>
      </c>
      <c r="AD26" s="99" t="n">
        <v>0</v>
      </c>
      <c r="AE26" s="99" t="n">
        <v>0</v>
      </c>
      <c r="AF26" s="66" t="n">
        <v>0.2161515421937565</v>
      </c>
      <c r="AG26" s="99" t="n">
        <v>0</v>
      </c>
    </row>
    <row r="27">
      <c r="A27" s="127" t="inlineStr">
        <is>
          <t>2022 Q1</t>
        </is>
      </c>
      <c r="B27" s="66" t="n">
        <v>0</v>
      </c>
      <c r="C27" s="66" t="n">
        <v>-0.009091590845372366</v>
      </c>
      <c r="D27" s="66" t="n">
        <v>-0.002772430980002127</v>
      </c>
      <c r="E27" s="66" t="n">
        <v>-0.07900600637211141</v>
      </c>
      <c r="F27" s="66" t="n">
        <v>-0.3365941236495189</v>
      </c>
      <c r="G27" s="66" t="n">
        <v>-0.0257220357524659</v>
      </c>
      <c r="H27" s="66" t="n">
        <v>0.3321085012049991</v>
      </c>
      <c r="I27" s="66" t="n">
        <v>0.2814019126894323</v>
      </c>
      <c r="J27" s="99" t="n">
        <v>0</v>
      </c>
      <c r="K27" s="66" t="n">
        <v>-0.1022790330358703</v>
      </c>
      <c r="L27" s="66" t="n">
        <v>0.2379724826535607</v>
      </c>
      <c r="M27" s="66" t="n">
        <v>0</v>
      </c>
      <c r="N27" s="99" t="n">
        <v>0</v>
      </c>
      <c r="O27" s="66" t="n">
        <v>-0.03209985435725571</v>
      </c>
      <c r="P27" s="66" t="n">
        <v>0.008500140575364412</v>
      </c>
      <c r="Q27" s="66" t="n">
        <v>0</v>
      </c>
      <c r="R27" s="66" t="n">
        <v>0.6144710247148453</v>
      </c>
      <c r="S27" s="66" t="n">
        <v>0</v>
      </c>
      <c r="T27" s="66" t="n">
        <v>0</v>
      </c>
      <c r="U27" s="66" t="n">
        <v>0</v>
      </c>
      <c r="V27" s="66" t="n">
        <v>0</v>
      </c>
      <c r="W27" s="66" t="n">
        <v>0</v>
      </c>
      <c r="X27" s="66" t="n">
        <v>0</v>
      </c>
      <c r="Y27" s="66" t="n">
        <v>0</v>
      </c>
      <c r="Z27" s="99" t="n">
        <v>0</v>
      </c>
      <c r="AA27" s="99" t="n">
        <v>0</v>
      </c>
      <c r="AB27" s="99" t="n">
        <v>0</v>
      </c>
      <c r="AC27" s="99" t="n">
        <v>0</v>
      </c>
      <c r="AD27" s="99" t="n">
        <v>0</v>
      </c>
      <c r="AE27" s="99" t="n">
        <v>0</v>
      </c>
      <c r="AF27" s="66" t="n">
        <v>0.2163235698023698</v>
      </c>
      <c r="AG27" s="99" t="n">
        <v>0</v>
      </c>
    </row>
    <row r="28">
      <c r="A28" s="127" t="inlineStr">
        <is>
          <t>2022 Q2</t>
        </is>
      </c>
      <c r="B28" s="66" t="n">
        <v>0</v>
      </c>
      <c r="C28" s="66" t="n">
        <v>-0.01017775588118752</v>
      </c>
      <c r="D28" s="66" t="n">
        <v>-0.001953504381702942</v>
      </c>
      <c r="E28" s="66" t="n">
        <v>-0.03269500862481323</v>
      </c>
      <c r="F28" s="66" t="n">
        <v>-0.1880055016969777</v>
      </c>
      <c r="G28" s="66" t="n">
        <v>-0.01484133882894412</v>
      </c>
      <c r="H28" s="66" t="n">
        <v>0.4051521063178427</v>
      </c>
      <c r="I28" s="66" t="n">
        <v>0.2846408790243231</v>
      </c>
      <c r="J28" s="99" t="n">
        <v>0</v>
      </c>
      <c r="K28" s="66" t="n">
        <v>-0.07829761388023826</v>
      </c>
      <c r="L28" s="66" t="n">
        <v>0.2405097421876405</v>
      </c>
      <c r="M28" s="66" t="n">
        <v>0</v>
      </c>
      <c r="N28" s="99" t="n">
        <v>0</v>
      </c>
      <c r="O28" s="66" t="n">
        <v>-0.04957049026555183</v>
      </c>
      <c r="P28" s="66" t="n">
        <v>0</v>
      </c>
      <c r="Q28" s="66" t="n">
        <v>0</v>
      </c>
      <c r="R28" s="66" t="n">
        <v>0.2324586135157176</v>
      </c>
      <c r="S28" s="66" t="n">
        <v>0</v>
      </c>
      <c r="T28" s="66" t="n">
        <v>0</v>
      </c>
      <c r="U28" s="66" t="n">
        <v>0</v>
      </c>
      <c r="V28" s="66" t="n">
        <v>0</v>
      </c>
      <c r="W28" s="66" t="n">
        <v>0</v>
      </c>
      <c r="X28" s="66" t="n">
        <v>0</v>
      </c>
      <c r="Y28" s="66" t="n">
        <v>0</v>
      </c>
      <c r="Z28" s="99" t="n">
        <v>0</v>
      </c>
      <c r="AA28" s="99" t="n">
        <v>0</v>
      </c>
      <c r="AB28" s="99" t="n">
        <v>0</v>
      </c>
      <c r="AC28" s="99" t="n">
        <v>0</v>
      </c>
      <c r="AD28" s="99" t="n">
        <v>0</v>
      </c>
      <c r="AE28" s="99" t="n">
        <v>0</v>
      </c>
      <c r="AF28" s="66" t="n">
        <v>0.2185110391281455</v>
      </c>
      <c r="AG28" s="99" t="n">
        <v>0</v>
      </c>
    </row>
    <row r="29">
      <c r="A29" s="127" t="inlineStr">
        <is>
          <t>2022 Q3</t>
        </is>
      </c>
      <c r="B29" s="66" t="n">
        <v>0</v>
      </c>
      <c r="C29" s="66" t="n">
        <v>-0.01287041236420805</v>
      </c>
      <c r="D29" s="66" t="n">
        <v>-0.001748016414154563</v>
      </c>
      <c r="E29" s="66" t="n">
        <v>-0.05419644001679558</v>
      </c>
      <c r="F29" s="66" t="n">
        <v>-0.1171794713357883</v>
      </c>
      <c r="G29" s="66" t="n">
        <v>-0.006903358721672248</v>
      </c>
      <c r="H29" s="66" t="n">
        <v>0.3804032501282677</v>
      </c>
      <c r="I29" s="66" t="n">
        <v>0.2099977446789012</v>
      </c>
      <c r="J29" s="99" t="n">
        <v>0</v>
      </c>
      <c r="K29" s="66" t="n">
        <v>-0.0264847813311917</v>
      </c>
      <c r="L29" s="66" t="n">
        <v>0.241920538405509</v>
      </c>
      <c r="M29" s="66" t="n">
        <v>0</v>
      </c>
      <c r="N29" s="99" t="n">
        <v>0</v>
      </c>
      <c r="O29" s="66" t="n">
        <v>-0.04881803565046994</v>
      </c>
      <c r="P29" s="66" t="n">
        <v>0</v>
      </c>
      <c r="Q29" s="66" t="n">
        <v>0</v>
      </c>
      <c r="R29" s="66" t="n">
        <v>0.07724704254553671</v>
      </c>
      <c r="S29" s="66" t="n">
        <v>0</v>
      </c>
      <c r="T29" s="66" t="n">
        <v>0</v>
      </c>
      <c r="U29" s="66" t="n">
        <v>0</v>
      </c>
      <c r="V29" s="66" t="n">
        <v>0</v>
      </c>
      <c r="W29" s="66" t="n">
        <v>0</v>
      </c>
      <c r="X29" s="66" t="n">
        <v>0</v>
      </c>
      <c r="Y29" s="66" t="n">
        <v>0</v>
      </c>
      <c r="Z29" s="99" t="n">
        <v>0</v>
      </c>
      <c r="AA29" s="99" t="n">
        <v>0</v>
      </c>
      <c r="AB29" s="99" t="n">
        <v>0</v>
      </c>
      <c r="AC29" s="99" t="n">
        <v>0</v>
      </c>
      <c r="AD29" s="99" t="n">
        <v>0</v>
      </c>
      <c r="AE29" s="99" t="n">
        <v>0</v>
      </c>
      <c r="AF29" s="66" t="n">
        <v>0.219825844535336</v>
      </c>
      <c r="AG29" s="99" t="n">
        <v>0</v>
      </c>
    </row>
    <row r="30">
      <c r="A30" s="127" t="inlineStr">
        <is>
          <t>2022 Q4</t>
        </is>
      </c>
      <c r="B30" s="66" t="n">
        <v>0</v>
      </c>
      <c r="C30" s="66" t="n">
        <v>-0.009322355348302835</v>
      </c>
      <c r="D30" s="66" t="n">
        <v>-0.0004707670899222194</v>
      </c>
      <c r="E30" s="66" t="n">
        <v>-0.05103027896973344</v>
      </c>
      <c r="F30" s="66" t="n">
        <v>-0.1214979071622793</v>
      </c>
      <c r="G30" s="66" t="n">
        <v>-0.008920465196212035</v>
      </c>
      <c r="H30" s="66" t="n">
        <v>0.476985503271635</v>
      </c>
      <c r="I30" s="66" t="n">
        <v>0.185092200224716</v>
      </c>
      <c r="J30" s="99" t="n">
        <v>0</v>
      </c>
      <c r="K30" s="66" t="n">
        <v>-0.04019932485709887</v>
      </c>
      <c r="L30" s="66" t="n">
        <v>0.2371553874136509</v>
      </c>
      <c r="M30" s="66" t="n">
        <v>0</v>
      </c>
      <c r="N30" s="99" t="n">
        <v>0</v>
      </c>
      <c r="O30" s="66" t="n">
        <v>-0.0423578066383925</v>
      </c>
      <c r="P30" s="66" t="n">
        <v>0</v>
      </c>
      <c r="Q30" s="66" t="n">
        <v>0</v>
      </c>
      <c r="R30" s="66" t="n">
        <v>0.4970449615422297</v>
      </c>
      <c r="S30" s="66" t="n">
        <v>0</v>
      </c>
      <c r="T30" s="66" t="n">
        <v>0</v>
      </c>
      <c r="U30" s="66" t="n">
        <v>0</v>
      </c>
      <c r="V30" s="66" t="n">
        <v>0</v>
      </c>
      <c r="W30" s="66" t="n">
        <v>0</v>
      </c>
      <c r="X30" s="66" t="n">
        <v>0</v>
      </c>
      <c r="Y30" s="66" t="n">
        <v>0</v>
      </c>
      <c r="Z30" s="99" t="n">
        <v>0</v>
      </c>
      <c r="AA30" s="99" t="n">
        <v>0</v>
      </c>
      <c r="AB30" s="99" t="n">
        <v>0</v>
      </c>
      <c r="AC30" s="99" t="n">
        <v>0</v>
      </c>
      <c r="AD30" s="99" t="n">
        <v>0</v>
      </c>
      <c r="AE30" s="99" t="n">
        <v>0</v>
      </c>
      <c r="AF30" s="66" t="n">
        <v>0.2154132235268094</v>
      </c>
      <c r="AG30" s="99" t="n">
        <v>0</v>
      </c>
    </row>
    <row r="31">
      <c r="A31" s="127" t="inlineStr">
        <is>
          <t>2023 Q1</t>
        </is>
      </c>
      <c r="B31" s="66" t="n">
        <v>0</v>
      </c>
      <c r="C31" s="66" t="n">
        <v>-0.01026568503334602</v>
      </c>
      <c r="D31" s="66" t="n">
        <v>-0.0003186209481782498</v>
      </c>
      <c r="E31" s="66" t="n">
        <v>-0.02727309606916606</v>
      </c>
      <c r="F31" s="66" t="n">
        <v>-0.1264725440697418</v>
      </c>
      <c r="G31" s="66" t="n">
        <v>-0.01210160515776693</v>
      </c>
      <c r="H31" s="66" t="n">
        <v>0.6146668903813293</v>
      </c>
      <c r="I31" s="66" t="n">
        <v>0.1894087974555134</v>
      </c>
      <c r="J31" s="99" t="n">
        <v>0</v>
      </c>
      <c r="K31" s="66" t="n">
        <v>-0.04319725443053812</v>
      </c>
      <c r="L31" s="66" t="n">
        <v>0.0316902350634507</v>
      </c>
      <c r="M31" s="66" t="n">
        <v>0</v>
      </c>
      <c r="N31" s="99" t="n">
        <v>0</v>
      </c>
      <c r="O31" s="66" t="n">
        <v>-0.04560669203468137</v>
      </c>
      <c r="P31" s="66" t="n">
        <v>0.001070580471122184</v>
      </c>
      <c r="Q31" s="66" t="n">
        <v>0</v>
      </c>
      <c r="R31" s="66" t="n">
        <v>0.09127460696862499</v>
      </c>
      <c r="S31" s="66" t="n">
        <v>0</v>
      </c>
      <c r="T31" s="66" t="n">
        <v>0</v>
      </c>
      <c r="U31" s="66" t="n">
        <v>0</v>
      </c>
      <c r="V31" s="66" t="n">
        <v>0</v>
      </c>
      <c r="W31" s="66" t="n">
        <v>0</v>
      </c>
      <c r="X31" s="66" t="n">
        <v>0</v>
      </c>
      <c r="Y31" s="66" t="n">
        <v>0</v>
      </c>
      <c r="Z31" s="99" t="n">
        <v>0</v>
      </c>
      <c r="AA31" s="99" t="n">
        <v>0</v>
      </c>
      <c r="AB31" s="99" t="n">
        <v>0</v>
      </c>
      <c r="AC31" s="99" t="n">
        <v>0</v>
      </c>
      <c r="AD31" s="99" t="n">
        <v>0</v>
      </c>
      <c r="AE31" s="99" t="n">
        <v>0</v>
      </c>
      <c r="AF31" s="66" t="n">
        <v>0.2184794252644053</v>
      </c>
      <c r="AG31" s="99" t="n">
        <v>0</v>
      </c>
    </row>
    <row r="32">
      <c r="A32" s="127" t="inlineStr">
        <is>
          <t>2023 Q2</t>
        </is>
      </c>
      <c r="B32" s="66" t="n">
        <v>0</v>
      </c>
      <c r="C32" s="66" t="n">
        <v>-0.000995245016355284</v>
      </c>
      <c r="D32" s="66" t="n">
        <v>-0.0009261578761936562</v>
      </c>
      <c r="E32" s="66" t="n">
        <v>-0.03884707390537301</v>
      </c>
      <c r="F32" s="66" t="n">
        <v>-0.105405181959469</v>
      </c>
      <c r="G32" s="66" t="n">
        <v>-0.01706531330535199</v>
      </c>
      <c r="H32" s="66" t="n">
        <v>0.4923394460103054</v>
      </c>
      <c r="I32" s="66" t="n">
        <v>0.2085646056166865</v>
      </c>
      <c r="J32" s="99" t="n">
        <v>0</v>
      </c>
      <c r="K32" s="66" t="n">
        <v>-0.01323187891105704</v>
      </c>
      <c r="L32" s="66" t="n">
        <v>-0.06455655063524546</v>
      </c>
      <c r="M32" s="66" t="n">
        <v>0</v>
      </c>
      <c r="N32" s="99" t="n">
        <v>0</v>
      </c>
      <c r="O32" s="66" t="n">
        <v>-0.05734388133669199</v>
      </c>
      <c r="P32" s="66" t="n">
        <v>0.003930293697209208</v>
      </c>
      <c r="Q32" s="66" t="n">
        <v>0</v>
      </c>
      <c r="R32" s="66" t="n">
        <v>0.5215862094904935</v>
      </c>
      <c r="S32" s="66" t="n">
        <v>0</v>
      </c>
      <c r="T32" s="66" t="n">
        <v>0</v>
      </c>
      <c r="U32" s="66" t="n">
        <v>0</v>
      </c>
      <c r="V32" s="66" t="n">
        <v>0</v>
      </c>
      <c r="W32" s="66" t="n">
        <v>0</v>
      </c>
      <c r="X32" s="66" t="n">
        <v>0</v>
      </c>
      <c r="Y32" s="66" t="n">
        <v>0</v>
      </c>
      <c r="Z32" s="99" t="n">
        <v>0</v>
      </c>
      <c r="AA32" s="99" t="n">
        <v>0</v>
      </c>
      <c r="AB32" s="99" t="n">
        <v>0</v>
      </c>
      <c r="AC32" s="99" t="n">
        <v>0</v>
      </c>
      <c r="AD32" s="99" t="n">
        <v>0</v>
      </c>
      <c r="AE32" s="99" t="n">
        <v>0</v>
      </c>
      <c r="AF32" s="66" t="n">
        <v>0.2160971605519251</v>
      </c>
      <c r="AG32" s="99" t="n">
        <v>0</v>
      </c>
    </row>
    <row r="33">
      <c r="A33" s="127" t="inlineStr">
        <is>
          <t>2023 Q3</t>
        </is>
      </c>
      <c r="B33" s="66" t="n">
        <v>0</v>
      </c>
      <c r="C33" s="66" t="n">
        <v>-0.003492625093059587</v>
      </c>
      <c r="D33" s="66" t="n">
        <v>-0.001901973054458495</v>
      </c>
      <c r="E33" s="66" t="n">
        <v>-0.03202062358610647</v>
      </c>
      <c r="F33" s="66" t="n">
        <v>-0.08277871428867911</v>
      </c>
      <c r="G33" s="66" t="n">
        <v>-0.02278399405616938</v>
      </c>
      <c r="H33" s="66" t="n">
        <v>0.4853631218067562</v>
      </c>
      <c r="I33" s="66" t="n">
        <v>0.1906757371677088</v>
      </c>
      <c r="J33" s="99" t="n">
        <v>0</v>
      </c>
      <c r="K33" s="66" t="n">
        <v>-0.01277954876903209</v>
      </c>
      <c r="L33" s="66" t="n">
        <v>-0.1034110662539263</v>
      </c>
      <c r="M33" s="66" t="n">
        <v>0</v>
      </c>
      <c r="N33" s="99" t="n">
        <v>0</v>
      </c>
      <c r="O33" s="66" t="n">
        <v>-0.05628370155417883</v>
      </c>
      <c r="P33" s="66" t="n">
        <v>0.008172309560308122</v>
      </c>
      <c r="Q33" s="66" t="n">
        <v>0</v>
      </c>
      <c r="R33" s="66" t="n">
        <v>0.143275768917448</v>
      </c>
      <c r="S33" s="66" t="n">
        <v>0</v>
      </c>
      <c r="T33" s="66" t="n">
        <v>0</v>
      </c>
      <c r="U33" s="66" t="n">
        <v>0</v>
      </c>
      <c r="V33" s="66" t="n">
        <v>0</v>
      </c>
      <c r="W33" s="66" t="n">
        <v>0</v>
      </c>
      <c r="X33" s="66" t="n">
        <v>0</v>
      </c>
      <c r="Y33" s="66" t="n">
        <v>0</v>
      </c>
      <c r="Z33" s="99" t="n">
        <v>0</v>
      </c>
      <c r="AA33" s="99" t="n">
        <v>0</v>
      </c>
      <c r="AB33" s="99" t="n">
        <v>0</v>
      </c>
      <c r="AC33" s="99" t="n">
        <v>0</v>
      </c>
      <c r="AD33" s="99" t="n">
        <v>0</v>
      </c>
      <c r="AE33" s="99" t="n">
        <v>0</v>
      </c>
      <c r="AF33" s="66" t="n">
        <v>0.2185681085040301</v>
      </c>
      <c r="AG33" s="99" t="n">
        <v>0</v>
      </c>
    </row>
    <row r="34">
      <c r="A34" s="127" t="inlineStr">
        <is>
          <t>2023 Q4</t>
        </is>
      </c>
      <c r="B34" s="66" t="n">
        <v>0</v>
      </c>
      <c r="C34" s="66" t="n">
        <v>-0.003188352940895811</v>
      </c>
      <c r="D34" s="66" t="n">
        <v>-0.0007645904698279082</v>
      </c>
      <c r="E34" s="66" t="n">
        <v>-0.06237540770302985</v>
      </c>
      <c r="F34" s="66" t="n">
        <v>-0.07987867478331623</v>
      </c>
      <c r="G34" s="66" t="n">
        <v>-0.006024728689766334</v>
      </c>
      <c r="H34" s="66" t="n">
        <v>0.5758403682605717</v>
      </c>
      <c r="I34" s="66" t="n">
        <v>0.1800394509930641</v>
      </c>
      <c r="J34" s="99" t="n">
        <v>0</v>
      </c>
      <c r="K34" s="66" t="n">
        <v>-0.02109577115174943</v>
      </c>
      <c r="L34" s="66" t="n">
        <v>-0.1392118865639418</v>
      </c>
      <c r="M34" s="66" t="n">
        <v>0</v>
      </c>
      <c r="N34" s="99" t="n">
        <v>0</v>
      </c>
      <c r="O34" s="66" t="n">
        <v>-0.02963149754179994</v>
      </c>
      <c r="P34" s="66" t="n">
        <v>0.006236664789895485</v>
      </c>
      <c r="Q34" s="66" t="n">
        <v>0</v>
      </c>
      <c r="R34" s="66" t="n">
        <v>0.2759041891197</v>
      </c>
      <c r="S34" s="66" t="n">
        <v>0</v>
      </c>
      <c r="T34" s="66" t="n">
        <v>0</v>
      </c>
      <c r="U34" s="66" t="n">
        <v>0</v>
      </c>
      <c r="V34" s="66" t="n">
        <v>0</v>
      </c>
      <c r="W34" s="66" t="n">
        <v>0</v>
      </c>
      <c r="X34" s="66" t="n">
        <v>0</v>
      </c>
      <c r="Y34" s="66" t="n">
        <v>0</v>
      </c>
      <c r="Z34" s="99" t="n">
        <v>0</v>
      </c>
      <c r="AA34" s="99" t="n">
        <v>0</v>
      </c>
      <c r="AB34" s="99" t="n">
        <v>0</v>
      </c>
      <c r="AC34" s="99" t="n">
        <v>0</v>
      </c>
      <c r="AD34" s="99" t="n">
        <v>0</v>
      </c>
      <c r="AE34" s="99" t="n">
        <v>0</v>
      </c>
      <c r="AF34" s="66" t="n">
        <v>0.2164398597977879</v>
      </c>
      <c r="AG34" s="99" t="n">
        <v>0</v>
      </c>
    </row>
    <row r="35">
      <c r="A35" s="127" t="inlineStr">
        <is>
          <t>2024 Q1</t>
        </is>
      </c>
      <c r="B35" s="66" t="n">
        <v>0</v>
      </c>
      <c r="C35" s="66" t="n">
        <v>-0.004712605466693276</v>
      </c>
      <c r="D35" s="66" t="n">
        <v>-0.001178426816892397</v>
      </c>
      <c r="E35" s="66" t="n">
        <v>-0.06008549260408813</v>
      </c>
      <c r="F35" s="66" t="n">
        <v>-0.05471582532885577</v>
      </c>
      <c r="G35" s="66" t="n">
        <v>-0.01869328126861092</v>
      </c>
      <c r="H35" s="66" t="n">
        <v>0.5638814759669799</v>
      </c>
      <c r="I35" s="66" t="n">
        <v>0.169334994126757</v>
      </c>
      <c r="J35" s="99" t="n">
        <v>0</v>
      </c>
      <c r="K35" s="66" t="n">
        <v>-0.01624406611591667</v>
      </c>
      <c r="L35" s="66" t="n">
        <v>-0.1929398135439726</v>
      </c>
      <c r="M35" s="66" t="n">
        <v>0.01152608176670356</v>
      </c>
      <c r="N35" s="99" t="n">
        <v>0</v>
      </c>
      <c r="O35" s="66" t="n">
        <v>-0.04758541941848193</v>
      </c>
      <c r="P35" s="66" t="n">
        <v>0.005645491421176985</v>
      </c>
      <c r="Q35" s="66" t="n">
        <v>0</v>
      </c>
      <c r="R35" s="66" t="n">
        <v>0.6287478955950121</v>
      </c>
      <c r="S35" s="66" t="n">
        <v>0</v>
      </c>
      <c r="T35" s="66" t="n">
        <v>0</v>
      </c>
      <c r="U35" s="66" t="n">
        <v>0</v>
      </c>
      <c r="V35" s="66" t="n">
        <v>0</v>
      </c>
      <c r="W35" s="66" t="n">
        <v>0</v>
      </c>
      <c r="X35" s="66" t="n">
        <v>0</v>
      </c>
      <c r="Y35" s="66" t="n">
        <v>0</v>
      </c>
      <c r="Z35" s="99" t="n">
        <v>0</v>
      </c>
      <c r="AA35" s="99" t="n">
        <v>0</v>
      </c>
      <c r="AB35" s="99" t="n">
        <v>0</v>
      </c>
      <c r="AC35" s="99" t="n">
        <v>0</v>
      </c>
      <c r="AD35" s="99" t="n">
        <v>0</v>
      </c>
      <c r="AE35" s="99" t="n">
        <v>0</v>
      </c>
      <c r="AF35" s="66" t="n">
        <v>0.2126210699958335</v>
      </c>
      <c r="AG35" s="99" t="n">
        <v>0</v>
      </c>
    </row>
    <row r="36">
      <c r="A36" s="127" t="inlineStr">
        <is>
          <t>2024 Q2</t>
        </is>
      </c>
      <c r="B36" s="66" t="n">
        <v>0</v>
      </c>
      <c r="C36" s="66" t="n">
        <v>-0.004965868689737363</v>
      </c>
      <c r="D36" s="66" t="n">
        <v>-0.001215693759149872</v>
      </c>
      <c r="E36" s="66" t="n">
        <v>-0.04076484903029609</v>
      </c>
      <c r="F36" s="66" t="n">
        <v>-0.03136919504709113</v>
      </c>
      <c r="G36" s="66" t="n">
        <v>-0.008331932167152445</v>
      </c>
      <c r="H36" s="66" t="n">
        <v>0.6065246043517902</v>
      </c>
      <c r="I36" s="66" t="n">
        <v>0.1869308199582917</v>
      </c>
      <c r="J36" s="66" t="n">
        <v>0</v>
      </c>
      <c r="K36" s="66" t="n">
        <v>-0.005184763587948282</v>
      </c>
      <c r="L36" s="66" t="n">
        <v>-0.1737761815101067</v>
      </c>
      <c r="M36" s="66" t="n">
        <v>-0.0005777409525080657</v>
      </c>
      <c r="N36" s="66" t="n">
        <v>0</v>
      </c>
      <c r="O36" s="66" t="n">
        <v>-0.0458168142930333</v>
      </c>
      <c r="P36" s="66" t="n">
        <v>0.009079784507207478</v>
      </c>
      <c r="Q36" s="66" t="n">
        <v>0</v>
      </c>
      <c r="R36" s="66" t="n">
        <v>0.5491751696462472</v>
      </c>
      <c r="S36" s="66" t="n">
        <v>0</v>
      </c>
      <c r="T36" s="66" t="n">
        <v>0</v>
      </c>
      <c r="U36" s="66" t="n">
        <v>0</v>
      </c>
      <c r="V36" s="66" t="n">
        <v>0</v>
      </c>
      <c r="W36" s="66" t="n">
        <v>0</v>
      </c>
      <c r="X36" s="66" t="n">
        <v>0</v>
      </c>
      <c r="Y36" s="66" t="n">
        <v>0</v>
      </c>
      <c r="Z36" s="66" t="n">
        <v>0</v>
      </c>
      <c r="AA36" s="66" t="n">
        <v>0</v>
      </c>
      <c r="AB36" s="66" t="n">
        <v>0</v>
      </c>
      <c r="AC36" s="66" t="n">
        <v>0</v>
      </c>
      <c r="AD36" s="66" t="n">
        <v>0</v>
      </c>
      <c r="AE36" s="66" t="n">
        <v>0</v>
      </c>
      <c r="AF36" s="66" t="n">
        <v>0.2131660381089659</v>
      </c>
      <c r="AG36" s="66" t="n">
        <v>0</v>
      </c>
    </row>
    <row r="37">
      <c r="A37" s="127" t="inlineStr">
        <is>
          <t>2024 Q3</t>
        </is>
      </c>
      <c r="B37" s="66" t="n">
        <v>0</v>
      </c>
      <c r="C37" s="66" t="n">
        <v>-0.007085753654990867</v>
      </c>
      <c r="D37" s="66" t="n">
        <v>-0.002069065643041768</v>
      </c>
      <c r="E37" s="66" t="n">
        <v>-0.04520731741425266</v>
      </c>
      <c r="F37" s="66" t="n">
        <v>-0.02681054086264112</v>
      </c>
      <c r="G37" s="66" t="n">
        <v>-0.01763590615126986</v>
      </c>
      <c r="H37" s="66" t="n">
        <v>0.6545894658956115</v>
      </c>
      <c r="I37" s="66" t="n">
        <v>0.2054955355534389</v>
      </c>
      <c r="J37" s="66" t="n">
        <v>0</v>
      </c>
      <c r="K37" s="66" t="n">
        <v>-0.01105921820837352</v>
      </c>
      <c r="L37" s="66" t="n">
        <v>-0.1720357615253931</v>
      </c>
      <c r="M37" s="66" t="n">
        <v>0.01917462051179086</v>
      </c>
      <c r="N37" s="66" t="n">
        <v>0</v>
      </c>
      <c r="O37" s="66" t="n">
        <v>-0.06829528703610777</v>
      </c>
      <c r="P37" s="66" t="n">
        <v>0.00078035759045747</v>
      </c>
      <c r="Q37" s="66" t="n">
        <v>0</v>
      </c>
      <c r="R37" s="66" t="n">
        <v>0.8536263800275776</v>
      </c>
      <c r="S37" s="66" t="n">
        <v>0</v>
      </c>
      <c r="T37" s="66" t="n">
        <v>0</v>
      </c>
      <c r="U37" s="66" t="n">
        <v>0</v>
      </c>
      <c r="V37" s="66" t="n">
        <v>0</v>
      </c>
      <c r="W37" s="66" t="n">
        <v>0</v>
      </c>
      <c r="X37" s="66" t="n">
        <v>0</v>
      </c>
      <c r="Y37" s="66" t="n">
        <v>0</v>
      </c>
      <c r="Z37" s="66" t="n">
        <v>0</v>
      </c>
      <c r="AA37" s="66" t="n">
        <v>0</v>
      </c>
      <c r="AB37" s="66" t="n">
        <v>0</v>
      </c>
      <c r="AC37" s="66" t="n">
        <v>0</v>
      </c>
      <c r="AD37" s="66" t="n">
        <v>0</v>
      </c>
      <c r="AE37" s="66" t="n">
        <v>0</v>
      </c>
      <c r="AF37" s="66" t="n">
        <v>0.2103680875510179</v>
      </c>
      <c r="AG37" s="66" t="n">
        <v>0</v>
      </c>
    </row>
    <row r="38">
      <c r="A38" s="127" t="inlineStr">
        <is>
          <t>2024 Q4</t>
        </is>
      </c>
      <c r="B38" s="66" t="n">
        <v>0</v>
      </c>
      <c r="C38" s="66" t="n">
        <v>-0.003095276099031707</v>
      </c>
      <c r="D38" s="66" t="n">
        <v>0</v>
      </c>
      <c r="E38" s="66" t="n">
        <v>0</v>
      </c>
      <c r="F38" s="66" t="n">
        <v>-0.04051345012840102</v>
      </c>
      <c r="G38" s="66" t="n">
        <v>0</v>
      </c>
      <c r="H38" s="66" t="n">
        <v>1.686143940183172</v>
      </c>
      <c r="I38" s="66" t="n">
        <v>0</v>
      </c>
      <c r="J38" s="66" t="n">
        <v>0</v>
      </c>
      <c r="K38" s="66" t="n">
        <v>0.01191749579200518</v>
      </c>
      <c r="L38" s="66" t="n">
        <v>-0.1952459617212412</v>
      </c>
      <c r="M38" s="66" t="n">
        <v>0.003581133625289112</v>
      </c>
      <c r="N38" s="66" t="n">
        <v>0</v>
      </c>
      <c r="O38" s="66" t="n">
        <v>-0.03449563349508367</v>
      </c>
      <c r="P38" s="66" t="n">
        <v>-0.1050526540067835</v>
      </c>
      <c r="Q38" s="66" t="n">
        <v>0</v>
      </c>
      <c r="R38" s="66" t="n">
        <v>1.061995581359668</v>
      </c>
      <c r="S38" s="66" t="n">
        <v>0</v>
      </c>
      <c r="T38" s="66" t="n">
        <v>0</v>
      </c>
      <c r="U38" s="66" t="n">
        <v>0</v>
      </c>
      <c r="V38" s="66" t="n">
        <v>0</v>
      </c>
      <c r="W38" s="66" t="n">
        <v>0</v>
      </c>
      <c r="X38" s="66" t="n">
        <v>0</v>
      </c>
      <c r="Y38" s="66" t="n">
        <v>0</v>
      </c>
      <c r="Z38" s="66" t="n">
        <v>0</v>
      </c>
      <c r="AA38" s="66" t="n">
        <v>0</v>
      </c>
      <c r="AB38" s="66" t="n">
        <v>0</v>
      </c>
      <c r="AC38" s="66" t="n">
        <v>0</v>
      </c>
      <c r="AD38" s="66" t="n">
        <v>0</v>
      </c>
      <c r="AE38" s="66" t="n">
        <v>0</v>
      </c>
      <c r="AF38" s="66" t="n">
        <v>0.1362872709040062</v>
      </c>
      <c r="AG38" s="66" t="n">
        <v>0</v>
      </c>
    </row>
    <row r="39">
      <c r="A39" s="127" t="inlineStr">
        <is>
          <t>2025 Q1</t>
        </is>
      </c>
      <c r="B39" s="123" t="n">
        <v>0</v>
      </c>
      <c r="C39" s="123" t="n">
        <v>-0.001604281229305116</v>
      </c>
      <c r="D39" s="123" t="n">
        <v>0</v>
      </c>
      <c r="E39" s="123" t="n">
        <v>0</v>
      </c>
      <c r="F39" s="123" t="n">
        <v>-0.01329793131461088</v>
      </c>
      <c r="G39" s="123" t="n">
        <v>0</v>
      </c>
      <c r="H39" s="123" t="n">
        <v>1.702399316863534</v>
      </c>
      <c r="I39" s="123" t="n">
        <v>0</v>
      </c>
      <c r="J39" s="124" t="n">
        <v>0</v>
      </c>
      <c r="K39" s="123" t="n">
        <v>0.04928980093905011</v>
      </c>
      <c r="L39" s="123" t="n">
        <v>-0.2464885252311433</v>
      </c>
      <c r="M39" s="123" t="n">
        <v>0.008094805817336237</v>
      </c>
      <c r="N39" s="124" t="n">
        <v>0</v>
      </c>
      <c r="O39" s="123" t="n">
        <v>-0.0329023488130531</v>
      </c>
      <c r="P39" s="123" t="n">
        <v>-0.116800563910715</v>
      </c>
      <c r="Q39" s="123" t="n">
        <v>0</v>
      </c>
      <c r="R39" s="123" t="n">
        <v>1.252033970514276</v>
      </c>
      <c r="S39" s="123" t="n">
        <v>0</v>
      </c>
      <c r="T39" s="123" t="n">
        <v>0</v>
      </c>
      <c r="U39" s="123" t="n">
        <v>0</v>
      </c>
      <c r="V39" s="123" t="n">
        <v>0</v>
      </c>
      <c r="W39" s="123" t="n">
        <v>0</v>
      </c>
      <c r="X39" s="123" t="n">
        <v>0</v>
      </c>
      <c r="Y39" s="123" t="n">
        <v>0</v>
      </c>
      <c r="Z39" s="124" t="n">
        <v>0</v>
      </c>
      <c r="AA39" s="124" t="n">
        <v>0</v>
      </c>
      <c r="AB39" s="124" t="n">
        <v>0</v>
      </c>
      <c r="AC39" s="124" t="n">
        <v>0</v>
      </c>
      <c r="AD39" s="124" t="n">
        <v>0</v>
      </c>
      <c r="AE39" s="124" t="n">
        <v>0</v>
      </c>
      <c r="AF39" s="123" t="n">
        <v>-0.001465735244437383</v>
      </c>
      <c r="AG39" s="124" t="n">
        <v>0</v>
      </c>
    </row>
    <row r="40">
      <c r="B40" s="125" t="n">
        <v>0</v>
      </c>
      <c r="C40" s="125" t="n"/>
      <c r="D40" s="125" t="n"/>
      <c r="E40" s="125" t="n"/>
      <c r="F40" s="125" t="n"/>
      <c r="G40" s="125" t="n"/>
      <c r="H40" s="125" t="n"/>
      <c r="I40" s="125" t="n"/>
      <c r="J40" s="126" t="n"/>
      <c r="K40" s="125" t="n"/>
      <c r="L40" s="125" t="n"/>
      <c r="M40" s="125" t="n"/>
      <c r="N40" s="126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6" t="n"/>
      <c r="AA40" s="126" t="n"/>
      <c r="AB40" s="126" t="n"/>
      <c r="AC40" s="126" t="n"/>
      <c r="AD40" s="126" t="n"/>
      <c r="AE40" s="126" t="n"/>
      <c r="AF40" s="125" t="n"/>
      <c r="AG40" s="126" t="n"/>
    </row>
    <row r="41">
      <c r="B41" s="125" t="n">
        <v>0</v>
      </c>
      <c r="C41" s="125" t="n"/>
      <c r="D41" s="125" t="n"/>
      <c r="E41" s="125" t="n"/>
      <c r="F41" s="125" t="n"/>
      <c r="G41" s="125" t="n"/>
      <c r="H41" s="125" t="n"/>
      <c r="I41" s="125" t="n"/>
      <c r="J41" s="126" t="n"/>
      <c r="K41" s="125" t="n"/>
      <c r="L41" s="125" t="n"/>
      <c r="M41" s="125" t="n"/>
      <c r="N41" s="126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6" t="n"/>
      <c r="AA41" s="126" t="n"/>
      <c r="AB41" s="126" t="n"/>
      <c r="AC41" s="126" t="n"/>
      <c r="AD41" s="126" t="n"/>
      <c r="AE41" s="126" t="n"/>
      <c r="AF41" s="125" t="n"/>
      <c r="AG41" s="126" t="n"/>
    </row>
    <row r="42">
      <c r="B42" s="125" t="n">
        <v>0</v>
      </c>
      <c r="C42" s="125" t="n"/>
      <c r="D42" s="125" t="n"/>
      <c r="E42" s="125" t="n"/>
      <c r="F42" s="125" t="n"/>
      <c r="G42" s="125" t="n"/>
      <c r="H42" s="125" t="n"/>
      <c r="I42" s="125" t="n"/>
      <c r="J42" s="126" t="n"/>
      <c r="K42" s="125" t="n"/>
      <c r="L42" s="125" t="n"/>
      <c r="M42" s="125" t="n"/>
      <c r="N42" s="126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6" t="n"/>
      <c r="AA42" s="126" t="n"/>
      <c r="AB42" s="126" t="n"/>
      <c r="AC42" s="126" t="n"/>
      <c r="AD42" s="126" t="n"/>
      <c r="AE42" s="126" t="n"/>
      <c r="AF42" s="125" t="n"/>
      <c r="AG42" s="126" t="n"/>
    </row>
    <row r="43">
      <c r="B43" s="125" t="n">
        <v>0</v>
      </c>
      <c r="C43" s="125" t="n"/>
      <c r="D43" s="125" t="n"/>
      <c r="E43" s="125" t="n"/>
      <c r="F43" s="125" t="n"/>
      <c r="G43" s="125" t="n"/>
      <c r="H43" s="125" t="n"/>
      <c r="I43" s="125" t="n"/>
      <c r="J43" s="126" t="n"/>
      <c r="K43" s="125" t="n"/>
      <c r="L43" s="125" t="n"/>
      <c r="M43" s="125" t="n"/>
      <c r="N43" s="126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6" t="n"/>
      <c r="AA43" s="126" t="n"/>
      <c r="AB43" s="126" t="n"/>
      <c r="AC43" s="126" t="n"/>
      <c r="AD43" s="126" t="n"/>
      <c r="AE43" s="126" t="n"/>
      <c r="AF43" s="125" t="n"/>
      <c r="AG43" s="126" t="n"/>
    </row>
    <row r="44">
      <c r="B44" s="125" t="n">
        <v>0</v>
      </c>
      <c r="C44" s="125" t="n"/>
      <c r="D44" s="125" t="n"/>
      <c r="E44" s="125" t="n"/>
      <c r="F44" s="125" t="n"/>
      <c r="G44" s="125" t="n"/>
      <c r="H44" s="125" t="n"/>
      <c r="I44" s="125" t="n"/>
      <c r="J44" s="126" t="n"/>
      <c r="K44" s="125" t="n"/>
      <c r="L44" s="125" t="n"/>
      <c r="M44" s="125" t="n"/>
      <c r="N44" s="126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6" t="n"/>
      <c r="AA44" s="126" t="n"/>
      <c r="AB44" s="126" t="n"/>
      <c r="AC44" s="126" t="n"/>
      <c r="AD44" s="126" t="n"/>
      <c r="AE44" s="126" t="n"/>
      <c r="AF44" s="125" t="n"/>
      <c r="AG44" s="126" t="n"/>
    </row>
    <row r="45">
      <c r="B45" s="125" t="n">
        <v>0</v>
      </c>
      <c r="C45" s="125" t="n"/>
      <c r="D45" s="125" t="n"/>
      <c r="E45" s="125" t="n"/>
      <c r="F45" s="125" t="n"/>
      <c r="G45" s="125" t="n"/>
      <c r="H45" s="125" t="n"/>
      <c r="I45" s="125" t="n"/>
      <c r="J45" s="126" t="n"/>
      <c r="K45" s="125" t="n"/>
      <c r="L45" s="125" t="n"/>
      <c r="M45" s="125" t="n"/>
      <c r="N45" s="126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6" t="n"/>
      <c r="AA45" s="126" t="n"/>
      <c r="AB45" s="126" t="n"/>
      <c r="AC45" s="126" t="n"/>
      <c r="AD45" s="126" t="n"/>
      <c r="AE45" s="126" t="n"/>
      <c r="AF45" s="125" t="n"/>
      <c r="AG45" s="126" t="n"/>
    </row>
    <row r="46">
      <c r="A46" s="129" t="inlineStr">
        <is>
          <t>FRN</t>
        </is>
      </c>
      <c r="B46" t="n">
        <v>0</v>
      </c>
    </row>
    <row r="47" ht="45" customHeight="1" s="115">
      <c r="A47" s="128" t="inlineStr">
        <is>
          <t>Vintage</t>
        </is>
      </c>
      <c r="B47" s="123" t="n">
        <v>0</v>
      </c>
      <c r="C47" s="123" t="inlineStr">
        <is>
          <t>Previous ACA chargeoff</t>
        </is>
      </c>
      <c r="D47" s="123" t="inlineStr">
        <is>
          <t>Small amount financed</t>
        </is>
      </c>
      <c r="E47" s="123" t="inlineStr">
        <is>
          <t>Zero cash down</t>
        </is>
      </c>
      <c r="F47" s="123" t="inlineStr">
        <is>
          <t>High mileage vehicle</t>
        </is>
      </c>
      <c r="G47" s="123" t="inlineStr">
        <is>
          <t>High PTI</t>
        </is>
      </c>
      <c r="H47" s="123" t="inlineStr">
        <is>
          <t>Car make</t>
        </is>
      </c>
      <c r="I47" s="123" t="inlineStr">
        <is>
          <t>Theft risk</t>
        </is>
      </c>
      <c r="J47" s="124" t="inlineStr">
        <is>
          <t>MCY high model score, low mileage</t>
        </is>
      </c>
      <c r="K47" s="123" t="inlineStr">
        <is>
          <t>Weekday/weekend decision</t>
        </is>
      </c>
      <c r="L47" s="123" t="inlineStr">
        <is>
          <t>Secured credit (Chime, etc.)</t>
        </is>
      </c>
      <c r="M47" s="123" t="inlineStr">
        <is>
          <t>Employment type</t>
        </is>
      </c>
      <c r="N47" s="124" t="inlineStr">
        <is>
          <t>High cash down EchoPark</t>
        </is>
      </c>
      <c r="O47" s="123" t="inlineStr">
        <is>
          <t>Authorized tradelines</t>
        </is>
      </c>
      <c r="P47" s="123" t="inlineStr">
        <is>
          <t>Clip</t>
        </is>
      </c>
      <c r="Q47" s="123" t="inlineStr">
        <is>
          <t>Vehicle Age</t>
        </is>
      </c>
      <c r="R47" s="123" t="inlineStr">
        <is>
          <t>Dealer Level (Non-KMX)</t>
        </is>
      </c>
      <c r="S47" s="123" t="inlineStr">
        <is>
          <t>Mileage/age</t>
        </is>
      </c>
      <c r="T47" s="123" t="inlineStr">
        <is>
          <t>Japanese</t>
        </is>
      </c>
      <c r="U47" s="123" t="inlineStr">
        <is>
          <t>Vehicle class</t>
        </is>
      </c>
      <c r="V47" s="123" t="inlineStr">
        <is>
          <t>Fuel type</t>
        </is>
      </c>
      <c r="W47" s="123" t="inlineStr">
        <is>
          <t>Luxury classification</t>
        </is>
      </c>
      <c r="X47" s="123" t="inlineStr">
        <is>
          <t>LOB</t>
        </is>
      </c>
      <c r="Y47" s="123" t="inlineStr">
        <is>
          <t>Driver flag</t>
        </is>
      </c>
      <c r="Z47" s="124" t="inlineStr">
        <is>
          <t>Impound probability</t>
        </is>
      </c>
      <c r="AA47" s="124" t="inlineStr">
        <is>
          <t>Job time</t>
        </is>
      </c>
      <c r="AB47" s="124" t="inlineStr">
        <is>
          <t>Low FICO</t>
        </is>
      </c>
      <c r="AC47" s="124" t="inlineStr">
        <is>
          <t>Low Vantage</t>
        </is>
      </c>
      <c r="AD47" s="124" t="inlineStr">
        <is>
          <t>Louisiana</t>
        </is>
      </c>
      <c r="AE47" s="124" t="inlineStr">
        <is>
          <t>Existing DQ</t>
        </is>
      </c>
      <c r="AF47" s="123" t="inlineStr">
        <is>
          <t>Null FICO with Vantage</t>
        </is>
      </c>
      <c r="AG47" s="124" t="inlineStr">
        <is>
          <t>Soft Pull</t>
        </is>
      </c>
    </row>
    <row r="48">
      <c r="A48" s="127" t="inlineStr">
        <is>
          <t>2016 Q1</t>
        </is>
      </c>
      <c r="B48" s="66" t="n">
        <v>0</v>
      </c>
      <c r="C48" s="66" t="n">
        <v>-0.06648745233593445</v>
      </c>
      <c r="D48" s="66" t="n">
        <v>-0.01546845165324839</v>
      </c>
      <c r="E48" s="66" t="n">
        <v>-0.1453401582403586</v>
      </c>
      <c r="F48" s="66" t="n">
        <v>-0.6285997026683816</v>
      </c>
      <c r="G48" s="66" t="n">
        <v>-0.009334221184531089</v>
      </c>
      <c r="H48" s="66" t="n">
        <v>0.1752967796270326</v>
      </c>
      <c r="I48" s="66" t="n">
        <v>0.2582907590805803</v>
      </c>
      <c r="J48" s="99" t="n">
        <v>0</v>
      </c>
      <c r="K48" s="66" t="n">
        <v>-0.09979701150818698</v>
      </c>
      <c r="L48" s="66" t="n">
        <v>-0.5965788772313232</v>
      </c>
      <c r="M48" s="66" t="n">
        <v>0</v>
      </c>
      <c r="N48" s="99" t="n">
        <v>0</v>
      </c>
      <c r="O48" s="66" t="n">
        <v>-0.03808574048609614</v>
      </c>
      <c r="P48" s="66" t="n">
        <v>0.1995680623346487</v>
      </c>
      <c r="Q48" s="66" t="n">
        <v>0</v>
      </c>
      <c r="R48" s="66" t="n">
        <v>-0.9124248237687169</v>
      </c>
      <c r="S48" s="66" t="n">
        <v>0</v>
      </c>
      <c r="T48" s="66" t="n">
        <v>0</v>
      </c>
      <c r="U48" s="66" t="n">
        <v>0</v>
      </c>
      <c r="V48" s="66" t="n">
        <v>0</v>
      </c>
      <c r="W48" s="66" t="n">
        <v>0</v>
      </c>
      <c r="X48" s="66" t="n">
        <v>0</v>
      </c>
      <c r="Y48" s="66" t="n">
        <v>0</v>
      </c>
      <c r="Z48" s="99" t="n">
        <v>0</v>
      </c>
      <c r="AA48" s="99" t="n">
        <v>0</v>
      </c>
      <c r="AB48" s="99" t="n">
        <v>0</v>
      </c>
      <c r="AC48" s="99" t="n">
        <v>0</v>
      </c>
      <c r="AD48" s="99" t="n">
        <v>0</v>
      </c>
      <c r="AE48" s="99" t="n">
        <v>0</v>
      </c>
      <c r="AF48" s="66" t="n">
        <v>-0.07053453491508321</v>
      </c>
      <c r="AG48" s="99" t="n">
        <v>0</v>
      </c>
    </row>
    <row r="49">
      <c r="A49" s="127" t="inlineStr">
        <is>
          <t>2016 Q2</t>
        </is>
      </c>
      <c r="B49" s="66" t="n">
        <v>0</v>
      </c>
      <c r="C49" s="66" t="n">
        <v>-0.0215851748641569</v>
      </c>
      <c r="D49" s="66" t="n">
        <v>-0.0124539929097125</v>
      </c>
      <c r="E49" s="66" t="n">
        <v>-0.2192030735222943</v>
      </c>
      <c r="F49" s="66" t="n">
        <v>-0.594280886871303</v>
      </c>
      <c r="G49" s="66" t="n">
        <v>-0.008243927092820513</v>
      </c>
      <c r="H49" s="66" t="n">
        <v>0.1959739600052899</v>
      </c>
      <c r="I49" s="66" t="n">
        <v>0.2909585077976828</v>
      </c>
      <c r="J49" s="99" t="n">
        <v>0</v>
      </c>
      <c r="K49" s="66" t="n">
        <v>-0.1193298490728409</v>
      </c>
      <c r="L49" s="66" t="n">
        <v>0.05143235996956719</v>
      </c>
      <c r="M49" s="66" t="n">
        <v>0</v>
      </c>
      <c r="N49" s="99" t="n">
        <v>0</v>
      </c>
      <c r="O49" s="66" t="n">
        <v>-0.01049536339701262</v>
      </c>
      <c r="P49" s="66" t="n">
        <v>0.04169187327011059</v>
      </c>
      <c r="Q49" s="66" t="n">
        <v>0</v>
      </c>
      <c r="R49" s="66" t="n">
        <v>-0.7501529705935468</v>
      </c>
      <c r="S49" s="66" t="n">
        <v>0</v>
      </c>
      <c r="T49" s="66" t="n">
        <v>0</v>
      </c>
      <c r="U49" s="66" t="n">
        <v>0</v>
      </c>
      <c r="V49" s="66" t="n">
        <v>0</v>
      </c>
      <c r="W49" s="66" t="n">
        <v>0</v>
      </c>
      <c r="X49" s="66" t="n">
        <v>0</v>
      </c>
      <c r="Y49" s="66" t="n">
        <v>0</v>
      </c>
      <c r="Z49" s="99" t="n">
        <v>0</v>
      </c>
      <c r="AA49" s="99" t="n">
        <v>0</v>
      </c>
      <c r="AB49" s="99" t="n">
        <v>0</v>
      </c>
      <c r="AC49" s="99" t="n">
        <v>0</v>
      </c>
      <c r="AD49" s="99" t="n">
        <v>0</v>
      </c>
      <c r="AE49" s="99" t="n">
        <v>0</v>
      </c>
      <c r="AF49" s="66" t="n">
        <v>0.1483992748349294</v>
      </c>
      <c r="AG49" s="99" t="n">
        <v>0</v>
      </c>
    </row>
    <row r="50">
      <c r="A50" s="127" t="inlineStr">
        <is>
          <t>2016 Q3</t>
        </is>
      </c>
      <c r="B50" s="66" t="n">
        <v>0</v>
      </c>
      <c r="C50" s="66" t="n">
        <v>-0.0005773020516528504</v>
      </c>
      <c r="D50" s="66" t="n">
        <v>-0.01036494095913554</v>
      </c>
      <c r="E50" s="66" t="n">
        <v>-0.245189892936537</v>
      </c>
      <c r="F50" s="66" t="n">
        <v>-0.4953381379615962</v>
      </c>
      <c r="G50" s="66" t="n">
        <v>-0.01481253813972216</v>
      </c>
      <c r="H50" s="66" t="n">
        <v>0.1769990445005476</v>
      </c>
      <c r="I50" s="66" t="n">
        <v>0.291727564739233</v>
      </c>
      <c r="J50" s="99" t="n">
        <v>0</v>
      </c>
      <c r="K50" s="66" t="n">
        <v>-0.1073904246497932</v>
      </c>
      <c r="L50" s="66" t="n">
        <v>0.2472174613086793</v>
      </c>
      <c r="M50" s="66" t="n">
        <v>0</v>
      </c>
      <c r="N50" s="99" t="n">
        <v>0</v>
      </c>
      <c r="O50" s="66" t="n">
        <v>0</v>
      </c>
      <c r="P50" s="66" t="n">
        <v>0.002408234427747402</v>
      </c>
      <c r="Q50" s="66" t="n">
        <v>0</v>
      </c>
      <c r="R50" s="66" t="n">
        <v>-0.03025577605262697</v>
      </c>
      <c r="S50" s="66" t="n">
        <v>0</v>
      </c>
      <c r="T50" s="66" t="n">
        <v>0</v>
      </c>
      <c r="U50" s="66" t="n">
        <v>0</v>
      </c>
      <c r="V50" s="66" t="n">
        <v>0</v>
      </c>
      <c r="W50" s="66" t="n">
        <v>0</v>
      </c>
      <c r="X50" s="66" t="n">
        <v>0</v>
      </c>
      <c r="Y50" s="66" t="n">
        <v>0</v>
      </c>
      <c r="Z50" s="99" t="n">
        <v>0</v>
      </c>
      <c r="AA50" s="99" t="n">
        <v>0</v>
      </c>
      <c r="AB50" s="99" t="n">
        <v>0</v>
      </c>
      <c r="AC50" s="99" t="n">
        <v>0</v>
      </c>
      <c r="AD50" s="99" t="n">
        <v>0</v>
      </c>
      <c r="AE50" s="99" t="n">
        <v>0</v>
      </c>
      <c r="AF50" s="66" t="n">
        <v>0.2250298491440503</v>
      </c>
      <c r="AG50" s="99" t="n">
        <v>0</v>
      </c>
    </row>
    <row r="51">
      <c r="A51" s="127" t="inlineStr">
        <is>
          <t>2016 Q4</t>
        </is>
      </c>
      <c r="B51" s="66" t="n">
        <v>0</v>
      </c>
      <c r="C51" s="66" t="n">
        <v>-0.01365667435590012</v>
      </c>
      <c r="D51" s="66" t="n">
        <v>-0.01462645005790364</v>
      </c>
      <c r="E51" s="66" t="n">
        <v>-0.2288722886753192</v>
      </c>
      <c r="F51" s="66" t="n">
        <v>-0.4386630579814437</v>
      </c>
      <c r="G51" s="66" t="n">
        <v>-0.008518379352040029</v>
      </c>
      <c r="H51" s="66" t="n">
        <v>0.1608944595187154</v>
      </c>
      <c r="I51" s="66" t="n">
        <v>0.2876787737991719</v>
      </c>
      <c r="J51" s="99" t="n">
        <v>0</v>
      </c>
      <c r="K51" s="66" t="n">
        <v>-0.1079083641163834</v>
      </c>
      <c r="L51" s="66" t="n">
        <v>0.243492878941197</v>
      </c>
      <c r="M51" s="66" t="n">
        <v>0</v>
      </c>
      <c r="N51" s="99" t="n">
        <v>0</v>
      </c>
      <c r="O51" s="66" t="n">
        <v>-0.001150376641618323</v>
      </c>
      <c r="P51" s="66" t="n">
        <v>0.003371700151546975</v>
      </c>
      <c r="Q51" s="66" t="n">
        <v>0</v>
      </c>
      <c r="R51" s="66" t="n">
        <v>0.4209795402633745</v>
      </c>
      <c r="S51" s="66" t="n">
        <v>0</v>
      </c>
      <c r="T51" s="66" t="n">
        <v>0</v>
      </c>
      <c r="U51" s="66" t="n">
        <v>0</v>
      </c>
      <c r="V51" s="66" t="n">
        <v>0</v>
      </c>
      <c r="W51" s="66" t="n">
        <v>0</v>
      </c>
      <c r="X51" s="66" t="n">
        <v>0</v>
      </c>
      <c r="Y51" s="66" t="n">
        <v>0</v>
      </c>
      <c r="Z51" s="99" t="n">
        <v>0</v>
      </c>
      <c r="AA51" s="99" t="n">
        <v>0</v>
      </c>
      <c r="AB51" s="99" t="n">
        <v>0</v>
      </c>
      <c r="AC51" s="99" t="n">
        <v>0</v>
      </c>
      <c r="AD51" s="99" t="n">
        <v>0</v>
      </c>
      <c r="AE51" s="99" t="n">
        <v>0</v>
      </c>
      <c r="AF51" s="66" t="n">
        <v>0.2214668798377204</v>
      </c>
      <c r="AG51" s="99" t="n">
        <v>0</v>
      </c>
    </row>
    <row r="52">
      <c r="A52" s="127" t="inlineStr">
        <is>
          <t>2017 Q1</t>
        </is>
      </c>
      <c r="B52" s="66" t="n">
        <v>0</v>
      </c>
      <c r="C52" s="66" t="n">
        <v>-0.006086461764198248</v>
      </c>
      <c r="D52" s="66" t="n">
        <v>-0.03043773492100854</v>
      </c>
      <c r="E52" s="66" t="n">
        <v>-0.1280988466726569</v>
      </c>
      <c r="F52" s="66" t="n">
        <v>-0.3757467685954339</v>
      </c>
      <c r="G52" s="66" t="n">
        <v>-0.006927110694476823</v>
      </c>
      <c r="H52" s="66" t="n">
        <v>0.1874668685401844</v>
      </c>
      <c r="I52" s="66" t="n">
        <v>0.2931651092847574</v>
      </c>
      <c r="J52" s="99" t="n">
        <v>0</v>
      </c>
      <c r="K52" s="66" t="n">
        <v>-0.1195935707806086</v>
      </c>
      <c r="L52" s="66" t="n">
        <v>0.2481380920509366</v>
      </c>
      <c r="M52" s="66" t="n">
        <v>0</v>
      </c>
      <c r="N52" s="99" t="n">
        <v>0</v>
      </c>
      <c r="O52" s="66" t="n">
        <v>-0.01780677942764441</v>
      </c>
      <c r="P52" s="66" t="n">
        <v>0.005978263437555142</v>
      </c>
      <c r="Q52" s="66" t="n">
        <v>0</v>
      </c>
      <c r="R52" s="66" t="n">
        <v>-0.1921407781591995</v>
      </c>
      <c r="S52" s="66" t="n">
        <v>0</v>
      </c>
      <c r="T52" s="66" t="n">
        <v>0</v>
      </c>
      <c r="U52" s="66" t="n">
        <v>0</v>
      </c>
      <c r="V52" s="66" t="n">
        <v>0</v>
      </c>
      <c r="W52" s="66" t="n">
        <v>0</v>
      </c>
      <c r="X52" s="66" t="n">
        <v>0</v>
      </c>
      <c r="Y52" s="66" t="n">
        <v>0</v>
      </c>
      <c r="Z52" s="99" t="n">
        <v>0</v>
      </c>
      <c r="AA52" s="99" t="n">
        <v>0</v>
      </c>
      <c r="AB52" s="99" t="n">
        <v>0</v>
      </c>
      <c r="AC52" s="99" t="n">
        <v>0</v>
      </c>
      <c r="AD52" s="99" t="n">
        <v>0</v>
      </c>
      <c r="AE52" s="99" t="n">
        <v>0</v>
      </c>
      <c r="AF52" s="66" t="n">
        <v>0.2256928061874248</v>
      </c>
      <c r="AG52" s="99" t="n">
        <v>0</v>
      </c>
    </row>
    <row r="53">
      <c r="A53" s="127" t="inlineStr">
        <is>
          <t>2017 Q2</t>
        </is>
      </c>
      <c r="B53" s="66" t="n">
        <v>0</v>
      </c>
      <c r="C53" s="66" t="n">
        <v>-0.009676587849867246</v>
      </c>
      <c r="D53" s="66" t="n">
        <v>-0.03730141695174893</v>
      </c>
      <c r="E53" s="66" t="n">
        <v>-0.1266607405088962</v>
      </c>
      <c r="F53" s="66" t="n">
        <v>-0.3323577045530044</v>
      </c>
      <c r="G53" s="66" t="n">
        <v>0</v>
      </c>
      <c r="H53" s="66" t="n">
        <v>0.2265293513938786</v>
      </c>
      <c r="I53" s="66" t="n">
        <v>0.2925078866699664</v>
      </c>
      <c r="J53" s="99" t="n">
        <v>0</v>
      </c>
      <c r="K53" s="66" t="n">
        <v>-0.1188895371562069</v>
      </c>
      <c r="L53" s="66" t="n">
        <v>0.24759800409592</v>
      </c>
      <c r="M53" s="66" t="n">
        <v>0</v>
      </c>
      <c r="N53" s="99" t="n">
        <v>0</v>
      </c>
      <c r="O53" s="66" t="n">
        <v>-0.005509964835169967</v>
      </c>
      <c r="P53" s="66" t="n">
        <v>0.001274195187193072</v>
      </c>
      <c r="Q53" s="66" t="n">
        <v>0</v>
      </c>
      <c r="R53" s="66" t="n">
        <v>-0.2261258999101017</v>
      </c>
      <c r="S53" s="66" t="n">
        <v>0</v>
      </c>
      <c r="T53" s="66" t="n">
        <v>0</v>
      </c>
      <c r="U53" s="66" t="n">
        <v>0</v>
      </c>
      <c r="V53" s="66" t="n">
        <v>0</v>
      </c>
      <c r="W53" s="66" t="n">
        <v>0</v>
      </c>
      <c r="X53" s="66" t="n">
        <v>0</v>
      </c>
      <c r="Y53" s="66" t="n">
        <v>0</v>
      </c>
      <c r="Z53" s="99" t="n">
        <v>0</v>
      </c>
      <c r="AA53" s="99" t="n">
        <v>0</v>
      </c>
      <c r="AB53" s="99" t="n">
        <v>0</v>
      </c>
      <c r="AC53" s="99" t="n">
        <v>0</v>
      </c>
      <c r="AD53" s="99" t="n">
        <v>0</v>
      </c>
      <c r="AE53" s="99" t="n">
        <v>0</v>
      </c>
      <c r="AF53" s="66" t="n">
        <v>0.2252111080855173</v>
      </c>
      <c r="AG53" s="99" t="n">
        <v>0</v>
      </c>
    </row>
    <row r="54">
      <c r="A54" s="127" t="inlineStr">
        <is>
          <t>2017 Q3</t>
        </is>
      </c>
      <c r="B54" s="66" t="n">
        <v>0</v>
      </c>
      <c r="C54" s="66" t="n">
        <v>-0.02090550054734308</v>
      </c>
      <c r="D54" s="66" t="n">
        <v>-0.04821614216635339</v>
      </c>
      <c r="E54" s="66" t="n">
        <v>-0.1436586890072533</v>
      </c>
      <c r="F54" s="66" t="n">
        <v>-0.309999713293081</v>
      </c>
      <c r="G54" s="66" t="n">
        <v>0</v>
      </c>
      <c r="H54" s="66" t="n">
        <v>0.1709500871210423</v>
      </c>
      <c r="I54" s="66" t="n">
        <v>0.2936192440526497</v>
      </c>
      <c r="J54" s="99" t="n">
        <v>0</v>
      </c>
      <c r="K54" s="66" t="n">
        <v>-0.121558187063215</v>
      </c>
      <c r="L54" s="66" t="n">
        <v>0.2485118964326603</v>
      </c>
      <c r="M54" s="66" t="n">
        <v>0</v>
      </c>
      <c r="N54" s="99" t="n">
        <v>0</v>
      </c>
      <c r="O54" s="66" t="n">
        <v>-0.008327121905836066</v>
      </c>
      <c r="P54" s="66" t="n">
        <v>0.001497764830048709</v>
      </c>
      <c r="Q54" s="66" t="n">
        <v>0</v>
      </c>
      <c r="R54" s="66" t="n">
        <v>-0.1875536549209755</v>
      </c>
      <c r="S54" s="66" t="n">
        <v>0</v>
      </c>
      <c r="T54" s="66" t="n">
        <v>0</v>
      </c>
      <c r="U54" s="66" t="n">
        <v>0</v>
      </c>
      <c r="V54" s="66" t="n">
        <v>0</v>
      </c>
      <c r="W54" s="66" t="n">
        <v>0</v>
      </c>
      <c r="X54" s="66" t="n">
        <v>0</v>
      </c>
      <c r="Y54" s="66" t="n">
        <v>0</v>
      </c>
      <c r="Z54" s="99" t="n">
        <v>0</v>
      </c>
      <c r="AA54" s="99" t="n">
        <v>0</v>
      </c>
      <c r="AB54" s="99" t="n">
        <v>0</v>
      </c>
      <c r="AC54" s="99" t="n">
        <v>0</v>
      </c>
      <c r="AD54" s="99" t="n">
        <v>0</v>
      </c>
      <c r="AE54" s="99" t="n">
        <v>0</v>
      </c>
      <c r="AF54" s="66" t="n">
        <v>0.226026567088752</v>
      </c>
      <c r="AG54" s="99" t="n">
        <v>0</v>
      </c>
    </row>
    <row r="55">
      <c r="A55" s="127" t="inlineStr">
        <is>
          <t>2017 Q4</t>
        </is>
      </c>
      <c r="B55" s="66" t="n">
        <v>0</v>
      </c>
      <c r="C55" s="66" t="n">
        <v>-0.01100945823705501</v>
      </c>
      <c r="D55" s="66" t="n">
        <v>-0.06238653845684894</v>
      </c>
      <c r="E55" s="66" t="n">
        <v>-0.1564332554453642</v>
      </c>
      <c r="F55" s="66" t="n">
        <v>-0.2798487615890792</v>
      </c>
      <c r="G55" s="66" t="n">
        <v>-0.009411441477794824</v>
      </c>
      <c r="H55" s="66" t="n">
        <v>0.1583404586100983</v>
      </c>
      <c r="I55" s="66" t="n">
        <v>0.2935489983185278</v>
      </c>
      <c r="J55" s="99" t="n">
        <v>0</v>
      </c>
      <c r="K55" s="66" t="n">
        <v>-0.1237705740041122</v>
      </c>
      <c r="L55" s="66" t="n">
        <v>0.2479756532731301</v>
      </c>
      <c r="M55" s="66" t="n">
        <v>0</v>
      </c>
      <c r="N55" s="99" t="n">
        <v>0</v>
      </c>
      <c r="O55" s="66" t="n">
        <v>-0.01487224832786183</v>
      </c>
      <c r="P55" s="66" t="n">
        <v>0.006985952920103955</v>
      </c>
      <c r="Q55" s="66" t="n">
        <v>0</v>
      </c>
      <c r="R55" s="66" t="n">
        <v>0.03254854320309164</v>
      </c>
      <c r="S55" s="66" t="n">
        <v>0</v>
      </c>
      <c r="T55" s="66" t="n">
        <v>0</v>
      </c>
      <c r="U55" s="66" t="n">
        <v>0</v>
      </c>
      <c r="V55" s="66" t="n">
        <v>0</v>
      </c>
      <c r="W55" s="66" t="n">
        <v>0</v>
      </c>
      <c r="X55" s="66" t="n">
        <v>0</v>
      </c>
      <c r="Y55" s="66" t="n">
        <v>0</v>
      </c>
      <c r="Z55" s="99" t="n">
        <v>0</v>
      </c>
      <c r="AA55" s="99" t="n">
        <v>0</v>
      </c>
      <c r="AB55" s="99" t="n">
        <v>0</v>
      </c>
      <c r="AC55" s="99" t="n">
        <v>0</v>
      </c>
      <c r="AD55" s="99" t="n">
        <v>0</v>
      </c>
      <c r="AE55" s="99" t="n">
        <v>0</v>
      </c>
      <c r="AF55" s="66" t="n">
        <v>0.2252580312732277</v>
      </c>
      <c r="AG55" s="99" t="n">
        <v>0</v>
      </c>
    </row>
    <row r="56">
      <c r="A56" s="127" t="inlineStr">
        <is>
          <t>2018 Q1</t>
        </is>
      </c>
      <c r="B56" s="66" t="n">
        <v>0</v>
      </c>
      <c r="C56" s="66" t="n">
        <v>-0.003711240452446418</v>
      </c>
      <c r="D56" s="66" t="n">
        <v>-0.06297942315728733</v>
      </c>
      <c r="E56" s="66" t="n">
        <v>-0.1029087797768113</v>
      </c>
      <c r="F56" s="66" t="n">
        <v>-0.3356416111411988</v>
      </c>
      <c r="G56" s="66" t="n">
        <v>-0.008165673657998695</v>
      </c>
      <c r="H56" s="66" t="n">
        <v>0.1770770943044226</v>
      </c>
      <c r="I56" s="66" t="n">
        <v>0.2951447252971491</v>
      </c>
      <c r="J56" s="99" t="n">
        <v>0</v>
      </c>
      <c r="K56" s="66" t="n">
        <v>-0.1053758231802533</v>
      </c>
      <c r="L56" s="66" t="n">
        <v>0.2497670356619324</v>
      </c>
      <c r="M56" s="66" t="n">
        <v>0</v>
      </c>
      <c r="N56" s="99" t="n">
        <v>0</v>
      </c>
      <c r="O56" s="66" t="n">
        <v>-0.008856025723218863</v>
      </c>
      <c r="P56" s="66" t="n">
        <v>0.001602216150786262</v>
      </c>
      <c r="Q56" s="66" t="n">
        <v>0</v>
      </c>
      <c r="R56" s="66" t="n">
        <v>-0.3275867316148151</v>
      </c>
      <c r="S56" s="66" t="n">
        <v>0</v>
      </c>
      <c r="T56" s="66" t="n">
        <v>0</v>
      </c>
      <c r="U56" s="66" t="n">
        <v>0</v>
      </c>
      <c r="V56" s="66" t="n">
        <v>0</v>
      </c>
      <c r="W56" s="66" t="n">
        <v>0</v>
      </c>
      <c r="X56" s="66" t="n">
        <v>0</v>
      </c>
      <c r="Y56" s="66" t="n">
        <v>0</v>
      </c>
      <c r="Z56" s="99" t="n">
        <v>0</v>
      </c>
      <c r="AA56" s="99" t="n">
        <v>0</v>
      </c>
      <c r="AB56" s="99" t="n">
        <v>0</v>
      </c>
      <c r="AC56" s="99" t="n">
        <v>0</v>
      </c>
      <c r="AD56" s="99" t="n">
        <v>0</v>
      </c>
      <c r="AE56" s="99" t="n">
        <v>0</v>
      </c>
      <c r="AF56" s="66" t="n">
        <v>0.2271469449195536</v>
      </c>
      <c r="AG56" s="99" t="n">
        <v>0</v>
      </c>
    </row>
    <row r="57">
      <c r="A57" s="127" t="inlineStr">
        <is>
          <t>2018 Q2</t>
        </is>
      </c>
      <c r="B57" s="66" t="n">
        <v>0</v>
      </c>
      <c r="C57" s="66" t="n">
        <v>-0.01904079480013365</v>
      </c>
      <c r="D57" s="66" t="n">
        <v>-0.04893175677884187</v>
      </c>
      <c r="E57" s="66" t="n">
        <v>-0.1363773369177466</v>
      </c>
      <c r="F57" s="66" t="n">
        <v>-0.3790048294069663</v>
      </c>
      <c r="G57" s="66" t="n">
        <v>0</v>
      </c>
      <c r="H57" s="66" t="n">
        <v>0.1534334230437935</v>
      </c>
      <c r="I57" s="66" t="n">
        <v>0.2970981576056602</v>
      </c>
      <c r="J57" s="99" t="n">
        <v>0</v>
      </c>
      <c r="K57" s="66" t="n">
        <v>-0.1436222463068475</v>
      </c>
      <c r="L57" s="66" t="n">
        <v>0.2516608879726334</v>
      </c>
      <c r="M57" s="66" t="n">
        <v>0</v>
      </c>
      <c r="N57" s="99" t="n">
        <v>0</v>
      </c>
      <c r="O57" s="66" t="n">
        <v>-0.01896618952730478</v>
      </c>
      <c r="P57" s="66" t="n">
        <v>0.008489045726292943</v>
      </c>
      <c r="Q57" s="66" t="n">
        <v>0</v>
      </c>
      <c r="R57" s="66" t="n">
        <v>-0.5518317254960436</v>
      </c>
      <c r="S57" s="66" t="n">
        <v>0</v>
      </c>
      <c r="T57" s="66" t="n">
        <v>0</v>
      </c>
      <c r="U57" s="66" t="n">
        <v>0</v>
      </c>
      <c r="V57" s="66" t="n">
        <v>0</v>
      </c>
      <c r="W57" s="66" t="n">
        <v>0</v>
      </c>
      <c r="X57" s="66" t="n">
        <v>0</v>
      </c>
      <c r="Y57" s="66" t="n">
        <v>0</v>
      </c>
      <c r="Z57" s="99" t="n">
        <v>0</v>
      </c>
      <c r="AA57" s="99" t="n">
        <v>0</v>
      </c>
      <c r="AB57" s="99" t="n">
        <v>0</v>
      </c>
      <c r="AC57" s="99" t="n">
        <v>0</v>
      </c>
      <c r="AD57" s="99" t="n">
        <v>0</v>
      </c>
      <c r="AE57" s="99" t="n">
        <v>0</v>
      </c>
      <c r="AF57" s="66" t="n">
        <v>0.2290110975040704</v>
      </c>
      <c r="AG57" s="99" t="n">
        <v>0</v>
      </c>
    </row>
    <row r="58">
      <c r="A58" s="127" t="inlineStr">
        <is>
          <t>2018 Q3</t>
        </is>
      </c>
      <c r="B58" s="66" t="n">
        <v>0</v>
      </c>
      <c r="C58" s="66" t="n">
        <v>-0.02165724156608917</v>
      </c>
      <c r="D58" s="66" t="n">
        <v>-0.05587462261183873</v>
      </c>
      <c r="E58" s="66" t="n">
        <v>-0.1308665903161739</v>
      </c>
      <c r="F58" s="66" t="n">
        <v>-0.3883431585460073</v>
      </c>
      <c r="G58" s="66" t="n">
        <v>0</v>
      </c>
      <c r="H58" s="66" t="n">
        <v>0.1318984718568572</v>
      </c>
      <c r="I58" s="66" t="n">
        <v>0.2972711279476243</v>
      </c>
      <c r="J58" s="99" t="n">
        <v>0</v>
      </c>
      <c r="K58" s="66" t="n">
        <v>-0.09178859626896951</v>
      </c>
      <c r="L58" s="66" t="n">
        <v>0.2515900320639446</v>
      </c>
      <c r="M58" s="66" t="n">
        <v>0</v>
      </c>
      <c r="N58" s="99" t="n">
        <v>0</v>
      </c>
      <c r="O58" s="66" t="n">
        <v>-0.00329750875275181</v>
      </c>
      <c r="P58" s="66" t="n">
        <v>0.009973225059837887</v>
      </c>
      <c r="Q58" s="66" t="n">
        <v>0</v>
      </c>
      <c r="R58" s="66" t="n">
        <v>-0.4608393727966131</v>
      </c>
      <c r="S58" s="66" t="n">
        <v>0</v>
      </c>
      <c r="T58" s="66" t="n">
        <v>0</v>
      </c>
      <c r="U58" s="66" t="n">
        <v>0</v>
      </c>
      <c r="V58" s="66" t="n">
        <v>0</v>
      </c>
      <c r="W58" s="66" t="n">
        <v>0</v>
      </c>
      <c r="X58" s="66" t="n">
        <v>0</v>
      </c>
      <c r="Y58" s="66" t="n">
        <v>0</v>
      </c>
      <c r="Z58" s="99" t="n">
        <v>0</v>
      </c>
      <c r="AA58" s="99" t="n">
        <v>0</v>
      </c>
      <c r="AB58" s="99" t="n">
        <v>0</v>
      </c>
      <c r="AC58" s="99" t="n">
        <v>0</v>
      </c>
      <c r="AD58" s="99" t="n">
        <v>0</v>
      </c>
      <c r="AE58" s="99" t="n">
        <v>0</v>
      </c>
      <c r="AF58" s="66" t="n">
        <v>0.2288186979037619</v>
      </c>
      <c r="AG58" s="99" t="n">
        <v>0</v>
      </c>
    </row>
    <row r="59">
      <c r="A59" s="127" t="inlineStr">
        <is>
          <t>2018 Q4</t>
        </is>
      </c>
      <c r="B59" s="66" t="n">
        <v>0</v>
      </c>
      <c r="C59" s="66" t="n">
        <v>-0.01511967725929253</v>
      </c>
      <c r="D59" s="66" t="n">
        <v>-0.05164351078769869</v>
      </c>
      <c r="E59" s="66" t="n">
        <v>-0.1899589905711139</v>
      </c>
      <c r="F59" s="66" t="n">
        <v>-0.4322656992459599</v>
      </c>
      <c r="G59" s="66" t="n">
        <v>-0.006836592344740211</v>
      </c>
      <c r="H59" s="66" t="n">
        <v>0.1887990147590699</v>
      </c>
      <c r="I59" s="66" t="n">
        <v>0.2980388099644813</v>
      </c>
      <c r="J59" s="99" t="n">
        <v>0</v>
      </c>
      <c r="K59" s="66" t="n">
        <v>-0.09572305524639546</v>
      </c>
      <c r="L59" s="66" t="n">
        <v>0.2522507717828546</v>
      </c>
      <c r="M59" s="66" t="n">
        <v>0</v>
      </c>
      <c r="N59" s="99" t="n">
        <v>0</v>
      </c>
      <c r="O59" s="66" t="n">
        <v>-0.04109150408206119</v>
      </c>
      <c r="P59" s="66" t="n">
        <v>0.01504095387119264</v>
      </c>
      <c r="Q59" s="66" t="n">
        <v>0</v>
      </c>
      <c r="R59" s="66" t="n">
        <v>-0.4988960660005262</v>
      </c>
      <c r="S59" s="66" t="n">
        <v>0</v>
      </c>
      <c r="T59" s="66" t="n">
        <v>0</v>
      </c>
      <c r="U59" s="66" t="n">
        <v>0</v>
      </c>
      <c r="V59" s="66" t="n">
        <v>0</v>
      </c>
      <c r="W59" s="66" t="n">
        <v>0</v>
      </c>
      <c r="X59" s="66" t="n">
        <v>0</v>
      </c>
      <c r="Y59" s="66" t="n">
        <v>0</v>
      </c>
      <c r="Z59" s="99" t="n">
        <v>0</v>
      </c>
      <c r="AA59" s="99" t="n">
        <v>0</v>
      </c>
      <c r="AB59" s="99" t="n">
        <v>0</v>
      </c>
      <c r="AC59" s="99" t="n">
        <v>0</v>
      </c>
      <c r="AD59" s="99" t="n">
        <v>0</v>
      </c>
      <c r="AE59" s="99" t="n">
        <v>0</v>
      </c>
      <c r="AF59" s="66" t="n">
        <v>0.2294261285074697</v>
      </c>
      <c r="AG59" s="99" t="n">
        <v>0</v>
      </c>
    </row>
    <row r="60">
      <c r="A60" s="127" t="inlineStr">
        <is>
          <t>2019 Q1</t>
        </is>
      </c>
      <c r="B60" s="66" t="n">
        <v>0</v>
      </c>
      <c r="C60" s="66" t="n">
        <v>-0.0159753494060908</v>
      </c>
      <c r="D60" s="66" t="n">
        <v>-0.04484817325140966</v>
      </c>
      <c r="E60" s="66" t="n">
        <v>-0.08212666347196773</v>
      </c>
      <c r="F60" s="66" t="n">
        <v>-0.4684787908392138</v>
      </c>
      <c r="G60" s="66" t="n">
        <v>-0.008818696226001066</v>
      </c>
      <c r="H60" s="66" t="n">
        <v>0.1987154155417841</v>
      </c>
      <c r="I60" s="66" t="n">
        <v>0.3022352523668417</v>
      </c>
      <c r="J60" s="99" t="n">
        <v>0</v>
      </c>
      <c r="K60" s="66" t="n">
        <v>-0.1233058953789339</v>
      </c>
      <c r="L60" s="66" t="n">
        <v>0.255697629943171</v>
      </c>
      <c r="M60" s="66" t="n">
        <v>0</v>
      </c>
      <c r="N60" s="99" t="n">
        <v>0</v>
      </c>
      <c r="O60" s="66" t="n">
        <v>-0.06587849796852652</v>
      </c>
      <c r="P60" s="66" t="n">
        <v>0.0007919808649319293</v>
      </c>
      <c r="Q60" s="66" t="n">
        <v>0</v>
      </c>
      <c r="R60" s="66" t="n">
        <v>-0.6750552970731292</v>
      </c>
      <c r="S60" s="66" t="n">
        <v>0</v>
      </c>
      <c r="T60" s="66" t="n">
        <v>0</v>
      </c>
      <c r="U60" s="66" t="n">
        <v>0</v>
      </c>
      <c r="V60" s="66" t="n">
        <v>0</v>
      </c>
      <c r="W60" s="66" t="n">
        <v>0</v>
      </c>
      <c r="X60" s="66" t="n">
        <v>0</v>
      </c>
      <c r="Y60" s="66" t="n">
        <v>0</v>
      </c>
      <c r="Z60" s="99" t="n">
        <v>0</v>
      </c>
      <c r="AA60" s="99" t="n">
        <v>0</v>
      </c>
      <c r="AB60" s="99" t="n">
        <v>0</v>
      </c>
      <c r="AC60" s="99" t="n">
        <v>0</v>
      </c>
      <c r="AD60" s="99" t="n">
        <v>0</v>
      </c>
      <c r="AE60" s="99" t="n">
        <v>0</v>
      </c>
      <c r="AF60" s="66" t="n">
        <v>0.2324993302804899</v>
      </c>
      <c r="AG60" s="99" t="n">
        <v>0</v>
      </c>
    </row>
    <row r="61">
      <c r="A61" s="127" t="inlineStr">
        <is>
          <t>2019 Q2</t>
        </is>
      </c>
      <c r="B61" s="66" t="n">
        <v>0</v>
      </c>
      <c r="C61" s="66" t="n">
        <v>-0.01030009974661539</v>
      </c>
      <c r="D61" s="66" t="n">
        <v>-0.03865113405203147</v>
      </c>
      <c r="E61" s="66" t="n">
        <v>-0.1195232807203297</v>
      </c>
      <c r="F61" s="66" t="n">
        <v>-0.4705349981232416</v>
      </c>
      <c r="G61" s="66" t="n">
        <v>-0.01288503875457536</v>
      </c>
      <c r="H61" s="66" t="n">
        <v>0.1140934954154886</v>
      </c>
      <c r="I61" s="66" t="n">
        <v>0.2957695799094608</v>
      </c>
      <c r="J61" s="99" t="n">
        <v>0</v>
      </c>
      <c r="K61" s="66" t="n">
        <v>-0.1779849274680316</v>
      </c>
      <c r="L61" s="66" t="n">
        <v>0.250588569251164</v>
      </c>
      <c r="M61" s="66" t="n">
        <v>0</v>
      </c>
      <c r="N61" s="99" t="n">
        <v>0</v>
      </c>
      <c r="O61" s="66" t="n">
        <v>-0.008969567920161126</v>
      </c>
      <c r="P61" s="66" t="n">
        <v>0.01490751935281764</v>
      </c>
      <c r="Q61" s="66" t="n">
        <v>0</v>
      </c>
      <c r="R61" s="66" t="n">
        <v>-0.4011503835958479</v>
      </c>
      <c r="S61" s="66" t="n">
        <v>0</v>
      </c>
      <c r="T61" s="66" t="n">
        <v>0</v>
      </c>
      <c r="U61" s="66" t="n">
        <v>0</v>
      </c>
      <c r="V61" s="66" t="n">
        <v>0</v>
      </c>
      <c r="W61" s="66" t="n">
        <v>0</v>
      </c>
      <c r="X61" s="66" t="n">
        <v>0</v>
      </c>
      <c r="Y61" s="66" t="n">
        <v>0</v>
      </c>
      <c r="Z61" s="99" t="n">
        <v>0</v>
      </c>
      <c r="AA61" s="99" t="n">
        <v>0</v>
      </c>
      <c r="AB61" s="99" t="n">
        <v>0</v>
      </c>
      <c r="AC61" s="99" t="n">
        <v>0</v>
      </c>
      <c r="AD61" s="99" t="n">
        <v>0</v>
      </c>
      <c r="AE61" s="99" t="n">
        <v>0</v>
      </c>
      <c r="AF61" s="66" t="n">
        <v>0.2280665199987766</v>
      </c>
      <c r="AG61" s="99" t="n">
        <v>0</v>
      </c>
    </row>
    <row r="62">
      <c r="A62" s="127" t="inlineStr">
        <is>
          <t>2019 Q3</t>
        </is>
      </c>
      <c r="B62" s="66" t="n">
        <v>0</v>
      </c>
      <c r="C62" s="66" t="n">
        <v>-0.005120243083354126</v>
      </c>
      <c r="D62" s="66" t="n">
        <v>-0.02374433415249655</v>
      </c>
      <c r="E62" s="66" t="n">
        <v>-0.126917098575035</v>
      </c>
      <c r="F62" s="66" t="n">
        <v>-0.4553532100617304</v>
      </c>
      <c r="G62" s="66" t="n">
        <v>0</v>
      </c>
      <c r="H62" s="66" t="n">
        <v>0.1499070734767258</v>
      </c>
      <c r="I62" s="66" t="n">
        <v>0.2951169389039023</v>
      </c>
      <c r="J62" s="99" t="n">
        <v>0</v>
      </c>
      <c r="K62" s="66" t="n">
        <v>-0.1317013547034094</v>
      </c>
      <c r="L62" s="66" t="n">
        <v>0.2498670721660403</v>
      </c>
      <c r="M62" s="66" t="n">
        <v>0</v>
      </c>
      <c r="N62" s="99" t="n">
        <v>0</v>
      </c>
      <c r="O62" s="66" t="n">
        <v>-0.03436238986111562</v>
      </c>
      <c r="P62" s="66" t="n">
        <v>0.004813429819165549</v>
      </c>
      <c r="Q62" s="66" t="n">
        <v>0</v>
      </c>
      <c r="R62" s="66" t="n">
        <v>-0.2395056552750532</v>
      </c>
      <c r="S62" s="66" t="n">
        <v>0</v>
      </c>
      <c r="T62" s="66" t="n">
        <v>0</v>
      </c>
      <c r="U62" s="66" t="n">
        <v>0</v>
      </c>
      <c r="V62" s="66" t="n">
        <v>0</v>
      </c>
      <c r="W62" s="66" t="n">
        <v>0</v>
      </c>
      <c r="X62" s="66" t="n">
        <v>0</v>
      </c>
      <c r="Y62" s="66" t="n">
        <v>0</v>
      </c>
      <c r="Z62" s="99" t="n">
        <v>0</v>
      </c>
      <c r="AA62" s="99" t="n">
        <v>0</v>
      </c>
      <c r="AB62" s="99" t="n">
        <v>0</v>
      </c>
      <c r="AC62" s="99" t="n">
        <v>0</v>
      </c>
      <c r="AD62" s="99" t="n">
        <v>0</v>
      </c>
      <c r="AE62" s="99" t="n">
        <v>0</v>
      </c>
      <c r="AF62" s="66" t="n">
        <v>0.2273106992012401</v>
      </c>
      <c r="AG62" s="99" t="n">
        <v>0</v>
      </c>
    </row>
    <row r="63">
      <c r="A63" s="127" t="inlineStr">
        <is>
          <t>2019 Q4</t>
        </is>
      </c>
      <c r="B63" s="66" t="n">
        <v>0</v>
      </c>
      <c r="C63" s="66" t="n">
        <v>-0.009200120947809864</v>
      </c>
      <c r="D63" s="66" t="n">
        <v>-0.01289287020205165</v>
      </c>
      <c r="E63" s="66" t="n">
        <v>-0.1968825391575422</v>
      </c>
      <c r="F63" s="66" t="n">
        <v>-0.4305938984978752</v>
      </c>
      <c r="G63" s="66" t="n">
        <v>-0.02067810414837368</v>
      </c>
      <c r="H63" s="66" t="n">
        <v>0.1534199596420933</v>
      </c>
      <c r="I63" s="66" t="n">
        <v>0.295879481797698</v>
      </c>
      <c r="J63" s="99" t="n">
        <v>0</v>
      </c>
      <c r="K63" s="66" t="n">
        <v>-0.07321302145720665</v>
      </c>
      <c r="L63" s="66" t="n">
        <v>0.2505310754553705</v>
      </c>
      <c r="M63" s="66" t="n">
        <v>0</v>
      </c>
      <c r="N63" s="99" t="n">
        <v>0</v>
      </c>
      <c r="O63" s="66" t="n">
        <v>-0.01383341025703544</v>
      </c>
      <c r="P63" s="66" t="n">
        <v>0.008370828309551825</v>
      </c>
      <c r="Q63" s="66" t="n">
        <v>0</v>
      </c>
      <c r="R63" s="66" t="n">
        <v>-0.3651953869702993</v>
      </c>
      <c r="S63" s="66" t="n">
        <v>0</v>
      </c>
      <c r="T63" s="66" t="n">
        <v>0</v>
      </c>
      <c r="U63" s="66" t="n">
        <v>0</v>
      </c>
      <c r="V63" s="66" t="n">
        <v>0</v>
      </c>
      <c r="W63" s="66" t="n">
        <v>0</v>
      </c>
      <c r="X63" s="66" t="n">
        <v>0</v>
      </c>
      <c r="Y63" s="66" t="n">
        <v>0</v>
      </c>
      <c r="Z63" s="99" t="n">
        <v>0</v>
      </c>
      <c r="AA63" s="99" t="n">
        <v>0</v>
      </c>
      <c r="AB63" s="99" t="n">
        <v>0</v>
      </c>
      <c r="AC63" s="99" t="n">
        <v>0</v>
      </c>
      <c r="AD63" s="99" t="n">
        <v>0</v>
      </c>
      <c r="AE63" s="99" t="n">
        <v>0</v>
      </c>
      <c r="AF63" s="66" t="n">
        <v>0.227925581990803</v>
      </c>
      <c r="AG63" s="99" t="n">
        <v>0</v>
      </c>
    </row>
    <row r="64">
      <c r="A64" s="127" t="inlineStr">
        <is>
          <t>2020 Q1</t>
        </is>
      </c>
      <c r="B64" s="66" t="n">
        <v>0</v>
      </c>
      <c r="C64" s="66" t="n">
        <v>-0.004809666463131634</v>
      </c>
      <c r="D64" s="66" t="n">
        <v>-0.00949397595627488</v>
      </c>
      <c r="E64" s="66" t="n">
        <v>-0.1118668763443225</v>
      </c>
      <c r="F64" s="66" t="n">
        <v>-0.3494888330411072</v>
      </c>
      <c r="G64" s="66" t="n">
        <v>-0.03087160578340331</v>
      </c>
      <c r="H64" s="66" t="n">
        <v>0.1373858768185414</v>
      </c>
      <c r="I64" s="66" t="n">
        <v>0.3016141614409378</v>
      </c>
      <c r="J64" s="99" t="n">
        <v>0</v>
      </c>
      <c r="K64" s="66" t="n">
        <v>-0.1011466794136879</v>
      </c>
      <c r="L64" s="66" t="n">
        <v>0.2551493752557121</v>
      </c>
      <c r="M64" s="66" t="n">
        <v>0</v>
      </c>
      <c r="N64" s="99" t="n">
        <v>0</v>
      </c>
      <c r="O64" s="66" t="n">
        <v>-0.02630172066764658</v>
      </c>
      <c r="P64" s="66" t="n">
        <v>0.0009983212323732005</v>
      </c>
      <c r="Q64" s="66" t="n">
        <v>0</v>
      </c>
      <c r="R64" s="66" t="n">
        <v>-0.7103252661824229</v>
      </c>
      <c r="S64" s="66" t="n">
        <v>0</v>
      </c>
      <c r="T64" s="66" t="n">
        <v>0</v>
      </c>
      <c r="U64" s="66" t="n">
        <v>0</v>
      </c>
      <c r="V64" s="66" t="n">
        <v>0</v>
      </c>
      <c r="W64" s="66" t="n">
        <v>0</v>
      </c>
      <c r="X64" s="66" t="n">
        <v>0</v>
      </c>
      <c r="Y64" s="66" t="n">
        <v>0</v>
      </c>
      <c r="Z64" s="99" t="n">
        <v>0</v>
      </c>
      <c r="AA64" s="99" t="n">
        <v>0</v>
      </c>
      <c r="AB64" s="99" t="n">
        <v>0</v>
      </c>
      <c r="AC64" s="99" t="n">
        <v>0</v>
      </c>
      <c r="AD64" s="99" t="n">
        <v>0</v>
      </c>
      <c r="AE64" s="99" t="n">
        <v>0</v>
      </c>
      <c r="AF64" s="66" t="n">
        <v>0.2319873833542943</v>
      </c>
      <c r="AG64" s="99" t="n">
        <v>0</v>
      </c>
    </row>
    <row r="65">
      <c r="A65" s="127" t="inlineStr">
        <is>
          <t>2020 Q2</t>
        </is>
      </c>
      <c r="B65" s="66" t="n">
        <v>0</v>
      </c>
      <c r="C65" s="66" t="n">
        <v>-0.008773232626879235</v>
      </c>
      <c r="D65" s="66" t="n">
        <v>-0.008673943153297614</v>
      </c>
      <c r="E65" s="66" t="n">
        <v>-0.05463732875435312</v>
      </c>
      <c r="F65" s="66" t="n">
        <v>-0.2849832715934895</v>
      </c>
      <c r="G65" s="66" t="n">
        <v>-0.01343926233673187</v>
      </c>
      <c r="H65" s="66" t="n">
        <v>0.1156817226121234</v>
      </c>
      <c r="I65" s="66" t="n">
        <v>0.2995694140991247</v>
      </c>
      <c r="J65" s="99" t="n">
        <v>0</v>
      </c>
      <c r="K65" s="66" t="n">
        <v>-0.0897078005545211</v>
      </c>
      <c r="L65" s="66" t="n">
        <v>0.2533457314165162</v>
      </c>
      <c r="M65" s="66" t="n">
        <v>0</v>
      </c>
      <c r="N65" s="99" t="n">
        <v>0</v>
      </c>
      <c r="O65" s="66" t="n">
        <v>-0.01169656257945917</v>
      </c>
      <c r="P65" s="66" t="n">
        <v>0.001741228673040496</v>
      </c>
      <c r="Q65" s="66" t="n">
        <v>0</v>
      </c>
      <c r="R65" s="66" t="n">
        <v>-0.6549206303393191</v>
      </c>
      <c r="S65" s="66" t="n">
        <v>0</v>
      </c>
      <c r="T65" s="66" t="n">
        <v>0</v>
      </c>
      <c r="U65" s="66" t="n">
        <v>0</v>
      </c>
      <c r="V65" s="66" t="n">
        <v>0</v>
      </c>
      <c r="W65" s="66" t="n">
        <v>0</v>
      </c>
      <c r="X65" s="66" t="n">
        <v>0</v>
      </c>
      <c r="Y65" s="66" t="n">
        <v>0</v>
      </c>
      <c r="Z65" s="99" t="n">
        <v>0</v>
      </c>
      <c r="AA65" s="99" t="n">
        <v>0</v>
      </c>
      <c r="AB65" s="99" t="n">
        <v>0</v>
      </c>
      <c r="AC65" s="99" t="n">
        <v>0</v>
      </c>
      <c r="AD65" s="99" t="n">
        <v>0</v>
      </c>
      <c r="AE65" s="99" t="n">
        <v>0</v>
      </c>
      <c r="AF65" s="66" t="n">
        <v>0.2303039259580828</v>
      </c>
      <c r="AG65" s="99" t="n">
        <v>0</v>
      </c>
    </row>
    <row r="66">
      <c r="A66" s="127" t="inlineStr">
        <is>
          <t>2020 Q3</t>
        </is>
      </c>
      <c r="B66" s="66" t="n">
        <v>0</v>
      </c>
      <c r="C66" s="66" t="n">
        <v>-0.00800707423042013</v>
      </c>
      <c r="D66" s="66" t="n">
        <v>-0.006271566959497932</v>
      </c>
      <c r="E66" s="66" t="n">
        <v>-0.0904857825930776</v>
      </c>
      <c r="F66" s="66" t="n">
        <v>-0.2841880761573634</v>
      </c>
      <c r="G66" s="66" t="n">
        <v>-0.0228988951810436</v>
      </c>
      <c r="H66" s="66" t="n">
        <v>0.1010224963863777</v>
      </c>
      <c r="I66" s="66" t="n">
        <v>0.3017518966727835</v>
      </c>
      <c r="J66" s="99" t="n">
        <v>0</v>
      </c>
      <c r="K66" s="66" t="n">
        <v>-0.1674841886006107</v>
      </c>
      <c r="L66" s="66" t="n">
        <v>0.2553212499180404</v>
      </c>
      <c r="M66" s="66" t="n">
        <v>0</v>
      </c>
      <c r="N66" s="99" t="n">
        <v>0</v>
      </c>
      <c r="O66" s="66" t="n">
        <v>-0.01900100050337983</v>
      </c>
      <c r="P66" s="66" t="n">
        <v>0.001093697127970472</v>
      </c>
      <c r="Q66" s="66" t="n">
        <v>0</v>
      </c>
      <c r="R66" s="66" t="n">
        <v>-0.7724397650631829</v>
      </c>
      <c r="S66" s="66" t="n">
        <v>0</v>
      </c>
      <c r="T66" s="66" t="n">
        <v>0</v>
      </c>
      <c r="U66" s="66" t="n">
        <v>0</v>
      </c>
      <c r="V66" s="66" t="n">
        <v>0</v>
      </c>
      <c r="W66" s="66" t="n">
        <v>0</v>
      </c>
      <c r="X66" s="66" t="n">
        <v>0</v>
      </c>
      <c r="Y66" s="66" t="n">
        <v>0</v>
      </c>
      <c r="Z66" s="99" t="n">
        <v>0</v>
      </c>
      <c r="AA66" s="99" t="n">
        <v>0</v>
      </c>
      <c r="AB66" s="99" t="n">
        <v>0</v>
      </c>
      <c r="AC66" s="99" t="n">
        <v>0</v>
      </c>
      <c r="AD66" s="99" t="n">
        <v>0</v>
      </c>
      <c r="AE66" s="99" t="n">
        <v>0</v>
      </c>
      <c r="AF66" s="66" t="n">
        <v>0.2321762760054753</v>
      </c>
      <c r="AG66" s="99" t="n">
        <v>0</v>
      </c>
    </row>
    <row r="67">
      <c r="A67" s="127" t="inlineStr">
        <is>
          <t>2020 Q4</t>
        </is>
      </c>
      <c r="B67" s="66" t="n">
        <v>0</v>
      </c>
      <c r="C67" s="66" t="n">
        <v>-0.01051144005137417</v>
      </c>
      <c r="D67" s="66" t="n">
        <v>-0.00251410252829487</v>
      </c>
      <c r="E67" s="66" t="n">
        <v>-0.1274989076758573</v>
      </c>
      <c r="F67" s="66" t="n">
        <v>-0.2971371434254593</v>
      </c>
      <c r="G67" s="66" t="n">
        <v>-0.04145397605313406</v>
      </c>
      <c r="H67" s="66" t="n">
        <v>0.09865947021145871</v>
      </c>
      <c r="I67" s="66" t="n">
        <v>0.3029319745329531</v>
      </c>
      <c r="J67" s="99" t="n">
        <v>0</v>
      </c>
      <c r="K67" s="66" t="n">
        <v>-0.1402732640629551</v>
      </c>
      <c r="L67" s="66" t="n">
        <v>0.2564011359781375</v>
      </c>
      <c r="M67" s="66" t="n">
        <v>0</v>
      </c>
      <c r="N67" s="99" t="n">
        <v>0</v>
      </c>
      <c r="O67" s="66" t="n">
        <v>-0.01218354534148602</v>
      </c>
      <c r="P67" s="66" t="n">
        <v>0.001730769275098964</v>
      </c>
      <c r="Q67" s="66" t="n">
        <v>0</v>
      </c>
      <c r="R67" s="66" t="n">
        <v>-0.8913327045468975</v>
      </c>
      <c r="S67" s="66" t="n">
        <v>0</v>
      </c>
      <c r="T67" s="66" t="n">
        <v>0</v>
      </c>
      <c r="U67" s="66" t="n">
        <v>0</v>
      </c>
      <c r="V67" s="66" t="n">
        <v>0</v>
      </c>
      <c r="W67" s="66" t="n">
        <v>0</v>
      </c>
      <c r="X67" s="66" t="n">
        <v>0</v>
      </c>
      <c r="Y67" s="66" t="n">
        <v>0</v>
      </c>
      <c r="Z67" s="99" t="n">
        <v>0</v>
      </c>
      <c r="AA67" s="99" t="n">
        <v>0</v>
      </c>
      <c r="AB67" s="99" t="n">
        <v>0</v>
      </c>
      <c r="AC67" s="99" t="n">
        <v>0</v>
      </c>
      <c r="AD67" s="99" t="n">
        <v>0</v>
      </c>
      <c r="AE67" s="99" t="n">
        <v>0</v>
      </c>
      <c r="AF67" s="66" t="n">
        <v>0.2332062179712864</v>
      </c>
      <c r="AG67" s="99" t="n">
        <v>0</v>
      </c>
    </row>
    <row r="68">
      <c r="A68" s="127" t="inlineStr">
        <is>
          <t>2021 Q1</t>
        </is>
      </c>
      <c r="B68" s="66" t="n">
        <v>0</v>
      </c>
      <c r="C68" s="66" t="n">
        <v>-0.01389392813211998</v>
      </c>
      <c r="D68" s="66" t="n">
        <v>-0.007817546395216368</v>
      </c>
      <c r="E68" s="66" t="n">
        <v>-0.04979860280485582</v>
      </c>
      <c r="F68" s="66" t="n">
        <v>-0.1761886474384653</v>
      </c>
      <c r="G68" s="66" t="n">
        <v>-0.02331249646044853</v>
      </c>
      <c r="H68" s="66" t="n">
        <v>0.1636805605925247</v>
      </c>
      <c r="I68" s="66" t="n">
        <v>0.3012504358256649</v>
      </c>
      <c r="J68" s="99" t="n">
        <v>0</v>
      </c>
      <c r="K68" s="66" t="n">
        <v>-0.1365039819496587</v>
      </c>
      <c r="L68" s="66" t="n">
        <v>0.2546165738903312</v>
      </c>
      <c r="M68" s="66" t="n">
        <v>0</v>
      </c>
      <c r="N68" s="99" t="n">
        <v>0</v>
      </c>
      <c r="O68" s="66" t="n">
        <v>-0.02463213300308098</v>
      </c>
      <c r="P68" s="66" t="n">
        <v>0.000752938057303254</v>
      </c>
      <c r="Q68" s="66" t="n">
        <v>0</v>
      </c>
      <c r="R68" s="66" t="n">
        <v>-0.7894616342493919</v>
      </c>
      <c r="S68" s="66" t="n">
        <v>0</v>
      </c>
      <c r="T68" s="66" t="n">
        <v>0</v>
      </c>
      <c r="U68" s="66" t="n">
        <v>0</v>
      </c>
      <c r="V68" s="66" t="n">
        <v>0</v>
      </c>
      <c r="W68" s="66" t="n">
        <v>0</v>
      </c>
      <c r="X68" s="66" t="n">
        <v>0</v>
      </c>
      <c r="Y68" s="66" t="n">
        <v>0</v>
      </c>
      <c r="Z68" s="99" t="n">
        <v>0</v>
      </c>
      <c r="AA68" s="99" t="n">
        <v>0</v>
      </c>
      <c r="AB68" s="99" t="n">
        <v>0</v>
      </c>
      <c r="AC68" s="99" t="n">
        <v>0</v>
      </c>
      <c r="AD68" s="99" t="n">
        <v>0</v>
      </c>
      <c r="AE68" s="99" t="n">
        <v>0</v>
      </c>
      <c r="AF68" s="66" t="n">
        <v>0.2313703002892282</v>
      </c>
      <c r="AG68" s="99" t="n">
        <v>0</v>
      </c>
    </row>
    <row r="69">
      <c r="A69" s="127" t="inlineStr">
        <is>
          <t>2021 Q2</t>
        </is>
      </c>
      <c r="B69" s="66" t="n">
        <v>0</v>
      </c>
      <c r="C69" s="66" t="n">
        <v>-0.008439518472982854</v>
      </c>
      <c r="D69" s="66" t="n">
        <v>-0.005415713209970363</v>
      </c>
      <c r="E69" s="66" t="n">
        <v>-0.03578497966265104</v>
      </c>
      <c r="F69" s="66" t="n">
        <v>-0.1829478638829585</v>
      </c>
      <c r="G69" s="66" t="n">
        <v>-0.03607862790479999</v>
      </c>
      <c r="H69" s="66" t="n">
        <v>0.1580429832386869</v>
      </c>
      <c r="I69" s="66" t="n">
        <v>0.3018332397849974</v>
      </c>
      <c r="J69" s="99" t="n">
        <v>0</v>
      </c>
      <c r="K69" s="66" t="n">
        <v>-0.1449034963500537</v>
      </c>
      <c r="L69" s="66" t="n">
        <v>0.2550770624158929</v>
      </c>
      <c r="M69" s="66" t="n">
        <v>0</v>
      </c>
      <c r="N69" s="99" t="n">
        <v>0</v>
      </c>
      <c r="O69" s="66" t="n">
        <v>-0.02361514814143106</v>
      </c>
      <c r="P69" s="66" t="n">
        <v>0.000483699440366081</v>
      </c>
      <c r="Q69" s="66" t="n">
        <v>0</v>
      </c>
      <c r="R69" s="66" t="n">
        <v>-0.8077278330270019</v>
      </c>
      <c r="S69" s="66" t="n">
        <v>0</v>
      </c>
      <c r="T69" s="66" t="n">
        <v>0</v>
      </c>
      <c r="U69" s="66" t="n">
        <v>0</v>
      </c>
      <c r="V69" s="66" t="n">
        <v>0</v>
      </c>
      <c r="W69" s="66" t="n">
        <v>0</v>
      </c>
      <c r="X69" s="66" t="n">
        <v>0</v>
      </c>
      <c r="Y69" s="66" t="n">
        <v>0</v>
      </c>
      <c r="Z69" s="99" t="n">
        <v>0</v>
      </c>
      <c r="AA69" s="99" t="n">
        <v>0</v>
      </c>
      <c r="AB69" s="99" t="n">
        <v>0</v>
      </c>
      <c r="AC69" s="99" t="n">
        <v>0</v>
      </c>
      <c r="AD69" s="99" t="n">
        <v>0</v>
      </c>
      <c r="AE69" s="99" t="n">
        <v>0</v>
      </c>
      <c r="AF69" s="66" t="n">
        <v>0.2317698164243041</v>
      </c>
      <c r="AG69" s="99" t="n">
        <v>0</v>
      </c>
    </row>
    <row r="70">
      <c r="A70" s="127" t="inlineStr">
        <is>
          <t>2021 Q3</t>
        </is>
      </c>
      <c r="B70" s="66" t="n">
        <v>0</v>
      </c>
      <c r="C70" s="66" t="n">
        <v>-0.006522457216817656</v>
      </c>
      <c r="D70" s="66" t="n">
        <v>-0.004490383825697108</v>
      </c>
      <c r="E70" s="66" t="n">
        <v>-0.08402183822857978</v>
      </c>
      <c r="F70" s="66" t="n">
        <v>-0.2313403129055303</v>
      </c>
      <c r="G70" s="66" t="n">
        <v>-0.03161565217348539</v>
      </c>
      <c r="H70" s="66" t="n">
        <v>0.1862231460825967</v>
      </c>
      <c r="I70" s="66" t="n">
        <v>0.2985152483542493</v>
      </c>
      <c r="J70" s="99" t="n">
        <v>0</v>
      </c>
      <c r="K70" s="66" t="n">
        <v>-0.125883217510534</v>
      </c>
      <c r="L70" s="66" t="n">
        <v>0.252452057881186</v>
      </c>
      <c r="M70" s="66" t="n">
        <v>0</v>
      </c>
      <c r="N70" s="99" t="n">
        <v>0</v>
      </c>
      <c r="O70" s="66" t="n">
        <v>-0.0374285171686779</v>
      </c>
      <c r="P70" s="66" t="n">
        <v>0.001202619756156764</v>
      </c>
      <c r="Q70" s="66" t="n">
        <v>0</v>
      </c>
      <c r="R70" s="66" t="n">
        <v>-0.611505377119812</v>
      </c>
      <c r="S70" s="66" t="n">
        <v>0</v>
      </c>
      <c r="T70" s="66" t="n">
        <v>0</v>
      </c>
      <c r="U70" s="66" t="n">
        <v>0</v>
      </c>
      <c r="V70" s="66" t="n">
        <v>0</v>
      </c>
      <c r="W70" s="66" t="n">
        <v>0</v>
      </c>
      <c r="X70" s="66" t="n">
        <v>0</v>
      </c>
      <c r="Y70" s="66" t="n">
        <v>0</v>
      </c>
      <c r="Z70" s="99" t="n">
        <v>0</v>
      </c>
      <c r="AA70" s="99" t="n">
        <v>0</v>
      </c>
      <c r="AB70" s="99" t="n">
        <v>0</v>
      </c>
      <c r="AC70" s="99" t="n">
        <v>0</v>
      </c>
      <c r="AD70" s="99" t="n">
        <v>0</v>
      </c>
      <c r="AE70" s="99" t="n">
        <v>0</v>
      </c>
      <c r="AF70" s="66" t="n">
        <v>0.22949025535749</v>
      </c>
      <c r="AG70" s="99" t="n">
        <v>0</v>
      </c>
    </row>
    <row r="71">
      <c r="A71" s="127" t="inlineStr">
        <is>
          <t>2021 Q4</t>
        </is>
      </c>
      <c r="B71" s="66" t="n">
        <v>0</v>
      </c>
      <c r="C71" s="66" t="n">
        <v>-0.008957035410276148</v>
      </c>
      <c r="D71" s="66" t="n">
        <v>-0.003130585446854184</v>
      </c>
      <c r="E71" s="66" t="n">
        <v>-0.08550047932550342</v>
      </c>
      <c r="F71" s="66" t="n">
        <v>-0.4108039042123721</v>
      </c>
      <c r="G71" s="66" t="n">
        <v>-0.03019393589804054</v>
      </c>
      <c r="H71" s="66" t="n">
        <v>0.1680653138037655</v>
      </c>
      <c r="I71" s="66" t="n">
        <v>0.3010581117035827</v>
      </c>
      <c r="J71" s="99" t="n">
        <v>0</v>
      </c>
      <c r="K71" s="66" t="n">
        <v>-0.1324349066407819</v>
      </c>
      <c r="L71" s="66" t="n">
        <v>0.2547662754306543</v>
      </c>
      <c r="M71" s="66" t="n">
        <v>0</v>
      </c>
      <c r="N71" s="99" t="n">
        <v>0</v>
      </c>
      <c r="O71" s="66" t="n">
        <v>-0.04157131953397197</v>
      </c>
      <c r="P71" s="66" t="n">
        <v>0.001310270930190427</v>
      </c>
      <c r="Q71" s="66" t="n">
        <v>0</v>
      </c>
      <c r="R71" s="66" t="n">
        <v>-0.6950921274303141</v>
      </c>
      <c r="S71" s="66" t="n">
        <v>0</v>
      </c>
      <c r="T71" s="66" t="n">
        <v>0</v>
      </c>
      <c r="U71" s="66" t="n">
        <v>0</v>
      </c>
      <c r="V71" s="66" t="n">
        <v>0</v>
      </c>
      <c r="W71" s="66" t="n">
        <v>0</v>
      </c>
      <c r="X71" s="66" t="n">
        <v>0</v>
      </c>
      <c r="Y71" s="66" t="n">
        <v>0</v>
      </c>
      <c r="Z71" s="99" t="n">
        <v>0</v>
      </c>
      <c r="AA71" s="99" t="n">
        <v>0</v>
      </c>
      <c r="AB71" s="99" t="n">
        <v>0</v>
      </c>
      <c r="AC71" s="99" t="n">
        <v>0</v>
      </c>
      <c r="AD71" s="99" t="n">
        <v>0</v>
      </c>
      <c r="AE71" s="99" t="n">
        <v>0</v>
      </c>
      <c r="AF71" s="66" t="n">
        <v>0.2316904964400521</v>
      </c>
      <c r="AG71" s="99" t="n">
        <v>0</v>
      </c>
    </row>
    <row r="72">
      <c r="A72" s="127" t="inlineStr">
        <is>
          <t>2022 Q1</t>
        </is>
      </c>
      <c r="B72" s="66" t="n">
        <v>0</v>
      </c>
      <c r="C72" s="66" t="n">
        <v>-0.01037111150978376</v>
      </c>
      <c r="D72" s="66" t="n">
        <v>-0.004774794110090852</v>
      </c>
      <c r="E72" s="66" t="n">
        <v>-0.05974186528908376</v>
      </c>
      <c r="F72" s="66" t="n">
        <v>-0.3208171986746038</v>
      </c>
      <c r="G72" s="66" t="n">
        <v>-0.01185682651453135</v>
      </c>
      <c r="H72" s="66" t="n">
        <v>0.1884905515118191</v>
      </c>
      <c r="I72" s="66" t="n">
        <v>0.3035327165960382</v>
      </c>
      <c r="J72" s="99" t="n">
        <v>0</v>
      </c>
      <c r="K72" s="66" t="n">
        <v>-0.1596946876644836</v>
      </c>
      <c r="L72" s="66" t="n">
        <v>0.2567021681529127</v>
      </c>
      <c r="M72" s="66" t="n">
        <v>0</v>
      </c>
      <c r="N72" s="99" t="n">
        <v>0</v>
      </c>
      <c r="O72" s="66" t="n">
        <v>-0.02621635776037579</v>
      </c>
      <c r="P72" s="66" t="n">
        <v>0.001507809685364236</v>
      </c>
      <c r="Q72" s="66" t="n">
        <v>0</v>
      </c>
      <c r="R72" s="66" t="n">
        <v>-0.9440147892941582</v>
      </c>
      <c r="S72" s="66" t="n">
        <v>0</v>
      </c>
      <c r="T72" s="66" t="n">
        <v>0</v>
      </c>
      <c r="U72" s="66" t="n">
        <v>0</v>
      </c>
      <c r="V72" s="66" t="n">
        <v>0</v>
      </c>
      <c r="W72" s="66" t="n">
        <v>0</v>
      </c>
      <c r="X72" s="66" t="n">
        <v>0</v>
      </c>
      <c r="Y72" s="66" t="n">
        <v>0</v>
      </c>
      <c r="Z72" s="99" t="n">
        <v>0</v>
      </c>
      <c r="AA72" s="99" t="n">
        <v>0</v>
      </c>
      <c r="AB72" s="99" t="n">
        <v>0</v>
      </c>
      <c r="AC72" s="99" t="n">
        <v>0</v>
      </c>
      <c r="AD72" s="99" t="n">
        <v>0</v>
      </c>
      <c r="AE72" s="99" t="n">
        <v>0</v>
      </c>
      <c r="AF72" s="66" t="n">
        <v>0.2333578493077937</v>
      </c>
      <c r="AG72" s="99" t="n">
        <v>0</v>
      </c>
    </row>
    <row r="73">
      <c r="A73" s="127" t="inlineStr">
        <is>
          <t>2022 Q2</t>
        </is>
      </c>
      <c r="B73" s="66" t="n">
        <v>0</v>
      </c>
      <c r="C73" s="66" t="n">
        <v>-0.005628624411770033</v>
      </c>
      <c r="D73" s="66" t="n">
        <v>-0.002900016557902063</v>
      </c>
      <c r="E73" s="66" t="n">
        <v>-0.03573858150062392</v>
      </c>
      <c r="F73" s="66" t="n">
        <v>-0.138252913156208</v>
      </c>
      <c r="G73" s="66" t="n">
        <v>-0.01191924851235626</v>
      </c>
      <c r="H73" s="66" t="n">
        <v>0.244862287106713</v>
      </c>
      <c r="I73" s="66" t="n">
        <v>0.2967321021890825</v>
      </c>
      <c r="J73" s="99" t="n">
        <v>0</v>
      </c>
      <c r="K73" s="66" t="n">
        <v>-0.1115315606743934</v>
      </c>
      <c r="L73" s="66" t="n">
        <v>0.2507917785532641</v>
      </c>
      <c r="M73" s="66" t="n">
        <v>0</v>
      </c>
      <c r="N73" s="99" t="n">
        <v>0</v>
      </c>
      <c r="O73" s="66" t="n">
        <v>-0.04090041975643999</v>
      </c>
      <c r="P73" s="66" t="n">
        <v>0.001342451263639077</v>
      </c>
      <c r="Q73" s="66" t="n">
        <v>0</v>
      </c>
      <c r="R73" s="66" t="n">
        <v>-0.6067015278694043</v>
      </c>
      <c r="S73" s="66" t="n">
        <v>0</v>
      </c>
      <c r="T73" s="66" t="n">
        <v>0</v>
      </c>
      <c r="U73" s="66" t="n">
        <v>0</v>
      </c>
      <c r="V73" s="66" t="n">
        <v>0</v>
      </c>
      <c r="W73" s="66" t="n">
        <v>0</v>
      </c>
      <c r="X73" s="66" t="n">
        <v>0</v>
      </c>
      <c r="Y73" s="66" t="n">
        <v>0</v>
      </c>
      <c r="Z73" s="99" t="n">
        <v>0</v>
      </c>
      <c r="AA73" s="99" t="n">
        <v>0</v>
      </c>
      <c r="AB73" s="99" t="n">
        <v>0</v>
      </c>
      <c r="AC73" s="99" t="n">
        <v>0</v>
      </c>
      <c r="AD73" s="99" t="n">
        <v>0</v>
      </c>
      <c r="AE73" s="99" t="n">
        <v>0</v>
      </c>
      <c r="AF73" s="66" t="n">
        <v>0.227891223286349</v>
      </c>
      <c r="AG73" s="99" t="n">
        <v>0</v>
      </c>
    </row>
    <row r="74">
      <c r="A74" s="127" t="inlineStr">
        <is>
          <t>2022 Q3</t>
        </is>
      </c>
      <c r="B74" s="66" t="n">
        <v>0</v>
      </c>
      <c r="C74" s="66" t="n">
        <v>-0.006526031049389758</v>
      </c>
      <c r="D74" s="66" t="n">
        <v>-0.00505186553576209</v>
      </c>
      <c r="E74" s="66" t="n">
        <v>-0.03505979904562651</v>
      </c>
      <c r="F74" s="66" t="n">
        <v>-0.07291763369480009</v>
      </c>
      <c r="G74" s="66" t="n">
        <v>-0.008449748822158654</v>
      </c>
      <c r="H74" s="66" t="n">
        <v>0.2257455453341493</v>
      </c>
      <c r="I74" s="66" t="n">
        <v>0.1776268740711373</v>
      </c>
      <c r="J74" s="99" t="n">
        <v>0</v>
      </c>
      <c r="K74" s="66" t="n">
        <v>-0.1275599297483723</v>
      </c>
      <c r="L74" s="66" t="n">
        <v>0.2488360025344321</v>
      </c>
      <c r="M74" s="66" t="n">
        <v>0</v>
      </c>
      <c r="N74" s="99" t="n">
        <v>0</v>
      </c>
      <c r="O74" s="66" t="n">
        <v>-0.03746681623664472</v>
      </c>
      <c r="P74" s="66" t="n">
        <v>0</v>
      </c>
      <c r="Q74" s="66" t="n">
        <v>0</v>
      </c>
      <c r="R74" s="66" t="n">
        <v>-0.3026146208630962</v>
      </c>
      <c r="S74" s="66" t="n">
        <v>0</v>
      </c>
      <c r="T74" s="66" t="n">
        <v>0</v>
      </c>
      <c r="U74" s="66" t="n">
        <v>0</v>
      </c>
      <c r="V74" s="66" t="n">
        <v>0</v>
      </c>
      <c r="W74" s="66" t="n">
        <v>0</v>
      </c>
      <c r="X74" s="66" t="n">
        <v>0</v>
      </c>
      <c r="Y74" s="66" t="n">
        <v>0</v>
      </c>
      <c r="Z74" s="99" t="n">
        <v>0</v>
      </c>
      <c r="AA74" s="99" t="n">
        <v>0</v>
      </c>
      <c r="AB74" s="99" t="n">
        <v>0</v>
      </c>
      <c r="AC74" s="99" t="n">
        <v>0</v>
      </c>
      <c r="AD74" s="99" t="n">
        <v>0</v>
      </c>
      <c r="AE74" s="99" t="n">
        <v>0</v>
      </c>
      <c r="AF74" s="66" t="n">
        <v>0.2260609469366841</v>
      </c>
      <c r="AG74" s="99" t="n">
        <v>0</v>
      </c>
    </row>
    <row r="75">
      <c r="A75" s="127" t="inlineStr">
        <is>
          <t>2022 Q4</t>
        </is>
      </c>
      <c r="B75" s="66" t="n">
        <v>0</v>
      </c>
      <c r="C75" s="66" t="n">
        <v>-0.0004500550986392682</v>
      </c>
      <c r="D75" s="66" t="n">
        <v>-0.009590439059422806</v>
      </c>
      <c r="E75" s="66" t="n">
        <v>-0.02892859187508634</v>
      </c>
      <c r="F75" s="66" t="n">
        <v>-0.06024869836238622</v>
      </c>
      <c r="G75" s="66" t="n">
        <v>-0.009853282744415992</v>
      </c>
      <c r="H75" s="66" t="n">
        <v>0.2606503130115527</v>
      </c>
      <c r="I75" s="66" t="n">
        <v>0.1702690062663237</v>
      </c>
      <c r="J75" s="99" t="n">
        <v>0</v>
      </c>
      <c r="K75" s="66" t="n">
        <v>-0.1659236593737887</v>
      </c>
      <c r="L75" s="66" t="n">
        <v>0.2516800848215439</v>
      </c>
      <c r="M75" s="66" t="n">
        <v>0</v>
      </c>
      <c r="N75" s="99" t="n">
        <v>0</v>
      </c>
      <c r="O75" s="66" t="n">
        <v>-0.03859342769257523</v>
      </c>
      <c r="P75" s="66" t="n">
        <v>0</v>
      </c>
      <c r="Q75" s="66" t="n">
        <v>0</v>
      </c>
      <c r="R75" s="66" t="n">
        <v>-0.5548388994858726</v>
      </c>
      <c r="S75" s="66" t="n">
        <v>0</v>
      </c>
      <c r="T75" s="66" t="n">
        <v>0</v>
      </c>
      <c r="U75" s="66" t="n">
        <v>0</v>
      </c>
      <c r="V75" s="66" t="n">
        <v>0</v>
      </c>
      <c r="W75" s="66" t="n">
        <v>0</v>
      </c>
      <c r="X75" s="66" t="n">
        <v>0</v>
      </c>
      <c r="Y75" s="66" t="n">
        <v>0</v>
      </c>
      <c r="Z75" s="99" t="n">
        <v>0</v>
      </c>
      <c r="AA75" s="99" t="n">
        <v>0</v>
      </c>
      <c r="AB75" s="99" t="n">
        <v>0</v>
      </c>
      <c r="AC75" s="99" t="n">
        <v>0</v>
      </c>
      <c r="AD75" s="99" t="n">
        <v>0</v>
      </c>
      <c r="AE75" s="99" t="n">
        <v>0</v>
      </c>
      <c r="AF75" s="66" t="n">
        <v>0.2286382841238037</v>
      </c>
      <c r="AG75" s="99" t="n">
        <v>0</v>
      </c>
    </row>
    <row r="76">
      <c r="A76" s="127" t="inlineStr">
        <is>
          <t>2023 Q1</t>
        </is>
      </c>
      <c r="B76" s="66" t="n">
        <v>0</v>
      </c>
      <c r="C76" s="66" t="n">
        <v>-0.007885225473074797</v>
      </c>
      <c r="D76" s="66" t="n">
        <v>-0.01305906249632471</v>
      </c>
      <c r="E76" s="66" t="n">
        <v>-0.009397450153841191</v>
      </c>
      <c r="F76" s="66" t="n">
        <v>-0.03352600147204043</v>
      </c>
      <c r="G76" s="66" t="n">
        <v>0</v>
      </c>
      <c r="H76" s="66" t="n">
        <v>0.2842100228231743</v>
      </c>
      <c r="I76" s="66" t="n">
        <v>0.1608493116495993</v>
      </c>
      <c r="J76" s="99" t="n">
        <v>0</v>
      </c>
      <c r="K76" s="66" t="n">
        <v>-0.08451612888475779</v>
      </c>
      <c r="L76" s="66" t="n">
        <v>0.08801658845683846</v>
      </c>
      <c r="M76" s="66" t="n">
        <v>0</v>
      </c>
      <c r="N76" s="99" t="n">
        <v>0</v>
      </c>
      <c r="O76" s="66" t="n">
        <v>-0.05485393103205638</v>
      </c>
      <c r="P76" s="66" t="n">
        <v>0.0006908879148568303</v>
      </c>
      <c r="Q76" s="66" t="n">
        <v>0</v>
      </c>
      <c r="R76" s="66" t="n">
        <v>-0.2117596073420884</v>
      </c>
      <c r="S76" s="66" t="n">
        <v>0</v>
      </c>
      <c r="T76" s="66" t="n">
        <v>0</v>
      </c>
      <c r="U76" s="66" t="n">
        <v>0</v>
      </c>
      <c r="V76" s="66" t="n">
        <v>0</v>
      </c>
      <c r="W76" s="66" t="n">
        <v>0</v>
      </c>
      <c r="X76" s="66" t="n">
        <v>0</v>
      </c>
      <c r="Y76" s="66" t="n">
        <v>0</v>
      </c>
      <c r="Z76" s="99" t="n">
        <v>0</v>
      </c>
      <c r="AA76" s="99" t="n">
        <v>0</v>
      </c>
      <c r="AB76" s="99" t="n">
        <v>0</v>
      </c>
      <c r="AC76" s="99" t="n">
        <v>0</v>
      </c>
      <c r="AD76" s="99" t="n">
        <v>0</v>
      </c>
      <c r="AE76" s="99" t="n">
        <v>0</v>
      </c>
      <c r="AF76" s="66" t="n">
        <v>0.2244809468108997</v>
      </c>
      <c r="AG76" s="99" t="n">
        <v>0</v>
      </c>
    </row>
    <row r="77">
      <c r="A77" s="127" t="inlineStr">
        <is>
          <t>2023 Q2</t>
        </is>
      </c>
      <c r="B77" s="66" t="n">
        <v>0</v>
      </c>
      <c r="C77" s="66" t="n">
        <v>-0.003595012078733362</v>
      </c>
      <c r="D77" s="66" t="n">
        <v>-0.007447301890806557</v>
      </c>
      <c r="E77" s="66" t="n">
        <v>-0.009183798438527901</v>
      </c>
      <c r="F77" s="66" t="n">
        <v>-0.0404785570003412</v>
      </c>
      <c r="G77" s="66" t="n">
        <v>-0.002450617088953777</v>
      </c>
      <c r="H77" s="66" t="n">
        <v>0.2712198757433271</v>
      </c>
      <c r="I77" s="66" t="n">
        <v>0.196373116812083</v>
      </c>
      <c r="J77" s="99" t="n">
        <v>0</v>
      </c>
      <c r="K77" s="66" t="n">
        <v>-0.07963725277556932</v>
      </c>
      <c r="L77" s="66" t="n">
        <v>-0.07724873892823325</v>
      </c>
      <c r="M77" s="66" t="n">
        <v>0</v>
      </c>
      <c r="N77" s="99" t="n">
        <v>0</v>
      </c>
      <c r="O77" s="66" t="n">
        <v>-0.05414764552185147</v>
      </c>
      <c r="P77" s="66" t="n">
        <v>0.002672136250197354</v>
      </c>
      <c r="Q77" s="66" t="n">
        <v>0</v>
      </c>
      <c r="R77" s="66" t="n">
        <v>0.4433129680865875</v>
      </c>
      <c r="S77" s="66" t="n">
        <v>0</v>
      </c>
      <c r="T77" s="66" t="n">
        <v>0</v>
      </c>
      <c r="U77" s="66" t="n">
        <v>0</v>
      </c>
      <c r="V77" s="66" t="n">
        <v>0</v>
      </c>
      <c r="W77" s="66" t="n">
        <v>0</v>
      </c>
      <c r="X77" s="66" t="n">
        <v>0</v>
      </c>
      <c r="Y77" s="66" t="n">
        <v>0</v>
      </c>
      <c r="Z77" s="99" t="n">
        <v>0</v>
      </c>
      <c r="AA77" s="99" t="n">
        <v>0</v>
      </c>
      <c r="AB77" s="99" t="n">
        <v>0</v>
      </c>
      <c r="AC77" s="99" t="n">
        <v>0</v>
      </c>
      <c r="AD77" s="99" t="n">
        <v>0</v>
      </c>
      <c r="AE77" s="99" t="n">
        <v>0</v>
      </c>
      <c r="AF77" s="66" t="n">
        <v>0.2177361913068978</v>
      </c>
      <c r="AG77" s="99" t="n">
        <v>0</v>
      </c>
    </row>
    <row r="78">
      <c r="A78" s="127" t="inlineStr">
        <is>
          <t>2023 Q3</t>
        </is>
      </c>
      <c r="B78" s="66" t="n">
        <v>0</v>
      </c>
      <c r="C78" s="66" t="n">
        <v>-0.004916120239585098</v>
      </c>
      <c r="D78" s="66" t="n">
        <v>-0.008467904506090917</v>
      </c>
      <c r="E78" s="66" t="n">
        <v>-0.01121223763456669</v>
      </c>
      <c r="F78" s="66" t="n">
        <v>-0.02985151407386866</v>
      </c>
      <c r="G78" s="66" t="n">
        <v>-0.01602966194110422</v>
      </c>
      <c r="H78" s="66" t="n">
        <v>0.2694462299113809</v>
      </c>
      <c r="I78" s="66" t="n">
        <v>0.1885667092542747</v>
      </c>
      <c r="J78" s="99" t="n">
        <v>0</v>
      </c>
      <c r="K78" s="66" t="n">
        <v>-0.09662436617230696</v>
      </c>
      <c r="L78" s="66" t="n">
        <v>-0.09110887438930604</v>
      </c>
      <c r="M78" s="66" t="n">
        <v>0</v>
      </c>
      <c r="N78" s="99" t="n">
        <v>0</v>
      </c>
      <c r="O78" s="66" t="n">
        <v>-0.05366217199866696</v>
      </c>
      <c r="P78" s="66" t="n">
        <v>0.006743973322471675</v>
      </c>
      <c r="Q78" s="66" t="n">
        <v>0</v>
      </c>
      <c r="R78" s="66" t="n">
        <v>-0.08566293566227046</v>
      </c>
      <c r="S78" s="66" t="n">
        <v>0</v>
      </c>
      <c r="T78" s="66" t="n">
        <v>0</v>
      </c>
      <c r="U78" s="66" t="n">
        <v>0</v>
      </c>
      <c r="V78" s="66" t="n">
        <v>0</v>
      </c>
      <c r="W78" s="66" t="n">
        <v>0</v>
      </c>
      <c r="X78" s="66" t="n">
        <v>0</v>
      </c>
      <c r="Y78" s="66" t="n">
        <v>0</v>
      </c>
      <c r="Z78" s="99" t="n">
        <v>0</v>
      </c>
      <c r="AA78" s="99" t="n">
        <v>0</v>
      </c>
      <c r="AB78" s="99" t="n">
        <v>0</v>
      </c>
      <c r="AC78" s="99" t="n">
        <v>0</v>
      </c>
      <c r="AD78" s="99" t="n">
        <v>0</v>
      </c>
      <c r="AE78" s="99" t="n">
        <v>0</v>
      </c>
      <c r="AF78" s="66" t="n">
        <v>0.2222301433384075</v>
      </c>
      <c r="AG78" s="99" t="n">
        <v>0</v>
      </c>
    </row>
    <row r="79">
      <c r="A79" s="127" t="inlineStr">
        <is>
          <t>2023 Q4</t>
        </is>
      </c>
      <c r="B79" s="66" t="n">
        <v>0</v>
      </c>
      <c r="C79" s="66" t="n">
        <v>-0.005415294773683854</v>
      </c>
      <c r="D79" s="66" t="n">
        <v>-0.003950710840570082</v>
      </c>
      <c r="E79" s="66" t="n">
        <v>-0.01727485869528778</v>
      </c>
      <c r="F79" s="66" t="n">
        <v>-0.02163788996611515</v>
      </c>
      <c r="G79" s="66" t="n">
        <v>-0.009413405879598713</v>
      </c>
      <c r="H79" s="66" t="n">
        <v>0.2642779832743258</v>
      </c>
      <c r="I79" s="66" t="n">
        <v>0.1851108957470728</v>
      </c>
      <c r="J79" s="99" t="n">
        <v>0</v>
      </c>
      <c r="K79" s="66" t="n">
        <v>-0.1085949930072729</v>
      </c>
      <c r="L79" s="66" t="n">
        <v>-0.1988469332625584</v>
      </c>
      <c r="M79" s="66" t="n">
        <v>0</v>
      </c>
      <c r="N79" s="99" t="n">
        <v>0</v>
      </c>
      <c r="O79" s="66" t="n">
        <v>-0.04326722689114604</v>
      </c>
      <c r="P79" s="66" t="n">
        <v>0.003001199679943056</v>
      </c>
      <c r="Q79" s="66" t="n">
        <v>0</v>
      </c>
      <c r="R79" s="66" t="n">
        <v>-0.4832475262584524</v>
      </c>
      <c r="S79" s="66" t="n">
        <v>0</v>
      </c>
      <c r="T79" s="66" t="n">
        <v>0</v>
      </c>
      <c r="U79" s="66" t="n">
        <v>0</v>
      </c>
      <c r="V79" s="66" t="n">
        <v>0</v>
      </c>
      <c r="W79" s="66" t="n">
        <v>0</v>
      </c>
      <c r="X79" s="66" t="n">
        <v>0</v>
      </c>
      <c r="Y79" s="66" t="n">
        <v>0</v>
      </c>
      <c r="Z79" s="99" t="n">
        <v>0</v>
      </c>
      <c r="AA79" s="99" t="n">
        <v>0</v>
      </c>
      <c r="AB79" s="99" t="n">
        <v>0</v>
      </c>
      <c r="AC79" s="99" t="n">
        <v>0</v>
      </c>
      <c r="AD79" s="99" t="n">
        <v>0</v>
      </c>
      <c r="AE79" s="99" t="n">
        <v>0</v>
      </c>
      <c r="AF79" s="66" t="n">
        <v>0.2269707436924477</v>
      </c>
      <c r="AG79" s="99" t="n">
        <v>0</v>
      </c>
    </row>
    <row r="80">
      <c r="A80" s="127" t="inlineStr">
        <is>
          <t>2024 Q1</t>
        </is>
      </c>
      <c r="B80" s="66" t="n">
        <v>0</v>
      </c>
      <c r="C80" s="66" t="n">
        <v>-0.004831973551517876</v>
      </c>
      <c r="D80" s="66" t="n">
        <v>-0.003384642299863572</v>
      </c>
      <c r="E80" s="66" t="n">
        <v>-0.006554509642000994</v>
      </c>
      <c r="F80" s="66" t="n">
        <v>-0.03012038185494248</v>
      </c>
      <c r="G80" s="66" t="n">
        <v>-0.008472677224375502</v>
      </c>
      <c r="H80" s="66" t="n">
        <v>0.2506769795632238</v>
      </c>
      <c r="I80" s="66" t="n">
        <v>0.1525974058983763</v>
      </c>
      <c r="J80" s="99" t="n">
        <v>0</v>
      </c>
      <c r="K80" s="66" t="n">
        <v>-0.0865549109937831</v>
      </c>
      <c r="L80" s="66" t="n">
        <v>-0.374329062873386</v>
      </c>
      <c r="M80" s="66" t="n">
        <v>-1.214867975818379e-05</v>
      </c>
      <c r="N80" s="99" t="n">
        <v>0</v>
      </c>
      <c r="O80" s="66" t="n">
        <v>-0.0423356328280704</v>
      </c>
      <c r="P80" s="66" t="n">
        <v>0.007483601890413638</v>
      </c>
      <c r="Q80" s="66" t="n">
        <v>0</v>
      </c>
      <c r="R80" s="66" t="n">
        <v>-0.8319171411328909</v>
      </c>
      <c r="S80" s="66" t="n">
        <v>0</v>
      </c>
      <c r="T80" s="66" t="n">
        <v>0</v>
      </c>
      <c r="U80" s="66" t="n">
        <v>0</v>
      </c>
      <c r="V80" s="66" t="n">
        <v>0</v>
      </c>
      <c r="W80" s="66" t="n">
        <v>0</v>
      </c>
      <c r="X80" s="66" t="n">
        <v>0</v>
      </c>
      <c r="Y80" s="66" t="n">
        <v>0</v>
      </c>
      <c r="Z80" s="99" t="n">
        <v>0</v>
      </c>
      <c r="AA80" s="99" t="n">
        <v>0</v>
      </c>
      <c r="AB80" s="99" t="n">
        <v>0</v>
      </c>
      <c r="AC80" s="99" t="n">
        <v>0</v>
      </c>
      <c r="AD80" s="99" t="n">
        <v>0</v>
      </c>
      <c r="AE80" s="99" t="n">
        <v>0</v>
      </c>
      <c r="AF80" s="66" t="n">
        <v>0.2288875929914695</v>
      </c>
      <c r="AG80" s="99" t="n">
        <v>0</v>
      </c>
    </row>
    <row r="81">
      <c r="A81" s="127" t="inlineStr">
        <is>
          <t>2024 Q2</t>
        </is>
      </c>
      <c r="B81" s="66" t="n">
        <v>0</v>
      </c>
      <c r="C81" s="66" t="n">
        <v>-0.003008379962949448</v>
      </c>
      <c r="D81" s="66" t="n">
        <v>-0.003076234658607291</v>
      </c>
      <c r="E81" s="66" t="n">
        <v>-0.01189095983900756</v>
      </c>
      <c r="F81" s="66" t="n">
        <v>-0.01524813202772179</v>
      </c>
      <c r="G81" s="66" t="n">
        <v>-0.008248583618978955</v>
      </c>
      <c r="H81" s="66" t="n">
        <v>0.2991880701055152</v>
      </c>
      <c r="I81" s="66" t="n">
        <v>0.1789495423294909</v>
      </c>
      <c r="J81" s="66" t="n">
        <v>0</v>
      </c>
      <c r="K81" s="66" t="n">
        <v>-0.08437585317534513</v>
      </c>
      <c r="L81" s="66" t="n">
        <v>-0.2269714639222684</v>
      </c>
      <c r="M81" s="66" t="n">
        <v>-0.01902886599006592</v>
      </c>
      <c r="N81" s="66" t="n">
        <v>0</v>
      </c>
      <c r="O81" s="66" t="n">
        <v>-0.04215233606370816</v>
      </c>
      <c r="P81" s="66" t="n">
        <v>0.004223192623982186</v>
      </c>
      <c r="Q81" s="66" t="n">
        <v>0</v>
      </c>
      <c r="R81" s="66" t="n">
        <v>-0.6869182779967389</v>
      </c>
      <c r="S81" s="66" t="n">
        <v>0</v>
      </c>
      <c r="T81" s="66" t="n">
        <v>0</v>
      </c>
      <c r="U81" s="66" t="n">
        <v>0</v>
      </c>
      <c r="V81" s="66" t="n">
        <v>0</v>
      </c>
      <c r="W81" s="66" t="n">
        <v>0</v>
      </c>
      <c r="X81" s="66" t="n">
        <v>0</v>
      </c>
      <c r="Y81" s="66" t="n">
        <v>0</v>
      </c>
      <c r="Z81" s="66" t="n">
        <v>0</v>
      </c>
      <c r="AA81" s="66" t="n">
        <v>0</v>
      </c>
      <c r="AB81" s="66" t="n">
        <v>0</v>
      </c>
      <c r="AC81" s="66" t="n">
        <v>0</v>
      </c>
      <c r="AD81" s="66" t="n">
        <v>0</v>
      </c>
      <c r="AE81" s="66" t="n">
        <v>0</v>
      </c>
      <c r="AF81" s="66" t="n">
        <v>0.2285978135226401</v>
      </c>
      <c r="AG81" s="66" t="n">
        <v>0</v>
      </c>
    </row>
    <row r="82">
      <c r="A82" s="127" t="inlineStr">
        <is>
          <t>2024 Q3</t>
        </is>
      </c>
      <c r="B82" s="66" t="n">
        <v>0</v>
      </c>
      <c r="C82" s="66" t="n">
        <v>-0.00467621254193773</v>
      </c>
      <c r="D82" s="66" t="n">
        <v>-0.002967258613637114</v>
      </c>
      <c r="E82" s="66" t="n">
        <v>-0.009886831773059157</v>
      </c>
      <c r="F82" s="66" t="n">
        <v>-0.005208717821062692</v>
      </c>
      <c r="G82" s="66" t="n">
        <v>-0.007166793022065576</v>
      </c>
      <c r="H82" s="66" t="n">
        <v>0.3679690661371069</v>
      </c>
      <c r="I82" s="66" t="n">
        <v>0.1732658655381272</v>
      </c>
      <c r="J82" s="66" t="n">
        <v>0</v>
      </c>
      <c r="K82" s="66" t="n">
        <v>-0.05394526298795199</v>
      </c>
      <c r="L82" s="66" t="n">
        <v>-0.1488729391977017</v>
      </c>
      <c r="M82" s="66" t="n">
        <v>-0.003824789580221477</v>
      </c>
      <c r="N82" s="66" t="n">
        <v>0</v>
      </c>
      <c r="O82" s="66" t="n">
        <v>-0.04675658912915992</v>
      </c>
      <c r="P82" s="66" t="n">
        <v>0.005318116147094543</v>
      </c>
      <c r="Q82" s="66" t="n">
        <v>0</v>
      </c>
      <c r="R82" s="66" t="n">
        <v>-0.3686054285274736</v>
      </c>
      <c r="S82" s="66" t="n">
        <v>0</v>
      </c>
      <c r="T82" s="66" t="n">
        <v>0</v>
      </c>
      <c r="U82" s="66" t="n">
        <v>0</v>
      </c>
      <c r="V82" s="66" t="n">
        <v>0</v>
      </c>
      <c r="W82" s="66" t="n">
        <v>0</v>
      </c>
      <c r="X82" s="66" t="n">
        <v>0</v>
      </c>
      <c r="Y82" s="66" t="n">
        <v>0</v>
      </c>
      <c r="Z82" s="66" t="n">
        <v>0</v>
      </c>
      <c r="AA82" s="66" t="n">
        <v>0</v>
      </c>
      <c r="AB82" s="66" t="n">
        <v>0</v>
      </c>
      <c r="AC82" s="66" t="n">
        <v>0</v>
      </c>
      <c r="AD82" s="66" t="n">
        <v>0</v>
      </c>
      <c r="AE82" s="66" t="n">
        <v>0</v>
      </c>
      <c r="AF82" s="66" t="n">
        <v>0.2237567700672969</v>
      </c>
      <c r="AG82" s="66" t="n">
        <v>0</v>
      </c>
    </row>
    <row r="83">
      <c r="A83" s="127" t="inlineStr">
        <is>
          <t>2024 Q4</t>
        </is>
      </c>
      <c r="B83" s="66" t="n">
        <v>0</v>
      </c>
      <c r="C83" s="66" t="n">
        <v>-0.008920379767459963</v>
      </c>
      <c r="D83" s="66" t="n">
        <v>0</v>
      </c>
      <c r="E83" s="66" t="n">
        <v>0</v>
      </c>
      <c r="F83" s="66" t="n">
        <v>-0.010142971151339</v>
      </c>
      <c r="G83" s="66" t="n">
        <v>0</v>
      </c>
      <c r="H83" s="66" t="n">
        <v>1.265563760305838</v>
      </c>
      <c r="I83" s="66" t="n">
        <v>0</v>
      </c>
      <c r="J83" s="66" t="n">
        <v>0</v>
      </c>
      <c r="K83" s="66" t="n">
        <v>-0.04017890800469104</v>
      </c>
      <c r="L83" s="66" t="n">
        <v>-0.2050170703048195</v>
      </c>
      <c r="M83" s="66" t="n">
        <v>-0.01314802049969899</v>
      </c>
      <c r="N83" s="66" t="n">
        <v>0</v>
      </c>
      <c r="O83" s="66" t="n">
        <v>-0.04359838417832407</v>
      </c>
      <c r="P83" s="66" t="n">
        <v>-0.08312538451187379</v>
      </c>
      <c r="Q83" s="66" t="n">
        <v>0</v>
      </c>
      <c r="R83" s="66" t="n">
        <v>0.3748486447476012</v>
      </c>
      <c r="S83" s="66" t="n">
        <v>0</v>
      </c>
      <c r="T83" s="66" t="n">
        <v>0</v>
      </c>
      <c r="U83" s="66" t="n">
        <v>0</v>
      </c>
      <c r="V83" s="66" t="n">
        <v>0</v>
      </c>
      <c r="W83" s="66" t="n">
        <v>0</v>
      </c>
      <c r="X83" s="66" t="n">
        <v>0</v>
      </c>
      <c r="Y83" s="66" t="n">
        <v>0</v>
      </c>
      <c r="Z83" s="66" t="n">
        <v>0</v>
      </c>
      <c r="AA83" s="66" t="n">
        <v>0</v>
      </c>
      <c r="AB83" s="66" t="n">
        <v>0</v>
      </c>
      <c r="AC83" s="66" t="n">
        <v>0</v>
      </c>
      <c r="AD83" s="66" t="n">
        <v>0</v>
      </c>
      <c r="AE83" s="66" t="n">
        <v>0</v>
      </c>
      <c r="AF83" s="66" t="n">
        <v>0.1545797363482677</v>
      </c>
      <c r="AG83" s="66" t="n">
        <v>0</v>
      </c>
    </row>
    <row r="84">
      <c r="A84" s="127" t="inlineStr">
        <is>
          <t>2025 Q1</t>
        </is>
      </c>
      <c r="B84" s="123" t="n">
        <v>0</v>
      </c>
      <c r="C84" s="123" t="n">
        <v>-0.005817388405461088</v>
      </c>
      <c r="D84" s="123" t="n">
        <v>0</v>
      </c>
      <c r="E84" s="123" t="n">
        <v>0</v>
      </c>
      <c r="F84" s="123" t="n">
        <v>-0.006508162935318751</v>
      </c>
      <c r="G84" s="123" t="n">
        <v>0</v>
      </c>
      <c r="H84" s="123" t="n">
        <v>1.533039115788966</v>
      </c>
      <c r="I84" s="123" t="n">
        <v>0</v>
      </c>
      <c r="J84" s="124" t="n">
        <v>0</v>
      </c>
      <c r="K84" s="123" t="n">
        <v>-0.00513408881391797</v>
      </c>
      <c r="L84" s="123" t="n">
        <v>-0.2871170525125137</v>
      </c>
      <c r="M84" s="123" t="n">
        <v>-0.006769385913514725</v>
      </c>
      <c r="N84" s="124" t="n">
        <v>0</v>
      </c>
      <c r="O84" s="123" t="n">
        <v>-0.03630832037839582</v>
      </c>
      <c r="P84" s="123" t="n">
        <v>-0.08622860875914284</v>
      </c>
      <c r="Q84" s="123" t="n">
        <v>0</v>
      </c>
      <c r="R84" s="123" t="n">
        <v>0.4795552931065572</v>
      </c>
      <c r="S84" s="123" t="n">
        <v>0</v>
      </c>
      <c r="T84" s="123" t="n">
        <v>0</v>
      </c>
      <c r="U84" s="123" t="n">
        <v>0</v>
      </c>
      <c r="V84" s="123" t="n">
        <v>0</v>
      </c>
      <c r="W84" s="123" t="n">
        <v>0</v>
      </c>
      <c r="X84" s="123" t="n">
        <v>0</v>
      </c>
      <c r="Y84" s="123" t="n">
        <v>0</v>
      </c>
      <c r="Z84" s="124" t="n">
        <v>0</v>
      </c>
      <c r="AA84" s="124" t="n">
        <v>0</v>
      </c>
      <c r="AB84" s="124" t="n">
        <v>0</v>
      </c>
      <c r="AC84" s="124" t="n">
        <v>0</v>
      </c>
      <c r="AD84" s="124" t="n">
        <v>0</v>
      </c>
      <c r="AE84" s="124" t="n">
        <v>0</v>
      </c>
      <c r="AF84" s="123" t="n">
        <v>0.00265788039570225</v>
      </c>
      <c r="AG84" s="124" t="n">
        <v>0</v>
      </c>
    </row>
    <row r="85">
      <c r="B85" t="n">
        <v>0</v>
      </c>
    </row>
    <row r="86">
      <c r="B86" t="n">
        <v>0</v>
      </c>
    </row>
    <row r="87">
      <c r="B87" t="n">
        <v>0</v>
      </c>
    </row>
    <row r="88">
      <c r="B88" t="n">
        <v>0</v>
      </c>
    </row>
    <row r="89">
      <c r="B89" t="n">
        <v>0</v>
      </c>
    </row>
    <row r="90">
      <c r="A90" s="129" t="inlineStr">
        <is>
          <t>STG</t>
        </is>
      </c>
      <c r="B90" t="n">
        <v>0</v>
      </c>
    </row>
    <row r="91" ht="45" customHeight="1" s="115">
      <c r="A91" s="128" t="inlineStr">
        <is>
          <t>Vintage</t>
        </is>
      </c>
      <c r="B91" s="123" t="n">
        <v>0</v>
      </c>
      <c r="C91" s="123" t="inlineStr">
        <is>
          <t>Previous ACA chargeoff</t>
        </is>
      </c>
      <c r="D91" s="123" t="inlineStr">
        <is>
          <t>Small amount financed</t>
        </is>
      </c>
      <c r="E91" s="123" t="inlineStr">
        <is>
          <t>Zero cash down</t>
        </is>
      </c>
      <c r="F91" s="123" t="inlineStr">
        <is>
          <t>High mileage vehicle</t>
        </is>
      </c>
      <c r="G91" s="123" t="inlineStr">
        <is>
          <t>High PTI</t>
        </is>
      </c>
      <c r="H91" s="123" t="inlineStr">
        <is>
          <t>Car make</t>
        </is>
      </c>
      <c r="I91" s="123" t="inlineStr">
        <is>
          <t>Theft risk</t>
        </is>
      </c>
      <c r="J91" s="124" t="inlineStr">
        <is>
          <t>MCY high model score, low mileage</t>
        </is>
      </c>
      <c r="K91" s="123" t="inlineStr">
        <is>
          <t>Weekday/weekend decision</t>
        </is>
      </c>
      <c r="L91" s="123" t="inlineStr">
        <is>
          <t>Secured credit (Chime, etc.)</t>
        </is>
      </c>
      <c r="M91" s="123" t="inlineStr">
        <is>
          <t>Employment type</t>
        </is>
      </c>
      <c r="N91" s="124" t="inlineStr">
        <is>
          <t>High cash down EchoPark</t>
        </is>
      </c>
      <c r="O91" s="123" t="inlineStr">
        <is>
          <t>Authorized tradelines</t>
        </is>
      </c>
      <c r="P91" s="123" t="inlineStr">
        <is>
          <t>Clip</t>
        </is>
      </c>
      <c r="Q91" s="123" t="inlineStr">
        <is>
          <t>Vehicle Age</t>
        </is>
      </c>
      <c r="R91" s="123" t="inlineStr">
        <is>
          <t>Dealer Level (Non-KMX)</t>
        </is>
      </c>
      <c r="S91" s="123" t="inlineStr">
        <is>
          <t>Mileage/age</t>
        </is>
      </c>
      <c r="T91" s="123" t="inlineStr">
        <is>
          <t>Japanese</t>
        </is>
      </c>
      <c r="U91" s="123" t="inlineStr">
        <is>
          <t>Vehicle class</t>
        </is>
      </c>
      <c r="V91" s="123" t="inlineStr">
        <is>
          <t>Fuel type</t>
        </is>
      </c>
      <c r="W91" s="123" t="inlineStr">
        <is>
          <t>Luxury classification</t>
        </is>
      </c>
      <c r="X91" s="123" t="inlineStr">
        <is>
          <t>LOB</t>
        </is>
      </c>
      <c r="Y91" s="123" t="inlineStr">
        <is>
          <t>Driver flag</t>
        </is>
      </c>
      <c r="Z91" s="124" t="inlineStr">
        <is>
          <t>Impound probability</t>
        </is>
      </c>
      <c r="AA91" s="124" t="inlineStr">
        <is>
          <t>Job time</t>
        </is>
      </c>
      <c r="AB91" s="124" t="inlineStr">
        <is>
          <t>Low FICO</t>
        </is>
      </c>
      <c r="AC91" s="124" t="inlineStr">
        <is>
          <t>Low Vantage</t>
        </is>
      </c>
      <c r="AD91" s="124" t="inlineStr">
        <is>
          <t>Louisiana</t>
        </is>
      </c>
      <c r="AE91" s="124" t="inlineStr">
        <is>
          <t>Existing DQ</t>
        </is>
      </c>
      <c r="AF91" s="123" t="inlineStr">
        <is>
          <t>Null FICO with Vantage</t>
        </is>
      </c>
      <c r="AG91" s="124" t="inlineStr">
        <is>
          <t>Soft Pull</t>
        </is>
      </c>
    </row>
    <row r="92">
      <c r="A92" s="127" t="inlineStr">
        <is>
          <t>2016 Q1</t>
        </is>
      </c>
      <c r="B92" s="66" t="n">
        <v>0</v>
      </c>
      <c r="C92" s="66" t="n">
        <v>-0.09107853232390539</v>
      </c>
      <c r="D92" s="66" t="n">
        <v>-0.009568487210117382</v>
      </c>
      <c r="E92" s="66" t="n">
        <v>-0.1453810257412727</v>
      </c>
      <c r="F92" s="66" t="n">
        <v>-0.380641368624083</v>
      </c>
      <c r="G92" s="66" t="n">
        <v>-0.01223584392997168</v>
      </c>
      <c r="H92" s="66" t="n">
        <v>0.3534108707409018</v>
      </c>
      <c r="I92" s="66" t="n">
        <v>0.2531512216659593</v>
      </c>
      <c r="J92" s="99" t="n">
        <v>0</v>
      </c>
      <c r="K92" s="66" t="n">
        <v>-0.04584437841677413</v>
      </c>
      <c r="L92" s="66" t="n">
        <v>-0.6309345143598932</v>
      </c>
      <c r="M92" s="66" t="n">
        <v>0</v>
      </c>
      <c r="N92" s="99" t="n">
        <v>0</v>
      </c>
      <c r="O92" s="66" t="n">
        <v>-0.04554262572690959</v>
      </c>
      <c r="P92" s="66" t="n">
        <v>0.1040135370285213</v>
      </c>
      <c r="Q92" s="66" t="n">
        <v>0</v>
      </c>
      <c r="R92" s="66" t="n">
        <v>0.9723865933582374</v>
      </c>
      <c r="S92" s="66" t="n">
        <v>0</v>
      </c>
      <c r="T92" s="66" t="n">
        <v>0</v>
      </c>
      <c r="U92" s="66" t="n">
        <v>0</v>
      </c>
      <c r="V92" s="66" t="n">
        <v>0</v>
      </c>
      <c r="W92" s="66" t="n">
        <v>0</v>
      </c>
      <c r="X92" s="66" t="n">
        <v>0</v>
      </c>
      <c r="Y92" s="66" t="n">
        <v>0</v>
      </c>
      <c r="Z92" s="99" t="n">
        <v>0</v>
      </c>
      <c r="AA92" s="99" t="n">
        <v>0</v>
      </c>
      <c r="AB92" s="99" t="n">
        <v>0</v>
      </c>
      <c r="AC92" s="99" t="n">
        <v>0</v>
      </c>
      <c r="AD92" s="99" t="n">
        <v>0</v>
      </c>
      <c r="AE92" s="99" t="n">
        <v>0</v>
      </c>
      <c r="AF92" s="66" t="n">
        <v>-0.06929249730973197</v>
      </c>
      <c r="AG92" s="99" t="n">
        <v>0</v>
      </c>
    </row>
    <row r="93">
      <c r="A93" s="127" t="inlineStr">
        <is>
          <t>2016 Q2</t>
        </is>
      </c>
      <c r="B93" s="66" t="n">
        <v>0</v>
      </c>
      <c r="C93" s="66" t="n">
        <v>-0.01809069781828043</v>
      </c>
      <c r="D93" s="66" t="n">
        <v>-0.007247240388579712</v>
      </c>
      <c r="E93" s="66" t="n">
        <v>-0.1717777277652033</v>
      </c>
      <c r="F93" s="66" t="n">
        <v>-0.3746370273024695</v>
      </c>
      <c r="G93" s="66" t="n">
        <v>-0.01399077632936496</v>
      </c>
      <c r="H93" s="66" t="n">
        <v>0.299101318416092</v>
      </c>
      <c r="I93" s="66" t="n">
        <v>0.2693428314278776</v>
      </c>
      <c r="J93" s="99" t="n">
        <v>0</v>
      </c>
      <c r="K93" s="66" t="n">
        <v>-0.04704850370205804</v>
      </c>
      <c r="L93" s="66" t="n">
        <v>-0.005583603754104161</v>
      </c>
      <c r="M93" s="66" t="n">
        <v>0</v>
      </c>
      <c r="N93" s="99" t="n">
        <v>0</v>
      </c>
      <c r="O93" s="66" t="n">
        <v>-0.01488554419819366</v>
      </c>
      <c r="P93" s="66" t="n">
        <v>0.01741534670205169</v>
      </c>
      <c r="Q93" s="66" t="n">
        <v>0</v>
      </c>
      <c r="R93" s="66" t="n">
        <v>1.094301044390704</v>
      </c>
      <c r="S93" s="66" t="n">
        <v>0</v>
      </c>
      <c r="T93" s="66" t="n">
        <v>0</v>
      </c>
      <c r="U93" s="66" t="n">
        <v>0</v>
      </c>
      <c r="V93" s="66" t="n">
        <v>0</v>
      </c>
      <c r="W93" s="66" t="n">
        <v>0</v>
      </c>
      <c r="X93" s="66" t="n">
        <v>0</v>
      </c>
      <c r="Y93" s="66" t="n">
        <v>0</v>
      </c>
      <c r="Z93" s="99" t="n">
        <v>0</v>
      </c>
      <c r="AA93" s="99" t="n">
        <v>0</v>
      </c>
      <c r="AB93" s="99" t="n">
        <v>0</v>
      </c>
      <c r="AC93" s="99" t="n">
        <v>0</v>
      </c>
      <c r="AD93" s="99" t="n">
        <v>0</v>
      </c>
      <c r="AE93" s="99" t="n">
        <v>0</v>
      </c>
      <c r="AF93" s="66" t="n">
        <v>0.1166939733683421</v>
      </c>
      <c r="AG93" s="99" t="n">
        <v>0</v>
      </c>
    </row>
    <row r="94">
      <c r="A94" s="127" t="inlineStr">
        <is>
          <t>2016 Q3</t>
        </is>
      </c>
      <c r="B94" s="66" t="n">
        <v>0</v>
      </c>
      <c r="C94" s="66" t="n">
        <v>-0.003217264899774364</v>
      </c>
      <c r="D94" s="66" t="n">
        <v>-0.006829118980476778</v>
      </c>
      <c r="E94" s="66" t="n">
        <v>-0.260991623011563</v>
      </c>
      <c r="F94" s="66" t="n">
        <v>-0.3505048232567844</v>
      </c>
      <c r="G94" s="66" t="n">
        <v>-0.01454626512105506</v>
      </c>
      <c r="H94" s="66" t="n">
        <v>0.2790533380230613</v>
      </c>
      <c r="I94" s="66" t="n">
        <v>0.28211501463079</v>
      </c>
      <c r="J94" s="99" t="n">
        <v>0</v>
      </c>
      <c r="K94" s="66" t="n">
        <v>-0.09168665560244449</v>
      </c>
      <c r="L94" s="66" t="n">
        <v>0.2388306507327229</v>
      </c>
      <c r="M94" s="66" t="n">
        <v>0</v>
      </c>
      <c r="N94" s="99" t="n">
        <v>0</v>
      </c>
      <c r="O94" s="66" t="n">
        <v>0</v>
      </c>
      <c r="P94" s="66" t="n">
        <v>0.003286702882775216</v>
      </c>
      <c r="Q94" s="66" t="n">
        <v>0</v>
      </c>
      <c r="R94" s="66" t="n">
        <v>0.6324048585598234</v>
      </c>
      <c r="S94" s="66" t="n">
        <v>0</v>
      </c>
      <c r="T94" s="66" t="n">
        <v>0</v>
      </c>
      <c r="U94" s="66" t="n">
        <v>0</v>
      </c>
      <c r="V94" s="66" t="n">
        <v>0</v>
      </c>
      <c r="W94" s="66" t="n">
        <v>0</v>
      </c>
      <c r="X94" s="66" t="n">
        <v>0</v>
      </c>
      <c r="Y94" s="66" t="n">
        <v>0</v>
      </c>
      <c r="Z94" s="99" t="n">
        <v>0</v>
      </c>
      <c r="AA94" s="99" t="n">
        <v>0</v>
      </c>
      <c r="AB94" s="99" t="n">
        <v>0</v>
      </c>
      <c r="AC94" s="99" t="n">
        <v>0</v>
      </c>
      <c r="AD94" s="99" t="n">
        <v>0</v>
      </c>
      <c r="AE94" s="99" t="n">
        <v>0</v>
      </c>
      <c r="AF94" s="66" t="n">
        <v>0.2172540511532475</v>
      </c>
      <c r="AG94" s="99" t="n">
        <v>0</v>
      </c>
    </row>
    <row r="95">
      <c r="A95" s="127" t="inlineStr">
        <is>
          <t>2016 Q4</t>
        </is>
      </c>
      <c r="B95" s="66" t="n">
        <v>0</v>
      </c>
      <c r="C95" s="66" t="n">
        <v>-0.007250469524308301</v>
      </c>
      <c r="D95" s="66" t="n">
        <v>-0.005983866831513751</v>
      </c>
      <c r="E95" s="66" t="n">
        <v>-0.2660394231729413</v>
      </c>
      <c r="F95" s="66" t="n">
        <v>-0.343036927199762</v>
      </c>
      <c r="G95" s="66" t="n">
        <v>-0.0132150523013479</v>
      </c>
      <c r="H95" s="66" t="n">
        <v>0.2756724926069012</v>
      </c>
      <c r="I95" s="66" t="n">
        <v>0.2825470598008337</v>
      </c>
      <c r="J95" s="99" t="n">
        <v>0</v>
      </c>
      <c r="K95" s="66" t="n">
        <v>-0.05819382012776941</v>
      </c>
      <c r="L95" s="66" t="n">
        <v>0.2390921348320774</v>
      </c>
      <c r="M95" s="66" t="n">
        <v>0</v>
      </c>
      <c r="N95" s="99" t="n">
        <v>0</v>
      </c>
      <c r="O95" s="66" t="n">
        <v>0</v>
      </c>
      <c r="P95" s="66" t="n">
        <v>0.002454457505535856</v>
      </c>
      <c r="Q95" s="66" t="n">
        <v>0</v>
      </c>
      <c r="R95" s="66" t="n">
        <v>0.6417864174342185</v>
      </c>
      <c r="S95" s="66" t="n">
        <v>0</v>
      </c>
      <c r="T95" s="66" t="n">
        <v>0</v>
      </c>
      <c r="U95" s="66" t="n">
        <v>0</v>
      </c>
      <c r="V95" s="66" t="n">
        <v>0</v>
      </c>
      <c r="W95" s="66" t="n">
        <v>0</v>
      </c>
      <c r="X95" s="66" t="n">
        <v>0</v>
      </c>
      <c r="Y95" s="66" t="n">
        <v>0</v>
      </c>
      <c r="Z95" s="99" t="n">
        <v>0</v>
      </c>
      <c r="AA95" s="99" t="n">
        <v>0</v>
      </c>
      <c r="AB95" s="99" t="n">
        <v>0</v>
      </c>
      <c r="AC95" s="99" t="n">
        <v>0</v>
      </c>
      <c r="AD95" s="99" t="n">
        <v>0</v>
      </c>
      <c r="AE95" s="99" t="n">
        <v>0</v>
      </c>
      <c r="AF95" s="66" t="n">
        <v>0.217430513143114</v>
      </c>
      <c r="AG95" s="99" t="n">
        <v>0</v>
      </c>
    </row>
    <row r="96">
      <c r="A96" s="127" t="inlineStr">
        <is>
          <t>2017 Q1</t>
        </is>
      </c>
      <c r="B96" s="66" t="n">
        <v>0</v>
      </c>
      <c r="C96" s="66" t="n">
        <v>-0.01119828694803005</v>
      </c>
      <c r="D96" s="66" t="n">
        <v>-0.006742286141474096</v>
      </c>
      <c r="E96" s="66" t="n">
        <v>-0.1789930120349084</v>
      </c>
      <c r="F96" s="66" t="n">
        <v>-0.346552943569435</v>
      </c>
      <c r="G96" s="66" t="n">
        <v>-0.01384896887114451</v>
      </c>
      <c r="H96" s="66" t="n">
        <v>0.3137282048234624</v>
      </c>
      <c r="I96" s="66" t="n">
        <v>0.2807841710840648</v>
      </c>
      <c r="J96" s="99" t="n">
        <v>0</v>
      </c>
      <c r="K96" s="66" t="n">
        <v>-0.0837538185778044</v>
      </c>
      <c r="L96" s="66" t="n">
        <v>0.2374824433271954</v>
      </c>
      <c r="M96" s="66" t="n">
        <v>0</v>
      </c>
      <c r="N96" s="99" t="n">
        <v>0</v>
      </c>
      <c r="O96" s="66" t="n">
        <v>-0.0144689188167888</v>
      </c>
      <c r="P96" s="66" t="n">
        <v>0.0007588115390149142</v>
      </c>
      <c r="Q96" s="66" t="n">
        <v>0</v>
      </c>
      <c r="R96" s="66" t="n">
        <v>0.7544264852466256</v>
      </c>
      <c r="S96" s="66" t="n">
        <v>0</v>
      </c>
      <c r="T96" s="66" t="n">
        <v>0</v>
      </c>
      <c r="U96" s="66" t="n">
        <v>0</v>
      </c>
      <c r="V96" s="66" t="n">
        <v>0</v>
      </c>
      <c r="W96" s="66" t="n">
        <v>0</v>
      </c>
      <c r="X96" s="66" t="n">
        <v>0</v>
      </c>
      <c r="Y96" s="66" t="n">
        <v>0</v>
      </c>
      <c r="Z96" s="99" t="n">
        <v>0</v>
      </c>
      <c r="AA96" s="99" t="n">
        <v>0</v>
      </c>
      <c r="AB96" s="99" t="n">
        <v>0</v>
      </c>
      <c r="AC96" s="99" t="n">
        <v>0</v>
      </c>
      <c r="AD96" s="99" t="n">
        <v>0</v>
      </c>
      <c r="AE96" s="99" t="n">
        <v>0</v>
      </c>
      <c r="AF96" s="66" t="n">
        <v>0.2158971881271725</v>
      </c>
      <c r="AG96" s="99" t="n">
        <v>0</v>
      </c>
    </row>
    <row r="97">
      <c r="A97" s="127" t="inlineStr">
        <is>
          <t>2017 Q2</t>
        </is>
      </c>
      <c r="B97" s="66" t="n">
        <v>0</v>
      </c>
      <c r="C97" s="66" t="n">
        <v>-0.009210718195362233</v>
      </c>
      <c r="D97" s="66" t="n">
        <v>-0.006393309572899852</v>
      </c>
      <c r="E97" s="66" t="n">
        <v>-0.2124906424286905</v>
      </c>
      <c r="F97" s="66" t="n">
        <v>-0.3137332946264166</v>
      </c>
      <c r="G97" s="66" t="n">
        <v>-0.01808251904998315</v>
      </c>
      <c r="H97" s="66" t="n">
        <v>0.2957003416917132</v>
      </c>
      <c r="I97" s="66" t="n">
        <v>0.2796594791728921</v>
      </c>
      <c r="J97" s="99" t="n">
        <v>0</v>
      </c>
      <c r="K97" s="66" t="n">
        <v>-0.09227123466214948</v>
      </c>
      <c r="L97" s="66" t="n">
        <v>0.2367134203894921</v>
      </c>
      <c r="M97" s="66" t="n">
        <v>0</v>
      </c>
      <c r="N97" s="99" t="n">
        <v>0</v>
      </c>
      <c r="O97" s="66" t="n">
        <v>-0.004258217829999467</v>
      </c>
      <c r="P97" s="66" t="n">
        <v>0.002262469851132209</v>
      </c>
      <c r="Q97" s="66" t="n">
        <v>0</v>
      </c>
      <c r="R97" s="66" t="n">
        <v>0.7574422369769991</v>
      </c>
      <c r="S97" s="66" t="n">
        <v>0</v>
      </c>
      <c r="T97" s="66" t="n">
        <v>0</v>
      </c>
      <c r="U97" s="66" t="n">
        <v>0</v>
      </c>
      <c r="V97" s="66" t="n">
        <v>0</v>
      </c>
      <c r="W97" s="66" t="n">
        <v>0</v>
      </c>
      <c r="X97" s="66" t="n">
        <v>0</v>
      </c>
      <c r="Y97" s="66" t="n">
        <v>0</v>
      </c>
      <c r="Z97" s="99" t="n">
        <v>0</v>
      </c>
      <c r="AA97" s="99" t="n">
        <v>0</v>
      </c>
      <c r="AB97" s="99" t="n">
        <v>0</v>
      </c>
      <c r="AC97" s="99" t="n">
        <v>0</v>
      </c>
      <c r="AD97" s="99" t="n">
        <v>0</v>
      </c>
      <c r="AE97" s="99" t="n">
        <v>0</v>
      </c>
      <c r="AF97" s="66" t="n">
        <v>0.2153054607838101</v>
      </c>
      <c r="AG97" s="99" t="n">
        <v>0</v>
      </c>
    </row>
    <row r="98">
      <c r="A98" s="127" t="inlineStr">
        <is>
          <t>2017 Q3</t>
        </is>
      </c>
      <c r="B98" s="66" t="n">
        <v>0</v>
      </c>
      <c r="C98" s="66" t="n">
        <v>-0.03161784553742564</v>
      </c>
      <c r="D98" s="66" t="n">
        <v>-0.006250598948270181</v>
      </c>
      <c r="E98" s="66" t="n">
        <v>-0.2583341781874537</v>
      </c>
      <c r="F98" s="66" t="n">
        <v>-0.3116856993667909</v>
      </c>
      <c r="G98" s="66" t="n">
        <v>-0.01998175149861936</v>
      </c>
      <c r="H98" s="66" t="n">
        <v>0.2824256081491399</v>
      </c>
      <c r="I98" s="66" t="n">
        <v>0.2778358327605019</v>
      </c>
      <c r="J98" s="99" t="n">
        <v>0</v>
      </c>
      <c r="K98" s="66" t="n">
        <v>-0.08542652012960161</v>
      </c>
      <c r="L98" s="66" t="n">
        <v>0.2351577043914403</v>
      </c>
      <c r="M98" s="66" t="n">
        <v>0</v>
      </c>
      <c r="N98" s="99" t="n">
        <v>0</v>
      </c>
      <c r="O98" s="66" t="n">
        <v>-0.01209805022395471</v>
      </c>
      <c r="P98" s="66" t="n">
        <v>0.004671286961666965</v>
      </c>
      <c r="Q98" s="66" t="n">
        <v>0</v>
      </c>
      <c r="R98" s="66" t="n">
        <v>0.966862461452024</v>
      </c>
      <c r="S98" s="66" t="n">
        <v>0</v>
      </c>
      <c r="T98" s="66" t="n">
        <v>0</v>
      </c>
      <c r="U98" s="66" t="n">
        <v>0</v>
      </c>
      <c r="V98" s="66" t="n">
        <v>0</v>
      </c>
      <c r="W98" s="66" t="n">
        <v>0</v>
      </c>
      <c r="X98" s="66" t="n">
        <v>0</v>
      </c>
      <c r="Y98" s="66" t="n">
        <v>0</v>
      </c>
      <c r="Z98" s="99" t="n">
        <v>0</v>
      </c>
      <c r="AA98" s="99" t="n">
        <v>0</v>
      </c>
      <c r="AB98" s="99" t="n">
        <v>0</v>
      </c>
      <c r="AC98" s="99" t="n">
        <v>0</v>
      </c>
      <c r="AD98" s="99" t="n">
        <v>0</v>
      </c>
      <c r="AE98" s="99" t="n">
        <v>0</v>
      </c>
      <c r="AF98" s="66" t="n">
        <v>0.2138833040377506</v>
      </c>
      <c r="AG98" s="99" t="n">
        <v>0</v>
      </c>
    </row>
    <row r="99">
      <c r="A99" s="127" t="inlineStr">
        <is>
          <t>2017 Q4</t>
        </is>
      </c>
      <c r="B99" s="66" t="n">
        <v>0</v>
      </c>
      <c r="C99" s="66" t="n">
        <v>-0.02527110217749851</v>
      </c>
      <c r="D99" s="66" t="n">
        <v>-0.004430533691589744</v>
      </c>
      <c r="E99" s="66" t="n">
        <v>-0.2526815995858556</v>
      </c>
      <c r="F99" s="66" t="n">
        <v>-0.3114604734670365</v>
      </c>
      <c r="G99" s="66" t="n">
        <v>-0.0250140716013334</v>
      </c>
      <c r="H99" s="66" t="n">
        <v>0.277946816464663</v>
      </c>
      <c r="I99" s="66" t="n">
        <v>0.2823224637897681</v>
      </c>
      <c r="J99" s="99" t="n">
        <v>0</v>
      </c>
      <c r="K99" s="66" t="n">
        <v>-0.08728502863147014</v>
      </c>
      <c r="L99" s="66" t="n">
        <v>0.2389448664621057</v>
      </c>
      <c r="M99" s="66" t="n">
        <v>0</v>
      </c>
      <c r="N99" s="99" t="n">
        <v>0</v>
      </c>
      <c r="O99" s="66" t="n">
        <v>-0.006611028405558272</v>
      </c>
      <c r="P99" s="66" t="n">
        <v>0.006421298068289616</v>
      </c>
      <c r="Q99" s="66" t="n">
        <v>0</v>
      </c>
      <c r="R99" s="66" t="n">
        <v>0.5910450976042796</v>
      </c>
      <c r="S99" s="66" t="n">
        <v>0</v>
      </c>
      <c r="T99" s="66" t="n">
        <v>0</v>
      </c>
      <c r="U99" s="66" t="n">
        <v>0</v>
      </c>
      <c r="V99" s="66" t="n">
        <v>0</v>
      </c>
      <c r="W99" s="66" t="n">
        <v>0</v>
      </c>
      <c r="X99" s="66" t="n">
        <v>0</v>
      </c>
      <c r="Y99" s="66" t="n">
        <v>0</v>
      </c>
      <c r="Z99" s="99" t="n">
        <v>0</v>
      </c>
      <c r="AA99" s="99" t="n">
        <v>0</v>
      </c>
      <c r="AB99" s="99" t="n">
        <v>0</v>
      </c>
      <c r="AC99" s="99" t="n">
        <v>0</v>
      </c>
      <c r="AD99" s="99" t="n">
        <v>0</v>
      </c>
      <c r="AE99" s="99" t="n">
        <v>0</v>
      </c>
      <c r="AF99" s="66" t="n">
        <v>0.2173217914305781</v>
      </c>
      <c r="AG99" s="99" t="n">
        <v>0</v>
      </c>
    </row>
    <row r="100">
      <c r="A100" s="127" t="inlineStr">
        <is>
          <t>2018 Q1</t>
        </is>
      </c>
      <c r="B100" s="66" t="n">
        <v>0</v>
      </c>
      <c r="C100" s="66" t="n">
        <v>-0.01825622799952953</v>
      </c>
      <c r="D100" s="66" t="n">
        <v>-0.008104316760267238</v>
      </c>
      <c r="E100" s="66" t="n">
        <v>-0.1801038662426606</v>
      </c>
      <c r="F100" s="66" t="n">
        <v>-0.3429610841637327</v>
      </c>
      <c r="G100" s="66" t="n">
        <v>-0.009097741861069153</v>
      </c>
      <c r="H100" s="66" t="n">
        <v>0.2939625849586207</v>
      </c>
      <c r="I100" s="66" t="n">
        <v>0.2790906337772867</v>
      </c>
      <c r="J100" s="99" t="n">
        <v>0</v>
      </c>
      <c r="K100" s="66" t="n">
        <v>-0.0542474918948983</v>
      </c>
      <c r="L100" s="66" t="n">
        <v>0.2361478430999568</v>
      </c>
      <c r="M100" s="66" t="n">
        <v>0</v>
      </c>
      <c r="N100" s="99" t="n">
        <v>0</v>
      </c>
      <c r="O100" s="66" t="n">
        <v>-0.01278093448846107</v>
      </c>
      <c r="P100" s="66" t="n">
        <v>0.003036510860965791</v>
      </c>
      <c r="Q100" s="66" t="n">
        <v>0</v>
      </c>
      <c r="R100" s="66" t="n">
        <v>0.820979085733768</v>
      </c>
      <c r="S100" s="66" t="n">
        <v>0</v>
      </c>
      <c r="T100" s="66" t="n">
        <v>0</v>
      </c>
      <c r="U100" s="66" t="n">
        <v>0</v>
      </c>
      <c r="V100" s="66" t="n">
        <v>0</v>
      </c>
      <c r="W100" s="66" t="n">
        <v>0</v>
      </c>
      <c r="X100" s="66" t="n">
        <v>0</v>
      </c>
      <c r="Y100" s="66" t="n">
        <v>0</v>
      </c>
      <c r="Z100" s="99" t="n">
        <v>0</v>
      </c>
      <c r="AA100" s="99" t="n">
        <v>0</v>
      </c>
      <c r="AB100" s="99" t="n">
        <v>0</v>
      </c>
      <c r="AC100" s="99" t="n">
        <v>0</v>
      </c>
      <c r="AD100" s="99" t="n">
        <v>0</v>
      </c>
      <c r="AE100" s="99" t="n">
        <v>0</v>
      </c>
      <c r="AF100" s="66" t="n">
        <v>0.2147415125956513</v>
      </c>
      <c r="AG100" s="99" t="n">
        <v>0</v>
      </c>
    </row>
    <row r="101">
      <c r="A101" s="127" t="inlineStr">
        <is>
          <t>2018 Q2</t>
        </is>
      </c>
      <c r="B101" s="66" t="n">
        <v>0</v>
      </c>
      <c r="C101" s="66" t="n">
        <v>-0.01262214648258464</v>
      </c>
      <c r="D101" s="66" t="n">
        <v>-0.007569709229329646</v>
      </c>
      <c r="E101" s="66" t="n">
        <v>-0.2047902191815751</v>
      </c>
      <c r="F101" s="66" t="n">
        <v>-0.3313847624363291</v>
      </c>
      <c r="G101" s="66" t="n">
        <v>-0.01174359750666554</v>
      </c>
      <c r="H101" s="66" t="n">
        <v>0.3220323802075313</v>
      </c>
      <c r="I101" s="66" t="n">
        <v>0.278945659187201</v>
      </c>
      <c r="J101" s="99" t="n">
        <v>0</v>
      </c>
      <c r="K101" s="66" t="n">
        <v>-0.0743805545591556</v>
      </c>
      <c r="L101" s="66" t="n">
        <v>0.2359859532174085</v>
      </c>
      <c r="M101" s="66" t="n">
        <v>0</v>
      </c>
      <c r="N101" s="99" t="n">
        <v>0</v>
      </c>
      <c r="O101" s="66" t="n">
        <v>-0.0182653335925238</v>
      </c>
      <c r="P101" s="66" t="n">
        <v>0.002859742997316062</v>
      </c>
      <c r="Q101" s="66" t="n">
        <v>0</v>
      </c>
      <c r="R101" s="66" t="n">
        <v>0.852394846945316</v>
      </c>
      <c r="S101" s="66" t="n">
        <v>0</v>
      </c>
      <c r="T101" s="66" t="n">
        <v>0</v>
      </c>
      <c r="U101" s="66" t="n">
        <v>0</v>
      </c>
      <c r="V101" s="66" t="n">
        <v>0</v>
      </c>
      <c r="W101" s="66" t="n">
        <v>0</v>
      </c>
      <c r="X101" s="66" t="n">
        <v>0</v>
      </c>
      <c r="Y101" s="66" t="n">
        <v>0</v>
      </c>
      <c r="Z101" s="99" t="n">
        <v>0</v>
      </c>
      <c r="AA101" s="99" t="n">
        <v>0</v>
      </c>
      <c r="AB101" s="99" t="n">
        <v>0</v>
      </c>
      <c r="AC101" s="99" t="n">
        <v>0</v>
      </c>
      <c r="AD101" s="99" t="n">
        <v>0</v>
      </c>
      <c r="AE101" s="99" t="n">
        <v>0</v>
      </c>
      <c r="AF101" s="66" t="n">
        <v>0.2145711906961196</v>
      </c>
      <c r="AG101" s="99" t="n">
        <v>0</v>
      </c>
    </row>
    <row r="102">
      <c r="A102" s="127" t="inlineStr">
        <is>
          <t>2018 Q3</t>
        </is>
      </c>
      <c r="B102" s="66" t="n">
        <v>0</v>
      </c>
      <c r="C102" s="66" t="n">
        <v>-0.01871266920147718</v>
      </c>
      <c r="D102" s="66" t="n">
        <v>-0.007743317915014813</v>
      </c>
      <c r="E102" s="66" t="n">
        <v>-0.2842024409669079</v>
      </c>
      <c r="F102" s="66" t="n">
        <v>-0.3786736081148376</v>
      </c>
      <c r="G102" s="66" t="n">
        <v>-0.01123311673910621</v>
      </c>
      <c r="H102" s="66" t="n">
        <v>0.2851671909626816</v>
      </c>
      <c r="I102" s="66" t="n">
        <v>0.2815763401218874</v>
      </c>
      <c r="J102" s="99" t="n">
        <v>0</v>
      </c>
      <c r="K102" s="66" t="n">
        <v>-0.06291284895385729</v>
      </c>
      <c r="L102" s="66" t="n">
        <v>0.2384584098862206</v>
      </c>
      <c r="M102" s="66" t="n">
        <v>0</v>
      </c>
      <c r="N102" s="99" t="n">
        <v>0</v>
      </c>
      <c r="O102" s="66" t="n">
        <v>-0.02343805947600686</v>
      </c>
      <c r="P102" s="66" t="n">
        <v>0.004699369463480707</v>
      </c>
      <c r="Q102" s="66" t="n">
        <v>0</v>
      </c>
      <c r="R102" s="66" t="n">
        <v>0.6527422938627865</v>
      </c>
      <c r="S102" s="66" t="n">
        <v>0</v>
      </c>
      <c r="T102" s="66" t="n">
        <v>0</v>
      </c>
      <c r="U102" s="66" t="n">
        <v>0</v>
      </c>
      <c r="V102" s="66" t="n">
        <v>0</v>
      </c>
      <c r="W102" s="66" t="n">
        <v>0</v>
      </c>
      <c r="X102" s="66" t="n">
        <v>0</v>
      </c>
      <c r="Y102" s="66" t="n">
        <v>0</v>
      </c>
      <c r="Z102" s="99" t="n">
        <v>0</v>
      </c>
      <c r="AA102" s="99" t="n">
        <v>0</v>
      </c>
      <c r="AB102" s="99" t="n">
        <v>0</v>
      </c>
      <c r="AC102" s="99" t="n">
        <v>0</v>
      </c>
      <c r="AD102" s="99" t="n">
        <v>0</v>
      </c>
      <c r="AE102" s="99" t="n">
        <v>0</v>
      </c>
      <c r="AF102" s="66" t="n">
        <v>0.2169647749657031</v>
      </c>
      <c r="AG102" s="99" t="n">
        <v>0</v>
      </c>
    </row>
    <row r="103">
      <c r="A103" s="127" t="inlineStr">
        <is>
          <t>2018 Q4</t>
        </is>
      </c>
      <c r="B103" s="66" t="n">
        <v>0</v>
      </c>
      <c r="C103" s="66" t="n">
        <v>-0.01844575896660672</v>
      </c>
      <c r="D103" s="66" t="n">
        <v>-0.007837080093423765</v>
      </c>
      <c r="E103" s="66" t="n">
        <v>-0.2565056592551684</v>
      </c>
      <c r="F103" s="66" t="n">
        <v>-0.4153157087138197</v>
      </c>
      <c r="G103" s="66" t="n">
        <v>-0.02464726554515551</v>
      </c>
      <c r="H103" s="66" t="n">
        <v>0.2712852096346126</v>
      </c>
      <c r="I103" s="66" t="n">
        <v>0.2824996568374445</v>
      </c>
      <c r="J103" s="99" t="n">
        <v>0</v>
      </c>
      <c r="K103" s="66" t="n">
        <v>-0.06402377069321119</v>
      </c>
      <c r="L103" s="66" t="n">
        <v>0.2392465987200012</v>
      </c>
      <c r="M103" s="66" t="n">
        <v>0</v>
      </c>
      <c r="N103" s="99" t="n">
        <v>0</v>
      </c>
      <c r="O103" s="66" t="n">
        <v>-0.01125665306716428</v>
      </c>
      <c r="P103" s="66" t="n">
        <v>0.009436867859847098</v>
      </c>
      <c r="Q103" s="66" t="n">
        <v>0</v>
      </c>
      <c r="R103" s="66" t="n">
        <v>0.5674583887049209</v>
      </c>
      <c r="S103" s="66" t="n">
        <v>0</v>
      </c>
      <c r="T103" s="66" t="n">
        <v>0</v>
      </c>
      <c r="U103" s="66" t="n">
        <v>0</v>
      </c>
      <c r="V103" s="66" t="n">
        <v>0</v>
      </c>
      <c r="W103" s="66" t="n">
        <v>0</v>
      </c>
      <c r="X103" s="66" t="n">
        <v>0</v>
      </c>
      <c r="Y103" s="66" t="n">
        <v>0</v>
      </c>
      <c r="Z103" s="99" t="n">
        <v>0</v>
      </c>
      <c r="AA103" s="99" t="n">
        <v>0</v>
      </c>
      <c r="AB103" s="99" t="n">
        <v>0</v>
      </c>
      <c r="AC103" s="99" t="n">
        <v>0</v>
      </c>
      <c r="AD103" s="99" t="n">
        <v>0</v>
      </c>
      <c r="AE103" s="99" t="n">
        <v>0</v>
      </c>
      <c r="AF103" s="66" t="n">
        <v>0.2176856045978184</v>
      </c>
      <c r="AG103" s="99" t="n">
        <v>0</v>
      </c>
    </row>
    <row r="104">
      <c r="A104" s="127" t="inlineStr">
        <is>
          <t>2019 Q1</t>
        </is>
      </c>
      <c r="B104" s="66" t="n">
        <v>0</v>
      </c>
      <c r="C104" s="66" t="n">
        <v>-0.01490000201570751</v>
      </c>
      <c r="D104" s="66" t="n">
        <v>-0.007589116890244441</v>
      </c>
      <c r="E104" s="66" t="n">
        <v>-0.2093291634504055</v>
      </c>
      <c r="F104" s="66" t="n">
        <v>-0.3978452429174126</v>
      </c>
      <c r="G104" s="66" t="n">
        <v>-0.01527478615773248</v>
      </c>
      <c r="H104" s="66" t="n">
        <v>0.279346454236304</v>
      </c>
      <c r="I104" s="66" t="n">
        <v>0.2825598543371939</v>
      </c>
      <c r="J104" s="99" t="n">
        <v>0</v>
      </c>
      <c r="K104" s="66" t="n">
        <v>-0.05794267832655464</v>
      </c>
      <c r="L104" s="66" t="n">
        <v>0.2391862553438955</v>
      </c>
      <c r="M104" s="66" t="n">
        <v>0</v>
      </c>
      <c r="N104" s="99" t="n">
        <v>0</v>
      </c>
      <c r="O104" s="66" t="n">
        <v>-0.0168344956094586</v>
      </c>
      <c r="P104" s="66" t="n">
        <v>0.005604905330613974</v>
      </c>
      <c r="Q104" s="66" t="n">
        <v>0</v>
      </c>
      <c r="R104" s="66" t="n">
        <v>0.5659435794337924</v>
      </c>
      <c r="S104" s="66" t="n">
        <v>0</v>
      </c>
      <c r="T104" s="66" t="n">
        <v>0</v>
      </c>
      <c r="U104" s="66" t="n">
        <v>0</v>
      </c>
      <c r="V104" s="66" t="n">
        <v>0</v>
      </c>
      <c r="W104" s="66" t="n">
        <v>0</v>
      </c>
      <c r="X104" s="66" t="n">
        <v>0</v>
      </c>
      <c r="Y104" s="66" t="n">
        <v>0</v>
      </c>
      <c r="Z104" s="99" t="n">
        <v>0</v>
      </c>
      <c r="AA104" s="99" t="n">
        <v>0</v>
      </c>
      <c r="AB104" s="99" t="n">
        <v>0</v>
      </c>
      <c r="AC104" s="99" t="n">
        <v>0</v>
      </c>
      <c r="AD104" s="99" t="n">
        <v>0</v>
      </c>
      <c r="AE104" s="99" t="n">
        <v>0</v>
      </c>
      <c r="AF104" s="66" t="n">
        <v>0.2175651734214625</v>
      </c>
      <c r="AG104" s="99" t="n">
        <v>0</v>
      </c>
    </row>
    <row r="105">
      <c r="A105" s="127" t="inlineStr">
        <is>
          <t>2019 Q2</t>
        </is>
      </c>
      <c r="B105" s="66" t="n">
        <v>0</v>
      </c>
      <c r="C105" s="66" t="n">
        <v>-0.003945582567894235</v>
      </c>
      <c r="D105" s="66" t="n">
        <v>-0.007713607626925523</v>
      </c>
      <c r="E105" s="66" t="n">
        <v>-0.2342567366244452</v>
      </c>
      <c r="F105" s="66" t="n">
        <v>-0.4068894346606839</v>
      </c>
      <c r="G105" s="66" t="n">
        <v>-0.01665206083762882</v>
      </c>
      <c r="H105" s="66" t="n">
        <v>0.2690578563582449</v>
      </c>
      <c r="I105" s="66" t="n">
        <v>0.2849483661255476</v>
      </c>
      <c r="J105" s="99" t="n">
        <v>0</v>
      </c>
      <c r="K105" s="66" t="n">
        <v>-0.0651515362867201</v>
      </c>
      <c r="L105" s="66" t="n">
        <v>0.2412524574176018</v>
      </c>
      <c r="M105" s="66" t="n">
        <v>0</v>
      </c>
      <c r="N105" s="99" t="n">
        <v>0</v>
      </c>
      <c r="O105" s="66" t="n">
        <v>-0.01238487431891144</v>
      </c>
      <c r="P105" s="66" t="n">
        <v>0.005859311617740559</v>
      </c>
      <c r="Q105" s="66" t="n">
        <v>0</v>
      </c>
      <c r="R105" s="66" t="n">
        <v>0.396141614006666</v>
      </c>
      <c r="S105" s="66" t="n">
        <v>0</v>
      </c>
      <c r="T105" s="66" t="n">
        <v>0</v>
      </c>
      <c r="U105" s="66" t="n">
        <v>0</v>
      </c>
      <c r="V105" s="66" t="n">
        <v>0</v>
      </c>
      <c r="W105" s="66" t="n">
        <v>0</v>
      </c>
      <c r="X105" s="66" t="n">
        <v>0</v>
      </c>
      <c r="Y105" s="66" t="n">
        <v>0</v>
      </c>
      <c r="Z105" s="99" t="n">
        <v>0</v>
      </c>
      <c r="AA105" s="99" t="n">
        <v>0</v>
      </c>
      <c r="AB105" s="99" t="n">
        <v>0</v>
      </c>
      <c r="AC105" s="99" t="n">
        <v>0</v>
      </c>
      <c r="AD105" s="99" t="n">
        <v>0</v>
      </c>
      <c r="AE105" s="99" t="n">
        <v>0</v>
      </c>
      <c r="AF105" s="66" t="n">
        <v>0.2194707089859094</v>
      </c>
      <c r="AG105" s="99" t="n">
        <v>0</v>
      </c>
    </row>
    <row r="106">
      <c r="A106" s="127" t="inlineStr">
        <is>
          <t>2019 Q3</t>
        </is>
      </c>
      <c r="B106" s="66" t="n">
        <v>0</v>
      </c>
      <c r="C106" s="66" t="n">
        <v>-0.007906354242066982</v>
      </c>
      <c r="D106" s="66" t="n">
        <v>-0.006135287165221825</v>
      </c>
      <c r="E106" s="66" t="n">
        <v>-0.2987315526233374</v>
      </c>
      <c r="F106" s="66" t="n">
        <v>-0.4207911410505289</v>
      </c>
      <c r="G106" s="66" t="n">
        <v>-0.01138632269194773</v>
      </c>
      <c r="H106" s="66" t="n">
        <v>0.273164948393287</v>
      </c>
      <c r="I106" s="66" t="n">
        <v>0.2799820706919434</v>
      </c>
      <c r="J106" s="99" t="n">
        <v>0</v>
      </c>
      <c r="K106" s="66" t="n">
        <v>-0.05631173138684176</v>
      </c>
      <c r="L106" s="66" t="n">
        <v>0.2371320977957225</v>
      </c>
      <c r="M106" s="66" t="n">
        <v>0</v>
      </c>
      <c r="N106" s="99" t="n">
        <v>0</v>
      </c>
      <c r="O106" s="66" t="n">
        <v>-0.016285583862782</v>
      </c>
      <c r="P106" s="66" t="n">
        <v>0.004081034909972914</v>
      </c>
      <c r="Q106" s="66" t="n">
        <v>0</v>
      </c>
      <c r="R106" s="66" t="n">
        <v>0.8264238613819259</v>
      </c>
      <c r="S106" s="66" t="n">
        <v>0</v>
      </c>
      <c r="T106" s="66" t="n">
        <v>0</v>
      </c>
      <c r="U106" s="66" t="n">
        <v>0</v>
      </c>
      <c r="V106" s="66" t="n">
        <v>0</v>
      </c>
      <c r="W106" s="66" t="n">
        <v>0</v>
      </c>
      <c r="X106" s="66" t="n">
        <v>0</v>
      </c>
      <c r="Y106" s="66" t="n">
        <v>0</v>
      </c>
      <c r="Z106" s="99" t="n">
        <v>0</v>
      </c>
      <c r="AA106" s="99" t="n">
        <v>0</v>
      </c>
      <c r="AB106" s="99" t="n">
        <v>0</v>
      </c>
      <c r="AC106" s="99" t="n">
        <v>0</v>
      </c>
      <c r="AD106" s="99" t="n">
        <v>0</v>
      </c>
      <c r="AE106" s="99" t="n">
        <v>0</v>
      </c>
      <c r="AF106" s="66" t="n">
        <v>0.2157720355489801</v>
      </c>
      <c r="AG106" s="99" t="n">
        <v>0</v>
      </c>
    </row>
    <row r="107">
      <c r="A107" s="127" t="inlineStr">
        <is>
          <t>2019 Q4</t>
        </is>
      </c>
      <c r="B107" s="66" t="n">
        <v>0</v>
      </c>
      <c r="C107" s="66" t="n">
        <v>-0.006125394912629645</v>
      </c>
      <c r="D107" s="66" t="n">
        <v>-0.007334708092713527</v>
      </c>
      <c r="E107" s="66" t="n">
        <v>-0.2754980452370148</v>
      </c>
      <c r="F107" s="66" t="n">
        <v>-0.4286602668417459</v>
      </c>
      <c r="G107" s="66" t="n">
        <v>-0.01918935438709468</v>
      </c>
      <c r="H107" s="66" t="n">
        <v>0.2535247045610163</v>
      </c>
      <c r="I107" s="66" t="n">
        <v>0.2785880831202974</v>
      </c>
      <c r="J107" s="99" t="n">
        <v>0</v>
      </c>
      <c r="K107" s="66" t="n">
        <v>-0.03707487174398238</v>
      </c>
      <c r="L107" s="66" t="n">
        <v>0.2359699010338829</v>
      </c>
      <c r="M107" s="66" t="n">
        <v>0</v>
      </c>
      <c r="N107" s="99" t="n">
        <v>0</v>
      </c>
      <c r="O107" s="66" t="n">
        <v>-0.01131683017180762</v>
      </c>
      <c r="P107" s="66" t="n">
        <v>0.0067464173093299</v>
      </c>
      <c r="Q107" s="66" t="n">
        <v>0</v>
      </c>
      <c r="R107" s="66" t="n">
        <v>0.8979260102555031</v>
      </c>
      <c r="S107" s="66" t="n">
        <v>0</v>
      </c>
      <c r="T107" s="66" t="n">
        <v>0</v>
      </c>
      <c r="U107" s="66" t="n">
        <v>0</v>
      </c>
      <c r="V107" s="66" t="n">
        <v>0</v>
      </c>
      <c r="W107" s="66" t="n">
        <v>0</v>
      </c>
      <c r="X107" s="66" t="n">
        <v>0</v>
      </c>
      <c r="Y107" s="66" t="n">
        <v>0</v>
      </c>
      <c r="Z107" s="99" t="n">
        <v>0</v>
      </c>
      <c r="AA107" s="99" t="n">
        <v>0</v>
      </c>
      <c r="AB107" s="99" t="n">
        <v>0</v>
      </c>
      <c r="AC107" s="99" t="n">
        <v>0</v>
      </c>
      <c r="AD107" s="99" t="n">
        <v>0</v>
      </c>
      <c r="AE107" s="99" t="n">
        <v>0</v>
      </c>
      <c r="AF107" s="66" t="n">
        <v>0.214725382993862</v>
      </c>
      <c r="AG107" s="99" t="n">
        <v>0</v>
      </c>
    </row>
    <row r="108">
      <c r="A108" s="127" t="inlineStr">
        <is>
          <t>2020 Q1</t>
        </is>
      </c>
      <c r="B108" s="66" t="n">
        <v>0</v>
      </c>
      <c r="C108" s="66" t="n">
        <v>-0.00602533860018184</v>
      </c>
      <c r="D108" s="66" t="n">
        <v>-0.007414572849910428</v>
      </c>
      <c r="E108" s="66" t="n">
        <v>-0.1988975511081037</v>
      </c>
      <c r="F108" s="66" t="n">
        <v>-0.3700711000554691</v>
      </c>
      <c r="G108" s="66" t="n">
        <v>-0.01789296061676282</v>
      </c>
      <c r="H108" s="66" t="n">
        <v>0.257240545312726</v>
      </c>
      <c r="I108" s="66" t="n">
        <v>0.2815013784418738</v>
      </c>
      <c r="J108" s="99" t="n">
        <v>0</v>
      </c>
      <c r="K108" s="66" t="n">
        <v>-0.0405159571741649</v>
      </c>
      <c r="L108" s="66" t="n">
        <v>0.2382100988244247</v>
      </c>
      <c r="M108" s="66" t="n">
        <v>0</v>
      </c>
      <c r="N108" s="99" t="n">
        <v>0</v>
      </c>
      <c r="O108" s="66" t="n">
        <v>-0.0139767200229528</v>
      </c>
      <c r="P108" s="66" t="n">
        <v>0.00458214241464816</v>
      </c>
      <c r="Q108" s="66" t="n">
        <v>0</v>
      </c>
      <c r="R108" s="66" t="n">
        <v>0.6674258947448095</v>
      </c>
      <c r="S108" s="66" t="n">
        <v>0</v>
      </c>
      <c r="T108" s="66" t="n">
        <v>0</v>
      </c>
      <c r="U108" s="66" t="n">
        <v>0</v>
      </c>
      <c r="V108" s="66" t="n">
        <v>0</v>
      </c>
      <c r="W108" s="66" t="n">
        <v>0</v>
      </c>
      <c r="X108" s="66" t="n">
        <v>0</v>
      </c>
      <c r="Y108" s="66" t="n">
        <v>0</v>
      </c>
      <c r="Z108" s="99" t="n">
        <v>0</v>
      </c>
      <c r="AA108" s="99" t="n">
        <v>0</v>
      </c>
      <c r="AB108" s="99" t="n">
        <v>0</v>
      </c>
      <c r="AC108" s="99" t="n">
        <v>0</v>
      </c>
      <c r="AD108" s="99" t="n">
        <v>0</v>
      </c>
      <c r="AE108" s="99" t="n">
        <v>0</v>
      </c>
      <c r="AF108" s="66" t="n">
        <v>0.2166300518636319</v>
      </c>
      <c r="AG108" s="99" t="n">
        <v>0</v>
      </c>
    </row>
    <row r="109">
      <c r="A109" s="127" t="inlineStr">
        <is>
          <t>2020 Q2</t>
        </is>
      </c>
      <c r="B109" s="66" t="n">
        <v>0</v>
      </c>
      <c r="C109" s="66" t="n">
        <v>-0.009061265548183428</v>
      </c>
      <c r="D109" s="66" t="n">
        <v>-0.007751586516121733</v>
      </c>
      <c r="E109" s="66" t="n">
        <v>-0.07920696688472617</v>
      </c>
      <c r="F109" s="66" t="n">
        <v>-0.3096454251184753</v>
      </c>
      <c r="G109" s="66" t="n">
        <v>-0.03746284536202893</v>
      </c>
      <c r="H109" s="66" t="n">
        <v>0.290637385147221</v>
      </c>
      <c r="I109" s="66" t="n">
        <v>0.2818708100017773</v>
      </c>
      <c r="J109" s="99" t="n">
        <v>0</v>
      </c>
      <c r="K109" s="66" t="n">
        <v>-0.07263922387261346</v>
      </c>
      <c r="L109" s="66" t="n">
        <v>0.2383737124677907</v>
      </c>
      <c r="M109" s="66" t="n">
        <v>0</v>
      </c>
      <c r="N109" s="99" t="n">
        <v>0</v>
      </c>
      <c r="O109" s="66" t="n">
        <v>-0.01136193614405556</v>
      </c>
      <c r="P109" s="66" t="n">
        <v>0.002567798493259943</v>
      </c>
      <c r="Q109" s="66" t="n">
        <v>0</v>
      </c>
      <c r="R109" s="66" t="n">
        <v>0.5813056386252242</v>
      </c>
      <c r="S109" s="66" t="n">
        <v>0</v>
      </c>
      <c r="T109" s="66" t="n">
        <v>0</v>
      </c>
      <c r="U109" s="66" t="n">
        <v>0</v>
      </c>
      <c r="V109" s="66" t="n">
        <v>0</v>
      </c>
      <c r="W109" s="66" t="n">
        <v>0</v>
      </c>
      <c r="X109" s="66" t="n">
        <v>0</v>
      </c>
      <c r="Y109" s="66" t="n">
        <v>0</v>
      </c>
      <c r="Z109" s="99" t="n">
        <v>0</v>
      </c>
      <c r="AA109" s="99" t="n">
        <v>0</v>
      </c>
      <c r="AB109" s="99" t="n">
        <v>0</v>
      </c>
      <c r="AC109" s="99" t="n">
        <v>0</v>
      </c>
      <c r="AD109" s="99" t="n">
        <v>0</v>
      </c>
      <c r="AE109" s="99" t="n">
        <v>0</v>
      </c>
      <c r="AF109" s="66" t="n">
        <v>0.2166910683940273</v>
      </c>
      <c r="AG109" s="99" t="n">
        <v>0</v>
      </c>
    </row>
    <row r="110">
      <c r="A110" s="127" t="inlineStr">
        <is>
          <t>2020 Q3</t>
        </is>
      </c>
      <c r="B110" s="66" t="n">
        <v>0</v>
      </c>
      <c r="C110" s="66" t="n">
        <v>-0.01343525464088202</v>
      </c>
      <c r="D110" s="66" t="n">
        <v>-0.006986138616184689</v>
      </c>
      <c r="E110" s="66" t="n">
        <v>-0.090746241036328</v>
      </c>
      <c r="F110" s="66" t="n">
        <v>-0.2208458911300397</v>
      </c>
      <c r="G110" s="66" t="n">
        <v>-0.0237175795379585</v>
      </c>
      <c r="H110" s="66" t="n">
        <v>0.2517441361395356</v>
      </c>
      <c r="I110" s="66" t="n">
        <v>0.2815102233893185</v>
      </c>
      <c r="J110" s="99" t="n">
        <v>0</v>
      </c>
      <c r="K110" s="66" t="n">
        <v>-0.06797738764615247</v>
      </c>
      <c r="L110" s="66" t="n">
        <v>0.2379859358570968</v>
      </c>
      <c r="M110" s="66" t="n">
        <v>0</v>
      </c>
      <c r="N110" s="99" t="n">
        <v>0</v>
      </c>
      <c r="O110" s="66" t="n">
        <v>-0.02334031737984787</v>
      </c>
      <c r="P110" s="66" t="n">
        <v>0.0005319630180338208</v>
      </c>
      <c r="Q110" s="66" t="n">
        <v>0</v>
      </c>
      <c r="R110" s="66" t="n">
        <v>0.6302796464872245</v>
      </c>
      <c r="S110" s="66" t="n">
        <v>0</v>
      </c>
      <c r="T110" s="66" t="n">
        <v>0</v>
      </c>
      <c r="U110" s="66" t="n">
        <v>0</v>
      </c>
      <c r="V110" s="66" t="n">
        <v>0</v>
      </c>
      <c r="W110" s="66" t="n">
        <v>0</v>
      </c>
      <c r="X110" s="66" t="n">
        <v>0</v>
      </c>
      <c r="Y110" s="66" t="n">
        <v>0</v>
      </c>
      <c r="Z110" s="99" t="n">
        <v>0</v>
      </c>
      <c r="AA110" s="99" t="n">
        <v>0</v>
      </c>
      <c r="AB110" s="99" t="n">
        <v>0</v>
      </c>
      <c r="AC110" s="99" t="n">
        <v>0</v>
      </c>
      <c r="AD110" s="99" t="n">
        <v>0</v>
      </c>
      <c r="AE110" s="99" t="n">
        <v>0</v>
      </c>
      <c r="AF110" s="66" t="n">
        <v>0.2162897379811852</v>
      </c>
      <c r="AG110" s="99" t="n">
        <v>0</v>
      </c>
    </row>
    <row r="111">
      <c r="A111" s="127" t="inlineStr">
        <is>
          <t>2020 Q4</t>
        </is>
      </c>
      <c r="B111" s="66" t="n">
        <v>0</v>
      </c>
      <c r="C111" s="66" t="n">
        <v>-0.01577644424025948</v>
      </c>
      <c r="D111" s="66" t="n">
        <v>-0.004585872639324862</v>
      </c>
      <c r="E111" s="66" t="n">
        <v>-0.1274194295489792</v>
      </c>
      <c r="F111" s="66" t="n">
        <v>-0.2296155626843017</v>
      </c>
      <c r="G111" s="66" t="n">
        <v>-0.01202919320394358</v>
      </c>
      <c r="H111" s="66" t="n">
        <v>0.2652766566923503</v>
      </c>
      <c r="I111" s="66" t="n">
        <v>0.2784820651657469</v>
      </c>
      <c r="J111" s="99" t="n">
        <v>0</v>
      </c>
      <c r="K111" s="66" t="n">
        <v>-0.03791664493385838</v>
      </c>
      <c r="L111" s="66" t="n">
        <v>0.2355290860297998</v>
      </c>
      <c r="M111" s="66" t="n">
        <v>0</v>
      </c>
      <c r="N111" s="99" t="n">
        <v>0</v>
      </c>
      <c r="O111" s="66" t="n">
        <v>-0.01653731365271938</v>
      </c>
      <c r="P111" s="66" t="n">
        <v>0.0006771448446443173</v>
      </c>
      <c r="Q111" s="66" t="n">
        <v>0</v>
      </c>
      <c r="R111" s="66" t="n">
        <v>0.7848271911959444</v>
      </c>
      <c r="S111" s="66" t="n">
        <v>0</v>
      </c>
      <c r="T111" s="66" t="n">
        <v>0</v>
      </c>
      <c r="U111" s="66" t="n">
        <v>0</v>
      </c>
      <c r="V111" s="66" t="n">
        <v>0</v>
      </c>
      <c r="W111" s="66" t="n">
        <v>0</v>
      </c>
      <c r="X111" s="66" t="n">
        <v>0</v>
      </c>
      <c r="Y111" s="66" t="n">
        <v>0</v>
      </c>
      <c r="Z111" s="99" t="n">
        <v>0</v>
      </c>
      <c r="AA111" s="99" t="n">
        <v>0</v>
      </c>
      <c r="AB111" s="99" t="n">
        <v>0</v>
      </c>
      <c r="AC111" s="99" t="n">
        <v>0</v>
      </c>
      <c r="AD111" s="99" t="n">
        <v>0</v>
      </c>
      <c r="AE111" s="99" t="n">
        <v>0</v>
      </c>
      <c r="AF111" s="66" t="n">
        <v>0.2141176767332524</v>
      </c>
      <c r="AG111" s="99" t="n">
        <v>0</v>
      </c>
    </row>
    <row r="112">
      <c r="A112" s="127" t="inlineStr">
        <is>
          <t>2021 Q1</t>
        </is>
      </c>
      <c r="B112" s="66" t="n">
        <v>0</v>
      </c>
      <c r="C112" s="66" t="n">
        <v>-0.009081145219255404</v>
      </c>
      <c r="D112" s="66" t="n">
        <v>-0.007436171046350637</v>
      </c>
      <c r="E112" s="66" t="n">
        <v>-0.07698190871303723</v>
      </c>
      <c r="F112" s="66" t="n">
        <v>-0.18640345884927</v>
      </c>
      <c r="G112" s="66" t="n">
        <v>-0.009691081085179576</v>
      </c>
      <c r="H112" s="66" t="n">
        <v>0.2659016730091821</v>
      </c>
      <c r="I112" s="66" t="n">
        <v>0.2795546567689939</v>
      </c>
      <c r="J112" s="99" t="n">
        <v>0</v>
      </c>
      <c r="K112" s="66" t="n">
        <v>-0.05068619649077277</v>
      </c>
      <c r="L112" s="66" t="n">
        <v>0.2362196648047643</v>
      </c>
      <c r="M112" s="66" t="n">
        <v>0</v>
      </c>
      <c r="N112" s="99" t="n">
        <v>0</v>
      </c>
      <c r="O112" s="66" t="n">
        <v>-0.01878729742858809</v>
      </c>
      <c r="P112" s="66" t="n">
        <v>0.0009532909707559156</v>
      </c>
      <c r="Q112" s="66" t="n">
        <v>0</v>
      </c>
      <c r="R112" s="66" t="n">
        <v>0.7321425214931594</v>
      </c>
      <c r="S112" s="66" t="n">
        <v>0</v>
      </c>
      <c r="T112" s="66" t="n">
        <v>0</v>
      </c>
      <c r="U112" s="66" t="n">
        <v>0</v>
      </c>
      <c r="V112" s="66" t="n">
        <v>0</v>
      </c>
      <c r="W112" s="66" t="n">
        <v>0</v>
      </c>
      <c r="X112" s="66" t="n">
        <v>0</v>
      </c>
      <c r="Y112" s="66" t="n">
        <v>0</v>
      </c>
      <c r="Z112" s="99" t="n">
        <v>0</v>
      </c>
      <c r="AA112" s="99" t="n">
        <v>0</v>
      </c>
      <c r="AB112" s="99" t="n">
        <v>0</v>
      </c>
      <c r="AC112" s="99" t="n">
        <v>0</v>
      </c>
      <c r="AD112" s="99" t="n">
        <v>0</v>
      </c>
      <c r="AE112" s="99" t="n">
        <v>0</v>
      </c>
      <c r="AF112" s="66" t="n">
        <v>0.2146178279013782</v>
      </c>
      <c r="AG112" s="99" t="n">
        <v>0</v>
      </c>
    </row>
    <row r="113">
      <c r="A113" s="127" t="inlineStr">
        <is>
          <t>2021 Q2</t>
        </is>
      </c>
      <c r="B113" s="66" t="n">
        <v>0</v>
      </c>
      <c r="C113" s="66" t="n">
        <v>-0.01182569066659767</v>
      </c>
      <c r="D113" s="66" t="n">
        <v>-0.006731783132551072</v>
      </c>
      <c r="E113" s="66" t="n">
        <v>-0.06113011270988977</v>
      </c>
      <c r="F113" s="66" t="n">
        <v>-0.1852766483603148</v>
      </c>
      <c r="G113" s="66" t="n">
        <v>-0.02171753162386381</v>
      </c>
      <c r="H113" s="66" t="n">
        <v>0.2735180174774428</v>
      </c>
      <c r="I113" s="66" t="n">
        <v>0.2803871757367347</v>
      </c>
      <c r="J113" s="99" t="n">
        <v>0</v>
      </c>
      <c r="K113" s="66" t="n">
        <v>-0.08200540146052049</v>
      </c>
      <c r="L113" s="66" t="n">
        <v>0.2369677371700902</v>
      </c>
      <c r="M113" s="66" t="n">
        <v>0</v>
      </c>
      <c r="N113" s="99" t="n">
        <v>0</v>
      </c>
      <c r="O113" s="66" t="n">
        <v>-0.02134579850724094</v>
      </c>
      <c r="P113" s="66" t="n">
        <v>0.0005442172983691762</v>
      </c>
      <c r="Q113" s="66" t="n">
        <v>0</v>
      </c>
      <c r="R113" s="66" t="n">
        <v>0.6650050612717848</v>
      </c>
      <c r="S113" s="66" t="n">
        <v>0</v>
      </c>
      <c r="T113" s="66" t="n">
        <v>0</v>
      </c>
      <c r="U113" s="66" t="n">
        <v>0</v>
      </c>
      <c r="V113" s="66" t="n">
        <v>0</v>
      </c>
      <c r="W113" s="66" t="n">
        <v>0</v>
      </c>
      <c r="X113" s="66" t="n">
        <v>0</v>
      </c>
      <c r="Y113" s="66" t="n">
        <v>0</v>
      </c>
      <c r="Z113" s="99" t="n">
        <v>0</v>
      </c>
      <c r="AA113" s="99" t="n">
        <v>0</v>
      </c>
      <c r="AB113" s="99" t="n">
        <v>0</v>
      </c>
      <c r="AC113" s="99" t="n">
        <v>0</v>
      </c>
      <c r="AD113" s="99" t="n">
        <v>0</v>
      </c>
      <c r="AE113" s="99" t="n">
        <v>0</v>
      </c>
      <c r="AF113" s="66" t="n">
        <v>0.2153238049149024</v>
      </c>
      <c r="AG113" s="99" t="n">
        <v>0</v>
      </c>
    </row>
    <row r="114">
      <c r="A114" s="127" t="inlineStr">
        <is>
          <t>2021 Q3</t>
        </is>
      </c>
      <c r="B114" s="66" t="n">
        <v>0</v>
      </c>
      <c r="C114" s="66" t="n">
        <v>-0.01032693124997763</v>
      </c>
      <c r="D114" s="66" t="n">
        <v>-0.004071021875461156</v>
      </c>
      <c r="E114" s="66" t="n">
        <v>-0.08209573225363442</v>
      </c>
      <c r="F114" s="66" t="n">
        <v>-0.2334060966525442</v>
      </c>
      <c r="G114" s="66" t="n">
        <v>-0.03502393424517436</v>
      </c>
      <c r="H114" s="66" t="n">
        <v>0.2441899289650848</v>
      </c>
      <c r="I114" s="66" t="n">
        <v>0.2819145499220497</v>
      </c>
      <c r="J114" s="99" t="n">
        <v>0</v>
      </c>
      <c r="K114" s="66" t="n">
        <v>-0.04644760929929248</v>
      </c>
      <c r="L114" s="66" t="n">
        <v>0.2383324168070828</v>
      </c>
      <c r="M114" s="66" t="n">
        <v>0</v>
      </c>
      <c r="N114" s="99" t="n">
        <v>0</v>
      </c>
      <c r="O114" s="66" t="n">
        <v>-0.02975674488988034</v>
      </c>
      <c r="P114" s="66" t="n">
        <v>0.001690879433681403</v>
      </c>
      <c r="Q114" s="66" t="n">
        <v>0</v>
      </c>
      <c r="R114" s="66" t="n">
        <v>0.568275881628125</v>
      </c>
      <c r="S114" s="66" t="n">
        <v>0</v>
      </c>
      <c r="T114" s="66" t="n">
        <v>0</v>
      </c>
      <c r="U114" s="66" t="n">
        <v>0</v>
      </c>
      <c r="V114" s="66" t="n">
        <v>0</v>
      </c>
      <c r="W114" s="66" t="n">
        <v>0</v>
      </c>
      <c r="X114" s="66" t="n">
        <v>0</v>
      </c>
      <c r="Y114" s="66" t="n">
        <v>0</v>
      </c>
      <c r="Z114" s="99" t="n">
        <v>0</v>
      </c>
      <c r="AA114" s="99" t="n">
        <v>0</v>
      </c>
      <c r="AB114" s="99" t="n">
        <v>0</v>
      </c>
      <c r="AC114" s="99" t="n">
        <v>0</v>
      </c>
      <c r="AD114" s="99" t="n">
        <v>0</v>
      </c>
      <c r="AE114" s="99" t="n">
        <v>0</v>
      </c>
      <c r="AF114" s="66" t="n">
        <v>0.2166073837846056</v>
      </c>
      <c r="AG114" s="99" t="n">
        <v>0</v>
      </c>
    </row>
    <row r="115">
      <c r="A115" s="127" t="inlineStr">
        <is>
          <t>2021 Q4</t>
        </is>
      </c>
      <c r="B115" s="66" t="n">
        <v>0</v>
      </c>
      <c r="C115" s="66" t="n">
        <v>-0.01353169011753153</v>
      </c>
      <c r="D115" s="66" t="n">
        <v>-0.003500470851292903</v>
      </c>
      <c r="E115" s="66" t="n">
        <v>-0.1534431473311315</v>
      </c>
      <c r="F115" s="66" t="n">
        <v>-0.3120854396157711</v>
      </c>
      <c r="G115" s="66" t="n">
        <v>-0.01836686742049665</v>
      </c>
      <c r="H115" s="66" t="n">
        <v>0.2216539876710044</v>
      </c>
      <c r="I115" s="66" t="n">
        <v>0.2808926093361492</v>
      </c>
      <c r="J115" s="99" t="n">
        <v>0</v>
      </c>
      <c r="K115" s="66" t="n">
        <v>-0.03749012115744677</v>
      </c>
      <c r="L115" s="66" t="n">
        <v>0.2378115674189871</v>
      </c>
      <c r="M115" s="66" t="n">
        <v>0</v>
      </c>
      <c r="N115" s="99" t="n">
        <v>0</v>
      </c>
      <c r="O115" s="66" t="n">
        <v>-0.01808699659264335</v>
      </c>
      <c r="P115" s="66" t="n">
        <v>0.002134987706256197</v>
      </c>
      <c r="Q115" s="66" t="n">
        <v>0</v>
      </c>
      <c r="R115" s="66" t="n">
        <v>0.594049505601987</v>
      </c>
      <c r="S115" s="66" t="n">
        <v>0</v>
      </c>
      <c r="T115" s="66" t="n">
        <v>0</v>
      </c>
      <c r="U115" s="66" t="n">
        <v>0</v>
      </c>
      <c r="V115" s="66" t="n">
        <v>0</v>
      </c>
      <c r="W115" s="66" t="n">
        <v>0</v>
      </c>
      <c r="X115" s="66" t="n">
        <v>0</v>
      </c>
      <c r="Y115" s="66" t="n">
        <v>0</v>
      </c>
      <c r="Z115" s="99" t="n">
        <v>0</v>
      </c>
      <c r="AA115" s="99" t="n">
        <v>0</v>
      </c>
      <c r="AB115" s="99" t="n">
        <v>0</v>
      </c>
      <c r="AC115" s="99" t="n">
        <v>0</v>
      </c>
      <c r="AD115" s="99" t="n">
        <v>0</v>
      </c>
      <c r="AE115" s="99" t="n">
        <v>0</v>
      </c>
      <c r="AF115" s="66" t="n">
        <v>0.2163363207663451</v>
      </c>
      <c r="AG115" s="99" t="n">
        <v>0</v>
      </c>
    </row>
    <row r="116">
      <c r="A116" s="127" t="inlineStr">
        <is>
          <t>2022 Q1</t>
        </is>
      </c>
      <c r="B116" s="66" t="n">
        <v>0</v>
      </c>
      <c r="C116" s="66" t="n">
        <v>-0.008840794783083084</v>
      </c>
      <c r="D116" s="66" t="n">
        <v>-0.004187054660292233</v>
      </c>
      <c r="E116" s="66" t="n">
        <v>-0.09276134943655734</v>
      </c>
      <c r="F116" s="66" t="n">
        <v>-0.2501303103616408</v>
      </c>
      <c r="G116" s="66" t="n">
        <v>-0.02681627414906984</v>
      </c>
      <c r="H116" s="66" t="n">
        <v>0.2544509431615438</v>
      </c>
      <c r="I116" s="66" t="n">
        <v>0.284136408068747</v>
      </c>
      <c r="J116" s="99" t="n">
        <v>0</v>
      </c>
      <c r="K116" s="66" t="n">
        <v>-0.06179166213735243</v>
      </c>
      <c r="L116" s="66" t="n">
        <v>0.2402863655133274</v>
      </c>
      <c r="M116" s="66" t="n">
        <v>0</v>
      </c>
      <c r="N116" s="99" t="n">
        <v>0</v>
      </c>
      <c r="O116" s="66" t="n">
        <v>-0.03038697363052734</v>
      </c>
      <c r="P116" s="66" t="n">
        <v>0.003776596613988659</v>
      </c>
      <c r="Q116" s="66" t="n">
        <v>0</v>
      </c>
      <c r="R116" s="66" t="n">
        <v>0.3661654267204142</v>
      </c>
      <c r="S116" s="66" t="n">
        <v>0</v>
      </c>
      <c r="T116" s="66" t="n">
        <v>0</v>
      </c>
      <c r="U116" s="66" t="n">
        <v>0</v>
      </c>
      <c r="V116" s="66" t="n">
        <v>0</v>
      </c>
      <c r="W116" s="66" t="n">
        <v>0</v>
      </c>
      <c r="X116" s="66" t="n">
        <v>0</v>
      </c>
      <c r="Y116" s="66" t="n">
        <v>0</v>
      </c>
      <c r="Z116" s="99" t="n">
        <v>0</v>
      </c>
      <c r="AA116" s="99" t="n">
        <v>0</v>
      </c>
      <c r="AB116" s="99" t="n">
        <v>0</v>
      </c>
      <c r="AC116" s="99" t="n">
        <v>0</v>
      </c>
      <c r="AD116" s="99" t="n">
        <v>0</v>
      </c>
      <c r="AE116" s="99" t="n">
        <v>0</v>
      </c>
      <c r="AF116" s="66" t="n">
        <v>0.2184277836940396</v>
      </c>
      <c r="AG116" s="99" t="n">
        <v>0</v>
      </c>
    </row>
    <row r="117">
      <c r="A117" s="127" t="inlineStr">
        <is>
          <t>2022 Q2</t>
        </is>
      </c>
      <c r="B117" s="66" t="n">
        <v>0</v>
      </c>
      <c r="C117" s="66" t="n">
        <v>-0.008991832317860826</v>
      </c>
      <c r="D117" s="66" t="n">
        <v>-0.002563039439166914</v>
      </c>
      <c r="E117" s="66" t="n">
        <v>-0.0412001864487479</v>
      </c>
      <c r="F117" s="66" t="n">
        <v>-0.1725647229380343</v>
      </c>
      <c r="G117" s="66" t="n">
        <v>-0.01446399485686811</v>
      </c>
      <c r="H117" s="66" t="n">
        <v>0.296892861502414</v>
      </c>
      <c r="I117" s="66" t="n">
        <v>0.2852775314505607</v>
      </c>
      <c r="J117" s="99" t="n">
        <v>0</v>
      </c>
      <c r="K117" s="66" t="n">
        <v>-0.08788442036401989</v>
      </c>
      <c r="L117" s="66" t="n">
        <v>0.241083868289877</v>
      </c>
      <c r="M117" s="66" t="n">
        <v>0</v>
      </c>
      <c r="N117" s="99" t="n">
        <v>0</v>
      </c>
      <c r="O117" s="66" t="n">
        <v>-0.04174225302554646</v>
      </c>
      <c r="P117" s="66" t="n">
        <v>0.002215616406260779</v>
      </c>
      <c r="Q117" s="66" t="n">
        <v>0</v>
      </c>
      <c r="R117" s="66" t="n">
        <v>0.2405176481237845</v>
      </c>
      <c r="S117" s="66" t="n">
        <v>0</v>
      </c>
      <c r="T117" s="66" t="n">
        <v>0</v>
      </c>
      <c r="U117" s="66" t="n">
        <v>0</v>
      </c>
      <c r="V117" s="66" t="n">
        <v>0</v>
      </c>
      <c r="W117" s="66" t="n">
        <v>0</v>
      </c>
      <c r="X117" s="66" t="n">
        <v>0</v>
      </c>
      <c r="Y117" s="66" t="n">
        <v>0</v>
      </c>
      <c r="Z117" s="99" t="n">
        <v>0</v>
      </c>
      <c r="AA117" s="99" t="n">
        <v>0</v>
      </c>
      <c r="AB117" s="99" t="n">
        <v>0</v>
      </c>
      <c r="AC117" s="99" t="n">
        <v>0</v>
      </c>
      <c r="AD117" s="99" t="n">
        <v>0</v>
      </c>
      <c r="AE117" s="99" t="n">
        <v>0</v>
      </c>
      <c r="AF117" s="66" t="n">
        <v>0.2190539968052576</v>
      </c>
      <c r="AG117" s="99" t="n">
        <v>0</v>
      </c>
    </row>
    <row r="118">
      <c r="A118" s="127" t="inlineStr">
        <is>
          <t>2022 Q3</t>
        </is>
      </c>
      <c r="B118" s="66" t="n">
        <v>0</v>
      </c>
      <c r="C118" s="66" t="n">
        <v>-0.0137202699549448</v>
      </c>
      <c r="D118" s="66" t="n">
        <v>-0.003471458732917654</v>
      </c>
      <c r="E118" s="66" t="n">
        <v>-0.05174946361881894</v>
      </c>
      <c r="F118" s="66" t="n">
        <v>-0.1157301086539064</v>
      </c>
      <c r="G118" s="66" t="n">
        <v>-0.00606550074144252</v>
      </c>
      <c r="H118" s="66" t="n">
        <v>0.289746452301415</v>
      </c>
      <c r="I118" s="66" t="n">
        <v>0.204998225855519</v>
      </c>
      <c r="J118" s="99" t="n">
        <v>0</v>
      </c>
      <c r="K118" s="66" t="n">
        <v>-0.05661982695781376</v>
      </c>
      <c r="L118" s="66" t="n">
        <v>0.2432811769707826</v>
      </c>
      <c r="M118" s="66" t="n">
        <v>0</v>
      </c>
      <c r="N118" s="99" t="n">
        <v>0</v>
      </c>
      <c r="O118" s="66" t="n">
        <v>-0.04215976900471219</v>
      </c>
      <c r="P118" s="66" t="n">
        <v>0.002061156001531117</v>
      </c>
      <c r="Q118" s="66" t="n">
        <v>0</v>
      </c>
      <c r="R118" s="66" t="n">
        <v>0.05715406527343703</v>
      </c>
      <c r="S118" s="66" t="n">
        <v>0</v>
      </c>
      <c r="T118" s="66" t="n">
        <v>0</v>
      </c>
      <c r="U118" s="66" t="n">
        <v>0</v>
      </c>
      <c r="V118" s="66" t="n">
        <v>0</v>
      </c>
      <c r="W118" s="66" t="n">
        <v>0</v>
      </c>
      <c r="X118" s="66" t="n">
        <v>0</v>
      </c>
      <c r="Y118" s="66" t="n">
        <v>0</v>
      </c>
      <c r="Z118" s="99" t="n">
        <v>0</v>
      </c>
      <c r="AA118" s="99" t="n">
        <v>0</v>
      </c>
      <c r="AB118" s="99" t="n">
        <v>0</v>
      </c>
      <c r="AC118" s="99" t="n">
        <v>0</v>
      </c>
      <c r="AD118" s="99" t="n">
        <v>0</v>
      </c>
      <c r="AE118" s="99" t="n">
        <v>0</v>
      </c>
      <c r="AF118" s="66" t="n">
        <v>0.2210381648248472</v>
      </c>
      <c r="AG118" s="99" t="n">
        <v>0</v>
      </c>
    </row>
    <row r="119">
      <c r="A119" s="127" t="inlineStr">
        <is>
          <t>2022 Q4</t>
        </is>
      </c>
      <c r="B119" s="66" t="n">
        <v>0</v>
      </c>
      <c r="C119" s="66" t="n">
        <v>-0.01177776714479251</v>
      </c>
      <c r="D119" s="66" t="n">
        <v>-0.004920366720881475</v>
      </c>
      <c r="E119" s="66" t="n">
        <v>-0.03740142751863118</v>
      </c>
      <c r="F119" s="66" t="n">
        <v>-0.08358912601369184</v>
      </c>
      <c r="G119" s="66" t="n">
        <v>-0.00803028329562494</v>
      </c>
      <c r="H119" s="66" t="n">
        <v>0.2956110154516409</v>
      </c>
      <c r="I119" s="66" t="n">
        <v>0.2321996550189454</v>
      </c>
      <c r="J119" s="99" t="n">
        <v>0</v>
      </c>
      <c r="K119" s="66" t="n">
        <v>-0.08902891736627794</v>
      </c>
      <c r="L119" s="66" t="n">
        <v>0.2419088356662655</v>
      </c>
      <c r="M119" s="66" t="n">
        <v>0</v>
      </c>
      <c r="N119" s="99" t="n">
        <v>0</v>
      </c>
      <c r="O119" s="66" t="n">
        <v>-0.03347899144702637</v>
      </c>
      <c r="P119" s="66" t="n">
        <v>0</v>
      </c>
      <c r="Q119" s="66" t="n">
        <v>0</v>
      </c>
      <c r="R119" s="66" t="n">
        <v>0.1593443203515221</v>
      </c>
      <c r="S119" s="66" t="n">
        <v>0</v>
      </c>
      <c r="T119" s="66" t="n">
        <v>0</v>
      </c>
      <c r="U119" s="66" t="n">
        <v>0</v>
      </c>
      <c r="V119" s="66" t="n">
        <v>0</v>
      </c>
      <c r="W119" s="66" t="n">
        <v>0</v>
      </c>
      <c r="X119" s="66" t="n">
        <v>0</v>
      </c>
      <c r="Y119" s="66" t="n">
        <v>0</v>
      </c>
      <c r="Z119" s="99" t="n">
        <v>0</v>
      </c>
      <c r="AA119" s="99" t="n">
        <v>0</v>
      </c>
      <c r="AB119" s="99" t="n">
        <v>0</v>
      </c>
      <c r="AC119" s="99" t="n">
        <v>0</v>
      </c>
      <c r="AD119" s="99" t="n">
        <v>0</v>
      </c>
      <c r="AE119" s="99" t="n">
        <v>0</v>
      </c>
      <c r="AF119" s="66" t="n">
        <v>0.2197837309592217</v>
      </c>
      <c r="AG119" s="99" t="n">
        <v>0</v>
      </c>
    </row>
    <row r="120">
      <c r="A120" s="127" t="inlineStr">
        <is>
          <t>2023 Q1</t>
        </is>
      </c>
      <c r="B120" s="66" t="n">
        <v>0</v>
      </c>
      <c r="C120" s="66" t="n">
        <v>-0.005543758819698041</v>
      </c>
      <c r="D120" s="66" t="n">
        <v>-0.00786624733939334</v>
      </c>
      <c r="E120" s="66" t="n">
        <v>-0.02023809370518848</v>
      </c>
      <c r="F120" s="66" t="n">
        <v>-0.07061023807202105</v>
      </c>
      <c r="G120" s="66" t="n">
        <v>-0.03820499880927741</v>
      </c>
      <c r="H120" s="66" t="n">
        <v>0.3196487876311096</v>
      </c>
      <c r="I120" s="66" t="n">
        <v>0.1593168253056376</v>
      </c>
      <c r="J120" s="99" t="n">
        <v>0</v>
      </c>
      <c r="K120" s="66" t="n">
        <v>-0.06387500033136462</v>
      </c>
      <c r="L120" s="66" t="n">
        <v>0.1044858409840685</v>
      </c>
      <c r="M120" s="66" t="n">
        <v>0</v>
      </c>
      <c r="N120" s="99" t="n">
        <v>0</v>
      </c>
      <c r="O120" s="66" t="n">
        <v>-0.06120273092179218</v>
      </c>
      <c r="P120" s="66" t="n">
        <v>0.002028549737019603</v>
      </c>
      <c r="Q120" s="66" t="n">
        <v>0</v>
      </c>
      <c r="R120" s="66" t="n">
        <v>0.04031189711062666</v>
      </c>
      <c r="S120" s="66" t="n">
        <v>0</v>
      </c>
      <c r="T120" s="66" t="n">
        <v>0</v>
      </c>
      <c r="U120" s="66" t="n">
        <v>0</v>
      </c>
      <c r="V120" s="66" t="n">
        <v>0</v>
      </c>
      <c r="W120" s="66" t="n">
        <v>0</v>
      </c>
      <c r="X120" s="66" t="n">
        <v>0</v>
      </c>
      <c r="Y120" s="66" t="n">
        <v>0</v>
      </c>
      <c r="Z120" s="99" t="n">
        <v>0</v>
      </c>
      <c r="AA120" s="99" t="n">
        <v>0</v>
      </c>
      <c r="AB120" s="99" t="n">
        <v>0</v>
      </c>
      <c r="AC120" s="99" t="n">
        <v>0</v>
      </c>
      <c r="AD120" s="99" t="n">
        <v>0</v>
      </c>
      <c r="AE120" s="99" t="n">
        <v>0</v>
      </c>
      <c r="AF120" s="66" t="n">
        <v>0.2218845953613879</v>
      </c>
      <c r="AG120" s="99" t="n">
        <v>0</v>
      </c>
    </row>
    <row r="121">
      <c r="A121" s="127" t="inlineStr">
        <is>
          <t>2023 Q2</t>
        </is>
      </c>
      <c r="B121" s="66" t="n">
        <v>0</v>
      </c>
      <c r="C121" s="66" t="n">
        <v>-0.01459018673335777</v>
      </c>
      <c r="D121" s="66" t="n">
        <v>-0.005061331454783158</v>
      </c>
      <c r="E121" s="66" t="n">
        <v>-0.04029164120291284</v>
      </c>
      <c r="F121" s="66" t="n">
        <v>-0.08042398426019304</v>
      </c>
      <c r="G121" s="66" t="n">
        <v>-0.01949023370309533</v>
      </c>
      <c r="H121" s="66" t="n">
        <v>0.3821461026816735</v>
      </c>
      <c r="I121" s="66" t="n">
        <v>0.2230362884751287</v>
      </c>
      <c r="J121" s="99" t="n">
        <v>0</v>
      </c>
      <c r="K121" s="66" t="n">
        <v>-0.09142901130169889</v>
      </c>
      <c r="L121" s="66" t="n">
        <v>-0.09132513678517284</v>
      </c>
      <c r="M121" s="66" t="n">
        <v>0</v>
      </c>
      <c r="N121" s="99" t="n">
        <v>0</v>
      </c>
      <c r="O121" s="66" t="n">
        <v>-0.05217073627829905</v>
      </c>
      <c r="P121" s="66" t="n">
        <v>0.0003081700025120426</v>
      </c>
      <c r="Q121" s="66" t="n">
        <v>0</v>
      </c>
      <c r="R121" s="66" t="n">
        <v>-0.05290654750777435</v>
      </c>
      <c r="S121" s="66" t="n">
        <v>0</v>
      </c>
      <c r="T121" s="66" t="n">
        <v>0</v>
      </c>
      <c r="U121" s="66" t="n">
        <v>0</v>
      </c>
      <c r="V121" s="66" t="n">
        <v>0</v>
      </c>
      <c r="W121" s="66" t="n">
        <v>0</v>
      </c>
      <c r="X121" s="66" t="n">
        <v>0</v>
      </c>
      <c r="Y121" s="66" t="n">
        <v>0</v>
      </c>
      <c r="Z121" s="99" t="n">
        <v>0</v>
      </c>
      <c r="AA121" s="99" t="n">
        <v>0</v>
      </c>
      <c r="AB121" s="99" t="n">
        <v>0</v>
      </c>
      <c r="AC121" s="99" t="n">
        <v>0</v>
      </c>
      <c r="AD121" s="99" t="n">
        <v>0</v>
      </c>
      <c r="AE121" s="99" t="n">
        <v>0</v>
      </c>
      <c r="AF121" s="66" t="n">
        <v>0.2244854922452646</v>
      </c>
      <c r="AG121" s="99" t="n">
        <v>0</v>
      </c>
    </row>
    <row r="122">
      <c r="A122" s="127" t="inlineStr">
        <is>
          <t>2023 Q3</t>
        </is>
      </c>
      <c r="B122" s="66" t="n">
        <v>0</v>
      </c>
      <c r="C122" s="66" t="n">
        <v>-0.001901599749572824</v>
      </c>
      <c r="D122" s="66" t="n">
        <v>-0.00212003494380042</v>
      </c>
      <c r="E122" s="66" t="n">
        <v>-0.04071663981707729</v>
      </c>
      <c r="F122" s="66" t="n">
        <v>-0.04327473903944679</v>
      </c>
      <c r="G122" s="66" t="n">
        <v>-0.01012560245476379</v>
      </c>
      <c r="H122" s="66" t="n">
        <v>0.3284553183808896</v>
      </c>
      <c r="I122" s="66" t="n">
        <v>0.1892921885263661</v>
      </c>
      <c r="J122" s="99" t="n">
        <v>0</v>
      </c>
      <c r="K122" s="66" t="n">
        <v>-0.05865661694619462</v>
      </c>
      <c r="L122" s="66" t="n">
        <v>-0.07436785779162847</v>
      </c>
      <c r="M122" s="66" t="n">
        <v>0</v>
      </c>
      <c r="N122" s="99" t="n">
        <v>0</v>
      </c>
      <c r="O122" s="66" t="n">
        <v>-0.0260108237302461</v>
      </c>
      <c r="P122" s="66" t="n">
        <v>0.01063749333695796</v>
      </c>
      <c r="Q122" s="66" t="n">
        <v>0</v>
      </c>
      <c r="R122" s="66" t="n">
        <v>0.3693812883819305</v>
      </c>
      <c r="S122" s="66" t="n">
        <v>0</v>
      </c>
      <c r="T122" s="66" t="n">
        <v>0</v>
      </c>
      <c r="U122" s="66" t="n">
        <v>0</v>
      </c>
      <c r="V122" s="66" t="n">
        <v>0</v>
      </c>
      <c r="W122" s="66" t="n">
        <v>0</v>
      </c>
      <c r="X122" s="66" t="n">
        <v>0</v>
      </c>
      <c r="Y122" s="66" t="n">
        <v>0</v>
      </c>
      <c r="Z122" s="99" t="n">
        <v>0</v>
      </c>
      <c r="AA122" s="99" t="n">
        <v>0</v>
      </c>
      <c r="AB122" s="99" t="n">
        <v>0</v>
      </c>
      <c r="AC122" s="99" t="n">
        <v>0</v>
      </c>
      <c r="AD122" s="99" t="n">
        <v>0</v>
      </c>
      <c r="AE122" s="99" t="n">
        <v>0</v>
      </c>
      <c r="AF122" s="66" t="n">
        <v>0.2179061771201987</v>
      </c>
      <c r="AG122" s="99" t="n">
        <v>0</v>
      </c>
    </row>
    <row r="123">
      <c r="A123" s="127" t="inlineStr">
        <is>
          <t>2023 Q4</t>
        </is>
      </c>
      <c r="B123" s="66" t="n">
        <v>0</v>
      </c>
      <c r="C123" s="66" t="n">
        <v>-0.008799892169889745</v>
      </c>
      <c r="D123" s="66" t="n">
        <v>-0.002773094674978438</v>
      </c>
      <c r="E123" s="66" t="n">
        <v>-0.04280237612695714</v>
      </c>
      <c r="F123" s="66" t="n">
        <v>-0.04644920884689441</v>
      </c>
      <c r="G123" s="66" t="n">
        <v>-0.004813541845294367</v>
      </c>
      <c r="H123" s="66" t="n">
        <v>0.3864542034489773</v>
      </c>
      <c r="I123" s="66" t="n">
        <v>0.1920328206083752</v>
      </c>
      <c r="J123" s="99" t="n">
        <v>0</v>
      </c>
      <c r="K123" s="66" t="n">
        <v>-0.02668821829109902</v>
      </c>
      <c r="L123" s="66" t="n">
        <v>-0.1186190040708368</v>
      </c>
      <c r="M123" s="66" t="n">
        <v>0</v>
      </c>
      <c r="N123" s="99" t="n">
        <v>0</v>
      </c>
      <c r="O123" s="66" t="n">
        <v>-0.04591304855111389</v>
      </c>
      <c r="P123" s="66" t="n">
        <v>0.001526192401172466</v>
      </c>
      <c r="Q123" s="66" t="n">
        <v>0</v>
      </c>
      <c r="R123" s="66" t="n">
        <v>0.93184949851954</v>
      </c>
      <c r="S123" s="66" t="n">
        <v>0</v>
      </c>
      <c r="T123" s="66" t="n">
        <v>0</v>
      </c>
      <c r="U123" s="66" t="n">
        <v>0</v>
      </c>
      <c r="V123" s="66" t="n">
        <v>0</v>
      </c>
      <c r="W123" s="66" t="n">
        <v>0</v>
      </c>
      <c r="X123" s="66" t="n">
        <v>0</v>
      </c>
      <c r="Y123" s="66" t="n">
        <v>0</v>
      </c>
      <c r="Z123" s="99" t="n">
        <v>0</v>
      </c>
      <c r="AA123" s="99" t="n">
        <v>0</v>
      </c>
      <c r="AB123" s="99" t="n">
        <v>0</v>
      </c>
      <c r="AC123" s="99" t="n">
        <v>0</v>
      </c>
      <c r="AD123" s="99" t="n">
        <v>0</v>
      </c>
      <c r="AE123" s="99" t="n">
        <v>0</v>
      </c>
      <c r="AF123" s="66" t="n">
        <v>0.2114924369406026</v>
      </c>
      <c r="AG123" s="99" t="n">
        <v>0</v>
      </c>
    </row>
    <row r="124">
      <c r="A124" s="127" t="inlineStr">
        <is>
          <t>2024 Q1</t>
        </is>
      </c>
      <c r="B124" s="66" t="n">
        <v>0</v>
      </c>
      <c r="C124" s="66" t="n">
        <v>-0.001416923287706595</v>
      </c>
      <c r="D124" s="66" t="n">
        <v>-0.00276267514891515</v>
      </c>
      <c r="E124" s="66" t="n">
        <v>-0.03486155411303571</v>
      </c>
      <c r="F124" s="66" t="n">
        <v>-0.04204416032297331</v>
      </c>
      <c r="G124" s="66" t="n">
        <v>-0.004553583649908433</v>
      </c>
      <c r="H124" s="66" t="n">
        <v>0.4666251561162085</v>
      </c>
      <c r="I124" s="66" t="n">
        <v>0.1626786919866845</v>
      </c>
      <c r="J124" s="99" t="n">
        <v>0</v>
      </c>
      <c r="K124" s="66" t="n">
        <v>-0.02736369485549517</v>
      </c>
      <c r="L124" s="66" t="n">
        <v>-0.2340602118682114</v>
      </c>
      <c r="M124" s="66" t="n">
        <v>-0.004351762641618961</v>
      </c>
      <c r="N124" s="99" t="n">
        <v>0</v>
      </c>
      <c r="O124" s="66" t="n">
        <v>-0.03423866946775433</v>
      </c>
      <c r="P124" s="66" t="n">
        <v>0.00408548428163158</v>
      </c>
      <c r="Q124" s="66" t="n">
        <v>0</v>
      </c>
      <c r="R124" s="66" t="n">
        <v>1.243789342770498</v>
      </c>
      <c r="S124" s="66" t="n">
        <v>0</v>
      </c>
      <c r="T124" s="66" t="n">
        <v>0</v>
      </c>
      <c r="U124" s="66" t="n">
        <v>0</v>
      </c>
      <c r="V124" s="66" t="n">
        <v>0</v>
      </c>
      <c r="W124" s="66" t="n">
        <v>0</v>
      </c>
      <c r="X124" s="66" t="n">
        <v>0</v>
      </c>
      <c r="Y124" s="66" t="n">
        <v>0</v>
      </c>
      <c r="Z124" s="99" t="n">
        <v>0</v>
      </c>
      <c r="AA124" s="99" t="n">
        <v>0</v>
      </c>
      <c r="AB124" s="99" t="n">
        <v>0</v>
      </c>
      <c r="AC124" s="99" t="n">
        <v>0</v>
      </c>
      <c r="AD124" s="99" t="n">
        <v>0</v>
      </c>
      <c r="AE124" s="99" t="n">
        <v>0</v>
      </c>
      <c r="AF124" s="66" t="n">
        <v>0.2073641857461439</v>
      </c>
      <c r="AG124" s="99" t="n">
        <v>0</v>
      </c>
    </row>
    <row r="125">
      <c r="A125" s="127" t="inlineStr">
        <is>
          <t>2024 Q2</t>
        </is>
      </c>
      <c r="B125" s="66" t="n">
        <v>0</v>
      </c>
      <c r="C125" s="66" t="n">
        <v>-0.0039558523387484</v>
      </c>
      <c r="D125" s="66" t="n">
        <v>-0.001382654190507537</v>
      </c>
      <c r="E125" s="66" t="n">
        <v>-0.03641662322542061</v>
      </c>
      <c r="F125" s="66" t="n">
        <v>-0.0218121805162923</v>
      </c>
      <c r="G125" s="66" t="n">
        <v>-0.01461447681592176</v>
      </c>
      <c r="H125" s="66" t="n">
        <v>0.5019429266158397</v>
      </c>
      <c r="I125" s="66" t="n">
        <v>0.191590281597513</v>
      </c>
      <c r="J125" s="66" t="n">
        <v>0</v>
      </c>
      <c r="K125" s="66" t="n">
        <v>-0.03890954722052697</v>
      </c>
      <c r="L125" s="66" t="n">
        <v>-0.1709580172003484</v>
      </c>
      <c r="M125" s="66" t="n">
        <v>-6.004229388167914e-05</v>
      </c>
      <c r="N125" s="66" t="n">
        <v>0</v>
      </c>
      <c r="O125" s="66" t="n">
        <v>-0.04615120674898776</v>
      </c>
      <c r="P125" s="66" t="n">
        <v>0.002957347657996934</v>
      </c>
      <c r="Q125" s="66" t="n">
        <v>0</v>
      </c>
      <c r="R125" s="66" t="n">
        <v>1.470335596620714</v>
      </c>
      <c r="S125" s="66" t="n">
        <v>0</v>
      </c>
      <c r="T125" s="66" t="n">
        <v>0</v>
      </c>
      <c r="U125" s="66" t="n">
        <v>0</v>
      </c>
      <c r="V125" s="66" t="n">
        <v>0</v>
      </c>
      <c r="W125" s="66" t="n">
        <v>0</v>
      </c>
      <c r="X125" s="66" t="n">
        <v>0</v>
      </c>
      <c r="Y125" s="66" t="n">
        <v>0</v>
      </c>
      <c r="Z125" s="66" t="n">
        <v>0</v>
      </c>
      <c r="AA125" s="66" t="n">
        <v>0</v>
      </c>
      <c r="AB125" s="66" t="n">
        <v>0</v>
      </c>
      <c r="AC125" s="66" t="n">
        <v>0</v>
      </c>
      <c r="AD125" s="66" t="n">
        <v>0</v>
      </c>
      <c r="AE125" s="66" t="n">
        <v>0</v>
      </c>
      <c r="AF125" s="66" t="n">
        <v>0.2056126889560232</v>
      </c>
      <c r="AG125" s="66" t="n">
        <v>0</v>
      </c>
    </row>
    <row r="126">
      <c r="A126" s="127" t="inlineStr">
        <is>
          <t>2024 Q3</t>
        </is>
      </c>
      <c r="B126" s="66" t="n">
        <v>0</v>
      </c>
      <c r="C126" s="66" t="n">
        <v>-0.003642567866222635</v>
      </c>
      <c r="D126" s="66" t="n">
        <v>-0.002584108522682982</v>
      </c>
      <c r="E126" s="66" t="n">
        <v>-0.03353665508819859</v>
      </c>
      <c r="F126" s="66" t="n">
        <v>-0.01647396281606461</v>
      </c>
      <c r="G126" s="66" t="n">
        <v>-0.01615961225635942</v>
      </c>
      <c r="H126" s="66" t="n">
        <v>0.5735640550607286</v>
      </c>
      <c r="I126" s="66" t="n">
        <v>0.2155337950824503</v>
      </c>
      <c r="J126" s="66" t="n">
        <v>0</v>
      </c>
      <c r="K126" s="66" t="n">
        <v>-0.03416357091475675</v>
      </c>
      <c r="L126" s="66" t="n">
        <v>-0.1280898513140585</v>
      </c>
      <c r="M126" s="66" t="n">
        <v>-0.009960111660006987</v>
      </c>
      <c r="N126" s="66" t="n">
        <v>0</v>
      </c>
      <c r="O126" s="66" t="n">
        <v>-0.04430268519973879</v>
      </c>
      <c r="P126" s="66" t="n">
        <v>0.001216233377505205</v>
      </c>
      <c r="Q126" s="66" t="n">
        <v>0</v>
      </c>
      <c r="R126" s="66" t="n">
        <v>1.923643935165074</v>
      </c>
      <c r="S126" s="66" t="n">
        <v>0</v>
      </c>
      <c r="T126" s="66" t="n">
        <v>0</v>
      </c>
      <c r="U126" s="66" t="n">
        <v>0</v>
      </c>
      <c r="V126" s="66" t="n">
        <v>0</v>
      </c>
      <c r="W126" s="66" t="n">
        <v>0</v>
      </c>
      <c r="X126" s="66" t="n">
        <v>0</v>
      </c>
      <c r="Y126" s="66" t="n">
        <v>0</v>
      </c>
      <c r="Z126" s="66" t="n">
        <v>0</v>
      </c>
      <c r="AA126" s="66" t="n">
        <v>0</v>
      </c>
      <c r="AB126" s="66" t="n">
        <v>0</v>
      </c>
      <c r="AC126" s="66" t="n">
        <v>0</v>
      </c>
      <c r="AD126" s="66" t="n">
        <v>0</v>
      </c>
      <c r="AE126" s="66" t="n">
        <v>0</v>
      </c>
      <c r="AF126" s="66" t="n">
        <v>0.1998182714048937</v>
      </c>
      <c r="AG126" s="66" t="n">
        <v>0</v>
      </c>
    </row>
    <row r="127">
      <c r="A127" s="127" t="inlineStr">
        <is>
          <t>2024 Q4</t>
        </is>
      </c>
      <c r="B127" s="66" t="n">
        <v>0</v>
      </c>
      <c r="C127" s="66" t="n">
        <v>-0.003272612532981611</v>
      </c>
      <c r="D127" s="66" t="n">
        <v>0</v>
      </c>
      <c r="E127" s="66" t="n">
        <v>0</v>
      </c>
      <c r="F127" s="66" t="n">
        <v>-0.02056972136929858</v>
      </c>
      <c r="G127" s="66" t="n">
        <v>0</v>
      </c>
      <c r="H127" s="66" t="n">
        <v>1.625758395372742</v>
      </c>
      <c r="I127" s="66" t="n">
        <v>0</v>
      </c>
      <c r="J127" s="66" t="n">
        <v>0</v>
      </c>
      <c r="K127" s="66" t="n">
        <v>-0.01029248473750499</v>
      </c>
      <c r="L127" s="66" t="n">
        <v>-0.1730433279261945</v>
      </c>
      <c r="M127" s="66" t="n">
        <v>-0.001993932346721294</v>
      </c>
      <c r="N127" s="66" t="n">
        <v>0</v>
      </c>
      <c r="O127" s="66" t="n">
        <v>-0.03616654087730353</v>
      </c>
      <c r="P127" s="66" t="n">
        <v>-0.08888484184919321</v>
      </c>
      <c r="Q127" s="66" t="n">
        <v>0</v>
      </c>
      <c r="R127" s="66" t="n">
        <v>2.039934855871024</v>
      </c>
      <c r="S127" s="66" t="n">
        <v>0</v>
      </c>
      <c r="T127" s="66" t="n">
        <v>0</v>
      </c>
      <c r="U127" s="66" t="n">
        <v>0</v>
      </c>
      <c r="V127" s="66" t="n">
        <v>0</v>
      </c>
      <c r="W127" s="66" t="n">
        <v>0</v>
      </c>
      <c r="X127" s="66" t="n">
        <v>0</v>
      </c>
      <c r="Y127" s="66" t="n">
        <v>0</v>
      </c>
      <c r="Z127" s="66" t="n">
        <v>0</v>
      </c>
      <c r="AA127" s="66" t="n">
        <v>0</v>
      </c>
      <c r="AB127" s="66" t="n">
        <v>0</v>
      </c>
      <c r="AC127" s="66" t="n">
        <v>0</v>
      </c>
      <c r="AD127" s="66" t="n">
        <v>0</v>
      </c>
      <c r="AE127" s="66" t="n">
        <v>0</v>
      </c>
      <c r="AF127" s="66" t="n">
        <v>0.1375192955457578</v>
      </c>
      <c r="AG127" s="66" t="n">
        <v>0</v>
      </c>
    </row>
    <row r="128">
      <c r="A128" s="127" t="inlineStr">
        <is>
          <t>2025 Q1</t>
        </is>
      </c>
      <c r="B128" s="123" t="n">
        <v>0</v>
      </c>
      <c r="C128" s="123" t="n">
        <v>-0.002136840975737186</v>
      </c>
      <c r="D128" s="123" t="n">
        <v>0</v>
      </c>
      <c r="E128" s="123" t="n">
        <v>0</v>
      </c>
      <c r="F128" s="123" t="n">
        <v>-0.02043630707476041</v>
      </c>
      <c r="G128" s="123" t="n">
        <v>0</v>
      </c>
      <c r="H128" s="123" t="n">
        <v>1.671193524049926</v>
      </c>
      <c r="I128" s="123" t="n">
        <v>0</v>
      </c>
      <c r="J128" s="124" t="n">
        <v>0</v>
      </c>
      <c r="K128" s="123" t="n">
        <v>-0.01848546198831968</v>
      </c>
      <c r="L128" s="123" t="n">
        <v>-0.2371631931977731</v>
      </c>
      <c r="M128" s="123" t="n">
        <v>-0.001320034706651541</v>
      </c>
      <c r="N128" s="124" t="n">
        <v>0</v>
      </c>
      <c r="O128" s="123" t="n">
        <v>-0.05279723435924666</v>
      </c>
      <c r="P128" s="123" t="n">
        <v>-0.0884171354597072</v>
      </c>
      <c r="Q128" s="123" t="n">
        <v>0</v>
      </c>
      <c r="R128" s="123" t="n">
        <v>2.290416352010254</v>
      </c>
      <c r="S128" s="123" t="n">
        <v>0</v>
      </c>
      <c r="T128" s="123" t="n">
        <v>0</v>
      </c>
      <c r="U128" s="123" t="n">
        <v>0</v>
      </c>
      <c r="V128" s="123" t="n">
        <v>0</v>
      </c>
      <c r="W128" s="123" t="n">
        <v>0</v>
      </c>
      <c r="X128" s="123" t="n">
        <v>0</v>
      </c>
      <c r="Y128" s="123" t="n">
        <v>0</v>
      </c>
      <c r="Z128" s="124" t="n">
        <v>0</v>
      </c>
      <c r="AA128" s="124" t="n">
        <v>0</v>
      </c>
      <c r="AB128" s="124" t="n">
        <v>0</v>
      </c>
      <c r="AC128" s="124" t="n">
        <v>0</v>
      </c>
      <c r="AD128" s="124" t="n">
        <v>0</v>
      </c>
      <c r="AE128" s="124" t="n">
        <v>0</v>
      </c>
      <c r="AF128" s="123" t="n">
        <v>0.00287711964804771</v>
      </c>
      <c r="AG128" s="124" t="n">
        <v>0</v>
      </c>
    </row>
    <row r="129">
      <c r="B129" t="n">
        <v>0</v>
      </c>
    </row>
    <row r="130">
      <c r="B130" t="n">
        <v>0</v>
      </c>
    </row>
    <row r="131">
      <c r="B131" t="n">
        <v>0</v>
      </c>
    </row>
    <row r="132">
      <c r="B132" t="n">
        <v>0</v>
      </c>
    </row>
    <row r="133">
      <c r="A133" s="129" t="inlineStr">
        <is>
          <t>FLD</t>
        </is>
      </c>
      <c r="B133" t="n">
        <v>0</v>
      </c>
    </row>
    <row r="134" ht="45" customHeight="1" s="115">
      <c r="A134" s="128" t="inlineStr">
        <is>
          <t>Vintage</t>
        </is>
      </c>
      <c r="B134" s="123" t="n">
        <v>0</v>
      </c>
      <c r="C134" s="123" t="inlineStr">
        <is>
          <t>Previous ACA chargeoff</t>
        </is>
      </c>
      <c r="D134" s="123" t="inlineStr">
        <is>
          <t>Small amount financed</t>
        </is>
      </c>
      <c r="E134" s="123" t="inlineStr">
        <is>
          <t>Zero cash down</t>
        </is>
      </c>
      <c r="F134" s="123" t="inlineStr">
        <is>
          <t>High mileage vehicle</t>
        </is>
      </c>
      <c r="G134" s="123" t="inlineStr">
        <is>
          <t>High PTI</t>
        </is>
      </c>
      <c r="H134" s="123" t="inlineStr">
        <is>
          <t>Car make</t>
        </is>
      </c>
      <c r="I134" s="123" t="inlineStr">
        <is>
          <t>Theft risk</t>
        </is>
      </c>
      <c r="J134" s="124" t="inlineStr">
        <is>
          <t>MCY high model score, low mileage</t>
        </is>
      </c>
      <c r="K134" s="123" t="inlineStr">
        <is>
          <t>Weekday/weekend decision</t>
        </is>
      </c>
      <c r="L134" s="123" t="inlineStr">
        <is>
          <t>Secured credit (Chime, etc.)</t>
        </is>
      </c>
      <c r="M134" s="123" t="inlineStr">
        <is>
          <t>Employment type</t>
        </is>
      </c>
      <c r="N134" s="124" t="inlineStr">
        <is>
          <t>High cash down EchoPark</t>
        </is>
      </c>
      <c r="O134" s="123" t="inlineStr">
        <is>
          <t>Authorized tradelines</t>
        </is>
      </c>
      <c r="P134" s="123" t="inlineStr">
        <is>
          <t>Clip</t>
        </is>
      </c>
      <c r="Q134" s="123" t="inlineStr">
        <is>
          <t>Vehicle Age</t>
        </is>
      </c>
      <c r="R134" s="123" t="inlineStr">
        <is>
          <t>Dealer Level (Non-KMX)</t>
        </is>
      </c>
      <c r="S134" s="123" t="inlineStr">
        <is>
          <t>Mileage/age</t>
        </is>
      </c>
      <c r="T134" s="123" t="inlineStr">
        <is>
          <t>Japanese</t>
        </is>
      </c>
      <c r="U134" s="123" t="inlineStr">
        <is>
          <t>Vehicle class</t>
        </is>
      </c>
      <c r="V134" s="123" t="inlineStr">
        <is>
          <t>Fuel type</t>
        </is>
      </c>
      <c r="W134" s="123" t="inlineStr">
        <is>
          <t>Luxury classification</t>
        </is>
      </c>
      <c r="X134" s="123" t="inlineStr">
        <is>
          <t>LOB</t>
        </is>
      </c>
      <c r="Y134" s="123" t="inlineStr">
        <is>
          <t>Driver flag</t>
        </is>
      </c>
      <c r="Z134" s="124" t="inlineStr">
        <is>
          <t>Impound probability</t>
        </is>
      </c>
      <c r="AA134" s="124" t="inlineStr">
        <is>
          <t>Job time</t>
        </is>
      </c>
      <c r="AB134" s="124" t="inlineStr">
        <is>
          <t>Low FICO</t>
        </is>
      </c>
      <c r="AC134" s="124" t="inlineStr">
        <is>
          <t>Low Vantage</t>
        </is>
      </c>
      <c r="AD134" s="124" t="inlineStr">
        <is>
          <t>Louisiana</t>
        </is>
      </c>
      <c r="AE134" s="124" t="inlineStr">
        <is>
          <t>Existing DQ</t>
        </is>
      </c>
      <c r="AF134" s="123" t="inlineStr">
        <is>
          <t>Null FICO with Vantage</t>
        </is>
      </c>
      <c r="AG134" s="124" t="inlineStr">
        <is>
          <t>Soft Pull</t>
        </is>
      </c>
    </row>
    <row r="135">
      <c r="A135" s="127" t="inlineStr">
        <is>
          <t>2019 Q3</t>
        </is>
      </c>
      <c r="B135" s="66" t="n">
        <v>0</v>
      </c>
      <c r="C135" s="66" t="n">
        <v>-0.04221211571629624</v>
      </c>
      <c r="D135" s="66" t="n">
        <v>-0.009914139554268786</v>
      </c>
      <c r="E135" s="66" t="n">
        <v>-0.2179838445853477</v>
      </c>
      <c r="F135" s="66" t="n">
        <v>-0.3397378063929466</v>
      </c>
      <c r="G135" s="66" t="n">
        <v>-0.07785833585163004</v>
      </c>
      <c r="H135" s="66" t="n">
        <v>0.2353209021327132</v>
      </c>
      <c r="I135" s="66" t="n">
        <v>0.2630039795147923</v>
      </c>
      <c r="J135" s="99" t="n">
        <v>0</v>
      </c>
      <c r="K135" s="66" t="n">
        <v>-0.05568482892789461</v>
      </c>
      <c r="L135" s="66" t="n">
        <v>-0.7392567004327191</v>
      </c>
      <c r="M135" s="66" t="n">
        <v>0</v>
      </c>
      <c r="N135" s="99" t="n">
        <v>0</v>
      </c>
      <c r="O135" s="66" t="n">
        <v>-0.08099199516829003</v>
      </c>
      <c r="P135" s="66" t="n">
        <v>0.1095151566522077</v>
      </c>
      <c r="Q135" s="66" t="n">
        <v>0</v>
      </c>
      <c r="R135" s="66" t="n">
        <v>0.2959411895667756</v>
      </c>
      <c r="S135" s="66" t="n">
        <v>0</v>
      </c>
      <c r="T135" s="66" t="n">
        <v>0</v>
      </c>
      <c r="U135" s="66" t="n">
        <v>0</v>
      </c>
      <c r="V135" s="66" t="n">
        <v>0</v>
      </c>
      <c r="W135" s="66" t="n">
        <v>0</v>
      </c>
      <c r="X135" s="66" t="n">
        <v>0</v>
      </c>
      <c r="Y135" s="66" t="n">
        <v>0</v>
      </c>
      <c r="Z135" s="99" t="n">
        <v>0</v>
      </c>
      <c r="AA135" s="99" t="n">
        <v>0</v>
      </c>
      <c r="AB135" s="99" t="n">
        <v>0</v>
      </c>
      <c r="AC135" s="99" t="n">
        <v>0</v>
      </c>
      <c r="AD135" s="99" t="n">
        <v>0</v>
      </c>
      <c r="AE135" s="99" t="n">
        <v>0</v>
      </c>
      <c r="AF135" s="66" t="n">
        <v>-0.06148264883148613</v>
      </c>
      <c r="AG135" s="99" t="n">
        <v>0</v>
      </c>
    </row>
    <row r="136">
      <c r="A136" s="127" t="inlineStr">
        <is>
          <t>2019 Q4</t>
        </is>
      </c>
      <c r="B136" s="66" t="n">
        <v>0</v>
      </c>
      <c r="C136" s="66" t="n">
        <v>0</v>
      </c>
      <c r="D136" s="66" t="n">
        <v>-0.009080883378715043</v>
      </c>
      <c r="E136" s="66" t="n">
        <v>-0.2375118856292318</v>
      </c>
      <c r="F136" s="66" t="n">
        <v>-0.2763854557338732</v>
      </c>
      <c r="G136" s="66" t="n">
        <v>0</v>
      </c>
      <c r="H136" s="66" t="n">
        <v>0.202836384272814</v>
      </c>
      <c r="I136" s="66" t="n">
        <v>0.2400230096072562</v>
      </c>
      <c r="J136" s="99" t="n">
        <v>0</v>
      </c>
      <c r="K136" s="66" t="n">
        <v>0.0835104832187028</v>
      </c>
      <c r="L136" s="66" t="n">
        <v>-0.07631803122410474</v>
      </c>
      <c r="M136" s="66" t="n">
        <v>0</v>
      </c>
      <c r="N136" s="99" t="n">
        <v>0</v>
      </c>
      <c r="O136" s="66" t="n">
        <v>0</v>
      </c>
      <c r="P136" s="66" t="n">
        <v>0.05285379367373366</v>
      </c>
      <c r="Q136" s="66" t="n">
        <v>0</v>
      </c>
      <c r="R136" s="66" t="n">
        <v>3.177580255764042</v>
      </c>
      <c r="S136" s="66" t="n">
        <v>0</v>
      </c>
      <c r="T136" s="66" t="n">
        <v>0</v>
      </c>
      <c r="U136" s="66" t="n">
        <v>0</v>
      </c>
      <c r="V136" s="66" t="n">
        <v>0</v>
      </c>
      <c r="W136" s="66" t="n">
        <v>0</v>
      </c>
      <c r="X136" s="66" t="n">
        <v>0</v>
      </c>
      <c r="Y136" s="66" t="n">
        <v>0</v>
      </c>
      <c r="Z136" s="99" t="n">
        <v>0</v>
      </c>
      <c r="AA136" s="99" t="n">
        <v>0</v>
      </c>
      <c r="AB136" s="99" t="n">
        <v>0</v>
      </c>
      <c r="AC136" s="99" t="n">
        <v>0</v>
      </c>
      <c r="AD136" s="99" t="n">
        <v>0</v>
      </c>
      <c r="AE136" s="99" t="n">
        <v>0</v>
      </c>
      <c r="AF136" s="66" t="n">
        <v>0.05657160666874006</v>
      </c>
      <c r="AG136" s="99" t="n">
        <v>0</v>
      </c>
    </row>
    <row r="137">
      <c r="A137" s="127" t="inlineStr">
        <is>
          <t>2020 Q1</t>
        </is>
      </c>
      <c r="B137" s="66" t="n">
        <v>0</v>
      </c>
      <c r="C137" s="66" t="n">
        <v>0</v>
      </c>
      <c r="D137" s="66" t="n">
        <v>-0.006697686343983378</v>
      </c>
      <c r="E137" s="66" t="n">
        <v>-0.3560134946224309</v>
      </c>
      <c r="F137" s="66" t="n">
        <v>-0.2573667916396687</v>
      </c>
      <c r="G137" s="66" t="n">
        <v>-0.04408482675137293</v>
      </c>
      <c r="H137" s="66" t="n">
        <v>0.1129423458537246</v>
      </c>
      <c r="I137" s="66" t="n">
        <v>0.2726124728134494</v>
      </c>
      <c r="J137" s="99" t="n">
        <v>0</v>
      </c>
      <c r="K137" s="66" t="n">
        <v>-0.01229036511523418</v>
      </c>
      <c r="L137" s="66" t="n">
        <v>0.2307492766422286</v>
      </c>
      <c r="M137" s="66" t="n">
        <v>0</v>
      </c>
      <c r="N137" s="99" t="n">
        <v>0</v>
      </c>
      <c r="O137" s="66" t="n">
        <v>0</v>
      </c>
      <c r="P137" s="66" t="n">
        <v>0</v>
      </c>
      <c r="Q137" s="66" t="n">
        <v>0</v>
      </c>
      <c r="R137" s="66" t="n">
        <v>1.575684351920046</v>
      </c>
      <c r="S137" s="66" t="n">
        <v>0</v>
      </c>
      <c r="T137" s="66" t="n">
        <v>0</v>
      </c>
      <c r="U137" s="66" t="n">
        <v>0</v>
      </c>
      <c r="V137" s="66" t="n">
        <v>0</v>
      </c>
      <c r="W137" s="66" t="n">
        <v>0</v>
      </c>
      <c r="X137" s="66" t="n">
        <v>0</v>
      </c>
      <c r="Y137" s="66" t="n">
        <v>0</v>
      </c>
      <c r="Z137" s="99" t="n">
        <v>0</v>
      </c>
      <c r="AA137" s="99" t="n">
        <v>0</v>
      </c>
      <c r="AB137" s="99" t="n">
        <v>0</v>
      </c>
      <c r="AC137" s="99" t="n">
        <v>0</v>
      </c>
      <c r="AD137" s="99" t="n">
        <v>0</v>
      </c>
      <c r="AE137" s="99" t="n">
        <v>0</v>
      </c>
      <c r="AF137" s="66" t="n">
        <v>0.2098811076417348</v>
      </c>
      <c r="AG137" s="99" t="n">
        <v>0</v>
      </c>
    </row>
    <row r="138">
      <c r="A138" s="127" t="inlineStr">
        <is>
          <t>2020 Q2</t>
        </is>
      </c>
      <c r="B138" s="66" t="n">
        <v>0</v>
      </c>
      <c r="C138" s="66" t="n">
        <v>0</v>
      </c>
      <c r="D138" s="66" t="n">
        <v>-0.006244917842167297</v>
      </c>
      <c r="E138" s="66" t="n">
        <v>-0.4775990801251453</v>
      </c>
      <c r="F138" s="66" t="n">
        <v>-0.3156873512348284</v>
      </c>
      <c r="G138" s="66" t="n">
        <v>0</v>
      </c>
      <c r="H138" s="66" t="n">
        <v>0.1736775307229266</v>
      </c>
      <c r="I138" s="66" t="n">
        <v>0.2921939651027401</v>
      </c>
      <c r="J138" s="99" t="n">
        <v>0</v>
      </c>
      <c r="K138" s="66" t="n">
        <v>0.02322886080466446</v>
      </c>
      <c r="L138" s="66" t="n">
        <v>0.2471996406006269</v>
      </c>
      <c r="M138" s="66" t="n">
        <v>0</v>
      </c>
      <c r="N138" s="99" t="n">
        <v>0</v>
      </c>
      <c r="O138" s="66" t="n">
        <v>0</v>
      </c>
      <c r="P138" s="66" t="n">
        <v>0</v>
      </c>
      <c r="Q138" s="66" t="n">
        <v>0</v>
      </c>
      <c r="R138" s="66" t="n">
        <v>0.1213003297088164</v>
      </c>
      <c r="S138" s="66" t="n">
        <v>0</v>
      </c>
      <c r="T138" s="66" t="n">
        <v>0</v>
      </c>
      <c r="U138" s="66" t="n">
        <v>0</v>
      </c>
      <c r="V138" s="66" t="n">
        <v>0</v>
      </c>
      <c r="W138" s="66" t="n">
        <v>0</v>
      </c>
      <c r="X138" s="66" t="n">
        <v>0</v>
      </c>
      <c r="Y138" s="66" t="n">
        <v>0</v>
      </c>
      <c r="Z138" s="99" t="n">
        <v>0</v>
      </c>
      <c r="AA138" s="99" t="n">
        <v>0</v>
      </c>
      <c r="AB138" s="99" t="n">
        <v>0</v>
      </c>
      <c r="AC138" s="99" t="n">
        <v>0</v>
      </c>
      <c r="AD138" s="99" t="n">
        <v>0</v>
      </c>
      <c r="AE138" s="99" t="n">
        <v>0</v>
      </c>
      <c r="AF138" s="66" t="n">
        <v>0.2247706515685195</v>
      </c>
      <c r="AG138" s="99" t="n">
        <v>0</v>
      </c>
    </row>
    <row r="139">
      <c r="A139" s="127" t="inlineStr">
        <is>
          <t>2020 Q3</t>
        </is>
      </c>
      <c r="B139" s="66" t="n">
        <v>0</v>
      </c>
      <c r="C139" s="66" t="n">
        <v>0</v>
      </c>
      <c r="D139" s="66" t="n">
        <v>0</v>
      </c>
      <c r="E139" s="66" t="n">
        <v>-0.1468900350287186</v>
      </c>
      <c r="F139" s="66" t="n">
        <v>-0.1277692193360735</v>
      </c>
      <c r="G139" s="66" t="n">
        <v>0</v>
      </c>
      <c r="H139" s="66" t="n">
        <v>0.2132618582821522</v>
      </c>
      <c r="I139" s="66" t="n">
        <v>0.2838948948216569</v>
      </c>
      <c r="J139" s="99" t="n">
        <v>0</v>
      </c>
      <c r="K139" s="66" t="n">
        <v>-0.0736316041011662</v>
      </c>
      <c r="L139" s="66" t="n">
        <v>0.2404254672825914</v>
      </c>
      <c r="M139" s="66" t="n">
        <v>0</v>
      </c>
      <c r="N139" s="99" t="n">
        <v>0</v>
      </c>
      <c r="O139" s="66" t="n">
        <v>-0.00982348640792452</v>
      </c>
      <c r="P139" s="66" t="n">
        <v>0</v>
      </c>
      <c r="Q139" s="66" t="n">
        <v>0</v>
      </c>
      <c r="R139" s="66" t="n">
        <v>0.1434008159580173</v>
      </c>
      <c r="S139" s="66" t="n">
        <v>0</v>
      </c>
      <c r="T139" s="66" t="n">
        <v>0</v>
      </c>
      <c r="U139" s="66" t="n">
        <v>0</v>
      </c>
      <c r="V139" s="66" t="n">
        <v>0</v>
      </c>
      <c r="W139" s="66" t="n">
        <v>0</v>
      </c>
      <c r="X139" s="66" t="n">
        <v>0</v>
      </c>
      <c r="Y139" s="66" t="n">
        <v>0</v>
      </c>
      <c r="Z139" s="99" t="n">
        <v>0</v>
      </c>
      <c r="AA139" s="99" t="n">
        <v>0</v>
      </c>
      <c r="AB139" s="99" t="n">
        <v>0</v>
      </c>
      <c r="AC139" s="99" t="n">
        <v>0</v>
      </c>
      <c r="AD139" s="99" t="n">
        <v>0</v>
      </c>
      <c r="AE139" s="99" t="n">
        <v>0</v>
      </c>
      <c r="AF139" s="66" t="n">
        <v>0.2187566162820644</v>
      </c>
      <c r="AG139" s="99" t="n">
        <v>0</v>
      </c>
    </row>
    <row r="140">
      <c r="A140" s="127" t="inlineStr">
        <is>
          <t>2020 Q4</t>
        </is>
      </c>
      <c r="B140" s="66" t="n">
        <v>0</v>
      </c>
      <c r="C140" s="66" t="n">
        <v>0</v>
      </c>
      <c r="D140" s="66" t="n">
        <v>-0.002322925099008444</v>
      </c>
      <c r="E140" s="66" t="n">
        <v>-0.135602475058306</v>
      </c>
      <c r="F140" s="66" t="n">
        <v>-0.05921290233919763</v>
      </c>
      <c r="G140" s="66" t="n">
        <v>0</v>
      </c>
      <c r="H140" s="66" t="n">
        <v>0.2137233621698726</v>
      </c>
      <c r="I140" s="66" t="n">
        <v>0.2905203928074513</v>
      </c>
      <c r="J140" s="99" t="n">
        <v>0</v>
      </c>
      <c r="K140" s="66" t="n">
        <v>-0.1589102636227437</v>
      </c>
      <c r="L140" s="66" t="n">
        <v>0.2453278295644736</v>
      </c>
      <c r="M140" s="66" t="n">
        <v>0</v>
      </c>
      <c r="N140" s="99" t="n">
        <v>0</v>
      </c>
      <c r="O140" s="66" t="n">
        <v>-0.0356387757075538</v>
      </c>
      <c r="P140" s="66" t="n">
        <v>0</v>
      </c>
      <c r="Q140" s="66" t="n">
        <v>0</v>
      </c>
      <c r="R140" s="66" t="n">
        <v>0.09053446810966648</v>
      </c>
      <c r="S140" s="66" t="n">
        <v>0</v>
      </c>
      <c r="T140" s="66" t="n">
        <v>0</v>
      </c>
      <c r="U140" s="66" t="n">
        <v>0</v>
      </c>
      <c r="V140" s="66" t="n">
        <v>0</v>
      </c>
      <c r="W140" s="66" t="n">
        <v>0</v>
      </c>
      <c r="X140" s="66" t="n">
        <v>0</v>
      </c>
      <c r="Y140" s="66" t="n">
        <v>0</v>
      </c>
      <c r="Z140" s="99" t="n">
        <v>0</v>
      </c>
      <c r="AA140" s="99" t="n">
        <v>0</v>
      </c>
      <c r="AB140" s="99" t="n">
        <v>0</v>
      </c>
      <c r="AC140" s="99" t="n">
        <v>0</v>
      </c>
      <c r="AD140" s="99" t="n">
        <v>0</v>
      </c>
      <c r="AE140" s="99" t="n">
        <v>0</v>
      </c>
      <c r="AF140" s="66" t="n">
        <v>0.2228000215236534</v>
      </c>
      <c r="AG140" s="99" t="n">
        <v>0</v>
      </c>
    </row>
    <row r="141">
      <c r="A141" s="127" t="inlineStr">
        <is>
          <t>2021 Q1</t>
        </is>
      </c>
      <c r="B141" s="66" t="n">
        <v>0</v>
      </c>
      <c r="C141" s="66" t="n">
        <v>-0.03335609514883231</v>
      </c>
      <c r="D141" s="66" t="n">
        <v>0</v>
      </c>
      <c r="E141" s="66" t="n">
        <v>-0.2569279620703924</v>
      </c>
      <c r="F141" s="66" t="n">
        <v>-0.06552349993287976</v>
      </c>
      <c r="G141" s="66" t="n">
        <v>0</v>
      </c>
      <c r="H141" s="66" t="n">
        <v>0.1322802788058652</v>
      </c>
      <c r="I141" s="66" t="n">
        <v>0.2900603200655496</v>
      </c>
      <c r="J141" s="99" t="n">
        <v>0</v>
      </c>
      <c r="K141" s="66" t="n">
        <v>-0.1346170571125924</v>
      </c>
      <c r="L141" s="66" t="n">
        <v>0.2454767582972863</v>
      </c>
      <c r="M141" s="66" t="n">
        <v>0</v>
      </c>
      <c r="N141" s="99" t="n">
        <v>0</v>
      </c>
      <c r="O141" s="66" t="n">
        <v>-0.01325524963260705</v>
      </c>
      <c r="P141" s="66" t="n">
        <v>0</v>
      </c>
      <c r="Q141" s="66" t="n">
        <v>0</v>
      </c>
      <c r="R141" s="66" t="n">
        <v>0</v>
      </c>
      <c r="S141" s="66" t="n">
        <v>0</v>
      </c>
      <c r="T141" s="66" t="n">
        <v>0</v>
      </c>
      <c r="U141" s="66" t="n">
        <v>0</v>
      </c>
      <c r="V141" s="66" t="n">
        <v>0</v>
      </c>
      <c r="W141" s="66" t="n">
        <v>0</v>
      </c>
      <c r="X141" s="66" t="n">
        <v>0</v>
      </c>
      <c r="Y141" s="66" t="n">
        <v>0</v>
      </c>
      <c r="Z141" s="99" t="n">
        <v>0</v>
      </c>
      <c r="AA141" s="99" t="n">
        <v>0</v>
      </c>
      <c r="AB141" s="99" t="n">
        <v>0</v>
      </c>
      <c r="AC141" s="99" t="n">
        <v>0</v>
      </c>
      <c r="AD141" s="99" t="n">
        <v>0</v>
      </c>
      <c r="AE141" s="99" t="n">
        <v>0</v>
      </c>
      <c r="AF141" s="66" t="n">
        <v>0.223252528264311</v>
      </c>
      <c r="AG141" s="99" t="n">
        <v>0</v>
      </c>
    </row>
    <row r="142">
      <c r="A142" s="127" t="inlineStr">
        <is>
          <t>2021 Q2</t>
        </is>
      </c>
      <c r="B142" s="66" t="n">
        <v>0</v>
      </c>
      <c r="C142" s="66" t="n">
        <v>-0.03248473675702712</v>
      </c>
      <c r="D142" s="66" t="n">
        <v>0</v>
      </c>
      <c r="E142" s="66" t="n">
        <v>-0.3282673344349405</v>
      </c>
      <c r="F142" s="66" t="n">
        <v>-0.01343918294955415</v>
      </c>
      <c r="G142" s="66" t="n">
        <v>-0.04119288398564436</v>
      </c>
      <c r="H142" s="66" t="n">
        <v>0.1913710573419394</v>
      </c>
      <c r="I142" s="66" t="n">
        <v>0.2537132923779097</v>
      </c>
      <c r="J142" s="99" t="n">
        <v>0</v>
      </c>
      <c r="K142" s="66" t="n">
        <v>-0.1174786346590508</v>
      </c>
      <c r="L142" s="66" t="n">
        <v>0.2149869367783594</v>
      </c>
      <c r="M142" s="66" t="n">
        <v>0</v>
      </c>
      <c r="N142" s="99" t="n">
        <v>0</v>
      </c>
      <c r="O142" s="66" t="n">
        <v>0</v>
      </c>
      <c r="P142" s="66" t="n">
        <v>0</v>
      </c>
      <c r="Q142" s="66" t="n">
        <v>0</v>
      </c>
      <c r="R142" s="66" t="n">
        <v>2.646563752576213</v>
      </c>
      <c r="S142" s="66" t="n">
        <v>0</v>
      </c>
      <c r="T142" s="66" t="n">
        <v>0</v>
      </c>
      <c r="U142" s="66" t="n">
        <v>0</v>
      </c>
      <c r="V142" s="66" t="n">
        <v>0</v>
      </c>
      <c r="W142" s="66" t="n">
        <v>0</v>
      </c>
      <c r="X142" s="66" t="n">
        <v>0</v>
      </c>
      <c r="Y142" s="66" t="n">
        <v>0</v>
      </c>
      <c r="Z142" s="99" t="n">
        <v>0</v>
      </c>
      <c r="AA142" s="99" t="n">
        <v>0</v>
      </c>
      <c r="AB142" s="99" t="n">
        <v>0</v>
      </c>
      <c r="AC142" s="99" t="n">
        <v>0</v>
      </c>
      <c r="AD142" s="99" t="n">
        <v>0</v>
      </c>
      <c r="AE142" s="99" t="n">
        <v>0</v>
      </c>
      <c r="AF142" s="66" t="n">
        <v>0.1956824352749607</v>
      </c>
      <c r="AG142" s="99" t="n">
        <v>0</v>
      </c>
    </row>
    <row r="143">
      <c r="A143" s="127" t="inlineStr">
        <is>
          <t>2021 Q3</t>
        </is>
      </c>
      <c r="B143" s="66" t="n">
        <v>0</v>
      </c>
      <c r="C143" s="66" t="n">
        <v>0</v>
      </c>
      <c r="D143" s="66" t="n">
        <v>0</v>
      </c>
      <c r="E143" s="66" t="n">
        <v>-0.104732461087508</v>
      </c>
      <c r="F143" s="66" t="n">
        <v>-0.02474369190102266</v>
      </c>
      <c r="G143" s="66" t="n">
        <v>-0.02682160947904322</v>
      </c>
      <c r="H143" s="66" t="n">
        <v>0.2347492789940588</v>
      </c>
      <c r="I143" s="66" t="n">
        <v>0.2563296215095932</v>
      </c>
      <c r="J143" s="99" t="n">
        <v>0</v>
      </c>
      <c r="K143" s="66" t="n">
        <v>-0.04909790529109159</v>
      </c>
      <c r="L143" s="66" t="n">
        <v>0.2164556817865275</v>
      </c>
      <c r="M143" s="66" t="n">
        <v>0</v>
      </c>
      <c r="N143" s="99" t="n">
        <v>0</v>
      </c>
      <c r="O143" s="66" t="n">
        <v>-0.03871548595077456</v>
      </c>
      <c r="P143" s="66" t="n">
        <v>0</v>
      </c>
      <c r="Q143" s="66" t="n">
        <v>0</v>
      </c>
      <c r="R143" s="66" t="n">
        <v>2.519552512588177</v>
      </c>
      <c r="S143" s="66" t="n">
        <v>0</v>
      </c>
      <c r="T143" s="66" t="n">
        <v>0</v>
      </c>
      <c r="U143" s="66" t="n">
        <v>0</v>
      </c>
      <c r="V143" s="66" t="n">
        <v>0</v>
      </c>
      <c r="W143" s="66" t="n">
        <v>0</v>
      </c>
      <c r="X143" s="66" t="n">
        <v>0</v>
      </c>
      <c r="Y143" s="66" t="n">
        <v>0</v>
      </c>
      <c r="Z143" s="99" t="n">
        <v>0</v>
      </c>
      <c r="AA143" s="99" t="n">
        <v>0</v>
      </c>
      <c r="AB143" s="99" t="n">
        <v>0</v>
      </c>
      <c r="AC143" s="99" t="n">
        <v>0</v>
      </c>
      <c r="AD143" s="99" t="n">
        <v>0</v>
      </c>
      <c r="AE143" s="99" t="n">
        <v>0</v>
      </c>
      <c r="AF143" s="66" t="n">
        <v>0.1965791269851991</v>
      </c>
      <c r="AG143" s="99" t="n">
        <v>0</v>
      </c>
    </row>
    <row r="144">
      <c r="A144" s="127" t="inlineStr">
        <is>
          <t>2021 Q4</t>
        </is>
      </c>
      <c r="B144" s="66" t="n">
        <v>0</v>
      </c>
      <c r="C144" s="66" t="n">
        <v>-0.01546617430128094</v>
      </c>
      <c r="D144" s="66" t="n">
        <v>-0.003380975971367661</v>
      </c>
      <c r="E144" s="66" t="n">
        <v>-0.2893919831560936</v>
      </c>
      <c r="F144" s="66" t="n">
        <v>-0.006742220808206412</v>
      </c>
      <c r="G144" s="66" t="n">
        <v>0</v>
      </c>
      <c r="H144" s="66" t="n">
        <v>0.1557176342480204</v>
      </c>
      <c r="I144" s="66" t="n">
        <v>0.2481870050830537</v>
      </c>
      <c r="J144" s="99" t="n">
        <v>0</v>
      </c>
      <c r="K144" s="66" t="n">
        <v>-0.03357801326816912</v>
      </c>
      <c r="L144" s="66" t="n">
        <v>0.2099672479307628</v>
      </c>
      <c r="M144" s="66" t="n">
        <v>0</v>
      </c>
      <c r="N144" s="99" t="n">
        <v>0</v>
      </c>
      <c r="O144" s="66" t="n">
        <v>-0.0370448780223569</v>
      </c>
      <c r="P144" s="66" t="n">
        <v>0</v>
      </c>
      <c r="Q144" s="66" t="n">
        <v>0</v>
      </c>
      <c r="R144" s="66" t="n">
        <v>3.169673221411614</v>
      </c>
      <c r="S144" s="66" t="n">
        <v>0</v>
      </c>
      <c r="T144" s="66" t="n">
        <v>0</v>
      </c>
      <c r="U144" s="66" t="n">
        <v>0</v>
      </c>
      <c r="V144" s="66" t="n">
        <v>0</v>
      </c>
      <c r="W144" s="66" t="n">
        <v>0</v>
      </c>
      <c r="X144" s="66" t="n">
        <v>0</v>
      </c>
      <c r="Y144" s="66" t="n">
        <v>0</v>
      </c>
      <c r="Z144" s="99" t="n">
        <v>0</v>
      </c>
      <c r="AA144" s="99" t="n">
        <v>0</v>
      </c>
      <c r="AB144" s="99" t="n">
        <v>0</v>
      </c>
      <c r="AC144" s="99" t="n">
        <v>0</v>
      </c>
      <c r="AD144" s="99" t="n">
        <v>0</v>
      </c>
      <c r="AE144" s="99" t="n">
        <v>0</v>
      </c>
      <c r="AF144" s="66" t="n">
        <v>0.1909152780775685</v>
      </c>
      <c r="AG144" s="99" t="n">
        <v>0</v>
      </c>
    </row>
    <row r="145">
      <c r="A145" s="127" t="inlineStr">
        <is>
          <t>2022 Q1</t>
        </is>
      </c>
      <c r="B145" s="66" t="n">
        <v>0</v>
      </c>
      <c r="C145" s="66" t="n">
        <v>-0.02081895104993237</v>
      </c>
      <c r="D145" s="66" t="n">
        <v>0</v>
      </c>
      <c r="E145" s="66" t="n">
        <v>-0.1896225405095606</v>
      </c>
      <c r="F145" s="66" t="n">
        <v>-0.03114533726252944</v>
      </c>
      <c r="G145" s="66" t="n">
        <v>0</v>
      </c>
      <c r="H145" s="66" t="n">
        <v>0.1996527188294408</v>
      </c>
      <c r="I145" s="66" t="n">
        <v>0.2708862762891897</v>
      </c>
      <c r="J145" s="99" t="n">
        <v>0</v>
      </c>
      <c r="K145" s="66" t="n">
        <v>-0.1250696092989187</v>
      </c>
      <c r="L145" s="66" t="n">
        <v>0.2287479428849508</v>
      </c>
      <c r="M145" s="66" t="n">
        <v>0</v>
      </c>
      <c r="N145" s="99" t="n">
        <v>0</v>
      </c>
      <c r="O145" s="66" t="n">
        <v>0</v>
      </c>
      <c r="P145" s="66" t="n">
        <v>0</v>
      </c>
      <c r="Q145" s="66" t="n">
        <v>0</v>
      </c>
      <c r="R145" s="66" t="n">
        <v>1.589079116732961</v>
      </c>
      <c r="S145" s="66" t="n">
        <v>0</v>
      </c>
      <c r="T145" s="66" t="n">
        <v>0</v>
      </c>
      <c r="U145" s="66" t="n">
        <v>0</v>
      </c>
      <c r="V145" s="66" t="n">
        <v>0</v>
      </c>
      <c r="W145" s="66" t="n">
        <v>0</v>
      </c>
      <c r="X145" s="66" t="n">
        <v>0</v>
      </c>
      <c r="Y145" s="66" t="n">
        <v>0</v>
      </c>
      <c r="Z145" s="99" t="n">
        <v>0</v>
      </c>
      <c r="AA145" s="99" t="n">
        <v>0</v>
      </c>
      <c r="AB145" s="99" t="n">
        <v>0</v>
      </c>
      <c r="AC145" s="99" t="n">
        <v>0</v>
      </c>
      <c r="AD145" s="99" t="n">
        <v>0</v>
      </c>
      <c r="AE145" s="99" t="n">
        <v>0</v>
      </c>
      <c r="AF145" s="66" t="n">
        <v>0.2077426221425185</v>
      </c>
      <c r="AG145" s="99" t="n">
        <v>0</v>
      </c>
    </row>
    <row r="146">
      <c r="A146" s="127" t="inlineStr">
        <is>
          <t>2022 Q2</t>
        </is>
      </c>
      <c r="B146" s="66" t="n">
        <v>0</v>
      </c>
      <c r="C146" s="66" t="n">
        <v>-0.0233931046661553</v>
      </c>
      <c r="D146" s="66" t="n">
        <v>-0.002023148002081143</v>
      </c>
      <c r="E146" s="66" t="n">
        <v>-0.319292980897302</v>
      </c>
      <c r="F146" s="66" t="n">
        <v>-0.02603479199467529</v>
      </c>
      <c r="G146" s="66" t="n">
        <v>-0.02020960917312209</v>
      </c>
      <c r="H146" s="66" t="n">
        <v>0.1886764696158707</v>
      </c>
      <c r="I146" s="66" t="n">
        <v>0.2835610606340708</v>
      </c>
      <c r="J146" s="99" t="n">
        <v>0</v>
      </c>
      <c r="K146" s="66" t="n">
        <v>-0.09623971576814938</v>
      </c>
      <c r="L146" s="66" t="n">
        <v>0.2397298889689239</v>
      </c>
      <c r="M146" s="66" t="n">
        <v>0</v>
      </c>
      <c r="N146" s="99" t="n">
        <v>0</v>
      </c>
      <c r="O146" s="66" t="n">
        <v>-0.04155159832595245</v>
      </c>
      <c r="P146" s="66" t="n">
        <v>0</v>
      </c>
      <c r="Q146" s="66" t="n">
        <v>0</v>
      </c>
      <c r="R146" s="66" t="n">
        <v>0.6302354495342684</v>
      </c>
      <c r="S146" s="66" t="n">
        <v>0</v>
      </c>
      <c r="T146" s="66" t="n">
        <v>0</v>
      </c>
      <c r="U146" s="66" t="n">
        <v>0</v>
      </c>
      <c r="V146" s="66" t="n">
        <v>0</v>
      </c>
      <c r="W146" s="66" t="n">
        <v>0</v>
      </c>
      <c r="X146" s="66" t="n">
        <v>0</v>
      </c>
      <c r="Y146" s="66" t="n">
        <v>0</v>
      </c>
      <c r="Z146" s="99" t="n">
        <v>0</v>
      </c>
      <c r="AA146" s="99" t="n">
        <v>0</v>
      </c>
      <c r="AB146" s="99" t="n">
        <v>0</v>
      </c>
      <c r="AC146" s="99" t="n">
        <v>0</v>
      </c>
      <c r="AD146" s="99" t="n">
        <v>0</v>
      </c>
      <c r="AE146" s="99" t="n">
        <v>0</v>
      </c>
      <c r="AF146" s="66" t="n">
        <v>0.2178807140025185</v>
      </c>
      <c r="AG146" s="99" t="n">
        <v>0</v>
      </c>
    </row>
    <row r="147">
      <c r="A147" s="127" t="inlineStr">
        <is>
          <t>2022 Q3</t>
        </is>
      </c>
      <c r="B147" s="66" t="n">
        <v>0</v>
      </c>
      <c r="C147" s="66" t="n">
        <v>-0.007794209078610947</v>
      </c>
      <c r="D147" s="66" t="n">
        <v>-0.0008316985417309297</v>
      </c>
      <c r="E147" s="66" t="n">
        <v>-0.1817122853313435</v>
      </c>
      <c r="F147" s="66" t="n">
        <v>-0.00366291818187392</v>
      </c>
      <c r="G147" s="66" t="n">
        <v>-0.01745530017504393</v>
      </c>
      <c r="H147" s="66" t="n">
        <v>0.2048996282657356</v>
      </c>
      <c r="I147" s="66" t="n">
        <v>0.2814783790572335</v>
      </c>
      <c r="J147" s="99" t="n">
        <v>0</v>
      </c>
      <c r="K147" s="66" t="n">
        <v>0.03251000648319291</v>
      </c>
      <c r="L147" s="66" t="n">
        <v>0.2377306171272267</v>
      </c>
      <c r="M147" s="66" t="n">
        <v>0</v>
      </c>
      <c r="N147" s="99" t="n">
        <v>0</v>
      </c>
      <c r="O147" s="66" t="n">
        <v>-0.04341570974395381</v>
      </c>
      <c r="P147" s="66" t="n">
        <v>0</v>
      </c>
      <c r="Q147" s="66" t="n">
        <v>0</v>
      </c>
      <c r="R147" s="66" t="n">
        <v>0.5953391545986904</v>
      </c>
      <c r="S147" s="66" t="n">
        <v>0</v>
      </c>
      <c r="T147" s="66" t="n">
        <v>0</v>
      </c>
      <c r="U147" s="66" t="n">
        <v>0</v>
      </c>
      <c r="V147" s="66" t="n">
        <v>0</v>
      </c>
      <c r="W147" s="66" t="n">
        <v>0</v>
      </c>
      <c r="X147" s="66" t="n">
        <v>0</v>
      </c>
      <c r="Y147" s="66" t="n">
        <v>0</v>
      </c>
      <c r="Z147" s="99" t="n">
        <v>0</v>
      </c>
      <c r="AA147" s="99" t="n">
        <v>0</v>
      </c>
      <c r="AB147" s="99" t="n">
        <v>0</v>
      </c>
      <c r="AC147" s="99" t="n">
        <v>0</v>
      </c>
      <c r="AD147" s="99" t="n">
        <v>0</v>
      </c>
      <c r="AE147" s="99" t="n">
        <v>0</v>
      </c>
      <c r="AF147" s="66" t="n">
        <v>0.215923020650024</v>
      </c>
      <c r="AG147" s="99" t="n">
        <v>0</v>
      </c>
    </row>
    <row r="148">
      <c r="A148" s="127" t="inlineStr">
        <is>
          <t>2022 Q4</t>
        </is>
      </c>
      <c r="B148" s="66" t="n">
        <v>0</v>
      </c>
      <c r="C148" s="66" t="n">
        <v>-0.009131187026582666</v>
      </c>
      <c r="D148" s="66" t="n">
        <v>0</v>
      </c>
      <c r="E148" s="66" t="n">
        <v>-0.3075336544094114</v>
      </c>
      <c r="F148" s="66" t="n">
        <v>-0.001158343727155398</v>
      </c>
      <c r="G148" s="66" t="n">
        <v>-0.01181357769308988</v>
      </c>
      <c r="H148" s="66" t="n">
        <v>0.1699871011746836</v>
      </c>
      <c r="I148" s="66" t="n">
        <v>0.2888711374548052</v>
      </c>
      <c r="J148" s="99" t="n">
        <v>0</v>
      </c>
      <c r="K148" s="66" t="n">
        <v>-0.04104232054666568</v>
      </c>
      <c r="L148" s="66" t="n">
        <v>0.244132833914847</v>
      </c>
      <c r="M148" s="66" t="n">
        <v>0</v>
      </c>
      <c r="N148" s="99" t="n">
        <v>0</v>
      </c>
      <c r="O148" s="66" t="n">
        <v>-0.0226274073903312</v>
      </c>
      <c r="P148" s="66" t="n">
        <v>0</v>
      </c>
      <c r="Q148" s="66" t="n">
        <v>0</v>
      </c>
      <c r="R148" s="66" t="n">
        <v>0.1452203511288417</v>
      </c>
      <c r="S148" s="66" t="n">
        <v>0</v>
      </c>
      <c r="T148" s="66" t="n">
        <v>0</v>
      </c>
      <c r="U148" s="66" t="n">
        <v>0</v>
      </c>
      <c r="V148" s="66" t="n">
        <v>0</v>
      </c>
      <c r="W148" s="66" t="n">
        <v>0</v>
      </c>
      <c r="X148" s="66" t="n">
        <v>0</v>
      </c>
      <c r="Y148" s="66" t="n">
        <v>0</v>
      </c>
      <c r="Z148" s="99" t="n">
        <v>0</v>
      </c>
      <c r="AA148" s="99" t="n">
        <v>0</v>
      </c>
      <c r="AB148" s="99" t="n">
        <v>0</v>
      </c>
      <c r="AC148" s="99" t="n">
        <v>0</v>
      </c>
      <c r="AD148" s="99" t="n">
        <v>0</v>
      </c>
      <c r="AE148" s="99" t="n">
        <v>0</v>
      </c>
      <c r="AF148" s="66" t="n">
        <v>0.2218314674532564</v>
      </c>
      <c r="AG148" s="99" t="n">
        <v>0</v>
      </c>
    </row>
    <row r="149">
      <c r="A149" s="127" t="inlineStr">
        <is>
          <t>2023 Q1</t>
        </is>
      </c>
      <c r="B149" s="66" t="n">
        <v>0</v>
      </c>
      <c r="C149" s="66" t="n">
        <v>-0.001947305035173486</v>
      </c>
      <c r="D149" s="66" t="n">
        <v>0</v>
      </c>
      <c r="E149" s="66" t="n">
        <v>-0.4355056826967143</v>
      </c>
      <c r="F149" s="66" t="n">
        <v>-0.00453407950041651</v>
      </c>
      <c r="G149" s="66" t="n">
        <v>-0.008226318637071017</v>
      </c>
      <c r="H149" s="66" t="n">
        <v>0.1260736475715021</v>
      </c>
      <c r="I149" s="66" t="n">
        <v>0.2897594556317813</v>
      </c>
      <c r="J149" s="99" t="n">
        <v>0</v>
      </c>
      <c r="K149" s="66" t="n">
        <v>-0.05375183028931474</v>
      </c>
      <c r="L149" s="66" t="n">
        <v>0.2447874059569699</v>
      </c>
      <c r="M149" s="66" t="n">
        <v>0</v>
      </c>
      <c r="N149" s="99" t="n">
        <v>0</v>
      </c>
      <c r="O149" s="66" t="n">
        <v>-0.01749560426304697</v>
      </c>
      <c r="P149" s="66" t="n">
        <v>0</v>
      </c>
      <c r="Q149" s="66" t="n">
        <v>0</v>
      </c>
      <c r="R149" s="66" t="n">
        <v>0.3080196149355743</v>
      </c>
      <c r="S149" s="66" t="n">
        <v>0</v>
      </c>
      <c r="T149" s="66" t="n">
        <v>0</v>
      </c>
      <c r="U149" s="66" t="n">
        <v>0</v>
      </c>
      <c r="V149" s="66" t="n">
        <v>0</v>
      </c>
      <c r="W149" s="66" t="n">
        <v>0</v>
      </c>
      <c r="X149" s="66" t="n">
        <v>0</v>
      </c>
      <c r="Y149" s="66" t="n">
        <v>0</v>
      </c>
      <c r="Z149" s="99" t="n">
        <v>0</v>
      </c>
      <c r="AA149" s="99" t="n">
        <v>0</v>
      </c>
      <c r="AB149" s="99" t="n">
        <v>0</v>
      </c>
      <c r="AC149" s="99" t="n">
        <v>0</v>
      </c>
      <c r="AD149" s="99" t="n">
        <v>0</v>
      </c>
      <c r="AE149" s="99" t="n">
        <v>0</v>
      </c>
      <c r="AF149" s="66" t="n">
        <v>0.2223695205887566</v>
      </c>
      <c r="AG149" s="99" t="n">
        <v>0</v>
      </c>
    </row>
    <row r="150">
      <c r="A150" s="127" t="inlineStr">
        <is>
          <t>2023 Q2</t>
        </is>
      </c>
      <c r="B150" s="66" t="n">
        <v>0</v>
      </c>
      <c r="C150" s="66" t="n">
        <v>-0.006911718472366601</v>
      </c>
      <c r="D150" s="66" t="n">
        <v>0</v>
      </c>
      <c r="E150" s="66" t="n">
        <v>-0.4409364180983459</v>
      </c>
      <c r="F150" s="66" t="n">
        <v>-0.00427610399731293</v>
      </c>
      <c r="G150" s="66" t="n">
        <v>-0.01773252499739897</v>
      </c>
      <c r="H150" s="66" t="n">
        <v>0.07651496235655486</v>
      </c>
      <c r="I150" s="66" t="n">
        <v>0.2881827812848599</v>
      </c>
      <c r="J150" s="99" t="n">
        <v>0</v>
      </c>
      <c r="K150" s="66" t="n">
        <v>-0.05317629024756343</v>
      </c>
      <c r="L150" s="66" t="n">
        <v>0.2435835389491103</v>
      </c>
      <c r="M150" s="66" t="n">
        <v>0</v>
      </c>
      <c r="N150" s="99" t="n">
        <v>0</v>
      </c>
      <c r="O150" s="66" t="n">
        <v>-0.0197734061335666</v>
      </c>
      <c r="P150" s="66" t="n">
        <v>0</v>
      </c>
      <c r="Q150" s="66" t="n">
        <v>0</v>
      </c>
      <c r="R150" s="66" t="n">
        <v>0.4289627335152488</v>
      </c>
      <c r="S150" s="66" t="n">
        <v>0</v>
      </c>
      <c r="T150" s="66" t="n">
        <v>0</v>
      </c>
      <c r="U150" s="66" t="n">
        <v>0</v>
      </c>
      <c r="V150" s="66" t="n">
        <v>0</v>
      </c>
      <c r="W150" s="66" t="n">
        <v>0</v>
      </c>
      <c r="X150" s="66" t="n">
        <v>0</v>
      </c>
      <c r="Y150" s="66" t="n">
        <v>0</v>
      </c>
      <c r="Z150" s="99" t="n">
        <v>0</v>
      </c>
      <c r="AA150" s="99" t="n">
        <v>0</v>
      </c>
      <c r="AB150" s="99" t="n">
        <v>0</v>
      </c>
      <c r="AC150" s="99" t="n">
        <v>0</v>
      </c>
      <c r="AD150" s="99" t="n">
        <v>0</v>
      </c>
      <c r="AE150" s="99" t="n">
        <v>0</v>
      </c>
      <c r="AF150" s="66" t="n">
        <v>0.2213514923908235</v>
      </c>
      <c r="AG150" s="99" t="n">
        <v>0</v>
      </c>
    </row>
    <row r="151">
      <c r="A151" s="127" t="inlineStr">
        <is>
          <t>2023 Q3</t>
        </is>
      </c>
      <c r="B151" s="66" t="n">
        <v>0</v>
      </c>
      <c r="C151" s="66" t="n">
        <v>-0.007231945413678886</v>
      </c>
      <c r="D151" s="66" t="n">
        <v>-0.0007845265088803899</v>
      </c>
      <c r="E151" s="66" t="n">
        <v>-0.2182645231277149</v>
      </c>
      <c r="F151" s="66" t="n">
        <v>-0.00864677287583504</v>
      </c>
      <c r="G151" s="66" t="n">
        <v>-0.01510604997972109</v>
      </c>
      <c r="H151" s="66" t="n">
        <v>0.08522637391078547</v>
      </c>
      <c r="I151" s="66" t="n">
        <v>0.2734073292842822</v>
      </c>
      <c r="J151" s="99" t="n">
        <v>0</v>
      </c>
      <c r="K151" s="66" t="n">
        <v>-0.06556071554160781</v>
      </c>
      <c r="L151" s="66" t="n">
        <v>0.2310291380415777</v>
      </c>
      <c r="M151" s="66" t="n">
        <v>0</v>
      </c>
      <c r="N151" s="99" t="n">
        <v>0</v>
      </c>
      <c r="O151" s="66" t="n">
        <v>-0.01928248697606705</v>
      </c>
      <c r="P151" s="66" t="n">
        <v>0</v>
      </c>
      <c r="Q151" s="66" t="n">
        <v>0</v>
      </c>
      <c r="R151" s="66" t="n">
        <v>1.382439250992633</v>
      </c>
      <c r="S151" s="66" t="n">
        <v>0</v>
      </c>
      <c r="T151" s="66" t="n">
        <v>0</v>
      </c>
      <c r="U151" s="66" t="n">
        <v>0</v>
      </c>
      <c r="V151" s="66" t="n">
        <v>0</v>
      </c>
      <c r="W151" s="66" t="n">
        <v>0</v>
      </c>
      <c r="X151" s="66" t="n">
        <v>0</v>
      </c>
      <c r="Y151" s="66" t="n">
        <v>0</v>
      </c>
      <c r="Z151" s="99" t="n">
        <v>0</v>
      </c>
      <c r="AA151" s="99" t="n">
        <v>0</v>
      </c>
      <c r="AB151" s="99" t="n">
        <v>0</v>
      </c>
      <c r="AC151" s="99" t="n">
        <v>0</v>
      </c>
      <c r="AD151" s="99" t="n">
        <v>0</v>
      </c>
      <c r="AE151" s="99" t="n">
        <v>0</v>
      </c>
      <c r="AF151" s="66" t="n">
        <v>0.2099042518008787</v>
      </c>
      <c r="AG151" s="99" t="n">
        <v>0</v>
      </c>
    </row>
    <row r="152">
      <c r="A152" s="127" t="inlineStr">
        <is>
          <t>2023 Q4</t>
        </is>
      </c>
      <c r="B152" s="66" t="n">
        <v>0</v>
      </c>
      <c r="C152" s="66" t="n">
        <v>-0.01172920180914616</v>
      </c>
      <c r="D152" s="66" t="n">
        <v>-0.0009819620336202206</v>
      </c>
      <c r="E152" s="66" t="n">
        <v>-0.05741761739139406</v>
      </c>
      <c r="F152" s="66" t="n">
        <v>-0.006199429468324524</v>
      </c>
      <c r="G152" s="66" t="n">
        <v>-0.03277394697093428</v>
      </c>
      <c r="H152" s="66" t="n">
        <v>0.1107725890616109</v>
      </c>
      <c r="I152" s="66" t="n">
        <v>0.2739659688057827</v>
      </c>
      <c r="J152" s="99" t="n">
        <v>0</v>
      </c>
      <c r="K152" s="66" t="n">
        <v>-0.07835808165759772</v>
      </c>
      <c r="L152" s="66" t="n">
        <v>0.2314126690634737</v>
      </c>
      <c r="M152" s="66" t="n">
        <v>0</v>
      </c>
      <c r="N152" s="99" t="n">
        <v>0</v>
      </c>
      <c r="O152" s="66" t="n">
        <v>-0.02204435685300155</v>
      </c>
      <c r="P152" s="66" t="n">
        <v>0</v>
      </c>
      <c r="Q152" s="66" t="n">
        <v>0</v>
      </c>
      <c r="R152" s="66" t="n">
        <v>1.230526652818924</v>
      </c>
      <c r="S152" s="66" t="n">
        <v>0</v>
      </c>
      <c r="T152" s="66" t="n">
        <v>0</v>
      </c>
      <c r="U152" s="66" t="n">
        <v>0</v>
      </c>
      <c r="V152" s="66" t="n">
        <v>0</v>
      </c>
      <c r="W152" s="66" t="n">
        <v>0</v>
      </c>
      <c r="X152" s="66" t="n">
        <v>0</v>
      </c>
      <c r="Y152" s="66" t="n">
        <v>0</v>
      </c>
      <c r="Z152" s="99" t="n">
        <v>0</v>
      </c>
      <c r="AA152" s="99" t="n">
        <v>0</v>
      </c>
      <c r="AB152" s="99" t="n">
        <v>0</v>
      </c>
      <c r="AC152" s="99" t="n">
        <v>0</v>
      </c>
      <c r="AD152" s="99" t="n">
        <v>0</v>
      </c>
      <c r="AE152" s="99" t="n">
        <v>0</v>
      </c>
      <c r="AF152" s="66" t="n">
        <v>0.2102004938888911</v>
      </c>
      <c r="AG152" s="99" t="n">
        <v>0</v>
      </c>
    </row>
    <row r="153">
      <c r="A153" s="127" t="inlineStr">
        <is>
          <t>2024 Q1</t>
        </is>
      </c>
      <c r="B153" s="66" t="n">
        <v>0</v>
      </c>
      <c r="C153" s="66" t="n">
        <v>-0.01011661109075135</v>
      </c>
      <c r="D153" s="66" t="n">
        <v>-0.001375737913150488</v>
      </c>
      <c r="E153" s="66" t="n">
        <v>-0.07380251029363194</v>
      </c>
      <c r="F153" s="66" t="n">
        <v>-0.01059651150166019</v>
      </c>
      <c r="G153" s="66" t="n">
        <v>-0.03149664876133329</v>
      </c>
      <c r="H153" s="66" t="n">
        <v>0.08804087917911829</v>
      </c>
      <c r="I153" s="66" t="n">
        <v>0.2789933613438791</v>
      </c>
      <c r="J153" s="99" t="n">
        <v>0</v>
      </c>
      <c r="K153" s="66" t="n">
        <v>-0.05377080618620766</v>
      </c>
      <c r="L153" s="66" t="n">
        <v>0.2356721693829513</v>
      </c>
      <c r="M153" s="66" t="n">
        <v>0</v>
      </c>
      <c r="N153" s="99" t="n">
        <v>0</v>
      </c>
      <c r="O153" s="66" t="n">
        <v>-0.02228643511597284</v>
      </c>
      <c r="P153" s="66" t="n">
        <v>0</v>
      </c>
      <c r="Q153" s="66" t="n">
        <v>0</v>
      </c>
      <c r="R153" s="66" t="n">
        <v>0.8554673462718085</v>
      </c>
      <c r="S153" s="66" t="n">
        <v>0</v>
      </c>
      <c r="T153" s="66" t="n">
        <v>0</v>
      </c>
      <c r="U153" s="66" t="n">
        <v>0</v>
      </c>
      <c r="V153" s="66" t="n">
        <v>0</v>
      </c>
      <c r="W153" s="66" t="n">
        <v>0</v>
      </c>
      <c r="X153" s="66" t="n">
        <v>0</v>
      </c>
      <c r="Y153" s="66" t="n">
        <v>0</v>
      </c>
      <c r="Z153" s="99" t="n">
        <v>0</v>
      </c>
      <c r="AA153" s="99" t="n">
        <v>0</v>
      </c>
      <c r="AB153" s="99" t="n">
        <v>0</v>
      </c>
      <c r="AC153" s="99" t="n">
        <v>0</v>
      </c>
      <c r="AD153" s="99" t="n">
        <v>0</v>
      </c>
      <c r="AE153" s="99" t="n">
        <v>0</v>
      </c>
      <c r="AF153" s="66" t="n">
        <v>0.2140772115721461</v>
      </c>
      <c r="AG153" s="99" t="n">
        <v>0</v>
      </c>
    </row>
    <row r="154">
      <c r="A154" s="127" t="inlineStr">
        <is>
          <t>2024 Q2</t>
        </is>
      </c>
      <c r="B154" s="66" t="n">
        <v>0</v>
      </c>
      <c r="C154" s="66" t="n">
        <v>-0.007984096181445466</v>
      </c>
      <c r="D154" s="66" t="n">
        <v>-0.002741400472302757</v>
      </c>
      <c r="E154" s="66" t="n">
        <v>-0.06766034702079082</v>
      </c>
      <c r="F154" s="66" t="n">
        <v>-0.0165047107832379</v>
      </c>
      <c r="G154" s="66" t="n">
        <v>-0.02210040068655417</v>
      </c>
      <c r="H154" s="66" t="n">
        <v>0.1705097210623023</v>
      </c>
      <c r="I154" s="66" t="n">
        <v>0.278969180456528</v>
      </c>
      <c r="J154" s="66" t="n">
        <v>0</v>
      </c>
      <c r="K154" s="66" t="n">
        <v>-0.107481286677455</v>
      </c>
      <c r="L154" s="66" t="n">
        <v>0.2357128331723288</v>
      </c>
      <c r="M154" s="66" t="n">
        <v>0</v>
      </c>
      <c r="N154" s="66" t="n">
        <v>0</v>
      </c>
      <c r="O154" s="66" t="n">
        <v>-0.03187587768437083</v>
      </c>
      <c r="P154" s="66" t="n">
        <v>0</v>
      </c>
      <c r="Q154" s="66" t="n">
        <v>0</v>
      </c>
      <c r="R154" s="66" t="n">
        <v>0.786041312723853</v>
      </c>
      <c r="S154" s="66" t="n">
        <v>0</v>
      </c>
      <c r="T154" s="66" t="n">
        <v>0</v>
      </c>
      <c r="U154" s="66" t="n">
        <v>0</v>
      </c>
      <c r="V154" s="66" t="n">
        <v>0</v>
      </c>
      <c r="W154" s="66" t="n">
        <v>0</v>
      </c>
      <c r="X154" s="66" t="n">
        <v>0</v>
      </c>
      <c r="Y154" s="66" t="n">
        <v>0</v>
      </c>
      <c r="Z154" s="66" t="n">
        <v>0</v>
      </c>
      <c r="AA154" s="66" t="n">
        <v>0</v>
      </c>
      <c r="AB154" s="66" t="n">
        <v>0</v>
      </c>
      <c r="AC154" s="66" t="n">
        <v>0</v>
      </c>
      <c r="AD154" s="66" t="n">
        <v>0</v>
      </c>
      <c r="AE154" s="66" t="n">
        <v>0</v>
      </c>
      <c r="AF154" s="66" t="n">
        <v>0.2141501994503585</v>
      </c>
      <c r="AG154" s="66" t="n">
        <v>0</v>
      </c>
    </row>
    <row r="155">
      <c r="A155" s="127" t="inlineStr">
        <is>
          <t>2024 Q3</t>
        </is>
      </c>
      <c r="B155" s="66" t="n">
        <v>0</v>
      </c>
      <c r="C155" t="n">
        <v>-0.01469616205875468</v>
      </c>
      <c r="D155" t="n">
        <v>-0.001160073701726105</v>
      </c>
      <c r="E155" t="n">
        <v>-0.06905851990552492</v>
      </c>
      <c r="F155" t="n">
        <v>-0.02371897987936222</v>
      </c>
      <c r="G155" t="n">
        <v>-0.05098479865853278</v>
      </c>
      <c r="H155" t="n">
        <v>0.2508191473739032</v>
      </c>
      <c r="I155" t="n">
        <v>0.2812804996789851</v>
      </c>
      <c r="J155" t="n">
        <v>0</v>
      </c>
      <c r="K155" t="n">
        <v>-0.01309843156730039</v>
      </c>
      <c r="L155" t="n">
        <v>0.2375252691152525</v>
      </c>
      <c r="M155" t="n">
        <v>0</v>
      </c>
      <c r="N155" t="n">
        <v>0</v>
      </c>
      <c r="O155" t="n">
        <v>-0.01447648690734127</v>
      </c>
      <c r="P155" t="n">
        <v>0</v>
      </c>
      <c r="Q155" t="n">
        <v>0</v>
      </c>
      <c r="R155" t="n">
        <v>0.5459656076821204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0.2157139496372622</v>
      </c>
      <c r="AG155" t="n">
        <v>0</v>
      </c>
    </row>
    <row r="156">
      <c r="A156" s="127" t="inlineStr">
        <is>
          <t>2024 Q4</t>
        </is>
      </c>
      <c r="B156" t="n">
        <v>0</v>
      </c>
      <c r="C156" t="n">
        <v>-0.01108243832578637</v>
      </c>
      <c r="D156" t="n">
        <v>-0.001165533702277344</v>
      </c>
      <c r="E156" t="n">
        <v>-0.06032548545809391</v>
      </c>
      <c r="F156" t="n">
        <v>-0.0257799308651272</v>
      </c>
      <c r="G156" t="n">
        <v>-0.05400226977749867</v>
      </c>
      <c r="H156" t="n">
        <v>0.1780050981271586</v>
      </c>
      <c r="I156" t="n">
        <v>0.2808124401152554</v>
      </c>
      <c r="J156" t="n">
        <v>0</v>
      </c>
      <c r="K156" t="n">
        <v>-0.06383840528911833</v>
      </c>
      <c r="L156" t="n">
        <v>0.2371880384236533</v>
      </c>
      <c r="M156" t="n">
        <v>0</v>
      </c>
      <c r="N156" t="n">
        <v>0</v>
      </c>
      <c r="O156" t="n">
        <v>-0.02707059103178722</v>
      </c>
      <c r="P156" t="n">
        <v>0.001587007260837936</v>
      </c>
      <c r="Q156" t="n">
        <v>0</v>
      </c>
      <c r="R156" t="n">
        <v>0.6719149624644558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0.2154419351561785</v>
      </c>
      <c r="AG156" t="n">
        <v>0</v>
      </c>
    </row>
    <row r="157">
      <c r="A157" s="127" t="inlineStr">
        <is>
          <t>2025 Q1</t>
        </is>
      </c>
      <c r="B157" t="n">
        <v>0</v>
      </c>
      <c r="C157" t="n">
        <v>-0.01379445796706591</v>
      </c>
      <c r="D157" t="n">
        <v>-0.0007598869147784626</v>
      </c>
      <c r="E157" t="n">
        <v>-0.175375837016702</v>
      </c>
      <c r="F157" t="n">
        <v>-0.04772197699293201</v>
      </c>
      <c r="G157" t="n">
        <v>-0.07118744773052299</v>
      </c>
      <c r="H157" t="n">
        <v>0.2205929659537276</v>
      </c>
      <c r="I157" t="n">
        <v>0.2769361568316242</v>
      </c>
      <c r="J157" t="n">
        <v>0</v>
      </c>
      <c r="K157" t="n">
        <v>-0.03382378602512404</v>
      </c>
      <c r="L157" t="n">
        <v>0.2340399027445983</v>
      </c>
      <c r="M157" t="n">
        <v>0</v>
      </c>
      <c r="N157" t="n">
        <v>0</v>
      </c>
      <c r="O157" t="n">
        <v>-0.04209981894925363</v>
      </c>
      <c r="P157" t="n">
        <v>0.001912203566035942</v>
      </c>
      <c r="Q157" t="n">
        <v>0</v>
      </c>
      <c r="R157" t="n">
        <v>0.987968024073723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0.2126567700254611</v>
      </c>
      <c r="AG157" t="n">
        <v>0</v>
      </c>
    </row>
    <row r="158">
      <c r="B158" t="n">
        <v>0</v>
      </c>
      <c r="C158" t="n">
        <v>-0.01229159060187612</v>
      </c>
      <c r="D158" t="n">
        <v>-0.0002938558811536041</v>
      </c>
      <c r="E158" t="n">
        <v>-0.1741388593418378</v>
      </c>
      <c r="F158" t="n">
        <v>-0.062218914106694</v>
      </c>
      <c r="G158" t="n">
        <v>-0.08021383519732694</v>
      </c>
      <c r="H158" t="n">
        <v>0.2045871500229453</v>
      </c>
      <c r="I158" t="n">
        <v>0.2694217469091882</v>
      </c>
      <c r="J158" t="n">
        <v>0</v>
      </c>
      <c r="K158" t="n">
        <v>-0.07141714253978648</v>
      </c>
      <c r="L158" t="n">
        <v>0.2277277614914794</v>
      </c>
      <c r="M158" t="n">
        <v>0</v>
      </c>
      <c r="N158" t="n">
        <v>0</v>
      </c>
      <c r="O158" t="n">
        <v>-0.03689559559626332</v>
      </c>
      <c r="P158" t="n">
        <v>0.002223270055566218</v>
      </c>
      <c r="Q158" t="n">
        <v>0</v>
      </c>
      <c r="R158" t="n">
        <v>1.622899482390295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0.2069439414877934</v>
      </c>
      <c r="AG158" t="n">
        <v>0</v>
      </c>
    </row>
    <row r="159">
      <c r="B159" t="n">
        <v>0</v>
      </c>
      <c r="C159" t="n">
        <v>-0.01163580403041919</v>
      </c>
      <c r="D159" t="n">
        <v>-0.00136986579101972</v>
      </c>
      <c r="E159" t="n">
        <v>-0.1224841071393428</v>
      </c>
      <c r="F159" t="n">
        <v>-0.1367736024119779</v>
      </c>
      <c r="G159" t="n">
        <v>-0.04137694496878908</v>
      </c>
      <c r="H159" t="n">
        <v>0.2077200538184911</v>
      </c>
      <c r="I159" t="n">
        <v>0.2744576555842002</v>
      </c>
      <c r="J159" t="n">
        <v>0</v>
      </c>
      <c r="K159" t="n">
        <v>-0.05804645225350669</v>
      </c>
      <c r="L159" t="n">
        <v>0.2322104998465875</v>
      </c>
      <c r="M159" t="n">
        <v>0</v>
      </c>
      <c r="N159" t="n">
        <v>0</v>
      </c>
      <c r="O159" t="n">
        <v>-0.03992440365058769</v>
      </c>
      <c r="P159" t="n">
        <v>0</v>
      </c>
      <c r="Q159" t="n">
        <v>0</v>
      </c>
      <c r="R159" t="n">
        <v>1.091848579515897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0.2111509328198053</v>
      </c>
      <c r="AG159" t="n">
        <v>0</v>
      </c>
    </row>
    <row r="160">
      <c r="B160" t="n">
        <v>0</v>
      </c>
      <c r="C160" t="n">
        <v>-0.008917871381925124</v>
      </c>
      <c r="D160" t="n">
        <v>-0.002171626743205479</v>
      </c>
      <c r="E160" t="n">
        <v>-0.06510568798228178</v>
      </c>
      <c r="F160" t="n">
        <v>-0.05782507728588371</v>
      </c>
      <c r="G160" t="n">
        <v>-0.0845868094253035</v>
      </c>
      <c r="H160" t="n">
        <v>0.1873910332397486</v>
      </c>
      <c r="I160" t="n">
        <v>0.2790558851775131</v>
      </c>
      <c r="J160" t="n">
        <v>0</v>
      </c>
      <c r="K160" t="n">
        <v>-0.0855392475744452</v>
      </c>
      <c r="L160" t="n">
        <v>0.2357515706255526</v>
      </c>
      <c r="M160" t="n">
        <v>0</v>
      </c>
      <c r="N160" t="n">
        <v>0</v>
      </c>
      <c r="O160" t="n">
        <v>-0.049046562760509</v>
      </c>
      <c r="P160" t="n">
        <v>0</v>
      </c>
      <c r="Q160" t="n">
        <v>0</v>
      </c>
      <c r="R160" t="n">
        <v>0.8872138525778439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0.2141650259473806</v>
      </c>
      <c r="AG160" t="n">
        <v>0</v>
      </c>
    </row>
    <row r="161">
      <c r="B161" t="n">
        <v>0</v>
      </c>
      <c r="C161" t="n">
        <v>-0.005862663153465064</v>
      </c>
      <c r="D161" t="n">
        <v>-0.002435885699242135</v>
      </c>
      <c r="E161" t="n">
        <v>-0.07886477989293894</v>
      </c>
      <c r="F161" t="n">
        <v>-0.03542135212191511</v>
      </c>
      <c r="G161" t="n">
        <v>-0.02640269867680445</v>
      </c>
      <c r="H161" t="n">
        <v>0.2034762097582927</v>
      </c>
      <c r="I161" t="n">
        <v>0.1528539915408373</v>
      </c>
      <c r="J161" t="n">
        <v>0</v>
      </c>
      <c r="K161" t="n">
        <v>-0.05130504461695296</v>
      </c>
      <c r="L161" t="n">
        <v>0.2342155928809291</v>
      </c>
      <c r="M161" t="n">
        <v>0</v>
      </c>
      <c r="N161" t="n">
        <v>0</v>
      </c>
      <c r="O161" t="n">
        <v>-0.03798585487493256</v>
      </c>
      <c r="P161" t="n">
        <v>0.002879819919769488</v>
      </c>
      <c r="Q161" t="n">
        <v>0</v>
      </c>
      <c r="R161" t="n">
        <v>0.9365522387333556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0.2128357140661592</v>
      </c>
      <c r="AG161" t="n">
        <v>0</v>
      </c>
    </row>
    <row r="162">
      <c r="A162" s="129" t="inlineStr">
        <is>
          <t>ENT</t>
        </is>
      </c>
      <c r="B162" t="n">
        <v>0</v>
      </c>
      <c r="C162" t="n">
        <v>0</v>
      </c>
      <c r="D162" t="n">
        <v>-0.00391765095761798</v>
      </c>
      <c r="E162" t="n">
        <v>-0.0448489683375044</v>
      </c>
      <c r="F162" t="n">
        <v>-0.01390622809046249</v>
      </c>
      <c r="G162" t="n">
        <v>-0.1002958500314151</v>
      </c>
      <c r="H162" t="n">
        <v>0.3152615933778975</v>
      </c>
      <c r="I162" t="n">
        <v>0.1597371825449727</v>
      </c>
      <c r="J162" t="n">
        <v>0</v>
      </c>
      <c r="K162" t="n">
        <v>-0.08724605632787075</v>
      </c>
      <c r="L162" t="n">
        <v>0.2339136493102956</v>
      </c>
      <c r="M162" t="n">
        <v>0</v>
      </c>
      <c r="N162" t="n">
        <v>0</v>
      </c>
      <c r="O162" t="n">
        <v>-0.1045043818827764</v>
      </c>
      <c r="P162" t="n">
        <v>0</v>
      </c>
      <c r="Q162" t="n">
        <v>0</v>
      </c>
      <c r="R162" t="n">
        <v>0.7550203223899246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0.2128033412512877</v>
      </c>
      <c r="AG162" t="n">
        <v>0</v>
      </c>
    </row>
    <row r="163" ht="45" customHeight="1" s="115">
      <c r="A163" s="128" t="inlineStr">
        <is>
          <t>Vintage</t>
        </is>
      </c>
      <c r="B163" s="123" t="n">
        <v>0</v>
      </c>
      <c r="C163" s="123" t="n">
        <v>-0.008625504661324612</v>
      </c>
      <c r="D163" s="123" t="n">
        <v>-0.005634764276209125</v>
      </c>
      <c r="E163" s="123" t="n">
        <v>-0.004217804301021033</v>
      </c>
      <c r="F163" s="123" t="n">
        <v>-0.01117786571225565</v>
      </c>
      <c r="G163" s="123" t="n">
        <v>-0.009269082276517793</v>
      </c>
      <c r="H163" s="123" t="n">
        <v>0.2919610340691179</v>
      </c>
      <c r="I163" s="123" t="n">
        <v>0.1324307610250628</v>
      </c>
      <c r="J163" s="124" t="n">
        <v>0</v>
      </c>
      <c r="K163" s="123" t="n">
        <v>-0.01155421214841112</v>
      </c>
      <c r="L163" s="123" t="n">
        <v>0.008511249502049623</v>
      </c>
      <c r="M163" s="123" t="n">
        <v>0</v>
      </c>
      <c r="N163" s="124" t="n">
        <v>0</v>
      </c>
      <c r="O163" s="123" t="n">
        <v>-0.03117868277004732</v>
      </c>
      <c r="P163" s="123" t="n">
        <v>0.001038353654564617</v>
      </c>
      <c r="Q163" s="123" t="n">
        <v>0</v>
      </c>
      <c r="R163" s="123" t="n">
        <v>1.34067734584238</v>
      </c>
      <c r="S163" s="123" t="n">
        <v>0</v>
      </c>
      <c r="T163" s="123" t="n">
        <v>0</v>
      </c>
      <c r="U163" s="123" t="n">
        <v>0</v>
      </c>
      <c r="V163" s="123" t="n">
        <v>0</v>
      </c>
      <c r="W163" s="123" t="n">
        <v>0</v>
      </c>
      <c r="X163" s="123" t="n">
        <v>0</v>
      </c>
      <c r="Y163" s="123" t="n">
        <v>0</v>
      </c>
      <c r="Z163" s="124" t="n">
        <v>0</v>
      </c>
      <c r="AA163" s="124" t="n">
        <v>0</v>
      </c>
      <c r="AB163" s="124" t="n">
        <v>0</v>
      </c>
      <c r="AC163" s="124" t="n">
        <v>0</v>
      </c>
      <c r="AD163" s="124" t="n">
        <v>0</v>
      </c>
      <c r="AE163" s="124" t="n">
        <v>0</v>
      </c>
      <c r="AF163" s="123" t="n">
        <v>0.2071216575793926</v>
      </c>
      <c r="AG163" s="124" t="n">
        <v>0</v>
      </c>
    </row>
    <row r="164">
      <c r="A164" s="127" t="inlineStr">
        <is>
          <t>2019 Q4</t>
        </is>
      </c>
      <c r="B164" s="66" t="n">
        <v>0</v>
      </c>
      <c r="C164" s="66" t="n">
        <v>0</v>
      </c>
      <c r="D164" s="66" t="n">
        <v>0</v>
      </c>
      <c r="E164" s="66" t="n">
        <v>-0.9130146181842917</v>
      </c>
      <c r="F164" s="66" t="n">
        <v>0</v>
      </c>
      <c r="G164" s="66" t="n">
        <v>-0.006082865746463995</v>
      </c>
      <c r="H164" s="66" t="n">
        <v>0.06495217784922147</v>
      </c>
      <c r="I164" s="66" t="n">
        <v>0.3006913465177519</v>
      </c>
      <c r="J164" s="99" t="n">
        <v>0</v>
      </c>
      <c r="K164" s="66" t="n">
        <v>-0.1049083165882791</v>
      </c>
      <c r="L164" s="66" t="n">
        <v>0.2541051186218226</v>
      </c>
      <c r="M164" s="66" t="n">
        <v>0</v>
      </c>
      <c r="N164" s="99" t="n">
        <v>0</v>
      </c>
      <c r="O164" s="66" t="n">
        <v>-0.0119359711406446</v>
      </c>
      <c r="P164" s="66" t="n">
        <v>0</v>
      </c>
      <c r="Q164" s="66" t="n">
        <v>0</v>
      </c>
      <c r="R164" s="66" t="n">
        <v>0</v>
      </c>
      <c r="S164" s="66" t="n">
        <v>0</v>
      </c>
      <c r="T164" s="66" t="n">
        <v>0</v>
      </c>
      <c r="U164" s="66" t="n">
        <v>0</v>
      </c>
      <c r="V164" s="66" t="n">
        <v>0</v>
      </c>
      <c r="W164" s="66" t="n">
        <v>0</v>
      </c>
      <c r="X164" s="99" t="n">
        <v>0</v>
      </c>
      <c r="Y164" s="66" t="n">
        <v>0</v>
      </c>
      <c r="Z164" s="99" t="n">
        <v>0</v>
      </c>
      <c r="AA164" s="99" t="n">
        <v>0</v>
      </c>
      <c r="AB164" s="99" t="n">
        <v>0</v>
      </c>
      <c r="AC164" s="99" t="n">
        <v>0</v>
      </c>
      <c r="AD164" s="99" t="n">
        <v>0</v>
      </c>
      <c r="AE164" s="99" t="n">
        <v>0</v>
      </c>
      <c r="AF164" s="66" t="n">
        <v>0.2308825898676474</v>
      </c>
      <c r="AG164" s="99" t="n">
        <v>0</v>
      </c>
    </row>
    <row r="165">
      <c r="A165" s="127" t="inlineStr">
        <is>
          <t>2020 Q1</t>
        </is>
      </c>
      <c r="B165" s="66" t="n">
        <v>0</v>
      </c>
      <c r="C165" s="66" t="n">
        <v>-0.006018070512794793</v>
      </c>
      <c r="D165" s="66" t="n">
        <v>0</v>
      </c>
      <c r="E165" s="66" t="n">
        <v>-0.3815915903860514</v>
      </c>
      <c r="F165" s="66" t="n">
        <v>-0.0005996295096792892</v>
      </c>
      <c r="G165" s="66" t="n">
        <v>-0.01496814396358559</v>
      </c>
      <c r="H165" s="66" t="n">
        <v>0.05134682883007713</v>
      </c>
      <c r="I165" s="66" t="n">
        <v>0.2950853786337859</v>
      </c>
      <c r="J165" s="99" t="n">
        <v>0</v>
      </c>
      <c r="K165" s="66" t="n">
        <v>-0.1118228298231827</v>
      </c>
      <c r="L165" s="66" t="n">
        <v>0.2492465028266508</v>
      </c>
      <c r="M165" s="66" t="n">
        <v>0</v>
      </c>
      <c r="N165" s="99" t="n">
        <v>0</v>
      </c>
      <c r="O165" s="66" t="n">
        <v>-0.01267394324000293</v>
      </c>
      <c r="P165" s="66" t="n">
        <v>0</v>
      </c>
      <c r="Q165" s="66" t="n">
        <v>0</v>
      </c>
      <c r="R165" s="66" t="n">
        <v>0</v>
      </c>
      <c r="S165" s="66" t="n">
        <v>0</v>
      </c>
      <c r="T165" s="66" t="n">
        <v>0</v>
      </c>
      <c r="U165" s="66" t="n">
        <v>0</v>
      </c>
      <c r="V165" s="66" t="n">
        <v>0</v>
      </c>
      <c r="W165" s="66" t="n">
        <v>0</v>
      </c>
      <c r="X165" s="99" t="n">
        <v>0</v>
      </c>
      <c r="Y165" s="66" t="n">
        <v>0</v>
      </c>
      <c r="Z165" s="99" t="n">
        <v>0</v>
      </c>
      <c r="AA165" s="99" t="n">
        <v>0</v>
      </c>
      <c r="AB165" s="99" t="n">
        <v>0</v>
      </c>
      <c r="AC165" s="99" t="n">
        <v>0</v>
      </c>
      <c r="AD165" s="99" t="n">
        <v>0</v>
      </c>
      <c r="AE165" s="99" t="n">
        <v>0</v>
      </c>
      <c r="AF165" s="66" t="n">
        <v>0.2263965177652381</v>
      </c>
      <c r="AG165" s="99" t="n">
        <v>0</v>
      </c>
    </row>
    <row r="166">
      <c r="A166" s="127" t="inlineStr">
        <is>
          <t>2020 Q2</t>
        </is>
      </c>
      <c r="B166" s="66" t="n">
        <v>0</v>
      </c>
      <c r="C166" s="66" t="n">
        <v>-0.00781670832853365</v>
      </c>
      <c r="D166" s="66" t="n">
        <v>0</v>
      </c>
      <c r="E166" s="66" t="n">
        <v>-0.1985102382681703</v>
      </c>
      <c r="F166" s="66" t="n">
        <v>0</v>
      </c>
      <c r="G166" s="66" t="n">
        <v>-0.0235403605311717</v>
      </c>
      <c r="H166" s="66" t="n">
        <v>0.02630083067907663</v>
      </c>
      <c r="I166" s="66" t="n">
        <v>0.2942769170094834</v>
      </c>
      <c r="J166" s="99" t="n">
        <v>0</v>
      </c>
      <c r="K166" s="66" t="n">
        <v>-0.1858725653328861</v>
      </c>
      <c r="L166" s="66" t="n">
        <v>0.24853762566093</v>
      </c>
      <c r="M166" s="66" t="n">
        <v>0</v>
      </c>
      <c r="N166" s="99" t="n">
        <v>0</v>
      </c>
      <c r="O166" s="66" t="n">
        <v>-0.01281070976469323</v>
      </c>
      <c r="P166" s="66" t="n">
        <v>0</v>
      </c>
      <c r="Q166" s="66" t="n">
        <v>0</v>
      </c>
      <c r="R166" s="66" t="n">
        <v>0</v>
      </c>
      <c r="S166" s="66" t="n">
        <v>0</v>
      </c>
      <c r="T166" s="66" t="n">
        <v>0</v>
      </c>
      <c r="U166" s="66" t="n">
        <v>0</v>
      </c>
      <c r="V166" s="66" t="n">
        <v>0</v>
      </c>
      <c r="W166" s="66" t="n">
        <v>0</v>
      </c>
      <c r="X166" s="99" t="n">
        <v>0</v>
      </c>
      <c r="Y166" s="66" t="n">
        <v>0</v>
      </c>
      <c r="Z166" s="99" t="n">
        <v>0</v>
      </c>
      <c r="AA166" s="99" t="n">
        <v>0</v>
      </c>
      <c r="AB166" s="99" t="n">
        <v>0</v>
      </c>
      <c r="AC166" s="99" t="n">
        <v>0</v>
      </c>
      <c r="AD166" s="99" t="n">
        <v>0</v>
      </c>
      <c r="AE166" s="99" t="n">
        <v>0</v>
      </c>
      <c r="AF166" s="66" t="n">
        <v>0.2257372819432248</v>
      </c>
      <c r="AG166" s="99" t="n">
        <v>0</v>
      </c>
    </row>
    <row r="167">
      <c r="A167" s="127" t="inlineStr">
        <is>
          <t>2020 Q3</t>
        </is>
      </c>
      <c r="B167" s="66" t="n">
        <v>0</v>
      </c>
      <c r="C167" s="66" t="n">
        <v>-0.01098955312943417</v>
      </c>
      <c r="D167" s="66" t="n">
        <v>0</v>
      </c>
      <c r="E167" s="66" t="n">
        <v>-0.20829734834021</v>
      </c>
      <c r="F167" s="66" t="n">
        <v>-0.0009549215976960568</v>
      </c>
      <c r="G167" s="66" t="n">
        <v>-0.0375527306508161</v>
      </c>
      <c r="H167" s="66" t="n">
        <v>0.07320394561270405</v>
      </c>
      <c r="I167" s="66" t="n">
        <v>0.2926807576430406</v>
      </c>
      <c r="J167" s="99" t="n">
        <v>0</v>
      </c>
      <c r="K167" s="66" t="n">
        <v>-0.181818657686506</v>
      </c>
      <c r="L167" s="66" t="n">
        <v>0.2472079818516022</v>
      </c>
      <c r="M167" s="66" t="n">
        <v>0</v>
      </c>
      <c r="N167" s="99" t="n">
        <v>0</v>
      </c>
      <c r="O167" s="66" t="n">
        <v>-0.02011944565248314</v>
      </c>
      <c r="P167" s="66" t="n">
        <v>0.001056514839859801</v>
      </c>
      <c r="Q167" s="66" t="n">
        <v>0</v>
      </c>
      <c r="R167" s="66" t="n">
        <v>0.08780647145073317</v>
      </c>
      <c r="S167" s="66" t="n">
        <v>0</v>
      </c>
      <c r="T167" s="66" t="n">
        <v>0</v>
      </c>
      <c r="U167" s="66" t="n">
        <v>0</v>
      </c>
      <c r="V167" s="66" t="n">
        <v>0</v>
      </c>
      <c r="W167" s="66" t="n">
        <v>0</v>
      </c>
      <c r="X167" s="99" t="n">
        <v>0</v>
      </c>
      <c r="Y167" s="66" t="n">
        <v>0</v>
      </c>
      <c r="Z167" s="99" t="n">
        <v>0</v>
      </c>
      <c r="AA167" s="99" t="n">
        <v>0</v>
      </c>
      <c r="AB167" s="99" t="n">
        <v>0</v>
      </c>
      <c r="AC167" s="99" t="n">
        <v>0</v>
      </c>
      <c r="AD167" s="99" t="n">
        <v>0</v>
      </c>
      <c r="AE167" s="99" t="n">
        <v>0</v>
      </c>
      <c r="AF167" s="66" t="n">
        <v>0.2245404921010277</v>
      </c>
      <c r="AG167" s="99" t="n">
        <v>0</v>
      </c>
    </row>
    <row r="168">
      <c r="A168" s="127" t="inlineStr">
        <is>
          <t>2020 Q4</t>
        </is>
      </c>
      <c r="B168" s="66" t="n">
        <v>0</v>
      </c>
      <c r="C168" s="66" t="n">
        <v>-0.01616209216402353</v>
      </c>
      <c r="D168" s="66" t="n">
        <v>0</v>
      </c>
      <c r="E168" s="66" t="n">
        <v>-0.3482700043904856</v>
      </c>
      <c r="F168" s="66" t="n">
        <v>0</v>
      </c>
      <c r="G168" s="66" t="n">
        <v>-0.04844073182846387</v>
      </c>
      <c r="H168" s="66" t="n">
        <v>0.05737498054605794</v>
      </c>
      <c r="I168" s="66" t="n">
        <v>0.2998700608574438</v>
      </c>
      <c r="J168" s="99" t="n">
        <v>0</v>
      </c>
      <c r="K168" s="66" t="n">
        <v>-0.1478434490869347</v>
      </c>
      <c r="L168" s="66" t="n">
        <v>0.2532806409903969</v>
      </c>
      <c r="M168" s="66" t="n">
        <v>0</v>
      </c>
      <c r="N168" s="99" t="n">
        <v>0</v>
      </c>
      <c r="O168" s="66" t="n">
        <v>-0.0161946713822374</v>
      </c>
      <c r="P168" s="66" t="n">
        <v>0.0007173228764258965</v>
      </c>
      <c r="Q168" s="66" t="n">
        <v>0</v>
      </c>
      <c r="R168" s="66" t="n">
        <v>-0.3311442146903403</v>
      </c>
      <c r="S168" s="66" t="n">
        <v>0</v>
      </c>
      <c r="T168" s="66" t="n">
        <v>0</v>
      </c>
      <c r="U168" s="66" t="n">
        <v>0</v>
      </c>
      <c r="V168" s="66" t="n">
        <v>0</v>
      </c>
      <c r="W168" s="66" t="n">
        <v>0</v>
      </c>
      <c r="X168" s="99" t="n">
        <v>0</v>
      </c>
      <c r="Y168" s="66" t="n">
        <v>0</v>
      </c>
      <c r="Z168" s="99" t="n">
        <v>0</v>
      </c>
      <c r="AA168" s="99" t="n">
        <v>0</v>
      </c>
      <c r="AB168" s="99" t="n">
        <v>0</v>
      </c>
      <c r="AC168" s="99" t="n">
        <v>0</v>
      </c>
      <c r="AD168" s="99" t="n">
        <v>0</v>
      </c>
      <c r="AE168" s="99" t="n">
        <v>0</v>
      </c>
      <c r="AF168" s="66" t="n">
        <v>0.2300565210869934</v>
      </c>
      <c r="AG168" s="99" t="n">
        <v>0</v>
      </c>
    </row>
    <row r="169">
      <c r="A169" s="127" t="inlineStr">
        <is>
          <t>2021 Q1</t>
        </is>
      </c>
      <c r="B169" s="66" t="n">
        <v>0</v>
      </c>
      <c r="C169" s="66" t="n">
        <v>-0.01013559704452405</v>
      </c>
      <c r="D169" s="66" t="n">
        <v>0</v>
      </c>
      <c r="E169" s="66" t="n">
        <v>-0.2665138887208798</v>
      </c>
      <c r="F169" s="66" t="n">
        <v>-0.000476346512755299</v>
      </c>
      <c r="G169" s="66" t="n">
        <v>-0.05603108738313267</v>
      </c>
      <c r="H169" s="66" t="n">
        <v>0.07361169695334979</v>
      </c>
      <c r="I169" s="66" t="n">
        <v>0.2960005637837639</v>
      </c>
      <c r="J169" s="99" t="n">
        <v>0</v>
      </c>
      <c r="K169" s="66" t="n">
        <v>-0.1186923475885635</v>
      </c>
      <c r="L169" s="66" t="n">
        <v>0.250029830870659</v>
      </c>
      <c r="M169" s="66" t="n">
        <v>0</v>
      </c>
      <c r="N169" s="99" t="n">
        <v>0</v>
      </c>
      <c r="O169" s="66" t="n">
        <v>-0.02308153108256761</v>
      </c>
      <c r="P169" s="66" t="n">
        <v>9.92606598799739e-05</v>
      </c>
      <c r="Q169" s="66" t="n">
        <v>0</v>
      </c>
      <c r="R169" s="66" t="n">
        <v>-0.1602566834780248</v>
      </c>
      <c r="S169" s="66" t="n">
        <v>0</v>
      </c>
      <c r="T169" s="66" t="n">
        <v>0</v>
      </c>
      <c r="U169" s="66" t="n">
        <v>0</v>
      </c>
      <c r="V169" s="66" t="n">
        <v>0</v>
      </c>
      <c r="W169" s="66" t="n">
        <v>0</v>
      </c>
      <c r="X169" s="99" t="n">
        <v>0</v>
      </c>
      <c r="Y169" s="66" t="n">
        <v>0</v>
      </c>
      <c r="Z169" s="99" t="n">
        <v>0</v>
      </c>
      <c r="AA169" s="99" t="n">
        <v>0</v>
      </c>
      <c r="AB169" s="99" t="n">
        <v>0</v>
      </c>
      <c r="AC169" s="99" t="n">
        <v>0</v>
      </c>
      <c r="AD169" s="99" t="n">
        <v>0</v>
      </c>
      <c r="AE169" s="99" t="n">
        <v>0</v>
      </c>
      <c r="AF169" s="66" t="n">
        <v>0.2271141170397186</v>
      </c>
      <c r="AG169" s="99" t="n">
        <v>0</v>
      </c>
    </row>
    <row r="170">
      <c r="A170" s="127" t="inlineStr">
        <is>
          <t>2021 Q2</t>
        </is>
      </c>
      <c r="B170" s="66" t="n">
        <v>0</v>
      </c>
      <c r="C170" s="66" t="n">
        <v>-0.007740230804728299</v>
      </c>
      <c r="D170" s="66" t="n">
        <v>0</v>
      </c>
      <c r="E170" s="66" t="n">
        <v>-0.2641410334653926</v>
      </c>
      <c r="F170" s="66" t="n">
        <v>0</v>
      </c>
      <c r="G170" s="66" t="n">
        <v>-0.1237601128902668</v>
      </c>
      <c r="H170" s="66" t="n">
        <v>0.1213136764824583</v>
      </c>
      <c r="I170" s="66" t="n">
        <v>0.2954640194467402</v>
      </c>
      <c r="J170" s="99" t="n">
        <v>0</v>
      </c>
      <c r="K170" s="66" t="n">
        <v>-0.1620621877049189</v>
      </c>
      <c r="L170" s="66" t="n">
        <v>0.2496382372675896</v>
      </c>
      <c r="M170" s="66" t="n">
        <v>0</v>
      </c>
      <c r="N170" s="99" t="n">
        <v>0</v>
      </c>
      <c r="O170" s="66" t="n">
        <v>-0.01752392345423459</v>
      </c>
      <c r="P170" s="66" t="n">
        <v>0.0001251770192425283</v>
      </c>
      <c r="Q170" s="66" t="n">
        <v>0</v>
      </c>
      <c r="R170" s="66" t="n">
        <v>-0.105944056615499</v>
      </c>
      <c r="S170" s="66" t="n">
        <v>0</v>
      </c>
      <c r="T170" s="66" t="n">
        <v>0</v>
      </c>
      <c r="U170" s="66" t="n">
        <v>0</v>
      </c>
      <c r="V170" s="66" t="n">
        <v>0</v>
      </c>
      <c r="W170" s="66" t="n">
        <v>0</v>
      </c>
      <c r="X170" s="99" t="n">
        <v>0</v>
      </c>
      <c r="Y170" s="66" t="n">
        <v>0</v>
      </c>
      <c r="Z170" s="99" t="n">
        <v>0</v>
      </c>
      <c r="AA170" s="99" t="n">
        <v>0</v>
      </c>
      <c r="AB170" s="99" t="n">
        <v>0</v>
      </c>
      <c r="AC170" s="99" t="n">
        <v>0</v>
      </c>
      <c r="AD170" s="99" t="n">
        <v>0</v>
      </c>
      <c r="AE170" s="99" t="n">
        <v>0</v>
      </c>
      <c r="AF170" s="66" t="n">
        <v>0.2267947791813185</v>
      </c>
      <c r="AG170" s="99" t="n">
        <v>0</v>
      </c>
    </row>
    <row r="171">
      <c r="A171" s="127" t="inlineStr">
        <is>
          <t>2021 Q3</t>
        </is>
      </c>
      <c r="B171" s="66" t="n">
        <v>0</v>
      </c>
      <c r="C171" s="66" t="n">
        <v>-0.006242329627696108</v>
      </c>
      <c r="D171" s="66" t="n">
        <v>0</v>
      </c>
      <c r="E171" s="66" t="n">
        <v>-0.4070247242148639</v>
      </c>
      <c r="F171" s="66" t="n">
        <v>0</v>
      </c>
      <c r="G171" s="66" t="n">
        <v>-0.111332206190923</v>
      </c>
      <c r="H171" s="66" t="n">
        <v>0.1246151151609638</v>
      </c>
      <c r="I171" s="66" t="n">
        <v>0.2946373545089784</v>
      </c>
      <c r="J171" s="99" t="n">
        <v>0</v>
      </c>
      <c r="K171" s="66" t="n">
        <v>-0.1794494260265935</v>
      </c>
      <c r="L171" s="66" t="n">
        <v>0.2490188995275844</v>
      </c>
      <c r="M171" s="66" t="n">
        <v>0</v>
      </c>
      <c r="N171" s="99" t="n">
        <v>0</v>
      </c>
      <c r="O171" s="66" t="n">
        <v>-0.03019539733239185</v>
      </c>
      <c r="P171" s="66" t="n">
        <v>0</v>
      </c>
      <c r="Q171" s="66" t="n">
        <v>0</v>
      </c>
      <c r="R171" s="66" t="n">
        <v>0.07255421455730016</v>
      </c>
      <c r="S171" s="66" t="n">
        <v>0</v>
      </c>
      <c r="T171" s="66" t="n">
        <v>0</v>
      </c>
      <c r="U171" s="66" t="n">
        <v>0</v>
      </c>
      <c r="V171" s="66" t="n">
        <v>0</v>
      </c>
      <c r="W171" s="66" t="n">
        <v>0</v>
      </c>
      <c r="X171" s="99" t="n">
        <v>0</v>
      </c>
      <c r="Y171" s="66" t="n">
        <v>0</v>
      </c>
      <c r="Z171" s="99" t="n">
        <v>0</v>
      </c>
      <c r="AA171" s="99" t="n">
        <v>0</v>
      </c>
      <c r="AB171" s="99" t="n">
        <v>0</v>
      </c>
      <c r="AC171" s="99" t="n">
        <v>0</v>
      </c>
      <c r="AD171" s="99" t="n">
        <v>0</v>
      </c>
      <c r="AE171" s="99" t="n">
        <v>0</v>
      </c>
      <c r="AF171" s="66" t="n">
        <v>0.2262787909080828</v>
      </c>
      <c r="AG171" s="99" t="n">
        <v>0</v>
      </c>
    </row>
    <row r="172">
      <c r="A172" s="127" t="inlineStr">
        <is>
          <t>2021 Q4</t>
        </is>
      </c>
      <c r="B172" s="66" t="n">
        <v>0</v>
      </c>
      <c r="C172" s="66" t="n">
        <v>-0.01409437672828062</v>
      </c>
      <c r="D172" s="66" t="n">
        <v>0</v>
      </c>
      <c r="E172" s="66" t="n">
        <v>-0.5030162587867437</v>
      </c>
      <c r="F172" s="66" t="n">
        <v>0</v>
      </c>
      <c r="G172" s="66" t="n">
        <v>-0.1023057367389697</v>
      </c>
      <c r="H172" s="66" t="n">
        <v>0.1457104524143631</v>
      </c>
      <c r="I172" s="66" t="n">
        <v>0.2935619677238037</v>
      </c>
      <c r="J172" s="99" t="n">
        <v>0</v>
      </c>
      <c r="K172" s="66" t="n">
        <v>-0.189146406618562</v>
      </c>
      <c r="L172" s="66" t="n">
        <v>0.2482652659213329</v>
      </c>
      <c r="M172" s="66" t="n">
        <v>0</v>
      </c>
      <c r="N172" s="99" t="n">
        <v>0</v>
      </c>
      <c r="O172" s="66" t="n">
        <v>-0.0282103385308119</v>
      </c>
      <c r="P172" s="66" t="n">
        <v>0.003131869993836744</v>
      </c>
      <c r="Q172" s="66" t="n">
        <v>0</v>
      </c>
      <c r="R172" s="66" t="n">
        <v>0.1228620471534043</v>
      </c>
      <c r="S172" s="66" t="n">
        <v>0</v>
      </c>
      <c r="T172" s="66" t="n">
        <v>0</v>
      </c>
      <c r="U172" s="66" t="n">
        <v>0</v>
      </c>
      <c r="V172" s="66" t="n">
        <v>0</v>
      </c>
      <c r="W172" s="66" t="n">
        <v>0</v>
      </c>
      <c r="X172" s="99" t="n">
        <v>0</v>
      </c>
      <c r="Y172" s="66" t="n">
        <v>0</v>
      </c>
      <c r="Z172" s="99" t="n">
        <v>0</v>
      </c>
      <c r="AA172" s="99" t="n">
        <v>0</v>
      </c>
      <c r="AB172" s="99" t="n">
        <v>0</v>
      </c>
      <c r="AC172" s="99" t="n">
        <v>0</v>
      </c>
      <c r="AD172" s="99" t="n">
        <v>0</v>
      </c>
      <c r="AE172" s="99" t="n">
        <v>0</v>
      </c>
      <c r="AF172" s="66" t="n">
        <v>0.225685546386444</v>
      </c>
      <c r="AG172" s="99" t="n">
        <v>0</v>
      </c>
    </row>
    <row r="173">
      <c r="A173" s="127" t="inlineStr">
        <is>
          <t>2022 Q1</t>
        </is>
      </c>
      <c r="B173" s="66" t="n">
        <v>0</v>
      </c>
      <c r="C173" s="66" t="n">
        <v>-0.00708076888213327</v>
      </c>
      <c r="D173" s="66" t="n">
        <v>0</v>
      </c>
      <c r="E173" s="66" t="n">
        <v>-0.3376148082658403</v>
      </c>
      <c r="F173" s="66" t="n">
        <v>-0.0004586226402523153</v>
      </c>
      <c r="G173" s="66" t="n">
        <v>-0.09210413838826526</v>
      </c>
      <c r="H173" s="66" t="n">
        <v>0.1116013464911703</v>
      </c>
      <c r="I173" s="66" t="n">
        <v>0.2900085697755515</v>
      </c>
      <c r="J173" s="99" t="n">
        <v>0</v>
      </c>
      <c r="K173" s="66" t="n">
        <v>-0.1815071599073121</v>
      </c>
      <c r="L173" s="66" t="n">
        <v>0.2451114600085305</v>
      </c>
      <c r="M173" s="66" t="n">
        <v>0</v>
      </c>
      <c r="N173" s="99" t="n">
        <v>0</v>
      </c>
      <c r="O173" s="66" t="n">
        <v>-0.01942397150028796</v>
      </c>
      <c r="P173" s="66" t="n">
        <v>0.001897491061441769</v>
      </c>
      <c r="Q173" s="66" t="n">
        <v>0</v>
      </c>
      <c r="R173" s="66" t="n">
        <v>0.3338721702249927</v>
      </c>
      <c r="S173" s="66" t="n">
        <v>0</v>
      </c>
      <c r="T173" s="66" t="n">
        <v>0</v>
      </c>
      <c r="U173" s="66" t="n">
        <v>0</v>
      </c>
      <c r="V173" s="66" t="n">
        <v>0</v>
      </c>
      <c r="W173" s="66" t="n">
        <v>0</v>
      </c>
      <c r="X173" s="99" t="n">
        <v>0</v>
      </c>
      <c r="Y173" s="66" t="n">
        <v>0</v>
      </c>
      <c r="Z173" s="99" t="n">
        <v>0</v>
      </c>
      <c r="AA173" s="99" t="n">
        <v>0</v>
      </c>
      <c r="AB173" s="99" t="n">
        <v>0</v>
      </c>
      <c r="AC173" s="99" t="n">
        <v>0</v>
      </c>
      <c r="AD173" s="99" t="n">
        <v>0</v>
      </c>
      <c r="AE173" s="99" t="n">
        <v>0</v>
      </c>
      <c r="AF173" s="66" t="n">
        <v>0.2227309310488863</v>
      </c>
      <c r="AG173" s="99" t="n">
        <v>0</v>
      </c>
    </row>
    <row r="174">
      <c r="A174" s="127" t="inlineStr">
        <is>
          <t>2022 Q2</t>
        </is>
      </c>
      <c r="B174" s="66" t="n">
        <v>0</v>
      </c>
      <c r="C174" s="66" t="n">
        <v>-0.005349567640280384</v>
      </c>
      <c r="D174" s="66" t="n">
        <v>0</v>
      </c>
      <c r="E174" s="66" t="n">
        <v>-0.2013199267255743</v>
      </c>
      <c r="F174" s="66" t="n">
        <v>0</v>
      </c>
      <c r="G174" s="66" t="n">
        <v>-0.06515315014914336</v>
      </c>
      <c r="H174" s="66" t="n">
        <v>0.1701695096317337</v>
      </c>
      <c r="I174" s="66" t="n">
        <v>0.2918196660914418</v>
      </c>
      <c r="J174" s="99" t="n">
        <v>0</v>
      </c>
      <c r="K174" s="66" t="n">
        <v>-0.1821168053280644</v>
      </c>
      <c r="L174" s="66" t="n">
        <v>0.2464698440699635</v>
      </c>
      <c r="M174" s="66" t="n">
        <v>0</v>
      </c>
      <c r="N174" s="99" t="n">
        <v>0</v>
      </c>
      <c r="O174" s="66" t="n">
        <v>-0.03529937156588403</v>
      </c>
      <c r="P174" s="66" t="n">
        <v>0.001681487332206189</v>
      </c>
      <c r="Q174" s="66" t="n">
        <v>0</v>
      </c>
      <c r="R174" s="66" t="n">
        <v>0.086694288626461</v>
      </c>
      <c r="S174" s="66" t="n">
        <v>0</v>
      </c>
      <c r="T174" s="66" t="n">
        <v>0</v>
      </c>
      <c r="U174" s="66" t="n">
        <v>0</v>
      </c>
      <c r="V174" s="66" t="n">
        <v>0</v>
      </c>
      <c r="W174" s="66" t="n">
        <v>0</v>
      </c>
      <c r="X174" s="99" t="n">
        <v>0</v>
      </c>
      <c r="Y174" s="66" t="n">
        <v>0</v>
      </c>
      <c r="Z174" s="99" t="n">
        <v>0</v>
      </c>
      <c r="AA174" s="99" t="n">
        <v>0</v>
      </c>
      <c r="AB174" s="99" t="n">
        <v>0</v>
      </c>
      <c r="AC174" s="99" t="n">
        <v>0</v>
      </c>
      <c r="AD174" s="99" t="n">
        <v>0</v>
      </c>
      <c r="AE174" s="99" t="n">
        <v>0</v>
      </c>
      <c r="AF174" s="66" t="n">
        <v>0.2238636449107503</v>
      </c>
      <c r="AG174" s="99" t="n">
        <v>0</v>
      </c>
    </row>
    <row r="175">
      <c r="A175" s="127" t="inlineStr">
        <is>
          <t>2022 Q3</t>
        </is>
      </c>
      <c r="B175" s="66" t="n">
        <v>0</v>
      </c>
      <c r="C175" s="66" t="n">
        <v>-0.003775779344863395</v>
      </c>
      <c r="D175" s="66" t="n">
        <v>0</v>
      </c>
      <c r="E175" s="66" t="n">
        <v>-0.2615668761492032</v>
      </c>
      <c r="F175" s="66" t="n">
        <v>0</v>
      </c>
      <c r="G175" s="66" t="n">
        <v>-0.05523841779978511</v>
      </c>
      <c r="H175" s="66" t="n">
        <v>0.1151695762483484</v>
      </c>
      <c r="I175" s="66" t="n">
        <v>-0.02081537279843815</v>
      </c>
      <c r="J175" s="99" t="n">
        <v>0</v>
      </c>
      <c r="K175" s="66" t="n">
        <v>-0.1779308686753609</v>
      </c>
      <c r="L175" s="66" t="n">
        <v>0.2469783919821396</v>
      </c>
      <c r="M175" s="66" t="n">
        <v>0</v>
      </c>
      <c r="N175" s="99" t="n">
        <v>0</v>
      </c>
      <c r="O175" s="66" t="n">
        <v>-0.0344719386883412</v>
      </c>
      <c r="P175" s="66" t="n">
        <v>0.002260850913216927</v>
      </c>
      <c r="Q175" s="66" t="n">
        <v>0</v>
      </c>
      <c r="R175" s="66" t="n">
        <v>0.1464899787253842</v>
      </c>
      <c r="S175" s="66" t="n">
        <v>0</v>
      </c>
      <c r="T175" s="66" t="n">
        <v>0</v>
      </c>
      <c r="U175" s="66" t="n">
        <v>0</v>
      </c>
      <c r="V175" s="66" t="n">
        <v>0</v>
      </c>
      <c r="W175" s="66" t="n">
        <v>0</v>
      </c>
      <c r="X175" s="99" t="n">
        <v>0</v>
      </c>
      <c r="Y175" s="66" t="n">
        <v>0</v>
      </c>
      <c r="Z175" s="99" t="n">
        <v>0</v>
      </c>
      <c r="AA175" s="99" t="n">
        <v>0</v>
      </c>
      <c r="AB175" s="99" t="n">
        <v>0</v>
      </c>
      <c r="AC175" s="99" t="n">
        <v>0</v>
      </c>
      <c r="AD175" s="99" t="n">
        <v>0</v>
      </c>
      <c r="AE175" s="99" t="n">
        <v>0</v>
      </c>
      <c r="AF175" s="66" t="n">
        <v>0.2246616171403275</v>
      </c>
      <c r="AG175" s="99" t="n">
        <v>0</v>
      </c>
    </row>
    <row r="176">
      <c r="A176" s="127" t="inlineStr">
        <is>
          <t>2022 Q4</t>
        </is>
      </c>
      <c r="B176" s="66" t="n">
        <v>0</v>
      </c>
      <c r="C176" s="66" t="n">
        <v>-0.003782595657526144</v>
      </c>
      <c r="D176" s="66" t="n">
        <v>0</v>
      </c>
      <c r="E176" s="66" t="n">
        <v>-0.2431377043062071</v>
      </c>
      <c r="F176" s="66" t="n">
        <v>0</v>
      </c>
      <c r="G176" s="66" t="n">
        <v>-0.02286178231616987</v>
      </c>
      <c r="H176" s="66" t="n">
        <v>0.08259840629355608</v>
      </c>
      <c r="I176" s="66" t="n">
        <v>-0.09662177009653306</v>
      </c>
      <c r="J176" s="99" t="n">
        <v>0</v>
      </c>
      <c r="K176" s="66" t="n">
        <v>-0.1824643835801112</v>
      </c>
      <c r="L176" s="66" t="n">
        <v>0.251407655289114</v>
      </c>
      <c r="M176" s="66" t="n">
        <v>0</v>
      </c>
      <c r="N176" s="99" t="n">
        <v>0</v>
      </c>
      <c r="O176" s="66" t="n">
        <v>-0.0394431555732524</v>
      </c>
      <c r="P176" s="66" t="n">
        <v>0</v>
      </c>
      <c r="Q176" s="66" t="n">
        <v>0</v>
      </c>
      <c r="R176" s="66" t="n">
        <v>-0.1938915930242615</v>
      </c>
      <c r="S176" s="66" t="n">
        <v>0</v>
      </c>
      <c r="T176" s="66" t="n">
        <v>0</v>
      </c>
      <c r="U176" s="66" t="n">
        <v>0</v>
      </c>
      <c r="V176" s="66" t="n">
        <v>0</v>
      </c>
      <c r="W176" s="66" t="n">
        <v>0</v>
      </c>
      <c r="X176" s="99" t="n">
        <v>0</v>
      </c>
      <c r="Y176" s="66" t="n">
        <v>0</v>
      </c>
      <c r="Z176" s="99" t="n">
        <v>0</v>
      </c>
      <c r="AA176" s="99" t="n">
        <v>0</v>
      </c>
      <c r="AB176" s="99" t="n">
        <v>0</v>
      </c>
      <c r="AC176" s="99" t="n">
        <v>0</v>
      </c>
      <c r="AD176" s="99" t="n">
        <v>0</v>
      </c>
      <c r="AE176" s="99" t="n">
        <v>0</v>
      </c>
      <c r="AF176" s="66" t="n">
        <v>0.2287056478533032</v>
      </c>
      <c r="AG176" s="99" t="n">
        <v>0</v>
      </c>
    </row>
    <row r="177">
      <c r="A177" s="127" t="inlineStr">
        <is>
          <t>2023 Q1</t>
        </is>
      </c>
      <c r="B177" s="66" t="n">
        <v>0</v>
      </c>
      <c r="C177" s="66" t="n">
        <v>-0.002788029992530028</v>
      </c>
      <c r="D177" s="66" t="n">
        <v>0</v>
      </c>
      <c r="E177" s="66" t="n">
        <v>-0.1423538476859108</v>
      </c>
      <c r="F177" s="66" t="n">
        <v>0</v>
      </c>
      <c r="G177" s="66" t="n">
        <v>-0.04010032890801085</v>
      </c>
      <c r="H177" s="66" t="n">
        <v>0.1265881150752648</v>
      </c>
      <c r="I177" s="66" t="n">
        <v>-0.1066997648293579</v>
      </c>
      <c r="J177" s="99" t="n">
        <v>0</v>
      </c>
      <c r="K177" s="66" t="n">
        <v>-0.1500791980051019</v>
      </c>
      <c r="L177" s="66" t="n">
        <v>0.011349958349399</v>
      </c>
      <c r="M177" s="66" t="n">
        <v>0</v>
      </c>
      <c r="N177" s="99" t="n">
        <v>0</v>
      </c>
      <c r="O177" s="66" t="n">
        <v>-0.02701514390631132</v>
      </c>
      <c r="P177" s="66" t="n">
        <v>0.004308872014746612</v>
      </c>
      <c r="Q177" s="66" t="n">
        <v>0</v>
      </c>
      <c r="R177" s="66" t="n">
        <v>-0.031375429303381</v>
      </c>
      <c r="S177" s="66" t="n">
        <v>0</v>
      </c>
      <c r="T177" s="66" t="n">
        <v>0</v>
      </c>
      <c r="U177" s="66" t="n">
        <v>0</v>
      </c>
      <c r="V177" s="66" t="n">
        <v>0</v>
      </c>
      <c r="W177" s="66" t="n">
        <v>0</v>
      </c>
      <c r="X177" s="99" t="n">
        <v>0</v>
      </c>
      <c r="Y177" s="66" t="n">
        <v>0</v>
      </c>
      <c r="Z177" s="99" t="n">
        <v>0</v>
      </c>
      <c r="AA177" s="99" t="n">
        <v>0</v>
      </c>
      <c r="AB177" s="99" t="n">
        <v>0</v>
      </c>
      <c r="AC177" s="99" t="n">
        <v>0</v>
      </c>
      <c r="AD177" s="99" t="n">
        <v>0</v>
      </c>
      <c r="AE177" s="99" t="n">
        <v>0</v>
      </c>
      <c r="AF177" s="66" t="n">
        <v>0.2247131188190963</v>
      </c>
      <c r="AG177" s="99" t="n">
        <v>0</v>
      </c>
    </row>
    <row r="178">
      <c r="A178" s="127" t="inlineStr">
        <is>
          <t>2023 Q2</t>
        </is>
      </c>
      <c r="B178" s="66" t="n">
        <v>0</v>
      </c>
      <c r="C178" s="66" t="n">
        <v>-0.001539212432788872</v>
      </c>
      <c r="D178" s="66" t="n">
        <v>0</v>
      </c>
      <c r="E178" s="66" t="n">
        <v>-0.1483947978630056</v>
      </c>
      <c r="F178" s="66" t="n">
        <v>0</v>
      </c>
      <c r="G178" s="66" t="n">
        <v>-0.05418514849955613</v>
      </c>
      <c r="H178" s="66" t="n">
        <v>0.1582589056220343</v>
      </c>
      <c r="I178" s="66" t="n">
        <v>-0.08152741781015038</v>
      </c>
      <c r="J178" s="99" t="n">
        <v>0</v>
      </c>
      <c r="K178" s="66" t="n">
        <v>-0.1898636273195677</v>
      </c>
      <c r="L178" s="66" t="n">
        <v>-0.1344096576521849</v>
      </c>
      <c r="M178" s="66" t="n">
        <v>0</v>
      </c>
      <c r="N178" s="99" t="n">
        <v>0</v>
      </c>
      <c r="O178" s="66" t="n">
        <v>-0.04085552708602336</v>
      </c>
      <c r="P178" s="66" t="n">
        <v>0.01119388332264748</v>
      </c>
      <c r="Q178" s="66" t="n">
        <v>0</v>
      </c>
      <c r="R178" s="66" t="n">
        <v>-0.01971021093149261</v>
      </c>
      <c r="S178" s="66" t="n">
        <v>0</v>
      </c>
      <c r="T178" s="66" t="n">
        <v>0</v>
      </c>
      <c r="U178" s="66" t="n">
        <v>0</v>
      </c>
      <c r="V178" s="66" t="n">
        <v>0</v>
      </c>
      <c r="W178" s="66" t="n">
        <v>0</v>
      </c>
      <c r="X178" s="99" t="n">
        <v>0</v>
      </c>
      <c r="Y178" s="66" t="n">
        <v>0</v>
      </c>
      <c r="Z178" s="99" t="n">
        <v>0</v>
      </c>
      <c r="AA178" s="99" t="n">
        <v>0</v>
      </c>
      <c r="AB178" s="99" t="n">
        <v>0</v>
      </c>
      <c r="AC178" s="99" t="n">
        <v>0</v>
      </c>
      <c r="AD178" s="99" t="n">
        <v>0</v>
      </c>
      <c r="AE178" s="99" t="n">
        <v>0</v>
      </c>
      <c r="AF178" s="66" t="n">
        <v>0.2222622309395206</v>
      </c>
      <c r="AG178" s="99" t="n">
        <v>0</v>
      </c>
    </row>
    <row r="179">
      <c r="A179" s="127" t="inlineStr">
        <is>
          <t>2023 Q3</t>
        </is>
      </c>
      <c r="B179" s="66" t="n">
        <v>0</v>
      </c>
      <c r="C179" s="66" t="n">
        <v>-0.002860550836402354</v>
      </c>
      <c r="D179" s="66" t="n">
        <v>0</v>
      </c>
      <c r="E179" s="66" t="n">
        <v>-0.1612204954762149</v>
      </c>
      <c r="F179" s="66" t="n">
        <v>0</v>
      </c>
      <c r="G179" s="66" t="n">
        <v>-0.04497988307545597</v>
      </c>
      <c r="H179" s="66" t="n">
        <v>0.1579435925661699</v>
      </c>
      <c r="I179" s="66" t="n">
        <v>-0.05764438198738731</v>
      </c>
      <c r="J179" s="99" t="n">
        <v>0</v>
      </c>
      <c r="K179" s="66" t="n">
        <v>-0.1902932982370942</v>
      </c>
      <c r="L179" s="66" t="n">
        <v>-0.1292730765252088</v>
      </c>
      <c r="M179" s="66" t="n">
        <v>0</v>
      </c>
      <c r="N179" s="99" t="n">
        <v>0</v>
      </c>
      <c r="O179" s="66" t="n">
        <v>-0.04784573365611777</v>
      </c>
      <c r="P179" s="66" t="n">
        <v>0.008999407636252954</v>
      </c>
      <c r="Q179" s="66" t="n">
        <v>0</v>
      </c>
      <c r="R179" s="66" t="n">
        <v>-0.2049774011199474</v>
      </c>
      <c r="S179" s="66" t="n">
        <v>0</v>
      </c>
      <c r="T179" s="66" t="n">
        <v>0</v>
      </c>
      <c r="U179" s="66" t="n">
        <v>0</v>
      </c>
      <c r="V179" s="66" t="n">
        <v>0</v>
      </c>
      <c r="W179" s="66" t="n">
        <v>0</v>
      </c>
      <c r="X179" s="99" t="n">
        <v>0</v>
      </c>
      <c r="Y179" s="66" t="n">
        <v>0</v>
      </c>
      <c r="Z179" s="99" t="n">
        <v>0</v>
      </c>
      <c r="AA179" s="99" t="n">
        <v>0</v>
      </c>
      <c r="AB179" s="99" t="n">
        <v>0</v>
      </c>
      <c r="AC179" s="99" t="n">
        <v>0</v>
      </c>
      <c r="AD179" s="99" t="n">
        <v>0</v>
      </c>
      <c r="AE179" s="99" t="n">
        <v>0</v>
      </c>
      <c r="AF179" s="66" t="n">
        <v>0.2248882748203584</v>
      </c>
      <c r="AG179" s="99" t="n">
        <v>0</v>
      </c>
    </row>
    <row r="180">
      <c r="A180" s="127" t="inlineStr">
        <is>
          <t>2023 Q4</t>
        </is>
      </c>
      <c r="B180" s="66" t="n">
        <v>0</v>
      </c>
      <c r="C180" s="66" t="n">
        <v>-0.001146116462280133</v>
      </c>
      <c r="D180" s="66" t="n">
        <v>0</v>
      </c>
      <c r="E180" s="66" t="n">
        <v>-0.1560800425459377</v>
      </c>
      <c r="F180" s="66" t="n">
        <v>0</v>
      </c>
      <c r="G180" s="66" t="n">
        <v>-0.0356284659844448</v>
      </c>
      <c r="H180" s="66" t="n">
        <v>0.3060954969654972</v>
      </c>
      <c r="I180" s="66" t="n">
        <v>0.08396195194666234</v>
      </c>
      <c r="J180" s="99" t="n">
        <v>0</v>
      </c>
      <c r="K180" s="66" t="n">
        <v>-0.1051715614939042</v>
      </c>
      <c r="L180" s="66" t="n">
        <v>-0.1681811454473063</v>
      </c>
      <c r="M180" s="66" t="n">
        <v>0</v>
      </c>
      <c r="N180" s="99" t="n">
        <v>0</v>
      </c>
      <c r="O180" s="66" t="n">
        <v>-0.0456998800777626</v>
      </c>
      <c r="P180" s="66" t="n">
        <v>0.007408031706404472</v>
      </c>
      <c r="Q180" s="66" t="n">
        <v>0</v>
      </c>
      <c r="R180" s="66" t="n">
        <v>0.06820325369196212</v>
      </c>
      <c r="S180" s="66" t="n">
        <v>0</v>
      </c>
      <c r="T180" s="66" t="n">
        <v>0</v>
      </c>
      <c r="U180" s="66" t="n">
        <v>0</v>
      </c>
      <c r="V180" s="66" t="n">
        <v>0</v>
      </c>
      <c r="W180" s="66" t="n">
        <v>0</v>
      </c>
      <c r="X180" s="99" t="n">
        <v>0</v>
      </c>
      <c r="Y180" s="66" t="n">
        <v>0</v>
      </c>
      <c r="Z180" s="99" t="n">
        <v>0</v>
      </c>
      <c r="AA180" s="99" t="n">
        <v>0</v>
      </c>
      <c r="AB180" s="99" t="n">
        <v>0</v>
      </c>
      <c r="AC180" s="99" t="n">
        <v>0</v>
      </c>
      <c r="AD180" s="99" t="n">
        <v>0</v>
      </c>
      <c r="AE180" s="99" t="n">
        <v>0</v>
      </c>
      <c r="AF180" s="66" t="n">
        <v>0.2231858398718032</v>
      </c>
      <c r="AG180" s="99" t="n">
        <v>0</v>
      </c>
    </row>
    <row r="181">
      <c r="A181" s="127" t="inlineStr">
        <is>
          <t>2024 Q1</t>
        </is>
      </c>
      <c r="B181" s="66" t="n">
        <v>0</v>
      </c>
      <c r="C181" s="66" t="n">
        <v>-0.00403804681130282</v>
      </c>
      <c r="D181" s="66" t="n">
        <v>0</v>
      </c>
      <c r="E181" s="66" t="n">
        <v>-0.09689143237147846</v>
      </c>
      <c r="F181" s="66" t="n">
        <v>0</v>
      </c>
      <c r="G181" s="66" t="n">
        <v>-0.02182785439910617</v>
      </c>
      <c r="H181" s="66" t="n">
        <v>0.1818550717820244</v>
      </c>
      <c r="I181" s="66" t="n">
        <v>0.1250696731852656</v>
      </c>
      <c r="J181" s="99" t="n">
        <v>0</v>
      </c>
      <c r="K181" s="66" t="n">
        <v>-0.1044489022096684</v>
      </c>
      <c r="L181" s="66" t="n">
        <v>-0.3111371534367322</v>
      </c>
      <c r="M181" s="66" t="n">
        <v>-0.001814716801618488</v>
      </c>
      <c r="N181" s="99" t="n">
        <v>0</v>
      </c>
      <c r="O181" s="66" t="n">
        <v>-0.0360254888960867</v>
      </c>
      <c r="P181" s="66" t="n">
        <v>0.004478555792104544</v>
      </c>
      <c r="Q181" s="66" t="n">
        <v>0</v>
      </c>
      <c r="R181" s="66" t="n">
        <v>0.06419329793888551</v>
      </c>
      <c r="S181" s="66" t="n">
        <v>0</v>
      </c>
      <c r="T181" s="66" t="n">
        <v>0</v>
      </c>
      <c r="U181" s="66" t="n">
        <v>0</v>
      </c>
      <c r="V181" s="66" t="n">
        <v>0</v>
      </c>
      <c r="W181" s="66" t="n">
        <v>0</v>
      </c>
      <c r="X181" s="99" t="n">
        <v>0</v>
      </c>
      <c r="Y181" s="66" t="n">
        <v>0</v>
      </c>
      <c r="Z181" s="99" t="n">
        <v>0</v>
      </c>
      <c r="AA181" s="99" t="n">
        <v>0</v>
      </c>
      <c r="AB181" s="99" t="n">
        <v>0</v>
      </c>
      <c r="AC181" s="99" t="n">
        <v>0</v>
      </c>
      <c r="AD181" s="99" t="n">
        <v>0</v>
      </c>
      <c r="AE181" s="99" t="n">
        <v>0</v>
      </c>
      <c r="AF181" s="66" t="n">
        <v>0.2235477930330205</v>
      </c>
      <c r="AG181" s="99" t="n">
        <v>0</v>
      </c>
    </row>
    <row r="182">
      <c r="A182" s="127" t="inlineStr">
        <is>
          <t>2024 Q2</t>
        </is>
      </c>
      <c r="B182" s="66" t="n">
        <v>0</v>
      </c>
      <c r="C182" s="66" t="n">
        <v>-0.003424321269875463</v>
      </c>
      <c r="D182" s="66" t="n">
        <v>0</v>
      </c>
      <c r="E182" s="66" t="n">
        <v>-0.07733315913097272</v>
      </c>
      <c r="F182" s="66" t="n">
        <v>0</v>
      </c>
      <c r="G182" s="66" t="n">
        <v>-0.02842278001665477</v>
      </c>
      <c r="H182" s="66" t="n">
        <v>0.231116552197534</v>
      </c>
      <c r="I182" s="66" t="n">
        <v>0.1638795251858483</v>
      </c>
      <c r="J182" s="66" t="n">
        <v>0</v>
      </c>
      <c r="K182" s="66" t="n">
        <v>-0.1419640622494853</v>
      </c>
      <c r="L182" s="66" t="n">
        <v>-0.2642644525549258</v>
      </c>
      <c r="M182" s="66" t="n">
        <v>0.01365445147430933</v>
      </c>
      <c r="N182" s="66" t="n">
        <v>0</v>
      </c>
      <c r="O182" s="66" t="n">
        <v>-0.03480564189138136</v>
      </c>
      <c r="P182" s="66" t="n">
        <v>0.007383753234051937</v>
      </c>
      <c r="Q182" s="66" t="n">
        <v>0</v>
      </c>
      <c r="R182" s="66" t="n">
        <v>0.115624232212383</v>
      </c>
      <c r="S182" s="66" t="n">
        <v>0</v>
      </c>
      <c r="T182" s="66" t="n">
        <v>0</v>
      </c>
      <c r="U182" s="66" t="n">
        <v>0</v>
      </c>
      <c r="V182" s="66" t="n">
        <v>0</v>
      </c>
      <c r="W182" s="66" t="n">
        <v>0</v>
      </c>
      <c r="X182" s="66" t="n">
        <v>0</v>
      </c>
      <c r="Y182" s="66" t="n">
        <v>0</v>
      </c>
      <c r="Z182" s="66" t="n">
        <v>0</v>
      </c>
      <c r="AA182" s="66" t="n">
        <v>0</v>
      </c>
      <c r="AB182" s="66" t="n">
        <v>0</v>
      </c>
      <c r="AC182" s="66" t="n">
        <v>0</v>
      </c>
      <c r="AD182" s="66" t="n">
        <v>0</v>
      </c>
      <c r="AE182" s="66" t="n">
        <v>0</v>
      </c>
      <c r="AF182" s="66" t="n">
        <v>0.2226198594576942</v>
      </c>
      <c r="AG182" s="66" t="n">
        <v>0</v>
      </c>
    </row>
    <row r="183">
      <c r="A183" s="127" t="inlineStr">
        <is>
          <t>2024 Q3</t>
        </is>
      </c>
      <c r="B183" s="66" t="n">
        <v>0</v>
      </c>
      <c r="C183" s="66" t="n">
        <v>-0.001273869884130363</v>
      </c>
      <c r="D183" s="66" t="n">
        <v>0</v>
      </c>
      <c r="E183" s="66" t="n">
        <v>-0.1347361520078039</v>
      </c>
      <c r="F183" s="66" t="n">
        <v>0</v>
      </c>
      <c r="G183" s="66" t="n">
        <v>-0.02776849556661887</v>
      </c>
      <c r="H183" s="66" t="n">
        <v>0.4050484604698283</v>
      </c>
      <c r="I183" s="66" t="n">
        <v>0.2157521141057259</v>
      </c>
      <c r="J183" s="66" t="n">
        <v>0</v>
      </c>
      <c r="K183" s="66" t="n">
        <v>-0.112028088374899</v>
      </c>
      <c r="L183" s="66" t="n">
        <v>-0.2404183689938577</v>
      </c>
      <c r="M183" s="66" t="n">
        <v>0.006735931765973646</v>
      </c>
      <c r="N183" s="66" t="n">
        <v>0</v>
      </c>
      <c r="O183" s="66" t="n">
        <v>-0.04256714632461467</v>
      </c>
      <c r="P183" s="66" t="n">
        <v>0.004641153983101276</v>
      </c>
      <c r="Q183" s="66" t="n">
        <v>0</v>
      </c>
      <c r="R183" s="66" t="n">
        <v>0.2292646485083765</v>
      </c>
      <c r="S183" s="66" t="n">
        <v>0</v>
      </c>
      <c r="T183" s="66" t="n">
        <v>0</v>
      </c>
      <c r="U183" s="66" t="n">
        <v>0</v>
      </c>
      <c r="V183" s="66" t="n">
        <v>0</v>
      </c>
      <c r="W183" s="66" t="n">
        <v>0</v>
      </c>
      <c r="X183" s="66" t="n">
        <v>0</v>
      </c>
      <c r="Y183" s="66" t="n">
        <v>0</v>
      </c>
      <c r="Z183" s="66" t="n">
        <v>0</v>
      </c>
      <c r="AA183" s="66" t="n">
        <v>0</v>
      </c>
      <c r="AB183" s="66" t="n">
        <v>0</v>
      </c>
      <c r="AC183" s="66" t="n">
        <v>0</v>
      </c>
      <c r="AD183" s="66" t="n">
        <v>0</v>
      </c>
      <c r="AE183" s="66" t="n">
        <v>0</v>
      </c>
      <c r="AF183" s="66" t="n">
        <v>0.2201209636814099</v>
      </c>
      <c r="AG183" s="66" t="n">
        <v>0</v>
      </c>
    </row>
    <row r="184">
      <c r="A184" s="127" t="inlineStr">
        <is>
          <t>2024 Q4</t>
        </is>
      </c>
      <c r="B184" s="66" t="n">
        <v>0</v>
      </c>
      <c r="C184" s="66" t="n">
        <v>-0.002856285576058326</v>
      </c>
      <c r="D184" s="66" t="n">
        <v>0</v>
      </c>
      <c r="E184" s="66" t="n">
        <v>0</v>
      </c>
      <c r="F184" s="66" t="n">
        <v>0</v>
      </c>
      <c r="G184" s="66" t="n">
        <v>0</v>
      </c>
      <c r="H184" s="66" t="n">
        <v>1.862186665736544</v>
      </c>
      <c r="I184" s="66" t="n">
        <v>0</v>
      </c>
      <c r="J184" s="66" t="n">
        <v>0</v>
      </c>
      <c r="K184" s="66" t="n">
        <v>-0.08367289914548337</v>
      </c>
      <c r="L184" s="66" t="n">
        <v>-0.300569965097452</v>
      </c>
      <c r="M184" s="66" t="n">
        <v>-0.0007602433736906278</v>
      </c>
      <c r="N184" s="66" t="n">
        <v>0</v>
      </c>
      <c r="O184" s="66" t="n">
        <v>-0.03623478139550684</v>
      </c>
      <c r="P184" s="66" t="n">
        <v>-0.08407155770069608</v>
      </c>
      <c r="Q184" s="66" t="n">
        <v>0</v>
      </c>
      <c r="R184" s="66" t="n">
        <v>0.2007376987947964</v>
      </c>
      <c r="S184" s="66" t="n">
        <v>0</v>
      </c>
      <c r="T184" s="66" t="n">
        <v>0</v>
      </c>
      <c r="U184" s="66" t="n">
        <v>0</v>
      </c>
      <c r="V184" s="66" t="n">
        <v>0</v>
      </c>
      <c r="W184" s="66" t="n">
        <v>0</v>
      </c>
      <c r="X184" s="66" t="n">
        <v>0</v>
      </c>
      <c r="Y184" s="66" t="n">
        <v>0</v>
      </c>
      <c r="Z184" s="66" t="n">
        <v>0</v>
      </c>
      <c r="AA184" s="66" t="n">
        <v>0</v>
      </c>
      <c r="AB184" s="66" t="n">
        <v>0</v>
      </c>
      <c r="AC184" s="66" t="n">
        <v>0</v>
      </c>
      <c r="AD184" s="66" t="n">
        <v>0</v>
      </c>
      <c r="AE184" s="66" t="n">
        <v>0</v>
      </c>
      <c r="AF184" s="66" t="n">
        <v>0.1543830026897126</v>
      </c>
      <c r="AG184" s="66" t="n">
        <v>0</v>
      </c>
    </row>
    <row r="185">
      <c r="A185" s="127" t="inlineStr">
        <is>
          <t>2025 Q1</t>
        </is>
      </c>
      <c r="B185" s="123" t="n">
        <v>0</v>
      </c>
      <c r="C185" s="124" t="n">
        <v>-0.001099940729858417</v>
      </c>
      <c r="D185" s="124" t="n">
        <v>0</v>
      </c>
      <c r="E185" s="124" t="n">
        <v>0</v>
      </c>
      <c r="F185" s="124" t="n">
        <v>0</v>
      </c>
      <c r="G185" s="123" t="n">
        <v>0</v>
      </c>
      <c r="H185" s="124" t="n">
        <v>2.449966429975291</v>
      </c>
      <c r="I185" s="124" t="n">
        <v>0</v>
      </c>
      <c r="J185" s="124" t="n">
        <v>0</v>
      </c>
      <c r="K185" s="124" t="n">
        <v>-0.07910827868590786</v>
      </c>
      <c r="L185" s="123" t="n">
        <v>-0.3731639741382651</v>
      </c>
      <c r="M185" s="123" t="n">
        <v>0.009196501614525232</v>
      </c>
      <c r="N185" s="124" t="n">
        <v>0</v>
      </c>
      <c r="O185" s="123" t="n">
        <v>-0.02676829466287245</v>
      </c>
      <c r="P185" s="123" t="n">
        <v>-0.08910373376417624</v>
      </c>
      <c r="Q185" s="124" t="n">
        <v>0</v>
      </c>
      <c r="R185" s="124" t="n">
        <v>0.250915248079906</v>
      </c>
      <c r="S185" s="124" t="n">
        <v>0</v>
      </c>
      <c r="T185" s="124" t="n">
        <v>0</v>
      </c>
      <c r="U185" s="124" t="n">
        <v>0</v>
      </c>
      <c r="V185" s="124" t="n">
        <v>0</v>
      </c>
      <c r="W185" s="124" t="n">
        <v>0</v>
      </c>
      <c r="X185" s="124" t="n">
        <v>0</v>
      </c>
      <c r="Y185" s="124" t="n">
        <v>0</v>
      </c>
      <c r="Z185" s="124" t="n">
        <v>0</v>
      </c>
      <c r="AA185" s="123" t="n">
        <v>0</v>
      </c>
      <c r="AB185" s="123" t="n">
        <v>0</v>
      </c>
      <c r="AC185" s="123" t="n">
        <v>0</v>
      </c>
      <c r="AD185" s="123" t="n">
        <v>0</v>
      </c>
      <c r="AE185" s="123" t="n">
        <v>0</v>
      </c>
      <c r="AF185" s="123" t="n">
        <v>0.00103566466057714</v>
      </c>
      <c r="AG185" s="123" t="n">
        <v>0</v>
      </c>
    </row>
    <row r="186">
      <c r="B186" t="n">
        <v>0</v>
      </c>
    </row>
    <row r="187">
      <c r="B187" t="n">
        <v>0</v>
      </c>
    </row>
    <row r="188">
      <c r="A188" s="129" t="inlineStr">
        <is>
          <t>KMX</t>
        </is>
      </c>
      <c r="B188" t="n">
        <v>0</v>
      </c>
    </row>
    <row r="189" ht="45" customHeight="1" s="115">
      <c r="A189" s="128" t="inlineStr">
        <is>
          <t>Vintage</t>
        </is>
      </c>
      <c r="B189" s="123" t="n">
        <v>0</v>
      </c>
      <c r="C189" s="123" t="inlineStr">
        <is>
          <t>Previous ACA chargeoff</t>
        </is>
      </c>
      <c r="D189" s="123" t="inlineStr">
        <is>
          <t>Small amount financed</t>
        </is>
      </c>
      <c r="E189" s="123" t="inlineStr">
        <is>
          <t>Zero cash down</t>
        </is>
      </c>
      <c r="F189" s="123" t="inlineStr">
        <is>
          <t>High mileage vehicle</t>
        </is>
      </c>
      <c r="G189" s="123" t="inlineStr">
        <is>
          <t>High PTI</t>
        </is>
      </c>
      <c r="H189" s="123" t="inlineStr">
        <is>
          <t>Car make</t>
        </is>
      </c>
      <c r="I189" s="123" t="inlineStr">
        <is>
          <t>Theft risk</t>
        </is>
      </c>
      <c r="J189" s="124" t="inlineStr">
        <is>
          <t>MCY high model score, low mileage</t>
        </is>
      </c>
      <c r="K189" s="123" t="inlineStr">
        <is>
          <t>Weekday/weekend decision</t>
        </is>
      </c>
      <c r="L189" s="123" t="inlineStr">
        <is>
          <t>Secured credit (Chime, etc.)</t>
        </is>
      </c>
      <c r="M189" s="123" t="inlineStr">
        <is>
          <t>Employment type</t>
        </is>
      </c>
      <c r="N189" s="124" t="inlineStr">
        <is>
          <t>High cash down EchoPark</t>
        </is>
      </c>
      <c r="O189" s="123" t="inlineStr">
        <is>
          <t>Authorized tradelines</t>
        </is>
      </c>
      <c r="P189" s="123" t="inlineStr">
        <is>
          <t>Clip</t>
        </is>
      </c>
      <c r="Q189" s="123" t="inlineStr">
        <is>
          <t>Vehicle Age</t>
        </is>
      </c>
      <c r="R189" s="123" t="inlineStr">
        <is>
          <t>Dealer Level (Non-KMX)</t>
        </is>
      </c>
      <c r="S189" s="123" t="inlineStr">
        <is>
          <t>Mileage/age</t>
        </is>
      </c>
      <c r="T189" s="123" t="inlineStr">
        <is>
          <t>Japanese</t>
        </is>
      </c>
      <c r="U189" s="123" t="inlineStr">
        <is>
          <t>Vehicle class</t>
        </is>
      </c>
      <c r="V189" s="123" t="inlineStr">
        <is>
          <t>Fuel type</t>
        </is>
      </c>
      <c r="W189" s="123" t="inlineStr">
        <is>
          <t>Luxury classification</t>
        </is>
      </c>
      <c r="X189" s="123" t="inlineStr">
        <is>
          <t>LOB</t>
        </is>
      </c>
      <c r="Y189" s="123" t="inlineStr">
        <is>
          <t>Driver flag</t>
        </is>
      </c>
      <c r="Z189" s="124" t="inlineStr">
        <is>
          <t>Impound probability</t>
        </is>
      </c>
      <c r="AA189" s="124" t="inlineStr">
        <is>
          <t>Job time</t>
        </is>
      </c>
      <c r="AB189" s="124" t="inlineStr">
        <is>
          <t>Low FICO</t>
        </is>
      </c>
      <c r="AC189" s="124" t="inlineStr">
        <is>
          <t>Low Vantage</t>
        </is>
      </c>
      <c r="AD189" s="124" t="inlineStr">
        <is>
          <t>Louisiana</t>
        </is>
      </c>
      <c r="AE189" s="124" t="inlineStr">
        <is>
          <t>Existing DQ</t>
        </is>
      </c>
      <c r="AF189" s="123" t="inlineStr">
        <is>
          <t>Null FICO with Vantage</t>
        </is>
      </c>
      <c r="AG189" s="124" t="inlineStr">
        <is>
          <t>Soft Pull</t>
        </is>
      </c>
    </row>
    <row r="190">
      <c r="A190" s="127" t="inlineStr">
        <is>
          <t>2016 Q1</t>
        </is>
      </c>
      <c r="B190" s="66" t="n">
        <v>0</v>
      </c>
      <c r="C190" s="99" t="n">
        <v>0</v>
      </c>
      <c r="D190" s="99" t="n">
        <v>0</v>
      </c>
      <c r="E190" s="99" t="n">
        <v>0</v>
      </c>
      <c r="F190" s="99" t="n">
        <v>0</v>
      </c>
      <c r="G190" s="66" t="n">
        <v>-0.4293524066516738</v>
      </c>
      <c r="H190" s="99" t="n">
        <v>0</v>
      </c>
      <c r="I190" s="99" t="n">
        <v>0</v>
      </c>
      <c r="J190" s="99" t="n">
        <v>0</v>
      </c>
      <c r="K190" s="99" t="n">
        <v>0</v>
      </c>
      <c r="L190" s="66" t="n">
        <v>-0.2351477243485078</v>
      </c>
      <c r="M190" s="66" t="n">
        <v>0</v>
      </c>
      <c r="N190" s="99" t="n">
        <v>0</v>
      </c>
      <c r="O190" s="66" t="n">
        <v>0.004253641683050091</v>
      </c>
      <c r="P190" s="66" t="n">
        <v>0.1014412181612556</v>
      </c>
      <c r="Q190" s="99" t="n">
        <v>1.996250366585286</v>
      </c>
      <c r="R190" s="99" t="n">
        <v>0</v>
      </c>
      <c r="S190" s="99" t="n">
        <v>0</v>
      </c>
      <c r="T190" s="99" t="n">
        <v>0</v>
      </c>
      <c r="U190" s="99" t="n">
        <v>0</v>
      </c>
      <c r="V190" s="99" t="n">
        <v>0</v>
      </c>
      <c r="W190" s="99" t="n">
        <v>0</v>
      </c>
      <c r="X190" s="99" t="n">
        <v>0</v>
      </c>
      <c r="Y190" s="99" t="n">
        <v>0</v>
      </c>
      <c r="Z190" s="99" t="n">
        <v>0</v>
      </c>
      <c r="AA190" s="66" t="n">
        <v>-0.6125497364804176</v>
      </c>
      <c r="AB190" s="66" t="n">
        <v>-0.1834793141077284</v>
      </c>
      <c r="AC190" s="66" t="n">
        <v>-0.007985341227993104</v>
      </c>
      <c r="AD190" s="66" t="n">
        <v>-0.1142044546768943</v>
      </c>
      <c r="AE190" s="66" t="n">
        <v>-0.2027503138457689</v>
      </c>
      <c r="AF190" s="66" t="n">
        <v>-0.1519185735501765</v>
      </c>
      <c r="AG190" s="66" t="n">
        <v>0.4225090822215236</v>
      </c>
    </row>
    <row r="191">
      <c r="A191" s="127" t="inlineStr">
        <is>
          <t>2016 Q2</t>
        </is>
      </c>
      <c r="B191" s="66" t="n">
        <v>0</v>
      </c>
      <c r="C191" s="99" t="n">
        <v>0</v>
      </c>
      <c r="D191" s="99" t="n">
        <v>0</v>
      </c>
      <c r="E191" s="99" t="n">
        <v>0</v>
      </c>
      <c r="F191" s="99" t="n">
        <v>0</v>
      </c>
      <c r="G191" s="66" t="n">
        <v>-0.2878754084782997</v>
      </c>
      <c r="H191" s="99" t="n">
        <v>0</v>
      </c>
      <c r="I191" s="99" t="n">
        <v>0</v>
      </c>
      <c r="J191" s="99" t="n">
        <v>0</v>
      </c>
      <c r="K191" s="99" t="n">
        <v>0</v>
      </c>
      <c r="L191" s="66" t="n">
        <v>0.123152907625979</v>
      </c>
      <c r="M191" s="66" t="n">
        <v>0</v>
      </c>
      <c r="N191" s="99" t="n">
        <v>0</v>
      </c>
      <c r="O191" s="66" t="n">
        <v>0.1713142423384397</v>
      </c>
      <c r="P191" s="66" t="n">
        <v>0.04925407869777132</v>
      </c>
      <c r="Q191" s="99" t="n">
        <v>1.880248504000207</v>
      </c>
      <c r="R191" s="99" t="n">
        <v>0</v>
      </c>
      <c r="S191" s="99" t="n">
        <v>0</v>
      </c>
      <c r="T191" s="99" t="n">
        <v>0</v>
      </c>
      <c r="U191" s="99" t="n">
        <v>0</v>
      </c>
      <c r="V191" s="99" t="n">
        <v>0</v>
      </c>
      <c r="W191" s="99" t="n">
        <v>0</v>
      </c>
      <c r="X191" s="99" t="n">
        <v>0</v>
      </c>
      <c r="Y191" s="99" t="n">
        <v>0</v>
      </c>
      <c r="Z191" s="99" t="n">
        <v>0</v>
      </c>
      <c r="AA191" s="66" t="n">
        <v>-0.7123291141989228</v>
      </c>
      <c r="AB191" s="66" t="n">
        <v>-0.2028520217280061</v>
      </c>
      <c r="AC191" s="66" t="n">
        <v>-0.003836492542603764</v>
      </c>
      <c r="AD191" s="66" t="n">
        <v>-0.08662586092495417</v>
      </c>
      <c r="AE191" s="66" t="n">
        <v>-0.01353493250243787</v>
      </c>
      <c r="AF191" s="66" t="n">
        <v>0.1325698519053162</v>
      </c>
      <c r="AG191" s="66" t="n">
        <v>0.3944486574955306</v>
      </c>
    </row>
    <row r="192">
      <c r="A192" s="127" t="inlineStr">
        <is>
          <t>2016 Q3</t>
        </is>
      </c>
      <c r="B192" s="66" t="n">
        <v>0</v>
      </c>
      <c r="C192" s="99" t="n">
        <v>0</v>
      </c>
      <c r="D192" s="99" t="n">
        <v>0</v>
      </c>
      <c r="E192" s="99" t="n">
        <v>0</v>
      </c>
      <c r="F192" s="99" t="n">
        <v>0</v>
      </c>
      <c r="G192" s="66" t="n">
        <v>-0.3509782588429573</v>
      </c>
      <c r="H192" s="99" t="n">
        <v>0</v>
      </c>
      <c r="I192" s="99" t="n">
        <v>0</v>
      </c>
      <c r="J192" s="99" t="n">
        <v>0</v>
      </c>
      <c r="K192" s="99" t="n">
        <v>0</v>
      </c>
      <c r="L192" s="66" t="n">
        <v>0.2009262239940028</v>
      </c>
      <c r="M192" s="66" t="n">
        <v>0</v>
      </c>
      <c r="N192" s="99" t="n">
        <v>0</v>
      </c>
      <c r="O192" s="66" t="n">
        <v>0.2009262239940028</v>
      </c>
      <c r="P192" s="66" t="n">
        <v>0.03223681506875664</v>
      </c>
      <c r="Q192" s="99" t="n">
        <v>1.761875392380063</v>
      </c>
      <c r="R192" s="99" t="n">
        <v>0</v>
      </c>
      <c r="S192" s="99" t="n">
        <v>0</v>
      </c>
      <c r="T192" s="99" t="n">
        <v>0</v>
      </c>
      <c r="U192" s="99" t="n">
        <v>0</v>
      </c>
      <c r="V192" s="99" t="n">
        <v>0</v>
      </c>
      <c r="W192" s="99" t="n">
        <v>0</v>
      </c>
      <c r="X192" s="99" t="n">
        <v>0</v>
      </c>
      <c r="Y192" s="99" t="n">
        <v>0</v>
      </c>
      <c r="Z192" s="99" t="n">
        <v>0</v>
      </c>
      <c r="AA192" s="66" t="n">
        <v>-0.8214581155926624</v>
      </c>
      <c r="AB192" s="66" t="n">
        <v>-0.2166561638013889</v>
      </c>
      <c r="AC192" s="66" t="n">
        <v>0</v>
      </c>
      <c r="AD192" s="66" t="n">
        <v>-0.1078736476714823</v>
      </c>
      <c r="AE192" s="66" t="n">
        <v>0</v>
      </c>
      <c r="AF192" s="66" t="n">
        <v>0.1727038608715077</v>
      </c>
      <c r="AG192" s="66" t="n">
        <v>0.3855844975713012</v>
      </c>
    </row>
    <row r="193">
      <c r="A193" s="127" t="inlineStr">
        <is>
          <t>2016 Q4</t>
        </is>
      </c>
      <c r="B193" s="66" t="n">
        <v>0</v>
      </c>
      <c r="C193" s="99" t="n">
        <v>0</v>
      </c>
      <c r="D193" s="99" t="n">
        <v>0</v>
      </c>
      <c r="E193" s="99" t="n">
        <v>0</v>
      </c>
      <c r="F193" s="99" t="n">
        <v>0</v>
      </c>
      <c r="G193" s="66" t="n">
        <v>-0.3407323128247413</v>
      </c>
      <c r="H193" s="99" t="n">
        <v>0</v>
      </c>
      <c r="I193" s="99" t="n">
        <v>0</v>
      </c>
      <c r="J193" s="99" t="n">
        <v>0</v>
      </c>
      <c r="K193" s="99" t="n">
        <v>0</v>
      </c>
      <c r="L193" s="66" t="n">
        <v>0.1986441803850596</v>
      </c>
      <c r="M193" s="66" t="n">
        <v>0</v>
      </c>
      <c r="N193" s="99" t="n">
        <v>0</v>
      </c>
      <c r="O193" s="66" t="n">
        <v>0.1986441803850596</v>
      </c>
      <c r="P193" s="66" t="n">
        <v>0.06870769133800536</v>
      </c>
      <c r="Q193" s="99" t="n">
        <v>1.8204951885767</v>
      </c>
      <c r="R193" s="99" t="n">
        <v>0</v>
      </c>
      <c r="S193" s="99" t="n">
        <v>0</v>
      </c>
      <c r="T193" s="99" t="n">
        <v>0</v>
      </c>
      <c r="U193" s="99" t="n">
        <v>0</v>
      </c>
      <c r="V193" s="99" t="n">
        <v>0</v>
      </c>
      <c r="W193" s="99" t="n">
        <v>0</v>
      </c>
      <c r="X193" s="99" t="n">
        <v>0</v>
      </c>
      <c r="Y193" s="99" t="n">
        <v>0</v>
      </c>
      <c r="Z193" s="99" t="n">
        <v>0</v>
      </c>
      <c r="AA193" s="66" t="n">
        <v>-0.8291724915077339</v>
      </c>
      <c r="AB193" s="66" t="n">
        <v>-0.2349925399405777</v>
      </c>
      <c r="AC193" s="66" t="n">
        <v>0</v>
      </c>
      <c r="AD193" s="66" t="n">
        <v>-0.1477195618294047</v>
      </c>
      <c r="AE193" s="66" t="n">
        <v>0</v>
      </c>
      <c r="AF193" s="66" t="n">
        <v>0.1733794400284694</v>
      </c>
      <c r="AG193" s="66" t="n">
        <v>0.3791397442105051</v>
      </c>
    </row>
    <row r="194">
      <c r="A194" s="127" t="inlineStr">
        <is>
          <t>2017 Q1</t>
        </is>
      </c>
      <c r="B194" s="66" t="n">
        <v>0</v>
      </c>
      <c r="C194" s="99" t="n">
        <v>0</v>
      </c>
      <c r="D194" s="99" t="n">
        <v>0</v>
      </c>
      <c r="E194" s="99" t="n">
        <v>0</v>
      </c>
      <c r="F194" s="99" t="n">
        <v>0</v>
      </c>
      <c r="G194" s="66" t="n">
        <v>-0.2986199619819843</v>
      </c>
      <c r="H194" s="99" t="n">
        <v>0</v>
      </c>
      <c r="I194" s="99" t="n">
        <v>0</v>
      </c>
      <c r="J194" s="99" t="n">
        <v>0</v>
      </c>
      <c r="K194" s="99" t="n">
        <v>0</v>
      </c>
      <c r="L194" s="66" t="n">
        <v>0.1973708782585675</v>
      </c>
      <c r="M194" s="66" t="n">
        <v>0</v>
      </c>
      <c r="N194" s="99" t="n">
        <v>0</v>
      </c>
      <c r="O194" s="66" t="n">
        <v>0.1376830758577512</v>
      </c>
      <c r="P194" s="66" t="n">
        <v>0.0518913850153524</v>
      </c>
      <c r="Q194" s="99" t="n">
        <v>1.817946428332618</v>
      </c>
      <c r="R194" s="99" t="n">
        <v>0</v>
      </c>
      <c r="S194" s="99" t="n">
        <v>0</v>
      </c>
      <c r="T194" s="99" t="n">
        <v>0</v>
      </c>
      <c r="U194" s="99" t="n">
        <v>0</v>
      </c>
      <c r="V194" s="99" t="n">
        <v>0</v>
      </c>
      <c r="W194" s="99" t="n">
        <v>0</v>
      </c>
      <c r="X194" s="99" t="n">
        <v>0</v>
      </c>
      <c r="Y194" s="99" t="n">
        <v>0</v>
      </c>
      <c r="Z194" s="99" t="n">
        <v>0</v>
      </c>
      <c r="AA194" s="66" t="n">
        <v>-0.7123233900921662</v>
      </c>
      <c r="AB194" s="66" t="n">
        <v>-0.2671837548295173</v>
      </c>
      <c r="AC194" s="66" t="n">
        <v>0</v>
      </c>
      <c r="AD194" s="66" t="n">
        <v>-0.1313662944379246</v>
      </c>
      <c r="AE194" s="66" t="n">
        <v>0</v>
      </c>
      <c r="AF194" s="66" t="n">
        <v>0.1702602029270395</v>
      </c>
      <c r="AG194" s="66" t="n">
        <v>0.3964966123484146</v>
      </c>
    </row>
    <row r="195">
      <c r="A195" s="127" t="inlineStr">
        <is>
          <t>2017 Q2</t>
        </is>
      </c>
      <c r="B195" s="66" t="n">
        <v>0</v>
      </c>
      <c r="C195" s="99" t="n">
        <v>0</v>
      </c>
      <c r="D195" s="99" t="n">
        <v>0</v>
      </c>
      <c r="E195" s="99" t="n">
        <v>0</v>
      </c>
      <c r="F195" s="99" t="n">
        <v>0</v>
      </c>
      <c r="G195" s="66" t="n">
        <v>-0.2850403729505331</v>
      </c>
      <c r="H195" s="99" t="n">
        <v>0</v>
      </c>
      <c r="I195" s="99" t="n">
        <v>0</v>
      </c>
      <c r="J195" s="99" t="n">
        <v>0</v>
      </c>
      <c r="K195" s="99" t="n">
        <v>0</v>
      </c>
      <c r="L195" s="66" t="n">
        <v>0.1972507354499555</v>
      </c>
      <c r="M195" s="66" t="n">
        <v>0</v>
      </c>
      <c r="N195" s="99" t="n">
        <v>0</v>
      </c>
      <c r="O195" s="66" t="n">
        <v>0.142891357892438</v>
      </c>
      <c r="P195" s="66" t="n">
        <v>0.04776533909492287</v>
      </c>
      <c r="Q195" s="99" t="n">
        <v>1.786190679224916</v>
      </c>
      <c r="R195" s="99" t="n">
        <v>0</v>
      </c>
      <c r="S195" s="99" t="n">
        <v>0</v>
      </c>
      <c r="T195" s="99" t="n">
        <v>0</v>
      </c>
      <c r="U195" s="99" t="n">
        <v>0</v>
      </c>
      <c r="V195" s="99" t="n">
        <v>0</v>
      </c>
      <c r="W195" s="99" t="n">
        <v>0</v>
      </c>
      <c r="X195" s="99" t="n">
        <v>0</v>
      </c>
      <c r="Y195" s="99" t="n">
        <v>0</v>
      </c>
      <c r="Z195" s="99" t="n">
        <v>0</v>
      </c>
      <c r="AA195" s="66" t="n">
        <v>-0.7198362865245826</v>
      </c>
      <c r="AB195" s="66" t="n">
        <v>-0.2164509445351825</v>
      </c>
      <c r="AC195" s="66" t="n">
        <v>0</v>
      </c>
      <c r="AD195" s="66" t="n">
        <v>-0.09534531930506773</v>
      </c>
      <c r="AE195" s="66" t="n">
        <v>0</v>
      </c>
      <c r="AF195" s="66" t="n">
        <v>0.1711654253215329</v>
      </c>
      <c r="AG195" s="66" t="n">
        <v>0.3947914533704306</v>
      </c>
    </row>
    <row r="196">
      <c r="A196" s="127" t="inlineStr">
        <is>
          <t>2017 Q3</t>
        </is>
      </c>
      <c r="B196" s="66" t="n">
        <v>0</v>
      </c>
      <c r="C196" s="99" t="n">
        <v>0</v>
      </c>
      <c r="D196" s="99" t="n">
        <v>0</v>
      </c>
      <c r="E196" s="99" t="n">
        <v>0</v>
      </c>
      <c r="F196" s="99" t="n">
        <v>0</v>
      </c>
      <c r="G196" s="66" t="n">
        <v>-0.2920833525975866</v>
      </c>
      <c r="H196" s="99" t="n">
        <v>0</v>
      </c>
      <c r="I196" s="99" t="n">
        <v>0</v>
      </c>
      <c r="J196" s="99" t="n">
        <v>0</v>
      </c>
      <c r="K196" s="99" t="n">
        <v>0</v>
      </c>
      <c r="L196" s="66" t="n">
        <v>0.1989696488419384</v>
      </c>
      <c r="M196" s="66" t="n">
        <v>0</v>
      </c>
      <c r="N196" s="99" t="n">
        <v>0</v>
      </c>
      <c r="O196" s="66" t="n">
        <v>0.1526097338272336</v>
      </c>
      <c r="P196" s="66" t="n">
        <v>0.04485794090331297</v>
      </c>
      <c r="Q196" s="99" t="n">
        <v>1.767449163182505</v>
      </c>
      <c r="R196" s="99" t="n">
        <v>0</v>
      </c>
      <c r="S196" s="99" t="n">
        <v>0</v>
      </c>
      <c r="T196" s="99" t="n">
        <v>0</v>
      </c>
      <c r="U196" s="99" t="n">
        <v>0</v>
      </c>
      <c r="V196" s="99" t="n">
        <v>0</v>
      </c>
      <c r="W196" s="99" t="n">
        <v>0</v>
      </c>
      <c r="X196" s="99" t="n">
        <v>0</v>
      </c>
      <c r="Y196" s="99" t="n">
        <v>0</v>
      </c>
      <c r="Z196" s="99" t="n">
        <v>0</v>
      </c>
      <c r="AA196" s="66" t="n">
        <v>-0.8067195047102302</v>
      </c>
      <c r="AB196" s="66" t="n">
        <v>-0.2236146234843375</v>
      </c>
      <c r="AC196" s="66" t="n">
        <v>0</v>
      </c>
      <c r="AD196" s="66" t="n">
        <v>-0.06948496182906183</v>
      </c>
      <c r="AE196" s="66" t="n">
        <v>0</v>
      </c>
      <c r="AF196" s="66" t="n">
        <v>0.1757637880967593</v>
      </c>
      <c r="AG196" s="66" t="n">
        <v>0.3846704402807859</v>
      </c>
    </row>
    <row r="197">
      <c r="A197" s="127" t="inlineStr">
        <is>
          <t>2017 Q4</t>
        </is>
      </c>
      <c r="B197" s="66" t="n">
        <v>0</v>
      </c>
      <c r="C197" s="99" t="n">
        <v>0</v>
      </c>
      <c r="D197" s="99" t="n">
        <v>0</v>
      </c>
      <c r="E197" s="99" t="n">
        <v>0</v>
      </c>
      <c r="F197" s="99" t="n">
        <v>0</v>
      </c>
      <c r="G197" s="66" t="n">
        <v>-0.3158022379462295</v>
      </c>
      <c r="H197" s="99" t="n">
        <v>0</v>
      </c>
      <c r="I197" s="99" t="n">
        <v>0</v>
      </c>
      <c r="J197" s="99" t="n">
        <v>0</v>
      </c>
      <c r="K197" s="99" t="n">
        <v>0</v>
      </c>
      <c r="L197" s="66" t="n">
        <v>0.1999831844805442</v>
      </c>
      <c r="M197" s="66" t="n">
        <v>0</v>
      </c>
      <c r="N197" s="99" t="n">
        <v>0</v>
      </c>
      <c r="O197" s="66" t="n">
        <v>0.1602610982889132</v>
      </c>
      <c r="P197" s="66" t="n">
        <v>0.04375377853369855</v>
      </c>
      <c r="Q197" s="99" t="n">
        <v>1.730174941221293</v>
      </c>
      <c r="R197" s="99" t="n">
        <v>0</v>
      </c>
      <c r="S197" s="99" t="n">
        <v>0</v>
      </c>
      <c r="T197" s="99" t="n">
        <v>0</v>
      </c>
      <c r="U197" s="99" t="n">
        <v>0</v>
      </c>
      <c r="V197" s="99" t="n">
        <v>0</v>
      </c>
      <c r="W197" s="99" t="n">
        <v>0</v>
      </c>
      <c r="X197" s="99" t="n">
        <v>0</v>
      </c>
      <c r="Y197" s="99" t="n">
        <v>0</v>
      </c>
      <c r="Z197" s="99" t="n">
        <v>0</v>
      </c>
      <c r="AA197" s="66" t="n">
        <v>-0.9087703011489623</v>
      </c>
      <c r="AB197" s="66" t="n">
        <v>-0.2298819849882818</v>
      </c>
      <c r="AC197" s="66" t="n">
        <v>0</v>
      </c>
      <c r="AD197" s="66" t="n">
        <v>-0.07065681253752132</v>
      </c>
      <c r="AE197" s="66" t="n">
        <v>0</v>
      </c>
      <c r="AF197" s="66" t="n">
        <v>0.177414442876227</v>
      </c>
      <c r="AG197" s="66" t="n">
        <v>0.3736817455776986</v>
      </c>
    </row>
    <row r="198">
      <c r="A198" s="127" t="inlineStr">
        <is>
          <t>2018 Q1</t>
        </is>
      </c>
      <c r="B198" s="66" t="n">
        <v>0</v>
      </c>
      <c r="C198" s="99" t="n">
        <v>0</v>
      </c>
      <c r="D198" s="99" t="n">
        <v>0</v>
      </c>
      <c r="E198" s="99" t="n">
        <v>0</v>
      </c>
      <c r="F198" s="99" t="n">
        <v>0</v>
      </c>
      <c r="G198" s="66" t="n">
        <v>-0.2662685540879863</v>
      </c>
      <c r="H198" s="99" t="n">
        <v>0</v>
      </c>
      <c r="I198" s="99" t="n">
        <v>0</v>
      </c>
      <c r="J198" s="99" t="n">
        <v>0</v>
      </c>
      <c r="K198" s="99" t="n">
        <v>0</v>
      </c>
      <c r="L198" s="66" t="n">
        <v>0.1989349898821331</v>
      </c>
      <c r="M198" s="66" t="n">
        <v>0</v>
      </c>
      <c r="N198" s="99" t="n">
        <v>0</v>
      </c>
      <c r="O198" s="66" t="n">
        <v>0.1409298789928357</v>
      </c>
      <c r="P198" s="66" t="n">
        <v>0.05054734277661055</v>
      </c>
      <c r="Q198" s="99" t="n">
        <v>1.692410751716977</v>
      </c>
      <c r="R198" s="99" t="n">
        <v>0</v>
      </c>
      <c r="S198" s="99" t="n">
        <v>0</v>
      </c>
      <c r="T198" s="99" t="n">
        <v>0</v>
      </c>
      <c r="U198" s="99" t="n">
        <v>0</v>
      </c>
      <c r="V198" s="99" t="n">
        <v>0</v>
      </c>
      <c r="W198" s="99" t="n">
        <v>0</v>
      </c>
      <c r="X198" s="99" t="n">
        <v>0</v>
      </c>
      <c r="Y198" s="99" t="n">
        <v>0</v>
      </c>
      <c r="Z198" s="99" t="n">
        <v>0</v>
      </c>
      <c r="AA198" s="66" t="n">
        <v>-0.7921387024719024</v>
      </c>
      <c r="AB198" s="66" t="n">
        <v>-0.2519975290953766</v>
      </c>
      <c r="AC198" s="66" t="n">
        <v>0</v>
      </c>
      <c r="AD198" s="66" t="n">
        <v>-0.1043086808403473</v>
      </c>
      <c r="AE198" s="66" t="n">
        <v>0</v>
      </c>
      <c r="AF198" s="66" t="n">
        <v>0.1756804947196713</v>
      </c>
      <c r="AG198" s="66" t="n">
        <v>0.3889328921028721</v>
      </c>
    </row>
    <row r="199">
      <c r="A199" s="127" t="inlineStr">
        <is>
          <t>2018 Q2</t>
        </is>
      </c>
      <c r="B199" s="66" t="n">
        <v>0</v>
      </c>
      <c r="C199" s="99" t="n">
        <v>0</v>
      </c>
      <c r="D199" s="99" t="n">
        <v>0</v>
      </c>
      <c r="E199" s="99" t="n">
        <v>0</v>
      </c>
      <c r="F199" s="99" t="n">
        <v>0</v>
      </c>
      <c r="G199" s="66" t="n">
        <v>-0.2606634795008631</v>
      </c>
      <c r="H199" s="99" t="n">
        <v>0</v>
      </c>
      <c r="I199" s="99" t="n">
        <v>0</v>
      </c>
      <c r="J199" s="99" t="n">
        <v>0</v>
      </c>
      <c r="K199" s="99" t="n">
        <v>0</v>
      </c>
      <c r="L199" s="66" t="n">
        <v>0.1980405823392175</v>
      </c>
      <c r="M199" s="66" t="n">
        <v>0</v>
      </c>
      <c r="N199" s="99" t="n">
        <v>0</v>
      </c>
      <c r="O199" s="66" t="n">
        <v>0.1296804921336161</v>
      </c>
      <c r="P199" s="66" t="n">
        <v>0.04555872438069741</v>
      </c>
      <c r="Q199" s="99" t="n">
        <v>1.731738119326508</v>
      </c>
      <c r="R199" s="99" t="n">
        <v>0</v>
      </c>
      <c r="S199" s="99" t="n">
        <v>0</v>
      </c>
      <c r="T199" s="99" t="n">
        <v>0</v>
      </c>
      <c r="U199" s="99" t="n">
        <v>0</v>
      </c>
      <c r="V199" s="99" t="n">
        <v>0</v>
      </c>
      <c r="W199" s="99" t="n">
        <v>0</v>
      </c>
      <c r="X199" s="99" t="n">
        <v>0</v>
      </c>
      <c r="Y199" s="99" t="n">
        <v>0</v>
      </c>
      <c r="Z199" s="99" t="n">
        <v>0</v>
      </c>
      <c r="AA199" s="66" t="n">
        <v>-0.8248665685582921</v>
      </c>
      <c r="AB199" s="66" t="n">
        <v>-0.1918639009419394</v>
      </c>
      <c r="AC199" s="66" t="n">
        <v>0</v>
      </c>
      <c r="AD199" s="66" t="n">
        <v>-0.07761868732353605</v>
      </c>
      <c r="AE199" s="66" t="n">
        <v>0</v>
      </c>
      <c r="AF199" s="66" t="n">
        <v>0.1759009647535663</v>
      </c>
      <c r="AG199" s="66" t="n">
        <v>0.3821998575446344</v>
      </c>
    </row>
    <row r="200">
      <c r="A200" s="127" t="inlineStr">
        <is>
          <t>2018 Q3</t>
        </is>
      </c>
      <c r="B200" s="66" t="n">
        <v>0</v>
      </c>
      <c r="C200" s="99" t="n">
        <v>0</v>
      </c>
      <c r="D200" s="99" t="n">
        <v>0</v>
      </c>
      <c r="E200" s="99" t="n">
        <v>0</v>
      </c>
      <c r="F200" s="99" t="n">
        <v>0</v>
      </c>
      <c r="G200" s="66" t="n">
        <v>-0.2466741535181995</v>
      </c>
      <c r="H200" s="99" t="n">
        <v>0</v>
      </c>
      <c r="I200" s="99" t="n">
        <v>0</v>
      </c>
      <c r="J200" s="99" t="n">
        <v>0</v>
      </c>
      <c r="K200" s="99" t="n">
        <v>0</v>
      </c>
      <c r="L200" s="66" t="n">
        <v>0.1995673583824384</v>
      </c>
      <c r="M200" s="66" t="n">
        <v>0</v>
      </c>
      <c r="N200" s="99" t="n">
        <v>0</v>
      </c>
      <c r="O200" s="66" t="n">
        <v>0.134780581222202</v>
      </c>
      <c r="P200" s="66" t="n">
        <v>0.04057686653010251</v>
      </c>
      <c r="Q200" s="99" t="n">
        <v>1.635029932846578</v>
      </c>
      <c r="R200" s="99" t="n">
        <v>0</v>
      </c>
      <c r="S200" s="99" t="n">
        <v>0</v>
      </c>
      <c r="T200" s="99" t="n">
        <v>0</v>
      </c>
      <c r="U200" s="99" t="n">
        <v>0</v>
      </c>
      <c r="V200" s="99" t="n">
        <v>0</v>
      </c>
      <c r="W200" s="99" t="n">
        <v>0</v>
      </c>
      <c r="X200" s="99" t="n">
        <v>0</v>
      </c>
      <c r="Y200" s="99" t="n">
        <v>0</v>
      </c>
      <c r="Z200" s="99" t="n">
        <v>0</v>
      </c>
      <c r="AA200" s="66" t="n">
        <v>-0.8909151379699836</v>
      </c>
      <c r="AB200" s="66" t="n">
        <v>-0.2139349637588168</v>
      </c>
      <c r="AC200" s="66" t="n">
        <v>0</v>
      </c>
      <c r="AD200" s="66" t="n">
        <v>-0.07427457949762584</v>
      </c>
      <c r="AE200" s="66" t="n">
        <v>0</v>
      </c>
      <c r="AF200" s="66" t="n">
        <v>0.1773788966514189</v>
      </c>
      <c r="AG200" s="66" t="n">
        <v>0.3761902951406455</v>
      </c>
    </row>
    <row r="201">
      <c r="A201" s="127" t="inlineStr">
        <is>
          <t>2018 Q4</t>
        </is>
      </c>
      <c r="B201" s="66" t="n">
        <v>0</v>
      </c>
      <c r="C201" s="99" t="n">
        <v>0</v>
      </c>
      <c r="D201" s="99" t="n">
        <v>0</v>
      </c>
      <c r="E201" s="99" t="n">
        <v>0</v>
      </c>
      <c r="F201" s="99" t="n">
        <v>0</v>
      </c>
      <c r="G201" s="66" t="n">
        <v>-0.2519329031317454</v>
      </c>
      <c r="H201" s="99" t="n">
        <v>0</v>
      </c>
      <c r="I201" s="99" t="n">
        <v>0</v>
      </c>
      <c r="J201" s="99" t="n">
        <v>0</v>
      </c>
      <c r="K201" s="99" t="n">
        <v>0</v>
      </c>
      <c r="L201" s="66" t="n">
        <v>0.1997338675842002</v>
      </c>
      <c r="M201" s="66" t="n">
        <v>0</v>
      </c>
      <c r="N201" s="99" t="n">
        <v>0</v>
      </c>
      <c r="O201" s="66" t="n">
        <v>0.1196431116144936</v>
      </c>
      <c r="P201" s="66" t="n">
        <v>0.0652515380890577</v>
      </c>
      <c r="Q201" s="99" t="n">
        <v>1.604752169785911</v>
      </c>
      <c r="R201" s="99" t="n">
        <v>0</v>
      </c>
      <c r="S201" s="99" t="n">
        <v>0</v>
      </c>
      <c r="T201" s="99" t="n">
        <v>0</v>
      </c>
      <c r="U201" s="99" t="n">
        <v>0</v>
      </c>
      <c r="V201" s="99" t="n">
        <v>0</v>
      </c>
      <c r="W201" s="99" t="n">
        <v>0</v>
      </c>
      <c r="X201" s="99" t="n">
        <v>0</v>
      </c>
      <c r="Y201" s="99" t="n">
        <v>0</v>
      </c>
      <c r="Z201" s="99" t="n">
        <v>0</v>
      </c>
      <c r="AA201" s="66" t="n">
        <v>-0.934006729157602</v>
      </c>
      <c r="AB201" s="66" t="n">
        <v>-0.2228127563123223</v>
      </c>
      <c r="AC201" s="66" t="n">
        <v>0</v>
      </c>
      <c r="AD201" s="66" t="n">
        <v>-0.09544612875612302</v>
      </c>
      <c r="AE201" s="66" t="n">
        <v>0</v>
      </c>
      <c r="AF201" s="66" t="n">
        <v>0.1779897516075835</v>
      </c>
      <c r="AG201" s="66" t="n">
        <v>0.3704893417326787</v>
      </c>
    </row>
    <row r="202">
      <c r="A202" s="127" t="inlineStr">
        <is>
          <t>2019 Q1</t>
        </is>
      </c>
      <c r="B202" s="66" t="n">
        <v>0</v>
      </c>
      <c r="C202" s="99" t="n">
        <v>0</v>
      </c>
      <c r="D202" s="99" t="n">
        <v>0</v>
      </c>
      <c r="E202" s="99" t="n">
        <v>0</v>
      </c>
      <c r="F202" s="99" t="n">
        <v>0</v>
      </c>
      <c r="G202" s="66" t="n">
        <v>-0.2780469937705163</v>
      </c>
      <c r="H202" s="99" t="n">
        <v>0</v>
      </c>
      <c r="I202" s="99" t="n">
        <v>0</v>
      </c>
      <c r="J202" s="99" t="n">
        <v>0</v>
      </c>
      <c r="K202" s="99" t="n">
        <v>0</v>
      </c>
      <c r="L202" s="66" t="n">
        <v>0.1986899730833329</v>
      </c>
      <c r="M202" s="66" t="n">
        <v>0</v>
      </c>
      <c r="N202" s="99" t="n">
        <v>0</v>
      </c>
      <c r="O202" s="66" t="n">
        <v>0.118339064126701</v>
      </c>
      <c r="P202" s="66" t="n">
        <v>0.05974021622841974</v>
      </c>
      <c r="Q202" s="99" t="n">
        <v>1.626534916164559</v>
      </c>
      <c r="R202" s="99" t="n">
        <v>0</v>
      </c>
      <c r="S202" s="99" t="n">
        <v>0</v>
      </c>
      <c r="T202" s="99" t="n">
        <v>0</v>
      </c>
      <c r="U202" s="99" t="n">
        <v>0</v>
      </c>
      <c r="V202" s="99" t="n">
        <v>0</v>
      </c>
      <c r="W202" s="99" t="n">
        <v>0</v>
      </c>
      <c r="X202" s="99" t="n">
        <v>0</v>
      </c>
      <c r="Y202" s="99" t="n">
        <v>0</v>
      </c>
      <c r="Z202" s="99" t="n">
        <v>0</v>
      </c>
      <c r="AA202" s="66" t="n">
        <v>-0.766799546542444</v>
      </c>
      <c r="AB202" s="66" t="n">
        <v>-0.2201520084372532</v>
      </c>
      <c r="AC202" s="66" t="n">
        <v>0</v>
      </c>
      <c r="AD202" s="66" t="n">
        <v>-0.1344372031764181</v>
      </c>
      <c r="AE202" s="66" t="n">
        <v>0</v>
      </c>
      <c r="AF202" s="66" t="n">
        <v>0.1750477678411073</v>
      </c>
      <c r="AG202" s="66" t="n">
        <v>0.3918791456104032</v>
      </c>
    </row>
    <row r="203">
      <c r="A203" s="127" t="inlineStr">
        <is>
          <t>2019 Q2</t>
        </is>
      </c>
      <c r="B203" s="66" t="n">
        <v>0</v>
      </c>
      <c r="C203" s="99" t="n">
        <v>0</v>
      </c>
      <c r="D203" s="99" t="n">
        <v>0</v>
      </c>
      <c r="E203" s="99" t="n">
        <v>0</v>
      </c>
      <c r="F203" s="99" t="n">
        <v>0</v>
      </c>
      <c r="G203" s="66" t="n">
        <v>-0.2426156074306505</v>
      </c>
      <c r="H203" s="99" t="n">
        <v>0</v>
      </c>
      <c r="I203" s="99" t="n">
        <v>0</v>
      </c>
      <c r="J203" s="99" t="n">
        <v>0</v>
      </c>
      <c r="K203" s="99" t="n">
        <v>0</v>
      </c>
      <c r="L203" s="66" t="n">
        <v>0.1978753680738521</v>
      </c>
      <c r="M203" s="66" t="n">
        <v>0</v>
      </c>
      <c r="N203" s="99" t="n">
        <v>0</v>
      </c>
      <c r="O203" s="66" t="n">
        <v>0.1314316879013404</v>
      </c>
      <c r="P203" s="66" t="n">
        <v>0.06108879974311776</v>
      </c>
      <c r="Q203" s="99" t="n">
        <v>1.699590667466197</v>
      </c>
      <c r="R203" s="99" t="n">
        <v>0</v>
      </c>
      <c r="S203" s="99" t="n">
        <v>0</v>
      </c>
      <c r="T203" s="99" t="n">
        <v>0</v>
      </c>
      <c r="U203" s="99" t="n">
        <v>0</v>
      </c>
      <c r="V203" s="99" t="n">
        <v>0</v>
      </c>
      <c r="W203" s="99" t="n">
        <v>0</v>
      </c>
      <c r="X203" s="99" t="n">
        <v>0</v>
      </c>
      <c r="Y203" s="99" t="n">
        <v>0</v>
      </c>
      <c r="Z203" s="99" t="n">
        <v>0</v>
      </c>
      <c r="AA203" s="66" t="n">
        <v>-0.8096195188454658</v>
      </c>
      <c r="AB203" s="66" t="n">
        <v>-0.2208384211306509</v>
      </c>
      <c r="AC203" s="66" t="n">
        <v>0</v>
      </c>
      <c r="AD203" s="66" t="n">
        <v>-0.1109099253522743</v>
      </c>
      <c r="AE203" s="66" t="n">
        <v>0</v>
      </c>
      <c r="AF203" s="66" t="n">
        <v>0.1743426178452978</v>
      </c>
      <c r="AG203" s="66" t="n">
        <v>0.3842966027020793</v>
      </c>
    </row>
    <row r="204">
      <c r="A204" s="127" t="inlineStr">
        <is>
          <t>2019 Q3</t>
        </is>
      </c>
      <c r="B204" s="66" t="n">
        <v>0</v>
      </c>
      <c r="C204" s="99" t="n">
        <v>0</v>
      </c>
      <c r="D204" s="99" t="n">
        <v>0</v>
      </c>
      <c r="E204" s="99" t="n">
        <v>0</v>
      </c>
      <c r="F204" s="99" t="n">
        <v>0</v>
      </c>
      <c r="G204" s="66" t="n">
        <v>-0.2039181192175477</v>
      </c>
      <c r="H204" s="99" t="n">
        <v>0</v>
      </c>
      <c r="I204" s="99" t="n">
        <v>0</v>
      </c>
      <c r="J204" s="99" t="n">
        <v>0</v>
      </c>
      <c r="K204" s="99" t="n">
        <v>0</v>
      </c>
      <c r="L204" s="66" t="n">
        <v>0.2001591983944593</v>
      </c>
      <c r="M204" s="66" t="n">
        <v>0</v>
      </c>
      <c r="N204" s="99" t="n">
        <v>0</v>
      </c>
      <c r="O204" s="66" t="n">
        <v>0.139152482357531</v>
      </c>
      <c r="P204" s="66" t="n">
        <v>0.03734383795557505</v>
      </c>
      <c r="Q204" s="99" t="n">
        <v>1.560786847144101</v>
      </c>
      <c r="R204" s="99" t="n">
        <v>0</v>
      </c>
      <c r="S204" s="99" t="n">
        <v>0</v>
      </c>
      <c r="T204" s="99" t="n">
        <v>0</v>
      </c>
      <c r="U204" s="99" t="n">
        <v>0</v>
      </c>
      <c r="V204" s="99" t="n">
        <v>0</v>
      </c>
      <c r="W204" s="99" t="n">
        <v>0</v>
      </c>
      <c r="X204" s="99" t="n">
        <v>0</v>
      </c>
      <c r="Y204" s="99" t="n">
        <v>0</v>
      </c>
      <c r="Z204" s="99" t="n">
        <v>0</v>
      </c>
      <c r="AA204" s="66" t="n">
        <v>-0.8437388562855972</v>
      </c>
      <c r="AB204" s="66" t="n">
        <v>-0.2236477040546276</v>
      </c>
      <c r="AC204" s="66" t="n">
        <v>0</v>
      </c>
      <c r="AD204" s="66" t="n">
        <v>-0.07575765274071955</v>
      </c>
      <c r="AE204" s="66" t="n">
        <v>0</v>
      </c>
      <c r="AF204" s="66" t="n">
        <v>0.1804465787040499</v>
      </c>
      <c r="AG204" s="66" t="n">
        <v>0.3837503483750595</v>
      </c>
    </row>
    <row r="205">
      <c r="A205" s="127" t="inlineStr">
        <is>
          <t>2019 Q4</t>
        </is>
      </c>
      <c r="B205" s="66" t="n">
        <v>0</v>
      </c>
      <c r="C205" s="99" t="n">
        <v>0</v>
      </c>
      <c r="D205" s="99" t="n">
        <v>0</v>
      </c>
      <c r="E205" s="99" t="n">
        <v>0</v>
      </c>
      <c r="F205" s="99" t="n">
        <v>0</v>
      </c>
      <c r="G205" s="66" t="n">
        <v>-0.1582955226781451</v>
      </c>
      <c r="H205" s="99" t="n">
        <v>0</v>
      </c>
      <c r="I205" s="99" t="n">
        <v>0</v>
      </c>
      <c r="J205" s="99" t="n">
        <v>0</v>
      </c>
      <c r="K205" s="99" t="n">
        <v>0</v>
      </c>
      <c r="L205" s="66" t="n">
        <v>0.2008162250942007</v>
      </c>
      <c r="M205" s="66" t="n">
        <v>0</v>
      </c>
      <c r="N205" s="99" t="n">
        <v>0</v>
      </c>
      <c r="O205" s="66" t="n">
        <v>0.1250157803376624</v>
      </c>
      <c r="P205" s="66" t="n">
        <v>0.03651484587868481</v>
      </c>
      <c r="Q205" s="99" t="n">
        <v>1.430280997847007</v>
      </c>
      <c r="R205" s="99" t="n">
        <v>0</v>
      </c>
      <c r="S205" s="99" t="n">
        <v>0</v>
      </c>
      <c r="T205" s="99" t="n">
        <v>0</v>
      </c>
      <c r="U205" s="99" t="n">
        <v>0</v>
      </c>
      <c r="V205" s="99" t="n">
        <v>0</v>
      </c>
      <c r="W205" s="99" t="n">
        <v>0</v>
      </c>
      <c r="X205" s="99" t="n">
        <v>0</v>
      </c>
      <c r="Y205" s="99" t="n">
        <v>0</v>
      </c>
      <c r="Z205" s="99" t="n">
        <v>0</v>
      </c>
      <c r="AA205" s="66" t="n">
        <v>-0.8356646979807181</v>
      </c>
      <c r="AB205" s="66" t="n">
        <v>-0.2251170892912739</v>
      </c>
      <c r="AC205" s="66" t="n">
        <v>0</v>
      </c>
      <c r="AD205" s="66" t="n">
        <v>-0.05637049628799673</v>
      </c>
      <c r="AE205" s="66" t="n">
        <v>0</v>
      </c>
      <c r="AF205" s="66" t="n">
        <v>0.1790585919501382</v>
      </c>
      <c r="AG205" s="66" t="n">
        <v>0.3867447334293104</v>
      </c>
    </row>
    <row r="206">
      <c r="A206" s="127" t="inlineStr">
        <is>
          <t>2020 Q1</t>
        </is>
      </c>
      <c r="B206" s="66" t="n">
        <v>0</v>
      </c>
      <c r="C206" s="99" t="n">
        <v>0</v>
      </c>
      <c r="D206" s="99" t="n">
        <v>0</v>
      </c>
      <c r="E206" s="99" t="n">
        <v>0</v>
      </c>
      <c r="F206" s="99" t="n">
        <v>0</v>
      </c>
      <c r="G206" s="66" t="n">
        <v>-0.1550863508771556</v>
      </c>
      <c r="H206" s="99" t="n">
        <v>0</v>
      </c>
      <c r="I206" s="99" t="n">
        <v>0</v>
      </c>
      <c r="J206" s="99" t="n">
        <v>0</v>
      </c>
      <c r="K206" s="99" t="n">
        <v>0</v>
      </c>
      <c r="L206" s="66" t="n">
        <v>0.2005546616895799</v>
      </c>
      <c r="M206" s="66" t="n">
        <v>0</v>
      </c>
      <c r="N206" s="99" t="n">
        <v>0</v>
      </c>
      <c r="O206" s="66" t="n">
        <v>0.1523268210743822</v>
      </c>
      <c r="P206" s="66" t="n">
        <v>0.03809102010433207</v>
      </c>
      <c r="Q206" s="99" t="n">
        <v>1.362191161388978</v>
      </c>
      <c r="R206" s="99" t="n">
        <v>0</v>
      </c>
      <c r="S206" s="99" t="n">
        <v>0</v>
      </c>
      <c r="T206" s="99" t="n">
        <v>0</v>
      </c>
      <c r="U206" s="99" t="n">
        <v>0</v>
      </c>
      <c r="V206" s="99" t="n">
        <v>0</v>
      </c>
      <c r="W206" s="99" t="n">
        <v>0</v>
      </c>
      <c r="X206" s="99" t="n">
        <v>0</v>
      </c>
      <c r="Y206" s="99" t="n">
        <v>0</v>
      </c>
      <c r="Z206" s="99" t="n">
        <v>0</v>
      </c>
      <c r="AA206" s="66" t="n">
        <v>-0.7177869081814379</v>
      </c>
      <c r="AB206" s="66" t="n">
        <v>-0.316895343131165</v>
      </c>
      <c r="AC206" s="66" t="n">
        <v>0</v>
      </c>
      <c r="AD206" s="66" t="n">
        <v>-0.06972239315331308</v>
      </c>
      <c r="AE206" s="66" t="n">
        <v>0</v>
      </c>
      <c r="AF206" s="66" t="n">
        <v>0.1754678765022675</v>
      </c>
      <c r="AG206" s="66" t="n">
        <v>0.4044511489306046</v>
      </c>
    </row>
    <row r="207">
      <c r="A207" s="127" t="inlineStr">
        <is>
          <t>2020 Q2</t>
        </is>
      </c>
      <c r="B207" s="66" t="n">
        <v>0</v>
      </c>
      <c r="C207" s="99" t="n">
        <v>0</v>
      </c>
      <c r="D207" s="99" t="n">
        <v>0</v>
      </c>
      <c r="E207" s="99" t="n">
        <v>0</v>
      </c>
      <c r="F207" s="99" t="n">
        <v>0</v>
      </c>
      <c r="G207" s="66" t="n">
        <v>-0.2090327230612559</v>
      </c>
      <c r="H207" s="99" t="n">
        <v>0</v>
      </c>
      <c r="I207" s="99" t="n">
        <v>0</v>
      </c>
      <c r="J207" s="99" t="n">
        <v>0</v>
      </c>
      <c r="K207" s="99" t="n">
        <v>0</v>
      </c>
      <c r="L207" s="66" t="n">
        <v>0.2009702354212095</v>
      </c>
      <c r="M207" s="66" t="n">
        <v>0</v>
      </c>
      <c r="N207" s="99" t="n">
        <v>0</v>
      </c>
      <c r="O207" s="66" t="n">
        <v>0.1335049905706285</v>
      </c>
      <c r="P207" s="66" t="n">
        <v>0.03378846513973599</v>
      </c>
      <c r="Q207" s="99" t="n">
        <v>1.313935299394672</v>
      </c>
      <c r="R207" s="99" t="n">
        <v>0</v>
      </c>
      <c r="S207" s="99" t="n">
        <v>0</v>
      </c>
      <c r="T207" s="99" t="n">
        <v>0</v>
      </c>
      <c r="U207" s="99" t="n">
        <v>0</v>
      </c>
      <c r="V207" s="99" t="n">
        <v>0</v>
      </c>
      <c r="W207" s="99" t="n">
        <v>0</v>
      </c>
      <c r="X207" s="99" t="n">
        <v>0</v>
      </c>
      <c r="Y207" s="99" t="n">
        <v>0</v>
      </c>
      <c r="Z207" s="99" t="n">
        <v>0</v>
      </c>
      <c r="AA207" s="66" t="n">
        <v>-0.6645024743065449</v>
      </c>
      <c r="AB207" s="66" t="n">
        <v>-0.2240623199761558</v>
      </c>
      <c r="AC207" s="66" t="n">
        <v>0</v>
      </c>
      <c r="AD207" s="66" t="n">
        <v>-0.0791509363884586</v>
      </c>
      <c r="AE207" s="66" t="n">
        <v>0</v>
      </c>
      <c r="AF207" s="66" t="n">
        <v>0.1737759889289805</v>
      </c>
      <c r="AG207" s="66" t="n">
        <v>0.412671467715171</v>
      </c>
    </row>
    <row r="208">
      <c r="A208" s="127" t="inlineStr">
        <is>
          <t>2020 Q3</t>
        </is>
      </c>
      <c r="B208" s="66" t="n">
        <v>0</v>
      </c>
      <c r="C208" s="99" t="n">
        <v>0</v>
      </c>
      <c r="D208" s="99" t="n">
        <v>0</v>
      </c>
      <c r="E208" s="99" t="n">
        <v>0</v>
      </c>
      <c r="F208" s="99" t="n">
        <v>0</v>
      </c>
      <c r="G208" s="66" t="n">
        <v>-0.223273434979518</v>
      </c>
      <c r="H208" s="99" t="n">
        <v>0</v>
      </c>
      <c r="I208" s="99" t="n">
        <v>0</v>
      </c>
      <c r="J208" s="99" t="n">
        <v>0</v>
      </c>
      <c r="K208" s="99" t="n">
        <v>0</v>
      </c>
      <c r="L208" s="66" t="n">
        <v>0.2027187557469858</v>
      </c>
      <c r="M208" s="66" t="n">
        <v>0</v>
      </c>
      <c r="N208" s="99" t="n">
        <v>0</v>
      </c>
      <c r="O208" s="66" t="n">
        <v>0.1374906885818916</v>
      </c>
      <c r="P208" s="66" t="n">
        <v>0.03185506256323833</v>
      </c>
      <c r="Q208" s="99" t="n">
        <v>1.221534674995183</v>
      </c>
      <c r="R208" s="99" t="n">
        <v>0</v>
      </c>
      <c r="S208" s="99" t="n">
        <v>0</v>
      </c>
      <c r="T208" s="99" t="n">
        <v>0</v>
      </c>
      <c r="U208" s="99" t="n">
        <v>0</v>
      </c>
      <c r="V208" s="99" t="n">
        <v>0</v>
      </c>
      <c r="W208" s="99" t="n">
        <v>0</v>
      </c>
      <c r="X208" s="99" t="n">
        <v>0</v>
      </c>
      <c r="Y208" s="99" t="n">
        <v>0</v>
      </c>
      <c r="Z208" s="99" t="n">
        <v>0</v>
      </c>
      <c r="AA208" s="66" t="n">
        <v>-0.7391476663890444</v>
      </c>
      <c r="AB208" s="66" t="n">
        <v>-0.2302142850256814</v>
      </c>
      <c r="AC208" s="66" t="n">
        <v>0</v>
      </c>
      <c r="AD208" s="66" t="n">
        <v>-0.06652952307169357</v>
      </c>
      <c r="AE208" s="66" t="n">
        <v>0</v>
      </c>
      <c r="AF208" s="66" t="n">
        <v>0.1734291466819684</v>
      </c>
      <c r="AG208" s="66" t="n">
        <v>0.4061105017266016</v>
      </c>
    </row>
    <row r="209">
      <c r="A209" s="127" t="inlineStr">
        <is>
          <t>2020 Q4</t>
        </is>
      </c>
      <c r="B209" s="66" t="n">
        <v>0</v>
      </c>
      <c r="C209" s="99" t="n">
        <v>0</v>
      </c>
      <c r="D209" s="99" t="n">
        <v>0</v>
      </c>
      <c r="E209" s="99" t="n">
        <v>0</v>
      </c>
      <c r="F209" s="99" t="n">
        <v>0</v>
      </c>
      <c r="G209" s="66" t="n">
        <v>-0.2061769134114684</v>
      </c>
      <c r="H209" s="99" t="n">
        <v>0</v>
      </c>
      <c r="I209" s="99" t="n">
        <v>0</v>
      </c>
      <c r="J209" s="99" t="n">
        <v>0</v>
      </c>
      <c r="K209" s="99" t="n">
        <v>0</v>
      </c>
      <c r="L209" s="66" t="n">
        <v>0.2051642135773477</v>
      </c>
      <c r="M209" s="66" t="n">
        <v>0</v>
      </c>
      <c r="N209" s="99" t="n">
        <v>0</v>
      </c>
      <c r="O209" s="66" t="n">
        <v>0.1486202499333729</v>
      </c>
      <c r="P209" s="66" t="n">
        <v>0.03500126755886868</v>
      </c>
      <c r="Q209" s="99" t="n">
        <v>1.113845738677725</v>
      </c>
      <c r="R209" s="99" t="n">
        <v>0</v>
      </c>
      <c r="S209" s="99" t="n">
        <v>0</v>
      </c>
      <c r="T209" s="99" t="n">
        <v>0</v>
      </c>
      <c r="U209" s="99" t="n">
        <v>0</v>
      </c>
      <c r="V209" s="99" t="n">
        <v>0</v>
      </c>
      <c r="W209" s="99" t="n">
        <v>0</v>
      </c>
      <c r="X209" s="99" t="n">
        <v>0</v>
      </c>
      <c r="Y209" s="99" t="n">
        <v>0</v>
      </c>
      <c r="Z209" s="99" t="n">
        <v>0</v>
      </c>
      <c r="AA209" s="66" t="n">
        <v>-0.9283410390251561</v>
      </c>
      <c r="AB209" s="66" t="n">
        <v>-0.2232159093624375</v>
      </c>
      <c r="AC209" s="66" t="n">
        <v>0</v>
      </c>
      <c r="AD209" s="66" t="n">
        <v>-0.05634615631862516</v>
      </c>
      <c r="AE209" s="66" t="n">
        <v>0</v>
      </c>
      <c r="AF209" s="66" t="n">
        <v>0.1722528039818769</v>
      </c>
      <c r="AG209" s="66" t="n">
        <v>0.383918252220468</v>
      </c>
    </row>
    <row r="210">
      <c r="A210" s="127" t="inlineStr">
        <is>
          <t>2021 Q1</t>
        </is>
      </c>
      <c r="B210" s="66" t="n">
        <v>0</v>
      </c>
      <c r="C210" s="99" t="n">
        <v>0</v>
      </c>
      <c r="D210" s="99" t="n">
        <v>0</v>
      </c>
      <c r="E210" s="99" t="n">
        <v>0</v>
      </c>
      <c r="F210" s="99" t="n">
        <v>0</v>
      </c>
      <c r="G210" s="66" t="n">
        <v>-0.2827212346144279</v>
      </c>
      <c r="H210" s="99" t="n">
        <v>0</v>
      </c>
      <c r="I210" s="99" t="n">
        <v>0</v>
      </c>
      <c r="J210" s="99" t="n">
        <v>0</v>
      </c>
      <c r="K210" s="99" t="n">
        <v>0</v>
      </c>
      <c r="L210" s="66" t="n">
        <v>0.2045361158148182</v>
      </c>
      <c r="M210" s="66" t="n">
        <v>0</v>
      </c>
      <c r="N210" s="99" t="n">
        <v>0</v>
      </c>
      <c r="O210" s="66" t="n">
        <v>0.1556526806005252</v>
      </c>
      <c r="P210" s="66" t="n">
        <v>0.06225478599941425</v>
      </c>
      <c r="Q210" s="99" t="n">
        <v>1.213827159857686</v>
      </c>
      <c r="R210" s="99" t="n">
        <v>0</v>
      </c>
      <c r="S210" s="99" t="n">
        <v>0</v>
      </c>
      <c r="T210" s="99" t="n">
        <v>0</v>
      </c>
      <c r="U210" s="99" t="n">
        <v>0</v>
      </c>
      <c r="V210" s="99" t="n">
        <v>0</v>
      </c>
      <c r="W210" s="99" t="n">
        <v>0</v>
      </c>
      <c r="X210" s="99" t="n">
        <v>0</v>
      </c>
      <c r="Y210" s="99" t="n">
        <v>0</v>
      </c>
      <c r="Z210" s="99" t="n">
        <v>0</v>
      </c>
      <c r="AA210" s="66" t="n">
        <v>-0.9463811202553245</v>
      </c>
      <c r="AB210" s="66" t="n">
        <v>-0.3123500368453733</v>
      </c>
      <c r="AC210" s="66" t="n">
        <v>0</v>
      </c>
      <c r="AD210" s="66" t="n">
        <v>-0.09321773929156052</v>
      </c>
      <c r="AE210" s="66" t="n">
        <v>0</v>
      </c>
      <c r="AF210" s="66" t="n">
        <v>0.1733105025784027</v>
      </c>
      <c r="AG210" s="66" t="n">
        <v>0.3807900551107366</v>
      </c>
    </row>
    <row r="211">
      <c r="A211" s="127" t="inlineStr">
        <is>
          <t>2021 Q2</t>
        </is>
      </c>
      <c r="B211" s="66" t="n">
        <v>0</v>
      </c>
      <c r="C211" s="99" t="n">
        <v>0</v>
      </c>
      <c r="D211" s="99" t="n">
        <v>0</v>
      </c>
      <c r="E211" s="99" t="n">
        <v>0</v>
      </c>
      <c r="F211" s="99" t="n">
        <v>0</v>
      </c>
      <c r="G211" s="66" t="n">
        <v>-0.424772817585648</v>
      </c>
      <c r="H211" s="99" t="n">
        <v>0</v>
      </c>
      <c r="I211" s="99" t="n">
        <v>0</v>
      </c>
      <c r="J211" s="99" t="n">
        <v>0</v>
      </c>
      <c r="K211" s="99" t="n">
        <v>0</v>
      </c>
      <c r="L211" s="66" t="n">
        <v>0.2058162872062326</v>
      </c>
      <c r="M211" s="66" t="n">
        <v>0</v>
      </c>
      <c r="N211" s="99" t="n">
        <v>0</v>
      </c>
      <c r="O211" s="66" t="n">
        <v>0.142444327551118</v>
      </c>
      <c r="P211" s="66" t="n">
        <v>0.07681602885224947</v>
      </c>
      <c r="Q211" s="99" t="n">
        <v>1.135185856132551</v>
      </c>
      <c r="R211" s="99" t="n">
        <v>0</v>
      </c>
      <c r="S211" s="99" t="n">
        <v>0</v>
      </c>
      <c r="T211" s="99" t="n">
        <v>0</v>
      </c>
      <c r="U211" s="99" t="n">
        <v>0</v>
      </c>
      <c r="V211" s="99" t="n">
        <v>0</v>
      </c>
      <c r="W211" s="99" t="n">
        <v>0</v>
      </c>
      <c r="X211" s="99" t="n">
        <v>0</v>
      </c>
      <c r="Y211" s="99" t="n">
        <v>0</v>
      </c>
      <c r="Z211" s="99" t="n">
        <v>0</v>
      </c>
      <c r="AA211" s="66" t="n">
        <v>-0.9426943203053497</v>
      </c>
      <c r="AB211" s="66" t="n">
        <v>-0.2800675570808266</v>
      </c>
      <c r="AC211" s="66" t="n">
        <v>0</v>
      </c>
      <c r="AD211" s="66" t="n">
        <v>-0.1231687793843719</v>
      </c>
      <c r="AE211" s="66" t="n">
        <v>0</v>
      </c>
      <c r="AF211" s="66" t="n">
        <v>0.169473898601666</v>
      </c>
      <c r="AG211" s="66" t="n">
        <v>0.3848571806822747</v>
      </c>
    </row>
    <row r="212">
      <c r="A212" s="127" t="inlineStr">
        <is>
          <t>2021 Q3</t>
        </is>
      </c>
      <c r="B212" s="66" t="n">
        <v>0</v>
      </c>
      <c r="C212" s="99" t="n">
        <v>0</v>
      </c>
      <c r="D212" s="99" t="n">
        <v>0</v>
      </c>
      <c r="E212" s="99" t="n">
        <v>0</v>
      </c>
      <c r="F212" s="99" t="n">
        <v>0</v>
      </c>
      <c r="G212" s="66" t="n">
        <v>-0.4565031070016516</v>
      </c>
      <c r="H212" s="99" t="n">
        <v>0</v>
      </c>
      <c r="I212" s="99" t="n">
        <v>0</v>
      </c>
      <c r="J212" s="99" t="n">
        <v>0</v>
      </c>
      <c r="K212" s="99" t="n">
        <v>0</v>
      </c>
      <c r="L212" s="66" t="n">
        <v>0.2074373207788369</v>
      </c>
      <c r="M212" s="66" t="n">
        <v>0</v>
      </c>
      <c r="N212" s="99" t="n">
        <v>0</v>
      </c>
      <c r="O212" s="66" t="n">
        <v>0.1266632222991007</v>
      </c>
      <c r="P212" s="66" t="n">
        <v>0.06643983771419926</v>
      </c>
      <c r="Q212" s="99" t="n">
        <v>1.133639384304217</v>
      </c>
      <c r="R212" s="99" t="n">
        <v>0</v>
      </c>
      <c r="S212" s="99" t="n">
        <v>0</v>
      </c>
      <c r="T212" s="99" t="n">
        <v>0</v>
      </c>
      <c r="U212" s="99" t="n">
        <v>0</v>
      </c>
      <c r="V212" s="99" t="n">
        <v>0</v>
      </c>
      <c r="W212" s="99" t="n">
        <v>0</v>
      </c>
      <c r="X212" s="99" t="n">
        <v>0</v>
      </c>
      <c r="Y212" s="99" t="n">
        <v>0</v>
      </c>
      <c r="Z212" s="99" t="n">
        <v>0</v>
      </c>
      <c r="AA212" s="66" t="n">
        <v>-1.076903788235114</v>
      </c>
      <c r="AB212" s="66" t="n">
        <v>-0.2565043716608386</v>
      </c>
      <c r="AC212" s="66" t="n">
        <v>0</v>
      </c>
      <c r="AD212" s="66" t="n">
        <v>-0.07933242645876248</v>
      </c>
      <c r="AE212" s="66" t="n">
        <v>0</v>
      </c>
      <c r="AF212" s="66" t="n">
        <v>0.169910449553015</v>
      </c>
      <c r="AG212" s="66" t="n">
        <v>0.3694482385636206</v>
      </c>
    </row>
    <row r="213">
      <c r="A213" s="127" t="inlineStr">
        <is>
          <t>2021 Q4</t>
        </is>
      </c>
      <c r="B213" s="66" t="n">
        <v>0</v>
      </c>
      <c r="C213" s="99" t="n">
        <v>0</v>
      </c>
      <c r="D213" s="99" t="n">
        <v>0</v>
      </c>
      <c r="E213" s="99" t="n">
        <v>0</v>
      </c>
      <c r="F213" s="99" t="n">
        <v>0</v>
      </c>
      <c r="G213" s="66" t="n">
        <v>-0.4253406433024054</v>
      </c>
      <c r="H213" s="99" t="n">
        <v>0</v>
      </c>
      <c r="I213" s="99" t="n">
        <v>0</v>
      </c>
      <c r="J213" s="99" t="n">
        <v>0</v>
      </c>
      <c r="K213" s="99" t="n">
        <v>0</v>
      </c>
      <c r="L213" s="66" t="n">
        <v>0.2102827202883475</v>
      </c>
      <c r="M213" s="66" t="n">
        <v>0</v>
      </c>
      <c r="N213" s="99" t="n">
        <v>0</v>
      </c>
      <c r="O213" s="66" t="n">
        <v>0.1268121699043547</v>
      </c>
      <c r="P213" s="66" t="n">
        <v>0.06428378302967985</v>
      </c>
      <c r="Q213" s="99" t="n">
        <v>0.992017155104179</v>
      </c>
      <c r="R213" s="99" t="n">
        <v>0</v>
      </c>
      <c r="S213" s="99" t="n">
        <v>0</v>
      </c>
      <c r="T213" s="99" t="n">
        <v>0</v>
      </c>
      <c r="U213" s="99" t="n">
        <v>0</v>
      </c>
      <c r="V213" s="99" t="n">
        <v>0</v>
      </c>
      <c r="W213" s="99" t="n">
        <v>0</v>
      </c>
      <c r="X213" s="99" t="n">
        <v>0</v>
      </c>
      <c r="Y213" s="99" t="n">
        <v>0</v>
      </c>
      <c r="Z213" s="99" t="n">
        <v>0</v>
      </c>
      <c r="AA213" s="66" t="n">
        <v>-1.215859502743371</v>
      </c>
      <c r="AB213" s="66" t="n">
        <v>-0.2814744434858767</v>
      </c>
      <c r="AC213" s="66" t="n">
        <v>0</v>
      </c>
      <c r="AD213" s="66" t="n">
        <v>-0.07421807422164761</v>
      </c>
      <c r="AE213" s="66" t="n">
        <v>0</v>
      </c>
      <c r="AF213" s="66" t="n">
        <v>0.1702528099458789</v>
      </c>
      <c r="AG213" s="66" t="n">
        <v>0.3555114833458219</v>
      </c>
    </row>
    <row r="214">
      <c r="A214" s="127" t="inlineStr">
        <is>
          <t>2022 Q1</t>
        </is>
      </c>
      <c r="B214" s="66" t="n">
        <v>0</v>
      </c>
      <c r="C214" s="99" t="n">
        <v>0</v>
      </c>
      <c r="D214" s="99" t="n">
        <v>0</v>
      </c>
      <c r="E214" s="99" t="n">
        <v>0</v>
      </c>
      <c r="F214" s="99" t="n">
        <v>0</v>
      </c>
      <c r="G214" s="66" t="n">
        <v>-0.4932358529510168</v>
      </c>
      <c r="H214" s="99" t="n">
        <v>0</v>
      </c>
      <c r="I214" s="99" t="n">
        <v>0</v>
      </c>
      <c r="J214" s="99" t="n">
        <v>0</v>
      </c>
      <c r="K214" s="99" t="n">
        <v>0</v>
      </c>
      <c r="L214" s="66" t="n">
        <v>0.2092265907493527</v>
      </c>
      <c r="M214" s="66" t="n">
        <v>0</v>
      </c>
      <c r="N214" s="99" t="n">
        <v>0</v>
      </c>
      <c r="O214" s="66" t="n">
        <v>0.1015430231735195</v>
      </c>
      <c r="P214" s="66" t="n">
        <v>0.09046134520752958</v>
      </c>
      <c r="Q214" s="99" t="n">
        <v>0.8805924238114642</v>
      </c>
      <c r="R214" s="99" t="n">
        <v>0</v>
      </c>
      <c r="S214" s="99" t="n">
        <v>0</v>
      </c>
      <c r="T214" s="99" t="n">
        <v>0</v>
      </c>
      <c r="U214" s="99" t="n">
        <v>0</v>
      </c>
      <c r="V214" s="99" t="n">
        <v>0</v>
      </c>
      <c r="W214" s="99" t="n">
        <v>0</v>
      </c>
      <c r="X214" s="99" t="n">
        <v>0</v>
      </c>
      <c r="Y214" s="99" t="n">
        <v>0</v>
      </c>
      <c r="Z214" s="99" t="n">
        <v>0</v>
      </c>
      <c r="AA214" s="66" t="n">
        <v>-1.115983002662148</v>
      </c>
      <c r="AB214" s="66" t="n">
        <v>-0.3638435703048799</v>
      </c>
      <c r="AC214" s="66" t="n">
        <v>0</v>
      </c>
      <c r="AD214" s="66" t="n">
        <v>-0.09286526833119524</v>
      </c>
      <c r="AE214" s="66" t="n">
        <v>0</v>
      </c>
      <c r="AF214" s="66" t="n">
        <v>0.168464414485868</v>
      </c>
      <c r="AG214" s="66" t="n">
        <v>0.3722748063781296</v>
      </c>
    </row>
    <row r="215">
      <c r="A215" s="127" t="inlineStr">
        <is>
          <t>2022 Q2</t>
        </is>
      </c>
      <c r="B215" s="66" t="n">
        <v>0</v>
      </c>
      <c r="C215" s="99" t="n">
        <v>0</v>
      </c>
      <c r="D215" s="99" t="n">
        <v>0</v>
      </c>
      <c r="E215" s="99" t="n">
        <v>0</v>
      </c>
      <c r="F215" s="99" t="n">
        <v>0</v>
      </c>
      <c r="G215" s="66" t="n">
        <v>-0.4408267647267792</v>
      </c>
      <c r="H215" s="99" t="n">
        <v>0</v>
      </c>
      <c r="I215" s="99" t="n">
        <v>0</v>
      </c>
      <c r="J215" s="99" t="n">
        <v>0</v>
      </c>
      <c r="K215" s="99" t="n">
        <v>0</v>
      </c>
      <c r="L215" s="66" t="n">
        <v>0.2114326638719604</v>
      </c>
      <c r="M215" s="66" t="n">
        <v>0</v>
      </c>
      <c r="N215" s="99" t="n">
        <v>0</v>
      </c>
      <c r="O215" s="66" t="n">
        <v>0.07665691645382822</v>
      </c>
      <c r="P215" s="66" t="n">
        <v>0.08797328129728044</v>
      </c>
      <c r="Q215" s="99" t="n">
        <v>0.6595377876441262</v>
      </c>
      <c r="R215" s="99" t="n">
        <v>0</v>
      </c>
      <c r="S215" s="99" t="n">
        <v>0</v>
      </c>
      <c r="T215" s="99" t="n">
        <v>0</v>
      </c>
      <c r="U215" s="99" t="n">
        <v>0</v>
      </c>
      <c r="V215" s="99" t="n">
        <v>0</v>
      </c>
      <c r="W215" s="99" t="n">
        <v>0</v>
      </c>
      <c r="X215" s="99" t="n">
        <v>0</v>
      </c>
      <c r="Y215" s="99" t="n">
        <v>0</v>
      </c>
      <c r="Z215" s="99" t="n">
        <v>0</v>
      </c>
      <c r="AA215" s="66" t="n">
        <v>-1.055909436398366</v>
      </c>
      <c r="AB215" s="66" t="n">
        <v>-0.3125308929257642</v>
      </c>
      <c r="AC215" s="66" t="n">
        <v>0</v>
      </c>
      <c r="AD215" s="66" t="n">
        <v>-0.05155618289296626</v>
      </c>
      <c r="AE215" s="66" t="n">
        <v>-0.1332306610020453</v>
      </c>
      <c r="AF215" s="66" t="n">
        <v>0.159854089998646</v>
      </c>
      <c r="AG215" s="66" t="n">
        <v>0.3922754210451842</v>
      </c>
    </row>
    <row r="216">
      <c r="A216" s="127" t="inlineStr">
        <is>
          <t>2022 Q3</t>
        </is>
      </c>
      <c r="B216" s="66" t="n">
        <v>0</v>
      </c>
      <c r="C216" s="99" t="n">
        <v>0</v>
      </c>
      <c r="D216" s="99" t="n">
        <v>0</v>
      </c>
      <c r="E216" s="99" t="n">
        <v>0</v>
      </c>
      <c r="F216" s="99" t="n">
        <v>0</v>
      </c>
      <c r="G216" s="66" t="n">
        <v>-0.4167130725240327</v>
      </c>
      <c r="H216" s="99" t="n">
        <v>0</v>
      </c>
      <c r="I216" s="99" t="n">
        <v>0</v>
      </c>
      <c r="J216" s="99" t="n">
        <v>0</v>
      </c>
      <c r="K216" s="99" t="n">
        <v>0</v>
      </c>
      <c r="L216" s="66" t="n">
        <v>0.2130967834696094</v>
      </c>
      <c r="M216" s="66" t="n">
        <v>0</v>
      </c>
      <c r="N216" s="99" t="n">
        <v>0</v>
      </c>
      <c r="O216" s="66" t="n">
        <v>0.07710728076506257</v>
      </c>
      <c r="P216" s="66" t="n">
        <v>0.097202729290359</v>
      </c>
      <c r="Q216" s="99" t="n">
        <v>0.567939928837319</v>
      </c>
      <c r="R216" s="99" t="n">
        <v>0</v>
      </c>
      <c r="S216" s="99" t="n">
        <v>0</v>
      </c>
      <c r="T216" s="99" t="n">
        <v>0</v>
      </c>
      <c r="U216" s="99" t="n">
        <v>0</v>
      </c>
      <c r="V216" s="99" t="n">
        <v>0</v>
      </c>
      <c r="W216" s="99" t="n">
        <v>0</v>
      </c>
      <c r="X216" s="99" t="n">
        <v>0</v>
      </c>
      <c r="Y216" s="99" t="n">
        <v>0</v>
      </c>
      <c r="Z216" s="99" t="n">
        <v>0</v>
      </c>
      <c r="AA216" s="66" t="n">
        <v>-1.121407754059874</v>
      </c>
      <c r="AB216" s="66" t="n">
        <v>-0.3408991156260868</v>
      </c>
      <c r="AC216" s="66" t="n">
        <v>0</v>
      </c>
      <c r="AD216" s="66" t="n">
        <v>-0.0458192808567901</v>
      </c>
      <c r="AE216" s="66" t="n">
        <v>-0.2093817282131738</v>
      </c>
      <c r="AF216" s="66" t="n">
        <v>0.1644780165066777</v>
      </c>
      <c r="AG216" s="66" t="n">
        <v>0.4302691119271742</v>
      </c>
    </row>
    <row r="217">
      <c r="A217" s="127" t="inlineStr">
        <is>
          <t>2022 Q4</t>
        </is>
      </c>
      <c r="B217" s="66" t="n">
        <v>0</v>
      </c>
      <c r="C217" s="99" t="n">
        <v>0</v>
      </c>
      <c r="D217" s="99" t="n">
        <v>0</v>
      </c>
      <c r="E217" s="99" t="n">
        <v>0</v>
      </c>
      <c r="F217" s="99" t="n">
        <v>0</v>
      </c>
      <c r="G217" s="66" t="n">
        <v>-0.3075143233284621</v>
      </c>
      <c r="H217" s="99" t="n">
        <v>0</v>
      </c>
      <c r="I217" s="99" t="n">
        <v>0</v>
      </c>
      <c r="J217" s="99" t="n">
        <v>0</v>
      </c>
      <c r="K217" s="99" t="n">
        <v>0</v>
      </c>
      <c r="L217" s="66" t="n">
        <v>0.2112195160403303</v>
      </c>
      <c r="M217" s="66" t="n">
        <v>0</v>
      </c>
      <c r="N217" s="99" t="n">
        <v>0</v>
      </c>
      <c r="O217" s="66" t="n">
        <v>0.06555232494147845</v>
      </c>
      <c r="P217" s="66" t="n">
        <v>0.09551270763830644</v>
      </c>
      <c r="Q217" s="99" t="n">
        <v>0.5132515896893892</v>
      </c>
      <c r="R217" s="99" t="n">
        <v>0</v>
      </c>
      <c r="S217" s="99" t="n">
        <v>0</v>
      </c>
      <c r="T217" s="99" t="n">
        <v>0</v>
      </c>
      <c r="U217" s="99" t="n">
        <v>0</v>
      </c>
      <c r="V217" s="99" t="n">
        <v>0</v>
      </c>
      <c r="W217" s="99" t="n">
        <v>0</v>
      </c>
      <c r="X217" s="99" t="n">
        <v>0</v>
      </c>
      <c r="Y217" s="99" t="n">
        <v>0</v>
      </c>
      <c r="Z217" s="99" t="n">
        <v>0</v>
      </c>
      <c r="AA217" s="66" t="n">
        <v>-1.14406852071869</v>
      </c>
      <c r="AB217" s="66" t="n">
        <v>-0.3287085337180997</v>
      </c>
      <c r="AC217" s="66" t="n">
        <v>0</v>
      </c>
      <c r="AD217" s="66" t="n">
        <v>-0.04503143855271219</v>
      </c>
      <c r="AE217" s="66" t="n">
        <v>-0.1957427325109506</v>
      </c>
      <c r="AF217" s="66" t="n">
        <v>0.1642514897453964</v>
      </c>
      <c r="AG217" s="66" t="n">
        <v>0.5248323858632773</v>
      </c>
    </row>
    <row r="218">
      <c r="A218" s="127" t="inlineStr">
        <is>
          <t>2023 Q1</t>
        </is>
      </c>
      <c r="B218" s="66" t="n">
        <v>0</v>
      </c>
      <c r="C218" s="99" t="n">
        <v>0</v>
      </c>
      <c r="D218" s="99" t="n">
        <v>0</v>
      </c>
      <c r="E218" s="99" t="n">
        <v>0</v>
      </c>
      <c r="F218" s="99" t="n">
        <v>0</v>
      </c>
      <c r="G218" s="66" t="n">
        <v>-0.2548237406016085</v>
      </c>
      <c r="H218" s="99" t="n">
        <v>0</v>
      </c>
      <c r="I218" s="99" t="n">
        <v>0</v>
      </c>
      <c r="J218" s="99" t="n">
        <v>0</v>
      </c>
      <c r="K218" s="99" t="n">
        <v>0</v>
      </c>
      <c r="L218" s="66" t="n">
        <v>0.01623444430816789</v>
      </c>
      <c r="M218" s="66" t="n">
        <v>0</v>
      </c>
      <c r="N218" s="99" t="n">
        <v>0</v>
      </c>
      <c r="O218" s="66" t="n">
        <v>0.06421195347260777</v>
      </c>
      <c r="P218" s="66" t="n">
        <v>0.08646099826540876</v>
      </c>
      <c r="Q218" s="99" t="n">
        <v>0.4235734037625321</v>
      </c>
      <c r="R218" s="99" t="n">
        <v>0</v>
      </c>
      <c r="S218" s="99" t="n">
        <v>0</v>
      </c>
      <c r="T218" s="99" t="n">
        <v>0</v>
      </c>
      <c r="U218" s="99" t="n">
        <v>0</v>
      </c>
      <c r="V218" s="99" t="n">
        <v>0</v>
      </c>
      <c r="W218" s="99" t="n">
        <v>0</v>
      </c>
      <c r="X218" s="99" t="n">
        <v>0</v>
      </c>
      <c r="Y218" s="99" t="n">
        <v>0</v>
      </c>
      <c r="Z218" s="99" t="n">
        <v>0</v>
      </c>
      <c r="AA218" s="66" t="n">
        <v>-0.949662750696973</v>
      </c>
      <c r="AB218" s="66" t="n">
        <v>-0.3413934505180691</v>
      </c>
      <c r="AC218" s="66" t="n">
        <v>0</v>
      </c>
      <c r="AD218" s="66" t="n">
        <v>-0.05269808200469583</v>
      </c>
      <c r="AE218" s="66" t="n">
        <v>-0.1768276522692531</v>
      </c>
      <c r="AF218" s="66" t="n">
        <v>0.1686282133031796</v>
      </c>
      <c r="AG218" s="66" t="n">
        <v>0.5124894650004421</v>
      </c>
    </row>
    <row r="219">
      <c r="A219" s="127" t="inlineStr">
        <is>
          <t>2023 Q2</t>
        </is>
      </c>
      <c r="B219" s="66" t="n">
        <v>0</v>
      </c>
      <c r="C219" s="99" t="n">
        <v>0</v>
      </c>
      <c r="D219" s="99" t="n">
        <v>0</v>
      </c>
      <c r="E219" s="99" t="n">
        <v>0</v>
      </c>
      <c r="F219" s="99" t="n">
        <v>0</v>
      </c>
      <c r="G219" s="66" t="n">
        <v>-0.261026194239804</v>
      </c>
      <c r="H219" s="99" t="n">
        <v>0</v>
      </c>
      <c r="I219" s="99" t="n">
        <v>0</v>
      </c>
      <c r="J219" s="99" t="n">
        <v>0</v>
      </c>
      <c r="K219" s="99" t="n">
        <v>0</v>
      </c>
      <c r="L219" s="66" t="n">
        <v>-0.06957168733896424</v>
      </c>
      <c r="M219" s="66" t="n">
        <v>0</v>
      </c>
      <c r="N219" s="99" t="n">
        <v>0</v>
      </c>
      <c r="O219" s="66" t="n">
        <v>0.047349334554184</v>
      </c>
      <c r="P219" s="66" t="n">
        <v>0.07130073187883568</v>
      </c>
      <c r="Q219" s="99" t="n">
        <v>0.4835280755356735</v>
      </c>
      <c r="R219" s="99" t="n">
        <v>0</v>
      </c>
      <c r="S219" s="99" t="n">
        <v>0</v>
      </c>
      <c r="T219" s="99" t="n">
        <v>0</v>
      </c>
      <c r="U219" s="99" t="n">
        <v>0</v>
      </c>
      <c r="V219" s="99" t="n">
        <v>0</v>
      </c>
      <c r="W219" s="99" t="n">
        <v>0</v>
      </c>
      <c r="X219" s="99" t="n">
        <v>0</v>
      </c>
      <c r="Y219" s="99" t="n">
        <v>0</v>
      </c>
      <c r="Z219" s="99" t="n">
        <v>0</v>
      </c>
      <c r="AA219" s="66" t="n">
        <v>-0.8580633220395555</v>
      </c>
      <c r="AB219" s="66" t="n">
        <v>-0.2470867003910939</v>
      </c>
      <c r="AC219" s="66" t="n">
        <v>0</v>
      </c>
      <c r="AD219" s="66" t="n">
        <v>-0.05008259331447107</v>
      </c>
      <c r="AE219" s="66" t="n">
        <v>-0.1556176838337819</v>
      </c>
      <c r="AF219" s="66" t="n">
        <v>0.1707642656270139</v>
      </c>
      <c r="AG219" s="66" t="n">
        <v>0.4751088845989386</v>
      </c>
    </row>
    <row r="220">
      <c r="A220" s="127" t="inlineStr">
        <is>
          <t>2023 Q3</t>
        </is>
      </c>
      <c r="B220" s="66" t="n">
        <v>0</v>
      </c>
      <c r="C220" s="99" t="n">
        <v>0</v>
      </c>
      <c r="D220" s="99" t="n">
        <v>0</v>
      </c>
      <c r="E220" s="99" t="n">
        <v>0</v>
      </c>
      <c r="F220" s="99" t="n">
        <v>0</v>
      </c>
      <c r="G220" s="66" t="n">
        <v>-0.2869639031384565</v>
      </c>
      <c r="H220" s="99" t="n">
        <v>0</v>
      </c>
      <c r="I220" s="99" t="n">
        <v>0</v>
      </c>
      <c r="J220" s="99" t="n">
        <v>0</v>
      </c>
      <c r="K220" s="99" t="n">
        <v>0</v>
      </c>
      <c r="L220" s="66" t="n">
        <v>-0.06024080097532192</v>
      </c>
      <c r="M220" s="66" t="n">
        <v>0</v>
      </c>
      <c r="N220" s="99" t="n">
        <v>0</v>
      </c>
      <c r="O220" s="66" t="n">
        <v>0.0323301989336926</v>
      </c>
      <c r="P220" s="66" t="n">
        <v>0.05684522299782202</v>
      </c>
      <c r="Q220" s="99" t="n">
        <v>0.4812206479671772</v>
      </c>
      <c r="R220" s="99" t="n">
        <v>0</v>
      </c>
      <c r="S220" s="99" t="n">
        <v>0</v>
      </c>
      <c r="T220" s="99" t="n">
        <v>0</v>
      </c>
      <c r="U220" s="99" t="n">
        <v>0</v>
      </c>
      <c r="V220" s="99" t="n">
        <v>0</v>
      </c>
      <c r="W220" s="99" t="n">
        <v>0</v>
      </c>
      <c r="X220" s="99" t="n">
        <v>0</v>
      </c>
      <c r="Y220" s="99" t="n">
        <v>0</v>
      </c>
      <c r="Z220" s="99" t="n">
        <v>0</v>
      </c>
      <c r="AA220" s="66" t="n">
        <v>-0.8844751871271797</v>
      </c>
      <c r="AB220" s="66" t="n">
        <v>-0.2194913536029048</v>
      </c>
      <c r="AC220" s="66" t="n">
        <v>0</v>
      </c>
      <c r="AD220" s="66" t="n">
        <v>-0.04485278127873471</v>
      </c>
      <c r="AE220" s="66" t="n">
        <v>-0.1415912930700074</v>
      </c>
      <c r="AF220" s="66" t="n">
        <v>0.1705230139425851</v>
      </c>
      <c r="AG220" s="66" t="n">
        <v>0.4831656968100333</v>
      </c>
    </row>
    <row r="221">
      <c r="A221" s="127" t="inlineStr">
        <is>
          <t>2023 Q4</t>
        </is>
      </c>
      <c r="B221" s="66" t="n">
        <v>0</v>
      </c>
      <c r="C221" s="99" t="n">
        <v>0</v>
      </c>
      <c r="D221" s="99" t="n">
        <v>0</v>
      </c>
      <c r="E221" s="99" t="n">
        <v>0</v>
      </c>
      <c r="F221" s="99" t="n">
        <v>0</v>
      </c>
      <c r="G221" s="66" t="n">
        <v>-0.3283911577189542</v>
      </c>
      <c r="H221" s="99" t="n">
        <v>0</v>
      </c>
      <c r="I221" s="99" t="n">
        <v>0</v>
      </c>
      <c r="J221" s="99" t="n">
        <v>0</v>
      </c>
      <c r="K221" s="99" t="n">
        <v>0</v>
      </c>
      <c r="L221" s="66" t="n">
        <v>-0.02743838295796763</v>
      </c>
      <c r="M221" s="66" t="n">
        <v>0</v>
      </c>
      <c r="N221" s="99" t="n">
        <v>0</v>
      </c>
      <c r="O221" s="66" t="n">
        <v>0.06086657947571439</v>
      </c>
      <c r="P221" s="66" t="n">
        <v>0.06407756645600671</v>
      </c>
      <c r="Q221" s="99" t="n">
        <v>0.6222657062298254</v>
      </c>
      <c r="R221" s="99" t="n">
        <v>0</v>
      </c>
      <c r="S221" s="99" t="n">
        <v>0</v>
      </c>
      <c r="T221" s="99" t="n">
        <v>0</v>
      </c>
      <c r="U221" s="99" t="n">
        <v>0</v>
      </c>
      <c r="V221" s="99" t="n">
        <v>0</v>
      </c>
      <c r="W221" s="99" t="n">
        <v>0</v>
      </c>
      <c r="X221" s="99" t="n">
        <v>0</v>
      </c>
      <c r="Y221" s="99" t="n">
        <v>0</v>
      </c>
      <c r="Z221" s="99" t="n">
        <v>0</v>
      </c>
      <c r="AA221" s="66" t="n">
        <v>-0.8346243091120016</v>
      </c>
      <c r="AB221" s="66" t="n">
        <v>-0.1753985824849167</v>
      </c>
      <c r="AC221" s="66" t="n">
        <v>0</v>
      </c>
      <c r="AD221" s="66" t="n">
        <v>-0.04616317116366986</v>
      </c>
      <c r="AE221" s="66" t="n">
        <v>-0.1379214135411644</v>
      </c>
      <c r="AF221" s="66" t="n">
        <v>0.1689372042077935</v>
      </c>
      <c r="AG221" s="66" t="n">
        <v>0.5011830221159812</v>
      </c>
    </row>
    <row r="222">
      <c r="A222" s="127" t="inlineStr">
        <is>
          <t>2024 Q1</t>
        </is>
      </c>
      <c r="B222" s="66" t="n">
        <v>0</v>
      </c>
      <c r="C222" s="99" t="n">
        <v>0</v>
      </c>
      <c r="D222" s="99" t="n">
        <v>0</v>
      </c>
      <c r="E222" s="99" t="n">
        <v>0</v>
      </c>
      <c r="F222" s="99" t="n">
        <v>0</v>
      </c>
      <c r="G222" s="66" t="n">
        <v>-0.2336783181748672</v>
      </c>
      <c r="H222" s="99" t="n">
        <v>0</v>
      </c>
      <c r="I222" s="99" t="n">
        <v>0</v>
      </c>
      <c r="J222" s="99" t="n">
        <v>0</v>
      </c>
      <c r="K222" s="99" t="n">
        <v>0</v>
      </c>
      <c r="L222" s="66" t="n">
        <v>-0.0877582158163932</v>
      </c>
      <c r="M222" s="66" t="n">
        <v>-0.01571529366668756</v>
      </c>
      <c r="N222" s="99" t="n">
        <v>0</v>
      </c>
      <c r="O222" s="66" t="n">
        <v>0.09186655046048031</v>
      </c>
      <c r="P222" s="66" t="n">
        <v>0.04926523033392982</v>
      </c>
      <c r="Q222" s="99" t="n">
        <v>0.6504083293861243</v>
      </c>
      <c r="R222" s="99" t="n">
        <v>0</v>
      </c>
      <c r="S222" s="99" t="n">
        <v>0</v>
      </c>
      <c r="T222" s="99" t="n">
        <v>0</v>
      </c>
      <c r="U222" s="99" t="n">
        <v>0</v>
      </c>
      <c r="V222" s="99" t="n">
        <v>0</v>
      </c>
      <c r="W222" s="99" t="n">
        <v>0</v>
      </c>
      <c r="X222" s="99" t="n">
        <v>0</v>
      </c>
      <c r="Y222" s="99" t="n">
        <v>0</v>
      </c>
      <c r="Z222" s="99" t="n">
        <v>0</v>
      </c>
      <c r="AA222" s="66" t="n">
        <v>-0.6930651347784647</v>
      </c>
      <c r="AB222" s="66" t="n">
        <v>-0.1384120953380545</v>
      </c>
      <c r="AC222" s="66" t="n">
        <v>0</v>
      </c>
      <c r="AD222" s="66" t="n">
        <v>-0.04528472763101377</v>
      </c>
      <c r="AE222" s="66" t="n">
        <v>-0.165715252157554</v>
      </c>
      <c r="AF222" s="66" t="n">
        <v>0.1802758289462645</v>
      </c>
      <c r="AG222" s="66" t="n">
        <v>0.5178673550742872</v>
      </c>
    </row>
    <row r="223">
      <c r="B223" s="66" t="n">
        <v>0</v>
      </c>
      <c r="C223" s="66" t="n">
        <v>0</v>
      </c>
      <c r="D223" s="66" t="n">
        <v>0</v>
      </c>
      <c r="E223" s="66" t="n">
        <v>0</v>
      </c>
      <c r="F223" s="66" t="n">
        <v>0</v>
      </c>
      <c r="G223" s="66" t="n">
        <v>-0.2621012847954773</v>
      </c>
      <c r="H223" s="66" t="n">
        <v>0</v>
      </c>
      <c r="I223" s="66" t="n">
        <v>0</v>
      </c>
      <c r="J223" s="66" t="n">
        <v>0</v>
      </c>
      <c r="K223" s="66" t="n">
        <v>0</v>
      </c>
      <c r="L223" s="66" t="n">
        <v>-0.08986611335285488</v>
      </c>
      <c r="M223" s="66" t="n">
        <v>-0.0126811440636061</v>
      </c>
      <c r="N223" s="66" t="n">
        <v>0</v>
      </c>
      <c r="O223" s="66" t="n">
        <v>0.06828634913819087</v>
      </c>
      <c r="P223" s="66" t="n">
        <v>0.03535687617807071</v>
      </c>
      <c r="Q223" s="66" t="n">
        <v>1.053418430339008</v>
      </c>
      <c r="R223" s="66" t="n">
        <v>0</v>
      </c>
      <c r="S223" s="66" t="n">
        <v>0</v>
      </c>
      <c r="T223" s="66" t="n">
        <v>0</v>
      </c>
      <c r="U223" s="66" t="n">
        <v>0</v>
      </c>
      <c r="V223" s="66" t="n">
        <v>0</v>
      </c>
      <c r="W223" s="66" t="n">
        <v>0</v>
      </c>
      <c r="X223" s="66" t="n">
        <v>0</v>
      </c>
      <c r="Y223" s="66" t="n">
        <v>0</v>
      </c>
      <c r="Z223" s="66" t="n">
        <v>0</v>
      </c>
      <c r="AA223" s="66" t="n">
        <v>-0.5765806119438253</v>
      </c>
      <c r="AB223" s="66" t="n">
        <v>-0.1032147036940216</v>
      </c>
      <c r="AC223" s="66" t="n">
        <v>0</v>
      </c>
      <c r="AD223" s="66" t="n">
        <v>-0.04669415356056561</v>
      </c>
      <c r="AE223" s="66" t="n">
        <v>-0.1570600279968346</v>
      </c>
      <c r="AF223" s="66" t="n">
        <v>0.1766602532152604</v>
      </c>
      <c r="AG223" s="66" t="n">
        <v>0.504803553477899</v>
      </c>
    </row>
    <row r="224">
      <c r="B224" s="66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-0.2605379307861142</v>
      </c>
      <c r="H224" t="n">
        <v>0</v>
      </c>
      <c r="I224" t="n">
        <v>0</v>
      </c>
      <c r="J224" t="n">
        <v>0</v>
      </c>
      <c r="K224" t="n">
        <v>0</v>
      </c>
      <c r="L224" t="n">
        <v>-0.0976247926384417</v>
      </c>
      <c r="M224" t="n">
        <v>-0.01460920272626254</v>
      </c>
      <c r="N224" t="n">
        <v>0</v>
      </c>
      <c r="O224" t="n">
        <v>0.07247558246245944</v>
      </c>
      <c r="P224" t="n">
        <v>0.03403727302674042</v>
      </c>
      <c r="Q224" t="n">
        <v>0.9753885548551011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-0.627827934218999</v>
      </c>
      <c r="AB224" t="n">
        <v>-0.09748773752747297</v>
      </c>
      <c r="AC224" t="n">
        <v>0</v>
      </c>
      <c r="AD224" t="n">
        <v>-0.03442250962112325</v>
      </c>
      <c r="AE224" t="n">
        <v>-0.1456331930523902</v>
      </c>
      <c r="AF224" t="n">
        <v>0.1775187986882543</v>
      </c>
      <c r="AG224" t="n">
        <v>0.5165482253716505</v>
      </c>
    </row>
    <row r="225"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-0.2627892966193883</v>
      </c>
      <c r="H225" t="n">
        <v>0</v>
      </c>
      <c r="I225" t="n">
        <v>0</v>
      </c>
      <c r="J225" t="n">
        <v>0</v>
      </c>
      <c r="K225" t="n">
        <v>0</v>
      </c>
      <c r="L225" t="n">
        <v>-0.05709263826901179</v>
      </c>
      <c r="M225" t="n">
        <v>-0.01215346413266616</v>
      </c>
      <c r="N225" t="n">
        <v>0</v>
      </c>
      <c r="O225" t="n">
        <v>0.06877612011649603</v>
      </c>
      <c r="P225" t="n">
        <v>0.03599796556585488</v>
      </c>
      <c r="Q225" t="n">
        <v>0.9667524036293003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-0.5736031518534048</v>
      </c>
      <c r="AB225" t="n">
        <v>-0.1315521864708842</v>
      </c>
      <c r="AC225" t="n">
        <v>0</v>
      </c>
      <c r="AD225" t="n">
        <v>-0.04083732823005448</v>
      </c>
      <c r="AE225" t="n">
        <v>-0.1672355769428577</v>
      </c>
      <c r="AF225" t="n">
        <v>0.1599225340361556</v>
      </c>
      <c r="AG225" t="n">
        <v>0.3724070894038789</v>
      </c>
    </row>
    <row r="226"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-0.001219984777577565</v>
      </c>
      <c r="H226" t="n">
        <v>0</v>
      </c>
      <c r="I226" t="n">
        <v>0</v>
      </c>
      <c r="J226" t="n">
        <v>0</v>
      </c>
      <c r="K226" t="n">
        <v>0</v>
      </c>
      <c r="L226" t="n">
        <v>-0.000937037233427418</v>
      </c>
      <c r="M226" t="n">
        <v>0</v>
      </c>
      <c r="N226" t="n">
        <v>0</v>
      </c>
      <c r="O226" t="n">
        <v>0.1161174048005478</v>
      </c>
      <c r="P226" t="n">
        <v>-0.09303590516159943</v>
      </c>
      <c r="Q226" t="n">
        <v>0.005425432103436378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-0.0050925717129644</v>
      </c>
      <c r="AB226" t="n">
        <v>-0.002380216663823376</v>
      </c>
      <c r="AC226" t="n">
        <v>0</v>
      </c>
      <c r="AD226" t="n">
        <v>-0.02120302243648098</v>
      </c>
      <c r="AE226" t="n">
        <v>0</v>
      </c>
      <c r="AF226" t="n">
        <v>0.0004475467590623339</v>
      </c>
      <c r="AG226" t="n">
        <v>-0.6927959954002176</v>
      </c>
    </row>
    <row r="227">
      <c r="B227" t="n">
        <v>0</v>
      </c>
    </row>
    <row r="228">
      <c r="B228" t="n">
        <v>0</v>
      </c>
    </row>
    <row r="229">
      <c r="B229" t="n">
        <v>0</v>
      </c>
    </row>
    <row r="230">
      <c r="B230" t="n">
        <v>0</v>
      </c>
    </row>
    <row r="231">
      <c r="B231" t="n">
        <v>0</v>
      </c>
    </row>
    <row r="232">
      <c r="B232" t="n">
        <v>0</v>
      </c>
    </row>
    <row r="233">
      <c r="B233" t="n">
        <v>0</v>
      </c>
    </row>
    <row r="234">
      <c r="B234" t="n">
        <v>0</v>
      </c>
    </row>
    <row r="235">
      <c r="B235" t="n">
        <v>0</v>
      </c>
    </row>
    <row r="236">
      <c r="B236" t="n">
        <v>0</v>
      </c>
    </row>
    <row r="237">
      <c r="B237" t="n">
        <v>0</v>
      </c>
    </row>
    <row r="238">
      <c r="B238" t="n">
        <v>0</v>
      </c>
    </row>
    <row r="239">
      <c r="B239" t="n">
        <v>0</v>
      </c>
    </row>
    <row r="240">
      <c r="B240" t="n">
        <v>0</v>
      </c>
    </row>
    <row r="241">
      <c r="B241" t="n">
        <v>0</v>
      </c>
    </row>
    <row r="242">
      <c r="B242" t="n">
        <v>0</v>
      </c>
    </row>
    <row r="243">
      <c r="B243" t="n">
        <v>0</v>
      </c>
    </row>
    <row r="244">
      <c r="B244" t="n">
        <v>0</v>
      </c>
    </row>
    <row r="245">
      <c r="B245" t="n">
        <v>0</v>
      </c>
    </row>
    <row r="246">
      <c r="B246" t="n">
        <v>0</v>
      </c>
    </row>
    <row r="247">
      <c r="B247" t="n">
        <v>0</v>
      </c>
    </row>
    <row r="248">
      <c r="B248" t="n">
        <v>0</v>
      </c>
    </row>
    <row r="249">
      <c r="B249" t="n">
        <v>0</v>
      </c>
    </row>
    <row r="250">
      <c r="B250" t="n">
        <v>0</v>
      </c>
    </row>
    <row r="251">
      <c r="B251" t="n">
        <v>0</v>
      </c>
    </row>
    <row r="252">
      <c r="B252" t="n">
        <v>0</v>
      </c>
    </row>
    <row r="253">
      <c r="B253" t="n">
        <v>0</v>
      </c>
    </row>
    <row r="254">
      <c r="B254" t="n">
        <v>0</v>
      </c>
    </row>
    <row r="255">
      <c r="B255" t="n">
        <v>0</v>
      </c>
    </row>
    <row r="256">
      <c r="B256" t="n">
        <v>0</v>
      </c>
    </row>
    <row r="257">
      <c r="B257" t="n">
        <v>0</v>
      </c>
    </row>
    <row r="258">
      <c r="B258" t="n">
        <v>0</v>
      </c>
    </row>
    <row r="259">
      <c r="B259" t="n">
        <v>0</v>
      </c>
    </row>
    <row r="260">
      <c r="B260" t="n">
        <v>0</v>
      </c>
    </row>
    <row r="261">
      <c r="B261" t="n">
        <v>0</v>
      </c>
    </row>
    <row r="262">
      <c r="B262" t="n">
        <v>0</v>
      </c>
    </row>
    <row r="263">
      <c r="B263" t="n">
        <v>0</v>
      </c>
    </row>
    <row r="264">
      <c r="B264" t="n">
        <v>0</v>
      </c>
    </row>
    <row r="265">
      <c r="B265" t="n">
        <v>0</v>
      </c>
    </row>
    <row r="266">
      <c r="B266" t="n">
        <v>0</v>
      </c>
    </row>
    <row r="267">
      <c r="B267" t="n">
        <v>0</v>
      </c>
    </row>
    <row r="268">
      <c r="B268" s="66" t="n">
        <v>0</v>
      </c>
    </row>
    <row r="269">
      <c r="B269" s="66" t="n">
        <v>0</v>
      </c>
    </row>
    <row r="270">
      <c r="B270" s="66" t="n">
        <v>0</v>
      </c>
    </row>
    <row r="271">
      <c r="B271" s="66" t="n">
        <v>0</v>
      </c>
    </row>
    <row r="272">
      <c r="B272" s="66" t="n">
        <v>0</v>
      </c>
    </row>
    <row r="273">
      <c r="B273" s="66" t="n">
        <v>0</v>
      </c>
    </row>
    <row r="274">
      <c r="B274" s="66" t="n">
        <v>0</v>
      </c>
    </row>
    <row r="275">
      <c r="B275" s="66" t="n">
        <v>0</v>
      </c>
    </row>
    <row r="276">
      <c r="B276" s="66" t="n">
        <v>0</v>
      </c>
    </row>
    <row r="277">
      <c r="B277" s="66" t="n">
        <v>0</v>
      </c>
    </row>
    <row r="278">
      <c r="B278" s="66" t="n">
        <v>0</v>
      </c>
    </row>
    <row r="279">
      <c r="B279" s="66" t="n">
        <v>0</v>
      </c>
    </row>
    <row r="280">
      <c r="B280" s="66" t="n">
        <v>0</v>
      </c>
    </row>
    <row r="281">
      <c r="B281" s="66" t="n">
        <v>0</v>
      </c>
    </row>
    <row r="282">
      <c r="B282" s="66" t="n">
        <v>0</v>
      </c>
    </row>
    <row r="283">
      <c r="B283" s="66" t="n">
        <v>0</v>
      </c>
    </row>
    <row r="284">
      <c r="B284" s="66" t="n">
        <v>0</v>
      </c>
    </row>
    <row r="285">
      <c r="B285" s="66" t="n">
        <v>0</v>
      </c>
    </row>
    <row r="286">
      <c r="B286" s="66" t="n">
        <v>0</v>
      </c>
    </row>
    <row r="287">
      <c r="B287" s="66" t="n">
        <v>0</v>
      </c>
    </row>
    <row r="288">
      <c r="B288" s="66" t="n">
        <v>0</v>
      </c>
    </row>
    <row r="289">
      <c r="B289" s="66" t="n">
        <v>0</v>
      </c>
    </row>
    <row r="290">
      <c r="B290" s="66" t="n">
        <v>0</v>
      </c>
    </row>
    <row r="291">
      <c r="B291" s="66" t="n">
        <v>0</v>
      </c>
    </row>
    <row r="292">
      <c r="B292" s="66" t="n">
        <v>0</v>
      </c>
    </row>
    <row r="293">
      <c r="B293" s="66" t="n">
        <v>0</v>
      </c>
    </row>
    <row r="294">
      <c r="B294" t="n">
        <v>0</v>
      </c>
    </row>
    <row r="295">
      <c r="B295" t="n">
        <v>0</v>
      </c>
    </row>
    <row r="296">
      <c r="B296" t="n">
        <v>0</v>
      </c>
    </row>
    <row r="297">
      <c r="B297" t="n">
        <v>0</v>
      </c>
    </row>
    <row r="298">
      <c r="B298" t="n">
        <v>0</v>
      </c>
    </row>
    <row r="299">
      <c r="B299" t="n">
        <v>0</v>
      </c>
    </row>
    <row r="300">
      <c r="B300" t="n">
        <v>0</v>
      </c>
    </row>
    <row r="301">
      <c r="B301" t="n">
        <v>0</v>
      </c>
    </row>
    <row r="302">
      <c r="B302" t="n">
        <v>0</v>
      </c>
    </row>
    <row r="303">
      <c r="B303" t="n">
        <v>0</v>
      </c>
    </row>
    <row r="304">
      <c r="B304" t="n">
        <v>0</v>
      </c>
    </row>
    <row r="305">
      <c r="B305" t="n">
        <v>0</v>
      </c>
    </row>
    <row r="306">
      <c r="B306" t="n">
        <v>0</v>
      </c>
    </row>
    <row r="307">
      <c r="B307" t="n">
        <v>0</v>
      </c>
    </row>
    <row r="308">
      <c r="B308" t="n">
        <v>0</v>
      </c>
    </row>
  </sheetData>
  <pageMargins left="0.7" right="0.7" top="0.75" bottom="0.75" header="0.3" footer="0.3"/>
  <pageSetup orientation="portrait" horizontalDpi="204" verticalDpi="19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8"/>
  <sheetViews>
    <sheetView topLeftCell="A4" workbookViewId="0">
      <selection activeCell="O13" sqref="O13"/>
    </sheetView>
  </sheetViews>
  <sheetFormatPr baseColWidth="8" defaultRowHeight="14.5"/>
  <cols>
    <col width="16.81640625" bestFit="1" customWidth="1" style="115" min="1" max="1"/>
    <col hidden="1" width="9.1796875" customWidth="1" style="115" min="2" max="3"/>
    <col hidden="1" width="32.453125" customWidth="1" style="115" min="4" max="4"/>
    <col hidden="1" width="18.26953125" customWidth="1" style="115" min="5" max="5"/>
    <col hidden="1" width="17.81640625" customWidth="1" style="115" min="6" max="6"/>
    <col hidden="1" width="14.1796875" customWidth="1" style="115" min="7" max="7"/>
    <col hidden="1" width="15" customWidth="1" style="115" min="8" max="8"/>
    <col hidden="1" width="12" customWidth="1" style="115" min="9" max="11"/>
    <col hidden="1" width="9" customWidth="1" style="115" min="12" max="12"/>
    <col width="12.54296875" customWidth="1" style="115" min="13" max="13"/>
    <col width="12" bestFit="1" customWidth="1" style="115" min="14" max="14"/>
    <col width="12.453125" bestFit="1" customWidth="1" style="115" min="15" max="15"/>
    <col width="12.7265625" bestFit="1" customWidth="1" style="115" min="16" max="16"/>
    <col width="12" bestFit="1" customWidth="1" style="115" min="17" max="18"/>
    <col width="14.1796875" bestFit="1" customWidth="1" style="115" min="19" max="19"/>
    <col width="12" bestFit="1" customWidth="1" style="115" min="20" max="20"/>
    <col width="20.7265625" bestFit="1" customWidth="1" style="115" min="21" max="21"/>
    <col width="8.54296875" bestFit="1" customWidth="1" style="115" min="22" max="22"/>
    <col width="11.54296875" bestFit="1" customWidth="1" style="115" min="23" max="23"/>
    <col width="17.26953125" bestFit="1" customWidth="1" style="115" min="24" max="24"/>
    <col width="12.453125" bestFit="1" customWidth="1" style="115" min="25" max="25"/>
    <col width="12" bestFit="1" customWidth="1" style="115" min="26" max="28"/>
    <col width="13.54296875" bestFit="1" customWidth="1" style="115" min="29" max="30"/>
    <col width="20.1796875" bestFit="1" customWidth="1" style="115" min="31" max="31"/>
    <col width="12.1796875" bestFit="1" customWidth="1" style="115" min="32" max="32"/>
    <col width="18.81640625" bestFit="1" customWidth="1" style="115" min="33" max="33"/>
    <col width="13.26953125" bestFit="1" customWidth="1" style="115" min="34" max="34"/>
    <col width="17.81640625" bestFit="1" customWidth="1" style="115" min="35" max="35"/>
    <col width="14" bestFit="1" customWidth="1" style="115" min="36" max="36"/>
    <col width="12" bestFit="1" customWidth="1" style="115" min="37" max="37"/>
    <col width="9.26953125" bestFit="1" customWidth="1" style="115" min="38" max="38"/>
    <col width="9.453125" bestFit="1" customWidth="1" style="115" min="39" max="39"/>
    <col width="19.54296875" bestFit="1" customWidth="1" style="115" min="40" max="40"/>
    <col width="4.453125" bestFit="1" customWidth="1" style="115" min="41" max="41"/>
    <col width="14.81640625" bestFit="1" customWidth="1" style="115" min="42" max="42"/>
    <col width="17.453125" bestFit="1" customWidth="1" style="115" min="43" max="43"/>
    <col width="18.81640625" bestFit="1" customWidth="1" style="115" min="44" max="44"/>
    <col width="14.26953125" bestFit="1" customWidth="1" style="115" min="45" max="45"/>
    <col width="9" bestFit="1" customWidth="1" style="115" min="46" max="46"/>
    <col width="18.26953125" bestFit="1" customWidth="1" style="115" min="47" max="47"/>
    <col width="22.1796875" bestFit="1" customWidth="1" style="115" min="48" max="48"/>
    <col width="21.54296875" bestFit="1" customWidth="1" style="115" min="49" max="49"/>
    <col width="9.26953125" bestFit="1" customWidth="1" style="115" min="50" max="50"/>
  </cols>
  <sheetData>
    <row r="1">
      <c r="A1" s="9" t="inlineStr">
        <is>
          <t>roa_dealer_group</t>
        </is>
      </c>
      <c r="B1" s="9" t="inlineStr">
        <is>
          <t>rowid</t>
        </is>
      </c>
      <c r="C1" s="9" t="inlineStr">
        <is>
          <t>lookup</t>
        </is>
      </c>
      <c r="D1" s="9" t="inlineStr">
        <is>
          <t>notes</t>
        </is>
      </c>
      <c r="E1" s="9" t="inlineStr">
        <is>
          <t>datetime_inserted</t>
        </is>
      </c>
      <c r="F1" s="9" t="inlineStr">
        <is>
          <t>effective_date</t>
        </is>
      </c>
      <c r="G1" s="9" t="inlineStr">
        <is>
          <t>halfbaked_date</t>
        </is>
      </c>
      <c r="H1" s="9" t="inlineStr">
        <is>
          <t>mroa</t>
        </is>
      </c>
      <c r="I1" s="9" t="inlineStr">
        <is>
          <t>orig_yield</t>
        </is>
      </c>
      <c r="J1" s="9" t="inlineStr">
        <is>
          <t>cnl_effect</t>
        </is>
      </c>
      <c r="K1" s="9" t="inlineStr">
        <is>
          <t>var_cost</t>
        </is>
      </c>
      <c r="L1" s="9" t="inlineStr">
        <is>
          <t>cost_of_debt</t>
        </is>
      </c>
      <c r="M1" s="9" t="inlineStr">
        <is>
          <t>run_rate_nb</t>
        </is>
      </c>
      <c r="N1" s="9" t="inlineStr">
        <is>
          <t>model_score</t>
        </is>
      </c>
      <c r="O1" s="9" t="inlineStr">
        <is>
          <t>model_name</t>
        </is>
      </c>
      <c r="P1" s="9" t="inlineStr">
        <is>
          <t>wal</t>
        </is>
      </c>
      <c r="Q1" s="9" t="inlineStr">
        <is>
          <t>wal_cfc</t>
        </is>
      </c>
      <c r="R1" s="9" t="inlineStr">
        <is>
          <t>wal_adj_factor</t>
        </is>
      </c>
      <c r="S1" s="9" t="inlineStr">
        <is>
          <t>apr</t>
        </is>
      </c>
      <c r="T1" s="9" t="inlineStr">
        <is>
          <t>apr_realization_factor</t>
        </is>
      </c>
      <c r="U1" s="9" t="inlineStr">
        <is>
          <t>discount</t>
        </is>
      </c>
      <c r="V1" s="9" t="inlineStr">
        <is>
          <t>fee_income</t>
        </is>
      </c>
      <c r="W1" s="9" t="inlineStr">
        <is>
          <t>pmt_proc_income</t>
        </is>
      </c>
      <c r="X1" s="9" t="inlineStr">
        <is>
          <t>addl_income</t>
        </is>
      </c>
      <c r="Y1" s="9" t="inlineStr">
        <is>
          <t>cnl</t>
        </is>
      </c>
      <c r="Z1" s="9" t="inlineStr">
        <is>
          <t>gross_loss</t>
        </is>
      </c>
      <c r="AA1" s="9" t="inlineStr">
        <is>
          <t>recovery</t>
        </is>
      </c>
      <c r="AB1" s="9" t="inlineStr">
        <is>
          <t>cnl_adj_factor</t>
        </is>
      </c>
      <c r="AC1" s="9" t="inlineStr">
        <is>
          <t>gross_loss_cfc</t>
        </is>
      </c>
      <c r="AD1" s="9" t="inlineStr">
        <is>
          <t>gross_loss_adj_factor</t>
        </is>
      </c>
      <c r="AE1" s="9" t="inlineStr">
        <is>
          <t>recovery_cfc</t>
        </is>
      </c>
      <c r="AF1" s="9" t="inlineStr">
        <is>
          <t>recovery_adj_factor</t>
        </is>
      </c>
      <c r="AG1" s="9" t="inlineStr">
        <is>
          <t>debt_int_rate</t>
        </is>
      </c>
      <c r="AH1" s="9" t="inlineStr">
        <is>
          <t>securitization_cost</t>
        </is>
      </c>
      <c r="AI1" s="9" t="inlineStr">
        <is>
          <t>debt_adv_rate</t>
        </is>
      </c>
      <c r="AJ1" s="9" t="inlineStr">
        <is>
          <t>orig_cost</t>
        </is>
      </c>
      <c r="AK1" s="9" t="inlineStr">
        <is>
          <t>serv_cost</t>
        </is>
      </c>
      <c r="AL1" s="9" t="inlineStr">
        <is>
          <t>addl_cost</t>
        </is>
      </c>
      <c r="AM1" s="9" t="inlineStr">
        <is>
          <t>days_till_half_baked</t>
        </is>
      </c>
      <c r="AN1" s="9" t="inlineStr">
        <is>
          <t>sort</t>
        </is>
      </c>
      <c r="AO1" s="9" t="inlineStr">
        <is>
          <t>latest_row_flag</t>
        </is>
      </c>
      <c r="AP1" s="9" t="inlineStr">
        <is>
          <t>loss_meeting_flag</t>
        </is>
      </c>
      <c r="AQ1" s="9" t="inlineStr">
        <is>
          <t>pricing_change_flag</t>
        </is>
      </c>
      <c r="AR1" s="9" t="inlineStr">
        <is>
          <t>is_current_flag</t>
        </is>
      </c>
      <c r="AS1" s="9" t="inlineStr">
        <is>
          <t>elasticity</t>
        </is>
      </c>
      <c r="AT1" s="9" t="inlineStr">
        <is>
          <t>nb_ratio</t>
        </is>
      </c>
      <c r="AU1" s="9" t="inlineStr">
        <is>
          <t>version_start_datetime</t>
        </is>
      </c>
      <c r="AV1" s="9" t="inlineStr">
        <is>
          <t>version_end_datetime</t>
        </is>
      </c>
      <c r="AW1" s="9" t="inlineStr">
        <is>
          <t>ticket_no</t>
        </is>
      </c>
      <c r="AX1" s="9" t="inlineStr">
        <is>
          <t>addl_cost_of_debt</t>
        </is>
      </c>
    </row>
    <row r="2" customFormat="1" s="63">
      <c r="A2" s="22" t="inlineStr">
        <is>
          <t>AN</t>
        </is>
      </c>
      <c r="B2" s="22" t="n">
        <v>392</v>
      </c>
      <c r="C2" s="22" t="inlineStr">
        <is>
          <t>AN392</t>
        </is>
      </c>
      <c r="D2" s="22" t="inlineStr">
        <is>
          <t>AN/STG/FLD Hurdle updates (December Frontier mtg)</t>
        </is>
      </c>
      <c r="E2" s="64" t="n">
        <v>46028</v>
      </c>
      <c r="F2" s="117" t="n">
        <v>46013</v>
      </c>
      <c r="G2" s="117" t="n">
        <v>46029</v>
      </c>
      <c r="H2" s="22" t="n">
        <v>0.07939275507437921</v>
      </c>
      <c r="I2" s="22" t="n">
        <v>0.265183026924816</v>
      </c>
      <c r="J2" s="22" t="n">
        <v>0.113331507587624</v>
      </c>
      <c r="K2" s="22" t="n">
        <v>0.0272767642628125</v>
      </c>
      <c r="L2" s="22" t="n">
        <v>0.045182</v>
      </c>
      <c r="M2" s="22" t="n">
        <v>188.6976</v>
      </c>
      <c r="N2" s="22" t="n">
        <v>139.6</v>
      </c>
      <c r="O2" s="22" t="inlineStr">
        <is>
          <t>Franchise3.0</t>
        </is>
      </c>
      <c r="P2" s="22" t="n">
        <v>2.11000000036494</v>
      </c>
      <c r="Q2" s="22" t="n">
        <v>2.206721461</v>
      </c>
      <c r="R2" s="22" t="n">
        <v>0.956169610735</v>
      </c>
      <c r="S2" s="22" t="n">
        <v>0.250765847</v>
      </c>
      <c r="T2" s="22" t="n">
        <v>0.9228</v>
      </c>
      <c r="U2" s="22" t="n">
        <v>0.0527</v>
      </c>
      <c r="V2" s="22" t="n">
        <v>0.003</v>
      </c>
      <c r="W2" s="22" t="n">
        <v>0.0041</v>
      </c>
      <c r="X2" s="22" t="n">
        <v>0.0017</v>
      </c>
      <c r="Y2" s="22" t="n">
        <v>0.239129481051246</v>
      </c>
      <c r="Z2" s="22" t="n">
        <v>0.548863719871339</v>
      </c>
      <c r="AA2" s="22" t="n">
        <v>0.309734238820093</v>
      </c>
      <c r="AB2" s="22" t="n">
        <v>1.25263591249761</v>
      </c>
      <c r="AC2" s="22" t="n">
        <v>0.438167</v>
      </c>
      <c r="AD2" s="22" t="n">
        <v>1</v>
      </c>
      <c r="AE2" s="22" t="n">
        <v>0.247265973879449</v>
      </c>
      <c r="AF2" s="22" t="n">
        <v>1</v>
      </c>
      <c r="AG2" s="22" t="n">
        <v>0.0525</v>
      </c>
      <c r="AH2" s="22" t="n">
        <v>0.0026</v>
      </c>
      <c r="AI2" s="22" t="n">
        <v>0.82</v>
      </c>
      <c r="AJ2" s="22" t="n">
        <v>0.0316009726</v>
      </c>
      <c r="AK2" s="22" t="n">
        <v>0.0123</v>
      </c>
      <c r="AL2" s="22" t="n">
        <v>0</v>
      </c>
      <c r="AM2" s="22" t="n">
        <v>16</v>
      </c>
      <c r="AN2" s="22" t="n">
        <v>2</v>
      </c>
      <c r="AO2" s="22" t="n">
        <v>1</v>
      </c>
      <c r="AP2" s="22" t="n">
        <v>0</v>
      </c>
      <c r="AQ2" s="22" t="n">
        <v>1</v>
      </c>
      <c r="AR2" s="22" t="n">
        <v>1</v>
      </c>
      <c r="AS2" s="22" t="n">
        <v>0.01</v>
      </c>
      <c r="AT2" s="22" t="n">
        <v>0.9935</v>
      </c>
      <c r="AU2" s="64" t="n">
        <v>46028</v>
      </c>
      <c r="AV2" s="64" t="n">
        <v>2958101</v>
      </c>
      <c r="AW2" s="22" t="inlineStr">
        <is>
          <t>ORGN-41969</t>
        </is>
      </c>
      <c r="AX2" s="22" t="n">
        <v>0</v>
      </c>
      <c r="AZ2" t="n">
        <v>0.005</v>
      </c>
      <c r="BA2" t="n">
        <v>0.0027</v>
      </c>
      <c r="BB2" t="n">
        <v>0.07169275507437919</v>
      </c>
      <c r="BC2" t="n">
        <v>147.3</v>
      </c>
      <c r="BD2" t="n">
        <v>1.94</v>
      </c>
      <c r="BE2" t="n">
        <v>1.58</v>
      </c>
      <c r="BF2" t="n">
        <v>0.25</v>
      </c>
      <c r="BG2" t="n">
        <v>3.6</v>
      </c>
      <c r="BH2" t="n">
        <v>0.5</v>
      </c>
      <c r="BI2" t="n">
        <v>3.9</v>
      </c>
      <c r="BJ2" t="n">
        <v>0</v>
      </c>
      <c r="BK2" t="n">
        <v>-0.3</v>
      </c>
    </row>
    <row r="3">
      <c r="A3" s="9" t="inlineStr">
        <is>
          <t>ENT</t>
        </is>
      </c>
      <c r="B3" s="9" t="n">
        <v>276</v>
      </c>
      <c r="C3" s="9" t="inlineStr">
        <is>
          <t>ENT276</t>
        </is>
      </c>
      <c r="D3" s="9" t="inlineStr">
        <is>
          <t>December Loss Meeting Adjustments</t>
        </is>
      </c>
      <c r="E3" s="65" t="n">
        <v>46028.76753472222</v>
      </c>
      <c r="F3" s="118" t="n">
        <v>46009</v>
      </c>
      <c r="G3" s="118" t="n"/>
      <c r="H3" s="9" t="n">
        <v>0.0673049488296294</v>
      </c>
      <c r="I3" s="9" t="n">
        <v>0.250019637474658</v>
      </c>
      <c r="J3" s="9" t="n">
        <v>0.110255924360562</v>
      </c>
      <c r="K3" s="9" t="n">
        <v>0.0272767642844665</v>
      </c>
      <c r="L3" s="9" t="n">
        <v>0.045182</v>
      </c>
      <c r="M3" s="9" t="n">
        <v>425</v>
      </c>
      <c r="N3" s="9" t="n">
        <v>138.8</v>
      </c>
      <c r="O3" s="9" t="inlineStr">
        <is>
          <t>Franchise3.0</t>
        </is>
      </c>
      <c r="P3" s="9" t="n">
        <v>2.38000000019828</v>
      </c>
      <c r="Q3" s="9" t="n">
        <v>2.295215627</v>
      </c>
      <c r="R3" s="9" t="n">
        <v>1.036939611338</v>
      </c>
      <c r="S3" s="9" t="n">
        <v>0.240285281</v>
      </c>
      <c r="T3" s="9" t="n">
        <v>0.9258999999999999</v>
      </c>
      <c r="U3" s="9" t="n">
        <v>0.0446</v>
      </c>
      <c r="V3" s="9" t="n">
        <v>0.003</v>
      </c>
      <c r="W3" s="9" t="n">
        <v>0.0041</v>
      </c>
      <c r="X3" s="9" t="n">
        <v>0.0017</v>
      </c>
      <c r="Y3" s="9" t="n">
        <v>0.2624091</v>
      </c>
      <c r="Z3" s="9" t="n">
        <v>0.538293606210883</v>
      </c>
      <c r="AA3" s="9" t="n">
        <v>0.275884506210883</v>
      </c>
      <c r="AB3" s="9" t="n">
        <v>1.07473512353285</v>
      </c>
      <c r="AC3" s="9" t="n">
        <v>0.500861649</v>
      </c>
      <c r="AD3" s="9" t="n">
        <v>1</v>
      </c>
      <c r="AE3" s="9" t="n">
        <v>0.2567</v>
      </c>
      <c r="AF3" s="9" t="n">
        <v>1</v>
      </c>
      <c r="AG3" s="9" t="n">
        <v>0.0525</v>
      </c>
      <c r="AH3" s="9" t="n">
        <v>0.0026</v>
      </c>
      <c r="AI3" s="9" t="n">
        <v>0.82</v>
      </c>
      <c r="AJ3" s="9" t="n">
        <v>0.035644699</v>
      </c>
      <c r="AK3" s="9" t="n">
        <v>0.0123</v>
      </c>
      <c r="AL3" s="9" t="n">
        <v>0</v>
      </c>
      <c r="AM3" s="9" t="n">
        <v>13</v>
      </c>
      <c r="AN3" s="9" t="n">
        <v>4</v>
      </c>
      <c r="AO3" s="9" t="n">
        <v>1</v>
      </c>
      <c r="AP3" s="9" t="n">
        <v>1</v>
      </c>
      <c r="AQ3" s="9" t="n">
        <v>0</v>
      </c>
      <c r="AR3" s="9" t="n">
        <v>1</v>
      </c>
      <c r="AS3" s="9" t="n">
        <v>0.01</v>
      </c>
      <c r="AT3" s="9" t="n">
        <v>0.9935</v>
      </c>
      <c r="AU3" s="65" t="n">
        <v>46028.76753472222</v>
      </c>
      <c r="AV3" s="65" t="n">
        <v>2958101</v>
      </c>
      <c r="AW3" s="9" t="n"/>
      <c r="AX3" s="9" t="n">
        <v>0</v>
      </c>
      <c r="AZ3" t="n">
        <v>0.005</v>
      </c>
      <c r="BA3" t="n">
        <v>0.0027</v>
      </c>
      <c r="BB3" t="n">
        <v>0.0596049488296294</v>
      </c>
      <c r="BC3" t="n">
        <v>141.7</v>
      </c>
      <c r="BD3" t="n">
        <v>1.45</v>
      </c>
      <c r="BE3" t="n">
        <v>1.33</v>
      </c>
      <c r="BF3" t="n">
        <v>0.235</v>
      </c>
      <c r="BG3" t="n">
        <v>1.7</v>
      </c>
      <c r="BH3" t="n">
        <v>0</v>
      </c>
      <c r="BI3" t="n">
        <v>1.5</v>
      </c>
      <c r="BJ3" t="n">
        <v>0</v>
      </c>
      <c r="BK3" t="n">
        <v>-0.3</v>
      </c>
    </row>
    <row r="4" customFormat="1" s="63">
      <c r="A4" s="22" t="inlineStr">
        <is>
          <t>FLD</t>
        </is>
      </c>
      <c r="B4" s="22" t="n">
        <v>275</v>
      </c>
      <c r="C4" s="22" t="inlineStr">
        <is>
          <t>FLD275</t>
        </is>
      </c>
      <c r="D4" s="22" t="inlineStr">
        <is>
          <t>FRN/STG/FLD 100bps Hurdle Lower</t>
        </is>
      </c>
      <c r="E4" s="64" t="n">
        <v>46042</v>
      </c>
      <c r="F4" s="117" t="n">
        <v>46043</v>
      </c>
      <c r="G4" s="117" t="n">
        <v>46056</v>
      </c>
      <c r="H4" s="22" t="n">
        <v>0.06259610177684551</v>
      </c>
      <c r="I4" s="22" t="n">
        <v>0.236771663401459</v>
      </c>
      <c r="J4" s="22" t="n">
        <v>0.101716797324302</v>
      </c>
      <c r="K4" s="22" t="n">
        <v>0.0272767643003107</v>
      </c>
      <c r="L4" s="22" t="n">
        <v>0.045182</v>
      </c>
      <c r="M4" s="22" t="n">
        <v>224.91</v>
      </c>
      <c r="N4" s="22" t="n">
        <v>138.7</v>
      </c>
      <c r="O4" s="22" t="inlineStr">
        <is>
          <t>Franchise3.0</t>
        </is>
      </c>
      <c r="P4" s="22" t="n">
        <v>2.34999999961739</v>
      </c>
      <c r="Q4" s="22" t="n">
        <v>2.2769093</v>
      </c>
      <c r="R4" s="22" t="n">
        <v>1.032100839334</v>
      </c>
      <c r="S4" s="22" t="n">
        <v>0.236700914</v>
      </c>
      <c r="T4" s="22" t="n">
        <v>0.9330000000000001</v>
      </c>
      <c r="U4" s="22" t="n">
        <v>0.01675482</v>
      </c>
      <c r="V4" s="22" t="n">
        <v>0.003</v>
      </c>
      <c r="W4" s="22" t="n">
        <v>0.0041</v>
      </c>
      <c r="X4" s="22" t="n">
        <v>0.0017</v>
      </c>
      <c r="Y4" s="22" t="n">
        <v>0.239034473673193</v>
      </c>
      <c r="Z4" s="22" t="n">
        <v>0.66510845064572</v>
      </c>
      <c r="AA4" s="22" t="n">
        <v>0.426073976972527</v>
      </c>
      <c r="AB4" s="22" t="n">
        <v>1.73060104375519</v>
      </c>
      <c r="AC4" s="22" t="n">
        <v>0.384322229</v>
      </c>
      <c r="AD4" s="22" t="n">
        <v>1</v>
      </c>
      <c r="AE4" s="22" t="n">
        <v>0.2462</v>
      </c>
      <c r="AF4" s="22" t="n">
        <v>1</v>
      </c>
      <c r="AG4" s="22" t="n">
        <v>0.0525</v>
      </c>
      <c r="AH4" s="22" t="n">
        <v>0.0026</v>
      </c>
      <c r="AI4" s="22" t="n">
        <v>0.82</v>
      </c>
      <c r="AJ4" s="22" t="n">
        <v>0.0351953961</v>
      </c>
      <c r="AK4" s="22" t="n">
        <v>0.0123</v>
      </c>
      <c r="AL4" s="22" t="n">
        <v>0</v>
      </c>
      <c r="AM4" s="22" t="n">
        <v>13</v>
      </c>
      <c r="AN4" s="22" t="n">
        <v>5</v>
      </c>
      <c r="AO4" s="22" t="n">
        <v>1</v>
      </c>
      <c r="AP4" s="22" t="n">
        <v>0</v>
      </c>
      <c r="AQ4" s="22" t="n">
        <v>1</v>
      </c>
      <c r="AR4" s="22" t="n">
        <v>1</v>
      </c>
      <c r="AS4" s="22" t="n">
        <v>0.01</v>
      </c>
      <c r="AT4" s="22" t="n">
        <v>0.9935</v>
      </c>
      <c r="AU4" s="64" t="n">
        <v>46042</v>
      </c>
      <c r="AV4" s="64" t="n">
        <v>2958101</v>
      </c>
      <c r="AW4" s="22" t="inlineStr">
        <is>
          <t>ORGN-42013</t>
        </is>
      </c>
      <c r="AX4" s="22" t="n">
        <v>0</v>
      </c>
      <c r="AZ4" t="n">
        <v>0.005</v>
      </c>
      <c r="BA4" t="n">
        <v>0.0027</v>
      </c>
      <c r="BB4" t="n">
        <v>0.0548961017768455</v>
      </c>
      <c r="BC4" t="n">
        <v>147.2</v>
      </c>
      <c r="BD4" t="n">
        <v>1.45</v>
      </c>
      <c r="BE4" t="n">
        <v>1.37</v>
      </c>
      <c r="BF4" t="n">
        <v>0.235</v>
      </c>
      <c r="BG4" t="n">
        <v>5.6</v>
      </c>
      <c r="BH4" t="n">
        <v>2</v>
      </c>
      <c r="BI4" t="n">
        <v>1</v>
      </c>
      <c r="BJ4" t="n">
        <v>0</v>
      </c>
      <c r="BK4" t="n">
        <v>-0.1</v>
      </c>
    </row>
    <row r="5">
      <c r="A5" s="9" t="inlineStr">
        <is>
          <t>FRN</t>
        </is>
      </c>
      <c r="B5" s="9" t="n">
        <v>403</v>
      </c>
      <c r="C5" s="9" t="inlineStr">
        <is>
          <t>FRN403</t>
        </is>
      </c>
      <c r="D5" s="9" t="inlineStr">
        <is>
          <t>FRN/STG/FLD 100bps Hurdle Lower</t>
        </is>
      </c>
      <c r="E5" s="65" t="n">
        <v>46042</v>
      </c>
      <c r="F5" s="118" t="n">
        <v>46043</v>
      </c>
      <c r="G5" s="118" t="n">
        <v>46062</v>
      </c>
      <c r="H5" s="9" t="n">
        <v>0.0679637987856308</v>
      </c>
      <c r="I5" s="9" t="n">
        <v>0.27306685020933</v>
      </c>
      <c r="J5" s="9" t="n">
        <v>0.132644287120839</v>
      </c>
      <c r="K5" s="9" t="n">
        <v>0.02727676430286</v>
      </c>
      <c r="L5" s="9" t="n">
        <v>0.045182</v>
      </c>
      <c r="M5" s="9" t="n">
        <v>658.5599999999999</v>
      </c>
      <c r="N5" s="9" t="n">
        <v>142</v>
      </c>
      <c r="O5" s="9" t="inlineStr">
        <is>
          <t>Franchise3.0</t>
        </is>
      </c>
      <c r="P5" s="9" t="n">
        <v>1.99999999961807</v>
      </c>
      <c r="Q5" s="9" t="n">
        <v>2.178675577</v>
      </c>
      <c r="R5" s="9" t="n">
        <v>0.9179889014830001</v>
      </c>
      <c r="S5" s="9" t="n">
        <v>0.256452944</v>
      </c>
      <c r="T5" s="9" t="n">
        <v>0.9053</v>
      </c>
      <c r="U5" s="9" t="n">
        <v>0.06419999999999999</v>
      </c>
      <c r="V5" s="9" t="n">
        <v>0.003</v>
      </c>
      <c r="W5" s="9" t="n">
        <v>0.0041</v>
      </c>
      <c r="X5" s="9" t="n">
        <v>0.0017</v>
      </c>
      <c r="Y5" s="9" t="n">
        <v>0.265288574191018</v>
      </c>
      <c r="Z5" s="9" t="n">
        <v>0.571071287767856</v>
      </c>
      <c r="AA5" s="9" t="n">
        <v>0.305782713576838</v>
      </c>
      <c r="AB5" s="9" t="n">
        <v>1.22135483820353</v>
      </c>
      <c r="AC5" s="9" t="n">
        <v>0.46757197</v>
      </c>
      <c r="AD5" s="9" t="n">
        <v>1</v>
      </c>
      <c r="AE5" s="9" t="n">
        <v>0.250363534013267</v>
      </c>
      <c r="AF5" s="9" t="n">
        <v>1</v>
      </c>
      <c r="AG5" s="9" t="n">
        <v>0.0525</v>
      </c>
      <c r="AH5" s="9" t="n">
        <v>0.0026</v>
      </c>
      <c r="AI5" s="9" t="n">
        <v>0.82</v>
      </c>
      <c r="AJ5" s="9" t="n">
        <v>0.0299535286</v>
      </c>
      <c r="AK5" s="9" t="n">
        <v>0.0123</v>
      </c>
      <c r="AL5" s="9" t="n">
        <v>0</v>
      </c>
      <c r="AM5" s="9" t="n">
        <v>19</v>
      </c>
      <c r="AN5" s="9" t="n">
        <v>6</v>
      </c>
      <c r="AO5" s="9" t="n">
        <v>1</v>
      </c>
      <c r="AP5" s="9" t="n">
        <v>0</v>
      </c>
      <c r="AQ5" s="9" t="n">
        <v>1</v>
      </c>
      <c r="AR5" s="9" t="n">
        <v>1</v>
      </c>
      <c r="AS5" s="9" t="n">
        <v>0.01</v>
      </c>
      <c r="AT5" s="9" t="n">
        <v>0.993</v>
      </c>
      <c r="AU5" s="65" t="n">
        <v>46042</v>
      </c>
      <c r="AV5" s="65" t="n">
        <v>2958101</v>
      </c>
      <c r="AW5" s="9" t="inlineStr">
        <is>
          <t>ORGN-42013</t>
        </is>
      </c>
      <c r="AX5" s="9" t="n">
        <v>0</v>
      </c>
      <c r="AZ5" t="n">
        <v>0.005</v>
      </c>
      <c r="BA5" t="n">
        <v>0.0027</v>
      </c>
      <c r="BB5" t="n">
        <v>0.0602637987856308</v>
      </c>
      <c r="BC5" t="n">
        <v>150.7</v>
      </c>
      <c r="BD5" t="n">
        <v>1.94</v>
      </c>
      <c r="BE5" t="n">
        <v>1.44</v>
      </c>
      <c r="BF5" t="n">
        <v>0.25</v>
      </c>
      <c r="BG5" t="n">
        <v>3.4</v>
      </c>
      <c r="BH5" t="n">
        <v>0</v>
      </c>
      <c r="BI5" t="n">
        <v>5.9</v>
      </c>
      <c r="BJ5" t="n">
        <v>0</v>
      </c>
      <c r="BK5" t="n">
        <v>-0.6</v>
      </c>
    </row>
    <row r="6" customFormat="1" s="63">
      <c r="A6" s="22" t="inlineStr">
        <is>
          <t>KMX</t>
        </is>
      </c>
      <c r="B6" s="22" t="n">
        <v>414</v>
      </c>
      <c r="C6" s="22" t="inlineStr">
        <is>
          <t>KMX414</t>
        </is>
      </c>
      <c r="D6" s="22" t="inlineStr">
        <is>
          <t>December Loss Meeting Adjustments</t>
        </is>
      </c>
      <c r="E6" s="64" t="n">
        <v>46028.76711805556</v>
      </c>
      <c r="F6" s="117" t="n">
        <v>46009</v>
      </c>
      <c r="G6" s="117" t="n"/>
      <c r="H6" s="22" t="n">
        <v>0.06777073267370751</v>
      </c>
      <c r="I6" s="22" t="n">
        <v>0.250266276589246</v>
      </c>
      <c r="J6" s="22" t="n">
        <v>0.120396779636844</v>
      </c>
      <c r="K6" s="22" t="n">
        <v>0.0169167642786939</v>
      </c>
      <c r="L6" s="22" t="n">
        <v>0.045182</v>
      </c>
      <c r="M6" s="22" t="n">
        <v>1638.75</v>
      </c>
      <c r="N6" s="22" t="n">
        <v>141.60524</v>
      </c>
      <c r="O6" s="22" t="inlineStr">
        <is>
          <t>Mountain3</t>
        </is>
      </c>
      <c r="P6" s="22" t="n">
        <v>2.36000000047383</v>
      </c>
      <c r="Q6" s="22" t="n">
        <v>2.39704245</v>
      </c>
      <c r="R6" s="22" t="n">
        <v>0.984546602616</v>
      </c>
      <c r="S6" s="22" t="n">
        <v>0.24649264</v>
      </c>
      <c r="T6" s="22" t="n">
        <v>0.9203</v>
      </c>
      <c r="U6" s="22" t="n">
        <v>0.032377076</v>
      </c>
      <c r="V6" s="22" t="n">
        <v>0.003</v>
      </c>
      <c r="W6" s="22" t="n">
        <v>0.0041</v>
      </c>
      <c r="X6" s="22" t="n">
        <v>0.0026</v>
      </c>
      <c r="Y6" s="22" t="n">
        <v>0.2841364</v>
      </c>
      <c r="Z6" s="22" t="n">
        <v>0.638237822731889</v>
      </c>
      <c r="AA6" s="22" t="n">
        <v>0.354101422731889</v>
      </c>
      <c r="AB6" s="22" t="n">
        <v>1.25716818471409</v>
      </c>
      <c r="AC6" s="22" t="n">
        <v>0.507678949</v>
      </c>
      <c r="AD6" s="22" t="n">
        <v>1</v>
      </c>
      <c r="AE6" s="22" t="n">
        <v>0.28166591156013</v>
      </c>
      <c r="AF6" s="22" t="n">
        <v>1</v>
      </c>
      <c r="AG6" s="22" t="n">
        <v>0.0525</v>
      </c>
      <c r="AH6" s="22" t="n">
        <v>0.0026</v>
      </c>
      <c r="AI6" s="22" t="n">
        <v>0.82</v>
      </c>
      <c r="AJ6" s="22" t="n">
        <v>0.0113675637</v>
      </c>
      <c r="AK6" s="22" t="n">
        <v>0.0121</v>
      </c>
      <c r="AL6" s="22" t="n">
        <v>0</v>
      </c>
      <c r="AM6" s="22" t="n">
        <v>4</v>
      </c>
      <c r="AN6" s="22" t="n">
        <v>1</v>
      </c>
      <c r="AO6" s="22" t="n">
        <v>1</v>
      </c>
      <c r="AP6" s="22" t="n">
        <v>1</v>
      </c>
      <c r="AQ6" s="22" t="n">
        <v>0</v>
      </c>
      <c r="AR6" s="22" t="n">
        <v>1</v>
      </c>
      <c r="AS6" s="22" t="n">
        <v>0.0065</v>
      </c>
      <c r="AT6" s="22" t="n">
        <v>0.9399999999999999</v>
      </c>
      <c r="AU6" s="64" t="n">
        <v>46028.76711805556</v>
      </c>
      <c r="AV6" s="64" t="n">
        <v>2958101</v>
      </c>
      <c r="AW6" s="22" t="n"/>
      <c r="AX6" s="22" t="n">
        <v>0</v>
      </c>
      <c r="AZ6" t="n">
        <v>0.005</v>
      </c>
      <c r="BA6" t="n">
        <v>0.0027</v>
      </c>
      <c r="BB6" t="n">
        <v>0.0600707326737075</v>
      </c>
      <c r="BC6" t="n">
        <v>146.3</v>
      </c>
      <c r="BD6" t="n">
        <v>1.59</v>
      </c>
      <c r="BE6" t="n">
        <v>1.62</v>
      </c>
      <c r="BF6" t="n">
        <v>0.25</v>
      </c>
      <c r="BG6" t="n">
        <v>4.7</v>
      </c>
      <c r="BH6" t="n">
        <v>0.47</v>
      </c>
      <c r="BI6" t="n">
        <v>-0.5</v>
      </c>
      <c r="BJ6" t="n">
        <v>0</v>
      </c>
      <c r="BK6" t="n">
        <v>0</v>
      </c>
    </row>
    <row r="7">
      <c r="A7" s="9" t="inlineStr">
        <is>
          <t>STG</t>
        </is>
      </c>
      <c r="B7" s="9" t="n">
        <v>411</v>
      </c>
      <c r="C7" s="9" t="inlineStr">
        <is>
          <t>STG411</t>
        </is>
      </c>
      <c r="D7" s="9" t="inlineStr">
        <is>
          <t>FRN/STG/FLD 100bps Hurdle Lower</t>
        </is>
      </c>
      <c r="E7" s="65" t="n">
        <v>46042</v>
      </c>
      <c r="F7" s="118" t="n">
        <v>46043</v>
      </c>
      <c r="G7" s="118" t="n">
        <v>46060</v>
      </c>
      <c r="H7" s="9" t="n">
        <v>0.06804581718380549</v>
      </c>
      <c r="I7" s="9" t="n">
        <v>0.257169180482892</v>
      </c>
      <c r="J7" s="9" t="n">
        <v>0.116664599009741</v>
      </c>
      <c r="K7" s="9" t="n">
        <v>0.0272767642893456</v>
      </c>
      <c r="L7" s="9" t="n">
        <v>0.045182</v>
      </c>
      <c r="M7" s="9" t="n">
        <v>491.568</v>
      </c>
      <c r="N7" s="9" t="n">
        <v>138.6</v>
      </c>
      <c r="O7" s="9" t="inlineStr">
        <is>
          <t>Franchise3.0</t>
        </is>
      </c>
      <c r="P7" s="9" t="n">
        <v>2.05000000045681</v>
      </c>
      <c r="Q7" s="9" t="n">
        <v>2.180166621</v>
      </c>
      <c r="R7" s="9" t="n">
        <v>0.940295104379</v>
      </c>
      <c r="S7" s="9" t="n">
        <v>0.2456</v>
      </c>
      <c r="T7" s="9" t="n">
        <v>0.9215</v>
      </c>
      <c r="U7" s="9" t="n">
        <v>0.0452</v>
      </c>
      <c r="V7" s="9" t="n">
        <v>0.003</v>
      </c>
      <c r="W7" s="9" t="n">
        <v>0.0041</v>
      </c>
      <c r="X7" s="9" t="n">
        <v>0.0017</v>
      </c>
      <c r="Y7" s="9" t="n">
        <v>0.239162428023261</v>
      </c>
      <c r="Z7" s="9" t="n">
        <v>0.5063961296606611</v>
      </c>
      <c r="AA7" s="9" t="n">
        <v>0.2672337016374</v>
      </c>
      <c r="AB7" s="9" t="n">
        <v>1.08827111326494</v>
      </c>
      <c r="AC7" s="9" t="n">
        <v>0.465321668</v>
      </c>
      <c r="AD7" s="9" t="n">
        <v>1</v>
      </c>
      <c r="AE7" s="9" t="n">
        <v>0.245558021691549</v>
      </c>
      <c r="AF7" s="9" t="n">
        <v>1</v>
      </c>
      <c r="AG7" s="9" t="n">
        <v>0.0525</v>
      </c>
      <c r="AH7" s="9" t="n">
        <v>0.0026</v>
      </c>
      <c r="AI7" s="9" t="n">
        <v>0.82</v>
      </c>
      <c r="AJ7" s="9" t="n">
        <v>0.0307023668</v>
      </c>
      <c r="AK7" s="9" t="n">
        <v>0.0123</v>
      </c>
      <c r="AL7" s="9" t="n">
        <v>0</v>
      </c>
      <c r="AM7" s="9" t="n">
        <v>17</v>
      </c>
      <c r="AN7" s="9" t="n">
        <v>3</v>
      </c>
      <c r="AO7" s="9" t="n">
        <v>1</v>
      </c>
      <c r="AP7" s="9" t="n">
        <v>0</v>
      </c>
      <c r="AQ7" s="9" t="n">
        <v>1</v>
      </c>
      <c r="AR7" s="9" t="n">
        <v>1</v>
      </c>
      <c r="AS7" s="9" t="n">
        <v>0.01</v>
      </c>
      <c r="AT7" s="9" t="n">
        <v>0.995</v>
      </c>
      <c r="AU7" s="65" t="n">
        <v>46042</v>
      </c>
      <c r="AV7" s="65" t="n">
        <v>2958101</v>
      </c>
      <c r="AW7" s="9" t="inlineStr">
        <is>
          <t>ORGN-42013</t>
        </is>
      </c>
      <c r="AX7" s="9" t="n">
        <v>0</v>
      </c>
      <c r="AZ7" t="n">
        <v>0.005</v>
      </c>
      <c r="BA7" t="n">
        <v>0.0027</v>
      </c>
      <c r="BB7" t="n">
        <v>0.0603458171838054</v>
      </c>
      <c r="BC7" t="n">
        <v>151</v>
      </c>
      <c r="BD7" t="n">
        <v>1.94</v>
      </c>
      <c r="BE7" t="n">
        <v>1.45</v>
      </c>
      <c r="BF7" t="n">
        <v>0.25</v>
      </c>
      <c r="BG7" t="n">
        <v>3.7</v>
      </c>
      <c r="BH7" t="n">
        <v>3</v>
      </c>
      <c r="BI7" t="n">
        <v>5.7</v>
      </c>
      <c r="BJ7" t="n">
        <v>0</v>
      </c>
      <c r="BK7" t="n">
        <v>0</v>
      </c>
    </row>
    <row r="8">
      <c r="A8" s="22" t="inlineStr">
        <is>
          <t>NonKMXENT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>
        <f>SUM(M2,M4,M5,M7)</f>
        <v/>
      </c>
      <c r="N8" s="9">
        <f>(M2*N2+M4*N4+M5*N5+M7*N7)/M8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L41" sqref="L41"/>
    </sheetView>
  </sheetViews>
  <sheetFormatPr baseColWidth="8" defaultRowHeight="14.5"/>
  <sheetData>
    <row r="1">
      <c r="A1" t="inlineStr">
        <is>
          <t>roa_dealer_group</t>
        </is>
      </c>
      <c r="B1" t="n">
        <v>2016</v>
      </c>
      <c r="C1" t="n">
        <v>2017</v>
      </c>
      <c r="D1" t="n">
        <v>2018</v>
      </c>
      <c r="E1" t="n">
        <v>2019</v>
      </c>
      <c r="F1" t="n">
        <v>20201</v>
      </c>
      <c r="G1" t="n">
        <v>20202</v>
      </c>
      <c r="H1" t="n">
        <v>20203</v>
      </c>
      <c r="I1" t="n">
        <v>20204</v>
      </c>
      <c r="J1" t="n">
        <v>20211</v>
      </c>
      <c r="K1" t="n">
        <v>20212</v>
      </c>
      <c r="L1" t="n">
        <v>20213</v>
      </c>
      <c r="M1" t="n">
        <v>20214</v>
      </c>
      <c r="N1" t="n">
        <v>20221</v>
      </c>
      <c r="O1" t="n">
        <v>20222</v>
      </c>
      <c r="P1" t="n">
        <v>20223</v>
      </c>
      <c r="Q1" t="n">
        <v>20224</v>
      </c>
      <c r="R1" t="n">
        <v>20231</v>
      </c>
      <c r="S1" t="n">
        <v>20232</v>
      </c>
      <c r="T1" t="n">
        <v>20233</v>
      </c>
      <c r="U1" t="n">
        <v>20234</v>
      </c>
      <c r="V1" t="n">
        <v>20241</v>
      </c>
      <c r="W1" t="n">
        <v>20242</v>
      </c>
      <c r="X1" t="n">
        <v>20243</v>
      </c>
      <c r="Y1" t="n">
        <v>20244</v>
      </c>
    </row>
    <row r="2">
      <c r="A2" t="inlineStr">
        <is>
          <t>roa_dealer_group</t>
        </is>
      </c>
    </row>
    <row r="3">
      <c r="A3" t="inlineStr">
        <is>
          <t>AN</t>
        </is>
      </c>
      <c r="B3" t="n">
        <v>0.136328791451323</v>
      </c>
      <c r="C3" t="n">
        <v>0.144379046102145</v>
      </c>
      <c r="D3" t="n">
        <v>0.111738696840945</v>
      </c>
      <c r="E3" t="n">
        <v>0.0611384450434708</v>
      </c>
      <c r="F3" t="n">
        <v>0.0576276153296737</v>
      </c>
      <c r="G3" t="n">
        <v>0.0591121818922776</v>
      </c>
      <c r="H3" t="n">
        <v>0.048653702060264</v>
      </c>
      <c r="I3" t="n">
        <v>0.0496972671157751</v>
      </c>
      <c r="J3" t="n">
        <v>0.048043083842931</v>
      </c>
      <c r="K3" t="n">
        <v>0.0534499653234799</v>
      </c>
      <c r="L3" t="n">
        <v>0.0413094208477397</v>
      </c>
      <c r="M3" t="n">
        <v>0.0434121940235959</v>
      </c>
      <c r="N3" t="n">
        <v>0.039799267429933</v>
      </c>
      <c r="O3" t="n">
        <v>0.0425948294588517</v>
      </c>
      <c r="P3" t="n">
        <v>0.0495125187339779</v>
      </c>
      <c r="Q3" t="n">
        <v>0.0445901745984536</v>
      </c>
      <c r="R3" t="n">
        <v>0.0460342444382427</v>
      </c>
      <c r="S3" t="n">
        <v>0.0487402947466929</v>
      </c>
      <c r="T3" t="n">
        <v>0.0493921183048113</v>
      </c>
      <c r="U3" t="n">
        <v>0.0591917278107614</v>
      </c>
      <c r="V3" t="n">
        <v>0.0599988505185551</v>
      </c>
      <c r="W3" t="n">
        <v>0.0603954560160637</v>
      </c>
      <c r="X3" t="n">
        <v>0.052556051909288</v>
      </c>
      <c r="Y3" t="n">
        <v>0.0531448830352085</v>
      </c>
      <c r="Z3" t="n">
        <v>0.0588693761446745</v>
      </c>
      <c r="AA3" t="n">
        <v>0.06494918396896469</v>
      </c>
      <c r="AB3" t="n">
        <v>0.06378861344919701</v>
      </c>
      <c r="AC3" t="n">
        <v>0.0575035613926438</v>
      </c>
    </row>
    <row r="4">
      <c r="A4" t="inlineStr">
        <is>
          <t>ENT</t>
        </is>
      </c>
      <c r="B4" t="n">
        <v/>
      </c>
      <c r="C4" t="n">
        <v/>
      </c>
      <c r="D4" t="n">
        <v/>
      </c>
      <c r="E4" t="n">
        <v>0.003503796552662</v>
      </c>
      <c r="F4" t="n">
        <v>0.0768191199029593</v>
      </c>
      <c r="G4" t="n">
        <v>0.100271976162042</v>
      </c>
      <c r="H4" t="n">
        <v>0.0870579217402362</v>
      </c>
      <c r="I4" t="n">
        <v>0.111206338311863</v>
      </c>
      <c r="J4" t="n">
        <v>0.133277279666092</v>
      </c>
      <c r="K4" t="n">
        <v>0.175045439934018</v>
      </c>
      <c r="L4" t="n">
        <v>0.152097635657182</v>
      </c>
      <c r="M4" t="n">
        <v>0.140821330596052</v>
      </c>
      <c r="N4" t="n">
        <v>0.129624892538356</v>
      </c>
      <c r="O4" t="n">
        <v>0.124756957654147</v>
      </c>
      <c r="P4" t="n">
        <v>0.124891330099921</v>
      </c>
      <c r="Q4" t="n">
        <v>0.187171757312744</v>
      </c>
      <c r="R4" t="n">
        <v>0.207633232706623</v>
      </c>
      <c r="S4" t="n">
        <v>0.190606563427888</v>
      </c>
      <c r="T4" t="n">
        <v>0.163534731982156</v>
      </c>
      <c r="U4" t="n">
        <v>0.171031469712491</v>
      </c>
      <c r="V4" t="n">
        <v>0.154144903370379</v>
      </c>
      <c r="W4" t="n">
        <v>0.139878552974438</v>
      </c>
      <c r="X4" t="n">
        <v>0.136669206853401</v>
      </c>
      <c r="Y4" t="n">
        <v>0.151944822989966</v>
      </c>
      <c r="Z4" t="n">
        <v>0.158232405134372</v>
      </c>
      <c r="AA4" t="n">
        <v>0.145926814879974</v>
      </c>
      <c r="AB4" t="n">
        <v>0.141162879165821</v>
      </c>
      <c r="AC4" t="n">
        <v>0.133282208274195</v>
      </c>
    </row>
    <row r="5">
      <c r="A5" t="inlineStr">
        <is>
          <t>FLD</t>
        </is>
      </c>
      <c r="B5" t="n">
        <v/>
      </c>
      <c r="C5" t="n">
        <v/>
      </c>
      <c r="D5" t="n">
        <v/>
      </c>
      <c r="E5" t="n">
        <v>0.015147625352469</v>
      </c>
      <c r="F5" t="n">
        <v>0.0506130080759538</v>
      </c>
      <c r="G5" t="n">
        <v>0.040833289318399</v>
      </c>
      <c r="H5" t="n">
        <v>0.0311330277342732</v>
      </c>
      <c r="I5" t="n">
        <v>0.017144042288368</v>
      </c>
      <c r="J5" t="n">
        <v>0.0211786339679606</v>
      </c>
      <c r="K5" t="n">
        <v>0.0409480541654046</v>
      </c>
      <c r="L5" t="n">
        <v>0.0400642717020911</v>
      </c>
      <c r="M5" t="n">
        <v>0.0324550527629354</v>
      </c>
      <c r="N5" t="n">
        <v>0.0247481436275782</v>
      </c>
      <c r="O5" t="n">
        <v>0.0250686702223798</v>
      </c>
      <c r="P5" t="n">
        <v>0.0280754520119353</v>
      </c>
      <c r="Q5" t="n">
        <v>0.0261965299187813</v>
      </c>
      <c r="R5" t="n">
        <v>0.0142303220141635</v>
      </c>
      <c r="S5" t="n">
        <v>0.0214091505718596</v>
      </c>
      <c r="T5" t="n">
        <v>0.0233410739559387</v>
      </c>
      <c r="U5" t="n">
        <v>0.0252296779084762</v>
      </c>
      <c r="V5" t="n">
        <v>0.0326703441575486</v>
      </c>
      <c r="W5" t="n">
        <v>0.0479481036114708</v>
      </c>
      <c r="X5" t="n">
        <v>0.0365148393298216</v>
      </c>
      <c r="Y5" t="n">
        <v>0.0357167096271635</v>
      </c>
      <c r="Z5" t="n">
        <v>0.045582067555169</v>
      </c>
      <c r="AA5" t="n">
        <v>0.0448527875441036</v>
      </c>
      <c r="AB5" t="n">
        <v>0.0447376959135203</v>
      </c>
      <c r="AC5" t="n">
        <v>0.0627944992121065</v>
      </c>
    </row>
    <row r="6">
      <c r="A6" t="inlineStr">
        <is>
          <t>FRN</t>
        </is>
      </c>
      <c r="B6" t="n">
        <v>0.0161582910601019</v>
      </c>
      <c r="C6" t="n">
        <v>0.0279960015143176</v>
      </c>
      <c r="D6" t="n">
        <v>0.0171031377894369</v>
      </c>
      <c r="E6" t="n">
        <v>0.0168191721407789</v>
      </c>
      <c r="F6" t="n">
        <v>0.0459648503005586</v>
      </c>
      <c r="G6" t="n">
        <v>0.0654783042939772</v>
      </c>
      <c r="H6" t="n">
        <v>0.07023666270075569</v>
      </c>
      <c r="I6" t="n">
        <v>0.0809944293076765</v>
      </c>
      <c r="J6" t="n">
        <v>0.0708013780335745</v>
      </c>
      <c r="K6" t="n">
        <v>0.104653890674804</v>
      </c>
      <c r="L6" t="n">
        <v>0.104391540609716</v>
      </c>
      <c r="M6" t="n">
        <v>0.122381817145683</v>
      </c>
      <c r="N6" t="n">
        <v>0.105800608953346</v>
      </c>
      <c r="O6" t="n">
        <v>0.114287377233167</v>
      </c>
      <c r="P6" t="n">
        <v>0.128540481852479</v>
      </c>
      <c r="Q6" t="n">
        <v>0.0954785884207756</v>
      </c>
      <c r="R6" t="n">
        <v>0.059170330146397</v>
      </c>
      <c r="S6" t="n">
        <v>0.081172555034637</v>
      </c>
      <c r="T6" t="n">
        <v>0.0947532636040176</v>
      </c>
      <c r="U6" t="n">
        <v>0.165139356476633</v>
      </c>
      <c r="V6" t="n">
        <v>0.179093164727772</v>
      </c>
      <c r="W6" t="n">
        <v>0.205544398984179</v>
      </c>
      <c r="X6" t="n">
        <v>0.186864567216661</v>
      </c>
      <c r="Y6" t="n">
        <v>0.200702780880869</v>
      </c>
      <c r="Z6" t="n">
        <v>0.184083203687005</v>
      </c>
      <c r="AA6" t="n">
        <v>0.201425805639681</v>
      </c>
      <c r="AB6" t="n">
        <v>0.211780240065526</v>
      </c>
      <c r="AC6" t="n">
        <v>0.171074585225511</v>
      </c>
    </row>
    <row r="7">
      <c r="A7" t="inlineStr">
        <is>
          <t>KMX</t>
        </is>
      </c>
      <c r="B7" t="n">
        <v>0.622021897289853</v>
      </c>
      <c r="C7" t="n">
        <v>0.660488273961907</v>
      </c>
      <c r="D7" t="n">
        <v>0.681062613695684</v>
      </c>
      <c r="E7" t="n">
        <v>0.7281629930479629</v>
      </c>
      <c r="F7" t="n">
        <v>0.641368814311476</v>
      </c>
      <c r="G7" t="n">
        <v>0.60892731120195</v>
      </c>
      <c r="H7" t="n">
        <v>0.652296964197158</v>
      </c>
      <c r="I7" t="n">
        <v>0.641472562845856</v>
      </c>
      <c r="J7" t="n">
        <v>0.633789308313553</v>
      </c>
      <c r="K7" t="n">
        <v>0.5187953103669311</v>
      </c>
      <c r="L7" t="n">
        <v>0.561621536548696</v>
      </c>
      <c r="M7" t="n">
        <v>0.554715271087269</v>
      </c>
      <c r="N7" t="n">
        <v>0.608043595965967</v>
      </c>
      <c r="O7" t="n">
        <v>0.598349953651367</v>
      </c>
      <c r="P7" t="n">
        <v>0.591039119301775</v>
      </c>
      <c r="Q7" t="n">
        <v>0.592436748568271</v>
      </c>
      <c r="R7" t="n">
        <v>0.637966859108448</v>
      </c>
      <c r="S7" t="n">
        <v>0.61526537461057</v>
      </c>
      <c r="T7" t="n">
        <v>0.614259001601809</v>
      </c>
      <c r="U7" t="n">
        <v>0.487605508510592</v>
      </c>
      <c r="V7" t="n">
        <v>0.486058184541041</v>
      </c>
      <c r="W7" t="n">
        <v>0.414471408830149</v>
      </c>
      <c r="X7" t="n">
        <v>0.469551658396535</v>
      </c>
      <c r="Y7" t="n">
        <v>0.440735871458951</v>
      </c>
      <c r="Z7" t="n">
        <v>0.43785652247778</v>
      </c>
      <c r="AA7" t="n">
        <v>0.413125420863255</v>
      </c>
      <c r="AB7" t="n">
        <v>0.416542100180359</v>
      </c>
      <c r="AC7" t="n">
        <v>0.471483989058606</v>
      </c>
    </row>
    <row r="8">
      <c r="A8" t="inlineStr">
        <is>
          <t>STG</t>
        </is>
      </c>
      <c r="B8" t="n">
        <v>0.225491020198722</v>
      </c>
      <c r="C8" t="n">
        <v>0.167136678421631</v>
      </c>
      <c r="D8" t="n">
        <v>0.190095551673934</v>
      </c>
      <c r="E8" t="n">
        <v>0.175227967862656</v>
      </c>
      <c r="F8" t="n">
        <v>0.127606592079379</v>
      </c>
      <c r="G8" t="n">
        <v>0.125376937131355</v>
      </c>
      <c r="H8" t="n">
        <v>0.110621721567313</v>
      </c>
      <c r="I8" t="n">
        <v>0.09948536013046159</v>
      </c>
      <c r="J8" t="n">
        <v>0.0929103161758891</v>
      </c>
      <c r="K8" t="n">
        <v>0.107107339535362</v>
      </c>
      <c r="L8" t="n">
        <v>0.100515594634576</v>
      </c>
      <c r="M8" t="n">
        <v>0.106214334384464</v>
      </c>
      <c r="N8" t="n">
        <v>0.0919834914848197</v>
      </c>
      <c r="O8" t="n">
        <v>0.0949422117800876</v>
      </c>
      <c r="P8" t="n">
        <v>0.0779410979999112</v>
      </c>
      <c r="Q8" t="n">
        <v>0.0541262011809745</v>
      </c>
      <c r="R8" t="n">
        <v>0.0349650115861257</v>
      </c>
      <c r="S8" t="n">
        <v>0.0428060616083525</v>
      </c>
      <c r="T8" t="n">
        <v>0.0547198105512667</v>
      </c>
      <c r="U8" t="n">
        <v>0.0918022595810471</v>
      </c>
      <c r="V8" t="n">
        <v>0.0880345526847041</v>
      </c>
      <c r="W8" t="n">
        <v>0.131762079583699</v>
      </c>
      <c r="X8" t="n">
        <v>0.117843676294293</v>
      </c>
      <c r="Y8" t="n">
        <v>0.117754932007842</v>
      </c>
      <c r="Z8" t="n">
        <v>0.115376425001</v>
      </c>
      <c r="AA8" t="n">
        <v>0.129719987104022</v>
      </c>
      <c r="AB8" t="n">
        <v>0.121988471225576</v>
      </c>
      <c r="AC8" t="n">
        <v>0.103861156836938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O36" sqref="O36"/>
    </sheetView>
  </sheetViews>
  <sheetFormatPr baseColWidth="8" defaultRowHeight="14.5"/>
  <cols>
    <col width="18.81640625" customWidth="1" style="115" min="1" max="1"/>
  </cols>
  <sheetData>
    <row r="1">
      <c r="A1" s="71" t="inlineStr">
        <is>
          <t>POS</t>
        </is>
      </c>
      <c r="B1" s="28" t="n">
        <v>2016</v>
      </c>
      <c r="C1" s="28" t="n">
        <v>2017</v>
      </c>
      <c r="D1" s="28" t="n">
        <v>2018</v>
      </c>
      <c r="E1" s="28" t="n">
        <v>2019</v>
      </c>
      <c r="F1" s="28" t="inlineStr">
        <is>
          <t>2020 Q1</t>
        </is>
      </c>
      <c r="G1" s="28" t="inlineStr">
        <is>
          <t>2020 Q2</t>
        </is>
      </c>
      <c r="H1" s="28" t="inlineStr">
        <is>
          <t>2020 Q3</t>
        </is>
      </c>
      <c r="I1" s="28" t="inlineStr">
        <is>
          <t>2020 Q4</t>
        </is>
      </c>
      <c r="J1" s="28" t="inlineStr">
        <is>
          <t>2021 Q1</t>
        </is>
      </c>
      <c r="K1" s="28" t="inlineStr">
        <is>
          <t>2021 Q2</t>
        </is>
      </c>
      <c r="L1" s="28" t="inlineStr">
        <is>
          <t>2021 Q3</t>
        </is>
      </c>
      <c r="M1" s="28" t="inlineStr">
        <is>
          <t>2021 Q4</t>
        </is>
      </c>
      <c r="N1" s="28" t="inlineStr">
        <is>
          <t>2022 Q1</t>
        </is>
      </c>
      <c r="O1" s="28" t="inlineStr">
        <is>
          <t>2022 Q2</t>
        </is>
      </c>
      <c r="P1" s="28" t="inlineStr">
        <is>
          <t>2022 Q3</t>
        </is>
      </c>
      <c r="Q1" s="28" t="inlineStr">
        <is>
          <t>2022 Q4</t>
        </is>
      </c>
      <c r="R1" s="28" t="inlineStr">
        <is>
          <t>2023 Q1</t>
        </is>
      </c>
      <c r="S1" s="28" t="inlineStr">
        <is>
          <t>2023 Q2</t>
        </is>
      </c>
      <c r="T1" s="28" t="inlineStr">
        <is>
          <t>2023 Q3</t>
        </is>
      </c>
      <c r="U1" s="28" t="inlineStr">
        <is>
          <t>2023 Q4</t>
        </is>
      </c>
      <c r="V1" s="28" t="inlineStr">
        <is>
          <t>2024 Q1</t>
        </is>
      </c>
      <c r="W1" s="28" t="inlineStr">
        <is>
          <t>2024 Q2</t>
        </is>
      </c>
      <c r="X1" s="28" t="inlineStr">
        <is>
          <t>2024 Q3</t>
        </is>
      </c>
      <c r="Y1" s="28" t="inlineStr">
        <is>
          <t>2024 Q4</t>
        </is>
      </c>
      <c r="Z1" s="28" t="n"/>
    </row>
    <row r="2">
      <c r="A2" t="inlineStr">
        <is>
          <t>Contract MS</t>
        </is>
      </c>
      <c r="B2" s="110">
        <f>'AN Table'!B2*distribution_rolledup!B3+'FRN Table'!B2*distribution_rolledup!B6+'STG Table'!B2*distribution_rolledup!B8+'KMX Table'!B2*distribution_rolledup!B7</f>
        <v/>
      </c>
      <c r="C2" s="110">
        <f>'AN Table'!C2*distribution_rolledup!C3+'FRN Table'!C2*distribution_rolledup!C6+'STG Table'!C2*distribution_rolledup!C8+'KMX Table'!C2*distribution_rolledup!C7</f>
        <v/>
      </c>
      <c r="D2" s="110">
        <f>'AN Table'!D2*distribution_rolledup!D3+'FRN Table'!D2*distribution_rolledup!D6+'STG Table'!D2*distribution_rolledup!D8+'KMX Table'!D2*distribution_rolledup!D7</f>
        <v/>
      </c>
      <c r="E2" s="110">
        <f>'AN Table'!E2*distribution_rolledup!E3+'FRN Table'!E2*distribution_rolledup!E6+'STG Table'!E2*distribution_rolledup!E8+'KMX Table'!E2*distribution_rolledup!E7</f>
        <v/>
      </c>
      <c r="F2" s="110">
        <f>'AN Table'!F2*distribution_rolledup!F3+'FRN Table'!F2*distribution_rolledup!F6+'STG Table'!F2*distribution_rolledup!F8+'FLD Table'!B2*distribution_rolledup!F5+'ENT Table'!B2*distribution_rolledup!F4+'KMX Table'!F2*distribution_rolledup!F7</f>
        <v/>
      </c>
      <c r="G2" s="110">
        <f>'AN Table'!G2*distribution_rolledup!G3+'FRN Table'!G2*distribution_rolledup!G6+'STG Table'!G2*distribution_rolledup!G8+'FLD Table'!C2*distribution_rolledup!G5+'ENT Table'!C2*distribution_rolledup!G4+'KMX Table'!G2*distribution_rolledup!G7</f>
        <v/>
      </c>
      <c r="H2" s="110">
        <f>'AN Table'!H2*distribution_rolledup!H3+'FRN Table'!H2*distribution_rolledup!H6+'STG Table'!H2*distribution_rolledup!H8+'FLD Table'!D2*distribution_rolledup!H5+'ENT Table'!D2*distribution_rolledup!H4+'KMX Table'!H2*distribution_rolledup!H7</f>
        <v/>
      </c>
      <c r="I2" s="110">
        <f>'AN Table'!I2*distribution_rolledup!I3+'FRN Table'!I2*distribution_rolledup!I6+'STG Table'!I2*distribution_rolledup!I8+'FLD Table'!E2*distribution_rolledup!I5+'ENT Table'!E2*distribution_rolledup!I4+'KMX Table'!I2*distribution_rolledup!I7</f>
        <v/>
      </c>
      <c r="J2" s="110">
        <f>'AN Table'!J2*distribution_rolledup!J3+'FRN Table'!J2*distribution_rolledup!J6+'STG Table'!J2*distribution_rolledup!J8+'FLD Table'!F2*distribution_rolledup!J5+'ENT Table'!F2*distribution_rolledup!J4+'KMX Table'!J2*distribution_rolledup!J7</f>
        <v/>
      </c>
      <c r="K2" s="110">
        <f>'AN Table'!K2*distribution_rolledup!K3+'FRN Table'!K2*distribution_rolledup!K6+'STG Table'!K2*distribution_rolledup!K8+'FLD Table'!G2*distribution_rolledup!K5+'ENT Table'!G2*distribution_rolledup!K4+'KMX Table'!K2*distribution_rolledup!K7</f>
        <v/>
      </c>
      <c r="L2" s="110">
        <f>'AN Table'!L2*distribution_rolledup!L3+'FRN Table'!L2*distribution_rolledup!L6+'STG Table'!L2*distribution_rolledup!L8+'FLD Table'!H2*distribution_rolledup!L5+'ENT Table'!H2*distribution_rolledup!L4+'KMX Table'!L2*distribution_rolledup!L7</f>
        <v/>
      </c>
      <c r="M2" s="110">
        <f>'AN Table'!M2*distribution_rolledup!M3+'FRN Table'!M2*distribution_rolledup!M6+'STG Table'!M2*distribution_rolledup!M8+'FLD Table'!I2*distribution_rolledup!M5+'ENT Table'!I2*distribution_rolledup!M4+'KMX Table'!M2*distribution_rolledup!M7</f>
        <v/>
      </c>
      <c r="N2" s="110">
        <f>'AN Table'!N2*distribution_rolledup!N3+'FRN Table'!N2*distribution_rolledup!N6+'STG Table'!N2*distribution_rolledup!N8+'FLD Table'!J2*distribution_rolledup!N5+'ENT Table'!J2*distribution_rolledup!N4+'KMX Table'!N2*distribution_rolledup!N7</f>
        <v/>
      </c>
      <c r="O2" s="110">
        <f>'AN Table'!O2*distribution_rolledup!O3+'FRN Table'!O2*distribution_rolledup!O6+'STG Table'!O2*distribution_rolledup!O8+'FLD Table'!K2*distribution_rolledup!O5+'ENT Table'!K2*distribution_rolledup!O4+'KMX Table'!O2*distribution_rolledup!O7</f>
        <v/>
      </c>
      <c r="P2" s="110">
        <f>'AN Table'!P2*distribution_rolledup!P3+'FRN Table'!P2*distribution_rolledup!P6+'STG Table'!P2*distribution_rolledup!P8+'FLD Table'!L2*distribution_rolledup!P5+'ENT Table'!L2*distribution_rolledup!P4+'KMX Table'!P2*distribution_rolledup!P7</f>
        <v/>
      </c>
      <c r="Q2" s="110">
        <f>'AN Table'!Q2*distribution_rolledup!Q3+'FRN Table'!Q2*distribution_rolledup!Q6+'STG Table'!Q2*distribution_rolledup!Q8+'FLD Table'!M2*distribution_rolledup!Q5+'ENT Table'!M2*distribution_rolledup!Q4+'KMX Table'!Q2*distribution_rolledup!Q7</f>
        <v/>
      </c>
      <c r="R2" s="110">
        <f>'AN Table'!R2*distribution_rolledup!R3+'FRN Table'!R2*distribution_rolledup!R6+'STG Table'!R2*distribution_rolledup!R8+'FLD Table'!N2*distribution_rolledup!R5+'ENT Table'!N2*distribution_rolledup!R4+'KMX Table'!R2*distribution_rolledup!R7</f>
        <v/>
      </c>
      <c r="S2" s="110">
        <f>'AN Table'!S2*distribution_rolledup!S3+'FRN Table'!S2*distribution_rolledup!S6+'STG Table'!S2*distribution_rolledup!S8+'FLD Table'!O2*distribution_rolledup!S5+'ENT Table'!O2*distribution_rolledup!S4+'KMX Table'!S2*distribution_rolledup!S7</f>
        <v/>
      </c>
      <c r="T2" s="114">
        <f>'AN Table'!T2*distribution_rolledup!T3+'FRN Table'!T2*distribution_rolledup!T6+'STG Table'!T2*distribution_rolledup!T8+'FLD Table'!P2*distribution_rolledup!T5+'ENT Table'!P2*distribution_rolledup!T4+'KMX Table'!T2*distribution_rolledup!T7</f>
        <v/>
      </c>
      <c r="U2" s="110">
        <f>'AN Table'!U2*distribution_rolledup!U3+'FRN Table'!U2*distribution_rolledup!U6+'STG Table'!U2*distribution_rolledup!U8+'FLD Table'!Q2*distribution_rolledup!U5+'ENT Table'!Q2*distribution_rolledup!U4+'KMX Table'!U2*distribution_rolledup!U7</f>
        <v/>
      </c>
      <c r="V2" s="110">
        <f>'AN Table'!V2*distribution_rolledup!V3+'FRN Table'!V2*distribution_rolledup!V6+'STG Table'!V2*distribution_rolledup!V8+'FLD Table'!R2*distribution_rolledup!V5+'ENT Table'!R2*distribution_rolledup!V4+'KMX Table'!V2*distribution_rolledup!V7</f>
        <v/>
      </c>
      <c r="W2" s="110">
        <f>'AN Table'!W2*distribution_rolledup!W3+'FRN Table'!W2*distribution_rolledup!W6+'STG Table'!W2*distribution_rolledup!W8+'FLD Table'!S2*distribution_rolledup!W5+'ENT Table'!S2*distribution_rolledup!W4+'KMX Table'!W2*distribution_rolledup!W7</f>
        <v/>
      </c>
      <c r="X2" s="110">
        <f>'AN Table'!X2*distribution_rolledup!X3+'FRN Table'!X2*distribution_rolledup!X6+'STG Table'!X2*distribution_rolledup!X8+'FLD Table'!T2*distribution_rolledup!X5+'ENT Table'!T2*distribution_rolledup!X4+'KMX Table'!X2*distribution_rolledup!X7</f>
        <v/>
      </c>
      <c r="Y2" s="110">
        <f>'AN Table'!Y2*distribution_rolledup!Y3+'FRN Table'!Y2*distribution_rolledup!Y6+'STG Table'!Y2*distribution_rolledup!Y8+'FLD Table'!U2*distribution_rolledup!Y5+'ENT Table'!U2*distribution_rolledup!Y4+'KMX Table'!Y2*distribution_rolledup!Y7</f>
        <v/>
      </c>
      <c r="Z2" s="110" t="n"/>
    </row>
    <row r="3">
      <c r="A3" t="inlineStr">
        <is>
          <t>RAGU t0</t>
        </is>
      </c>
      <c r="B3" s="110">
        <f>'AN Table'!B7*distribution_rolledup!B3+'FRN Table'!B7*distribution_rolledup!B6+'STG Table'!B7*distribution_rolledup!B8+'KMX Table'!B6*distribution_rolledup!B7</f>
        <v/>
      </c>
      <c r="C3" s="110">
        <f>'AN Table'!C7*distribution_rolledup!C3+'FRN Table'!C7*distribution_rolledup!C6+'STG Table'!C7*distribution_rolledup!C8+'KMX Table'!C6*distribution_rolledup!C7</f>
        <v/>
      </c>
      <c r="D3" s="110">
        <f>'AN Table'!D7*distribution_rolledup!D3+'FRN Table'!D7*distribution_rolledup!D6+'STG Table'!D7*distribution_rolledup!D8+'KMX Table'!D6*distribution_rolledup!D7</f>
        <v/>
      </c>
      <c r="E3" s="110">
        <f>'AN Table'!E7*distribution_rolledup!E3+'FRN Table'!E7*distribution_rolledup!E6+'STG Table'!E7*distribution_rolledup!E8+'KMX Table'!E6*distribution_rolledup!E7</f>
        <v/>
      </c>
      <c r="F3" s="110">
        <f>'AN Table'!F7*distribution_rolledup!F3+'FRN Table'!F7*distribution_rolledup!F6+'STG Table'!F7*distribution_rolledup!F8+'FLD Table'!B7*distribution_rolledup!F5+'ENT Table'!B7*distribution_rolledup!F4+'KMX Table'!F6*distribution_rolledup!F7</f>
        <v/>
      </c>
      <c r="G3" s="110">
        <f>'AN Table'!G7*distribution_rolledup!G3+'FRN Table'!G7*distribution_rolledup!G6+'STG Table'!G7*distribution_rolledup!G8+'FLD Table'!C7*distribution_rolledup!G5+'ENT Table'!C7*distribution_rolledup!G4+'KMX Table'!G6*distribution_rolledup!G7</f>
        <v/>
      </c>
      <c r="H3" s="110">
        <f>'AN Table'!H7*distribution_rolledup!H3+'FRN Table'!H7*distribution_rolledup!H6+'STG Table'!H7*distribution_rolledup!H8+'FLD Table'!D7*distribution_rolledup!H5+'ENT Table'!D7*distribution_rolledup!H4+'KMX Table'!H6*distribution_rolledup!H7</f>
        <v/>
      </c>
      <c r="I3" s="110">
        <f>'AN Table'!I7*distribution_rolledup!I3+'FRN Table'!I7*distribution_rolledup!I6+'STG Table'!I7*distribution_rolledup!I8+'FLD Table'!E7*distribution_rolledup!I5+'ENT Table'!E7*distribution_rolledup!I4+'KMX Table'!I6*distribution_rolledup!I7</f>
        <v/>
      </c>
      <c r="J3" s="110">
        <f>'AN Table'!J7*distribution_rolledup!J3+'FRN Table'!J7*distribution_rolledup!J6+'STG Table'!J7*distribution_rolledup!J8+'FLD Table'!F7*distribution_rolledup!J5+'ENT Table'!F7*distribution_rolledup!J4+'KMX Table'!J6*distribution_rolledup!J7</f>
        <v/>
      </c>
      <c r="K3" s="110">
        <f>'AN Table'!K7*distribution_rolledup!K3+'FRN Table'!K7*distribution_rolledup!K6+'STG Table'!K7*distribution_rolledup!K8+'FLD Table'!G7*distribution_rolledup!K5+'ENT Table'!G7*distribution_rolledup!K4+'KMX Table'!K6*distribution_rolledup!K7</f>
        <v/>
      </c>
      <c r="L3" s="110">
        <f>'AN Table'!L7*distribution_rolledup!L3+'FRN Table'!L7*distribution_rolledup!L6+'STG Table'!L7*distribution_rolledup!L8+'FLD Table'!H7*distribution_rolledup!L5+'ENT Table'!H7*distribution_rolledup!L4+'KMX Table'!L6*distribution_rolledup!L7</f>
        <v/>
      </c>
      <c r="M3" s="110">
        <f>'AN Table'!M7*distribution_rolledup!M3+'FRN Table'!M7*distribution_rolledup!M6+'STG Table'!M7*distribution_rolledup!M8+'FLD Table'!I7*distribution_rolledup!M5+'ENT Table'!I7*distribution_rolledup!M4+'KMX Table'!M6*distribution_rolledup!M7</f>
        <v/>
      </c>
      <c r="N3" s="110">
        <f>'AN Table'!N7*distribution_rolledup!N3+'FRN Table'!N7*distribution_rolledup!N6+'STG Table'!N7*distribution_rolledup!N8+'FLD Table'!J7*distribution_rolledup!N5+'ENT Table'!J7*distribution_rolledup!N4+'KMX Table'!N6*distribution_rolledup!N7</f>
        <v/>
      </c>
      <c r="O3" s="110">
        <f>'AN Table'!O7*distribution_rolledup!O3+'FRN Table'!O7*distribution_rolledup!O6+'STG Table'!O7*distribution_rolledup!O8+'FLD Table'!K7*distribution_rolledup!O5+'ENT Table'!K7*distribution_rolledup!O4+'KMX Table'!O6*distribution_rolledup!O7</f>
        <v/>
      </c>
      <c r="P3" s="110">
        <f>'AN Table'!P7*distribution_rolledup!P3+'FRN Table'!P7*distribution_rolledup!P6+'STG Table'!P7*distribution_rolledup!P8+'FLD Table'!L7*distribution_rolledup!P5+'ENT Table'!L7*distribution_rolledup!P4+'KMX Table'!P6*distribution_rolledup!P7</f>
        <v/>
      </c>
      <c r="Q3" s="110">
        <f>'AN Table'!Q7*distribution_rolledup!Q3+'FRN Table'!Q7*distribution_rolledup!Q6+'STG Table'!Q7*distribution_rolledup!Q8+'FLD Table'!M7*distribution_rolledup!Q5+'ENT Table'!M7*distribution_rolledup!Q4+'KMX Table'!Q6*distribution_rolledup!Q7</f>
        <v/>
      </c>
      <c r="R3" s="110">
        <f>'AN Table'!R7*distribution_rolledup!R3+'FRN Table'!R7*distribution_rolledup!R6+'STG Table'!R7*distribution_rolledup!R8+'FLD Table'!N7*distribution_rolledup!R5+'ENT Table'!N7*distribution_rolledup!R4+'KMX Table'!R6*distribution_rolledup!R7</f>
        <v/>
      </c>
      <c r="S3" s="110">
        <f>'AN Table'!S7*distribution_rolledup!S3+'FRN Table'!S7*distribution_rolledup!S6+'STG Table'!S7*distribution_rolledup!S8+'FLD Table'!O7*distribution_rolledup!S5+'ENT Table'!O7*distribution_rolledup!S4+'KMX Table'!S6*distribution_rolledup!S7</f>
        <v/>
      </c>
      <c r="T3" s="110">
        <f>'AN Table'!T7*distribution_rolledup!T3+'FRN Table'!T7*distribution_rolledup!T6+'STG Table'!T7*distribution_rolledup!T8+'FLD Table'!P7*distribution_rolledup!T5+'ENT Table'!P7*distribution_rolledup!T4+'KMX Table'!T6*distribution_rolledup!T7</f>
        <v/>
      </c>
      <c r="U3" s="110">
        <f>'AN Table'!U7*distribution_rolledup!U3+'FRN Table'!U7*distribution_rolledup!U6+'STG Table'!U7*distribution_rolledup!U8+'FLD Table'!Q7*distribution_rolledup!U5+'ENT Table'!Q7*distribution_rolledup!U4+'KMX Table'!U6*distribution_rolledup!U7</f>
        <v/>
      </c>
      <c r="V3" s="110">
        <f>'AN Table'!V7*distribution_rolledup!V3+'FRN Table'!V7*distribution_rolledup!V6+'STG Table'!V7*distribution_rolledup!V8+'FLD Table'!R7*distribution_rolledup!V5+'ENT Table'!R7*distribution_rolledup!V4+'KMX Table'!V6*distribution_rolledup!V7</f>
        <v/>
      </c>
      <c r="W3" s="110">
        <f>'AN Table'!W7*distribution_rolledup!W3+'FRN Table'!W7*distribution_rolledup!W6+'STG Table'!W7*distribution_rolledup!W8+'FLD Table'!S7*distribution_rolledup!W5+'ENT Table'!S7*distribution_rolledup!W4+'KMX Table'!W6*distribution_rolledup!W7</f>
        <v/>
      </c>
      <c r="X3" s="110">
        <f>'AN Table'!X7*distribution_rolledup!X3+'FRN Table'!X7*distribution_rolledup!X6+'STG Table'!X7*distribution_rolledup!X8+'FLD Table'!T7*distribution_rolledup!X5+'ENT Table'!T7*distribution_rolledup!X4+'KMX Table'!X6*distribution_rolledup!X7</f>
        <v/>
      </c>
      <c r="Y3" s="110">
        <f>'AN Table'!Y7*distribution_rolledup!Y3+'FRN Table'!Y7*distribution_rolledup!Y6+'STG Table'!Y7*distribution_rolledup!Y8+'FLD Table'!U7*distribution_rolledup!Y5+'ENT Table'!U7*distribution_rolledup!Y4+'KMX Table'!Y6*distribution_rolledup!Y7</f>
        <v/>
      </c>
      <c r="Z3" s="110" t="n"/>
    </row>
    <row r="4">
      <c r="A4" t="inlineStr">
        <is>
          <t>RAGU gross loss</t>
        </is>
      </c>
      <c r="B4" s="110">
        <f>'AN Table'!B8*distribution_rolledup!B3+'FRN Table'!B8*distribution_rolledup!B6+'STG Table'!B8*distribution_rolledup!B8+'KMX Table'!B7*distribution_rolledup!B7</f>
        <v/>
      </c>
      <c r="C4" s="110">
        <f>'AN Table'!C8*distribution_rolledup!C3+'FRN Table'!C8*distribution_rolledup!C6+'STG Table'!C8*distribution_rolledup!C8+'KMX Table'!C7*distribution_rolledup!C7</f>
        <v/>
      </c>
      <c r="D4" s="110">
        <f>'AN Table'!D8*distribution_rolledup!D3+'FRN Table'!D8*distribution_rolledup!D6+'STG Table'!D8*distribution_rolledup!D8+'KMX Table'!D7*distribution_rolledup!D7</f>
        <v/>
      </c>
      <c r="E4" s="110">
        <f>'AN Table'!E8*distribution_rolledup!E3+'FRN Table'!E8*distribution_rolledup!E6+'STG Table'!E8*distribution_rolledup!E8+'KMX Table'!E7*distribution_rolledup!E7</f>
        <v/>
      </c>
      <c r="F4" s="110">
        <f>'AN Table'!F8*distribution_rolledup!F3+'FRN Table'!F8*distribution_rolledup!F6+'STG Table'!F8*distribution_rolledup!F8+'FLD Table'!B8*distribution_rolledup!F5+'ENT Table'!B8*distribution_rolledup!F4+'KMX Table'!F7*distribution_rolledup!F7</f>
        <v/>
      </c>
      <c r="G4" s="110">
        <f>'AN Table'!G8*distribution_rolledup!G3+'FRN Table'!G8*distribution_rolledup!G6+'STG Table'!G8*distribution_rolledup!G8+'FLD Table'!C8*distribution_rolledup!G5+'ENT Table'!C8*distribution_rolledup!G4+'KMX Table'!G7*distribution_rolledup!G7</f>
        <v/>
      </c>
      <c r="H4" s="110">
        <f>'AN Table'!H8*distribution_rolledup!H3+'FRN Table'!H8*distribution_rolledup!H6+'STG Table'!H8*distribution_rolledup!H8+'FLD Table'!D8*distribution_rolledup!H5+'ENT Table'!D8*distribution_rolledup!H4+'KMX Table'!H7*distribution_rolledup!H7</f>
        <v/>
      </c>
      <c r="I4" s="110">
        <f>'AN Table'!I8*distribution_rolledup!I3+'FRN Table'!I8*distribution_rolledup!I6+'STG Table'!I8*distribution_rolledup!I8+'FLD Table'!E8*distribution_rolledup!I5+'ENT Table'!E8*distribution_rolledup!I4+'KMX Table'!I7*distribution_rolledup!I7</f>
        <v/>
      </c>
      <c r="J4" s="110">
        <f>'AN Table'!J8*distribution_rolledup!J3+'FRN Table'!J8*distribution_rolledup!J6+'STG Table'!J8*distribution_rolledup!J8+'FLD Table'!F8*distribution_rolledup!J5+'ENT Table'!F8*distribution_rolledup!J4+'KMX Table'!J7*distribution_rolledup!J7</f>
        <v/>
      </c>
      <c r="K4" s="110">
        <f>'AN Table'!K8*distribution_rolledup!K3+'FRN Table'!K8*distribution_rolledup!K6+'STG Table'!K8*distribution_rolledup!K8+'FLD Table'!G8*distribution_rolledup!K5+'ENT Table'!G8*distribution_rolledup!K4+'KMX Table'!K7*distribution_rolledup!K7</f>
        <v/>
      </c>
      <c r="L4" s="110">
        <f>'AN Table'!L8*distribution_rolledup!L3+'FRN Table'!L8*distribution_rolledup!L6+'STG Table'!L8*distribution_rolledup!L8+'FLD Table'!H8*distribution_rolledup!L5+'ENT Table'!H8*distribution_rolledup!L4+'KMX Table'!L7*distribution_rolledup!L7</f>
        <v/>
      </c>
      <c r="M4" s="110">
        <f>'AN Table'!M8*distribution_rolledup!M3+'FRN Table'!M8*distribution_rolledup!M6+'STG Table'!M8*distribution_rolledup!M8+'FLD Table'!I8*distribution_rolledup!M5+'ENT Table'!I8*distribution_rolledup!M4+'KMX Table'!M7*distribution_rolledup!M7</f>
        <v/>
      </c>
      <c r="N4" s="110">
        <f>'AN Table'!N8*distribution_rolledup!N3+'FRN Table'!N8*distribution_rolledup!N6+'STG Table'!N8*distribution_rolledup!N8+'FLD Table'!J8*distribution_rolledup!N5+'ENT Table'!J8*distribution_rolledup!N4+'KMX Table'!N7*distribution_rolledup!N7</f>
        <v/>
      </c>
      <c r="O4" s="110">
        <f>'AN Table'!O8*distribution_rolledup!O3+'FRN Table'!O8*distribution_rolledup!O6+'STG Table'!O8*distribution_rolledup!O8+'FLD Table'!K8*distribution_rolledup!O5+'ENT Table'!K8*distribution_rolledup!O4+'KMX Table'!O7*distribution_rolledup!O7</f>
        <v/>
      </c>
      <c r="P4" s="110">
        <f>'AN Table'!P8*distribution_rolledup!P3+'FRN Table'!P8*distribution_rolledup!P6+'STG Table'!P8*distribution_rolledup!P8+'FLD Table'!L8*distribution_rolledup!P5+'ENT Table'!L8*distribution_rolledup!P4+'KMX Table'!P7*distribution_rolledup!P7</f>
        <v/>
      </c>
      <c r="Q4" s="110">
        <f>'AN Table'!Q8*distribution_rolledup!Q3+'FRN Table'!Q8*distribution_rolledup!Q6+'STG Table'!Q8*distribution_rolledup!Q8+'FLD Table'!M8*distribution_rolledup!Q5+'ENT Table'!M8*distribution_rolledup!Q4+'KMX Table'!Q7*distribution_rolledup!Q7</f>
        <v/>
      </c>
      <c r="R4" s="110">
        <f>'AN Table'!R8*distribution_rolledup!R3+'FRN Table'!R8*distribution_rolledup!R6+'STG Table'!R8*distribution_rolledup!R8+'FLD Table'!N8*distribution_rolledup!R5+'ENT Table'!N8*distribution_rolledup!R4+'KMX Table'!R7*distribution_rolledup!R7</f>
        <v/>
      </c>
      <c r="S4" s="110">
        <f>'AN Table'!S8*distribution_rolledup!S3+'FRN Table'!S8*distribution_rolledup!S6+'STG Table'!S8*distribution_rolledup!S8+'FLD Table'!O8*distribution_rolledup!S5+'ENT Table'!O8*distribution_rolledup!S4+'KMX Table'!S7*distribution_rolledup!S7</f>
        <v/>
      </c>
      <c r="T4" s="110">
        <f>'AN Table'!T8*distribution_rolledup!T3+'FRN Table'!T8*distribution_rolledup!T6+'STG Table'!T8*distribution_rolledup!T8+'FLD Table'!P8*distribution_rolledup!T5+'ENT Table'!P8*distribution_rolledup!T4+'KMX Table'!T7*distribution_rolledup!T7</f>
        <v/>
      </c>
      <c r="U4" s="110">
        <f>'AN Table'!U8*distribution_rolledup!U3+'FRN Table'!U8*distribution_rolledup!U6+'STG Table'!U8*distribution_rolledup!U8+'FLD Table'!Q8*distribution_rolledup!U5+'ENT Table'!Q8*distribution_rolledup!U4+'KMX Table'!U7*distribution_rolledup!U7</f>
        <v/>
      </c>
      <c r="V4" s="110">
        <f>'AN Table'!V8*distribution_rolledup!V3+'FRN Table'!V8*distribution_rolledup!V6+'STG Table'!V8*distribution_rolledup!V8+'FLD Table'!R8*distribution_rolledup!V5+'ENT Table'!R8*distribution_rolledup!V4+'KMX Table'!V7*distribution_rolledup!V7</f>
        <v/>
      </c>
      <c r="W4" s="110">
        <f>'AN Table'!W8*distribution_rolledup!W3+'FRN Table'!W8*distribution_rolledup!W6+'STG Table'!W8*distribution_rolledup!W8+'FLD Table'!S8*distribution_rolledup!W5+'ENT Table'!S8*distribution_rolledup!W4+'KMX Table'!W7*distribution_rolledup!W7</f>
        <v/>
      </c>
      <c r="X4" s="110">
        <f>'AN Table'!X8*distribution_rolledup!X3+'FRN Table'!X8*distribution_rolledup!X6+'STG Table'!X8*distribution_rolledup!X8+'FLD Table'!T8*distribution_rolledup!X5+'ENT Table'!T8*distribution_rolledup!X4+'KMX Table'!X7*distribution_rolledup!X7</f>
        <v/>
      </c>
      <c r="Y4" s="110">
        <f>'AN Table'!Y8*distribution_rolledup!Y3+'FRN Table'!Y8*distribution_rolledup!Y6+'STG Table'!Y8*distribution_rolledup!Y8+'FLD Table'!U8*distribution_rolledup!Y5+'ENT Table'!U8*distribution_rolledup!Y4+'KMX Table'!Y7*distribution_rolledup!Y7</f>
        <v/>
      </c>
      <c r="Z4" s="110" t="n"/>
    </row>
    <row r="5">
      <c r="A5" t="inlineStr">
        <is>
          <t>RAGU tc</t>
        </is>
      </c>
      <c r="B5" s="110">
        <f>'AN Table'!B14*distribution_rolledup!B3+'FRN Table'!B14*distribution_rolledup!B6+'STG Table'!B14*distribution_rolledup!B8+'KMX Table'!B14*distribution_rolledup!B7</f>
        <v/>
      </c>
      <c r="C5" s="110">
        <f>'AN Table'!C14*distribution_rolledup!C3+'FRN Table'!C14*distribution_rolledup!C6+'STG Table'!C14*distribution_rolledup!C8+'KMX Table'!C14*distribution_rolledup!C7</f>
        <v/>
      </c>
      <c r="D5" s="110">
        <f>'AN Table'!D14*distribution_rolledup!D3+'FRN Table'!D14*distribution_rolledup!D6+'STG Table'!D14*distribution_rolledup!D8+'KMX Table'!D14*distribution_rolledup!D7</f>
        <v/>
      </c>
      <c r="E5" s="110">
        <f>'AN Table'!E14*distribution_rolledup!E3+'FRN Table'!E14*distribution_rolledup!E6+'STG Table'!E14*distribution_rolledup!E8+'KMX Table'!E14*distribution_rolledup!E7</f>
        <v/>
      </c>
      <c r="F5" s="110">
        <f>'AN Table'!F14*distribution_rolledup!F3+'FRN Table'!F14*distribution_rolledup!F6+'STG Table'!F14*distribution_rolledup!F8+'FLD Table'!B14*distribution_rolledup!F5+'ENT Table'!B14*distribution_rolledup!F4+'KMX Table'!F14*distribution_rolledup!F7</f>
        <v/>
      </c>
      <c r="G5" s="110">
        <f>'AN Table'!G14*distribution_rolledup!G3+'FRN Table'!G14*distribution_rolledup!G6+'STG Table'!G14*distribution_rolledup!G8+'FLD Table'!C14*distribution_rolledup!G5+'ENT Table'!C14*distribution_rolledup!G4+'KMX Table'!G14*distribution_rolledup!G7</f>
        <v/>
      </c>
      <c r="H5" s="110">
        <f>'AN Table'!H14*distribution_rolledup!H3+'FRN Table'!H14*distribution_rolledup!H6+'STG Table'!H14*distribution_rolledup!H8+'FLD Table'!D14*distribution_rolledup!H5+'ENT Table'!D14*distribution_rolledup!H4+'KMX Table'!H14*distribution_rolledup!H7</f>
        <v/>
      </c>
      <c r="I5" s="110">
        <f>'AN Table'!I14*distribution_rolledup!I3+'FRN Table'!I14*distribution_rolledup!I6+'STG Table'!I14*distribution_rolledup!I8+'FLD Table'!E14*distribution_rolledup!I5+'ENT Table'!E14*distribution_rolledup!I4+'KMX Table'!I14*distribution_rolledup!I7</f>
        <v/>
      </c>
      <c r="J5" s="110">
        <f>'AN Table'!J14*distribution_rolledup!J3+'FRN Table'!J14*distribution_rolledup!J6+'STG Table'!J14*distribution_rolledup!J8+'FLD Table'!F14*distribution_rolledup!J5+'ENT Table'!F14*distribution_rolledup!J4+'KMX Table'!J14*distribution_rolledup!J7</f>
        <v/>
      </c>
      <c r="K5" s="110">
        <f>'AN Table'!K14*distribution_rolledup!K3+'FRN Table'!K14*distribution_rolledup!K6+'STG Table'!K14*distribution_rolledup!K8+'FLD Table'!G14*distribution_rolledup!K5+'ENT Table'!G14*distribution_rolledup!K4+'KMX Table'!K14*distribution_rolledup!K7</f>
        <v/>
      </c>
      <c r="L5" s="110">
        <f>'AN Table'!L14*distribution_rolledup!L3+'FRN Table'!L14*distribution_rolledup!L6+'STG Table'!L14*distribution_rolledup!L8+'FLD Table'!H14*distribution_rolledup!L5+'ENT Table'!H14*distribution_rolledup!L4+'KMX Table'!L14*distribution_rolledup!L7</f>
        <v/>
      </c>
      <c r="M5" s="110">
        <f>'AN Table'!M14*distribution_rolledup!M3+'FRN Table'!M14*distribution_rolledup!M6+'STG Table'!M14*distribution_rolledup!M8+'FLD Table'!I14*distribution_rolledup!M5+'ENT Table'!I14*distribution_rolledup!M4+'KMX Table'!M14*distribution_rolledup!M7</f>
        <v/>
      </c>
      <c r="N5" s="110">
        <f>'AN Table'!N14*distribution_rolledup!N3+'FRN Table'!N14*distribution_rolledup!N6+'STG Table'!N14*distribution_rolledup!N8+'FLD Table'!J14*distribution_rolledup!N5+'ENT Table'!J14*distribution_rolledup!N4+'KMX Table'!N14*distribution_rolledup!N7</f>
        <v/>
      </c>
      <c r="O5" s="110">
        <f>'AN Table'!O14*distribution_rolledup!O3+'FRN Table'!O14*distribution_rolledup!O6+'STG Table'!O14*distribution_rolledup!O8+'FLD Table'!K14*distribution_rolledup!O5+'ENT Table'!K14*distribution_rolledup!O4+'KMX Table'!O14*distribution_rolledup!O7</f>
        <v/>
      </c>
      <c r="P5" s="110">
        <f>'AN Table'!P14*distribution_rolledup!P3+'FRN Table'!P14*distribution_rolledup!P6+'STG Table'!P14*distribution_rolledup!P8+'FLD Table'!L14*distribution_rolledup!P5+'ENT Table'!L14*distribution_rolledup!P4+'KMX Table'!P14*distribution_rolledup!P7</f>
        <v/>
      </c>
      <c r="Q5" s="110">
        <f>'AN Table'!Q14*distribution_rolledup!Q3+'FRN Table'!Q14*distribution_rolledup!Q6+'STG Table'!Q14*distribution_rolledup!Q8+'FLD Table'!M14*distribution_rolledup!Q5+'ENT Table'!M14*distribution_rolledup!Q4+'KMX Table'!Q14*distribution_rolledup!Q7</f>
        <v/>
      </c>
      <c r="R5" s="110">
        <f>'AN Table'!R14*distribution_rolledup!R3+'FRN Table'!R14*distribution_rolledup!R6+'STG Table'!R14*distribution_rolledup!R8+'FLD Table'!N14*distribution_rolledup!R5+'ENT Table'!N14*distribution_rolledup!R4+'KMX Table'!R14*distribution_rolledup!R7</f>
        <v/>
      </c>
      <c r="S5" s="110">
        <f>'AN Table'!S14*distribution_rolledup!S3+'FRN Table'!S14*distribution_rolledup!S6+'STG Table'!S14*distribution_rolledup!S8+'FLD Table'!O14*distribution_rolledup!S5+'ENT Table'!O14*distribution_rolledup!S4+'KMX Table'!S14*distribution_rolledup!S7</f>
        <v/>
      </c>
      <c r="T5" s="110">
        <f>'AN Table'!T14*distribution_rolledup!T3+'FRN Table'!T14*distribution_rolledup!T6+'STG Table'!T14*distribution_rolledup!T8+'FLD Table'!P14*distribution_rolledup!T5+'ENT Table'!P14*distribution_rolledup!T4+'KMX Table'!T14*distribution_rolledup!T7</f>
        <v/>
      </c>
      <c r="U5" s="110">
        <f>'AN Table'!U14*distribution_rolledup!U3+'FRN Table'!U14*distribution_rolledup!U6+'STG Table'!U14*distribution_rolledup!U8+'FLD Table'!Q14*distribution_rolledup!U5+'ENT Table'!Q14*distribution_rolledup!U4+'KMX Table'!U14*distribution_rolledup!U7</f>
        <v/>
      </c>
      <c r="V5" s="110">
        <f>'AN Table'!V14*distribution_rolledup!V3+'FRN Table'!V14*distribution_rolledup!V6+'STG Table'!V14*distribution_rolledup!V8+'FLD Table'!R14*distribution_rolledup!V5+'ENT Table'!R14*distribution_rolledup!V4+'KMX Table'!V14*distribution_rolledup!V7</f>
        <v/>
      </c>
      <c r="W5" s="110">
        <f>'AN Table'!W14*distribution_rolledup!W3+'FRN Table'!W14*distribution_rolledup!W6+'STG Table'!W14*distribution_rolledup!W8+'FLD Table'!S14*distribution_rolledup!W5+'ENT Table'!S14*distribution_rolledup!W4+'KMX Table'!W14*distribution_rolledup!W7</f>
        <v/>
      </c>
      <c r="X5" s="110">
        <f>'AN Table'!X14*distribution_rolledup!X3+'FRN Table'!X14*distribution_rolledup!X6+'STG Table'!X14*distribution_rolledup!X8+'FLD Table'!T14*distribution_rolledup!X5+'ENT Table'!T14*distribution_rolledup!X4+'KMX Table'!X14*distribution_rolledup!X7</f>
        <v/>
      </c>
      <c r="Y5" s="110">
        <f>'AN Table'!Y14*distribution_rolledup!Y3+'FRN Table'!Y14*distribution_rolledup!Y6+'STG Table'!Y14*distribution_rolledup!Y8+'FLD Table'!U14*distribution_rolledup!Y5+'ENT Table'!U14*distribution_rolledup!Y4+'KMX Table'!Y14*distribution_rolledup!Y7</f>
        <v/>
      </c>
      <c r="Z5" s="110" t="n"/>
    </row>
    <row r="6">
      <c r="B6" s="110" t="n"/>
      <c r="C6" s="110" t="n"/>
      <c r="D6" s="110" t="n"/>
      <c r="E6" s="110" t="n"/>
      <c r="F6" s="110" t="n"/>
    </row>
    <row r="7">
      <c r="A7" t="inlineStr">
        <is>
          <t>LTV</t>
        </is>
      </c>
      <c r="B7" s="111">
        <f>'AN Table'!B10*distribution_rolledup!B3+'FRN Table'!B10*distribution_rolledup!B6+'KMX Table'!B10*distribution_rolledup!B7+'STG Table'!B10*distribution_rolledup!B8</f>
        <v/>
      </c>
      <c r="C7" s="111">
        <f>'AN Table'!C10*distribution_rolledup!C3+'FRN Table'!C10*distribution_rolledup!C6+'KMX Table'!C10*distribution_rolledup!C7+'STG Table'!C10*distribution_rolledup!C8</f>
        <v/>
      </c>
      <c r="D7" s="111">
        <f>'AN Table'!D10*distribution_rolledup!D3+'FRN Table'!D10*distribution_rolledup!D6+'KMX Table'!D10*distribution_rolledup!D7+'STG Table'!D10*distribution_rolledup!D8</f>
        <v/>
      </c>
      <c r="E7" s="111">
        <f>'AN Table'!E10*distribution_rolledup!E3+'FRN Table'!E10*distribution_rolledup!E6+'KMX Table'!E10*distribution_rolledup!E7+'STG Table'!E10*distribution_rolledup!E8</f>
        <v/>
      </c>
      <c r="F7" s="111">
        <f>'AN Table'!F10*distribution_rolledup!F3+'ENT Table'!B10*distribution_rolledup!F4+'FLD Table'!B10*distribution_rolledup!F5+'FRN Table'!F10*distribution_rolledup!F6+'KMX Table'!F10*distribution_rolledup!F7+'STG Table'!F10*distribution_rolledup!F8</f>
        <v/>
      </c>
      <c r="G7" s="111">
        <f>'AN Table'!G10*distribution_rolledup!G3+'ENT Table'!C10*distribution_rolledup!G4+'FLD Table'!C10*distribution_rolledup!G5+'FRN Table'!G10*distribution_rolledup!G6+'KMX Table'!G10*distribution_rolledup!G7+'STG Table'!G10*distribution_rolledup!G8</f>
        <v/>
      </c>
      <c r="H7" s="111">
        <f>'AN Table'!H10*distribution_rolledup!H3+'ENT Table'!D10*distribution_rolledup!H4+'FLD Table'!D10*distribution_rolledup!H5+'FRN Table'!H10*distribution_rolledup!H6+'KMX Table'!H10*distribution_rolledup!H7+'STG Table'!H10*distribution_rolledup!H8</f>
        <v/>
      </c>
      <c r="I7" s="111">
        <f>'AN Table'!I10*distribution_rolledup!I3+'ENT Table'!E10*distribution_rolledup!I4+'FLD Table'!E10*distribution_rolledup!I5+'FRN Table'!I10*distribution_rolledup!I6+'KMX Table'!I10*distribution_rolledup!I7+'STG Table'!I10*distribution_rolledup!I8</f>
        <v/>
      </c>
      <c r="J7" s="111">
        <f>'AN Table'!J10*distribution_rolledup!J3+'ENT Table'!F10*distribution_rolledup!J4+'FLD Table'!F10*distribution_rolledup!J5+'FRN Table'!J10*distribution_rolledup!J6+'KMX Table'!J10*distribution_rolledup!J7+'STG Table'!J10*distribution_rolledup!J8</f>
        <v/>
      </c>
      <c r="K7" s="111">
        <f>'AN Table'!K10*distribution_rolledup!K3+'ENT Table'!G10*distribution_rolledup!K4+'FLD Table'!G10*distribution_rolledup!K5+'FRN Table'!K10*distribution_rolledup!K6+'KMX Table'!K10*distribution_rolledup!K7+'STG Table'!K10*distribution_rolledup!K8</f>
        <v/>
      </c>
      <c r="L7" s="111">
        <f>'AN Table'!L10*distribution_rolledup!L3+'ENT Table'!H10*distribution_rolledup!L4+'FLD Table'!H10*distribution_rolledup!L5+'FRN Table'!L10*distribution_rolledup!L6+'KMX Table'!L10*distribution_rolledup!L7+'STG Table'!L10*distribution_rolledup!L8</f>
        <v/>
      </c>
      <c r="M7" s="111">
        <f>'AN Table'!M10*distribution_rolledup!M3+'ENT Table'!I10*distribution_rolledup!M4+'FLD Table'!I10*distribution_rolledup!M5+'FRN Table'!M10*distribution_rolledup!M6+'KMX Table'!M10*distribution_rolledup!M7+'STG Table'!M10*distribution_rolledup!M8</f>
        <v/>
      </c>
      <c r="N7" s="111">
        <f>'AN Table'!N10*distribution_rolledup!N3+'ENT Table'!J10*distribution_rolledup!N4+'FLD Table'!J10*distribution_rolledup!N5+'FRN Table'!N10*distribution_rolledup!N6+'KMX Table'!N10*distribution_rolledup!N7+'STG Table'!N10*distribution_rolledup!N8</f>
        <v/>
      </c>
      <c r="O7" s="111">
        <f>'AN Table'!O10*distribution_rolledup!O3+'ENT Table'!K10*distribution_rolledup!O4+'FLD Table'!K10*distribution_rolledup!O5+'FRN Table'!O10*distribution_rolledup!O6+'KMX Table'!O10*distribution_rolledup!O7+'STG Table'!O10*distribution_rolledup!O8</f>
        <v/>
      </c>
      <c r="P7" s="111">
        <f>'AN Table'!P10*distribution_rolledup!P3+'ENT Table'!L10*distribution_rolledup!P4+'FLD Table'!L10*distribution_rolledup!P5+'FRN Table'!P10*distribution_rolledup!P6+'KMX Table'!P10*distribution_rolledup!P7+'STG Table'!P10*distribution_rolledup!P8</f>
        <v/>
      </c>
      <c r="Q7" s="111">
        <f>'AN Table'!Q10*distribution_rolledup!Q3+'ENT Table'!M10*distribution_rolledup!Q4+'FLD Table'!M10*distribution_rolledup!Q5+'FRN Table'!Q10*distribution_rolledup!Q6+'KMX Table'!Q10*distribution_rolledup!Q7+'STG Table'!Q10*distribution_rolledup!Q8</f>
        <v/>
      </c>
      <c r="R7" s="111">
        <f>'AN Table'!R10*distribution_rolledup!R3+'ENT Table'!N10*distribution_rolledup!R4+'FLD Table'!N10*distribution_rolledup!R5+'FRN Table'!R10*distribution_rolledup!R6+'KMX Table'!R10*distribution_rolledup!R7+'STG Table'!R10*distribution_rolledup!R8</f>
        <v/>
      </c>
      <c r="S7" s="111">
        <f>'AN Table'!S10*distribution_rolledup!S3+'ENT Table'!O10*distribution_rolledup!S4+'FLD Table'!O10*distribution_rolledup!S5+'FRN Table'!S10*distribution_rolledup!S6+'KMX Table'!S10*distribution_rolledup!S7+'STG Table'!S10*distribution_rolledup!S8</f>
        <v/>
      </c>
      <c r="T7" s="111">
        <f>'AN Table'!T10*distribution_rolledup!T3+'ENT Table'!P10*distribution_rolledup!T4+'FLD Table'!P10*distribution_rolledup!T5+'FRN Table'!T10*distribution_rolledup!T6+'KMX Table'!T10*distribution_rolledup!T7+'STG Table'!T10*distribution_rolledup!T8</f>
        <v/>
      </c>
      <c r="U7" s="111">
        <f>'AN Table'!U10*distribution_rolledup!U3+'ENT Table'!Q10*distribution_rolledup!U4+'FLD Table'!Q10*distribution_rolledup!U5+'FRN Table'!U10*distribution_rolledup!U6+'KMX Table'!U10*distribution_rolledup!U7+'STG Table'!U10*distribution_rolledup!U8</f>
        <v/>
      </c>
      <c r="V7" s="111">
        <f>'AN Table'!V10*distribution_rolledup!V3+'ENT Table'!R10*distribution_rolledup!V4+'FLD Table'!R10*distribution_rolledup!V5+'FRN Table'!V10*distribution_rolledup!V6+'KMX Table'!V10*distribution_rolledup!V7+'STG Table'!V10*distribution_rolledup!V8</f>
        <v/>
      </c>
      <c r="W7" s="111">
        <f>'AN Table'!W10*distribution_rolledup!W3+'ENT Table'!S10*distribution_rolledup!W4+'FLD Table'!S10*distribution_rolledup!W5+'FRN Table'!W10*distribution_rolledup!W6+'KMX Table'!W10*distribution_rolledup!W7+'STG Table'!W10*distribution_rolledup!W8</f>
        <v/>
      </c>
      <c r="X7" s="111">
        <f>'AN Table'!X10*distribution_rolledup!X3+'ENT Table'!T10*distribution_rolledup!X4+'FLD Table'!T10*distribution_rolledup!X5+'FRN Table'!X10*distribution_rolledup!X6+'KMX Table'!X10*distribution_rolledup!X7+'STG Table'!X10*distribution_rolledup!X8</f>
        <v/>
      </c>
      <c r="Y7" s="111">
        <f>'AN Table'!Y10*distribution_rolledup!Y3+'ENT Table'!U10*distribution_rolledup!Y4+'FLD Table'!U10*distribution_rolledup!Y5+'FRN Table'!Y10*distribution_rolledup!Y6+'KMX Table'!Y10*distribution_rolledup!Y7+'STG Table'!Y10*distribution_rolledup!Y8</f>
        <v/>
      </c>
      <c r="Z7" s="111" t="n"/>
    </row>
    <row r="8">
      <c r="B8" s="110" t="n"/>
      <c r="C8" s="110" t="n"/>
      <c r="D8" s="110" t="n"/>
      <c r="E8" s="110" t="n"/>
    </row>
    <row r="9">
      <c r="B9" s="110" t="n"/>
      <c r="C9" s="110" t="n"/>
      <c r="D9" s="110" t="n"/>
      <c r="E9" s="110" t="n"/>
    </row>
    <row r="10">
      <c r="A10" t="inlineStr">
        <is>
          <t>NonKMX RAGU tc</t>
        </is>
      </c>
      <c r="B10" s="110" t="n"/>
      <c r="C10" s="110" t="n"/>
      <c r="D10" s="110" t="n"/>
      <c r="E10" s="110">
        <f>('AN Table'!E14*distribution_rolledup!E3+distribution_rolledup!E6*'FRN Table'!E14+distribution_rolledup!E8*'STG Table'!E14)/SUM(distribution_rolledup!E3,distribution_rolledup!E6,distribution_rolledup!E8)</f>
        <v/>
      </c>
      <c r="F10" s="112">
        <f>(distribution_rolledup!F3*'AN Table'!F14+distribution_rolledup!F4*'ENT Table'!B14+distribution_rolledup!F5*'FLD Table'!B14+distribution_rolledup!F6*'FRN Table'!F14+distribution_rolledup!F8*'STG Table'!F14)/SUM(distribution_rolledup!F3:F6,distribution_rolledup!F8)</f>
        <v/>
      </c>
      <c r="G10" s="112">
        <f>(distribution_rolledup!G3*'AN Table'!G14+distribution_rolledup!G4*'ENT Table'!C14+distribution_rolledup!G5*'FLD Table'!C14+distribution_rolledup!G6*'FRN Table'!G14+distribution_rolledup!G8*'STG Table'!G14)/SUM(distribution_rolledup!G3:G6,distribution_rolledup!G8)</f>
        <v/>
      </c>
      <c r="H10" s="112">
        <f>(distribution_rolledup!H3*'AN Table'!H14+distribution_rolledup!H4*'ENT Table'!D14+distribution_rolledup!H5*'FLD Table'!D14+distribution_rolledup!H6*'FRN Table'!H14+distribution_rolledup!H8*'STG Table'!H14)/SUM(distribution_rolledup!H3:H6,distribution_rolledup!H8)</f>
        <v/>
      </c>
      <c r="I10" s="112">
        <f>(distribution_rolledup!I3*'AN Table'!I14+distribution_rolledup!I4*'ENT Table'!E14+distribution_rolledup!I5*'FLD Table'!E14+distribution_rolledup!I6*'FRN Table'!I14+distribution_rolledup!I8*'STG Table'!I14)/SUM(distribution_rolledup!I3:I6,distribution_rolledup!I8)</f>
        <v/>
      </c>
      <c r="J10" s="112">
        <f>(distribution_rolledup!J3*'AN Table'!J14+distribution_rolledup!J4*'ENT Table'!F14+distribution_rolledup!J5*'FLD Table'!F14+distribution_rolledup!J6*'FRN Table'!J14+distribution_rolledup!J8*'STG Table'!J14)/SUM(distribution_rolledup!J3:J6,distribution_rolledup!J8)</f>
        <v/>
      </c>
      <c r="K10" s="112">
        <f>(distribution_rolledup!K3*'AN Table'!K14+distribution_rolledup!K4*'ENT Table'!G14+distribution_rolledup!K5*'FLD Table'!G14+distribution_rolledup!K6*'FRN Table'!K14+distribution_rolledup!K8*'STG Table'!K14)/SUM(distribution_rolledup!K3:K6,distribution_rolledup!K8)</f>
        <v/>
      </c>
      <c r="L10" s="112">
        <f>(distribution_rolledup!L3*'AN Table'!L14+distribution_rolledup!L4*'ENT Table'!H14+distribution_rolledup!L5*'FLD Table'!H14+distribution_rolledup!L6*'FRN Table'!L14+distribution_rolledup!L8*'STG Table'!L14)/SUM(distribution_rolledup!L3:L6,distribution_rolledup!L8)</f>
        <v/>
      </c>
      <c r="M10" s="112">
        <f>(distribution_rolledup!M3*'AN Table'!M14+distribution_rolledup!M4*'ENT Table'!I14+distribution_rolledup!M5*'FLD Table'!I14+distribution_rolledup!M6*'FRN Table'!M14+distribution_rolledup!M8*'STG Table'!M14)/SUM(distribution_rolledup!M3:M6,distribution_rolledup!M8)</f>
        <v/>
      </c>
      <c r="N10" s="112">
        <f>(distribution_rolledup!N3*'AN Table'!N14+distribution_rolledup!N4*'ENT Table'!J14+distribution_rolledup!N5*'FLD Table'!J14+distribution_rolledup!N6*'FRN Table'!N14+distribution_rolledup!N8*'STG Table'!N14)/SUM(distribution_rolledup!N3:N6,distribution_rolledup!N8)</f>
        <v/>
      </c>
      <c r="O10" s="112">
        <f>(distribution_rolledup!O3*'AN Table'!O14+distribution_rolledup!O4*'ENT Table'!K14+distribution_rolledup!O5*'FLD Table'!K14+distribution_rolledup!O6*'FRN Table'!O14+distribution_rolledup!O8*'STG Table'!O14)/SUM(distribution_rolledup!O3:O6,distribution_rolledup!O8)</f>
        <v/>
      </c>
      <c r="P10" s="112">
        <f>(distribution_rolledup!P3*'AN Table'!P14+distribution_rolledup!P4*'ENT Table'!L14+distribution_rolledup!P5*'FLD Table'!L14+distribution_rolledup!P6*'FRN Table'!P14+distribution_rolledup!P8*'STG Table'!P14)/SUM(distribution_rolledup!P3:P6,distribution_rolledup!P8)</f>
        <v/>
      </c>
      <c r="Q10" s="112">
        <f>(distribution_rolledup!Q3*'AN Table'!Q14+distribution_rolledup!Q4*'ENT Table'!M14+distribution_rolledup!Q5*'FLD Table'!M14+distribution_rolledup!Q6*'FRN Table'!Q14+distribution_rolledup!Q8*'STG Table'!Q14)/SUM(distribution_rolledup!Q3:Q6,distribution_rolledup!Q8)</f>
        <v/>
      </c>
      <c r="R10" s="112">
        <f>(distribution_rolledup!R3*'AN Table'!R14+distribution_rolledup!R4*'ENT Table'!N14+distribution_rolledup!R5*'FLD Table'!N14+distribution_rolledup!R6*'FRN Table'!R14+distribution_rolledup!R8*'STG Table'!R14)/SUM(distribution_rolledup!R3:R6,distribution_rolledup!R8)</f>
        <v/>
      </c>
      <c r="S10" s="112">
        <f>(distribution_rolledup!S3*'AN Table'!S14+distribution_rolledup!S4*'ENT Table'!O14+distribution_rolledup!S5*'FLD Table'!O14+distribution_rolledup!S6*'FRN Table'!S14+distribution_rolledup!S8*'STG Table'!S14)/SUM(distribution_rolledup!S3:S6,distribution_rolledup!S8)</f>
        <v/>
      </c>
      <c r="T10" s="112">
        <f>(distribution_rolledup!T3*'AN Table'!T14+distribution_rolledup!T4*'ENT Table'!P14+distribution_rolledup!T5*'FLD Table'!P14+distribution_rolledup!T6*'FRN Table'!T14+distribution_rolledup!T8*'STG Table'!T14)/SUM(distribution_rolledup!T3:T6,distribution_rolledup!T8)</f>
        <v/>
      </c>
      <c r="U10" s="112">
        <f>(distribution_rolledup!U3*'AN Table'!U14+distribution_rolledup!U4*'ENT Table'!Q14+distribution_rolledup!U5*'FLD Table'!Q14+distribution_rolledup!U6*'FRN Table'!U14+distribution_rolledup!U8*'STG Table'!U14)/SUM(distribution_rolledup!U3:U6,distribution_rolledup!U8)</f>
        <v/>
      </c>
      <c r="V10" s="112">
        <f>(distribution_rolledup!V3*'AN Table'!V14+distribution_rolledup!V4*'ENT Table'!R14+distribution_rolledup!V5*'FLD Table'!R14+distribution_rolledup!V6*'FRN Table'!V14+distribution_rolledup!V8*'STG Table'!V14)/SUM(distribution_rolledup!V3:V6,distribution_rolledup!V8)</f>
        <v/>
      </c>
      <c r="W10" s="112">
        <f>(distribution_rolledup!W3*'AN Table'!W14+distribution_rolledup!W4*'ENT Table'!S14+distribution_rolledup!W5*'FLD Table'!S14+distribution_rolledup!W6*'FRN Table'!W14+distribution_rolledup!W8*'STG Table'!W14)/SUM(distribution_rolledup!W3:W6,distribution_rolledup!W8)</f>
        <v/>
      </c>
      <c r="X10" s="112">
        <f>(distribution_rolledup!X3*'AN Table'!X14+distribution_rolledup!X4*'ENT Table'!T14+distribution_rolledup!X5*'FLD Table'!T14+distribution_rolledup!X6*'FRN Table'!X14+distribution_rolledup!X8*'STG Table'!X14)/SUM(distribution_rolledup!X3:X6,distribution_rolledup!X8)</f>
        <v/>
      </c>
      <c r="Y10" s="112">
        <f>(distribution_rolledup!Y3*'AN Table'!Y14+distribution_rolledup!Y4*'ENT Table'!U14+distribution_rolledup!Y5*'FLD Table'!U14+distribution_rolledup!Y6*'FRN Table'!Y14+distribution_rolledup!Y8*'STG Table'!Y14)/SUM(distribution_rolledup!Y3:Y6,distribution_rolledup!Y8)</f>
        <v/>
      </c>
      <c r="Z10" s="112" t="n"/>
    </row>
    <row r="11">
      <c r="A11" t="inlineStr">
        <is>
          <t>NonKMX CNL tc</t>
        </is>
      </c>
      <c r="B11" s="110" t="n"/>
      <c r="C11" s="110" t="n"/>
      <c r="D11" s="110" t="n"/>
      <c r="E11" s="113">
        <f>(distribution_rolledup!E3*'AN Table'!E15+distribution_rolledup!E6*'FRN Table'!E15+distribution_rolledup!E8*'STG Table'!E15)/SUM(distribution_rolledup!E3,distribution_rolledup!E6,distribution_rolledup!E8)</f>
        <v/>
      </c>
      <c r="F11" s="113">
        <f>(distribution_rolledup!F3*'AN Table'!F15+distribution_rolledup!F4*'ENT Table'!B15+distribution_rolledup!F5*'FLD Table'!B15+distribution_rolledup!F6*'FRN Table'!F15+distribution_rolledup!F8*'STG Table'!F15)/SUM(distribution_rolledup!F3:F6,distribution_rolledup!F8)</f>
        <v/>
      </c>
      <c r="G11" s="113">
        <f>(distribution_rolledup!G3*'AN Table'!G15+distribution_rolledup!G4*'ENT Table'!C15+distribution_rolledup!G5*'FLD Table'!C15+distribution_rolledup!G6*'FRN Table'!G15+distribution_rolledup!G8*'STG Table'!G15)/SUM(distribution_rolledup!G3:G6,distribution_rolledup!G8)</f>
        <v/>
      </c>
      <c r="H11" s="113">
        <f>(distribution_rolledup!H3*'AN Table'!H15+distribution_rolledup!H4*'ENT Table'!D15+distribution_rolledup!H5*'FLD Table'!D15+distribution_rolledup!H6*'FRN Table'!H15+distribution_rolledup!H8*'STG Table'!H15)/SUM(distribution_rolledup!H3:H6,distribution_rolledup!H8)</f>
        <v/>
      </c>
      <c r="I11" s="113">
        <f>(distribution_rolledup!I3*'AN Table'!I15+distribution_rolledup!I4*'ENT Table'!E15+distribution_rolledup!I5*'FLD Table'!E15+distribution_rolledup!I6*'FRN Table'!I15+distribution_rolledup!I8*'STG Table'!I15)/SUM(distribution_rolledup!I3:I6,distribution_rolledup!I8)</f>
        <v/>
      </c>
      <c r="J11" s="113">
        <f>(distribution_rolledup!J3*'AN Table'!J15+distribution_rolledup!J4*'ENT Table'!F15+distribution_rolledup!J5*'FLD Table'!F15+distribution_rolledup!J6*'FRN Table'!J15+distribution_rolledup!J8*'STG Table'!J15)/SUM(distribution_rolledup!J3:J6,distribution_rolledup!J8)</f>
        <v/>
      </c>
      <c r="K11" s="113">
        <f>(distribution_rolledup!K3*'AN Table'!K15+distribution_rolledup!K4*'ENT Table'!G15+distribution_rolledup!K5*'FLD Table'!G15+distribution_rolledup!K6*'FRN Table'!K15+distribution_rolledup!K8*'STG Table'!K15)/SUM(distribution_rolledup!K3:K6,distribution_rolledup!K8)</f>
        <v/>
      </c>
      <c r="L11" s="113">
        <f>(distribution_rolledup!L3*'AN Table'!L15+distribution_rolledup!L4*'ENT Table'!H15+distribution_rolledup!L5*'FLD Table'!H15+distribution_rolledup!L6*'FRN Table'!L15+distribution_rolledup!L8*'STG Table'!L15)/SUM(distribution_rolledup!L3:L6,distribution_rolledup!L8)</f>
        <v/>
      </c>
      <c r="M11" s="113">
        <f>(distribution_rolledup!M3*'AN Table'!M15+distribution_rolledup!M4*'ENT Table'!I15+distribution_rolledup!M5*'FLD Table'!I15+distribution_rolledup!M6*'FRN Table'!M15+distribution_rolledup!M8*'STG Table'!M15)/SUM(distribution_rolledup!M3:M6,distribution_rolledup!M8)</f>
        <v/>
      </c>
      <c r="N11" s="113">
        <f>(distribution_rolledup!N3*'AN Table'!N15+distribution_rolledup!N4*'ENT Table'!J15+distribution_rolledup!N5*'FLD Table'!J15+distribution_rolledup!N6*'FRN Table'!N15+distribution_rolledup!N8*'STG Table'!N15)/SUM(distribution_rolledup!N3:N6,distribution_rolledup!N8)</f>
        <v/>
      </c>
      <c r="O11" s="113">
        <f>(distribution_rolledup!O3*'AN Table'!O15+distribution_rolledup!O4*'ENT Table'!K15+distribution_rolledup!O5*'FLD Table'!K15+distribution_rolledup!O6*'FRN Table'!O15+distribution_rolledup!O8*'STG Table'!O15)/SUM(distribution_rolledup!O3:O6,distribution_rolledup!O8)</f>
        <v/>
      </c>
      <c r="P11" s="113">
        <f>(distribution_rolledup!P3*'AN Table'!P15+distribution_rolledup!P4*'ENT Table'!L15+distribution_rolledup!P5*'FLD Table'!L15+distribution_rolledup!P6*'FRN Table'!P15+distribution_rolledup!P8*'STG Table'!P15)/SUM(distribution_rolledup!P3:P6,distribution_rolledup!P8)</f>
        <v/>
      </c>
      <c r="Q11" s="113">
        <f>(distribution_rolledup!Q3*'AN Table'!Q15+distribution_rolledup!Q4*'ENT Table'!M15+distribution_rolledup!Q5*'FLD Table'!M15+distribution_rolledup!Q6*'FRN Table'!Q15+distribution_rolledup!Q8*'STG Table'!Q15)/SUM(distribution_rolledup!Q3:Q6,distribution_rolledup!Q8)</f>
        <v/>
      </c>
      <c r="R11" s="113">
        <f>(distribution_rolledup!R3*'AN Table'!R15+distribution_rolledup!R4*'ENT Table'!N15+distribution_rolledup!R5*'FLD Table'!N15+distribution_rolledup!R6*'FRN Table'!R15+distribution_rolledup!R8*'STG Table'!R15)/SUM(distribution_rolledup!R3:R6,distribution_rolledup!R8)</f>
        <v/>
      </c>
      <c r="S11" s="113">
        <f>(distribution_rolledup!S3*'AN Table'!S15+distribution_rolledup!S4*'ENT Table'!O15+distribution_rolledup!S5*'FLD Table'!O15+distribution_rolledup!S6*'FRN Table'!S15+distribution_rolledup!S8*'STG Table'!S15)/SUM(distribution_rolledup!S3:S6,distribution_rolledup!S8)</f>
        <v/>
      </c>
      <c r="T11" s="113">
        <f>(distribution_rolledup!T3*'AN Table'!T15+distribution_rolledup!T4*'ENT Table'!P15+distribution_rolledup!T5*'FLD Table'!P15+distribution_rolledup!T6*'FRN Table'!T15+distribution_rolledup!T8*'STG Table'!T15)/SUM(distribution_rolledup!T3:T6,distribution_rolledup!T8)</f>
        <v/>
      </c>
      <c r="U11" s="113">
        <f>(distribution_rolledup!U3*'AN Table'!U15+distribution_rolledup!U4*'ENT Table'!Q15+distribution_rolledup!U5*'FLD Table'!Q15+distribution_rolledup!U6*'FRN Table'!U15+distribution_rolledup!U8*'STG Table'!U15)/SUM(distribution_rolledup!U3:U6,distribution_rolledup!U8)</f>
        <v/>
      </c>
      <c r="V11" s="113">
        <f>(distribution_rolledup!V3*'AN Table'!V15+distribution_rolledup!V4*'ENT Table'!R15+distribution_rolledup!V5*'FLD Table'!R15+distribution_rolledup!V6*'FRN Table'!V15+distribution_rolledup!V8*'STG Table'!V15)/SUM(distribution_rolledup!V3:V6,distribution_rolledup!V8)</f>
        <v/>
      </c>
      <c r="W11" s="113">
        <f>(distribution_rolledup!W3*'AN Table'!W15+distribution_rolledup!W4*'ENT Table'!S15+distribution_rolledup!W5*'FLD Table'!S15+distribution_rolledup!W6*'FRN Table'!W15+distribution_rolledup!W8*'STG Table'!W15)/SUM(distribution_rolledup!W3:W6,distribution_rolledup!W8)</f>
        <v/>
      </c>
      <c r="X11" s="113">
        <f>(distribution_rolledup!X3*'AN Table'!X15+distribution_rolledup!X4*'ENT Table'!T15+distribution_rolledup!X5*'FLD Table'!T15+distribution_rolledup!X6*'FRN Table'!X15+distribution_rolledup!X8*'STG Table'!X15)/SUM(distribution_rolledup!X3:X6,distribution_rolledup!X8)</f>
        <v/>
      </c>
      <c r="Y11" s="113">
        <f>(distribution_rolledup!Y3*'AN Table'!Y15+distribution_rolledup!Y4*'ENT Table'!U15+distribution_rolledup!Y5*'FLD Table'!U15+distribution_rolledup!Y6*'FRN Table'!Y15+distribution_rolledup!Y8*'STG Table'!Y15)/SUM(distribution_rolledup!Y3:Y6,distribution_rolledup!Y8)</f>
        <v/>
      </c>
      <c r="Z11" s="113" t="n"/>
    </row>
    <row r="12">
      <c r="B12" s="110" t="n"/>
      <c r="C12" s="110" t="n"/>
      <c r="D12" s="110" t="n"/>
      <c r="E12" s="110" t="n"/>
    </row>
    <row r="13">
      <c r="B13" s="110" t="n"/>
      <c r="C13" s="110" t="n"/>
      <c r="D13" s="110" t="n"/>
      <c r="E13" s="110" t="n"/>
    </row>
    <row r="14">
      <c r="B14" s="110" t="n"/>
      <c r="C14" s="110" t="n"/>
      <c r="D14" s="110" t="n"/>
      <c r="E14" s="110" t="n"/>
    </row>
    <row r="15">
      <c r="B15" s="110" t="n"/>
      <c r="C15" s="110" t="n"/>
      <c r="D15" s="110" t="n"/>
      <c r="E15" s="110" t="n"/>
    </row>
    <row r="16">
      <c r="B16" s="110" t="n"/>
      <c r="C16" s="110" t="n"/>
      <c r="D16" s="110" t="n"/>
      <c r="E16" s="110" t="n"/>
    </row>
    <row r="17">
      <c r="B17" s="110" t="n"/>
      <c r="C17" s="110" t="n"/>
      <c r="D17" s="110" t="n"/>
      <c r="E17" s="110" t="n"/>
    </row>
    <row r="18">
      <c r="B18" s="110" t="n"/>
      <c r="C18" s="110" t="n"/>
      <c r="D18" s="110" t="n"/>
      <c r="E18" s="110" t="n"/>
    </row>
    <row r="19">
      <c r="B19" s="110" t="n"/>
      <c r="C19" s="110" t="n"/>
      <c r="D19" s="110" t="n"/>
      <c r="E19" s="110" t="n"/>
    </row>
    <row r="20">
      <c r="B20" s="110" t="n"/>
      <c r="C20" s="110" t="n"/>
      <c r="D20" s="110" t="n"/>
      <c r="E20" s="110" t="n"/>
    </row>
    <row r="21">
      <c r="B21" s="110" t="n"/>
      <c r="C21" s="110" t="n"/>
      <c r="D21" s="110" t="n"/>
      <c r="E21" s="110" t="n"/>
    </row>
    <row r="22">
      <c r="B22" s="110" t="n"/>
      <c r="C22" s="110" t="n"/>
      <c r="D22" s="110" t="n"/>
      <c r="E22" s="110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27"/>
  <sheetViews>
    <sheetView topLeftCell="E1" zoomScale="205" zoomScaleNormal="205" workbookViewId="0">
      <selection activeCell="Z6" sqref="Z6"/>
    </sheetView>
  </sheetViews>
  <sheetFormatPr baseColWidth="8" defaultColWidth="9.1796875" defaultRowHeight="15" customHeight="1"/>
  <cols>
    <col width="25" customWidth="1" style="41" min="1" max="1"/>
    <col width="5.26953125" customWidth="1" style="41" min="2" max="30"/>
    <col width="9.1796875" customWidth="1" style="41" min="31" max="77"/>
    <col width="9.1796875" customWidth="1" style="41" min="78" max="16384"/>
  </cols>
  <sheetData>
    <row r="1" ht="30" customHeight="1" s="115">
      <c r="A1" s="35" t="inlineStr">
        <is>
          <t>AN</t>
        </is>
      </c>
      <c r="B1" s="28" t="n">
        <v>2016</v>
      </c>
      <c r="C1" s="28" t="n">
        <v>2017</v>
      </c>
      <c r="D1" s="28" t="n">
        <v>2018</v>
      </c>
      <c r="E1" s="28" t="n">
        <v>2019</v>
      </c>
      <c r="F1" s="28" t="inlineStr">
        <is>
          <t>2020 Q1</t>
        </is>
      </c>
      <c r="G1" s="28" t="inlineStr">
        <is>
          <t>2020 Q2</t>
        </is>
      </c>
      <c r="H1" s="28" t="inlineStr">
        <is>
          <t>2020 Q3</t>
        </is>
      </c>
      <c r="I1" s="28" t="inlineStr">
        <is>
          <t>2020 Q4</t>
        </is>
      </c>
      <c r="J1" s="28" t="inlineStr">
        <is>
          <t>2021 Q1</t>
        </is>
      </c>
      <c r="K1" s="28" t="inlineStr">
        <is>
          <t>2021 Q2</t>
        </is>
      </c>
      <c r="L1" s="28" t="inlineStr">
        <is>
          <t>2021 Q3</t>
        </is>
      </c>
      <c r="M1" s="28" t="inlineStr">
        <is>
          <t>2021 Q4</t>
        </is>
      </c>
      <c r="N1" s="28" t="inlineStr">
        <is>
          <t>2022 Q1</t>
        </is>
      </c>
      <c r="O1" s="28" t="inlineStr">
        <is>
          <t>2022 Q2</t>
        </is>
      </c>
      <c r="P1" s="28" t="inlineStr">
        <is>
          <t>2022 Q3</t>
        </is>
      </c>
      <c r="Q1" s="28" t="inlineStr">
        <is>
          <t>2022 Q4</t>
        </is>
      </c>
      <c r="R1" s="28" t="inlineStr">
        <is>
          <t>2023 Q1</t>
        </is>
      </c>
      <c r="S1" s="28" t="inlineStr">
        <is>
          <t>2023 Q2</t>
        </is>
      </c>
      <c r="T1" s="28" t="inlineStr">
        <is>
          <t>2023 Q3</t>
        </is>
      </c>
      <c r="U1" s="28" t="inlineStr">
        <is>
          <t>2023 Q4</t>
        </is>
      </c>
      <c r="V1" s="28" t="inlineStr">
        <is>
          <t>2024 Q1</t>
        </is>
      </c>
      <c r="W1" s="28" t="inlineStr">
        <is>
          <t>2024 Q2</t>
        </is>
      </c>
      <c r="X1" s="28" t="inlineStr">
        <is>
          <t>2024 Q3</t>
        </is>
      </c>
      <c r="Y1" s="28" t="inlineStr">
        <is>
          <t>2024 Q4</t>
        </is>
      </c>
      <c r="Z1" s="28" t="inlineStr">
        <is>
          <t>2025 Q1</t>
        </is>
      </c>
      <c r="AA1" s="28" t="inlineStr">
        <is>
          <t>2025 Q2</t>
        </is>
      </c>
      <c r="AB1" s="28" t="inlineStr">
        <is>
          <t>2025 Q3</t>
        </is>
      </c>
      <c r="AC1" s="28" t="inlineStr">
        <is>
          <t>2025 Q4</t>
        </is>
      </c>
      <c r="AD1" s="56" t="inlineStr">
        <is>
          <t>t-1</t>
        </is>
      </c>
      <c r="AF1" s="28" t="inlineStr">
        <is>
          <t>t-1 manual input</t>
        </is>
      </c>
      <c r="AG1" s="79" t="inlineStr">
        <is>
          <t>Use Recent Month?</t>
        </is>
      </c>
      <c r="AH1" s="134" t="inlineStr">
        <is>
          <t>Use Reassessed Model Score?</t>
        </is>
      </c>
      <c r="AI1" s="135" t="n"/>
    </row>
    <row r="2" ht="15" customHeight="1" s="115" thickBot="1">
      <c r="A2" s="38" t="inlineStr">
        <is>
          <t>Contract Model Score¹</t>
        </is>
      </c>
      <c r="B2" s="12">
        <f>'Data Tables (Q)'!B2</f>
        <v/>
      </c>
      <c r="C2" s="12">
        <f>'Data Tables (Q)'!C2</f>
        <v/>
      </c>
      <c r="D2" s="12">
        <f>'Data Tables (Q)'!D2</f>
        <v/>
      </c>
      <c r="E2" s="12">
        <f>'Data Tables (Q)'!E2</f>
        <v/>
      </c>
      <c r="F2" s="12">
        <f>'Data Tables (Q)'!F2</f>
        <v/>
      </c>
      <c r="G2" s="12">
        <f>'Data Tables (Q)'!G2</f>
        <v/>
      </c>
      <c r="H2" s="12">
        <f>'Data Tables (Q)'!H2</f>
        <v/>
      </c>
      <c r="I2" s="12">
        <f>'Data Tables (Q)'!I2</f>
        <v/>
      </c>
      <c r="J2" s="12">
        <f>'Data Tables (Q)'!J2</f>
        <v/>
      </c>
      <c r="K2" s="12">
        <f>'Data Tables (Q)'!K2</f>
        <v/>
      </c>
      <c r="L2" s="12">
        <f>'Data Tables (Q)'!L2</f>
        <v/>
      </c>
      <c r="M2" s="12">
        <f>'Data Tables (Q)'!M2</f>
        <v/>
      </c>
      <c r="N2" s="12">
        <f>'Data Tables (Q)'!N2</f>
        <v/>
      </c>
      <c r="O2" s="12">
        <f>'Data Tables (Q)'!O2</f>
        <v/>
      </c>
      <c r="P2" s="12">
        <f>'Data Tables (Q)'!P2</f>
        <v/>
      </c>
      <c r="Q2" s="12">
        <f>'Data Tables (Q)'!Q2</f>
        <v/>
      </c>
      <c r="R2" s="12">
        <f>'Data Tables (Q)'!R2</f>
        <v/>
      </c>
      <c r="S2" s="12">
        <f>'Data Tables (Q)'!S2</f>
        <v/>
      </c>
      <c r="T2" s="12">
        <f>'Data Tables (Q)'!T2</f>
        <v/>
      </c>
      <c r="U2" s="12">
        <f>'Data Tables (Q)'!U2</f>
        <v/>
      </c>
      <c r="V2" s="12">
        <f>'Data Tables (Q)'!V2</f>
        <v/>
      </c>
      <c r="W2" s="12">
        <f>'Data Tables (Q)'!W2</f>
        <v/>
      </c>
      <c r="X2" s="12">
        <f>'Data Tables (Q)'!X2</f>
        <v/>
      </c>
      <c r="Y2" s="12">
        <f>'Data Tables (Q)'!Y2</f>
        <v/>
      </c>
      <c r="Z2" s="12">
        <f>'Data Tables (Q)'!Z2</f>
        <v/>
      </c>
      <c r="AA2" s="12">
        <f>'Data Tables (Q)'!AA2</f>
        <v/>
      </c>
      <c r="AB2" s="12">
        <f>'Data Tables (Q)'!AB2</f>
        <v/>
      </c>
      <c r="AC2" s="12">
        <f>'Data Tables (Q)'!AC2</f>
        <v/>
      </c>
      <c r="AD2" s="12">
        <f>'Data Tables (M)'!BS2*AG2+AF2*(1-AG2)</f>
        <v/>
      </c>
      <c r="AF2" s="61">
        <f>'t-1 Data Table'!N2</f>
        <v/>
      </c>
      <c r="AG2" s="75" t="n">
        <v>1</v>
      </c>
      <c r="AH2" s="132" t="n">
        <v>0</v>
      </c>
      <c r="AI2" s="133" t="n"/>
    </row>
    <row r="3" hidden="1" ht="15" customHeight="1" s="115">
      <c r="A3" s="43" t="inlineStr">
        <is>
          <t>Shift to FRN 3.1 Score²</t>
        </is>
      </c>
      <c r="B3" s="13">
        <f>'Data Tables (Q)'!B3*AH2</f>
        <v/>
      </c>
      <c r="C3" s="13">
        <f>'Data Tables (Q)'!C3*AI2</f>
        <v/>
      </c>
      <c r="D3" s="13">
        <f>'Data Tables (Q)'!D3*AJ2</f>
        <v/>
      </c>
      <c r="E3" s="13">
        <f>'Data Tables (Q)'!E3*AK2</f>
        <v/>
      </c>
      <c r="F3" s="13">
        <f>'Data Tables (Q)'!F3*AL2</f>
        <v/>
      </c>
      <c r="G3" s="13">
        <f>'Data Tables (Q)'!G3*AM2</f>
        <v/>
      </c>
      <c r="H3" s="13">
        <f>'Data Tables (Q)'!H3*AN2</f>
        <v/>
      </c>
      <c r="I3" s="13">
        <f>'Data Tables (Q)'!I3*AO2</f>
        <v/>
      </c>
      <c r="J3" s="13">
        <f>'Data Tables (Q)'!J3*AP2</f>
        <v/>
      </c>
      <c r="K3" s="13">
        <f>'Data Tables (Q)'!K3*AQ2</f>
        <v/>
      </c>
      <c r="L3" s="13">
        <f>'Data Tables (Q)'!L3*AR2</f>
        <v/>
      </c>
      <c r="M3" s="13">
        <f>'Data Tables (Q)'!M3*AS2</f>
        <v/>
      </c>
      <c r="N3" s="13">
        <f>'Data Tables (Q)'!N3*AT2</f>
        <v/>
      </c>
      <c r="O3" s="13">
        <f>'Data Tables (Q)'!O3*AU2</f>
        <v/>
      </c>
      <c r="P3" s="13">
        <f>'Data Tables (Q)'!P3*AV2</f>
        <v/>
      </c>
      <c r="Q3" s="13">
        <f>'Data Tables (Q)'!Q3*AW2</f>
        <v/>
      </c>
      <c r="R3" s="13">
        <f>'Data Tables (Q)'!R3*AX2</f>
        <v/>
      </c>
      <c r="S3" s="13">
        <f>'Data Tables (Q)'!S3*AY2</f>
        <v/>
      </c>
      <c r="T3" s="13">
        <f>'Data Tables (Q)'!T3*AZ2</f>
        <v/>
      </c>
      <c r="U3" s="13">
        <f>'Data Tables (Q)'!U3*BA2</f>
        <v/>
      </c>
      <c r="V3" s="13">
        <f>'Data Tables (Q)'!V3*BB2</f>
        <v/>
      </c>
      <c r="W3" s="13">
        <f>'Data Tables (Q)'!W3*BC2</f>
        <v/>
      </c>
      <c r="X3" s="13">
        <f>'Data Tables (Q)'!X3*BD2</f>
        <v/>
      </c>
      <c r="Y3" s="13">
        <f>'Data Tables (Q)'!Y3*BE2</f>
        <v/>
      </c>
      <c r="Z3" s="13">
        <f>'Data Tables (Q)'!Z3*BF2</f>
        <v/>
      </c>
      <c r="AA3" s="13">
        <f>'Data Tables (Q)'!AA3*BG2</f>
        <v/>
      </c>
      <c r="AB3" s="13">
        <f>'Data Tables (Q)'!AB3*BH2</f>
        <v/>
      </c>
      <c r="AC3" s="13">
        <f>'Data Tables (Q)'!AC3*BI2</f>
        <v/>
      </c>
      <c r="AD3" s="13">
        <f>('Data Tables (M)'!BC3*AG3+AF3*(1-AG3))*$AH$2</f>
        <v/>
      </c>
      <c r="AF3" s="44" t="n">
        <v>0</v>
      </c>
      <c r="AG3" s="17" t="n">
        <v>1</v>
      </c>
    </row>
    <row r="4" ht="30" customHeight="1" s="115">
      <c r="A4" s="36" t="inlineStr">
        <is>
          <t>Gross Loss Adjustments (Dealer Level, vehicle age, etc.)²</t>
        </is>
      </c>
      <c r="B4" s="13">
        <f>'Data Tables (Q)'!B4</f>
        <v/>
      </c>
      <c r="C4" s="13">
        <f>'Data Tables (Q)'!C4</f>
        <v/>
      </c>
      <c r="D4" s="13">
        <f>'Data Tables (Q)'!D4</f>
        <v/>
      </c>
      <c r="E4" s="13">
        <f>'Data Tables (Q)'!E4</f>
        <v/>
      </c>
      <c r="F4" s="13">
        <f>'Data Tables (Q)'!F4</f>
        <v/>
      </c>
      <c r="G4" s="13">
        <f>'Data Tables (Q)'!G4</f>
        <v/>
      </c>
      <c r="H4" s="13">
        <f>'Data Tables (Q)'!H4</f>
        <v/>
      </c>
      <c r="I4" s="13">
        <f>'Data Tables (Q)'!I4</f>
        <v/>
      </c>
      <c r="J4" s="13">
        <f>'Data Tables (Q)'!J4</f>
        <v/>
      </c>
      <c r="K4" s="13">
        <f>'Data Tables (Q)'!K4</f>
        <v/>
      </c>
      <c r="L4" s="13">
        <f>'Data Tables (Q)'!L4</f>
        <v/>
      </c>
      <c r="M4" s="13">
        <f>'Data Tables (Q)'!M4</f>
        <v/>
      </c>
      <c r="N4" s="13">
        <f>'Data Tables (Q)'!N4</f>
        <v/>
      </c>
      <c r="O4" s="13">
        <f>'Data Tables (Q)'!O4</f>
        <v/>
      </c>
      <c r="P4" s="13">
        <f>'Data Tables (Q)'!P4</f>
        <v/>
      </c>
      <c r="Q4" s="13">
        <f>'Data Tables (Q)'!Q4</f>
        <v/>
      </c>
      <c r="R4" s="13">
        <f>'Data Tables (Q)'!R4</f>
        <v/>
      </c>
      <c r="S4" s="13">
        <f>'Data Tables (Q)'!S4</f>
        <v/>
      </c>
      <c r="T4" s="13">
        <f>'Data Tables (Q)'!T4</f>
        <v/>
      </c>
      <c r="U4" s="13">
        <f>'Data Tables (Q)'!U4</f>
        <v/>
      </c>
      <c r="V4" s="13">
        <f>'Data Tables (Q)'!V4</f>
        <v/>
      </c>
      <c r="W4" s="13">
        <f>'Data Tables (Q)'!W4</f>
        <v/>
      </c>
      <c r="X4" s="13">
        <f>'Data Tables (Q)'!X4</f>
        <v/>
      </c>
      <c r="Y4" s="13">
        <f>'Data Tables (Q)'!Y4</f>
        <v/>
      </c>
      <c r="Z4" s="13">
        <f>'Data Tables (Q)'!Z4</f>
        <v/>
      </c>
      <c r="AA4" s="13">
        <f>'Data Tables (Q)'!AA4</f>
        <v/>
      </c>
      <c r="AB4" s="13">
        <f>'Data Tables (Q)'!AB4</f>
        <v/>
      </c>
      <c r="AC4" s="13">
        <f>'Data Tables (Q)'!AC4</f>
        <v/>
      </c>
      <c r="AD4" s="13">
        <f>'Data Tables (M)'!BS4*AG4+AF4*(1-AG4)</f>
        <v/>
      </c>
      <c r="AF4" s="44" t="n"/>
      <c r="AG4" s="17" t="n">
        <v>1</v>
      </c>
    </row>
    <row r="5" ht="30" customHeight="1" s="115">
      <c r="A5" s="38" t="inlineStr">
        <is>
          <t>Recovery Adjustments excluding LTV (Mileage, LOB, etc.)³</t>
        </is>
      </c>
      <c r="B5" s="12">
        <f>'Data Tables (Q)'!B5</f>
        <v/>
      </c>
      <c r="C5" s="12">
        <f>'Data Tables (Q)'!C5</f>
        <v/>
      </c>
      <c r="D5" s="12">
        <f>'Data Tables (Q)'!D5</f>
        <v/>
      </c>
      <c r="E5" s="12">
        <f>'Data Tables (Q)'!E5</f>
        <v/>
      </c>
      <c r="F5" s="12">
        <f>'Data Tables (Q)'!F5</f>
        <v/>
      </c>
      <c r="G5" s="12">
        <f>'Data Tables (Q)'!G5</f>
        <v/>
      </c>
      <c r="H5" s="12">
        <f>'Data Tables (Q)'!H5</f>
        <v/>
      </c>
      <c r="I5" s="12">
        <f>'Data Tables (Q)'!I5</f>
        <v/>
      </c>
      <c r="J5" s="12">
        <f>'Data Tables (Q)'!J5</f>
        <v/>
      </c>
      <c r="K5" s="12">
        <f>'Data Tables (Q)'!K5</f>
        <v/>
      </c>
      <c r="L5" s="12">
        <f>'Data Tables (Q)'!L5</f>
        <v/>
      </c>
      <c r="M5" s="12">
        <f>'Data Tables (Q)'!M5</f>
        <v/>
      </c>
      <c r="N5" s="12">
        <f>'Data Tables (Q)'!N5</f>
        <v/>
      </c>
      <c r="O5" s="12">
        <f>'Data Tables (Q)'!O5</f>
        <v/>
      </c>
      <c r="P5" s="12">
        <f>'Data Tables (Q)'!P5</f>
        <v/>
      </c>
      <c r="Q5" s="12">
        <f>'Data Tables (Q)'!Q5</f>
        <v/>
      </c>
      <c r="R5" s="12">
        <f>'Data Tables (Q)'!R5</f>
        <v/>
      </c>
      <c r="S5" s="12">
        <f>'Data Tables (Q)'!S5</f>
        <v/>
      </c>
      <c r="T5" s="12">
        <f>'Data Tables (Q)'!T5</f>
        <v/>
      </c>
      <c r="U5" s="12">
        <f>'Data Tables (Q)'!U5</f>
        <v/>
      </c>
      <c r="V5" s="12">
        <f>'Data Tables (Q)'!V5</f>
        <v/>
      </c>
      <c r="W5" s="12">
        <f>'Data Tables (Q)'!W5</f>
        <v/>
      </c>
      <c r="X5" s="12">
        <f>'Data Tables (Q)'!X5</f>
        <v/>
      </c>
      <c r="Y5" s="12">
        <f>'Data Tables (Q)'!Y5</f>
        <v/>
      </c>
      <c r="Z5" s="12">
        <f>'Data Tables (Q)'!Z5</f>
        <v/>
      </c>
      <c r="AA5" s="12">
        <f>'Data Tables (Q)'!AA5</f>
        <v/>
      </c>
      <c r="AB5" s="12">
        <f>'Data Tables (Q)'!AB5</f>
        <v/>
      </c>
      <c r="AC5" s="12">
        <f>'Data Tables (Q)'!AC5</f>
        <v/>
      </c>
      <c r="AD5" s="12">
        <f>'Data Tables (M)'!BS5*AG5+AF5*(1-AG5)</f>
        <v/>
      </c>
      <c r="AF5" s="44" t="n"/>
      <c r="AG5" s="17" t="n">
        <v>1</v>
      </c>
    </row>
    <row r="6" ht="15" customHeight="1" s="115">
      <c r="A6" s="36" t="inlineStr">
        <is>
          <t>BBLTV Adjustments⁴</t>
        </is>
      </c>
      <c r="B6" s="13">
        <f>(194%/B10-1)/10%*1.7</f>
        <v/>
      </c>
      <c r="C6" s="13">
        <f>(194%/C10-1)/10%*1.7</f>
        <v/>
      </c>
      <c r="D6" s="13">
        <f>(194%/D10-1)/10%*1.7</f>
        <v/>
      </c>
      <c r="E6" s="13">
        <f>(194%/E10-1)/10%*1.7</f>
        <v/>
      </c>
      <c r="F6" s="13">
        <f>(194%/F10-1)/10%*1.7</f>
        <v/>
      </c>
      <c r="G6" s="13">
        <f>(194%/G10-1)/10%*1.7</f>
        <v/>
      </c>
      <c r="H6" s="13">
        <f>(194%/H10-1)/10%*1.7</f>
        <v/>
      </c>
      <c r="I6" s="13">
        <f>(194%/I10-1)/10%*1.7</f>
        <v/>
      </c>
      <c r="J6" s="13">
        <f>(194%/J10-1)/10%*1.7</f>
        <v/>
      </c>
      <c r="K6" s="13">
        <f>(194%/K10-1)/10%*1.7</f>
        <v/>
      </c>
      <c r="L6" s="13">
        <f>(194%/L10-1)/10%*1.7</f>
        <v/>
      </c>
      <c r="M6" s="13">
        <f>(194%/M10-1)/10%*1.7</f>
        <v/>
      </c>
      <c r="N6" s="13">
        <f>(194%/N10-1)/10%*1.7</f>
        <v/>
      </c>
      <c r="O6" s="13">
        <f>(194%/O10-1)/10%*1.7</f>
        <v/>
      </c>
      <c r="P6" s="13">
        <f>(194%/P10-1)/10%*1.7</f>
        <v/>
      </c>
      <c r="Q6" s="13">
        <f>(194%/Q10-1)/10%*1.7</f>
        <v/>
      </c>
      <c r="R6" s="13">
        <f>(194%/R10-1)/10%*1.7</f>
        <v/>
      </c>
      <c r="S6" s="13">
        <f>(194%/S10-1)/10%*1.7</f>
        <v/>
      </c>
      <c r="T6" s="13">
        <f>(194%/T10-1)/10%*1.7</f>
        <v/>
      </c>
      <c r="U6" s="13">
        <f>(194%/U10-1)/10%*1.7</f>
        <v/>
      </c>
      <c r="V6" s="13">
        <f>(194%/V10-1)/10%*1.7</f>
        <v/>
      </c>
      <c r="W6" s="13">
        <f>(194%/W10-1)/10%*1.7</f>
        <v/>
      </c>
      <c r="X6" s="13">
        <f>(194%/X10-1)/10%*1.7</f>
        <v/>
      </c>
      <c r="Y6" s="13">
        <f>(194%/Y10-1)/10%*1.7</f>
        <v/>
      </c>
      <c r="Z6" s="13">
        <f>(194%/Z10-1)/10%*1.7</f>
        <v/>
      </c>
      <c r="AA6" s="13">
        <f>(194%/AA10-1)/10%*1.7</f>
        <v/>
      </c>
      <c r="AB6" s="13">
        <f>(194%/AB10-1)/10%*1.7</f>
        <v/>
      </c>
      <c r="AC6" s="13">
        <f>(194%/AC10-1)/10%*1.7</f>
        <v/>
      </c>
      <c r="AD6" s="13">
        <f>(194%/AD10-1)/10%*1.7</f>
        <v/>
      </c>
      <c r="AG6" s="16" t="n"/>
    </row>
    <row r="7" ht="15" customHeight="1" s="115">
      <c r="A7" s="38" t="inlineStr">
        <is>
          <t>RAGU Score</t>
        </is>
      </c>
      <c r="B7" s="12">
        <f>SUM(B2:B6)</f>
        <v/>
      </c>
      <c r="C7" s="12">
        <f>SUM(C2:C6)</f>
        <v/>
      </c>
      <c r="D7" s="12">
        <f>SUM(D2:D6)</f>
        <v/>
      </c>
      <c r="E7" s="12">
        <f>SUM(E2:E6)</f>
        <v/>
      </c>
      <c r="F7" s="12">
        <f>SUM(F2:F6)</f>
        <v/>
      </c>
      <c r="G7" s="12">
        <f>SUM(G2:G6)</f>
        <v/>
      </c>
      <c r="H7" s="12">
        <f>SUM(H2:H6)</f>
        <v/>
      </c>
      <c r="I7" s="12">
        <f>SUM(I2:I6)</f>
        <v/>
      </c>
      <c r="J7" s="12">
        <f>SUM(J2:J6)</f>
        <v/>
      </c>
      <c r="K7" s="12">
        <f>SUM(K2:K6)</f>
        <v/>
      </c>
      <c r="L7" s="12">
        <f>SUM(L2:L6)</f>
        <v/>
      </c>
      <c r="M7" s="12">
        <f>SUM(M2:M6)</f>
        <v/>
      </c>
      <c r="N7" s="12">
        <f>SUM(N2:N6)</f>
        <v/>
      </c>
      <c r="O7" s="12">
        <f>SUM(O2:O6)</f>
        <v/>
      </c>
      <c r="P7" s="12">
        <f>SUM(P2:P6)</f>
        <v/>
      </c>
      <c r="Q7" s="12">
        <f>SUM(Q2:Q6)</f>
        <v/>
      </c>
      <c r="R7" s="12">
        <f>SUM(R2:R6)</f>
        <v/>
      </c>
      <c r="S7" s="12">
        <f>SUM(S2:S6)</f>
        <v/>
      </c>
      <c r="T7" s="12">
        <f>SUM(T2:T6)</f>
        <v/>
      </c>
      <c r="U7" s="12">
        <f>SUM(U2:U6)</f>
        <v/>
      </c>
      <c r="V7" s="12">
        <f>SUM(V2:V6)</f>
        <v/>
      </c>
      <c r="W7" s="12">
        <f>SUM(W2:W6)</f>
        <v/>
      </c>
      <c r="X7" s="12">
        <f>SUM(X2:X6)</f>
        <v/>
      </c>
      <c r="Y7" s="12">
        <f>SUM(Y2:Y6)</f>
        <v/>
      </c>
      <c r="Z7" s="12">
        <f>SUM(Z2:Z6)</f>
        <v/>
      </c>
      <c r="AA7" s="12">
        <f>SUM(AA2:AA6)</f>
        <v/>
      </c>
      <c r="AB7" s="12">
        <f>SUM(AB2:AB6)</f>
        <v/>
      </c>
      <c r="AC7" s="12">
        <f>SUM(AC2:AC6)</f>
        <v/>
      </c>
      <c r="AD7" s="12">
        <f>SUM(AD2:AD6)</f>
        <v/>
      </c>
      <c r="AG7" s="16" t="n"/>
    </row>
    <row r="8" ht="15" customHeight="1" s="115">
      <c r="A8" s="40" t="n"/>
      <c r="B8" s="47">
        <f>B2+B4</f>
        <v/>
      </c>
      <c r="C8" s="47">
        <f>C2+C4</f>
        <v/>
      </c>
      <c r="D8" s="47">
        <f>D2+D4</f>
        <v/>
      </c>
      <c r="E8" s="47">
        <f>E2+E4</f>
        <v/>
      </c>
      <c r="F8" s="47">
        <f>F2+F4</f>
        <v/>
      </c>
      <c r="G8" s="47">
        <f>G2+G4</f>
        <v/>
      </c>
      <c r="H8" s="47">
        <f>H2+H4</f>
        <v/>
      </c>
      <c r="I8" s="47">
        <f>I2+I4</f>
        <v/>
      </c>
      <c r="J8" s="47">
        <f>J2+J4</f>
        <v/>
      </c>
      <c r="K8" s="47">
        <f>K2+K4</f>
        <v/>
      </c>
      <c r="L8" s="47">
        <f>L2+L4</f>
        <v/>
      </c>
      <c r="M8" s="47">
        <f>M2+M4</f>
        <v/>
      </c>
      <c r="N8" s="47">
        <f>N2+N4</f>
        <v/>
      </c>
      <c r="O8" s="47">
        <f>O2+O4</f>
        <v/>
      </c>
      <c r="P8" s="47">
        <f>P2+P4</f>
        <v/>
      </c>
      <c r="Q8" s="47">
        <f>Q2+Q4</f>
        <v/>
      </c>
      <c r="R8" s="47">
        <f>R2+R4</f>
        <v/>
      </c>
      <c r="S8" s="47">
        <f>S2+S4</f>
        <v/>
      </c>
      <c r="T8" s="47">
        <f>T2+T4</f>
        <v/>
      </c>
      <c r="U8" s="47">
        <f>U2+U4</f>
        <v/>
      </c>
      <c r="V8" s="47">
        <f>V2+V4</f>
        <v/>
      </c>
      <c r="W8" s="47">
        <f>W2+W4</f>
        <v/>
      </c>
      <c r="X8" s="47">
        <f>X2+X4</f>
        <v/>
      </c>
      <c r="Y8" s="47">
        <f>Y2+Y4</f>
        <v/>
      </c>
      <c r="Z8" s="47">
        <f>Z2+Z4</f>
        <v/>
      </c>
      <c r="AA8" s="47">
        <f>AA2+AA4</f>
        <v/>
      </c>
      <c r="AB8" s="47">
        <f>AB2+AB4</f>
        <v/>
      </c>
      <c r="AC8" s="47">
        <f>AC2+AC4</f>
        <v/>
      </c>
      <c r="AD8" s="47">
        <f>AD2+AD4</f>
        <v/>
      </c>
      <c r="AG8" s="16" t="n"/>
    </row>
    <row r="9" ht="15" customHeight="1" s="115">
      <c r="A9" s="42" t="inlineStr">
        <is>
          <t>Context info</t>
        </is>
      </c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G9" s="16" t="n"/>
    </row>
    <row r="10" ht="15" customHeight="1" s="115">
      <c r="A10" s="36" t="inlineStr">
        <is>
          <t>BlackBook LTV (Baseline 194%)</t>
        </is>
      </c>
      <c r="B10" s="81">
        <f>'Data Tables (Q)'!B8</f>
        <v/>
      </c>
      <c r="C10" s="81">
        <f>'Data Tables (Q)'!C8</f>
        <v/>
      </c>
      <c r="D10" s="81">
        <f>'Data Tables (Q)'!D8</f>
        <v/>
      </c>
      <c r="E10" s="81">
        <f>'Data Tables (Q)'!E8</f>
        <v/>
      </c>
      <c r="F10" s="81">
        <f>'Data Tables (Q)'!F8</f>
        <v/>
      </c>
      <c r="G10" s="81">
        <f>'Data Tables (Q)'!G8</f>
        <v/>
      </c>
      <c r="H10" s="81">
        <f>'Data Tables (Q)'!H8</f>
        <v/>
      </c>
      <c r="I10" s="81">
        <f>'Data Tables (Q)'!I8</f>
        <v/>
      </c>
      <c r="J10" s="81">
        <f>'Data Tables (Q)'!J8</f>
        <v/>
      </c>
      <c r="K10" s="81">
        <f>'Data Tables (Q)'!K8</f>
        <v/>
      </c>
      <c r="L10" s="81">
        <f>'Data Tables (Q)'!L8</f>
        <v/>
      </c>
      <c r="M10" s="81">
        <f>'Data Tables (Q)'!M8</f>
        <v/>
      </c>
      <c r="N10" s="81">
        <f>'Data Tables (Q)'!N8</f>
        <v/>
      </c>
      <c r="O10" s="81">
        <f>'Data Tables (Q)'!O8</f>
        <v/>
      </c>
      <c r="P10" s="81">
        <f>'Data Tables (Q)'!P8</f>
        <v/>
      </c>
      <c r="Q10" s="81">
        <f>'Data Tables (Q)'!Q8</f>
        <v/>
      </c>
      <c r="R10" s="81">
        <f>'Data Tables (Q)'!R8</f>
        <v/>
      </c>
      <c r="S10" s="81">
        <f>'Data Tables (Q)'!S8</f>
        <v/>
      </c>
      <c r="T10" s="81">
        <f>'Data Tables (Q)'!T8</f>
        <v/>
      </c>
      <c r="U10" s="81">
        <f>'Data Tables (Q)'!U8</f>
        <v/>
      </c>
      <c r="V10" s="81">
        <f>'Data Tables (Q)'!V8</f>
        <v/>
      </c>
      <c r="W10" s="81">
        <f>'Data Tables (Q)'!W8</f>
        <v/>
      </c>
      <c r="X10" s="81">
        <f>'Data Tables (Q)'!X8</f>
        <v/>
      </c>
      <c r="Y10" s="81">
        <f>'Data Tables (Q)'!Y8</f>
        <v/>
      </c>
      <c r="Z10" s="81">
        <f>'Data Tables (Q)'!Z8</f>
        <v/>
      </c>
      <c r="AA10" s="81">
        <f>'Data Tables (Q)'!AA8</f>
        <v/>
      </c>
      <c r="AB10" s="81">
        <f>'Data Tables (Q)'!AB8</f>
        <v/>
      </c>
      <c r="AC10" s="81">
        <f>'Data Tables (Q)'!AC8</f>
        <v/>
      </c>
      <c r="AD10" s="81">
        <f>'Data Tables (M)'!BS8*AG10+AF10*(1-AG10)</f>
        <v/>
      </c>
      <c r="AF10" s="44" t="n"/>
      <c r="AG10" s="17" t="n">
        <v>1</v>
      </c>
    </row>
    <row r="11" ht="15" customHeight="1" s="115">
      <c r="A11" s="37" t="inlineStr">
        <is>
          <t>Origination MMI</t>
        </is>
      </c>
      <c r="B11" s="83" t="n">
        <v>136.4</v>
      </c>
      <c r="C11" s="83" t="n">
        <v>141.3</v>
      </c>
      <c r="D11" s="83" t="n">
        <v>148</v>
      </c>
      <c r="E11" s="83" t="n">
        <v>151.5</v>
      </c>
      <c r="F11" s="83" t="n">
        <v>156.6</v>
      </c>
      <c r="G11" s="83" t="n">
        <v>149.5</v>
      </c>
      <c r="H11" s="83" t="n">
        <v>178.6</v>
      </c>
      <c r="I11" s="83" t="n">
        <v>176.8</v>
      </c>
      <c r="J11" s="83" t="n">
        <v>183.6</v>
      </c>
      <c r="K11" s="83" t="n">
        <v>218.6</v>
      </c>
      <c r="L11" s="83" t="n">
        <v>217</v>
      </c>
      <c r="M11" s="83" t="n">
        <v>252.9</v>
      </c>
      <c r="N11" s="83" t="n">
        <v>243.1</v>
      </c>
      <c r="O11" s="83" t="n">
        <v>245.1</v>
      </c>
      <c r="P11" s="83" t="n">
        <v>229.8</v>
      </c>
      <c r="Q11" s="83" t="n">
        <v>221.6</v>
      </c>
      <c r="R11" s="83" t="n">
        <v>229.4</v>
      </c>
      <c r="S11" s="83" t="n">
        <v>224.9</v>
      </c>
      <c r="T11" s="83" t="n">
        <v>212.6</v>
      </c>
      <c r="U11" s="83" t="n">
        <v>204.9</v>
      </c>
      <c r="V11" s="98" t="n">
        <v>204.2</v>
      </c>
      <c r="W11" s="98" t="n">
        <v>199.2</v>
      </c>
      <c r="X11" s="83" t="n">
        <v>202.8</v>
      </c>
      <c r="Y11" s="83" t="n">
        <v>203.3</v>
      </c>
      <c r="Z11" s="98" t="n"/>
      <c r="AA11" s="98" t="n">
        <v>205.866666666667</v>
      </c>
      <c r="AB11" s="98" t="n"/>
      <c r="AC11" s="98" t="n"/>
      <c r="AD11" s="84" t="n">
        <v>203</v>
      </c>
    </row>
    <row r="12" ht="15" customHeight="1" s="115">
      <c r="A12" s="43" t="inlineStr">
        <is>
          <t>MMI Impact⁵</t>
        </is>
      </c>
      <c r="B12" s="82" t="n">
        <v>0.04</v>
      </c>
      <c r="C12" s="82" t="n">
        <v>0.11</v>
      </c>
      <c r="D12" s="82" t="n">
        <v>0.13</v>
      </c>
      <c r="E12" s="82" t="n">
        <v>0.146</v>
      </c>
      <c r="F12" s="82" t="n">
        <v>0.2445606772966977</v>
      </c>
      <c r="G12" s="82" t="n">
        <v>0.3305915577819472</v>
      </c>
      <c r="H12" s="82" t="n">
        <v>0.1173819506419207</v>
      </c>
      <c r="I12" s="82" t="n">
        <v>0.1696002460025463</v>
      </c>
      <c r="J12" s="82" t="n">
        <v>0.133234561472402</v>
      </c>
      <c r="K12" s="82" t="n">
        <v>-0.04256145116699095</v>
      </c>
      <c r="L12" s="82" t="n">
        <v>-0.04124633316694015</v>
      </c>
      <c r="M12" s="82" t="n">
        <v>-0.1891344418113166</v>
      </c>
      <c r="N12" s="82" t="n">
        <v>-0.1670646309580199</v>
      </c>
      <c r="O12" s="82" t="n">
        <v>-0.1889941003651481</v>
      </c>
      <c r="P12" s="82" t="n">
        <v>-0.1447923046282268</v>
      </c>
      <c r="Q12" s="82" t="n">
        <v>-0.1246166443921025</v>
      </c>
      <c r="R12" s="82" t="n">
        <v>-0.1640089407962717</v>
      </c>
      <c r="S12" s="82" t="n">
        <v>-0.1514175576374736</v>
      </c>
      <c r="T12" s="82" t="n">
        <v>-0.104853189713884</v>
      </c>
      <c r="U12" s="82" t="n">
        <v>-0.07029660558684203</v>
      </c>
      <c r="V12" s="82" t="n">
        <v>-0.0642079923362191</v>
      </c>
      <c r="W12" s="82" t="n">
        <v>-0.03712872446878257</v>
      </c>
      <c r="X12" s="82" t="n">
        <v>-0.03</v>
      </c>
      <c r="Y12" s="82" t="n">
        <v>-0.03</v>
      </c>
      <c r="Z12" s="82" t="n">
        <v>-0.03</v>
      </c>
      <c r="AA12" s="82" t="n">
        <v>-0.0264356377656087</v>
      </c>
      <c r="AB12" s="82" t="n"/>
      <c r="AC12" s="82" t="n"/>
      <c r="AD12" s="82" t="n">
        <v>-0.03</v>
      </c>
    </row>
    <row r="13" ht="15" customHeight="1" s="115">
      <c r="A13" s="38" t="inlineStr">
        <is>
          <t>Adjustment to RAGU Score from MMI</t>
        </is>
      </c>
      <c r="B13" s="85">
        <f>B12/10%*1.7</f>
        <v/>
      </c>
      <c r="C13" s="85">
        <f>C12/10%*1.7</f>
        <v/>
      </c>
      <c r="D13" s="85">
        <f>D12/10%*1.7</f>
        <v/>
      </c>
      <c r="E13" s="85">
        <f>E12/10%*1.7</f>
        <v/>
      </c>
      <c r="F13" s="85">
        <f>F12/10%*1.7</f>
        <v/>
      </c>
      <c r="G13" s="85">
        <f>G12/10%*1.7</f>
        <v/>
      </c>
      <c r="H13" s="85">
        <f>H12/10%*1.7</f>
        <v/>
      </c>
      <c r="I13" s="85">
        <f>I12/10%*1.7</f>
        <v/>
      </c>
      <c r="J13" s="85">
        <f>J12/10%*1.7</f>
        <v/>
      </c>
      <c r="K13" s="85">
        <f>K12/10%*1.7</f>
        <v/>
      </c>
      <c r="L13" s="85">
        <f>L12/10%*1.7</f>
        <v/>
      </c>
      <c r="M13" s="85">
        <f>M12/10%*1.7</f>
        <v/>
      </c>
      <c r="N13" s="85">
        <f>N12/10%*1.7</f>
        <v/>
      </c>
      <c r="O13" s="85">
        <f>O12/10%*1.7</f>
        <v/>
      </c>
      <c r="P13" s="85">
        <f>P12/10%*1.7</f>
        <v/>
      </c>
      <c r="Q13" s="85">
        <f>Q12/10%*1.7</f>
        <v/>
      </c>
      <c r="R13" s="85">
        <f>R12/10%*1.7</f>
        <v/>
      </c>
      <c r="S13" s="85">
        <f>S12/10%*1.7</f>
        <v/>
      </c>
      <c r="T13" s="85">
        <f>T12/10%*1.7</f>
        <v/>
      </c>
      <c r="U13" s="85">
        <f>U12/10%*1.7</f>
        <v/>
      </c>
      <c r="V13" s="85">
        <f>V12/10%*1.7</f>
        <v/>
      </c>
      <c r="W13" s="85">
        <f>W12/10%*1.7</f>
        <v/>
      </c>
      <c r="X13" s="85">
        <f>X12/10%*1.7</f>
        <v/>
      </c>
      <c r="Y13" s="85">
        <f>Y12/10%*1.7</f>
        <v/>
      </c>
      <c r="Z13" s="85">
        <f>Z12/10%*1.7</f>
        <v/>
      </c>
      <c r="AA13" s="85">
        <f>AA12/10%*1.7</f>
        <v/>
      </c>
      <c r="AB13" s="85" t="n"/>
      <c r="AC13" s="85" t="n"/>
      <c r="AD13" s="85">
        <f>AD12/10%*1.7</f>
        <v/>
      </c>
    </row>
    <row r="14" ht="15" customHeight="1" s="115">
      <c r="A14" s="36" t="inlineStr">
        <is>
          <t>RAGU Score (adjusted for MMI)</t>
        </is>
      </c>
      <c r="B14" s="13">
        <f>B7+B13</f>
        <v/>
      </c>
      <c r="C14" s="13">
        <f>C7+C13</f>
        <v/>
      </c>
      <c r="D14" s="13">
        <f>D7+D13</f>
        <v/>
      </c>
      <c r="E14" s="13">
        <f>E7+E13</f>
        <v/>
      </c>
      <c r="F14" s="13">
        <f>F7+F13</f>
        <v/>
      </c>
      <c r="G14" s="13">
        <f>G7+G13</f>
        <v/>
      </c>
      <c r="H14" s="13">
        <f>H7+H13</f>
        <v/>
      </c>
      <c r="I14" s="13">
        <f>I7+I13</f>
        <v/>
      </c>
      <c r="J14" s="13">
        <f>J7+J13</f>
        <v/>
      </c>
      <c r="K14" s="13">
        <f>K7+K13</f>
        <v/>
      </c>
      <c r="L14" s="13">
        <f>L7+L13</f>
        <v/>
      </c>
      <c r="M14" s="13">
        <f>M7+M13</f>
        <v/>
      </c>
      <c r="N14" s="13">
        <f>N7+N13</f>
        <v/>
      </c>
      <c r="O14" s="13">
        <f>O7+O13</f>
        <v/>
      </c>
      <c r="P14" s="13">
        <f>P7+P13</f>
        <v/>
      </c>
      <c r="Q14" s="13">
        <f>Q7+Q13</f>
        <v/>
      </c>
      <c r="R14" s="13">
        <f>R7+R13</f>
        <v/>
      </c>
      <c r="S14" s="13">
        <f>S7+S13</f>
        <v/>
      </c>
      <c r="T14" s="13">
        <f>T7+T13</f>
        <v/>
      </c>
      <c r="U14" s="13">
        <f>U7+U13</f>
        <v/>
      </c>
      <c r="V14" s="13">
        <f>V7+V13</f>
        <v/>
      </c>
      <c r="W14" s="13">
        <f>W7+W13</f>
        <v/>
      </c>
      <c r="X14" s="13">
        <f>X7+X13</f>
        <v/>
      </c>
      <c r="Y14" s="13">
        <f>Y7+Y13</f>
        <v/>
      </c>
      <c r="Z14" s="13">
        <f>Z7+Z13</f>
        <v/>
      </c>
      <c r="AA14" s="13">
        <f>AA7+AA13</f>
        <v/>
      </c>
      <c r="AB14" s="13" t="n"/>
      <c r="AC14" s="13" t="n"/>
      <c r="AD14" s="13">
        <f>AD7+AD13</f>
        <v/>
      </c>
    </row>
    <row r="15" ht="15" customHeight="1" s="115">
      <c r="A15" s="38" t="inlineStr">
        <is>
          <t>t_c CNL⁶</t>
        </is>
      </c>
      <c r="B15" s="20" t="n">
        <v>0.2817019552613326</v>
      </c>
      <c r="C15" s="20" t="n">
        <v>0.2516797286682032</v>
      </c>
      <c r="D15" s="20" t="n">
        <v>0.2413702012037962</v>
      </c>
      <c r="E15" s="20" t="n">
        <v>0.2211385344838478</v>
      </c>
      <c r="F15" s="20" t="n">
        <v>0.1909710916785357</v>
      </c>
      <c r="G15" s="20" t="n">
        <v>0.1915287460894054</v>
      </c>
      <c r="H15" s="20" t="n">
        <v>0.1809829570327089</v>
      </c>
      <c r="I15" s="20" t="n">
        <v>0.1807438888154071</v>
      </c>
      <c r="J15" s="20" t="n">
        <v>0.2162447767243735</v>
      </c>
      <c r="K15" s="20" t="n">
        <v>0.2173762758036602</v>
      </c>
      <c r="L15" s="20" t="n">
        <v>0.2500912696239312</v>
      </c>
      <c r="M15" s="20" t="n">
        <v>0.2812909793690168</v>
      </c>
      <c r="N15" s="20" t="n">
        <v>0.3130746538106776</v>
      </c>
      <c r="O15" s="20" t="n">
        <v>0.3241204781021816</v>
      </c>
      <c r="P15" s="20" t="n">
        <v>0.314083909013029</v>
      </c>
      <c r="Q15" s="20" t="n">
        <v>0.3028241964260514</v>
      </c>
      <c r="R15" s="20" t="n">
        <v>0.3035893697175869</v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</row>
    <row r="16" ht="15" customHeight="1" s="115">
      <c r="A16" s="36" t="inlineStr">
        <is>
          <t>Implied t-1 CNL</t>
        </is>
      </c>
      <c r="B16" s="19">
        <f>B15-($AD$14-B14)*1%</f>
        <v/>
      </c>
      <c r="C16" s="19">
        <f>C15-($AD$14-C14)*1%</f>
        <v/>
      </c>
      <c r="D16" s="19">
        <f>D15-($AD$14-D14)*1%</f>
        <v/>
      </c>
      <c r="E16" s="19">
        <f>E15-($AD$14-E14)*1%</f>
        <v/>
      </c>
      <c r="F16" s="19">
        <f>F15-($AD$14-F14)*1%</f>
        <v/>
      </c>
      <c r="G16" s="19">
        <f>G15-($AD$14-G14)*1%</f>
        <v/>
      </c>
      <c r="H16" s="19">
        <f>H15-($AD$14-H14)*1%</f>
        <v/>
      </c>
      <c r="I16" s="19">
        <f>I15-($AD$14-I14)*1%</f>
        <v/>
      </c>
      <c r="J16" s="19">
        <f>J15-($AD$14-J14)*1%</f>
        <v/>
      </c>
      <c r="K16" s="19">
        <f>K15-($AD$14-K14)*1%</f>
        <v/>
      </c>
      <c r="L16" s="19">
        <f>L15-($AD$14-L14)*1%</f>
        <v/>
      </c>
      <c r="M16" s="19">
        <f>M15-($AD$14-M14)*1%</f>
        <v/>
      </c>
      <c r="N16" s="19">
        <f>N15-($AD$14-N14)*1%</f>
        <v/>
      </c>
      <c r="O16" s="19">
        <f>O15-($AD$14-O14)*1%</f>
        <v/>
      </c>
      <c r="P16" s="19">
        <f>P15-($AD$14-P14)*1%</f>
        <v/>
      </c>
      <c r="Q16" s="19">
        <f>Q15-($AD$14-Q14)*1%</f>
        <v/>
      </c>
      <c r="R16" s="19">
        <f>R15-($AD$14-R14)*1%</f>
        <v/>
      </c>
      <c r="S16" s="19" t="n"/>
      <c r="T16" s="19" t="n"/>
      <c r="U16" s="17" t="n"/>
      <c r="V16" s="17" t="n"/>
      <c r="W16" s="17" t="n"/>
      <c r="X16" s="19" t="n"/>
      <c r="Y16" s="17" t="n"/>
      <c r="Z16" s="17" t="n"/>
      <c r="AA16" s="17" t="n"/>
      <c r="AB16" s="17" t="n"/>
      <c r="AC16" s="17" t="n"/>
      <c r="AD16" s="19" t="n">
        <v>0.2767</v>
      </c>
    </row>
    <row r="18" ht="15" customHeight="1" s="115">
      <c r="B18" s="55" t="n"/>
      <c r="C18" s="55" t="n"/>
      <c r="D18" s="55" t="n"/>
      <c r="E18" s="55" t="n"/>
      <c r="F18" s="55" t="n"/>
      <c r="G18" s="55" t="n"/>
      <c r="H18" s="55" t="n"/>
    </row>
    <row r="19" ht="15" customHeight="1" s="115">
      <c r="A19" s="50" t="inlineStr">
        <is>
          <t>1:</t>
        </is>
      </c>
      <c r="B19" s="51" t="inlineStr">
        <is>
          <t>Model Score excludes buybacks and high amount financed.</t>
        </is>
      </c>
    </row>
    <row r="20" ht="15" customHeight="1" s="115">
      <c r="A20" s="50" t="inlineStr">
        <is>
          <t>2:</t>
        </is>
      </c>
      <c r="B20" s="51" t="inlineStr">
        <is>
          <t>We are currently working with Pricing to determine how to use FRN3.1 scores, there are large discrepancies between model scores as booked and FRN3.1 due to what might be centering issues.</t>
        </is>
      </c>
    </row>
    <row r="21" ht="15" customHeight="1" s="115">
      <c r="A21" s="50" t="inlineStr">
        <is>
          <t>3:</t>
        </is>
      </c>
      <c r="B21" s="51" t="inlineStr">
        <is>
          <t>Biggest impacts to Gross Loss Adjustments are Dealer Level, weekday/weekend decision, and high mileage classification.</t>
        </is>
      </c>
    </row>
    <row r="22" ht="15" customHeight="1" s="115">
      <c r="A22" s="50" t="n"/>
      <c r="B22" s="51" t="inlineStr">
        <is>
          <t>See Appendix for details on other factors</t>
        </is>
      </c>
    </row>
    <row r="23" ht="15" customHeight="1" s="115">
      <c r="A23" s="50" t="inlineStr">
        <is>
          <t>4:</t>
        </is>
      </c>
      <c r="B23" s="51" t="inlineStr">
        <is>
          <t>Biggest impacts to Recovery Adjustments are mileage/age, impound probability, and vehicle class.</t>
        </is>
      </c>
    </row>
    <row r="24" ht="15" customHeight="1" s="115">
      <c r="A24" s="50" t="inlineStr">
        <is>
          <t>5:</t>
        </is>
      </c>
      <c r="B24" s="51" t="inlineStr">
        <is>
          <t>LTV adjustments are made using the 10% LTV improvement-&gt;170bps to CNL heuristic, based on BlackBook LTV values.</t>
        </is>
      </c>
    </row>
    <row r="25" ht="15" customHeight="1" s="115">
      <c r="A25" s="50" t="inlineStr">
        <is>
          <t>6:</t>
        </is>
      </c>
      <c r="B25" s="51" t="inlineStr">
        <is>
          <t>MMI uses adjusted index (2019 seasonality). The MMI Impact compares the actual MMI to a 3% annual growth.</t>
        </is>
      </c>
    </row>
    <row r="26" ht="15" customHeight="1" s="115">
      <c r="A26" s="50" t="n"/>
      <c r="B26" s="51" t="inlineStr">
        <is>
          <t>A positive impact of X% means sold recovery will be X% better.</t>
        </is>
      </c>
    </row>
    <row r="27" ht="15" customHeight="1" s="115">
      <c r="A27" s="50" t="inlineStr">
        <is>
          <t>7:</t>
        </is>
      </c>
      <c r="B27" s="51" t="inlineStr">
        <is>
          <t>tc CNL uses UGLY Model projections, and 2023 Q1 blends 75% UGLY Model with 25% Loss Committee.</t>
        </is>
      </c>
    </row>
  </sheetData>
  <mergeCells count="2">
    <mergeCell ref="AH2:AI2"/>
    <mergeCell ref="AH1:AI1"/>
  </mergeCells>
  <pageMargins left="0.7" right="0.7" top="0.75" bottom="0.75" header="0.3" footer="0.3"/>
  <pageSetup orientation="portrait" horizontalDpi="204" verticalDpi="19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28"/>
  <sheetViews>
    <sheetView tabSelected="1" topLeftCell="C1" zoomScale="220" zoomScaleNormal="220" workbookViewId="0">
      <selection activeCell="AC6" sqref="AC6"/>
    </sheetView>
  </sheetViews>
  <sheetFormatPr baseColWidth="8" defaultColWidth="9.1796875" defaultRowHeight="15" customHeight="1"/>
  <cols>
    <col width="25" customWidth="1" style="41" min="1" max="1"/>
    <col width="5.26953125" customWidth="1" style="41" min="2" max="30"/>
    <col width="9.1796875" customWidth="1" style="41" min="31" max="77"/>
    <col width="9.1796875" customWidth="1" style="41" min="78" max="16384"/>
  </cols>
  <sheetData>
    <row r="1" ht="30" customHeight="1" s="115">
      <c r="A1" s="35" t="inlineStr">
        <is>
          <t>STG</t>
        </is>
      </c>
      <c r="B1" s="28" t="n">
        <v>2016</v>
      </c>
      <c r="C1" s="28" t="n">
        <v>2017</v>
      </c>
      <c r="D1" s="28" t="n">
        <v>2018</v>
      </c>
      <c r="E1" s="28" t="n">
        <v>2019</v>
      </c>
      <c r="F1" s="28" t="inlineStr">
        <is>
          <t>2020 Q1</t>
        </is>
      </c>
      <c r="G1" s="28" t="inlineStr">
        <is>
          <t>2020 Q2</t>
        </is>
      </c>
      <c r="H1" s="28" t="inlineStr">
        <is>
          <t>2020 Q3</t>
        </is>
      </c>
      <c r="I1" s="28" t="inlineStr">
        <is>
          <t>2020 Q4</t>
        </is>
      </c>
      <c r="J1" s="28" t="inlineStr">
        <is>
          <t>2021 Q1</t>
        </is>
      </c>
      <c r="K1" s="28" t="inlineStr">
        <is>
          <t>2021 Q2</t>
        </is>
      </c>
      <c r="L1" s="28" t="inlineStr">
        <is>
          <t>2021 Q3</t>
        </is>
      </c>
      <c r="M1" s="28" t="inlineStr">
        <is>
          <t>2021 Q4</t>
        </is>
      </c>
      <c r="N1" s="28" t="inlineStr">
        <is>
          <t>2022 Q1</t>
        </is>
      </c>
      <c r="O1" s="28" t="inlineStr">
        <is>
          <t>2022 Q2</t>
        </is>
      </c>
      <c r="P1" s="28" t="inlineStr">
        <is>
          <t>2022 Q3</t>
        </is>
      </c>
      <c r="Q1" s="28" t="inlineStr">
        <is>
          <t>2022 Q4</t>
        </is>
      </c>
      <c r="R1" s="28" t="inlineStr">
        <is>
          <t>2023 Q1</t>
        </is>
      </c>
      <c r="S1" s="28" t="inlineStr">
        <is>
          <t>2023 Q2</t>
        </is>
      </c>
      <c r="T1" s="28" t="inlineStr">
        <is>
          <t>2023 Q3</t>
        </is>
      </c>
      <c r="U1" s="28" t="inlineStr">
        <is>
          <t>2023 Q4</t>
        </is>
      </c>
      <c r="V1" s="28" t="inlineStr">
        <is>
          <t>2024 Q1</t>
        </is>
      </c>
      <c r="W1" s="28" t="inlineStr">
        <is>
          <t>2024 Q2</t>
        </is>
      </c>
      <c r="X1" s="28" t="inlineStr">
        <is>
          <t>2024 Q3</t>
        </is>
      </c>
      <c r="Y1" s="28" t="inlineStr">
        <is>
          <t>2024 Q4</t>
        </is>
      </c>
      <c r="Z1" s="28" t="inlineStr">
        <is>
          <t>2025 Q1</t>
        </is>
      </c>
      <c r="AA1" s="28" t="inlineStr">
        <is>
          <t>2025 Q2</t>
        </is>
      </c>
      <c r="AB1" s="28" t="inlineStr">
        <is>
          <t>2025 Q3</t>
        </is>
      </c>
      <c r="AC1" s="28" t="inlineStr">
        <is>
          <t>2025 Q4</t>
        </is>
      </c>
      <c r="AD1" s="56" t="inlineStr">
        <is>
          <t>t-1</t>
        </is>
      </c>
      <c r="AF1" s="28" t="inlineStr">
        <is>
          <t>t-1 manual input</t>
        </is>
      </c>
      <c r="AG1" s="79" t="inlineStr">
        <is>
          <t>Use Recent Month?</t>
        </is>
      </c>
      <c r="AH1" s="134" t="inlineStr">
        <is>
          <t>Use Reassessed Model Score?</t>
        </is>
      </c>
      <c r="AI1" s="135" t="n"/>
    </row>
    <row r="2" ht="15" customHeight="1" s="115" thickBot="1">
      <c r="A2" s="38" t="inlineStr">
        <is>
          <t>Contract Model Score¹</t>
        </is>
      </c>
      <c r="B2" s="12">
        <f>'Data Tables (Q)'!B29</f>
        <v/>
      </c>
      <c r="C2" s="12">
        <f>'Data Tables (Q)'!C29</f>
        <v/>
      </c>
      <c r="D2" s="12">
        <f>'Data Tables (Q)'!D29</f>
        <v/>
      </c>
      <c r="E2" s="12">
        <f>'Data Tables (Q)'!E29</f>
        <v/>
      </c>
      <c r="F2" s="12">
        <f>'Data Tables (Q)'!F29</f>
        <v/>
      </c>
      <c r="G2" s="12">
        <f>'Data Tables (Q)'!G29</f>
        <v/>
      </c>
      <c r="H2" s="12">
        <f>'Data Tables (Q)'!H29</f>
        <v/>
      </c>
      <c r="I2" s="12">
        <f>'Data Tables (Q)'!I29</f>
        <v/>
      </c>
      <c r="J2" s="12">
        <f>'Data Tables (Q)'!J29</f>
        <v/>
      </c>
      <c r="K2" s="12">
        <f>'Data Tables (Q)'!K29</f>
        <v/>
      </c>
      <c r="L2" s="12">
        <f>'Data Tables (Q)'!L29</f>
        <v/>
      </c>
      <c r="M2" s="12">
        <f>'Data Tables (Q)'!M29</f>
        <v/>
      </c>
      <c r="N2" s="12">
        <f>'Data Tables (Q)'!N29</f>
        <v/>
      </c>
      <c r="O2" s="12">
        <f>'Data Tables (Q)'!O29</f>
        <v/>
      </c>
      <c r="P2" s="12">
        <f>'Data Tables (Q)'!P29</f>
        <v/>
      </c>
      <c r="Q2" s="12">
        <f>'Data Tables (Q)'!Q29</f>
        <v/>
      </c>
      <c r="R2" s="12">
        <f>'Data Tables (Q)'!R29</f>
        <v/>
      </c>
      <c r="S2" s="12">
        <f>'Data Tables (Q)'!S29</f>
        <v/>
      </c>
      <c r="T2" s="12">
        <f>'Data Tables (Q)'!T29</f>
        <v/>
      </c>
      <c r="U2" s="12">
        <f>'Data Tables (Q)'!U29</f>
        <v/>
      </c>
      <c r="V2" s="12">
        <f>'Data Tables (Q)'!V29</f>
        <v/>
      </c>
      <c r="W2" s="12">
        <f>'Data Tables (Q)'!W29</f>
        <v/>
      </c>
      <c r="X2" s="12">
        <f>'Data Tables (Q)'!X29</f>
        <v/>
      </c>
      <c r="Y2" s="12">
        <f>'Data Tables (Q)'!Y29</f>
        <v/>
      </c>
      <c r="Z2" s="12">
        <f>'Data Tables (Q)'!Z29</f>
        <v/>
      </c>
      <c r="AA2" s="12">
        <f>'Data Tables (Q)'!AA29</f>
        <v/>
      </c>
      <c r="AB2" s="12">
        <f>'Data Tables (Q)'!AB29</f>
        <v/>
      </c>
      <c r="AC2" s="12">
        <f>'Data Tables (Q)'!AC29</f>
        <v/>
      </c>
      <c r="AD2" s="12">
        <f>'Data Tables (M)'!BS29*AG2+AF2*(1-AG2)</f>
        <v/>
      </c>
      <c r="AF2" s="61">
        <f>'t-1 Data Table'!N7</f>
        <v/>
      </c>
      <c r="AG2" s="75" t="n">
        <v>1</v>
      </c>
      <c r="AH2" s="132" t="n">
        <v>0</v>
      </c>
      <c r="AI2" s="133" t="n"/>
    </row>
    <row r="3" hidden="1" ht="15" customHeight="1" s="115">
      <c r="A3" s="43" t="inlineStr">
        <is>
          <t>Shift to FRN 3.1 Score²</t>
        </is>
      </c>
      <c r="B3" s="13">
        <f>'Data Tables (Q)'!B30*AH2</f>
        <v/>
      </c>
      <c r="C3" s="13">
        <f>'Data Tables (Q)'!C30*AI2</f>
        <v/>
      </c>
      <c r="D3" s="13">
        <f>'Data Tables (Q)'!D30*AJ2</f>
        <v/>
      </c>
      <c r="E3" s="13">
        <f>'Data Tables (Q)'!E30*AK2</f>
        <v/>
      </c>
      <c r="F3" s="13">
        <f>'Data Tables (Q)'!F30*AL2</f>
        <v/>
      </c>
      <c r="G3" s="13">
        <f>'Data Tables (Q)'!G30*AM2</f>
        <v/>
      </c>
      <c r="H3" s="13">
        <f>'Data Tables (Q)'!H30*AN2</f>
        <v/>
      </c>
      <c r="I3" s="13">
        <f>'Data Tables (Q)'!I30*AO2</f>
        <v/>
      </c>
      <c r="J3" s="13">
        <f>'Data Tables (Q)'!J30*AP2</f>
        <v/>
      </c>
      <c r="K3" s="13">
        <f>'Data Tables (Q)'!K30*AQ2</f>
        <v/>
      </c>
      <c r="L3" s="13">
        <f>'Data Tables (Q)'!L30*AR2</f>
        <v/>
      </c>
      <c r="M3" s="13">
        <f>'Data Tables (Q)'!M30*AS2</f>
        <v/>
      </c>
      <c r="N3" s="13">
        <f>'Data Tables (Q)'!N30*AT2</f>
        <v/>
      </c>
      <c r="O3" s="13">
        <f>'Data Tables (Q)'!O30*AU2</f>
        <v/>
      </c>
      <c r="P3" s="13">
        <f>'Data Tables (Q)'!P30*AV2</f>
        <v/>
      </c>
      <c r="Q3" s="13">
        <f>'Data Tables (Q)'!Q30*AW2</f>
        <v/>
      </c>
      <c r="R3" s="13">
        <f>'Data Tables (Q)'!R30*AX2</f>
        <v/>
      </c>
      <c r="S3" s="13">
        <f>'Data Tables (Q)'!S30*AY2</f>
        <v/>
      </c>
      <c r="T3" s="13">
        <f>'Data Tables (Q)'!T30*AZ2</f>
        <v/>
      </c>
      <c r="U3" s="13">
        <f>'Data Tables (Q)'!U30*BA2</f>
        <v/>
      </c>
      <c r="V3" s="13">
        <f>'Data Tables (Q)'!V30*BB2</f>
        <v/>
      </c>
      <c r="W3" s="13">
        <f>'Data Tables (Q)'!W30*BC2</f>
        <v/>
      </c>
      <c r="X3" s="13">
        <f>'Data Tables (Q)'!X30*BD2</f>
        <v/>
      </c>
      <c r="Y3" s="13">
        <f>'Data Tables (Q)'!Y30*BE2</f>
        <v/>
      </c>
      <c r="Z3" s="13">
        <f>'Data Tables (Q)'!Z30*BF2</f>
        <v/>
      </c>
      <c r="AA3" s="13">
        <f>'Data Tables (Q)'!AA30*BG2</f>
        <v/>
      </c>
      <c r="AB3" s="13">
        <f>'Data Tables (Q)'!AB30*BH2</f>
        <v/>
      </c>
      <c r="AC3" s="13">
        <f>'Data Tables (Q)'!AC30*BI2</f>
        <v/>
      </c>
      <c r="AD3" s="13">
        <f>('Data Tables (M)'!BC30*AG3+AF3*(1-AG3))*$AH$2</f>
        <v/>
      </c>
      <c r="AF3" s="44" t="n">
        <v>0</v>
      </c>
      <c r="AG3" s="17" t="n">
        <v>1</v>
      </c>
    </row>
    <row r="4" ht="30" customHeight="1" s="115">
      <c r="A4" s="36" t="inlineStr">
        <is>
          <t>Gross Loss Adjustments (Dealer Level, vehicle age, etc.)²</t>
        </is>
      </c>
      <c r="B4" s="13">
        <f>'Data Tables (Q)'!B31</f>
        <v/>
      </c>
      <c r="C4" s="13">
        <f>'Data Tables (Q)'!C31</f>
        <v/>
      </c>
      <c r="D4" s="13">
        <f>'Data Tables (Q)'!D31</f>
        <v/>
      </c>
      <c r="E4" s="13">
        <f>'Data Tables (Q)'!E31</f>
        <v/>
      </c>
      <c r="F4" s="13">
        <f>'Data Tables (Q)'!F31</f>
        <v/>
      </c>
      <c r="G4" s="13">
        <f>'Data Tables (Q)'!G31</f>
        <v/>
      </c>
      <c r="H4" s="13">
        <f>'Data Tables (Q)'!H31</f>
        <v/>
      </c>
      <c r="I4" s="13">
        <f>'Data Tables (Q)'!I31</f>
        <v/>
      </c>
      <c r="J4" s="13">
        <f>'Data Tables (Q)'!J31</f>
        <v/>
      </c>
      <c r="K4" s="13">
        <f>'Data Tables (Q)'!K31</f>
        <v/>
      </c>
      <c r="L4" s="13">
        <f>'Data Tables (Q)'!L31</f>
        <v/>
      </c>
      <c r="M4" s="13">
        <f>'Data Tables (Q)'!M31</f>
        <v/>
      </c>
      <c r="N4" s="13">
        <f>'Data Tables (Q)'!N31</f>
        <v/>
      </c>
      <c r="O4" s="13">
        <f>'Data Tables (Q)'!O31</f>
        <v/>
      </c>
      <c r="P4" s="13">
        <f>'Data Tables (Q)'!P31</f>
        <v/>
      </c>
      <c r="Q4" s="13">
        <f>'Data Tables (Q)'!Q31</f>
        <v/>
      </c>
      <c r="R4" s="13">
        <f>'Data Tables (Q)'!R31</f>
        <v/>
      </c>
      <c r="S4" s="13">
        <f>'Data Tables (Q)'!S31</f>
        <v/>
      </c>
      <c r="T4" s="13">
        <f>'Data Tables (Q)'!T31</f>
        <v/>
      </c>
      <c r="U4" s="13">
        <f>'Data Tables (Q)'!U31</f>
        <v/>
      </c>
      <c r="V4" s="13">
        <f>'Data Tables (Q)'!V31</f>
        <v/>
      </c>
      <c r="W4" s="13">
        <f>'Data Tables (Q)'!W31</f>
        <v/>
      </c>
      <c r="X4" s="13">
        <f>'Data Tables (Q)'!X31</f>
        <v/>
      </c>
      <c r="Y4" s="13">
        <f>'Data Tables (Q)'!Y31</f>
        <v/>
      </c>
      <c r="Z4" s="13">
        <f>'Data Tables (Q)'!Z31</f>
        <v/>
      </c>
      <c r="AA4" s="13">
        <f>'Data Tables (Q)'!AA31</f>
        <v/>
      </c>
      <c r="AB4" s="13">
        <f>'Data Tables (Q)'!AB31</f>
        <v/>
      </c>
      <c r="AC4" s="13">
        <f>'Data Tables (Q)'!AC31</f>
        <v/>
      </c>
      <c r="AD4" s="13">
        <f>'Data Tables (M)'!BS31*AG4+AF4*(1-AG4)</f>
        <v/>
      </c>
      <c r="AF4" s="44" t="n"/>
      <c r="AG4" s="17" t="n">
        <v>1</v>
      </c>
    </row>
    <row r="5" ht="30" customHeight="1" s="115">
      <c r="A5" s="38" t="inlineStr">
        <is>
          <t>Recovery Adjustments excluding LTV (Mileage, LOB, etc.)³</t>
        </is>
      </c>
      <c r="B5" s="12">
        <f>'Data Tables (Q)'!B32</f>
        <v/>
      </c>
      <c r="C5" s="12">
        <f>'Data Tables (Q)'!C32</f>
        <v/>
      </c>
      <c r="D5" s="12">
        <f>'Data Tables (Q)'!D32</f>
        <v/>
      </c>
      <c r="E5" s="12">
        <f>'Data Tables (Q)'!E32</f>
        <v/>
      </c>
      <c r="F5" s="12">
        <f>'Data Tables (Q)'!F32</f>
        <v/>
      </c>
      <c r="G5" s="12">
        <f>'Data Tables (Q)'!G32</f>
        <v/>
      </c>
      <c r="H5" s="12">
        <f>'Data Tables (Q)'!H32</f>
        <v/>
      </c>
      <c r="I5" s="12">
        <f>'Data Tables (Q)'!I32</f>
        <v/>
      </c>
      <c r="J5" s="12">
        <f>'Data Tables (Q)'!J32</f>
        <v/>
      </c>
      <c r="K5" s="12">
        <f>'Data Tables (Q)'!K32</f>
        <v/>
      </c>
      <c r="L5" s="12">
        <f>'Data Tables (Q)'!L32</f>
        <v/>
      </c>
      <c r="M5" s="12">
        <f>'Data Tables (Q)'!M32</f>
        <v/>
      </c>
      <c r="N5" s="12">
        <f>'Data Tables (Q)'!N32</f>
        <v/>
      </c>
      <c r="O5" s="12">
        <f>'Data Tables (Q)'!O32</f>
        <v/>
      </c>
      <c r="P5" s="12">
        <f>'Data Tables (Q)'!P32</f>
        <v/>
      </c>
      <c r="Q5" s="12">
        <f>'Data Tables (Q)'!Q32</f>
        <v/>
      </c>
      <c r="R5" s="12">
        <f>'Data Tables (Q)'!R32</f>
        <v/>
      </c>
      <c r="S5" s="12">
        <f>'Data Tables (Q)'!S32</f>
        <v/>
      </c>
      <c r="T5" s="12">
        <f>'Data Tables (Q)'!T32</f>
        <v/>
      </c>
      <c r="U5" s="12">
        <f>'Data Tables (Q)'!U32</f>
        <v/>
      </c>
      <c r="V5" s="12">
        <f>'Data Tables (Q)'!V32</f>
        <v/>
      </c>
      <c r="W5" s="12">
        <f>'Data Tables (Q)'!W32</f>
        <v/>
      </c>
      <c r="X5" s="12">
        <f>'Data Tables (Q)'!X32</f>
        <v/>
      </c>
      <c r="Y5" s="12">
        <f>'Data Tables (Q)'!Y32</f>
        <v/>
      </c>
      <c r="Z5" s="12">
        <f>'Data Tables (Q)'!Z32</f>
        <v/>
      </c>
      <c r="AA5" s="12">
        <f>'Data Tables (Q)'!AA32</f>
        <v/>
      </c>
      <c r="AB5" s="12">
        <f>'Data Tables (Q)'!AB32</f>
        <v/>
      </c>
      <c r="AC5" s="12">
        <f>'Data Tables (Q)'!AC32</f>
        <v/>
      </c>
      <c r="AD5" s="12">
        <f>'Data Tables (M)'!BS32*AG5+AF5*(1-AG5)</f>
        <v/>
      </c>
      <c r="AF5" s="44" t="n"/>
      <c r="AG5" s="17" t="n">
        <v>1</v>
      </c>
    </row>
    <row r="6" ht="15" customHeight="1" s="115">
      <c r="A6" s="36" t="inlineStr">
        <is>
          <t>BBLTV Adjustments⁴</t>
        </is>
      </c>
      <c r="B6" s="13">
        <f>(194%/B10-1)/10%*1.7</f>
        <v/>
      </c>
      <c r="C6" s="13">
        <f>(194%/C10-1)/10%*1.7</f>
        <v/>
      </c>
      <c r="D6" s="13">
        <f>(194%/D10-1)/10%*1.7</f>
        <v/>
      </c>
      <c r="E6" s="13">
        <f>(194%/E10-1)/10%*1.7</f>
        <v/>
      </c>
      <c r="F6" s="13">
        <f>(194%/F10-1)/10%*1.7</f>
        <v/>
      </c>
      <c r="G6" s="13">
        <f>(194%/G10-1)/10%*1.7</f>
        <v/>
      </c>
      <c r="H6" s="13">
        <f>(194%/H10-1)/10%*1.7</f>
        <v/>
      </c>
      <c r="I6" s="13">
        <f>(194%/I10-1)/10%*1.7</f>
        <v/>
      </c>
      <c r="J6" s="13">
        <f>(194%/J10-1)/10%*1.7</f>
        <v/>
      </c>
      <c r="K6" s="13">
        <f>(194%/K10-1)/10%*1.7</f>
        <v/>
      </c>
      <c r="L6" s="13">
        <f>(194%/L10-1)/10%*1.7</f>
        <v/>
      </c>
      <c r="M6" s="13">
        <f>(194%/M10-1)/10%*1.7</f>
        <v/>
      </c>
      <c r="N6" s="13">
        <f>(194%/N10-1)/10%*1.7</f>
        <v/>
      </c>
      <c r="O6" s="13">
        <f>(194%/O10-1)/10%*1.7</f>
        <v/>
      </c>
      <c r="P6" s="13">
        <f>(194%/P10-1)/10%*1.7</f>
        <v/>
      </c>
      <c r="Q6" s="13">
        <f>(194%/Q10-1)/10%*1.7</f>
        <v/>
      </c>
      <c r="R6" s="13">
        <f>(194%/R10-1)/10%*1.7</f>
        <v/>
      </c>
      <c r="S6" s="13">
        <f>(194%/S10-1)/10%*1.7</f>
        <v/>
      </c>
      <c r="T6" s="13">
        <f>(194%/T10-1)/10%*1.7</f>
        <v/>
      </c>
      <c r="U6" s="13">
        <f>(194%/U10-1)/10%*1.7</f>
        <v/>
      </c>
      <c r="V6" s="13">
        <f>(194%/V10-1)/10%*1.7</f>
        <v/>
      </c>
      <c r="W6" s="13">
        <f>(194%/W10-1)/10%*1.7</f>
        <v/>
      </c>
      <c r="X6" s="13">
        <f>(194%/X10-1)/10%*1.7</f>
        <v/>
      </c>
      <c r="Y6" s="13">
        <f>(194%/Y10-1)/10%*1.7</f>
        <v/>
      </c>
      <c r="Z6" s="13">
        <f>(194%/Z10-1)/10%*1.7</f>
        <v/>
      </c>
      <c r="AA6" s="13">
        <f>(194%/AA10-1)/10%*1.7</f>
        <v/>
      </c>
      <c r="AB6" s="13">
        <f>(194%/AB10-1)/10%*1.7</f>
        <v/>
      </c>
      <c r="AC6" s="13">
        <f>(194%/AC10-1)/10%*1.7</f>
        <v/>
      </c>
      <c r="AD6" s="13">
        <f>(194%/AD10-1)/10%*1.7</f>
        <v/>
      </c>
      <c r="AG6" s="16" t="n"/>
    </row>
    <row r="7" ht="15" customHeight="1" s="115">
      <c r="A7" s="38" t="inlineStr">
        <is>
          <t>RAGU Score</t>
        </is>
      </c>
      <c r="B7" s="12">
        <f>SUM(B2:B6)</f>
        <v/>
      </c>
      <c r="C7" s="12">
        <f>SUM(C2:C6)</f>
        <v/>
      </c>
      <c r="D7" s="12">
        <f>SUM(D2:D6)</f>
        <v/>
      </c>
      <c r="E7" s="12">
        <f>SUM(E2:E6)</f>
        <v/>
      </c>
      <c r="F7" s="12">
        <f>SUM(F2:F6)</f>
        <v/>
      </c>
      <c r="G7" s="12">
        <f>SUM(G2:G6)</f>
        <v/>
      </c>
      <c r="H7" s="12">
        <f>SUM(H2:H6)</f>
        <v/>
      </c>
      <c r="I7" s="12">
        <f>SUM(I2:I6)</f>
        <v/>
      </c>
      <c r="J7" s="12">
        <f>SUM(J2:J6)</f>
        <v/>
      </c>
      <c r="K7" s="12">
        <f>SUM(K2:K6)</f>
        <v/>
      </c>
      <c r="L7" s="12">
        <f>SUM(L2:L6)</f>
        <v/>
      </c>
      <c r="M7" s="12">
        <f>SUM(M2:M6)</f>
        <v/>
      </c>
      <c r="N7" s="12">
        <f>SUM(N2:N6)</f>
        <v/>
      </c>
      <c r="O7" s="12">
        <f>SUM(O2:O6)</f>
        <v/>
      </c>
      <c r="P7" s="12">
        <f>SUM(P2:P6)</f>
        <v/>
      </c>
      <c r="Q7" s="12">
        <f>SUM(Q2:Q6)</f>
        <v/>
      </c>
      <c r="R7" s="12">
        <f>SUM(R2:R6)</f>
        <v/>
      </c>
      <c r="S7" s="12">
        <f>SUM(S2:S6)</f>
        <v/>
      </c>
      <c r="T7" s="12">
        <f>SUM(T2:T6)</f>
        <v/>
      </c>
      <c r="U7" s="12">
        <f>SUM(U2:U6)</f>
        <v/>
      </c>
      <c r="V7" s="12">
        <f>SUM(V2:V6)</f>
        <v/>
      </c>
      <c r="W7" s="12">
        <f>SUM(W2:W6)</f>
        <v/>
      </c>
      <c r="X7" s="12">
        <f>SUM(X2:X6)</f>
        <v/>
      </c>
      <c r="Y7" s="12">
        <f>SUM(Y2:Y6)</f>
        <v/>
      </c>
      <c r="Z7" s="12">
        <f>SUM(Z2:Z6)</f>
        <v/>
      </c>
      <c r="AA7" s="12">
        <f>SUM(AA2:AA6)</f>
        <v/>
      </c>
      <c r="AB7" s="12">
        <f>SUM(AB2:AB6)</f>
        <v/>
      </c>
      <c r="AC7" s="12">
        <f>SUM(AC2:AC6)</f>
        <v/>
      </c>
      <c r="AD7" s="12">
        <f>SUM(AD2:AD6)</f>
        <v/>
      </c>
      <c r="AG7" s="16" t="n"/>
    </row>
    <row r="8" ht="15" customHeight="1" s="115">
      <c r="A8" s="40" t="n"/>
      <c r="B8" s="47">
        <f>B2+B4</f>
        <v/>
      </c>
      <c r="C8" s="47">
        <f>C2+C4</f>
        <v/>
      </c>
      <c r="D8" s="47">
        <f>D2+D4</f>
        <v/>
      </c>
      <c r="E8" s="47">
        <f>E2+E4</f>
        <v/>
      </c>
      <c r="F8" s="47">
        <f>F2+F4</f>
        <v/>
      </c>
      <c r="G8" s="47">
        <f>G2+G4</f>
        <v/>
      </c>
      <c r="H8" s="47">
        <f>H2+H4</f>
        <v/>
      </c>
      <c r="I8" s="47">
        <f>I2+I4</f>
        <v/>
      </c>
      <c r="J8" s="47">
        <f>J2+J4</f>
        <v/>
      </c>
      <c r="K8" s="47">
        <f>K2+K4</f>
        <v/>
      </c>
      <c r="L8" s="47">
        <f>L2+L4</f>
        <v/>
      </c>
      <c r="M8" s="47">
        <f>M2+M4</f>
        <v/>
      </c>
      <c r="N8" s="47">
        <f>N2+N4</f>
        <v/>
      </c>
      <c r="O8" s="47">
        <f>O2+O4</f>
        <v/>
      </c>
      <c r="P8" s="47">
        <f>P2+P4</f>
        <v/>
      </c>
      <c r="Q8" s="47">
        <f>Q2+Q4</f>
        <v/>
      </c>
      <c r="R8" s="47">
        <f>R2+R4</f>
        <v/>
      </c>
      <c r="S8" s="47">
        <f>S2+S4</f>
        <v/>
      </c>
      <c r="T8" s="47">
        <f>T2+T4</f>
        <v/>
      </c>
      <c r="U8" s="47">
        <f>U2+U4</f>
        <v/>
      </c>
      <c r="V8" s="47">
        <f>V2+V4</f>
        <v/>
      </c>
      <c r="W8" s="47">
        <f>W2+W4</f>
        <v/>
      </c>
      <c r="X8" s="47">
        <f>X2+X4</f>
        <v/>
      </c>
      <c r="Y8" s="47">
        <f>Y2+Y4</f>
        <v/>
      </c>
      <c r="Z8" s="47">
        <f>Z2+Z4</f>
        <v/>
      </c>
      <c r="AA8" s="47">
        <f>AA2+AA4</f>
        <v/>
      </c>
      <c r="AB8" s="47">
        <f>AB2+AB4</f>
        <v/>
      </c>
      <c r="AC8" s="47">
        <f>AC2+AC4</f>
        <v/>
      </c>
      <c r="AD8" s="47">
        <f>AD2+AD4</f>
        <v/>
      </c>
      <c r="AG8" s="16" t="n"/>
    </row>
    <row r="9" ht="15" customHeight="1" s="115">
      <c r="A9" s="42" t="inlineStr">
        <is>
          <t>Context info</t>
        </is>
      </c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G9" s="16" t="n"/>
    </row>
    <row r="10" ht="15" customHeight="1" s="115">
      <c r="A10" s="36" t="inlineStr">
        <is>
          <t>BlackBook LTV (Baseline 194%)</t>
        </is>
      </c>
      <c r="B10" s="81">
        <f>'Data Tables (Q)'!B35</f>
        <v/>
      </c>
      <c r="C10" s="81">
        <f>'Data Tables (Q)'!C35</f>
        <v/>
      </c>
      <c r="D10" s="81">
        <f>'Data Tables (Q)'!D35</f>
        <v/>
      </c>
      <c r="E10" s="81">
        <f>'Data Tables (Q)'!E35</f>
        <v/>
      </c>
      <c r="F10" s="81">
        <f>'Data Tables (Q)'!F35</f>
        <v/>
      </c>
      <c r="G10" s="81">
        <f>'Data Tables (Q)'!G35</f>
        <v/>
      </c>
      <c r="H10" s="81">
        <f>'Data Tables (Q)'!H35</f>
        <v/>
      </c>
      <c r="I10" s="81">
        <f>'Data Tables (Q)'!I35</f>
        <v/>
      </c>
      <c r="J10" s="81">
        <f>'Data Tables (Q)'!J35</f>
        <v/>
      </c>
      <c r="K10" s="81">
        <f>'Data Tables (Q)'!K35</f>
        <v/>
      </c>
      <c r="L10" s="81">
        <f>'Data Tables (Q)'!L35</f>
        <v/>
      </c>
      <c r="M10" s="81">
        <f>'Data Tables (Q)'!M35</f>
        <v/>
      </c>
      <c r="N10" s="81">
        <f>'Data Tables (Q)'!N35</f>
        <v/>
      </c>
      <c r="O10" s="81">
        <f>'Data Tables (Q)'!O35</f>
        <v/>
      </c>
      <c r="P10" s="81">
        <f>'Data Tables (Q)'!P35</f>
        <v/>
      </c>
      <c r="Q10" s="81">
        <f>'Data Tables (Q)'!Q35</f>
        <v/>
      </c>
      <c r="R10" s="81">
        <f>'Data Tables (Q)'!R35</f>
        <v/>
      </c>
      <c r="S10" s="81">
        <f>'Data Tables (Q)'!S35</f>
        <v/>
      </c>
      <c r="T10" s="81">
        <f>'Data Tables (Q)'!T35</f>
        <v/>
      </c>
      <c r="U10" s="81">
        <f>'Data Tables (Q)'!U35</f>
        <v/>
      </c>
      <c r="V10" s="81">
        <f>'Data Tables (Q)'!V35</f>
        <v/>
      </c>
      <c r="W10" s="81">
        <f>'Data Tables (Q)'!W35</f>
        <v/>
      </c>
      <c r="X10" s="81">
        <f>'Data Tables (Q)'!X35</f>
        <v/>
      </c>
      <c r="Y10" s="81">
        <f>'Data Tables (Q)'!Y35</f>
        <v/>
      </c>
      <c r="Z10" s="81">
        <f>'Data Tables (Q)'!Z35</f>
        <v/>
      </c>
      <c r="AA10" s="81">
        <f>'Data Tables (Q)'!AA35</f>
        <v/>
      </c>
      <c r="AB10" s="81">
        <f>'Data Tables (Q)'!AB35</f>
        <v/>
      </c>
      <c r="AC10" s="81">
        <f>'Data Tables (Q)'!AC35</f>
        <v/>
      </c>
      <c r="AD10" s="81">
        <f>'Data Tables (M)'!BS35*AG10+AF10*(1-AG10)</f>
        <v/>
      </c>
      <c r="AF10" s="44">
        <f>194/142-1</f>
        <v/>
      </c>
      <c r="AG10" s="17" t="n">
        <v>1</v>
      </c>
    </row>
    <row r="11" ht="15" customHeight="1" s="115">
      <c r="A11" s="37" t="inlineStr">
        <is>
          <t>Origination MMI</t>
        </is>
      </c>
      <c r="B11" s="83" t="n">
        <v>136.4</v>
      </c>
      <c r="C11" s="83" t="n">
        <v>141.3</v>
      </c>
      <c r="D11" s="83" t="n">
        <v>148</v>
      </c>
      <c r="E11" s="83" t="n">
        <v>151.5</v>
      </c>
      <c r="F11" s="83" t="n">
        <v>156.6</v>
      </c>
      <c r="G11" s="83" t="n">
        <v>149.5</v>
      </c>
      <c r="H11" s="83" t="n">
        <v>178.6</v>
      </c>
      <c r="I11" s="83" t="n">
        <v>176.8</v>
      </c>
      <c r="J11" s="83" t="n">
        <v>183.6</v>
      </c>
      <c r="K11" s="83" t="n">
        <v>218.6</v>
      </c>
      <c r="L11" s="83" t="n">
        <v>217</v>
      </c>
      <c r="M11" s="83" t="n">
        <v>252.9</v>
      </c>
      <c r="N11" s="83" t="n">
        <v>243.1</v>
      </c>
      <c r="O11" s="83" t="n">
        <v>245.1</v>
      </c>
      <c r="P11" s="83" t="n">
        <v>229.8</v>
      </c>
      <c r="Q11" s="83" t="n">
        <v>221.6</v>
      </c>
      <c r="R11" s="83" t="n">
        <v>229.4</v>
      </c>
      <c r="S11" s="83" t="n">
        <v>224.9</v>
      </c>
      <c r="T11" s="83" t="n">
        <v>212.6</v>
      </c>
      <c r="U11" s="83" t="n">
        <v>204.9</v>
      </c>
      <c r="V11" s="98" t="n">
        <v>204.2</v>
      </c>
      <c r="W11" s="98" t="n">
        <v>199.2</v>
      </c>
      <c r="X11" s="83" t="n">
        <v>202.8</v>
      </c>
      <c r="Y11" s="83" t="n">
        <v>203.3</v>
      </c>
      <c r="Z11" s="98" t="n"/>
      <c r="AA11" s="98" t="n">
        <v>205.866666666667</v>
      </c>
      <c r="AB11" s="98" t="n"/>
      <c r="AC11" s="98" t="n"/>
      <c r="AD11" s="84" t="n">
        <v>203</v>
      </c>
      <c r="AF11" s="41">
        <f>AF10*17</f>
        <v/>
      </c>
    </row>
    <row r="12" ht="15" customHeight="1" s="115">
      <c r="A12" s="43" t="inlineStr">
        <is>
          <t>MMI Impact⁵</t>
        </is>
      </c>
      <c r="B12" s="82" t="n">
        <v>0.04</v>
      </c>
      <c r="C12" s="82" t="n">
        <v>0.11</v>
      </c>
      <c r="D12" s="82" t="n">
        <v>0.13</v>
      </c>
      <c r="E12" s="82" t="n">
        <v>0.146</v>
      </c>
      <c r="F12" s="82" t="n">
        <v>0.2445606772966977</v>
      </c>
      <c r="G12" s="82" t="n">
        <v>0.3305915577819472</v>
      </c>
      <c r="H12" s="82" t="n">
        <v>0.1173819506419207</v>
      </c>
      <c r="I12" s="82" t="n">
        <v>0.1696002460025463</v>
      </c>
      <c r="J12" s="82" t="n">
        <v>0.133234561472402</v>
      </c>
      <c r="K12" s="82" t="n">
        <v>-0.04256145116699095</v>
      </c>
      <c r="L12" s="82" t="n">
        <v>-0.04124633316694015</v>
      </c>
      <c r="M12" s="82" t="n">
        <v>-0.1891344418113166</v>
      </c>
      <c r="N12" s="82" t="n">
        <v>-0.1670646309580199</v>
      </c>
      <c r="O12" s="82" t="n">
        <v>-0.1889941003651481</v>
      </c>
      <c r="P12" s="82" t="n">
        <v>-0.1447923046282268</v>
      </c>
      <c r="Q12" s="82" t="n">
        <v>-0.1246166443921025</v>
      </c>
      <c r="R12" s="82" t="n">
        <v>-0.1640089407962717</v>
      </c>
      <c r="S12" s="82" t="n">
        <v>-0.1514175576374736</v>
      </c>
      <c r="T12" s="82" t="n">
        <v>-0.104853189713884</v>
      </c>
      <c r="U12" s="82" t="n">
        <v>-0.07029660558684203</v>
      </c>
      <c r="V12" s="82" t="n">
        <v>-0.0642079923362191</v>
      </c>
      <c r="W12" s="82" t="n">
        <v>-0.03712872446878257</v>
      </c>
      <c r="X12" s="82" t="n">
        <v>-0.03</v>
      </c>
      <c r="Y12" s="82" t="n">
        <v>-0.03</v>
      </c>
      <c r="Z12" s="82" t="n">
        <v>-0.03</v>
      </c>
      <c r="AA12" s="82" t="n">
        <v>-0.0264356377656087</v>
      </c>
      <c r="AB12" s="82" t="n"/>
      <c r="AC12" s="82" t="n"/>
      <c r="AD12" s="82" t="n">
        <v>-0.03</v>
      </c>
    </row>
    <row r="13" ht="15" customHeight="1" s="115">
      <c r="A13" s="38" t="inlineStr">
        <is>
          <t>Adjustment to RAGU Score from MMI</t>
        </is>
      </c>
      <c r="B13" s="85">
        <f>B12/10%*1.7</f>
        <v/>
      </c>
      <c r="C13" s="85">
        <f>C12/10%*1.7</f>
        <v/>
      </c>
      <c r="D13" s="85">
        <f>D12/10%*1.7</f>
        <v/>
      </c>
      <c r="E13" s="85">
        <f>E12/10%*1.7</f>
        <v/>
      </c>
      <c r="F13" s="85">
        <f>F12/10%*1.7</f>
        <v/>
      </c>
      <c r="G13" s="85">
        <f>G12/10%*1.7</f>
        <v/>
      </c>
      <c r="H13" s="85">
        <f>H12/10%*1.7</f>
        <v/>
      </c>
      <c r="I13" s="85">
        <f>I12/10%*1.7</f>
        <v/>
      </c>
      <c r="J13" s="85">
        <f>J12/10%*1.7</f>
        <v/>
      </c>
      <c r="K13" s="85">
        <f>K12/10%*1.7</f>
        <v/>
      </c>
      <c r="L13" s="85">
        <f>L12/10%*1.7</f>
        <v/>
      </c>
      <c r="M13" s="85">
        <f>M12/10%*1.7</f>
        <v/>
      </c>
      <c r="N13" s="85">
        <f>N12/10%*1.7</f>
        <v/>
      </c>
      <c r="O13" s="85">
        <f>O12/10%*1.7</f>
        <v/>
      </c>
      <c r="P13" s="85">
        <f>P12/10%*1.7</f>
        <v/>
      </c>
      <c r="Q13" s="85">
        <f>Q12/10%*1.7</f>
        <v/>
      </c>
      <c r="R13" s="85">
        <f>R12/10%*1.7</f>
        <v/>
      </c>
      <c r="S13" s="85">
        <f>S12/10%*1.7</f>
        <v/>
      </c>
      <c r="T13" s="85">
        <f>T12/10%*1.7</f>
        <v/>
      </c>
      <c r="U13" s="85">
        <f>U12/10%*1.7</f>
        <v/>
      </c>
      <c r="V13" s="85">
        <f>V12/10%*1.7</f>
        <v/>
      </c>
      <c r="W13" s="85">
        <f>W12/10%*1.7</f>
        <v/>
      </c>
      <c r="X13" s="85">
        <f>X12/10%*1.7</f>
        <v/>
      </c>
      <c r="Y13" s="85">
        <f>Y12/10%*1.7</f>
        <v/>
      </c>
      <c r="Z13" s="85">
        <f>Z12/10%*1.7</f>
        <v/>
      </c>
      <c r="AA13" s="85">
        <f>AA12/10%*1.7</f>
        <v/>
      </c>
      <c r="AB13" s="85" t="n"/>
      <c r="AC13" s="85" t="n"/>
      <c r="AD13" s="85">
        <f>AD12/10%*1.7</f>
        <v/>
      </c>
    </row>
    <row r="14" ht="15" customHeight="1" s="115">
      <c r="A14" s="36" t="inlineStr">
        <is>
          <t>RAGU Score (adjusted for MMI)</t>
        </is>
      </c>
      <c r="B14" s="13">
        <f>B7+B13</f>
        <v/>
      </c>
      <c r="C14" s="13">
        <f>C7+C13</f>
        <v/>
      </c>
      <c r="D14" s="13">
        <f>D7+D13</f>
        <v/>
      </c>
      <c r="E14" s="13">
        <f>E7+E13</f>
        <v/>
      </c>
      <c r="F14" s="13">
        <f>F7+F13</f>
        <v/>
      </c>
      <c r="G14" s="13">
        <f>G7+G13</f>
        <v/>
      </c>
      <c r="H14" s="13">
        <f>H7+H13</f>
        <v/>
      </c>
      <c r="I14" s="13">
        <f>I7+I13</f>
        <v/>
      </c>
      <c r="J14" s="13">
        <f>J7+J13</f>
        <v/>
      </c>
      <c r="K14" s="13">
        <f>K7+K13</f>
        <v/>
      </c>
      <c r="L14" s="13">
        <f>L7+L13</f>
        <v/>
      </c>
      <c r="M14" s="13">
        <f>M7+M13</f>
        <v/>
      </c>
      <c r="N14" s="13">
        <f>N7+N13</f>
        <v/>
      </c>
      <c r="O14" s="13">
        <f>O7+O13</f>
        <v/>
      </c>
      <c r="P14" s="13">
        <f>P7+P13</f>
        <v/>
      </c>
      <c r="Q14" s="13">
        <f>Q7+Q13</f>
        <v/>
      </c>
      <c r="R14" s="13">
        <f>R7+R13</f>
        <v/>
      </c>
      <c r="S14" s="13">
        <f>S7+S13</f>
        <v/>
      </c>
      <c r="T14" s="13">
        <f>T7+T13</f>
        <v/>
      </c>
      <c r="U14" s="13">
        <f>U7+U13</f>
        <v/>
      </c>
      <c r="V14" s="13">
        <f>V7+V13</f>
        <v/>
      </c>
      <c r="W14" s="13">
        <f>W7+W13</f>
        <v/>
      </c>
      <c r="X14" s="13">
        <f>X7+X13</f>
        <v/>
      </c>
      <c r="Y14" s="13">
        <f>Y7+Y13</f>
        <v/>
      </c>
      <c r="Z14" s="13">
        <f>Z7+Z13</f>
        <v/>
      </c>
      <c r="AA14" s="13">
        <f>AA7+AA13</f>
        <v/>
      </c>
      <c r="AB14" s="13" t="n"/>
      <c r="AC14" s="13" t="n"/>
      <c r="AD14" s="13">
        <f>AD7+AD13</f>
        <v/>
      </c>
    </row>
    <row r="15" ht="15" customHeight="1" s="115">
      <c r="A15" s="38" t="inlineStr">
        <is>
          <t>t_c CNL⁶</t>
        </is>
      </c>
      <c r="B15" s="20" t="n">
        <v>0.2915470495373882</v>
      </c>
      <c r="C15" s="20" t="n">
        <v>0.267013294854987</v>
      </c>
      <c r="D15" s="20" t="n">
        <v>0.2614502908967291</v>
      </c>
      <c r="E15" s="20" t="n">
        <v>0.2395291419532253</v>
      </c>
      <c r="F15" s="20" t="n">
        <v>0.2318604242852371</v>
      </c>
      <c r="G15" s="20" t="n">
        <v>0.2126392460306464</v>
      </c>
      <c r="H15" s="20" t="n">
        <v>0.2037744835944081</v>
      </c>
      <c r="I15" s="20" t="n">
        <v>0.2061783237023133</v>
      </c>
      <c r="J15" s="20" t="n">
        <v>0.1992614515016066</v>
      </c>
      <c r="K15" s="20" t="n">
        <v>0.2519215300102743</v>
      </c>
      <c r="L15" s="20" t="n">
        <v>0.2783443187703787</v>
      </c>
      <c r="M15" s="20" t="n">
        <v>0.3135956747121686</v>
      </c>
      <c r="N15" s="20" t="n">
        <v>0.3293068626737087</v>
      </c>
      <c r="O15" s="20" t="n">
        <v>0.3076992742526701</v>
      </c>
      <c r="P15" s="20" t="n">
        <v>0.3160508879540605</v>
      </c>
      <c r="Q15" s="20" t="n">
        <v>0.2851564355794018</v>
      </c>
      <c r="R15" s="20" t="n">
        <v>0.2875883608607889</v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1" t="n"/>
    </row>
    <row r="16" ht="15" customHeight="1" s="115">
      <c r="A16" s="36" t="inlineStr">
        <is>
          <t>Implied t-1 CNL</t>
        </is>
      </c>
      <c r="B16" s="19">
        <f>B15-($AD$14-B14)*1%</f>
        <v/>
      </c>
      <c r="C16" s="19">
        <f>C15-($AD$14-C14)*1%</f>
        <v/>
      </c>
      <c r="D16" s="19">
        <f>D15-($AD$14-D14)*1%</f>
        <v/>
      </c>
      <c r="E16" s="19">
        <f>E15-($AD$14-E14)*1%</f>
        <v/>
      </c>
      <c r="F16" s="19">
        <f>F15-($AD$14-F14)*1%</f>
        <v/>
      </c>
      <c r="G16" s="19">
        <f>G15-($AD$14-G14)*1%</f>
        <v/>
      </c>
      <c r="H16" s="19">
        <f>H15-($AD$14-H14)*1%</f>
        <v/>
      </c>
      <c r="I16" s="19">
        <f>I15-($AD$14-I14)*1%</f>
        <v/>
      </c>
      <c r="J16" s="19">
        <f>J15-($AD$14-J14)*1%</f>
        <v/>
      </c>
      <c r="K16" s="19">
        <f>K15-($AD$14-K14)*1%</f>
        <v/>
      </c>
      <c r="L16" s="19">
        <f>L15-($AD$14-L14)*1%</f>
        <v/>
      </c>
      <c r="M16" s="19">
        <f>M15-($AD$14-M14)*1%</f>
        <v/>
      </c>
      <c r="N16" s="19">
        <f>N15-($AD$14-N14)*1%</f>
        <v/>
      </c>
      <c r="O16" s="19">
        <f>O15-($AD$14-O14)*1%</f>
        <v/>
      </c>
      <c r="P16" s="19">
        <f>P15-($AD$14-P14)*1%</f>
        <v/>
      </c>
      <c r="Q16" s="19">
        <f>Q15-($AD$14-Q14)*1%</f>
        <v/>
      </c>
      <c r="R16" s="19">
        <f>R15-($AD$14-R14)*1%</f>
        <v/>
      </c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>
        <v>0.2475</v>
      </c>
    </row>
    <row r="18" ht="15" customHeight="1" s="115">
      <c r="B18" s="55" t="n"/>
      <c r="C18" s="55" t="n"/>
      <c r="D18" s="55" t="n"/>
      <c r="E18" s="55" t="n"/>
      <c r="F18" s="55" t="n"/>
      <c r="G18" s="55" t="n"/>
      <c r="H18" s="55" t="n"/>
    </row>
    <row r="19" ht="15" customHeight="1" s="115">
      <c r="A19" s="50" t="inlineStr">
        <is>
          <t>1:</t>
        </is>
      </c>
      <c r="B19" s="51" t="inlineStr">
        <is>
          <t>Model Score excludes buybacks and high amount financed.</t>
        </is>
      </c>
    </row>
    <row r="20" ht="15" customHeight="1" s="115">
      <c r="A20" s="50" t="inlineStr">
        <is>
          <t>2:</t>
        </is>
      </c>
      <c r="B20" s="51" t="inlineStr">
        <is>
          <t>We are currently working with Pricing to determine how to use FRN3.1 scores, there are large discrepancies between model scores as booked and FRN3.1 due to what might be centering issues.</t>
        </is>
      </c>
    </row>
    <row r="21" ht="15" customHeight="1" s="115">
      <c r="A21" s="50" t="inlineStr">
        <is>
          <t>3:</t>
        </is>
      </c>
      <c r="B21" s="51" t="inlineStr">
        <is>
          <t>Biggest impacts to Gross Loss Adjustments are Dealer Level, weekday/weekend decision, and high mileage classification.</t>
        </is>
      </c>
    </row>
    <row r="22" ht="15" customHeight="1" s="115">
      <c r="A22" s="50" t="n"/>
      <c r="B22" s="51" t="inlineStr">
        <is>
          <t>Not accounting for potential differences in Gross Loss for test loans.</t>
        </is>
      </c>
    </row>
    <row r="23" ht="15" customHeight="1" s="115">
      <c r="A23" s="50" t="n"/>
      <c r="B23" s="51" t="inlineStr">
        <is>
          <t>See Appendix for details on other factors</t>
        </is>
      </c>
    </row>
    <row r="24" ht="15" customHeight="1" s="115">
      <c r="A24" s="50" t="inlineStr">
        <is>
          <t>4:</t>
        </is>
      </c>
      <c r="B24" s="51" t="inlineStr">
        <is>
          <t>Biggest impacts to Recovery Adjustments are mileage/age, impound probability, and vehicle class.</t>
        </is>
      </c>
    </row>
    <row r="25" ht="15" customHeight="1" s="115">
      <c r="A25" s="50" t="inlineStr">
        <is>
          <t>5:</t>
        </is>
      </c>
      <c r="B25" s="51" t="inlineStr">
        <is>
          <t>LTV adjustments are made using the 10% LTV improvement-&gt;170bps to CNL heuristic, based on BlackBook LTV values.</t>
        </is>
      </c>
    </row>
    <row r="26" ht="15" customHeight="1" s="115">
      <c r="A26" s="50" t="inlineStr">
        <is>
          <t>6:</t>
        </is>
      </c>
      <c r="B26" s="51" t="inlineStr">
        <is>
          <t>MMI uses adjusted index (2019 seasonality). The MMI Impact compares the actual MMI to a 3% annual growth.</t>
        </is>
      </c>
    </row>
    <row r="27" ht="15" customHeight="1" s="115">
      <c r="A27" s="50" t="n"/>
      <c r="B27" s="51" t="inlineStr">
        <is>
          <t>A positive impact of X% means sold recovery will be X% better.</t>
        </is>
      </c>
    </row>
    <row r="28" ht="15" customHeight="1" s="115">
      <c r="A28" s="50" t="inlineStr">
        <is>
          <t>7:</t>
        </is>
      </c>
      <c r="B28" s="51" t="inlineStr">
        <is>
          <t>tc CNL uses UGLY Model projections, and 2023 Q1 blends 75% UGLY Model with 25% Loss Committee.</t>
        </is>
      </c>
    </row>
  </sheetData>
  <mergeCells count="2">
    <mergeCell ref="AH2:AI2"/>
    <mergeCell ref="AH1:AI1"/>
  </mergeCells>
  <pageMargins left="0.7" right="0.7" top="0.75" bottom="0.75" header="0.3" footer="0.3"/>
  <pageSetup orientation="portrait" horizontalDpi="204" verticalDpi="19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28"/>
  <sheetViews>
    <sheetView zoomScale="160" zoomScaleNormal="160" workbookViewId="0">
      <selection activeCell="AC6" sqref="AC6"/>
    </sheetView>
  </sheetViews>
  <sheetFormatPr baseColWidth="8" defaultColWidth="9.1796875" defaultRowHeight="15" customHeight="1"/>
  <cols>
    <col width="25" customWidth="1" style="41" min="1" max="1"/>
    <col width="5.26953125" customWidth="1" style="41" min="2" max="30"/>
    <col width="9.1796875" customWidth="1" style="41" min="31" max="77"/>
    <col width="9.1796875" customWidth="1" style="41" min="78" max="16384"/>
  </cols>
  <sheetData>
    <row r="1" ht="30" customHeight="1" s="115">
      <c r="A1" s="35" t="inlineStr">
        <is>
          <t>FRN</t>
        </is>
      </c>
      <c r="B1" s="28" t="n">
        <v>2016</v>
      </c>
      <c r="C1" s="28" t="n">
        <v>2017</v>
      </c>
      <c r="D1" s="28" t="n">
        <v>2018</v>
      </c>
      <c r="E1" s="28" t="n">
        <v>2019</v>
      </c>
      <c r="F1" s="28" t="inlineStr">
        <is>
          <t>2020 Q1</t>
        </is>
      </c>
      <c r="G1" s="28" t="inlineStr">
        <is>
          <t>2020 Q2</t>
        </is>
      </c>
      <c r="H1" s="28" t="inlineStr">
        <is>
          <t>2020 Q3</t>
        </is>
      </c>
      <c r="I1" s="28" t="inlineStr">
        <is>
          <t>2020 Q4</t>
        </is>
      </c>
      <c r="J1" s="28" t="inlineStr">
        <is>
          <t>2021 Q1</t>
        </is>
      </c>
      <c r="K1" s="28" t="inlineStr">
        <is>
          <t>2021 Q2</t>
        </is>
      </c>
      <c r="L1" s="28" t="inlineStr">
        <is>
          <t>2021 Q3</t>
        </is>
      </c>
      <c r="M1" s="28" t="inlineStr">
        <is>
          <t>2021 Q4</t>
        </is>
      </c>
      <c r="N1" s="28" t="inlineStr">
        <is>
          <t>2022 Q1</t>
        </is>
      </c>
      <c r="O1" s="28" t="inlineStr">
        <is>
          <t>2022 Q2</t>
        </is>
      </c>
      <c r="P1" s="28" t="inlineStr">
        <is>
          <t>2022 Q3</t>
        </is>
      </c>
      <c r="Q1" s="28" t="inlineStr">
        <is>
          <t>2022 Q4</t>
        </is>
      </c>
      <c r="R1" s="28" t="inlineStr">
        <is>
          <t>2023 Q1</t>
        </is>
      </c>
      <c r="S1" s="28" t="inlineStr">
        <is>
          <t>2023 Q2</t>
        </is>
      </c>
      <c r="T1" s="28" t="inlineStr">
        <is>
          <t>2023 Q3</t>
        </is>
      </c>
      <c r="U1" s="28" t="inlineStr">
        <is>
          <t>2023 Q4</t>
        </is>
      </c>
      <c r="V1" s="28" t="inlineStr">
        <is>
          <t>2024 Q1</t>
        </is>
      </c>
      <c r="W1" s="28" t="inlineStr">
        <is>
          <t>2024 Q2</t>
        </is>
      </c>
      <c r="X1" s="28" t="inlineStr">
        <is>
          <t>2024 Q3</t>
        </is>
      </c>
      <c r="Y1" s="28" t="inlineStr">
        <is>
          <t>2024 Q4</t>
        </is>
      </c>
      <c r="Z1" s="28" t="inlineStr">
        <is>
          <t>2025 Q1</t>
        </is>
      </c>
      <c r="AA1" s="28" t="inlineStr">
        <is>
          <t>2025 Q2</t>
        </is>
      </c>
      <c r="AB1" s="28" t="inlineStr">
        <is>
          <t>2025 Q3</t>
        </is>
      </c>
      <c r="AC1" s="28" t="inlineStr">
        <is>
          <t>2025 Q4</t>
        </is>
      </c>
      <c r="AD1" s="56" t="inlineStr">
        <is>
          <t>t-1</t>
        </is>
      </c>
      <c r="AF1" s="28" t="inlineStr">
        <is>
          <t>t-1 manual input</t>
        </is>
      </c>
      <c r="AG1" s="79" t="inlineStr">
        <is>
          <t>Use Recent Month?</t>
        </is>
      </c>
      <c r="AH1" s="134" t="inlineStr">
        <is>
          <t>Use Reassessed Model Score?</t>
        </is>
      </c>
      <c r="AI1" s="135" t="n"/>
    </row>
    <row r="2" ht="15" customHeight="1" s="115" thickBot="1">
      <c r="A2" s="38" t="inlineStr">
        <is>
          <t>Contract Model Score¹</t>
        </is>
      </c>
      <c r="B2" s="12">
        <f>'Data Tables (Q)'!B20</f>
        <v/>
      </c>
      <c r="C2" s="12">
        <f>'Data Tables (Q)'!C20</f>
        <v/>
      </c>
      <c r="D2" s="12">
        <f>'Data Tables (Q)'!D20</f>
        <v/>
      </c>
      <c r="E2" s="12">
        <f>'Data Tables (Q)'!E20</f>
        <v/>
      </c>
      <c r="F2" s="12">
        <f>'Data Tables (Q)'!F20</f>
        <v/>
      </c>
      <c r="G2" s="12">
        <f>'Data Tables (Q)'!G20</f>
        <v/>
      </c>
      <c r="H2" s="12">
        <f>'Data Tables (Q)'!H20</f>
        <v/>
      </c>
      <c r="I2" s="12">
        <f>'Data Tables (Q)'!I20</f>
        <v/>
      </c>
      <c r="J2" s="12">
        <f>'Data Tables (Q)'!J20</f>
        <v/>
      </c>
      <c r="K2" s="12">
        <f>'Data Tables (Q)'!K20</f>
        <v/>
      </c>
      <c r="L2" s="12">
        <f>'Data Tables (Q)'!L20</f>
        <v/>
      </c>
      <c r="M2" s="12">
        <f>'Data Tables (Q)'!M20</f>
        <v/>
      </c>
      <c r="N2" s="12">
        <f>'Data Tables (Q)'!N20</f>
        <v/>
      </c>
      <c r="O2" s="12">
        <f>'Data Tables (Q)'!O20</f>
        <v/>
      </c>
      <c r="P2" s="12">
        <f>'Data Tables (Q)'!P20</f>
        <v/>
      </c>
      <c r="Q2" s="12">
        <f>'Data Tables (Q)'!Q20</f>
        <v/>
      </c>
      <c r="R2" s="12">
        <f>'Data Tables (Q)'!R20</f>
        <v/>
      </c>
      <c r="S2" s="12">
        <f>'Data Tables (Q)'!S20</f>
        <v/>
      </c>
      <c r="T2" s="12">
        <f>'Data Tables (Q)'!T20</f>
        <v/>
      </c>
      <c r="U2" s="12">
        <f>'Data Tables (Q)'!U20</f>
        <v/>
      </c>
      <c r="V2" s="12">
        <f>'Data Tables (Q)'!V20</f>
        <v/>
      </c>
      <c r="W2" s="12">
        <f>'Data Tables (Q)'!W20</f>
        <v/>
      </c>
      <c r="X2" s="12">
        <f>'Data Tables (Q)'!X20</f>
        <v/>
      </c>
      <c r="Y2" s="12">
        <f>'Data Tables (Q)'!Y20</f>
        <v/>
      </c>
      <c r="Z2" s="12">
        <f>'Data Tables (Q)'!Z20</f>
        <v/>
      </c>
      <c r="AA2" s="12">
        <f>'Data Tables (Q)'!AA20</f>
        <v/>
      </c>
      <c r="AB2" s="12">
        <f>'Data Tables (Q)'!AB20</f>
        <v/>
      </c>
      <c r="AC2" s="12">
        <f>'Data Tables (Q)'!AC20</f>
        <v/>
      </c>
      <c r="AD2" s="12">
        <f>'Data Tables (M)'!BS20*AG2+AF2*(1-AG2)</f>
        <v/>
      </c>
      <c r="AF2" s="61">
        <f>'t-1 Data Table'!N5</f>
        <v/>
      </c>
      <c r="AG2" s="75" t="n">
        <v>1</v>
      </c>
      <c r="AH2" s="132" t="n">
        <v>0</v>
      </c>
      <c r="AI2" s="133" t="n"/>
    </row>
    <row r="3" hidden="1" ht="15" customHeight="1" s="115">
      <c r="A3" s="43" t="inlineStr">
        <is>
          <t>Shift to FRN 3.1 Score²</t>
        </is>
      </c>
      <c r="B3" s="13">
        <f>'Data Tables (Q)'!B21*AH2</f>
        <v/>
      </c>
      <c r="C3" s="13">
        <f>'Data Tables (Q)'!C21*AI2</f>
        <v/>
      </c>
      <c r="D3" s="13">
        <f>'Data Tables (Q)'!D21*AJ2</f>
        <v/>
      </c>
      <c r="E3" s="13">
        <f>'Data Tables (Q)'!E21*AK2</f>
        <v/>
      </c>
      <c r="F3" s="13">
        <f>'Data Tables (Q)'!F21*AL2</f>
        <v/>
      </c>
      <c r="G3" s="13">
        <f>'Data Tables (Q)'!G21*AM2</f>
        <v/>
      </c>
      <c r="H3" s="13">
        <f>'Data Tables (Q)'!H21*AN2</f>
        <v/>
      </c>
      <c r="I3" s="13">
        <f>'Data Tables (Q)'!I21*AO2</f>
        <v/>
      </c>
      <c r="J3" s="13">
        <f>'Data Tables (Q)'!J21*AP2</f>
        <v/>
      </c>
      <c r="K3" s="13">
        <f>'Data Tables (Q)'!K21*AQ2</f>
        <v/>
      </c>
      <c r="L3" s="13">
        <f>'Data Tables (Q)'!L21*AR2</f>
        <v/>
      </c>
      <c r="M3" s="13">
        <f>'Data Tables (Q)'!M21*AS2</f>
        <v/>
      </c>
      <c r="N3" s="13">
        <f>'Data Tables (Q)'!N21*AT2</f>
        <v/>
      </c>
      <c r="O3" s="13">
        <f>'Data Tables (Q)'!O21*AU2</f>
        <v/>
      </c>
      <c r="P3" s="13">
        <f>'Data Tables (Q)'!P21*AV2</f>
        <v/>
      </c>
      <c r="Q3" s="13">
        <f>'Data Tables (Q)'!Q21*AW2</f>
        <v/>
      </c>
      <c r="R3" s="13">
        <f>'Data Tables (Q)'!R21*AX2</f>
        <v/>
      </c>
      <c r="S3" s="13">
        <f>'Data Tables (Q)'!S21*AY2</f>
        <v/>
      </c>
      <c r="T3" s="13">
        <f>'Data Tables (Q)'!T21*AZ2</f>
        <v/>
      </c>
      <c r="U3" s="13">
        <f>'Data Tables (Q)'!U21*BA2</f>
        <v/>
      </c>
      <c r="V3" s="13">
        <f>'Data Tables (Q)'!V21*BB2</f>
        <v/>
      </c>
      <c r="W3" s="13">
        <f>'Data Tables (Q)'!W21*BC2</f>
        <v/>
      </c>
      <c r="X3" s="13">
        <f>'Data Tables (Q)'!X21*BD2</f>
        <v/>
      </c>
      <c r="Y3" s="13">
        <f>'Data Tables (Q)'!Y21*BE2</f>
        <v/>
      </c>
      <c r="Z3" s="13">
        <f>'Data Tables (Q)'!Z21*BF2</f>
        <v/>
      </c>
      <c r="AA3" s="13">
        <f>'Data Tables (Q)'!AA21*BG2</f>
        <v/>
      </c>
      <c r="AB3" s="13">
        <f>'Data Tables (Q)'!AB21*BH2</f>
        <v/>
      </c>
      <c r="AC3" s="13">
        <f>'Data Tables (Q)'!AC21*BI2</f>
        <v/>
      </c>
      <c r="AD3" s="13">
        <f>('Data Tables (M)'!BC21*AG3+AF3*(1-AG3))*$AH$2</f>
        <v/>
      </c>
      <c r="AF3" s="44" t="n">
        <v>0</v>
      </c>
      <c r="AG3" s="17" t="n">
        <v>1</v>
      </c>
    </row>
    <row r="4" ht="30" customHeight="1" s="115">
      <c r="A4" s="36" t="inlineStr">
        <is>
          <t>Gross Loss Adjustments (Dealer Level, vehicle age, etc.)²</t>
        </is>
      </c>
      <c r="B4" s="13">
        <f>'Data Tables (Q)'!B22</f>
        <v/>
      </c>
      <c r="C4" s="13">
        <f>'Data Tables (Q)'!C22</f>
        <v/>
      </c>
      <c r="D4" s="13">
        <f>'Data Tables (Q)'!D22</f>
        <v/>
      </c>
      <c r="E4" s="13">
        <f>'Data Tables (Q)'!E22</f>
        <v/>
      </c>
      <c r="F4" s="13">
        <f>'Data Tables (Q)'!F22</f>
        <v/>
      </c>
      <c r="G4" s="13">
        <f>'Data Tables (Q)'!G22</f>
        <v/>
      </c>
      <c r="H4" s="13">
        <f>'Data Tables (Q)'!H22</f>
        <v/>
      </c>
      <c r="I4" s="13">
        <f>'Data Tables (Q)'!I22</f>
        <v/>
      </c>
      <c r="J4" s="13">
        <f>'Data Tables (Q)'!J22</f>
        <v/>
      </c>
      <c r="K4" s="13">
        <f>'Data Tables (Q)'!K22</f>
        <v/>
      </c>
      <c r="L4" s="13">
        <f>'Data Tables (Q)'!L22</f>
        <v/>
      </c>
      <c r="M4" s="13">
        <f>'Data Tables (Q)'!M22</f>
        <v/>
      </c>
      <c r="N4" s="13">
        <f>'Data Tables (Q)'!N22</f>
        <v/>
      </c>
      <c r="O4" s="13">
        <f>'Data Tables (Q)'!O22</f>
        <v/>
      </c>
      <c r="P4" s="13">
        <f>'Data Tables (Q)'!P22</f>
        <v/>
      </c>
      <c r="Q4" s="13">
        <f>'Data Tables (Q)'!Q22</f>
        <v/>
      </c>
      <c r="R4" s="13">
        <f>'Data Tables (Q)'!R22</f>
        <v/>
      </c>
      <c r="S4" s="13">
        <f>'Data Tables (Q)'!S22</f>
        <v/>
      </c>
      <c r="T4" s="13">
        <f>'Data Tables (Q)'!T22</f>
        <v/>
      </c>
      <c r="U4" s="13">
        <f>'Data Tables (Q)'!U22</f>
        <v/>
      </c>
      <c r="V4" s="13">
        <f>'Data Tables (Q)'!V22</f>
        <v/>
      </c>
      <c r="W4" s="13">
        <f>'Data Tables (Q)'!W22</f>
        <v/>
      </c>
      <c r="X4" s="13">
        <f>'Data Tables (Q)'!X22</f>
        <v/>
      </c>
      <c r="Y4" s="13">
        <f>'Data Tables (Q)'!Y22</f>
        <v/>
      </c>
      <c r="Z4" s="13">
        <f>'Data Tables (Q)'!Z22</f>
        <v/>
      </c>
      <c r="AA4" s="13">
        <f>'Data Tables (Q)'!AA22</f>
        <v/>
      </c>
      <c r="AB4" s="13">
        <f>'Data Tables (Q)'!AB22</f>
        <v/>
      </c>
      <c r="AC4" s="13">
        <f>'Data Tables (Q)'!AC22</f>
        <v/>
      </c>
      <c r="AD4" s="13">
        <f>'Data Tables (M)'!BS22*AG4+AF4*(1-AG4)</f>
        <v/>
      </c>
      <c r="AF4" s="44" t="n"/>
      <c r="AG4" s="17" t="n">
        <v>1</v>
      </c>
    </row>
    <row r="5" ht="30" customHeight="1" s="115">
      <c r="A5" s="38" t="inlineStr">
        <is>
          <t>Recovery Adjustments excluding LTV (Mileage, LOB, etc.)³</t>
        </is>
      </c>
      <c r="B5" s="12">
        <f>'Data Tables (Q)'!B23</f>
        <v/>
      </c>
      <c r="C5" s="12">
        <f>'Data Tables (Q)'!C23</f>
        <v/>
      </c>
      <c r="D5" s="12">
        <f>'Data Tables (Q)'!D23</f>
        <v/>
      </c>
      <c r="E5" s="12">
        <f>'Data Tables (Q)'!E23</f>
        <v/>
      </c>
      <c r="F5" s="12">
        <f>'Data Tables (Q)'!F23</f>
        <v/>
      </c>
      <c r="G5" s="12">
        <f>'Data Tables (Q)'!G23</f>
        <v/>
      </c>
      <c r="H5" s="12">
        <f>'Data Tables (Q)'!H23</f>
        <v/>
      </c>
      <c r="I5" s="12">
        <f>'Data Tables (Q)'!I23</f>
        <v/>
      </c>
      <c r="J5" s="12">
        <f>'Data Tables (Q)'!J23</f>
        <v/>
      </c>
      <c r="K5" s="12">
        <f>'Data Tables (Q)'!K23</f>
        <v/>
      </c>
      <c r="L5" s="12">
        <f>'Data Tables (Q)'!L23</f>
        <v/>
      </c>
      <c r="M5" s="12">
        <f>'Data Tables (Q)'!M23</f>
        <v/>
      </c>
      <c r="N5" s="12">
        <f>'Data Tables (Q)'!N23</f>
        <v/>
      </c>
      <c r="O5" s="12">
        <f>'Data Tables (Q)'!O23</f>
        <v/>
      </c>
      <c r="P5" s="12">
        <f>'Data Tables (Q)'!P23</f>
        <v/>
      </c>
      <c r="Q5" s="12">
        <f>'Data Tables (Q)'!Q23</f>
        <v/>
      </c>
      <c r="R5" s="12">
        <f>'Data Tables (Q)'!R23</f>
        <v/>
      </c>
      <c r="S5" s="12">
        <f>'Data Tables (Q)'!S23</f>
        <v/>
      </c>
      <c r="T5" s="12">
        <f>'Data Tables (Q)'!T23</f>
        <v/>
      </c>
      <c r="U5" s="12">
        <f>'Data Tables (Q)'!U23</f>
        <v/>
      </c>
      <c r="V5" s="12">
        <f>'Data Tables (Q)'!V23</f>
        <v/>
      </c>
      <c r="W5" s="12">
        <f>'Data Tables (Q)'!W23</f>
        <v/>
      </c>
      <c r="X5" s="12">
        <f>'Data Tables (Q)'!X23</f>
        <v/>
      </c>
      <c r="Y5" s="12">
        <f>'Data Tables (Q)'!Y23</f>
        <v/>
      </c>
      <c r="Z5" s="12">
        <f>'Data Tables (Q)'!Z23</f>
        <v/>
      </c>
      <c r="AA5" s="12">
        <f>'Data Tables (Q)'!AA23</f>
        <v/>
      </c>
      <c r="AB5" s="12">
        <f>'Data Tables (Q)'!AB23</f>
        <v/>
      </c>
      <c r="AC5" s="12">
        <f>'Data Tables (Q)'!AC23</f>
        <v/>
      </c>
      <c r="AD5" s="12">
        <f>'Data Tables (M)'!BS23*AG5+AF5*(1-AG5)</f>
        <v/>
      </c>
      <c r="AF5" s="44" t="n"/>
      <c r="AG5" s="17" t="n">
        <v>1</v>
      </c>
    </row>
    <row r="6" ht="15" customHeight="1" s="115">
      <c r="A6" s="36" t="inlineStr">
        <is>
          <t>BBLTV Adjustments⁴</t>
        </is>
      </c>
      <c r="B6" s="13">
        <f>(194%/B10-1)/10%*1.7</f>
        <v/>
      </c>
      <c r="C6" s="13">
        <f>(194%/C10-1)/10%*1.7</f>
        <v/>
      </c>
      <c r="D6" s="13">
        <f>(194%/D10-1)/10%*1.7</f>
        <v/>
      </c>
      <c r="E6" s="13">
        <f>(194%/E10-1)/10%*1.7</f>
        <v/>
      </c>
      <c r="F6" s="13">
        <f>(194%/F10-1)/10%*1.7</f>
        <v/>
      </c>
      <c r="G6" s="13">
        <f>(194%/G10-1)/10%*1.7</f>
        <v/>
      </c>
      <c r="H6" s="13">
        <f>(194%/H10-1)/10%*1.7</f>
        <v/>
      </c>
      <c r="I6" s="13">
        <f>(194%/I10-1)/10%*1.7</f>
        <v/>
      </c>
      <c r="J6" s="13">
        <f>(194%/J10-1)/10%*1.7</f>
        <v/>
      </c>
      <c r="K6" s="13">
        <f>(194%/K10-1)/10%*1.7</f>
        <v/>
      </c>
      <c r="L6" s="13">
        <f>(194%/L10-1)/10%*1.7</f>
        <v/>
      </c>
      <c r="M6" s="13">
        <f>(194%/M10-1)/10%*1.7</f>
        <v/>
      </c>
      <c r="N6" s="13">
        <f>(194%/N10-1)/10%*1.7</f>
        <v/>
      </c>
      <c r="O6" s="13">
        <f>(194%/O10-1)/10%*1.7</f>
        <v/>
      </c>
      <c r="P6" s="13">
        <f>(194%/P10-1)/10%*1.7</f>
        <v/>
      </c>
      <c r="Q6" s="13">
        <f>(194%/Q10-1)/10%*1.7</f>
        <v/>
      </c>
      <c r="R6" s="13">
        <f>(194%/R10-1)/10%*1.7</f>
        <v/>
      </c>
      <c r="S6" s="13">
        <f>(194%/S10-1)/10%*1.7</f>
        <v/>
      </c>
      <c r="T6" s="13">
        <f>(194%/T10-1)/10%*1.7</f>
        <v/>
      </c>
      <c r="U6" s="13">
        <f>(194%/U10-1)/10%*1.7</f>
        <v/>
      </c>
      <c r="V6" s="13">
        <f>(194%/V10-1)/10%*1.7</f>
        <v/>
      </c>
      <c r="W6" s="13">
        <f>(194%/W10-1)/10%*1.7</f>
        <v/>
      </c>
      <c r="X6" s="13">
        <f>(194%/X10-1)/10%*1.7</f>
        <v/>
      </c>
      <c r="Y6" s="13">
        <f>(194%/Y10-1)/10%*1.7</f>
        <v/>
      </c>
      <c r="Z6" s="13">
        <f>(194%/Z10-1)/10%*1.7</f>
        <v/>
      </c>
      <c r="AA6" s="13">
        <f>(194%/AA10-1)/10%*1.7</f>
        <v/>
      </c>
      <c r="AB6" s="13">
        <f>(194%/AB10-1)/10%*1.7</f>
        <v/>
      </c>
      <c r="AC6" s="13">
        <f>(194%/AC10-1)/10%*1.7</f>
        <v/>
      </c>
      <c r="AD6" s="13">
        <f>(194%/AD10-1)/10%*1.7</f>
        <v/>
      </c>
      <c r="AG6" s="16" t="n"/>
    </row>
    <row r="7" ht="15" customHeight="1" s="115">
      <c r="A7" s="38" t="inlineStr">
        <is>
          <t>RAGU Score</t>
        </is>
      </c>
      <c r="B7" s="12">
        <f>SUM(B2:B6)</f>
        <v/>
      </c>
      <c r="C7" s="12">
        <f>SUM(C2:C6)</f>
        <v/>
      </c>
      <c r="D7" s="12">
        <f>SUM(D2:D6)</f>
        <v/>
      </c>
      <c r="E7" s="12">
        <f>SUM(E2:E6)</f>
        <v/>
      </c>
      <c r="F7" s="12">
        <f>SUM(F2:F6)</f>
        <v/>
      </c>
      <c r="G7" s="12">
        <f>SUM(G2:G6)</f>
        <v/>
      </c>
      <c r="H7" s="12">
        <f>SUM(H2:H6)</f>
        <v/>
      </c>
      <c r="I7" s="12">
        <f>SUM(I2:I6)</f>
        <v/>
      </c>
      <c r="J7" s="12">
        <f>SUM(J2:J6)</f>
        <v/>
      </c>
      <c r="K7" s="12">
        <f>SUM(K2:K6)</f>
        <v/>
      </c>
      <c r="L7" s="12">
        <f>SUM(L2:L6)</f>
        <v/>
      </c>
      <c r="M7" s="12">
        <f>SUM(M2:M6)</f>
        <v/>
      </c>
      <c r="N7" s="12">
        <f>SUM(N2:N6)</f>
        <v/>
      </c>
      <c r="O7" s="12">
        <f>SUM(O2:O6)</f>
        <v/>
      </c>
      <c r="P7" s="12">
        <f>SUM(P2:P6)</f>
        <v/>
      </c>
      <c r="Q7" s="12">
        <f>SUM(Q2:Q6)</f>
        <v/>
      </c>
      <c r="R7" s="12">
        <f>SUM(R2:R6)</f>
        <v/>
      </c>
      <c r="S7" s="12">
        <f>SUM(S2:S6)</f>
        <v/>
      </c>
      <c r="T7" s="12">
        <f>SUM(T2:T6)</f>
        <v/>
      </c>
      <c r="U7" s="12">
        <f>SUM(U2:U6)</f>
        <v/>
      </c>
      <c r="V7" s="12">
        <f>SUM(V2:V6)</f>
        <v/>
      </c>
      <c r="W7" s="12">
        <f>SUM(W2:W6)</f>
        <v/>
      </c>
      <c r="X7" s="12">
        <f>SUM(X2:X6)</f>
        <v/>
      </c>
      <c r="Y7" s="12">
        <f>SUM(Y2:Y6)</f>
        <v/>
      </c>
      <c r="Z7" s="12">
        <f>SUM(Z2:Z6)</f>
        <v/>
      </c>
      <c r="AA7" s="12">
        <f>SUM(AA2:AA6)</f>
        <v/>
      </c>
      <c r="AB7" s="12">
        <f>SUM(AB2:AB6)</f>
        <v/>
      </c>
      <c r="AC7" s="12">
        <f>SUM(AC2:AC6)</f>
        <v/>
      </c>
      <c r="AD7" s="12">
        <f>SUM(AD2:AD6)</f>
        <v/>
      </c>
      <c r="AG7" s="16" t="n"/>
    </row>
    <row r="8" ht="15" customHeight="1" s="115">
      <c r="A8" s="40" t="n"/>
      <c r="B8" s="47">
        <f>B2+B4</f>
        <v/>
      </c>
      <c r="C8" s="47">
        <f>C2+C4</f>
        <v/>
      </c>
      <c r="D8" s="47">
        <f>D2+D4</f>
        <v/>
      </c>
      <c r="E8" s="47">
        <f>E2+E4</f>
        <v/>
      </c>
      <c r="F8" s="47">
        <f>F2+F4</f>
        <v/>
      </c>
      <c r="G8" s="47">
        <f>G2+G4</f>
        <v/>
      </c>
      <c r="H8" s="47">
        <f>H2+H4</f>
        <v/>
      </c>
      <c r="I8" s="47">
        <f>I2+I4</f>
        <v/>
      </c>
      <c r="J8" s="47">
        <f>J2+J4</f>
        <v/>
      </c>
      <c r="K8" s="47">
        <f>K2+K4</f>
        <v/>
      </c>
      <c r="L8" s="47">
        <f>L2+L4</f>
        <v/>
      </c>
      <c r="M8" s="47">
        <f>M2+M4</f>
        <v/>
      </c>
      <c r="N8" s="47">
        <f>N2+N4</f>
        <v/>
      </c>
      <c r="O8" s="47">
        <f>O2+O4</f>
        <v/>
      </c>
      <c r="P8" s="47">
        <f>P2+P4</f>
        <v/>
      </c>
      <c r="Q8" s="47">
        <f>Q2+Q4</f>
        <v/>
      </c>
      <c r="R8" s="47">
        <f>R2+R4</f>
        <v/>
      </c>
      <c r="S8" s="47">
        <f>S2+S4</f>
        <v/>
      </c>
      <c r="T8" s="47">
        <f>T2+T4</f>
        <v/>
      </c>
      <c r="U8" s="47">
        <f>U2+U4</f>
        <v/>
      </c>
      <c r="V8" s="47">
        <f>V2+V4</f>
        <v/>
      </c>
      <c r="W8" s="47">
        <f>W2+W4</f>
        <v/>
      </c>
      <c r="X8" s="47">
        <f>X2+X4</f>
        <v/>
      </c>
      <c r="Y8" s="47">
        <f>Y2+Y4</f>
        <v/>
      </c>
      <c r="Z8" s="47">
        <f>Z2+Z4</f>
        <v/>
      </c>
      <c r="AA8" s="47">
        <f>AA2+AA4</f>
        <v/>
      </c>
      <c r="AB8" s="47">
        <f>AB2+AB4</f>
        <v/>
      </c>
      <c r="AC8" s="47">
        <f>AC2+AC4</f>
        <v/>
      </c>
      <c r="AD8" s="47">
        <f>AD2+AD4</f>
        <v/>
      </c>
      <c r="AG8" s="16" t="n"/>
    </row>
    <row r="9" ht="15" customHeight="1" s="115">
      <c r="A9" s="42" t="inlineStr">
        <is>
          <t>Context info</t>
        </is>
      </c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G9" s="16" t="n"/>
    </row>
    <row r="10" ht="15" customHeight="1" s="115">
      <c r="A10" s="36" t="inlineStr">
        <is>
          <t>BlackBook LTV (Baseline 194%)</t>
        </is>
      </c>
      <c r="B10" s="81">
        <f>'Data Tables (Q)'!B26</f>
        <v/>
      </c>
      <c r="C10" s="81">
        <f>'Data Tables (Q)'!C26</f>
        <v/>
      </c>
      <c r="D10" s="81">
        <f>'Data Tables (Q)'!D26</f>
        <v/>
      </c>
      <c r="E10" s="81">
        <f>'Data Tables (Q)'!E26</f>
        <v/>
      </c>
      <c r="F10" s="81">
        <f>'Data Tables (Q)'!F26</f>
        <v/>
      </c>
      <c r="G10" s="81">
        <f>'Data Tables (Q)'!G26</f>
        <v/>
      </c>
      <c r="H10" s="81">
        <f>'Data Tables (Q)'!H26</f>
        <v/>
      </c>
      <c r="I10" s="81">
        <f>'Data Tables (Q)'!I26</f>
        <v/>
      </c>
      <c r="J10" s="81">
        <f>'Data Tables (Q)'!J26</f>
        <v/>
      </c>
      <c r="K10" s="81">
        <f>'Data Tables (Q)'!K26</f>
        <v/>
      </c>
      <c r="L10" s="81">
        <f>'Data Tables (Q)'!L26</f>
        <v/>
      </c>
      <c r="M10" s="81">
        <f>'Data Tables (Q)'!M26</f>
        <v/>
      </c>
      <c r="N10" s="81">
        <f>'Data Tables (Q)'!N26</f>
        <v/>
      </c>
      <c r="O10" s="81">
        <f>'Data Tables (Q)'!O26</f>
        <v/>
      </c>
      <c r="P10" s="81">
        <f>'Data Tables (Q)'!P26</f>
        <v/>
      </c>
      <c r="Q10" s="81">
        <f>'Data Tables (Q)'!Q26</f>
        <v/>
      </c>
      <c r="R10" s="81">
        <f>'Data Tables (Q)'!R26</f>
        <v/>
      </c>
      <c r="S10" s="81">
        <f>'Data Tables (Q)'!S26</f>
        <v/>
      </c>
      <c r="T10" s="81">
        <f>'Data Tables (Q)'!T26</f>
        <v/>
      </c>
      <c r="U10" s="81">
        <f>'Data Tables (Q)'!U26</f>
        <v/>
      </c>
      <c r="V10" s="81">
        <f>'Data Tables (Q)'!V26</f>
        <v/>
      </c>
      <c r="W10" s="81">
        <f>'Data Tables (Q)'!W26</f>
        <v/>
      </c>
      <c r="X10" s="81">
        <f>'Data Tables (Q)'!X26</f>
        <v/>
      </c>
      <c r="Y10" s="81">
        <f>'Data Tables (Q)'!Y26</f>
        <v/>
      </c>
      <c r="Z10" s="81">
        <f>'Data Tables (Q)'!Z26</f>
        <v/>
      </c>
      <c r="AA10" s="81">
        <f>'Data Tables (Q)'!AA26</f>
        <v/>
      </c>
      <c r="AB10" s="81">
        <f>'Data Tables (Q)'!AB26</f>
        <v/>
      </c>
      <c r="AC10" s="81">
        <f>'Data Tables (Q)'!AC26</f>
        <v/>
      </c>
      <c r="AD10" s="81">
        <f>'Data Tables (M)'!BS26*AG10+AF10*(1-AG10)</f>
        <v/>
      </c>
      <c r="AF10" s="44" t="n"/>
      <c r="AG10" s="17" t="n">
        <v>1</v>
      </c>
    </row>
    <row r="11" ht="15" customHeight="1" s="115">
      <c r="A11" s="37" t="inlineStr">
        <is>
          <t>Origination MMI</t>
        </is>
      </c>
      <c r="B11" s="83" t="n">
        <v>136.4</v>
      </c>
      <c r="C11" s="83" t="n">
        <v>141.3</v>
      </c>
      <c r="D11" s="83" t="n">
        <v>148</v>
      </c>
      <c r="E11" s="83" t="n">
        <v>151.5</v>
      </c>
      <c r="F11" s="83" t="n">
        <v>156.6</v>
      </c>
      <c r="G11" s="83" t="n">
        <v>149.5</v>
      </c>
      <c r="H11" s="83" t="n">
        <v>178.6</v>
      </c>
      <c r="I11" s="83" t="n">
        <v>176.8</v>
      </c>
      <c r="J11" s="83" t="n">
        <v>183.6</v>
      </c>
      <c r="K11" s="83" t="n">
        <v>218.6</v>
      </c>
      <c r="L11" s="83" t="n">
        <v>217</v>
      </c>
      <c r="M11" s="83" t="n">
        <v>252.9</v>
      </c>
      <c r="N11" s="83" t="n">
        <v>243.1</v>
      </c>
      <c r="O11" s="83" t="n">
        <v>245.1</v>
      </c>
      <c r="P11" s="83" t="n">
        <v>229.8</v>
      </c>
      <c r="Q11" s="83" t="n">
        <v>221.6</v>
      </c>
      <c r="R11" s="83" t="n">
        <v>229.4</v>
      </c>
      <c r="S11" s="83" t="n">
        <v>224.9</v>
      </c>
      <c r="T11" s="83" t="n">
        <v>212.6</v>
      </c>
      <c r="U11" s="83" t="n">
        <v>204.9</v>
      </c>
      <c r="V11" s="98" t="n">
        <v>204.2</v>
      </c>
      <c r="W11" s="98" t="n">
        <v>199.2</v>
      </c>
      <c r="X11" s="83" t="n">
        <v>202.8</v>
      </c>
      <c r="Y11" s="83" t="n">
        <v>203.3</v>
      </c>
      <c r="Z11" s="98" t="n"/>
      <c r="AA11" s="98" t="n">
        <v>205.866666666667</v>
      </c>
      <c r="AB11" s="98" t="n"/>
      <c r="AC11" s="98" t="n"/>
      <c r="AD11" s="84" t="n">
        <v>203</v>
      </c>
    </row>
    <row r="12" ht="15" customHeight="1" s="115">
      <c r="A12" s="43" t="inlineStr">
        <is>
          <t>MMI Impact⁵</t>
        </is>
      </c>
      <c r="B12" s="82" t="n">
        <v>0.04</v>
      </c>
      <c r="C12" s="82" t="n">
        <v>0.11</v>
      </c>
      <c r="D12" s="82" t="n">
        <v>0.13</v>
      </c>
      <c r="E12" s="82" t="n">
        <v>0.146</v>
      </c>
      <c r="F12" s="82" t="n">
        <v>0.2445606772966977</v>
      </c>
      <c r="G12" s="82" t="n">
        <v>0.3305915577819472</v>
      </c>
      <c r="H12" s="82" t="n">
        <v>0.1173819506419207</v>
      </c>
      <c r="I12" s="82" t="n">
        <v>0.1696002460025463</v>
      </c>
      <c r="J12" s="82" t="n">
        <v>0.133234561472402</v>
      </c>
      <c r="K12" s="82" t="n">
        <v>-0.04256145116699095</v>
      </c>
      <c r="L12" s="82" t="n">
        <v>-0.04124633316694015</v>
      </c>
      <c r="M12" s="82" t="n">
        <v>-0.1891344418113166</v>
      </c>
      <c r="N12" s="82" t="n">
        <v>-0.1670646309580199</v>
      </c>
      <c r="O12" s="82" t="n">
        <v>-0.1889941003651481</v>
      </c>
      <c r="P12" s="82" t="n">
        <v>-0.1447923046282268</v>
      </c>
      <c r="Q12" s="82" t="n">
        <v>-0.1246166443921025</v>
      </c>
      <c r="R12" s="82" t="n">
        <v>-0.1640089407962717</v>
      </c>
      <c r="S12" s="82" t="n">
        <v>-0.1514175576374736</v>
      </c>
      <c r="T12" s="82" t="n">
        <v>-0.104853189713884</v>
      </c>
      <c r="U12" s="82" t="n">
        <v>-0.07029660558684203</v>
      </c>
      <c r="V12" s="82" t="n">
        <v>-0.0642079923362191</v>
      </c>
      <c r="W12" s="82" t="n">
        <v>-0.03712872446878257</v>
      </c>
      <c r="X12" s="82" t="n">
        <v>-0.03</v>
      </c>
      <c r="Y12" s="82" t="n">
        <v>-0.03</v>
      </c>
      <c r="Z12" s="82" t="n">
        <v>-0.03</v>
      </c>
      <c r="AA12" s="82" t="n">
        <v>-0.0264356377656087</v>
      </c>
      <c r="AB12" s="82" t="n"/>
      <c r="AC12" s="82" t="n"/>
      <c r="AD12" s="82" t="n">
        <v>-0.03</v>
      </c>
    </row>
    <row r="13" ht="15" customHeight="1" s="115">
      <c r="A13" s="38" t="inlineStr">
        <is>
          <t>Adjustment to RAGU Score from MMI</t>
        </is>
      </c>
      <c r="B13" s="85">
        <f>B12/10%*1.7</f>
        <v/>
      </c>
      <c r="C13" s="85">
        <f>C12/10%*1.7</f>
        <v/>
      </c>
      <c r="D13" s="85">
        <f>D12/10%*1.7</f>
        <v/>
      </c>
      <c r="E13" s="85">
        <f>E12/10%*1.7</f>
        <v/>
      </c>
      <c r="F13" s="85">
        <f>F12/10%*1.7</f>
        <v/>
      </c>
      <c r="G13" s="85">
        <f>G12/10%*1.7</f>
        <v/>
      </c>
      <c r="H13" s="85">
        <f>H12/10%*1.7</f>
        <v/>
      </c>
      <c r="I13" s="85">
        <f>I12/10%*1.7</f>
        <v/>
      </c>
      <c r="J13" s="85">
        <f>J12/10%*1.7</f>
        <v/>
      </c>
      <c r="K13" s="85">
        <f>K12/10%*1.7</f>
        <v/>
      </c>
      <c r="L13" s="85">
        <f>L12/10%*1.7</f>
        <v/>
      </c>
      <c r="M13" s="85">
        <f>M12/10%*1.7</f>
        <v/>
      </c>
      <c r="N13" s="85">
        <f>N12/10%*1.7</f>
        <v/>
      </c>
      <c r="O13" s="85">
        <f>O12/10%*1.7</f>
        <v/>
      </c>
      <c r="P13" s="85">
        <f>P12/10%*1.7</f>
        <v/>
      </c>
      <c r="Q13" s="85">
        <f>Q12/10%*1.7</f>
        <v/>
      </c>
      <c r="R13" s="85">
        <f>R12/10%*1.7</f>
        <v/>
      </c>
      <c r="S13" s="85">
        <f>S12/10%*1.7</f>
        <v/>
      </c>
      <c r="T13" s="85">
        <f>T12/10%*1.7</f>
        <v/>
      </c>
      <c r="U13" s="85">
        <f>U12/10%*1.7</f>
        <v/>
      </c>
      <c r="V13" s="85">
        <f>V12/10%*1.7</f>
        <v/>
      </c>
      <c r="W13" s="85">
        <f>W12/10%*1.7</f>
        <v/>
      </c>
      <c r="X13" s="85">
        <f>X12/10%*1.7</f>
        <v/>
      </c>
      <c r="Y13" s="85">
        <f>Y12/10%*1.7</f>
        <v/>
      </c>
      <c r="Z13" s="85">
        <f>Z12/10%*1.7</f>
        <v/>
      </c>
      <c r="AA13" s="85">
        <f>AA12/10%*1.7</f>
        <v/>
      </c>
      <c r="AB13" s="85" t="n"/>
      <c r="AC13" s="85" t="n"/>
      <c r="AD13" s="85">
        <f>AD12/10%*1.7</f>
        <v/>
      </c>
    </row>
    <row r="14" ht="15" customHeight="1" s="115">
      <c r="A14" s="36" t="inlineStr">
        <is>
          <t>RAGU Score (adjusted for MMI)</t>
        </is>
      </c>
      <c r="B14" s="13">
        <f>B7+B13</f>
        <v/>
      </c>
      <c r="C14" s="13">
        <f>C7+C13</f>
        <v/>
      </c>
      <c r="D14" s="13">
        <f>D7+D13</f>
        <v/>
      </c>
      <c r="E14" s="13">
        <f>E7+E13</f>
        <v/>
      </c>
      <c r="F14" s="13">
        <f>F7+F13</f>
        <v/>
      </c>
      <c r="G14" s="13">
        <f>G7+G13</f>
        <v/>
      </c>
      <c r="H14" s="13">
        <f>H7+H13</f>
        <v/>
      </c>
      <c r="I14" s="13">
        <f>I7+I13</f>
        <v/>
      </c>
      <c r="J14" s="13">
        <f>J7+J13</f>
        <v/>
      </c>
      <c r="K14" s="13">
        <f>K7+K13</f>
        <v/>
      </c>
      <c r="L14" s="13">
        <f>L7+L13</f>
        <v/>
      </c>
      <c r="M14" s="13">
        <f>M7+M13</f>
        <v/>
      </c>
      <c r="N14" s="13">
        <f>N7+N13</f>
        <v/>
      </c>
      <c r="O14" s="13">
        <f>O7+O13</f>
        <v/>
      </c>
      <c r="P14" s="13">
        <f>P7+P13</f>
        <v/>
      </c>
      <c r="Q14" s="13">
        <f>Q7+Q13</f>
        <v/>
      </c>
      <c r="R14" s="13">
        <f>R7+R13</f>
        <v/>
      </c>
      <c r="S14" s="13">
        <f>S7+S13</f>
        <v/>
      </c>
      <c r="T14" s="13">
        <f>T7+T13</f>
        <v/>
      </c>
      <c r="U14" s="13">
        <f>U7+U13</f>
        <v/>
      </c>
      <c r="V14" s="13">
        <f>V7+V13</f>
        <v/>
      </c>
      <c r="W14" s="13">
        <f>W7+W13</f>
        <v/>
      </c>
      <c r="X14" s="13">
        <f>X7+X13</f>
        <v/>
      </c>
      <c r="Y14" s="13">
        <f>Y7+Y13</f>
        <v/>
      </c>
      <c r="Z14" s="13">
        <f>Z7+Z13</f>
        <v/>
      </c>
      <c r="AA14" s="13">
        <f>AA7+AA13</f>
        <v/>
      </c>
      <c r="AB14" s="13" t="n"/>
      <c r="AC14" s="13" t="n"/>
      <c r="AD14" s="13">
        <f>AD7+AD13</f>
        <v/>
      </c>
    </row>
    <row r="15" ht="15" customHeight="1" s="115">
      <c r="A15" s="38" t="inlineStr">
        <is>
          <t>t_c CNL⁶</t>
        </is>
      </c>
      <c r="B15" s="20" t="n">
        <v>0.3633638577343489</v>
      </c>
      <c r="C15" s="20" t="n">
        <v>0.3234382557938894</v>
      </c>
      <c r="D15" s="20" t="n">
        <v>0.2832374800218391</v>
      </c>
      <c r="E15" s="20" t="n">
        <v>0.2488956900892531</v>
      </c>
      <c r="F15" s="20" t="n">
        <v>0.2284819177304706</v>
      </c>
      <c r="G15" s="20" t="n">
        <v>0.2152764125496608</v>
      </c>
      <c r="H15" s="20" t="n">
        <v>0.2468722747146918</v>
      </c>
      <c r="I15" s="20" t="n">
        <v>0.28284070935053</v>
      </c>
      <c r="J15" s="20" t="n">
        <v>0.2388826325714619</v>
      </c>
      <c r="K15" s="20" t="n">
        <v>0.2750872610981854</v>
      </c>
      <c r="L15" s="20" t="n">
        <v>0.3097784721902405</v>
      </c>
      <c r="M15" s="20" t="n">
        <v>0.3599540635659849</v>
      </c>
      <c r="N15" s="20" t="n">
        <v>0.3820747030304262</v>
      </c>
      <c r="O15" s="20" t="n">
        <v>0.3604735268046225</v>
      </c>
      <c r="P15" s="20" t="n">
        <v>0.3397475026775122</v>
      </c>
      <c r="Q15" s="20" t="n">
        <v>0.3187573429827747</v>
      </c>
      <c r="R15" s="20" t="n">
        <v>0.3083072804522351</v>
      </c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</row>
    <row r="16" ht="15" customHeight="1" s="115">
      <c r="A16" s="36" t="inlineStr">
        <is>
          <t>Implied t-1 CNL</t>
        </is>
      </c>
      <c r="B16" s="19">
        <f>B15-($AD$14-B14)*1%</f>
        <v/>
      </c>
      <c r="C16" s="19">
        <f>C15-($AD$14-C14)*1%</f>
        <v/>
      </c>
      <c r="D16" s="19">
        <f>D15-($AD$14-D14)*1%</f>
        <v/>
      </c>
      <c r="E16" s="19">
        <f>E15-($AD$14-E14)*1%</f>
        <v/>
      </c>
      <c r="F16" s="19">
        <f>F15-($AD$14-F14)*1%</f>
        <v/>
      </c>
      <c r="G16" s="19">
        <f>G15-($AD$14-G14)*1%</f>
        <v/>
      </c>
      <c r="H16" s="19">
        <f>H15-($AD$14-H14)*1%</f>
        <v/>
      </c>
      <c r="I16" s="19">
        <f>I15-($AD$14-I14)*1%</f>
        <v/>
      </c>
      <c r="J16" s="19">
        <f>J15-($AD$14-J14)*1%</f>
        <v/>
      </c>
      <c r="K16" s="19">
        <f>K15-($AD$14-K14)*1%</f>
        <v/>
      </c>
      <c r="L16" s="19">
        <f>L15-($AD$14-L14)*1%</f>
        <v/>
      </c>
      <c r="M16" s="19">
        <f>M15-($AD$14-M14)*1%</f>
        <v/>
      </c>
      <c r="N16" s="19">
        <f>N15-($AD$14-N14)*1%</f>
        <v/>
      </c>
      <c r="O16" s="19">
        <f>O15-($AD$14-O14)*1%</f>
        <v/>
      </c>
      <c r="P16" s="19">
        <f>P15-($AD$14-P14)*1%</f>
        <v/>
      </c>
      <c r="Q16" s="19">
        <f>Q15-($AD$14-Q14)*1%</f>
        <v/>
      </c>
      <c r="R16" s="19">
        <f>R15-($AD$14-R14)*1%</f>
        <v/>
      </c>
      <c r="S16" s="19" t="n"/>
      <c r="T16" s="19" t="n"/>
      <c r="U16" s="17" t="n"/>
      <c r="V16" s="17" t="n"/>
      <c r="W16" s="17" t="n"/>
      <c r="X16" s="19" t="n"/>
      <c r="Y16" s="17" t="n"/>
      <c r="Z16" s="17" t="n"/>
      <c r="AA16" s="17" t="n"/>
      <c r="AB16" s="17" t="n"/>
      <c r="AC16" s="17" t="n"/>
      <c r="AD16" s="19" t="n">
        <v>0.281</v>
      </c>
    </row>
    <row r="18" ht="15" customHeight="1" s="115">
      <c r="B18" s="55" t="n"/>
      <c r="C18" s="55" t="n"/>
      <c r="D18" s="55" t="n"/>
      <c r="E18" s="55" t="n"/>
      <c r="F18" s="55" t="n"/>
      <c r="G18" s="55" t="n"/>
      <c r="H18" s="55" t="n"/>
    </row>
    <row r="19" ht="15" customHeight="1" s="115">
      <c r="A19" s="50" t="inlineStr">
        <is>
          <t>1:</t>
        </is>
      </c>
      <c r="B19" s="51" t="inlineStr">
        <is>
          <t>Model Score excludes buybacks and high amount financed.</t>
        </is>
      </c>
    </row>
    <row r="20" ht="15" customHeight="1" s="115">
      <c r="A20" s="50" t="inlineStr">
        <is>
          <t>2:</t>
        </is>
      </c>
      <c r="B20" s="51" t="inlineStr">
        <is>
          <t>We are currently working with Pricing to determine how to use FRN3.1 scores, there are large discrepancies between model scores as booked and FRN3.1 due to what might be centering issues.</t>
        </is>
      </c>
    </row>
    <row r="21" ht="15" customHeight="1" s="115">
      <c r="A21" s="50" t="inlineStr">
        <is>
          <t>3:</t>
        </is>
      </c>
      <c r="B21" s="51" t="inlineStr">
        <is>
          <t>Biggest impacts to Gross Loss Adjustments are Dealer Level, weekday/weekend decision, and high mileage classification.</t>
        </is>
      </c>
    </row>
    <row r="22" ht="15" customHeight="1" s="115">
      <c r="A22" s="50" t="n"/>
      <c r="B22" s="51" t="inlineStr">
        <is>
          <t>Not accounting for potential differences in Gross Loss for test loans.</t>
        </is>
      </c>
    </row>
    <row r="23" ht="15" customHeight="1" s="115">
      <c r="A23" s="50" t="n"/>
      <c r="B23" s="51" t="inlineStr">
        <is>
          <t>See Appendix for details on other factors</t>
        </is>
      </c>
    </row>
    <row r="24" ht="15" customHeight="1" s="115">
      <c r="A24" s="50" t="inlineStr">
        <is>
          <t>4:</t>
        </is>
      </c>
      <c r="B24" s="51" t="inlineStr">
        <is>
          <t>Biggest impacts to Recovery Adjustments are mileage/age, impound probability, and vehicle class.</t>
        </is>
      </c>
    </row>
    <row r="25" ht="15" customHeight="1" s="115">
      <c r="A25" s="50" t="inlineStr">
        <is>
          <t>5:</t>
        </is>
      </c>
      <c r="B25" s="51" t="inlineStr">
        <is>
          <t>LTV adjustments are made using the 10% LTV improvement-&gt;170bps to CNL heuristic, based on BlackBook LTV values.</t>
        </is>
      </c>
    </row>
    <row r="26" ht="15" customHeight="1" s="115">
      <c r="A26" s="50" t="inlineStr">
        <is>
          <t>6:</t>
        </is>
      </c>
      <c r="B26" s="51" t="inlineStr">
        <is>
          <t>MMI uses adjusted index (2019 seasonality). The MMI Impact compares the actual MMI to a 3% annual growth.</t>
        </is>
      </c>
    </row>
    <row r="27" ht="15" customHeight="1" s="115">
      <c r="A27" s="50" t="n"/>
      <c r="B27" s="51" t="inlineStr">
        <is>
          <t>A positive impact of X% means sold recovery will be X% better.</t>
        </is>
      </c>
    </row>
    <row r="28" ht="15" customHeight="1" s="115">
      <c r="A28" s="50" t="inlineStr">
        <is>
          <t>7:</t>
        </is>
      </c>
      <c r="B28" s="51" t="inlineStr">
        <is>
          <t>tc CNL uses UGLY Model projections, and 2023 Q1 blends 75% UGLY Model with 25% Loss Committee.</t>
        </is>
      </c>
    </row>
  </sheetData>
  <mergeCells count="2">
    <mergeCell ref="AH2:AI2"/>
    <mergeCell ref="AH1:AI1"/>
  </mergeCells>
  <pageMargins left="0.7" right="0.7" top="0.75" bottom="0.75" header="0.3" footer="0.3"/>
  <pageSetup orientation="portrait" horizontalDpi="204" verticalDpi="192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7"/>
  <sheetViews>
    <sheetView zoomScale="160" zoomScaleNormal="160" workbookViewId="0">
      <selection activeCell="X5" sqref="X5"/>
    </sheetView>
  </sheetViews>
  <sheetFormatPr baseColWidth="8" defaultColWidth="9.1796875" defaultRowHeight="15" customHeight="1"/>
  <cols>
    <col width="25" customWidth="1" style="41" min="1" max="1"/>
    <col width="5.26953125" customWidth="1" style="41" min="2" max="26"/>
    <col width="9.1796875" customWidth="1" style="41" min="27" max="73"/>
    <col width="9.1796875" customWidth="1" style="41" min="74" max="16384"/>
  </cols>
  <sheetData>
    <row r="1" ht="30" customHeight="1" s="115">
      <c r="A1" s="35" t="inlineStr">
        <is>
          <t>FLD</t>
        </is>
      </c>
      <c r="B1" s="28" t="inlineStr">
        <is>
          <t>2020 Q1</t>
        </is>
      </c>
      <c r="C1" s="28" t="inlineStr">
        <is>
          <t>2020 Q2</t>
        </is>
      </c>
      <c r="D1" s="28" t="inlineStr">
        <is>
          <t>2020 Q3</t>
        </is>
      </c>
      <c r="E1" s="28" t="inlineStr">
        <is>
          <t>2020 Q4</t>
        </is>
      </c>
      <c r="F1" s="28" t="inlineStr">
        <is>
          <t>2021 Q1</t>
        </is>
      </c>
      <c r="G1" s="28" t="inlineStr">
        <is>
          <t>2021 Q2</t>
        </is>
      </c>
      <c r="H1" s="28" t="inlineStr">
        <is>
          <t>2021 Q3</t>
        </is>
      </c>
      <c r="I1" s="28" t="inlineStr">
        <is>
          <t>2021 Q4</t>
        </is>
      </c>
      <c r="J1" s="28" t="inlineStr">
        <is>
          <t>2022 Q1</t>
        </is>
      </c>
      <c r="K1" s="28" t="inlineStr">
        <is>
          <t>2022 Q2</t>
        </is>
      </c>
      <c r="L1" s="28" t="inlineStr">
        <is>
          <t>2022 Q3</t>
        </is>
      </c>
      <c r="M1" s="28" t="inlineStr">
        <is>
          <t>2022 Q4</t>
        </is>
      </c>
      <c r="N1" s="28" t="inlineStr">
        <is>
          <t>2023 Q1</t>
        </is>
      </c>
      <c r="O1" s="28" t="inlineStr">
        <is>
          <t>2023 Q2</t>
        </is>
      </c>
      <c r="P1" s="28" t="inlineStr">
        <is>
          <t>2023 Q3</t>
        </is>
      </c>
      <c r="Q1" s="52" t="inlineStr">
        <is>
          <t>2023 Q4</t>
        </is>
      </c>
      <c r="R1" s="52" t="inlineStr">
        <is>
          <t>2024 Q1</t>
        </is>
      </c>
      <c r="S1" s="52" t="inlineStr">
        <is>
          <t>2024 Q2</t>
        </is>
      </c>
      <c r="T1" s="28" t="inlineStr">
        <is>
          <t>2024 Q3</t>
        </is>
      </c>
      <c r="U1" s="52" t="inlineStr">
        <is>
          <t>2024 Q4</t>
        </is>
      </c>
      <c r="V1" s="52" t="inlineStr">
        <is>
          <t>2025 Q1</t>
        </is>
      </c>
      <c r="W1" s="52" t="inlineStr">
        <is>
          <t>2025 Q2</t>
        </is>
      </c>
      <c r="X1" s="52" t="inlineStr">
        <is>
          <t>2025 Q3</t>
        </is>
      </c>
      <c r="Y1" s="52" t="inlineStr">
        <is>
          <t>2025 Q4</t>
        </is>
      </c>
      <c r="Z1" s="28" t="inlineStr">
        <is>
          <t>t-1</t>
        </is>
      </c>
      <c r="AB1" s="28" t="inlineStr">
        <is>
          <t>t-1 manual input</t>
        </is>
      </c>
      <c r="AC1" s="79" t="inlineStr">
        <is>
          <t>Use Recent Month?</t>
        </is>
      </c>
      <c r="AD1" s="134" t="inlineStr">
        <is>
          <t>Use Reassessed Model Score?</t>
        </is>
      </c>
      <c r="AE1" s="135" t="n"/>
    </row>
    <row r="2" ht="15" customHeight="1" s="115" thickBot="1">
      <c r="A2" s="38" t="inlineStr">
        <is>
          <t>Contract Model Score¹</t>
        </is>
      </c>
      <c r="B2" s="12">
        <f>'Data Tables (Q)'!F11</f>
        <v/>
      </c>
      <c r="C2" s="12">
        <f>'Data Tables (Q)'!G11</f>
        <v/>
      </c>
      <c r="D2" s="12">
        <f>'Data Tables (Q)'!H11</f>
        <v/>
      </c>
      <c r="E2" s="12">
        <f>'Data Tables (Q)'!I11</f>
        <v/>
      </c>
      <c r="F2" s="12">
        <f>'Data Tables (Q)'!J11</f>
        <v/>
      </c>
      <c r="G2" s="12">
        <f>'Data Tables (Q)'!K11</f>
        <v/>
      </c>
      <c r="H2" s="12">
        <f>'Data Tables (Q)'!L11</f>
        <v/>
      </c>
      <c r="I2" s="12">
        <f>'Data Tables (Q)'!M11</f>
        <v/>
      </c>
      <c r="J2" s="12">
        <f>'Data Tables (Q)'!N11</f>
        <v/>
      </c>
      <c r="K2" s="12">
        <f>'Data Tables (Q)'!O11</f>
        <v/>
      </c>
      <c r="L2" s="12">
        <f>'Data Tables (Q)'!P11</f>
        <v/>
      </c>
      <c r="M2" s="12">
        <f>'Data Tables (Q)'!Q11</f>
        <v/>
      </c>
      <c r="N2" s="12">
        <f>'Data Tables (Q)'!R11</f>
        <v/>
      </c>
      <c r="O2" s="12">
        <f>'Data Tables (Q)'!S11</f>
        <v/>
      </c>
      <c r="P2" s="12">
        <f>'Data Tables (Q)'!T11</f>
        <v/>
      </c>
      <c r="Q2" s="53">
        <f>'Data Tables (Q)'!U11</f>
        <v/>
      </c>
      <c r="R2" s="53">
        <f>'Data Tables (Q)'!V11</f>
        <v/>
      </c>
      <c r="S2" s="53">
        <f>'Data Tables (Q)'!W11</f>
        <v/>
      </c>
      <c r="T2" s="12">
        <f>'Data Tables (Q)'!X11</f>
        <v/>
      </c>
      <c r="U2" s="53">
        <f>'Data Tables (Q)'!Y11</f>
        <v/>
      </c>
      <c r="V2" s="53">
        <f>'Data Tables (Q)'!Z11</f>
        <v/>
      </c>
      <c r="W2" s="53">
        <f>'Data Tables (Q)'!AA11</f>
        <v/>
      </c>
      <c r="X2" s="53">
        <f>'Data Tables (Q)'!AB11</f>
        <v/>
      </c>
      <c r="Y2" s="53">
        <f>'Data Tables (Q)'!AC11</f>
        <v/>
      </c>
      <c r="Z2" s="12">
        <f>'Data Tables (M)'!BS11*AC2+AB2*(1-AC2)</f>
        <v/>
      </c>
      <c r="AB2" s="61">
        <f>'t-1 Data Table'!N4</f>
        <v/>
      </c>
      <c r="AC2" s="75" t="n">
        <v>1</v>
      </c>
      <c r="AD2" s="132" t="n">
        <v>0</v>
      </c>
      <c r="AE2" s="133" t="n"/>
    </row>
    <row r="3" hidden="1" ht="15" customHeight="1" s="115">
      <c r="A3" s="43" t="inlineStr">
        <is>
          <t>Shift to FRN 3.1 Score²</t>
        </is>
      </c>
      <c r="B3" s="13">
        <f>'Data Tables (Q)'!F12*AD2</f>
        <v/>
      </c>
      <c r="C3" s="13">
        <f>'Data Tables (Q)'!G12*AE2</f>
        <v/>
      </c>
      <c r="D3" s="13">
        <f>'Data Tables (Q)'!H12*AF2</f>
        <v/>
      </c>
      <c r="E3" s="13">
        <f>'Data Tables (Q)'!I12*AG2</f>
        <v/>
      </c>
      <c r="F3" s="13">
        <f>'Data Tables (Q)'!J12*AH2</f>
        <v/>
      </c>
      <c r="G3" s="13">
        <f>'Data Tables (Q)'!K12*AI2</f>
        <v/>
      </c>
      <c r="H3" s="13">
        <f>'Data Tables (Q)'!L12*AJ2</f>
        <v/>
      </c>
      <c r="I3" s="13">
        <f>'Data Tables (Q)'!M12*AK2</f>
        <v/>
      </c>
      <c r="J3" s="13">
        <f>'Data Tables (Q)'!N12*AL2</f>
        <v/>
      </c>
      <c r="K3" s="13">
        <f>'Data Tables (Q)'!O12*AM2</f>
        <v/>
      </c>
      <c r="L3" s="13">
        <f>'Data Tables (Q)'!P12*AN2</f>
        <v/>
      </c>
      <c r="M3" s="13">
        <f>'Data Tables (Q)'!Q12*AO2</f>
        <v/>
      </c>
      <c r="N3" s="13">
        <f>'Data Tables (Q)'!R12*AP2</f>
        <v/>
      </c>
      <c r="O3" s="13">
        <f>'Data Tables (Q)'!S12*AQ2</f>
        <v/>
      </c>
      <c r="P3" s="13">
        <f>'Data Tables (Q)'!T12*AR2</f>
        <v/>
      </c>
      <c r="Q3" s="13">
        <f>'Data Tables (Q)'!U12*AS2</f>
        <v/>
      </c>
      <c r="R3" s="13" t="n"/>
      <c r="S3" s="13" t="n"/>
      <c r="T3" s="13">
        <f>'Data Tables (Q)'!X12*AV2</f>
        <v/>
      </c>
      <c r="U3" s="13">
        <f>'Data Tables (Q)'!Y12*AW2</f>
        <v/>
      </c>
      <c r="V3" s="13">
        <f>'Data Tables (Q)'!Z12*AX2</f>
        <v/>
      </c>
      <c r="W3" s="13" t="n"/>
      <c r="X3" s="13" t="n"/>
      <c r="Y3" s="13" t="n"/>
      <c r="Z3" s="13">
        <f>('Data Tables (M)'!BC12*AC3+AB3*(1-AC3))*$AD$2</f>
        <v/>
      </c>
      <c r="AB3" s="44" t="n">
        <v>0</v>
      </c>
      <c r="AC3" s="17" t="n">
        <v>1</v>
      </c>
    </row>
    <row r="4" ht="30" customHeight="1" s="115">
      <c r="A4" s="36" t="inlineStr">
        <is>
          <t>Gross Loss Adjustments (Dealer Level, vehicle age, etc.)²</t>
        </is>
      </c>
      <c r="B4" s="13">
        <f>'Data Tables (Q)'!F13</f>
        <v/>
      </c>
      <c r="C4" s="13">
        <f>'Data Tables (Q)'!G13</f>
        <v/>
      </c>
      <c r="D4" s="13">
        <f>'Data Tables (Q)'!H13</f>
        <v/>
      </c>
      <c r="E4" s="13">
        <f>'Data Tables (Q)'!I13</f>
        <v/>
      </c>
      <c r="F4" s="13">
        <f>'Data Tables (Q)'!J13</f>
        <v/>
      </c>
      <c r="G4" s="13">
        <f>'Data Tables (Q)'!K13</f>
        <v/>
      </c>
      <c r="H4" s="13">
        <f>'Data Tables (Q)'!L13</f>
        <v/>
      </c>
      <c r="I4" s="13">
        <f>'Data Tables (Q)'!M13</f>
        <v/>
      </c>
      <c r="J4" s="13">
        <f>'Data Tables (Q)'!N13</f>
        <v/>
      </c>
      <c r="K4" s="13">
        <f>'Data Tables (Q)'!O13</f>
        <v/>
      </c>
      <c r="L4" s="13">
        <f>'Data Tables (Q)'!P13</f>
        <v/>
      </c>
      <c r="M4" s="13">
        <f>'Data Tables (Q)'!Q13</f>
        <v/>
      </c>
      <c r="N4" s="13">
        <f>'Data Tables (Q)'!R13</f>
        <v/>
      </c>
      <c r="O4" s="13">
        <f>'Data Tables (Q)'!S13</f>
        <v/>
      </c>
      <c r="P4" s="13">
        <f>'Data Tables (Q)'!T13</f>
        <v/>
      </c>
      <c r="Q4" s="86">
        <f>'Data Tables (Q)'!U13</f>
        <v/>
      </c>
      <c r="R4" s="86">
        <f>'Data Tables (Q)'!V13</f>
        <v/>
      </c>
      <c r="S4" s="86">
        <f>'Data Tables (Q)'!W13</f>
        <v/>
      </c>
      <c r="T4" s="13">
        <f>'Data Tables (Q)'!X13</f>
        <v/>
      </c>
      <c r="U4" s="86">
        <f>'Data Tables (Q)'!Y13</f>
        <v/>
      </c>
      <c r="V4" s="86">
        <f>'Data Tables (Q)'!Z13</f>
        <v/>
      </c>
      <c r="W4" s="86">
        <f>'Data Tables (Q)'!AA13</f>
        <v/>
      </c>
      <c r="X4" s="86">
        <f>'Data Tables (Q)'!AB13</f>
        <v/>
      </c>
      <c r="Y4" s="86">
        <f>'Data Tables (Q)'!AC13</f>
        <v/>
      </c>
      <c r="Z4" s="13">
        <f>'Data Tables (M)'!BS13*AC4+AB4*(1-AC4)</f>
        <v/>
      </c>
      <c r="AB4" s="44" t="n"/>
      <c r="AC4" s="17" t="n">
        <v>1</v>
      </c>
    </row>
    <row r="5" ht="30" customHeight="1" s="115">
      <c r="A5" s="38" t="inlineStr">
        <is>
          <t>Recovery Adjustments excluding LTV (Mileage, LOB, etc.)³</t>
        </is>
      </c>
      <c r="B5" s="12">
        <f>'Data Tables (Q)'!F14</f>
        <v/>
      </c>
      <c r="C5" s="12">
        <f>'Data Tables (Q)'!G14</f>
        <v/>
      </c>
      <c r="D5" s="12">
        <f>'Data Tables (Q)'!H14</f>
        <v/>
      </c>
      <c r="E5" s="12">
        <f>'Data Tables (Q)'!I14</f>
        <v/>
      </c>
      <c r="F5" s="12">
        <f>'Data Tables (Q)'!J14</f>
        <v/>
      </c>
      <c r="G5" s="12">
        <f>'Data Tables (Q)'!K14</f>
        <v/>
      </c>
      <c r="H5" s="12">
        <f>'Data Tables (Q)'!L14</f>
        <v/>
      </c>
      <c r="I5" s="12">
        <f>'Data Tables (Q)'!M14</f>
        <v/>
      </c>
      <c r="J5" s="12">
        <f>'Data Tables (Q)'!N14</f>
        <v/>
      </c>
      <c r="K5" s="12">
        <f>'Data Tables (Q)'!O14</f>
        <v/>
      </c>
      <c r="L5" s="12">
        <f>'Data Tables (Q)'!P14</f>
        <v/>
      </c>
      <c r="M5" s="12">
        <f>'Data Tables (Q)'!Q14</f>
        <v/>
      </c>
      <c r="N5" s="12">
        <f>'Data Tables (Q)'!R14</f>
        <v/>
      </c>
      <c r="O5" s="12">
        <f>'Data Tables (Q)'!S14</f>
        <v/>
      </c>
      <c r="P5" s="12">
        <f>'Data Tables (Q)'!T14</f>
        <v/>
      </c>
      <c r="Q5" s="53">
        <f>'Data Tables (Q)'!U14</f>
        <v/>
      </c>
      <c r="R5" s="53">
        <f>'Data Tables (Q)'!V14</f>
        <v/>
      </c>
      <c r="S5" s="53">
        <f>'Data Tables (Q)'!W14</f>
        <v/>
      </c>
      <c r="T5" s="12">
        <f>'Data Tables (Q)'!X14</f>
        <v/>
      </c>
      <c r="U5" s="53">
        <f>'Data Tables (Q)'!Y14</f>
        <v/>
      </c>
      <c r="V5" s="53">
        <f>'Data Tables (Q)'!Z14</f>
        <v/>
      </c>
      <c r="W5" s="53">
        <f>'Data Tables (Q)'!AA14</f>
        <v/>
      </c>
      <c r="X5" s="53">
        <f>'Data Tables (Q)'!AB14</f>
        <v/>
      </c>
      <c r="Y5" s="53">
        <f>'Data Tables (Q)'!AC14</f>
        <v/>
      </c>
      <c r="Z5" s="12">
        <f>'Data Tables (M)'!BS14*AC5+AB5*(1-AC5)</f>
        <v/>
      </c>
      <c r="AB5" s="44" t="n"/>
      <c r="AC5" s="17" t="n">
        <v>1</v>
      </c>
    </row>
    <row r="6" ht="15" customHeight="1" s="115">
      <c r="A6" s="36" t="inlineStr">
        <is>
          <t>BBLTV Adjustments⁴</t>
        </is>
      </c>
      <c r="B6" s="13">
        <f>(145%/B10-1)/10%*1.7</f>
        <v/>
      </c>
      <c r="C6" s="13">
        <f>(145%/C10-1)/10%*1.7</f>
        <v/>
      </c>
      <c r="D6" s="13">
        <f>(145%/D10-1)/10%*1.7</f>
        <v/>
      </c>
      <c r="E6" s="13">
        <f>(145%/E10-1)/10%*1.7</f>
        <v/>
      </c>
      <c r="F6" s="13">
        <f>(145%/F10-1)/10%*1.7</f>
        <v/>
      </c>
      <c r="G6" s="13">
        <f>(145%/G10-1)/10%*1.7</f>
        <v/>
      </c>
      <c r="H6" s="13">
        <f>(145%/H10-1)/10%*1.7</f>
        <v/>
      </c>
      <c r="I6" s="13">
        <f>(145%/I10-1)/10%*1.7</f>
        <v/>
      </c>
      <c r="J6" s="13">
        <f>(145%/J10-1)/10%*1.7</f>
        <v/>
      </c>
      <c r="K6" s="13">
        <f>(145%/K10-1)/10%*1.7</f>
        <v/>
      </c>
      <c r="L6" s="13">
        <f>(145%/L10-1)/10%*1.7</f>
        <v/>
      </c>
      <c r="M6" s="13">
        <f>(145%/M10-1)/10%*1.7</f>
        <v/>
      </c>
      <c r="N6" s="13">
        <f>(145%/N10-1)/10%*1.7</f>
        <v/>
      </c>
      <c r="O6" s="13">
        <f>(145%/O10-1)/10%*1.7</f>
        <v/>
      </c>
      <c r="P6" s="13">
        <f>(145%/P10-1)/10%*1.7</f>
        <v/>
      </c>
      <c r="Q6" s="13">
        <f>(145%/Q10-1)/10%*1.7</f>
        <v/>
      </c>
      <c r="R6" s="13">
        <f>(145%/R10-1)/10%*1.7</f>
        <v/>
      </c>
      <c r="S6" s="13">
        <f>(145%/S10-1)/10%*1.7</f>
        <v/>
      </c>
      <c r="T6" s="13">
        <f>(145%/T10-1)/10%*1.7</f>
        <v/>
      </c>
      <c r="U6" s="13">
        <f>(145%/U10-1)/10%*1.7</f>
        <v/>
      </c>
      <c r="V6" s="13">
        <f>(145%/V10-1)/10%*1.7</f>
        <v/>
      </c>
      <c r="W6" s="13">
        <f>(145%/W10-1)/10%*1.7</f>
        <v/>
      </c>
      <c r="X6" s="13">
        <f>(145%/X10-1)/10%*1.7</f>
        <v/>
      </c>
      <c r="Y6" s="13">
        <f>(145%/Y10-1)/10%*1.7</f>
        <v/>
      </c>
      <c r="Z6" s="13">
        <f>(145%/Z10-1)/10%*1.7</f>
        <v/>
      </c>
      <c r="AC6" s="16" t="n"/>
    </row>
    <row r="7" ht="15" customHeight="1" s="115">
      <c r="A7" s="38" t="inlineStr">
        <is>
          <t>RAGU Score</t>
        </is>
      </c>
      <c r="B7" s="12">
        <f>SUM(B2:B6)</f>
        <v/>
      </c>
      <c r="C7" s="12">
        <f>SUM(C2:C6)</f>
        <v/>
      </c>
      <c r="D7" s="12">
        <f>SUM(D2:D6)</f>
        <v/>
      </c>
      <c r="E7" s="12">
        <f>SUM(E2:E6)</f>
        <v/>
      </c>
      <c r="F7" s="12">
        <f>SUM(F2:F6)</f>
        <v/>
      </c>
      <c r="G7" s="12">
        <f>SUM(G2:G6)</f>
        <v/>
      </c>
      <c r="H7" s="12">
        <f>SUM(H2:H6)</f>
        <v/>
      </c>
      <c r="I7" s="12">
        <f>SUM(I2:I6)</f>
        <v/>
      </c>
      <c r="J7" s="12">
        <f>SUM(J2:J6)</f>
        <v/>
      </c>
      <c r="K7" s="12">
        <f>SUM(K2:K6)</f>
        <v/>
      </c>
      <c r="L7" s="12">
        <f>SUM(L2:L6)</f>
        <v/>
      </c>
      <c r="M7" s="12">
        <f>SUM(M2:M6)</f>
        <v/>
      </c>
      <c r="N7" s="12">
        <f>SUM(N2:N6)</f>
        <v/>
      </c>
      <c r="O7" s="12">
        <f>SUM(O2:O6)</f>
        <v/>
      </c>
      <c r="P7" s="12">
        <f>SUM(P2:P6)</f>
        <v/>
      </c>
      <c r="Q7" s="53">
        <f>SUM(Q2:Q6)</f>
        <v/>
      </c>
      <c r="R7" s="53">
        <f>SUM(R2:R6)</f>
        <v/>
      </c>
      <c r="S7" s="53">
        <f>SUM(S2:S6)</f>
        <v/>
      </c>
      <c r="T7" s="12">
        <f>SUM(T2:T6)</f>
        <v/>
      </c>
      <c r="U7" s="53">
        <f>SUM(U2:U6)</f>
        <v/>
      </c>
      <c r="V7" s="53">
        <f>SUM(V2:V6)</f>
        <v/>
      </c>
      <c r="W7" s="53">
        <f>SUM(W2:W6)</f>
        <v/>
      </c>
      <c r="X7" s="53">
        <f>SUM(X2:X6)</f>
        <v/>
      </c>
      <c r="Y7" s="53">
        <f>SUM(Y2:Y6)</f>
        <v/>
      </c>
      <c r="Z7" s="12">
        <f>SUM(Z2:Z6)</f>
        <v/>
      </c>
      <c r="AC7" s="16" t="n"/>
    </row>
    <row r="8" ht="15" customHeight="1" s="115">
      <c r="A8" s="40" t="n"/>
      <c r="B8" s="47">
        <f>B2+B4</f>
        <v/>
      </c>
      <c r="C8" s="47">
        <f>C2+C4</f>
        <v/>
      </c>
      <c r="D8" s="47">
        <f>D2+D4</f>
        <v/>
      </c>
      <c r="E8" s="47">
        <f>E2+E4</f>
        <v/>
      </c>
      <c r="F8" s="47">
        <f>F2+F4</f>
        <v/>
      </c>
      <c r="G8" s="47">
        <f>G2+G4</f>
        <v/>
      </c>
      <c r="H8" s="47">
        <f>H2+H4</f>
        <v/>
      </c>
      <c r="I8" s="47">
        <f>I2+I4</f>
        <v/>
      </c>
      <c r="J8" s="47">
        <f>J2+J4</f>
        <v/>
      </c>
      <c r="K8" s="47">
        <f>K2+K4</f>
        <v/>
      </c>
      <c r="L8" s="47">
        <f>L2+L4</f>
        <v/>
      </c>
      <c r="M8" s="47">
        <f>M2+M4</f>
        <v/>
      </c>
      <c r="N8" s="47">
        <f>N2+N4</f>
        <v/>
      </c>
      <c r="O8" s="47">
        <f>O2+O4</f>
        <v/>
      </c>
      <c r="P8" s="47">
        <f>P2+P4</f>
        <v/>
      </c>
      <c r="Q8" s="47">
        <f>Q2+Q4</f>
        <v/>
      </c>
      <c r="R8" s="47">
        <f>R2+R4</f>
        <v/>
      </c>
      <c r="S8" s="47">
        <f>S2+S4</f>
        <v/>
      </c>
      <c r="T8" s="47">
        <f>T2+T4</f>
        <v/>
      </c>
      <c r="U8" s="47">
        <f>U2+U4</f>
        <v/>
      </c>
      <c r="V8" s="47">
        <f>V2+V4</f>
        <v/>
      </c>
      <c r="W8" s="47">
        <f>W2+W4</f>
        <v/>
      </c>
      <c r="X8" s="47">
        <f>X2+X4</f>
        <v/>
      </c>
      <c r="Y8" s="47">
        <f>Y2+Y4</f>
        <v/>
      </c>
      <c r="Z8" s="47">
        <f>Z2+Z4</f>
        <v/>
      </c>
      <c r="AC8" s="16" t="n"/>
    </row>
    <row r="9" ht="15" customHeight="1" s="115">
      <c r="A9" s="42" t="inlineStr">
        <is>
          <t>Context info</t>
        </is>
      </c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C9" s="16" t="n"/>
    </row>
    <row r="10" ht="15" customHeight="1" s="115">
      <c r="A10" s="36" t="inlineStr">
        <is>
          <t>BlackBook LTV (Baseline 145%)</t>
        </is>
      </c>
      <c r="B10" s="81">
        <f>'Data Tables (Q)'!F17</f>
        <v/>
      </c>
      <c r="C10" s="81">
        <f>'Data Tables (Q)'!G17</f>
        <v/>
      </c>
      <c r="D10" s="81">
        <f>'Data Tables (Q)'!H17</f>
        <v/>
      </c>
      <c r="E10" s="81">
        <f>'Data Tables (Q)'!I17</f>
        <v/>
      </c>
      <c r="F10" s="81">
        <f>'Data Tables (Q)'!J17</f>
        <v/>
      </c>
      <c r="G10" s="81">
        <f>'Data Tables (Q)'!K17</f>
        <v/>
      </c>
      <c r="H10" s="81">
        <f>'Data Tables (Q)'!L17</f>
        <v/>
      </c>
      <c r="I10" s="81">
        <f>'Data Tables (Q)'!M17</f>
        <v/>
      </c>
      <c r="J10" s="81">
        <f>'Data Tables (Q)'!N17</f>
        <v/>
      </c>
      <c r="K10" s="81">
        <f>'Data Tables (Q)'!O17</f>
        <v/>
      </c>
      <c r="L10" s="81">
        <f>'Data Tables (Q)'!P17</f>
        <v/>
      </c>
      <c r="M10" s="81">
        <f>'Data Tables (Q)'!Q17</f>
        <v/>
      </c>
      <c r="N10" s="81">
        <f>'Data Tables (Q)'!R17</f>
        <v/>
      </c>
      <c r="O10" s="81">
        <f>'Data Tables (Q)'!S17</f>
        <v/>
      </c>
      <c r="P10" s="81">
        <f>'Data Tables (Q)'!T17</f>
        <v/>
      </c>
      <c r="Q10" s="81">
        <f>'Data Tables (Q)'!U17</f>
        <v/>
      </c>
      <c r="R10" s="81">
        <f>'Data Tables (Q)'!V17</f>
        <v/>
      </c>
      <c r="S10" s="81">
        <f>'Data Tables (Q)'!W17</f>
        <v/>
      </c>
      <c r="T10" s="81">
        <f>'Data Tables (Q)'!X17</f>
        <v/>
      </c>
      <c r="U10" s="81">
        <f>'Data Tables (Q)'!Y17</f>
        <v/>
      </c>
      <c r="V10" s="81">
        <f>'Data Tables (Q)'!Z17</f>
        <v/>
      </c>
      <c r="W10" s="81">
        <f>'Data Tables (Q)'!AA17</f>
        <v/>
      </c>
      <c r="X10" s="81">
        <f>'Data Tables (Q)'!AB17</f>
        <v/>
      </c>
      <c r="Y10" s="81">
        <f>'Data Tables (Q)'!AC17</f>
        <v/>
      </c>
      <c r="Z10" s="81">
        <f>'Data Tables (M)'!BS17*AC10+AB10*(1-AC10)</f>
        <v/>
      </c>
      <c r="AB10" s="44" t="n"/>
      <c r="AC10" s="17" t="n">
        <v>1</v>
      </c>
    </row>
    <row r="11" ht="15" customHeight="1" s="115">
      <c r="A11" s="37" t="inlineStr">
        <is>
          <t>Origination MMI</t>
        </is>
      </c>
      <c r="B11" s="83" t="n">
        <v>156.6</v>
      </c>
      <c r="C11" s="83" t="n">
        <v>149.5</v>
      </c>
      <c r="D11" s="83" t="n">
        <v>178.6</v>
      </c>
      <c r="E11" s="83" t="n">
        <v>176.8</v>
      </c>
      <c r="F11" s="83" t="n">
        <v>183.6</v>
      </c>
      <c r="G11" s="83" t="n">
        <v>218.6</v>
      </c>
      <c r="H11" s="83" t="n">
        <v>217</v>
      </c>
      <c r="I11" s="83" t="n">
        <v>252.9</v>
      </c>
      <c r="J11" s="83" t="n">
        <v>243.1</v>
      </c>
      <c r="K11" s="83" t="n">
        <v>245.1</v>
      </c>
      <c r="L11" s="83" t="n">
        <v>229.8</v>
      </c>
      <c r="M11" s="83" t="n">
        <v>221.6</v>
      </c>
      <c r="N11" s="83" t="n">
        <v>229.4</v>
      </c>
      <c r="O11" s="83" t="n">
        <v>224.9</v>
      </c>
      <c r="P11" s="83" t="n">
        <v>212.6</v>
      </c>
      <c r="Q11" s="83" t="n">
        <v>204.9</v>
      </c>
      <c r="R11" s="98" t="n">
        <v>204.2</v>
      </c>
      <c r="S11" s="98" t="n">
        <v>199.2</v>
      </c>
      <c r="T11" s="83" t="n">
        <v>202.8</v>
      </c>
      <c r="U11" s="83" t="n">
        <v>203.3</v>
      </c>
      <c r="V11" s="98" t="n"/>
      <c r="W11" s="98" t="n">
        <v>202.6</v>
      </c>
      <c r="X11" s="98" t="n"/>
      <c r="Y11" s="98" t="n"/>
      <c r="Z11" s="84" t="n">
        <v>203</v>
      </c>
    </row>
    <row r="12" ht="15" customHeight="1" s="115">
      <c r="A12" s="43" t="inlineStr">
        <is>
          <t>MMI Impact⁵</t>
        </is>
      </c>
      <c r="B12" s="82" t="n">
        <v>0.2445606772966977</v>
      </c>
      <c r="C12" s="82" t="n">
        <v>0.3305915577819472</v>
      </c>
      <c r="D12" s="82" t="n">
        <v>0.1173819506419207</v>
      </c>
      <c r="E12" s="82" t="n">
        <v>0.1696002460025463</v>
      </c>
      <c r="F12" s="82" t="n">
        <v>0.133234561472402</v>
      </c>
      <c r="G12" s="82" t="n">
        <v>-0.04256145116699095</v>
      </c>
      <c r="H12" s="82" t="n">
        <v>-0.04124633316694015</v>
      </c>
      <c r="I12" s="82" t="n">
        <v>-0.1891344418113166</v>
      </c>
      <c r="J12" s="82" t="n">
        <v>-0.1670646309580199</v>
      </c>
      <c r="K12" s="82" t="n">
        <v>-0.1889941003651481</v>
      </c>
      <c r="L12" s="82" t="n">
        <v>-0.1447923046282268</v>
      </c>
      <c r="M12" s="82" t="n">
        <v>-0.1246166443921025</v>
      </c>
      <c r="N12" s="82" t="n">
        <v>-0.1640089407962717</v>
      </c>
      <c r="O12" s="82" t="n">
        <v>-0.1514175576374736</v>
      </c>
      <c r="P12" s="82" t="n">
        <v>-0.104853189713884</v>
      </c>
      <c r="Q12" s="82" t="n">
        <v>-0.07029660558684203</v>
      </c>
      <c r="R12" s="82" t="n">
        <v>-0.0642079923362191</v>
      </c>
      <c r="S12" s="82" t="n">
        <v>-0.03712872446878257</v>
      </c>
      <c r="T12" s="82" t="n">
        <v>-0.03</v>
      </c>
      <c r="U12" s="82" t="n">
        <v>-0.03</v>
      </c>
      <c r="V12" s="82" t="n">
        <v>-0.03</v>
      </c>
      <c r="W12" s="82" t="n">
        <v>-0.0156039306186341</v>
      </c>
      <c r="X12" s="82" t="n"/>
      <c r="Y12" s="82" t="n"/>
      <c r="Z12" s="82" t="n">
        <v>-0.03</v>
      </c>
    </row>
    <row r="13" ht="15" customHeight="1" s="115">
      <c r="A13" s="38" t="inlineStr">
        <is>
          <t>Adjustment to RAGU Score from MMI</t>
        </is>
      </c>
      <c r="B13" s="85">
        <f>B12/10%*1.7</f>
        <v/>
      </c>
      <c r="C13" s="85">
        <f>C12/10%*1.7</f>
        <v/>
      </c>
      <c r="D13" s="85">
        <f>D12/10%*1.7</f>
        <v/>
      </c>
      <c r="E13" s="85">
        <f>E12/10%*1.7</f>
        <v/>
      </c>
      <c r="F13" s="85">
        <f>F12/10%*1.7</f>
        <v/>
      </c>
      <c r="G13" s="85">
        <f>G12/10%*1.7</f>
        <v/>
      </c>
      <c r="H13" s="85">
        <f>H12/10%*1.7</f>
        <v/>
      </c>
      <c r="I13" s="85">
        <f>I12/10%*1.7</f>
        <v/>
      </c>
      <c r="J13" s="85">
        <f>J12/10%*1.7</f>
        <v/>
      </c>
      <c r="K13" s="85">
        <f>K12/10%*1.7</f>
        <v/>
      </c>
      <c r="L13" s="85">
        <f>L12/10%*1.7</f>
        <v/>
      </c>
      <c r="M13" s="85">
        <f>M12/10%*1.7</f>
        <v/>
      </c>
      <c r="N13" s="85">
        <f>N12/10%*1.7</f>
        <v/>
      </c>
      <c r="O13" s="85">
        <f>O12/10%*1.7</f>
        <v/>
      </c>
      <c r="P13" s="85">
        <f>P12/10%*1.7</f>
        <v/>
      </c>
      <c r="Q13" s="85">
        <f>Q12/10%*1.7</f>
        <v/>
      </c>
      <c r="R13" s="85">
        <f>R12/10%*1.7</f>
        <v/>
      </c>
      <c r="S13" s="85">
        <f>S12/10%*1.7</f>
        <v/>
      </c>
      <c r="T13" s="85">
        <f>T12/10%*1.7</f>
        <v/>
      </c>
      <c r="U13" s="85">
        <f>U12/10%*1.7</f>
        <v/>
      </c>
      <c r="V13" s="85">
        <f>V12/10%*1.7</f>
        <v/>
      </c>
      <c r="W13" s="85">
        <f>W12/10%*1.7</f>
        <v/>
      </c>
      <c r="X13" s="85" t="n"/>
      <c r="Y13" s="85" t="n"/>
      <c r="Z13" s="85">
        <f>Z12/10%*1.7</f>
        <v/>
      </c>
    </row>
    <row r="14" ht="15" customHeight="1" s="115">
      <c r="A14" s="36" t="inlineStr">
        <is>
          <t>RAGU Score (adjusted for MMI)</t>
        </is>
      </c>
      <c r="B14" s="87">
        <f>B7+B13</f>
        <v/>
      </c>
      <c r="C14" s="87">
        <f>C7+C13</f>
        <v/>
      </c>
      <c r="D14" s="87">
        <f>D7+D13</f>
        <v/>
      </c>
      <c r="E14" s="87">
        <f>E7+E13</f>
        <v/>
      </c>
      <c r="F14" s="87">
        <f>F7+F13</f>
        <v/>
      </c>
      <c r="G14" s="87">
        <f>G7+G13</f>
        <v/>
      </c>
      <c r="H14" s="87">
        <f>H7+H13</f>
        <v/>
      </c>
      <c r="I14" s="87">
        <f>I7+I13</f>
        <v/>
      </c>
      <c r="J14" s="87">
        <f>J7+J13</f>
        <v/>
      </c>
      <c r="K14" s="87">
        <f>K7+K13</f>
        <v/>
      </c>
      <c r="L14" s="87">
        <f>L7+L13</f>
        <v/>
      </c>
      <c r="M14" s="87">
        <f>M7+M13</f>
        <v/>
      </c>
      <c r="N14" s="87">
        <f>N7+N13</f>
        <v/>
      </c>
      <c r="O14" s="87">
        <f>O7+O13</f>
        <v/>
      </c>
      <c r="P14" s="87">
        <f>P7+P13</f>
        <v/>
      </c>
      <c r="Q14" s="87">
        <f>Q7+Q13</f>
        <v/>
      </c>
      <c r="R14" s="87">
        <f>R7+R13</f>
        <v/>
      </c>
      <c r="S14" s="87">
        <f>S7+S13</f>
        <v/>
      </c>
      <c r="T14" s="87">
        <f>T7+T13</f>
        <v/>
      </c>
      <c r="U14" s="87">
        <f>U7+U13</f>
        <v/>
      </c>
      <c r="V14" s="87">
        <f>V7+V13</f>
        <v/>
      </c>
      <c r="W14" s="87">
        <f>W7+W13</f>
        <v/>
      </c>
      <c r="X14" s="87" t="n"/>
      <c r="Y14" s="87" t="n"/>
      <c r="Z14" s="87">
        <f>Z7+Z13</f>
        <v/>
      </c>
    </row>
    <row r="15" ht="15" customHeight="1" s="115">
      <c r="A15" s="38" t="inlineStr">
        <is>
          <t>t_c CNL⁶</t>
        </is>
      </c>
      <c r="B15" s="20" t="n">
        <v>0.1348320560148556</v>
      </c>
      <c r="C15" s="20" t="n">
        <v>0.1320097247676442</v>
      </c>
      <c r="D15" s="20" t="n">
        <v>0.1538128909372525</v>
      </c>
      <c r="E15" s="20" t="n">
        <v>0.1304225545684334</v>
      </c>
      <c r="F15" s="20" t="n">
        <v>0.172258169388918</v>
      </c>
      <c r="G15" s="20" t="n">
        <v>0.2082193638418247</v>
      </c>
      <c r="H15" s="20" t="n">
        <v>0.2509038470696689</v>
      </c>
      <c r="I15" s="20" t="n">
        <v>0.2675927565273859</v>
      </c>
      <c r="J15" s="20" t="n">
        <v>0.3241867569688448</v>
      </c>
      <c r="K15" s="20" t="n">
        <v>0.3144063746553535</v>
      </c>
      <c r="L15" s="20" t="n">
        <v>0.2974342953114296</v>
      </c>
      <c r="M15" s="20" t="n">
        <v>0.2846673361740959</v>
      </c>
      <c r="N15" s="20" t="n">
        <v>0.267560602731356</v>
      </c>
      <c r="O15" s="20" t="n"/>
      <c r="P15" s="20" t="n"/>
      <c r="Q15" s="54" t="n"/>
      <c r="R15" s="54" t="n"/>
      <c r="S15" s="54" t="n"/>
      <c r="T15" s="20" t="n"/>
      <c r="U15" s="54" t="n"/>
      <c r="V15" s="54" t="n"/>
      <c r="W15" s="54" t="n"/>
      <c r="X15" s="54" t="n"/>
      <c r="Y15" s="54" t="n"/>
      <c r="Z15" s="95" t="n"/>
    </row>
    <row r="16" ht="15" customHeight="1" s="115">
      <c r="A16" s="36" t="inlineStr">
        <is>
          <t>Implied t-1 CNL</t>
        </is>
      </c>
      <c r="B16" s="19">
        <f>B15-($Z$14-B14)*1%</f>
        <v/>
      </c>
      <c r="C16" s="19">
        <f>C15-($Z$14-C14)*1%</f>
        <v/>
      </c>
      <c r="D16" s="19">
        <f>D15-($Z$14-D14)*1%</f>
        <v/>
      </c>
      <c r="E16" s="19">
        <f>E15-($Z$14-E14)*1%</f>
        <v/>
      </c>
      <c r="F16" s="19">
        <f>F15-($Z$14-F14)*1%</f>
        <v/>
      </c>
      <c r="G16" s="19">
        <f>G15-($Z$14-G14)*1%</f>
        <v/>
      </c>
      <c r="H16" s="19">
        <f>H15-($Z$14-H14)*1%</f>
        <v/>
      </c>
      <c r="I16" s="19">
        <f>I15-($Z$14-I14)*1%</f>
        <v/>
      </c>
      <c r="J16" s="19">
        <f>J15-($Z$14-J14)*1%</f>
        <v/>
      </c>
      <c r="K16" s="19">
        <f>K15-($Z$14-K14)*1%</f>
        <v/>
      </c>
      <c r="L16" s="19">
        <f>L15-($Z$14-L14)*1%</f>
        <v/>
      </c>
      <c r="M16" s="19">
        <f>M15-($Z$14-M14)*1%</f>
        <v/>
      </c>
      <c r="N16" s="19">
        <f>N15-($Z$14-N14)*1%</f>
        <v/>
      </c>
      <c r="O16" s="19" t="n"/>
      <c r="P16" s="19" t="n"/>
      <c r="Q16" s="88" t="n"/>
      <c r="R16" s="88" t="n"/>
      <c r="S16" s="88" t="n"/>
      <c r="T16" s="19" t="n"/>
      <c r="U16" s="88" t="n"/>
      <c r="V16" s="88" t="n"/>
      <c r="W16" s="88" t="n"/>
      <c r="X16" s="88" t="n"/>
      <c r="Y16" s="88" t="n"/>
      <c r="Z16" s="89" t="n">
        <v>0.2378</v>
      </c>
      <c r="AA16" s="96" t="n"/>
      <c r="AB16" s="96" t="n"/>
    </row>
    <row r="17" ht="15" customHeight="1" s="115">
      <c r="Z17" s="96" t="n"/>
      <c r="AA17" s="96" t="n"/>
      <c r="AB17" s="96" t="n"/>
    </row>
    <row r="19" ht="15" customHeight="1" s="115">
      <c r="A19" s="50" t="inlineStr">
        <is>
          <t>1:</t>
        </is>
      </c>
      <c r="B19" s="51" t="inlineStr">
        <is>
          <t>Model Score excludes buybacks and high amount financed.</t>
        </is>
      </c>
    </row>
    <row r="20" ht="15" customHeight="1" s="115">
      <c r="A20" s="50" t="inlineStr">
        <is>
          <t>2:</t>
        </is>
      </c>
      <c r="B20" s="51" t="inlineStr">
        <is>
          <t>We are currently working with Pricing to determine how to use FRN3.1 scores, there are large discrepancies between model scores as booked and FRN3.1 due to what might be centering issues.</t>
        </is>
      </c>
    </row>
    <row r="21" ht="15" customHeight="1" s="115">
      <c r="A21" s="50" t="inlineStr">
        <is>
          <t>3:</t>
        </is>
      </c>
      <c r="B21" s="51" t="inlineStr">
        <is>
          <t>Biggest impacts to Gross Loss Adjustments are Dealer Level, weekday/weekend decision, and high mileage classification.</t>
        </is>
      </c>
    </row>
    <row r="22" ht="15" customHeight="1" s="115">
      <c r="A22" s="50" t="n"/>
      <c r="B22" s="51" t="inlineStr">
        <is>
          <t>See Appendix for details on other factors</t>
        </is>
      </c>
    </row>
    <row r="23" ht="15" customHeight="1" s="115">
      <c r="A23" s="50" t="inlineStr">
        <is>
          <t>4:</t>
        </is>
      </c>
      <c r="B23" s="51" t="inlineStr">
        <is>
          <t>Biggest impacts to Recovery Adjustments are mileage/age, impound probability, and vehicle class.</t>
        </is>
      </c>
    </row>
    <row r="24" ht="15" customHeight="1" s="115">
      <c r="A24" s="50" t="inlineStr">
        <is>
          <t>5:</t>
        </is>
      </c>
      <c r="B24" s="51" t="inlineStr">
        <is>
          <t>LTV adjustments are made using the 10% LTV improvement-&gt;170bps to CNL heuristic, based on BlackBook LTV values.</t>
        </is>
      </c>
    </row>
    <row r="25" ht="15" customHeight="1" s="115">
      <c r="A25" s="50" t="inlineStr">
        <is>
          <t>6:</t>
        </is>
      </c>
      <c r="B25" s="51" t="inlineStr">
        <is>
          <t>MMI uses adjusted index (2019 seasonality). The MMI Impact compares the actual MMI to a 3% annual growth.</t>
        </is>
      </c>
    </row>
    <row r="26" ht="15" customHeight="1" s="115">
      <c r="A26" s="50" t="n"/>
      <c r="B26" s="51" t="inlineStr">
        <is>
          <t>A positive impact of X% means sold recovery will be X% better.</t>
        </is>
      </c>
    </row>
    <row r="27" ht="15" customHeight="1" s="115">
      <c r="A27" s="50" t="inlineStr">
        <is>
          <t>7:</t>
        </is>
      </c>
      <c r="B27" s="51" t="inlineStr">
        <is>
          <t>tc CNL uses UGLY Model projections, and 2023 Q1 blends 75% UGLY Model with 25% Loss Committee.</t>
        </is>
      </c>
    </row>
  </sheetData>
  <mergeCells count="2">
    <mergeCell ref="AD1:AE1"/>
    <mergeCell ref="AD2:AE2"/>
  </mergeCells>
  <pageMargins left="0.7" right="0.7" top="0.75" bottom="0.75" header="0.3" footer="0.3"/>
  <pageSetup orientation="portrait" horizontalDpi="204" verticalDpi="192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31"/>
  <sheetViews>
    <sheetView zoomScale="160" zoomScaleNormal="160" workbookViewId="0">
      <selection activeCell="N7" sqref="N7:Y7"/>
    </sheetView>
  </sheetViews>
  <sheetFormatPr baseColWidth="8" defaultColWidth="9.1796875" defaultRowHeight="15" customHeight="1"/>
  <cols>
    <col width="25" customWidth="1" style="41" min="1" max="1"/>
    <col width="5.26953125" customWidth="1" style="41" min="2" max="26"/>
    <col width="9.1796875" customWidth="1" style="41" min="27" max="73"/>
    <col width="9.1796875" customWidth="1" style="41" min="74" max="16384"/>
  </cols>
  <sheetData>
    <row r="1" ht="30" customHeight="1" s="115">
      <c r="A1" s="35" t="inlineStr">
        <is>
          <t>ENT</t>
        </is>
      </c>
      <c r="B1" s="28" t="inlineStr">
        <is>
          <t>2020 Q1</t>
        </is>
      </c>
      <c r="C1" s="28" t="inlineStr">
        <is>
          <t>2020 Q2</t>
        </is>
      </c>
      <c r="D1" s="28" t="inlineStr">
        <is>
          <t>2020 Q3</t>
        </is>
      </c>
      <c r="E1" s="28" t="inlineStr">
        <is>
          <t>2020 Q4</t>
        </is>
      </c>
      <c r="F1" s="28" t="inlineStr">
        <is>
          <t>2021 Q1</t>
        </is>
      </c>
      <c r="G1" s="28" t="inlineStr">
        <is>
          <t>2021 Q2</t>
        </is>
      </c>
      <c r="H1" s="28" t="inlineStr">
        <is>
          <t>2021 Q3</t>
        </is>
      </c>
      <c r="I1" s="28" t="inlineStr">
        <is>
          <t>2021 Q4</t>
        </is>
      </c>
      <c r="J1" s="28" t="inlineStr">
        <is>
          <t>2022 Q1</t>
        </is>
      </c>
      <c r="K1" s="28" t="inlineStr">
        <is>
          <t>2022 Q2</t>
        </is>
      </c>
      <c r="L1" s="28" t="inlineStr">
        <is>
          <t>2022 Q3</t>
        </is>
      </c>
      <c r="M1" s="28" t="inlineStr">
        <is>
          <t>2022 Q4</t>
        </is>
      </c>
      <c r="N1" s="28" t="inlineStr">
        <is>
          <t>2023 Q1</t>
        </is>
      </c>
      <c r="O1" s="28" t="inlineStr">
        <is>
          <t>2023 Q2</t>
        </is>
      </c>
      <c r="P1" s="28" t="inlineStr">
        <is>
          <t>2023 Q3</t>
        </is>
      </c>
      <c r="Q1" s="28" t="inlineStr">
        <is>
          <t>2023 Q4</t>
        </is>
      </c>
      <c r="R1" s="28" t="inlineStr">
        <is>
          <t>2024 Q1</t>
        </is>
      </c>
      <c r="S1" s="28" t="inlineStr">
        <is>
          <t>2024 Q2</t>
        </is>
      </c>
      <c r="T1" s="28" t="inlineStr">
        <is>
          <t>2024 Q3</t>
        </is>
      </c>
      <c r="U1" s="28" t="inlineStr">
        <is>
          <t>2024 Q4</t>
        </is>
      </c>
      <c r="V1" s="28" t="inlineStr">
        <is>
          <t>2025 Q1</t>
        </is>
      </c>
      <c r="W1" s="28" t="inlineStr">
        <is>
          <t>2025 Q2</t>
        </is>
      </c>
      <c r="X1" s="28" t="inlineStr">
        <is>
          <t>2025 Q3</t>
        </is>
      </c>
      <c r="Y1" s="28" t="inlineStr">
        <is>
          <t>2025 Q4</t>
        </is>
      </c>
      <c r="Z1" s="28" t="inlineStr">
        <is>
          <t>t-1</t>
        </is>
      </c>
      <c r="AB1" s="28" t="inlineStr">
        <is>
          <t>t-1 manual input</t>
        </is>
      </c>
      <c r="AC1" s="79" t="inlineStr">
        <is>
          <t>Use Recent Month?</t>
        </is>
      </c>
      <c r="AD1" s="134" t="inlineStr">
        <is>
          <t>Use Reassessed Model Score?</t>
        </is>
      </c>
      <c r="AE1" s="135" t="n"/>
    </row>
    <row r="2" ht="15" customHeight="1" s="115" thickBot="1">
      <c r="A2" s="38" t="inlineStr">
        <is>
          <t>Contract Model Score¹</t>
        </is>
      </c>
      <c r="B2" s="12">
        <f>'Data Tables (Q)'!F38</f>
        <v/>
      </c>
      <c r="C2" s="12">
        <f>'Data Tables (Q)'!G38</f>
        <v/>
      </c>
      <c r="D2" s="12">
        <f>'Data Tables (Q)'!H38</f>
        <v/>
      </c>
      <c r="E2" s="12">
        <f>'Data Tables (Q)'!I38</f>
        <v/>
      </c>
      <c r="F2" s="12">
        <f>'Data Tables (Q)'!J38</f>
        <v/>
      </c>
      <c r="G2" s="12">
        <f>'Data Tables (Q)'!K38</f>
        <v/>
      </c>
      <c r="H2" s="12">
        <f>'Data Tables (Q)'!L38</f>
        <v/>
      </c>
      <c r="I2" s="12">
        <f>'Data Tables (Q)'!M38</f>
        <v/>
      </c>
      <c r="J2" s="12">
        <f>'Data Tables (Q)'!N38</f>
        <v/>
      </c>
      <c r="K2" s="12">
        <f>'Data Tables (Q)'!O38</f>
        <v/>
      </c>
      <c r="L2" s="12">
        <f>'Data Tables (Q)'!P38</f>
        <v/>
      </c>
      <c r="M2" s="12">
        <f>'Data Tables (Q)'!Q38</f>
        <v/>
      </c>
      <c r="N2" s="12">
        <f>'Data Tables (Q)'!R38</f>
        <v/>
      </c>
      <c r="O2" s="12">
        <f>'Data Tables (Q)'!S38</f>
        <v/>
      </c>
      <c r="P2" s="12">
        <f>'Data Tables (Q)'!T38</f>
        <v/>
      </c>
      <c r="Q2" s="12">
        <f>'Data Tables (Q)'!U38</f>
        <v/>
      </c>
      <c r="R2" s="12">
        <f>'Data Tables (Q)'!V38</f>
        <v/>
      </c>
      <c r="S2" s="12">
        <f>'Data Tables (Q)'!W38</f>
        <v/>
      </c>
      <c r="T2" s="12">
        <f>'Data Tables (Q)'!X38</f>
        <v/>
      </c>
      <c r="U2" s="12">
        <f>'Data Tables (Q)'!Y38</f>
        <v/>
      </c>
      <c r="V2" s="12">
        <f>'Data Tables (Q)'!Z38</f>
        <v/>
      </c>
      <c r="W2" s="12">
        <f>'Data Tables (Q)'!AA38</f>
        <v/>
      </c>
      <c r="X2" s="12">
        <f>'Data Tables (Q)'!AB38</f>
        <v/>
      </c>
      <c r="Y2" s="12">
        <f>'Data Tables (Q)'!AC38</f>
        <v/>
      </c>
      <c r="Z2" s="12">
        <f>'Data Tables (M)'!BS38*AC2+AB2*(1-AC2)</f>
        <v/>
      </c>
      <c r="AB2" s="80">
        <f>'t-1 Data Table'!N3</f>
        <v/>
      </c>
      <c r="AC2" s="75" t="n">
        <v>1</v>
      </c>
      <c r="AD2" s="132" t="n">
        <v>0</v>
      </c>
      <c r="AE2" s="133" t="n"/>
    </row>
    <row r="3" hidden="1" ht="15" customHeight="1" s="115">
      <c r="A3" s="43" t="inlineStr">
        <is>
          <t>Shift to FRN 3.1 Score²</t>
        </is>
      </c>
      <c r="B3" s="13">
        <f>'Data Tables (Q)'!F39*AD2</f>
        <v/>
      </c>
      <c r="C3" s="13">
        <f>'Data Tables (Q)'!G39*AE2</f>
        <v/>
      </c>
      <c r="D3" s="13">
        <f>'Data Tables (Q)'!H39*AF2</f>
        <v/>
      </c>
      <c r="E3" s="13">
        <f>'Data Tables (Q)'!I39*AG2</f>
        <v/>
      </c>
      <c r="F3" s="13">
        <f>'Data Tables (Q)'!J39*AH2</f>
        <v/>
      </c>
      <c r="G3" s="13">
        <f>'Data Tables (Q)'!K39*AI2</f>
        <v/>
      </c>
      <c r="H3" s="13">
        <f>'Data Tables (Q)'!L39*AJ2</f>
        <v/>
      </c>
      <c r="I3" s="13">
        <f>'Data Tables (Q)'!M39*AK2</f>
        <v/>
      </c>
      <c r="J3" s="13">
        <f>'Data Tables (Q)'!N39*AL2</f>
        <v/>
      </c>
      <c r="K3" s="13">
        <f>'Data Tables (Q)'!O39*AM2</f>
        <v/>
      </c>
      <c r="L3" s="13">
        <f>'Data Tables (Q)'!P39*AN2</f>
        <v/>
      </c>
      <c r="M3" s="13">
        <f>'Data Tables (Q)'!Q39*AO2</f>
        <v/>
      </c>
      <c r="N3" s="13">
        <f>'Data Tables (Q)'!R39*AP2</f>
        <v/>
      </c>
      <c r="O3" s="13">
        <f>'Data Tables (Q)'!S39*AQ2</f>
        <v/>
      </c>
      <c r="P3" s="13">
        <f>'Data Tables (Q)'!T39*AR2</f>
        <v/>
      </c>
      <c r="Q3" s="13">
        <f>'Data Tables (Q)'!U39*AS2</f>
        <v/>
      </c>
      <c r="R3" s="13" t="n"/>
      <c r="S3" s="13" t="n"/>
      <c r="T3" s="13">
        <f>'Data Tables (Q)'!X39*AV2</f>
        <v/>
      </c>
      <c r="U3" s="13">
        <f>'Data Tables (Q)'!Y39*AW2</f>
        <v/>
      </c>
      <c r="V3" s="13">
        <f>'Data Tables (Q)'!Z39*AX2</f>
        <v/>
      </c>
      <c r="W3" s="13" t="n"/>
      <c r="X3" s="13" t="n"/>
      <c r="Y3" s="13" t="n"/>
      <c r="Z3" s="13">
        <f>('Data Tables (M)'!BS39*AC3+AB3*(1-AC3))*$AD$2</f>
        <v/>
      </c>
      <c r="AB3" s="97" t="n">
        <v>0</v>
      </c>
      <c r="AC3" s="17" t="n">
        <v>1</v>
      </c>
    </row>
    <row r="4" ht="30" customHeight="1" s="115">
      <c r="A4" s="36" t="inlineStr">
        <is>
          <t>Gross Loss Adjustments (Dealer Level, vehicle age, etc.)²</t>
        </is>
      </c>
      <c r="B4" s="13">
        <f>'Data Tables (Q)'!F40</f>
        <v/>
      </c>
      <c r="C4" s="13">
        <f>'Data Tables (Q)'!G40</f>
        <v/>
      </c>
      <c r="D4" s="13">
        <f>'Data Tables (Q)'!H40</f>
        <v/>
      </c>
      <c r="E4" s="13">
        <f>'Data Tables (Q)'!I40</f>
        <v/>
      </c>
      <c r="F4" s="13">
        <f>'Data Tables (Q)'!J40</f>
        <v/>
      </c>
      <c r="G4" s="13">
        <f>'Data Tables (Q)'!K40</f>
        <v/>
      </c>
      <c r="H4" s="13">
        <f>'Data Tables (Q)'!L40</f>
        <v/>
      </c>
      <c r="I4" s="13">
        <f>'Data Tables (Q)'!M40</f>
        <v/>
      </c>
      <c r="J4" s="13">
        <f>'Data Tables (Q)'!N40</f>
        <v/>
      </c>
      <c r="K4" s="13">
        <f>'Data Tables (Q)'!O40</f>
        <v/>
      </c>
      <c r="L4" s="13">
        <f>'Data Tables (Q)'!P40</f>
        <v/>
      </c>
      <c r="M4" s="13">
        <f>'Data Tables (Q)'!Q40</f>
        <v/>
      </c>
      <c r="N4" s="13">
        <f>'Data Tables (Q)'!R40</f>
        <v/>
      </c>
      <c r="O4" s="13">
        <f>'Data Tables (Q)'!S40</f>
        <v/>
      </c>
      <c r="P4" s="13">
        <f>'Data Tables (Q)'!T40</f>
        <v/>
      </c>
      <c r="Q4" s="13">
        <f>'Data Tables (Q)'!U40</f>
        <v/>
      </c>
      <c r="R4" s="13">
        <f>'Data Tables (Q)'!V40</f>
        <v/>
      </c>
      <c r="S4" s="13">
        <f>'Data Tables (Q)'!W40</f>
        <v/>
      </c>
      <c r="T4" s="13">
        <f>'Data Tables (Q)'!X40</f>
        <v/>
      </c>
      <c r="U4" s="13">
        <f>'Data Tables (Q)'!Y40</f>
        <v/>
      </c>
      <c r="V4" s="13">
        <f>'Data Tables (Q)'!Z40</f>
        <v/>
      </c>
      <c r="W4" s="13">
        <f>'Data Tables (Q)'!AA40</f>
        <v/>
      </c>
      <c r="X4" s="13">
        <f>'Data Tables (Q)'!AB40</f>
        <v/>
      </c>
      <c r="Y4" s="13">
        <f>'Data Tables (Q)'!AC40</f>
        <v/>
      </c>
      <c r="Z4" s="13">
        <f>'Data Tables (M)'!BS40*AC4+AB4*(1-AC$4)</f>
        <v/>
      </c>
      <c r="AB4" s="44" t="n"/>
      <c r="AC4" s="17" t="n">
        <v>1</v>
      </c>
    </row>
    <row r="5" ht="30" customHeight="1" s="115">
      <c r="A5" s="38" t="inlineStr">
        <is>
          <t>Recovery Adjustments excluding LTV (Mileage, LOB, etc.)³</t>
        </is>
      </c>
      <c r="B5" s="12">
        <f>'Data Tables (Q)'!F41</f>
        <v/>
      </c>
      <c r="C5" s="12">
        <f>'Data Tables (Q)'!G41</f>
        <v/>
      </c>
      <c r="D5" s="12">
        <f>'Data Tables (Q)'!H41</f>
        <v/>
      </c>
      <c r="E5" s="12">
        <f>'Data Tables (Q)'!I41</f>
        <v/>
      </c>
      <c r="F5" s="12">
        <f>'Data Tables (Q)'!J41</f>
        <v/>
      </c>
      <c r="G5" s="12">
        <f>'Data Tables (Q)'!K41</f>
        <v/>
      </c>
      <c r="H5" s="12">
        <f>'Data Tables (Q)'!L41</f>
        <v/>
      </c>
      <c r="I5" s="12">
        <f>'Data Tables (Q)'!M41</f>
        <v/>
      </c>
      <c r="J5" s="12">
        <f>'Data Tables (Q)'!N41</f>
        <v/>
      </c>
      <c r="K5" s="12">
        <f>'Data Tables (Q)'!O41</f>
        <v/>
      </c>
      <c r="L5" s="12">
        <f>'Data Tables (Q)'!P41</f>
        <v/>
      </c>
      <c r="M5" s="12">
        <f>'Data Tables (Q)'!Q41</f>
        <v/>
      </c>
      <c r="N5" s="12">
        <f>'Data Tables (Q)'!R41</f>
        <v/>
      </c>
      <c r="O5" s="12">
        <f>'Data Tables (Q)'!S41</f>
        <v/>
      </c>
      <c r="P5" s="12">
        <f>'Data Tables (Q)'!T41</f>
        <v/>
      </c>
      <c r="Q5" s="12">
        <f>'Data Tables (Q)'!U41</f>
        <v/>
      </c>
      <c r="R5" s="12">
        <f>'Data Tables (Q)'!V41</f>
        <v/>
      </c>
      <c r="S5" s="12">
        <f>'Data Tables (Q)'!W41</f>
        <v/>
      </c>
      <c r="T5" s="12">
        <f>'Data Tables (Q)'!X41</f>
        <v/>
      </c>
      <c r="U5" s="12">
        <f>'Data Tables (Q)'!Y41</f>
        <v/>
      </c>
      <c r="V5" s="12">
        <f>'Data Tables (Q)'!Z41</f>
        <v/>
      </c>
      <c r="W5" s="12">
        <f>'Data Tables (Q)'!AA41</f>
        <v/>
      </c>
      <c r="X5" s="12">
        <f>'Data Tables (Q)'!AB41</f>
        <v/>
      </c>
      <c r="Y5" s="12">
        <f>'Data Tables (Q)'!AC41</f>
        <v/>
      </c>
      <c r="Z5" s="12">
        <f>'Data Tables (M)'!BS41*AC5+AB5*(1-AC5)</f>
        <v/>
      </c>
      <c r="AB5" s="44" t="n"/>
      <c r="AC5" s="17" t="n">
        <v>1</v>
      </c>
    </row>
    <row r="6" ht="15" customHeight="1" s="115">
      <c r="A6" s="36" t="inlineStr">
        <is>
          <t>BBLTV Adjustments⁴</t>
        </is>
      </c>
      <c r="B6" s="13">
        <f>(145%/B10-1)/10%*1.7</f>
        <v/>
      </c>
      <c r="C6" s="13">
        <f>(145%/C10-1)/10%*1.7</f>
        <v/>
      </c>
      <c r="D6" s="13">
        <f>(145%/D10-1)/10%*1.7</f>
        <v/>
      </c>
      <c r="E6" s="13">
        <f>(145%/E10-1)/10%*1.7</f>
        <v/>
      </c>
      <c r="F6" s="13">
        <f>(145%/F10-1)/10%*1.7</f>
        <v/>
      </c>
      <c r="G6" s="13">
        <f>(145%/G10-1)/10%*1.7</f>
        <v/>
      </c>
      <c r="H6" s="13">
        <f>(145%/H10-1)/10%*1.7</f>
        <v/>
      </c>
      <c r="I6" s="13">
        <f>(145%/I10-1)/10%*1.7</f>
        <v/>
      </c>
      <c r="J6" s="13">
        <f>(145%/J10-1)/10%*1.7</f>
        <v/>
      </c>
      <c r="K6" s="13">
        <f>(145%/K10-1)/10%*1.7</f>
        <v/>
      </c>
      <c r="L6" s="13">
        <f>(145%/L10-1)/10%*1.7</f>
        <v/>
      </c>
      <c r="M6" s="13">
        <f>(145%/M10-1)/10%*1.7</f>
        <v/>
      </c>
      <c r="N6" s="13">
        <f>(145%/N10-1)/10%*1.7</f>
        <v/>
      </c>
      <c r="O6" s="13">
        <f>(145%/O10-1)/10%*1.7</f>
        <v/>
      </c>
      <c r="P6" s="13">
        <f>(145%/P10-1)/10%*1.7</f>
        <v/>
      </c>
      <c r="Q6" s="13">
        <f>(145%/Q10-1)/10%*1.7</f>
        <v/>
      </c>
      <c r="R6" s="13">
        <f>(145%/R10-1)/10%*1.7</f>
        <v/>
      </c>
      <c r="S6" s="13">
        <f>(145%/S10-1)/10%*1.7</f>
        <v/>
      </c>
      <c r="T6" s="13">
        <f>(145%/T10-1)/10%*1.7</f>
        <v/>
      </c>
      <c r="U6" s="13">
        <f>(145%/U10-1)/10%*1.7</f>
        <v/>
      </c>
      <c r="V6" s="13">
        <f>(145%/V10-1)/10%*1.7</f>
        <v/>
      </c>
      <c r="W6" s="13">
        <f>(145%/W10-1)/10%*1.7</f>
        <v/>
      </c>
      <c r="X6" s="13">
        <f>(145%/X10-1)/10%*1.7</f>
        <v/>
      </c>
      <c r="Y6" s="13">
        <f>(145%/Y10-1)/10%*1.7</f>
        <v/>
      </c>
      <c r="Z6" s="13">
        <f>(145%/Z10-1)/10%*1.7</f>
        <v/>
      </c>
      <c r="AC6" s="16" t="n"/>
    </row>
    <row r="7" ht="15" customHeight="1" s="115">
      <c r="A7" s="38" t="inlineStr">
        <is>
          <t>RAGU Score</t>
        </is>
      </c>
      <c r="B7" s="12">
        <f>SUM(B2:B6)</f>
        <v/>
      </c>
      <c r="C7" s="12">
        <f>SUM(C2:C6)</f>
        <v/>
      </c>
      <c r="D7" s="12">
        <f>SUM(D2:D6)</f>
        <v/>
      </c>
      <c r="E7" s="12">
        <f>SUM(E2:E6)</f>
        <v/>
      </c>
      <c r="F7" s="12">
        <f>SUM(F2:F6)</f>
        <v/>
      </c>
      <c r="G7" s="12">
        <f>SUM(G2:G6)</f>
        <v/>
      </c>
      <c r="H7" s="12">
        <f>SUM(H2:H6)</f>
        <v/>
      </c>
      <c r="I7" s="12">
        <f>SUM(I2:I6)</f>
        <v/>
      </c>
      <c r="J7" s="12">
        <f>SUM(J2:J6)</f>
        <v/>
      </c>
      <c r="K7" s="12">
        <f>SUM(K2:K6)</f>
        <v/>
      </c>
      <c r="L7" s="12">
        <f>SUM(L2:L6)</f>
        <v/>
      </c>
      <c r="M7" s="12">
        <f>SUM(M2:M6)</f>
        <v/>
      </c>
      <c r="N7" s="12">
        <f>SUM(N2:N6)</f>
        <v/>
      </c>
      <c r="O7" s="12">
        <f>SUM(O2:O6)</f>
        <v/>
      </c>
      <c r="P7" s="12">
        <f>SUM(P2:P6)</f>
        <v/>
      </c>
      <c r="Q7" s="12">
        <f>SUM(Q2:Q6)</f>
        <v/>
      </c>
      <c r="R7" s="12">
        <f>SUM(R2:R6)</f>
        <v/>
      </c>
      <c r="S7" s="12">
        <f>SUM(S2:S6)</f>
        <v/>
      </c>
      <c r="T7" s="12">
        <f>SUM(T2:T6)</f>
        <v/>
      </c>
      <c r="U7" s="12">
        <f>SUM(U2:U6)</f>
        <v/>
      </c>
      <c r="V7" s="12">
        <f>SUM(V2:V6)</f>
        <v/>
      </c>
      <c r="W7" s="12">
        <f>SUM(W2:W6)</f>
        <v/>
      </c>
      <c r="X7" s="12">
        <f>SUM(X2:X6)</f>
        <v/>
      </c>
      <c r="Y7" s="12">
        <f>SUM(Y2:Y6)</f>
        <v/>
      </c>
      <c r="Z7" s="12">
        <f>SUM(Z2:Z6)</f>
        <v/>
      </c>
      <c r="AC7" s="16" t="n"/>
    </row>
    <row r="8" ht="15" customHeight="1" s="115">
      <c r="A8" s="40" t="n"/>
      <c r="B8" s="47">
        <f>B2+B4</f>
        <v/>
      </c>
      <c r="C8" s="47">
        <f>C2+C4</f>
        <v/>
      </c>
      <c r="D8" s="47">
        <f>D2+D4</f>
        <v/>
      </c>
      <c r="E8" s="47">
        <f>E2+E4</f>
        <v/>
      </c>
      <c r="F8" s="47">
        <f>F2+F4</f>
        <v/>
      </c>
      <c r="G8" s="47">
        <f>G2+G4</f>
        <v/>
      </c>
      <c r="H8" s="47">
        <f>H2+H4</f>
        <v/>
      </c>
      <c r="I8" s="47">
        <f>I2+I4</f>
        <v/>
      </c>
      <c r="J8" s="47">
        <f>J2+J4</f>
        <v/>
      </c>
      <c r="K8" s="47">
        <f>K2+K4</f>
        <v/>
      </c>
      <c r="L8" s="47">
        <f>L2+L4</f>
        <v/>
      </c>
      <c r="M8" s="47">
        <f>M2+M4</f>
        <v/>
      </c>
      <c r="N8" s="47">
        <f>N2+N4</f>
        <v/>
      </c>
      <c r="O8" s="47">
        <f>O2+O4</f>
        <v/>
      </c>
      <c r="P8" s="47">
        <f>P2+P4</f>
        <v/>
      </c>
      <c r="Q8" s="47">
        <f>Q2+Q4</f>
        <v/>
      </c>
      <c r="R8" s="47">
        <f>R2+R4</f>
        <v/>
      </c>
      <c r="S8" s="47">
        <f>S2+S4</f>
        <v/>
      </c>
      <c r="T8" s="47">
        <f>T2+T4</f>
        <v/>
      </c>
      <c r="U8" s="47">
        <f>U2+U4</f>
        <v/>
      </c>
      <c r="V8" s="47">
        <f>V2+V4</f>
        <v/>
      </c>
      <c r="W8" s="47">
        <f>W2+W4</f>
        <v/>
      </c>
      <c r="X8" s="47">
        <f>X2+X4</f>
        <v/>
      </c>
      <c r="Y8" s="47">
        <f>Y2+Y4</f>
        <v/>
      </c>
      <c r="Z8" s="47">
        <f>Z2+Z4</f>
        <v/>
      </c>
      <c r="AC8" s="16" t="n"/>
    </row>
    <row r="9" ht="15" customHeight="1" s="115">
      <c r="A9" s="42" t="inlineStr">
        <is>
          <t>Context info</t>
        </is>
      </c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C9" s="16" t="n"/>
    </row>
    <row r="10" ht="15" customHeight="1" s="115">
      <c r="A10" s="36" t="inlineStr">
        <is>
          <t>BlackBook LTV (Baseline 145%)</t>
        </is>
      </c>
      <c r="B10" s="81">
        <f>'Data Tables (Q)'!F44</f>
        <v/>
      </c>
      <c r="C10" s="81">
        <f>'Data Tables (Q)'!G44</f>
        <v/>
      </c>
      <c r="D10" s="81">
        <f>'Data Tables (Q)'!H44</f>
        <v/>
      </c>
      <c r="E10" s="81">
        <f>'Data Tables (Q)'!I44</f>
        <v/>
      </c>
      <c r="F10" s="81">
        <f>'Data Tables (Q)'!J44</f>
        <v/>
      </c>
      <c r="G10" s="81">
        <f>'Data Tables (Q)'!K44</f>
        <v/>
      </c>
      <c r="H10" s="81">
        <f>'Data Tables (Q)'!L44</f>
        <v/>
      </c>
      <c r="I10" s="81">
        <f>'Data Tables (Q)'!M44</f>
        <v/>
      </c>
      <c r="J10" s="81">
        <f>'Data Tables (Q)'!N44</f>
        <v/>
      </c>
      <c r="K10" s="81">
        <f>'Data Tables (Q)'!O44</f>
        <v/>
      </c>
      <c r="L10" s="81">
        <f>'Data Tables (Q)'!P44</f>
        <v/>
      </c>
      <c r="M10" s="81">
        <f>'Data Tables (Q)'!Q44</f>
        <v/>
      </c>
      <c r="N10" s="81">
        <f>'Data Tables (Q)'!R44</f>
        <v/>
      </c>
      <c r="O10" s="81">
        <f>'Data Tables (Q)'!S44</f>
        <v/>
      </c>
      <c r="P10" s="81">
        <f>'Data Tables (Q)'!T44</f>
        <v/>
      </c>
      <c r="Q10" s="81">
        <f>'Data Tables (Q)'!U44</f>
        <v/>
      </c>
      <c r="R10" s="81">
        <f>'Data Tables (Q)'!V44</f>
        <v/>
      </c>
      <c r="S10" s="81">
        <f>'Data Tables (Q)'!W44</f>
        <v/>
      </c>
      <c r="T10" s="81">
        <f>'Data Tables (Q)'!X44</f>
        <v/>
      </c>
      <c r="U10" s="81">
        <f>'Data Tables (Q)'!Y44</f>
        <v/>
      </c>
      <c r="V10" s="81">
        <f>'Data Tables (Q)'!Z44</f>
        <v/>
      </c>
      <c r="W10" s="81">
        <f>'Data Tables (Q)'!AA44</f>
        <v/>
      </c>
      <c r="X10" s="81">
        <f>'Data Tables (Q)'!AB44</f>
        <v/>
      </c>
      <c r="Y10" s="81">
        <f>'Data Tables (Q)'!AC44</f>
        <v/>
      </c>
      <c r="Z10" s="81">
        <f>'Data Tables (M)'!BS44*AC10+AB10*(1-AC10)</f>
        <v/>
      </c>
      <c r="AB10" s="44" t="n"/>
      <c r="AC10" s="17" t="n">
        <v>1</v>
      </c>
    </row>
    <row r="11" ht="15" customHeight="1" s="115">
      <c r="A11" s="37" t="inlineStr">
        <is>
          <t>Origination MMI</t>
        </is>
      </c>
      <c r="B11" s="83" t="n">
        <v>156.6</v>
      </c>
      <c r="C11" s="83" t="n">
        <v>149.5</v>
      </c>
      <c r="D11" s="83" t="n">
        <v>178.6</v>
      </c>
      <c r="E11" s="83" t="n">
        <v>176.8</v>
      </c>
      <c r="F11" s="83" t="n">
        <v>183.6</v>
      </c>
      <c r="G11" s="83" t="n">
        <v>218.6</v>
      </c>
      <c r="H11" s="83" t="n">
        <v>217</v>
      </c>
      <c r="I11" s="83" t="n">
        <v>252.9</v>
      </c>
      <c r="J11" s="83" t="n">
        <v>243.1</v>
      </c>
      <c r="K11" s="83" t="n">
        <v>245.1</v>
      </c>
      <c r="L11" s="83" t="n">
        <v>229.8</v>
      </c>
      <c r="M11" s="83" t="n">
        <v>221.6</v>
      </c>
      <c r="N11" s="83" t="n">
        <v>229.4</v>
      </c>
      <c r="O11" s="83" t="n">
        <v>224.9</v>
      </c>
      <c r="P11" s="83" t="n">
        <v>212.6</v>
      </c>
      <c r="Q11" s="83" t="n">
        <v>204.9</v>
      </c>
      <c r="R11" s="98" t="n">
        <v>204.2</v>
      </c>
      <c r="S11" s="98" t="n">
        <v>199.2</v>
      </c>
      <c r="T11" s="83" t="n">
        <v>202.8</v>
      </c>
      <c r="U11" s="83" t="n">
        <v>203.3</v>
      </c>
      <c r="V11" s="98" t="n"/>
      <c r="W11" s="98" t="n">
        <v>202.6</v>
      </c>
      <c r="X11" s="98" t="n"/>
      <c r="Y11" s="98" t="n"/>
      <c r="Z11" s="84" t="n">
        <v>203</v>
      </c>
    </row>
    <row r="12" ht="15" customHeight="1" s="115">
      <c r="A12" s="43" t="inlineStr">
        <is>
          <t>MMI Impact⁵</t>
        </is>
      </c>
      <c r="B12" s="82" t="n">
        <v>0.2445606772966977</v>
      </c>
      <c r="C12" s="82" t="n">
        <v>0.3305915577819472</v>
      </c>
      <c r="D12" s="82" t="n">
        <v>0.1173819506419207</v>
      </c>
      <c r="E12" s="82" t="n">
        <v>0.1696002460025463</v>
      </c>
      <c r="F12" s="82" t="n">
        <v>0.133234561472402</v>
      </c>
      <c r="G12" s="82" t="n">
        <v>-0.04256145116699095</v>
      </c>
      <c r="H12" s="82" t="n">
        <v>-0.04124633316694015</v>
      </c>
      <c r="I12" s="82" t="n">
        <v>-0.1891344418113166</v>
      </c>
      <c r="J12" s="82" t="n">
        <v>-0.1670646309580199</v>
      </c>
      <c r="K12" s="82" t="n">
        <v>-0.1889941003651481</v>
      </c>
      <c r="L12" s="82" t="n">
        <v>-0.1447923046282268</v>
      </c>
      <c r="M12" s="82" t="n">
        <v>-0.1246166443921025</v>
      </c>
      <c r="N12" s="82" t="n">
        <v>-0.1640089407962717</v>
      </c>
      <c r="O12" s="82" t="n">
        <v>-0.1514175576374736</v>
      </c>
      <c r="P12" s="82" t="n">
        <v>-0.104853189713884</v>
      </c>
      <c r="Q12" s="82" t="n">
        <v>-0.07029660558684203</v>
      </c>
      <c r="R12" s="82" t="n">
        <v>-0.0642079923362191</v>
      </c>
      <c r="S12" s="82" t="n">
        <v>-0.03712872446878257</v>
      </c>
      <c r="T12" s="82" t="n">
        <v>-0.03</v>
      </c>
      <c r="U12" s="82" t="n">
        <v>-0.03</v>
      </c>
      <c r="V12" s="82" t="n">
        <v>-0.03</v>
      </c>
      <c r="W12" s="82" t="n">
        <v>-0.0156039306186341</v>
      </c>
      <c r="X12" s="82" t="n"/>
      <c r="Y12" s="82" t="n"/>
      <c r="Z12" s="82" t="n">
        <v>-0.03</v>
      </c>
    </row>
    <row r="13" ht="15" customHeight="1" s="115">
      <c r="A13" s="38" t="inlineStr">
        <is>
          <t>Adjustment to RAGU Score from MMI</t>
        </is>
      </c>
      <c r="B13" s="85">
        <f>B12/10%*1.7</f>
        <v/>
      </c>
      <c r="C13" s="85">
        <f>C12/10%*1.7</f>
        <v/>
      </c>
      <c r="D13" s="85">
        <f>D12/10%*1.7</f>
        <v/>
      </c>
      <c r="E13" s="85">
        <f>E12/10%*1.7</f>
        <v/>
      </c>
      <c r="F13" s="85">
        <f>F12/10%*1.7</f>
        <v/>
      </c>
      <c r="G13" s="85">
        <f>G12/10%*1.7</f>
        <v/>
      </c>
      <c r="H13" s="85">
        <f>H12/10%*1.7</f>
        <v/>
      </c>
      <c r="I13" s="85">
        <f>I12/10%*1.7</f>
        <v/>
      </c>
      <c r="J13" s="85">
        <f>J12/10%*1.7</f>
        <v/>
      </c>
      <c r="K13" s="85">
        <f>K12/10%*1.7</f>
        <v/>
      </c>
      <c r="L13" s="85">
        <f>L12/10%*1.7</f>
        <v/>
      </c>
      <c r="M13" s="85">
        <f>M12/10%*1.7</f>
        <v/>
      </c>
      <c r="N13" s="85">
        <f>N12/10%*1.7</f>
        <v/>
      </c>
      <c r="O13" s="85">
        <f>O12/10%*1.7</f>
        <v/>
      </c>
      <c r="P13" s="85">
        <f>P12/10%*1.7</f>
        <v/>
      </c>
      <c r="Q13" s="85">
        <f>Q12/10%*1.7</f>
        <v/>
      </c>
      <c r="R13" s="85">
        <f>R12/10%*1.7</f>
        <v/>
      </c>
      <c r="S13" s="85">
        <f>S12/10%*1.7</f>
        <v/>
      </c>
      <c r="T13" s="85">
        <f>T12/10%*1.7</f>
        <v/>
      </c>
      <c r="U13" s="85">
        <f>U12/10%*1.7</f>
        <v/>
      </c>
      <c r="V13" s="85">
        <f>V12/10%*1.7</f>
        <v/>
      </c>
      <c r="W13" s="85">
        <f>W12/10%*1.7</f>
        <v/>
      </c>
      <c r="X13" s="85" t="n"/>
      <c r="Y13" s="85" t="n"/>
      <c r="Z13" s="85">
        <f>Z12/10%*1.7</f>
        <v/>
      </c>
    </row>
    <row r="14" ht="15" customHeight="1" s="115">
      <c r="A14" s="36" t="inlineStr">
        <is>
          <t>RAGU Score (adjusted for MMI)</t>
        </is>
      </c>
      <c r="B14" s="87">
        <f>B7+B13</f>
        <v/>
      </c>
      <c r="C14" s="87">
        <f>C7+C13</f>
        <v/>
      </c>
      <c r="D14" s="87">
        <f>D7+D13</f>
        <v/>
      </c>
      <c r="E14" s="87">
        <f>E7+E13</f>
        <v/>
      </c>
      <c r="F14" s="87">
        <f>F7+F13</f>
        <v/>
      </c>
      <c r="G14" s="87">
        <f>G7+G13</f>
        <v/>
      </c>
      <c r="H14" s="87">
        <f>H7+H13</f>
        <v/>
      </c>
      <c r="I14" s="87">
        <f>I7+I13</f>
        <v/>
      </c>
      <c r="J14" s="87">
        <f>J7+J13</f>
        <v/>
      </c>
      <c r="K14" s="87">
        <f>K7+K13</f>
        <v/>
      </c>
      <c r="L14" s="87">
        <f>L7+L13</f>
        <v/>
      </c>
      <c r="M14" s="87">
        <f>M7+M13</f>
        <v/>
      </c>
      <c r="N14" s="87">
        <f>N7+N13</f>
        <v/>
      </c>
      <c r="O14" s="87">
        <f>O7+O13</f>
        <v/>
      </c>
      <c r="P14" s="87">
        <f>P7+P13</f>
        <v/>
      </c>
      <c r="Q14" s="87">
        <f>Q7+Q13</f>
        <v/>
      </c>
      <c r="R14" s="87">
        <f>R7+R13</f>
        <v/>
      </c>
      <c r="S14" s="87">
        <f>S7+S13</f>
        <v/>
      </c>
      <c r="T14" s="87">
        <f>T7+T13</f>
        <v/>
      </c>
      <c r="U14" s="87">
        <f>U7+U13</f>
        <v/>
      </c>
      <c r="V14" s="87">
        <f>V7+V13</f>
        <v/>
      </c>
      <c r="W14" s="87">
        <f>W7+W13</f>
        <v/>
      </c>
      <c r="X14" s="87" t="n"/>
      <c r="Y14" s="87" t="n"/>
      <c r="Z14" s="87">
        <f>Z7+Z13</f>
        <v/>
      </c>
    </row>
    <row r="15" ht="15" customHeight="1" s="115">
      <c r="A15" s="38" t="inlineStr">
        <is>
          <t>t_c CNL⁶</t>
        </is>
      </c>
      <c r="B15" s="90" t="n">
        <v>0.1319969851112218</v>
      </c>
      <c r="C15" s="90" t="n">
        <v>0.1483771334074716</v>
      </c>
      <c r="D15" s="90" t="n">
        <v>0.1507090137750449</v>
      </c>
      <c r="E15" s="90" t="n">
        <v>0.1541538467999723</v>
      </c>
      <c r="F15" s="90" t="n">
        <v>0.1697035924290405</v>
      </c>
      <c r="G15" s="90" t="n">
        <v>0.2432282766531083</v>
      </c>
      <c r="H15" s="90" t="n">
        <v>0.2833613381464318</v>
      </c>
      <c r="I15" s="90" t="n">
        <v>0.3363127201390193</v>
      </c>
      <c r="J15" s="90" t="n">
        <v>0.3625735538069462</v>
      </c>
      <c r="K15" s="90" t="n">
        <v>0.3459820984443239</v>
      </c>
      <c r="L15" s="90" t="n">
        <v>0.3407272008040461</v>
      </c>
      <c r="M15" s="90" t="n">
        <v>0.3284480339105485</v>
      </c>
      <c r="N15" s="90" t="n">
        <v>0.3011058117795979</v>
      </c>
      <c r="O15" s="90" t="n"/>
      <c r="P15" s="90" t="n"/>
      <c r="Q15" s="91" t="n"/>
      <c r="R15" s="91" t="n"/>
      <c r="S15" s="91" t="n"/>
      <c r="T15" s="90" t="n"/>
      <c r="U15" s="91" t="n"/>
      <c r="V15" s="91" t="n"/>
      <c r="W15" s="91" t="n"/>
      <c r="X15" s="91" t="n"/>
      <c r="Y15" s="91" t="n"/>
      <c r="Z15" s="91" t="n"/>
    </row>
    <row r="16" ht="15" customHeight="1" s="115">
      <c r="A16" s="36" t="inlineStr">
        <is>
          <t>Implied t-1 CNL</t>
        </is>
      </c>
      <c r="B16" s="19">
        <f>B15-($Z$14-B14)*1%</f>
        <v/>
      </c>
      <c r="C16" s="19">
        <f>C15-($Z$14-C14)*1%</f>
        <v/>
      </c>
      <c r="D16" s="19">
        <f>D15-($Z$14-D14)*1%</f>
        <v/>
      </c>
      <c r="E16" s="19">
        <f>E15-($Z$14-E14)*1%</f>
        <v/>
      </c>
      <c r="F16" s="19">
        <f>F15-($Z$14-F14)*1%</f>
        <v/>
      </c>
      <c r="G16" s="19">
        <f>G15-($Z$14-G14)*1%</f>
        <v/>
      </c>
      <c r="H16" s="19">
        <f>H15-($Z$14-H14)*1%</f>
        <v/>
      </c>
      <c r="I16" s="19">
        <f>I15-($Z$14-I14)*1%</f>
        <v/>
      </c>
      <c r="J16" s="19">
        <f>J15-($Z$14-J14)*1%</f>
        <v/>
      </c>
      <c r="K16" s="19">
        <f>K15-($Z$14-K14)*1%</f>
        <v/>
      </c>
      <c r="L16" s="19">
        <f>L15-($Z$14-L14)*1%</f>
        <v/>
      </c>
      <c r="M16" s="19">
        <f>M15-($Z$14-M14)*1%</f>
        <v/>
      </c>
      <c r="N16" s="19">
        <f>N15-($Z$14-N14)*1%</f>
        <v/>
      </c>
      <c r="O16" s="89" t="n"/>
      <c r="P16" s="89" t="n"/>
      <c r="Q16" s="89" t="n"/>
      <c r="R16" s="89" t="n"/>
      <c r="S16" s="89" t="n"/>
      <c r="T16" s="89" t="n"/>
      <c r="U16" s="89" t="n"/>
      <c r="V16" s="89" t="n"/>
      <c r="W16" s="89" t="n"/>
      <c r="X16" s="89" t="n"/>
      <c r="Y16" s="89" t="n"/>
      <c r="Z16" s="89" t="n">
        <v>0.2564</v>
      </c>
    </row>
    <row r="19" ht="15" customHeight="1" s="115">
      <c r="A19" s="50" t="inlineStr">
        <is>
          <t>1:</t>
        </is>
      </c>
      <c r="B19" s="51" t="inlineStr">
        <is>
          <t>Model Score excludes buybacks and high amount financed.</t>
        </is>
      </c>
    </row>
    <row r="20" ht="15" customHeight="1" s="115">
      <c r="A20" s="50" t="inlineStr">
        <is>
          <t>2:</t>
        </is>
      </c>
      <c r="B20" s="51" t="inlineStr">
        <is>
          <t>We are currently working with Pricing to determine how to use FRN3.1 scores, there are large discrepancies between model scores as booked and FRN3.1 due to what might be centering issues.</t>
        </is>
      </c>
    </row>
    <row r="21" ht="15" customHeight="1" s="115">
      <c r="A21" s="50" t="inlineStr">
        <is>
          <t>3:</t>
        </is>
      </c>
      <c r="B21" s="51" t="inlineStr">
        <is>
          <t>Biggest impacts to Gross Loss Adjustments are Dealer Level, weekday/weekend decision, and high mileage classification.</t>
        </is>
      </c>
    </row>
    <row r="22" ht="15" customHeight="1" s="115">
      <c r="A22" s="50" t="n"/>
      <c r="B22" s="51" t="inlineStr">
        <is>
          <t>See Appendix for details on other factors</t>
        </is>
      </c>
    </row>
    <row r="23" ht="15" customHeight="1" s="115">
      <c r="A23" s="50" t="inlineStr">
        <is>
          <t>4:</t>
        </is>
      </c>
      <c r="B23" s="51" t="inlineStr">
        <is>
          <t>Biggest impacts to Recovery Adjustments are mileage/age, impound probability, and vehicle class.</t>
        </is>
      </c>
    </row>
    <row r="24" ht="15" customHeight="1" s="115">
      <c r="A24" s="50" t="inlineStr">
        <is>
          <t>5:</t>
        </is>
      </c>
      <c r="B24" s="51" t="inlineStr">
        <is>
          <t>LTV adjustments are made using the 10% LTV improvement-&gt;170bps to CNL heuristic, based on BlackBook LTV values.</t>
        </is>
      </c>
    </row>
    <row r="25" ht="15" customHeight="1" s="115">
      <c r="A25" s="50" t="inlineStr">
        <is>
          <t>6:</t>
        </is>
      </c>
      <c r="B25" s="51" t="inlineStr">
        <is>
          <t>MMI uses adjusted index (2019 seasonality). The MMI Impact compares the actual MMI to a 3% annual growth.</t>
        </is>
      </c>
    </row>
    <row r="26" ht="15" customHeight="1" s="115">
      <c r="A26" s="50" t="n"/>
      <c r="B26" s="51" t="inlineStr">
        <is>
          <t>A positive impact of X% means sold recovery will be X% better.</t>
        </is>
      </c>
    </row>
    <row r="27" ht="15" customHeight="1" s="115">
      <c r="A27" s="50" t="inlineStr">
        <is>
          <t>7:</t>
        </is>
      </c>
      <c r="B27" s="51" t="inlineStr">
        <is>
          <t>tc CNL uses UGLY Model projections, and 2023 Q1 blends 75% UGLY Model with 25% Loss Committee.</t>
        </is>
      </c>
    </row>
    <row r="28" ht="15" customHeight="1" s="115">
      <c r="A28" s="50" t="n"/>
      <c r="B28" s="51" t="n"/>
    </row>
    <row r="29" ht="15" customHeight="1" s="115">
      <c r="A29" s="50" t="n"/>
      <c r="B29" s="51" t="n"/>
    </row>
    <row r="30" ht="15" customHeight="1" s="115">
      <c r="A30" s="50" t="n"/>
      <c r="B30" s="51" t="n"/>
    </row>
    <row r="31" ht="15" customHeight="1" s="115">
      <c r="A31" s="50" t="n"/>
      <c r="B31" s="51" t="n"/>
    </row>
  </sheetData>
  <mergeCells count="2">
    <mergeCell ref="AD1:AE1"/>
    <mergeCell ref="AD2:AE2"/>
  </mergeCells>
  <pageMargins left="0.7" right="0.7" top="0.75" bottom="0.75" header="0.3" footer="0.3"/>
  <pageSetup orientation="portrait" horizontalDpi="204" verticalDpi="192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9"/>
  <sheetViews>
    <sheetView zoomScale="160" zoomScaleNormal="160" workbookViewId="0">
      <selection activeCell="AC6" sqref="AC6"/>
    </sheetView>
  </sheetViews>
  <sheetFormatPr baseColWidth="8" defaultColWidth="9.1796875" defaultRowHeight="15" customHeight="1"/>
  <cols>
    <col width="28.54296875" customWidth="1" style="41" min="1" max="1"/>
    <col width="5.26953125" customWidth="1" style="41" min="2" max="30"/>
    <col width="9.1796875" customWidth="1" style="41" min="31" max="77"/>
    <col width="9.1796875" customWidth="1" style="41" min="78" max="16384"/>
  </cols>
  <sheetData>
    <row r="1" ht="30" customHeight="1" s="115">
      <c r="A1" s="71" t="inlineStr">
        <is>
          <t>KMX¹</t>
        </is>
      </c>
      <c r="B1" s="28" t="n">
        <v>2016</v>
      </c>
      <c r="C1" s="28" t="n">
        <v>2017</v>
      </c>
      <c r="D1" s="28" t="n">
        <v>2018</v>
      </c>
      <c r="E1" s="28" t="n">
        <v>2019</v>
      </c>
      <c r="F1" s="28" t="inlineStr">
        <is>
          <t>2020 Q1</t>
        </is>
      </c>
      <c r="G1" s="28" t="inlineStr">
        <is>
          <t>2020 Q2</t>
        </is>
      </c>
      <c r="H1" s="28" t="inlineStr">
        <is>
          <t>2020 Q3</t>
        </is>
      </c>
      <c r="I1" s="28" t="inlineStr">
        <is>
          <t>2020 Q4</t>
        </is>
      </c>
      <c r="J1" s="28" t="inlineStr">
        <is>
          <t>2021 Q1</t>
        </is>
      </c>
      <c r="K1" s="28" t="inlineStr">
        <is>
          <t>2021 Q2</t>
        </is>
      </c>
      <c r="L1" s="28" t="inlineStr">
        <is>
          <t>2021 Q3</t>
        </is>
      </c>
      <c r="M1" s="28" t="inlineStr">
        <is>
          <t>2021 Q4</t>
        </is>
      </c>
      <c r="N1" s="28" t="inlineStr">
        <is>
          <t>2022 Q1</t>
        </is>
      </c>
      <c r="O1" s="28" t="inlineStr">
        <is>
          <t>2022 Q2</t>
        </is>
      </c>
      <c r="P1" s="28" t="inlineStr">
        <is>
          <t>2022 Q3</t>
        </is>
      </c>
      <c r="Q1" s="28" t="inlineStr">
        <is>
          <t>2022 Q4</t>
        </is>
      </c>
      <c r="R1" s="28" t="inlineStr">
        <is>
          <t>2023 Q1</t>
        </is>
      </c>
      <c r="S1" s="28" t="inlineStr">
        <is>
          <t>2023 Q2</t>
        </is>
      </c>
      <c r="T1" s="28" t="inlineStr">
        <is>
          <t>2023 Q3</t>
        </is>
      </c>
      <c r="U1" s="28" t="inlineStr">
        <is>
          <t>2023 Q4</t>
        </is>
      </c>
      <c r="V1" s="28" t="inlineStr">
        <is>
          <t>2024 Q1</t>
        </is>
      </c>
      <c r="W1" s="28" t="inlineStr">
        <is>
          <t>2024 Q2</t>
        </is>
      </c>
      <c r="X1" s="28" t="inlineStr">
        <is>
          <t>2024 Q3</t>
        </is>
      </c>
      <c r="Y1" s="28" t="inlineStr">
        <is>
          <t>2024 Q4</t>
        </is>
      </c>
      <c r="Z1" s="28" t="inlineStr">
        <is>
          <t>2025 Q1</t>
        </is>
      </c>
      <c r="AA1" s="28" t="inlineStr">
        <is>
          <t>2025 Q2</t>
        </is>
      </c>
      <c r="AB1" s="28" t="inlineStr">
        <is>
          <t>2025 Q3</t>
        </is>
      </c>
      <c r="AC1" s="28" t="inlineStr">
        <is>
          <t>2025 Q4</t>
        </is>
      </c>
      <c r="AD1" s="28" t="inlineStr">
        <is>
          <t>t-1</t>
        </is>
      </c>
      <c r="AF1" s="28" t="inlineStr">
        <is>
          <t>t-1 manual input</t>
        </is>
      </c>
      <c r="AG1" s="79" t="inlineStr">
        <is>
          <t>Use Recent Month?</t>
        </is>
      </c>
      <c r="AH1" s="134" t="inlineStr">
        <is>
          <t>Use Reassessed Model Score?</t>
        </is>
      </c>
      <c r="AI1" s="135" t="n"/>
    </row>
    <row r="2" ht="15" customHeight="1" s="115" thickBot="1">
      <c r="A2" s="72" t="inlineStr">
        <is>
          <t>Contract Model Score²</t>
        </is>
      </c>
      <c r="B2" s="12">
        <f>'Data Tables (Q)'!B56</f>
        <v/>
      </c>
      <c r="C2" s="12">
        <f>'Data Tables (Q)'!C56</f>
        <v/>
      </c>
      <c r="D2" s="12">
        <f>'Data Tables (Q)'!D56</f>
        <v/>
      </c>
      <c r="E2" s="12">
        <f>'Data Tables (Q)'!E56</f>
        <v/>
      </c>
      <c r="F2" s="12">
        <f>'Data Tables (Q)'!F56</f>
        <v/>
      </c>
      <c r="G2" s="12">
        <f>'Data Tables (Q)'!G56</f>
        <v/>
      </c>
      <c r="H2" s="12">
        <f>'Data Tables (Q)'!H56</f>
        <v/>
      </c>
      <c r="I2" s="12">
        <f>'Data Tables (Q)'!I56</f>
        <v/>
      </c>
      <c r="J2" s="12">
        <f>'Data Tables (Q)'!J56</f>
        <v/>
      </c>
      <c r="K2" s="12">
        <f>'Data Tables (Q)'!K56</f>
        <v/>
      </c>
      <c r="L2" s="12">
        <f>'Data Tables (Q)'!L56</f>
        <v/>
      </c>
      <c r="M2" s="12">
        <f>'Data Tables (Q)'!M56</f>
        <v/>
      </c>
      <c r="N2" s="12">
        <f>'Data Tables (Q)'!N56</f>
        <v/>
      </c>
      <c r="O2" s="12">
        <f>'Data Tables (Q)'!O56</f>
        <v/>
      </c>
      <c r="P2" s="12">
        <f>'Data Tables (Q)'!P56</f>
        <v/>
      </c>
      <c r="Q2" s="12">
        <f>'Data Tables (Q)'!Q56</f>
        <v/>
      </c>
      <c r="R2" s="12">
        <f>'Data Tables (Q)'!R56</f>
        <v/>
      </c>
      <c r="S2" s="12">
        <f>'Data Tables (Q)'!S56</f>
        <v/>
      </c>
      <c r="T2" s="12">
        <f>'Data Tables (Q)'!T56</f>
        <v/>
      </c>
      <c r="U2" s="12">
        <f>'Data Tables (Q)'!U56</f>
        <v/>
      </c>
      <c r="V2" s="12">
        <f>'Data Tables (Q)'!V56</f>
        <v/>
      </c>
      <c r="W2" s="12">
        <f>'Data Tables (Q)'!W56</f>
        <v/>
      </c>
      <c r="X2" s="12">
        <f>'Data Tables (Q)'!X56</f>
        <v/>
      </c>
      <c r="Y2" s="12">
        <f>'Data Tables (Q)'!Y56</f>
        <v/>
      </c>
      <c r="Z2" s="12">
        <f>'Data Tables (Q)'!Z56</f>
        <v/>
      </c>
      <c r="AA2" s="12">
        <f>'Data Tables (Q)'!AA56</f>
        <v/>
      </c>
      <c r="AB2" s="12">
        <f>'Data Tables (Q)'!AB56</f>
        <v/>
      </c>
      <c r="AC2" s="12">
        <f>'Data Tables (Q)'!AC56</f>
        <v/>
      </c>
      <c r="AD2" s="12">
        <f>'Data Tables (M)'!BS56*AG2+AF2*(1-AG2)</f>
        <v/>
      </c>
      <c r="AF2" s="75" t="n">
        <v>141</v>
      </c>
      <c r="AG2" s="75" t="n">
        <v>1</v>
      </c>
      <c r="AH2" s="132" t="n">
        <v>0</v>
      </c>
      <c r="AI2" s="133" t="n"/>
    </row>
    <row r="3" hidden="1" ht="15" customHeight="1" s="115">
      <c r="A3" s="73" t="inlineStr">
        <is>
          <t>Shift to Mountain3 Score³</t>
        </is>
      </c>
      <c r="B3" s="13">
        <f>'Data Tables (Q)'!B57*$AH$2</f>
        <v/>
      </c>
      <c r="C3" s="13">
        <f>'Data Tables (Q)'!C57*$AH$2</f>
        <v/>
      </c>
      <c r="D3" s="13">
        <f>'Data Tables (Q)'!D57*$AH$2</f>
        <v/>
      </c>
      <c r="E3" s="13">
        <f>'Data Tables (Q)'!E57*$AH$2</f>
        <v/>
      </c>
      <c r="F3" s="13">
        <f>'Data Tables (Q)'!F57*$AH$2</f>
        <v/>
      </c>
      <c r="G3" s="13">
        <f>'Data Tables (Q)'!G57*$AH$2</f>
        <v/>
      </c>
      <c r="H3" s="13">
        <f>'Data Tables (Q)'!H57*$AH$2</f>
        <v/>
      </c>
      <c r="I3" s="13">
        <f>'Data Tables (Q)'!I57*$AH$2</f>
        <v/>
      </c>
      <c r="J3" s="13">
        <f>'Data Tables (Q)'!J57*$AH$2</f>
        <v/>
      </c>
      <c r="K3" s="13">
        <f>'Data Tables (Q)'!K57*$AH$2</f>
        <v/>
      </c>
      <c r="L3" s="13">
        <f>'Data Tables (Q)'!L57*$AH$2</f>
        <v/>
      </c>
      <c r="M3" s="13">
        <f>'Data Tables (Q)'!M57*$AH$2</f>
        <v/>
      </c>
      <c r="N3" s="13">
        <f>'Data Tables (Q)'!N57*$AH$2</f>
        <v/>
      </c>
      <c r="O3" s="13">
        <f>'Data Tables (Q)'!O57*$AH$2</f>
        <v/>
      </c>
      <c r="P3" s="13">
        <f>'Data Tables (Q)'!P57*$AH$2</f>
        <v/>
      </c>
      <c r="Q3" s="13">
        <f>'Data Tables (Q)'!Q57*$AH$2</f>
        <v/>
      </c>
      <c r="R3" s="13">
        <f>'Data Tables (Q)'!R57*$AH$2</f>
        <v/>
      </c>
      <c r="S3" s="13">
        <f>'Data Tables (Q)'!S57*$AH$2</f>
        <v/>
      </c>
      <c r="T3" s="13">
        <f>'Data Tables (Q)'!T57*$AH$2</f>
        <v/>
      </c>
      <c r="U3" s="13">
        <f>'Data Tables (Q)'!U57*$AH$2</f>
        <v/>
      </c>
      <c r="V3" s="13" t="n"/>
      <c r="W3" s="13" t="n"/>
      <c r="X3" s="13">
        <f>'Data Tables (Q)'!X57*$AH$2</f>
        <v/>
      </c>
      <c r="Y3" s="13">
        <f>'Data Tables (Q)'!Y57*$AH$2</f>
        <v/>
      </c>
      <c r="Z3" s="13">
        <f>'Data Tables (Q)'!Z57*$AH$2</f>
        <v/>
      </c>
      <c r="AA3" s="13" t="n"/>
      <c r="AB3" s="13" t="n"/>
      <c r="AC3" s="13" t="n"/>
      <c r="AD3" s="13">
        <f>('Data Tables (M)'!BS57*AG3+AF3*(1-AG3))*$AH$2</f>
        <v/>
      </c>
      <c r="AF3" s="17" t="n">
        <v>0</v>
      </c>
      <c r="AG3" s="17" t="n">
        <v>0</v>
      </c>
    </row>
    <row r="4" ht="30" customHeight="1" s="115">
      <c r="A4" s="73" t="inlineStr">
        <is>
          <t>Gross Loss Adjustments (vehicle age, weekday/weekend, etc.³)</t>
        </is>
      </c>
      <c r="B4" s="13">
        <f>'Data Tables (Q)'!B58</f>
        <v/>
      </c>
      <c r="C4" s="13">
        <f>'Data Tables (Q)'!C58</f>
        <v/>
      </c>
      <c r="D4" s="13">
        <f>'Data Tables (Q)'!D58</f>
        <v/>
      </c>
      <c r="E4" s="13">
        <f>'Data Tables (Q)'!E58</f>
        <v/>
      </c>
      <c r="F4" s="13">
        <f>'Data Tables (Q)'!F58</f>
        <v/>
      </c>
      <c r="G4" s="13">
        <f>'Data Tables (Q)'!G58</f>
        <v/>
      </c>
      <c r="H4" s="13">
        <f>'Data Tables (Q)'!H58</f>
        <v/>
      </c>
      <c r="I4" s="13">
        <f>'Data Tables (Q)'!I58</f>
        <v/>
      </c>
      <c r="J4" s="13">
        <f>'Data Tables (Q)'!J58</f>
        <v/>
      </c>
      <c r="K4" s="13">
        <f>'Data Tables (Q)'!K58</f>
        <v/>
      </c>
      <c r="L4" s="13">
        <f>'Data Tables (Q)'!L58</f>
        <v/>
      </c>
      <c r="M4" s="13">
        <f>'Data Tables (Q)'!M58</f>
        <v/>
      </c>
      <c r="N4" s="13">
        <f>'Data Tables (Q)'!N58</f>
        <v/>
      </c>
      <c r="O4" s="13">
        <f>'Data Tables (Q)'!O58</f>
        <v/>
      </c>
      <c r="P4" s="13">
        <f>'Data Tables (Q)'!P58</f>
        <v/>
      </c>
      <c r="Q4" s="13">
        <f>'Data Tables (Q)'!Q58</f>
        <v/>
      </c>
      <c r="R4" s="13">
        <f>'Data Tables (Q)'!R58</f>
        <v/>
      </c>
      <c r="S4" s="13">
        <f>'Data Tables (Q)'!S58</f>
        <v/>
      </c>
      <c r="T4" s="13">
        <f>'Data Tables (Q)'!T58</f>
        <v/>
      </c>
      <c r="U4" s="13">
        <f>'Data Tables (Q)'!U58</f>
        <v/>
      </c>
      <c r="V4" s="13">
        <f>'Data Tables (Q)'!V58</f>
        <v/>
      </c>
      <c r="W4" s="13">
        <f>'Data Tables (Q)'!W58</f>
        <v/>
      </c>
      <c r="X4" s="13">
        <f>'Data Tables (Q)'!X58</f>
        <v/>
      </c>
      <c r="Y4" s="13">
        <f>'Data Tables (Q)'!Y58</f>
        <v/>
      </c>
      <c r="Z4" s="13">
        <f>'Data Tables (Q)'!Z58</f>
        <v/>
      </c>
      <c r="AA4" s="13">
        <f>'Data Tables (Q)'!AA58</f>
        <v/>
      </c>
      <c r="AB4" s="13">
        <f>'Data Tables (Q)'!AB58</f>
        <v/>
      </c>
      <c r="AC4" s="13">
        <f>'Data Tables (Q)'!AC58</f>
        <v/>
      </c>
      <c r="AD4" s="13">
        <f>'Data Tables (M)'!BS58*AG4+AF4*(1-AG4)</f>
        <v/>
      </c>
      <c r="AF4" s="77" t="n">
        <v>0.7</v>
      </c>
      <c r="AG4" s="17" t="n">
        <v>1</v>
      </c>
    </row>
    <row r="5" ht="30" customHeight="1" s="115">
      <c r="A5" s="72" t="inlineStr">
        <is>
          <t>BBLTV Adjustment to Recovery⁴ (Accounts for mileage/age and wholesale/retail gap⁵)</t>
        </is>
      </c>
      <c r="B5" s="12">
        <f>(159%/B10-1)/10%*1.7/0.65</f>
        <v/>
      </c>
      <c r="C5" s="12">
        <f>(159%/C10-1)/10%*1.7/0.65</f>
        <v/>
      </c>
      <c r="D5" s="12">
        <f>(159%/D10-1)/10%*1.7/0.65</f>
        <v/>
      </c>
      <c r="E5" s="12">
        <f>(159%/E10-1)/10%*1.7/0.65</f>
        <v/>
      </c>
      <c r="F5" s="12">
        <f>(159%/F10-1)/10%*1.7/0.65</f>
        <v/>
      </c>
      <c r="G5" s="12">
        <f>(159%/G10-1)/10%*1.7/0.65</f>
        <v/>
      </c>
      <c r="H5" s="12">
        <f>(159%/H10-1)/10%*1.7/0.65</f>
        <v/>
      </c>
      <c r="I5" s="12">
        <f>(159%/I10-1)/10%*1.7/0.65</f>
        <v/>
      </c>
      <c r="J5" s="12">
        <f>(159%/J10-1)/10%*1.7/0.65</f>
        <v/>
      </c>
      <c r="K5" s="12">
        <f>(159%/K10-1)/10%*1.7/0.65</f>
        <v/>
      </c>
      <c r="L5" s="12">
        <f>(159%/L10-1)/10%*1.7/0.65</f>
        <v/>
      </c>
      <c r="M5" s="12">
        <f>(159%/M10-1)/10%*1.7/0.65</f>
        <v/>
      </c>
      <c r="N5" s="12">
        <f>(159%/N10-1)/10%*1.7/0.65</f>
        <v/>
      </c>
      <c r="O5" s="12">
        <f>(159%/O10-1)/10%*1.7/0.65</f>
        <v/>
      </c>
      <c r="P5" s="12">
        <f>(159%/P10-1)/10%*1.7/0.65</f>
        <v/>
      </c>
      <c r="Q5" s="12">
        <f>(159%/Q10-1)/10%*1.7/0.65</f>
        <v/>
      </c>
      <c r="R5" s="12">
        <f>(159%/R10-1)/10%*1.7/0.65</f>
        <v/>
      </c>
      <c r="S5" s="12">
        <f>(159%/S10-1)/10%*1.7/0.65</f>
        <v/>
      </c>
      <c r="T5" s="12">
        <f>(159%/T10-1)/10%*1.7/0.65</f>
        <v/>
      </c>
      <c r="U5" s="12">
        <f>(159%/U10-1)/10%*1.7/0.65</f>
        <v/>
      </c>
      <c r="V5" s="12">
        <f>(159%/V10-1)/10%*1.7/0.65</f>
        <v/>
      </c>
      <c r="W5" s="12">
        <f>(159%/W10-1)/10%*1.7/0.65</f>
        <v/>
      </c>
      <c r="X5" s="12">
        <f>(159%/X10-1)/10%*1.7/0.65</f>
        <v/>
      </c>
      <c r="Y5" s="12">
        <f>(159%/Y10-1)/10%*1.7/0.65</f>
        <v/>
      </c>
      <c r="Z5" s="12">
        <f>(159%/Z10-1)/10%*1.7/0.65</f>
        <v/>
      </c>
      <c r="AA5" s="12">
        <f>(159%/AA10-1)/10%*1.7/0.65</f>
        <v/>
      </c>
      <c r="AB5" s="12">
        <f>(159%/AB10-1)/10%*1.7/0.65</f>
        <v/>
      </c>
      <c r="AC5" s="12">
        <f>(159%/AC10-1)/10%*1.7/0.65</f>
        <v/>
      </c>
      <c r="AD5" s="12">
        <f>(159%/AD10-1)/10%*1.7/0.65</f>
        <v/>
      </c>
      <c r="AF5" s="78" t="n"/>
      <c r="AG5" s="16" t="n"/>
    </row>
    <row r="6" ht="15" customHeight="1" s="115">
      <c r="A6" s="73" t="inlineStr">
        <is>
          <t>RAGU Score</t>
        </is>
      </c>
      <c r="B6" s="13">
        <f>SUM(B2:B5)</f>
        <v/>
      </c>
      <c r="C6" s="13">
        <f>SUM(C2:C5)</f>
        <v/>
      </c>
      <c r="D6" s="13">
        <f>SUM(D2:D5)</f>
        <v/>
      </c>
      <c r="E6" s="13">
        <f>SUM(E2:E5)</f>
        <v/>
      </c>
      <c r="F6" s="13">
        <f>SUM(F2:F5)</f>
        <v/>
      </c>
      <c r="G6" s="13">
        <f>SUM(G2:G5)</f>
        <v/>
      </c>
      <c r="H6" s="13">
        <f>SUM(H2:H5)</f>
        <v/>
      </c>
      <c r="I6" s="13">
        <f>SUM(I2:I5)</f>
        <v/>
      </c>
      <c r="J6" s="13">
        <f>SUM(J2:J5)</f>
        <v/>
      </c>
      <c r="K6" s="13">
        <f>SUM(K2:K5)</f>
        <v/>
      </c>
      <c r="L6" s="13">
        <f>SUM(L2:L5)</f>
        <v/>
      </c>
      <c r="M6" s="13">
        <f>SUM(M2:M5)</f>
        <v/>
      </c>
      <c r="N6" s="13">
        <f>SUM(N2:N5)</f>
        <v/>
      </c>
      <c r="O6" s="13">
        <f>SUM(O2:O5)</f>
        <v/>
      </c>
      <c r="P6" s="13">
        <f>SUM(P2:P5)</f>
        <v/>
      </c>
      <c r="Q6" s="13">
        <f>SUM(Q2:Q5)</f>
        <v/>
      </c>
      <c r="R6" s="13">
        <f>SUM(R2:R5)</f>
        <v/>
      </c>
      <c r="S6" s="13">
        <f>SUM(S2:S5)</f>
        <v/>
      </c>
      <c r="T6" s="13">
        <f>SUM(T2:T5)</f>
        <v/>
      </c>
      <c r="U6" s="13">
        <f>SUM(U2:U5)</f>
        <v/>
      </c>
      <c r="V6" s="13">
        <f>SUM(V2:V5)</f>
        <v/>
      </c>
      <c r="W6" s="13">
        <f>SUM(W2:W5)</f>
        <v/>
      </c>
      <c r="X6" s="13">
        <f>SUM(X2:X5)</f>
        <v/>
      </c>
      <c r="Y6" s="13">
        <f>SUM(Y2:Y5)</f>
        <v/>
      </c>
      <c r="Z6" s="13">
        <f>SUM(Z2:Z5)</f>
        <v/>
      </c>
      <c r="AA6" s="13">
        <f>SUM(AA2:AA5)</f>
        <v/>
      </c>
      <c r="AB6" s="13">
        <f>SUM(AB2:AB5)</f>
        <v/>
      </c>
      <c r="AC6" s="13">
        <f>SUM(AC2:AC5)</f>
        <v/>
      </c>
      <c r="AD6" s="13">
        <f>SUM(AD2:AD5)</f>
        <v/>
      </c>
      <c r="AF6" s="16" t="n"/>
      <c r="AG6" s="16" t="n"/>
    </row>
    <row r="7" ht="15" customHeight="1" s="115">
      <c r="A7" s="73" t="n"/>
      <c r="B7" s="102">
        <f>B2+B4</f>
        <v/>
      </c>
      <c r="C7" s="102">
        <f>C2+C4</f>
        <v/>
      </c>
      <c r="D7" s="102">
        <f>D2+D4</f>
        <v/>
      </c>
      <c r="E7" s="102">
        <f>E2+E4</f>
        <v/>
      </c>
      <c r="F7" s="102">
        <f>F2+F4</f>
        <v/>
      </c>
      <c r="G7" s="102">
        <f>G2+G4</f>
        <v/>
      </c>
      <c r="H7" s="102">
        <f>H2+H4</f>
        <v/>
      </c>
      <c r="I7" s="102">
        <f>I2+I4</f>
        <v/>
      </c>
      <c r="J7" s="102">
        <f>J2+J4</f>
        <v/>
      </c>
      <c r="K7" s="102">
        <f>K2+K4</f>
        <v/>
      </c>
      <c r="L7" s="102">
        <f>L2+L4</f>
        <v/>
      </c>
      <c r="M7" s="102">
        <f>M2+M4</f>
        <v/>
      </c>
      <c r="N7" s="102">
        <f>N2+N4</f>
        <v/>
      </c>
      <c r="O7" s="102">
        <f>O2+O4</f>
        <v/>
      </c>
      <c r="P7" s="102">
        <f>P2+P4</f>
        <v/>
      </c>
      <c r="Q7" s="102">
        <f>Q2+Q4</f>
        <v/>
      </c>
      <c r="R7" s="102">
        <f>R2+R4</f>
        <v/>
      </c>
      <c r="S7" s="102">
        <f>S2+S4</f>
        <v/>
      </c>
      <c r="T7" s="102">
        <f>T2+T4</f>
        <v/>
      </c>
      <c r="U7" s="102">
        <f>U2+U4</f>
        <v/>
      </c>
      <c r="V7" s="102">
        <f>V2+V4</f>
        <v/>
      </c>
      <c r="W7" s="102">
        <f>W2+W4</f>
        <v/>
      </c>
      <c r="X7" s="102">
        <f>X2+X4</f>
        <v/>
      </c>
      <c r="Y7" s="102">
        <f>Y2+Y4</f>
        <v/>
      </c>
      <c r="Z7" s="102">
        <f>Z2+Z4</f>
        <v/>
      </c>
      <c r="AA7" s="102">
        <f>AA2+AA4</f>
        <v/>
      </c>
      <c r="AB7" s="102">
        <f>AB2+AB4</f>
        <v/>
      </c>
      <c r="AC7" s="102">
        <f>AC2+AC4</f>
        <v/>
      </c>
      <c r="AD7" s="102">
        <f>AD2+AD4</f>
        <v/>
      </c>
      <c r="AF7" s="16" t="n"/>
      <c r="AG7" s="16" t="n"/>
    </row>
    <row r="8" ht="15" customHeight="1" s="115">
      <c r="A8" s="92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F8" s="16" t="n"/>
    </row>
    <row r="9" ht="15" customHeight="1" s="115">
      <c r="A9" s="93" t="inlineStr">
        <is>
          <t>Context info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F9" s="16" t="n"/>
    </row>
    <row r="10" ht="15" customHeight="1" s="115">
      <c r="A10" s="72" t="inlineStr">
        <is>
          <t>BlackBook LTV (Baseline 159%)</t>
        </is>
      </c>
      <c r="B10" s="14">
        <f>'Data Tables (Q)'!B62</f>
        <v/>
      </c>
      <c r="C10" s="14">
        <f>'Data Tables (Q)'!C62</f>
        <v/>
      </c>
      <c r="D10" s="14">
        <f>'Data Tables (Q)'!D62</f>
        <v/>
      </c>
      <c r="E10" s="14">
        <f>'Data Tables (Q)'!E62</f>
        <v/>
      </c>
      <c r="F10" s="14">
        <f>'Data Tables (Q)'!F62</f>
        <v/>
      </c>
      <c r="G10" s="14">
        <f>'Data Tables (Q)'!G62</f>
        <v/>
      </c>
      <c r="H10" s="14">
        <f>'Data Tables (Q)'!H62</f>
        <v/>
      </c>
      <c r="I10" s="14">
        <f>'Data Tables (Q)'!I62</f>
        <v/>
      </c>
      <c r="J10" s="14">
        <f>'Data Tables (Q)'!J62</f>
        <v/>
      </c>
      <c r="K10" s="14">
        <f>'Data Tables (Q)'!K62</f>
        <v/>
      </c>
      <c r="L10" s="14">
        <f>'Data Tables (Q)'!L62</f>
        <v/>
      </c>
      <c r="M10" s="14">
        <f>'Data Tables (Q)'!M62</f>
        <v/>
      </c>
      <c r="N10" s="14">
        <f>'Data Tables (Q)'!N62</f>
        <v/>
      </c>
      <c r="O10" s="14">
        <f>'Data Tables (Q)'!O62</f>
        <v/>
      </c>
      <c r="P10" s="14">
        <f>'Data Tables (Q)'!P62</f>
        <v/>
      </c>
      <c r="Q10" s="14">
        <f>'Data Tables (Q)'!Q62</f>
        <v/>
      </c>
      <c r="R10" s="14">
        <f>'Data Tables (Q)'!R62</f>
        <v/>
      </c>
      <c r="S10" s="14">
        <f>'Data Tables (Q)'!S62</f>
        <v/>
      </c>
      <c r="T10" s="14">
        <f>'Data Tables (Q)'!T62</f>
        <v/>
      </c>
      <c r="U10" s="14">
        <f>'Data Tables (Q)'!U62</f>
        <v/>
      </c>
      <c r="V10" s="14">
        <f>'Data Tables (Q)'!V62</f>
        <v/>
      </c>
      <c r="W10" s="14">
        <f>'Data Tables (Q)'!W62</f>
        <v/>
      </c>
      <c r="X10" s="14">
        <f>'Data Tables (Q)'!X62</f>
        <v/>
      </c>
      <c r="Y10" s="14">
        <f>'Data Tables (Q)'!Y62</f>
        <v/>
      </c>
      <c r="Z10" s="14">
        <f>'Data Tables (Q)'!Z62</f>
        <v/>
      </c>
      <c r="AA10" s="14">
        <f>'Data Tables (Q)'!AA62</f>
        <v/>
      </c>
      <c r="AB10" s="14">
        <f>'Data Tables (Q)'!AB62</f>
        <v/>
      </c>
      <c r="AC10" s="14">
        <f>'Data Tables (Q)'!AC62</f>
        <v/>
      </c>
      <c r="AD10" s="14">
        <f>'Data Tables (M)'!BS62*AG10+AF10*(1-AG10)</f>
        <v/>
      </c>
      <c r="AF10" s="76" t="n">
        <v>1.7</v>
      </c>
      <c r="AG10" s="17" t="n">
        <v>1</v>
      </c>
    </row>
    <row r="11" ht="15" customHeight="1" s="115">
      <c r="A11" s="73" t="inlineStr">
        <is>
          <t>Origination MMI</t>
        </is>
      </c>
      <c r="B11" s="83" t="n">
        <v>136.4</v>
      </c>
      <c r="C11" s="83" t="n">
        <v>141.3</v>
      </c>
      <c r="D11" s="83" t="n">
        <v>148</v>
      </c>
      <c r="E11" s="83" t="n">
        <v>151.5</v>
      </c>
      <c r="F11" s="83" t="n">
        <v>156.6</v>
      </c>
      <c r="G11" s="83" t="n">
        <v>149.5</v>
      </c>
      <c r="H11" s="83" t="n">
        <v>178.6</v>
      </c>
      <c r="I11" s="83" t="n">
        <v>176.8</v>
      </c>
      <c r="J11" s="83" t="n">
        <v>183.6</v>
      </c>
      <c r="K11" s="83" t="n">
        <v>218.6</v>
      </c>
      <c r="L11" s="83" t="n">
        <v>217</v>
      </c>
      <c r="M11" s="83" t="n">
        <v>252.9</v>
      </c>
      <c r="N11" s="83" t="n">
        <v>243.1</v>
      </c>
      <c r="O11" s="83" t="n">
        <v>245.1</v>
      </c>
      <c r="P11" s="83" t="n">
        <v>229.8</v>
      </c>
      <c r="Q11" s="83" t="n">
        <v>221.6</v>
      </c>
      <c r="R11" s="83" t="n">
        <v>229.4</v>
      </c>
      <c r="S11" s="83" t="n">
        <v>224.9</v>
      </c>
      <c r="T11" s="83" t="n">
        <v>212.6</v>
      </c>
      <c r="U11" s="83" t="n">
        <v>204.9</v>
      </c>
      <c r="V11" s="98" t="n">
        <v>204.2</v>
      </c>
      <c r="W11" s="98" t="n">
        <v>199.2</v>
      </c>
      <c r="X11" s="83" t="n">
        <v>202.8</v>
      </c>
      <c r="Y11" s="83" t="n">
        <v>203.3</v>
      </c>
      <c r="Z11" s="98" t="n"/>
      <c r="AA11" s="98" t="n">
        <v>202.6</v>
      </c>
      <c r="AB11" s="98" t="n"/>
      <c r="AC11" s="98" t="n"/>
      <c r="AD11" s="84" t="n">
        <v>203</v>
      </c>
    </row>
    <row r="12" ht="15" customHeight="1" s="115">
      <c r="A12" s="72" t="inlineStr">
        <is>
          <t>MMI Impact⁶</t>
        </is>
      </c>
      <c r="B12" s="82" t="n">
        <v>0.04</v>
      </c>
      <c r="C12" s="82" t="n">
        <v>0.11</v>
      </c>
      <c r="D12" s="82" t="n">
        <v>0.13</v>
      </c>
      <c r="E12" s="82" t="n">
        <v>0.146</v>
      </c>
      <c r="F12" s="82" t="n">
        <v>0.2445606772966977</v>
      </c>
      <c r="G12" s="82" t="n">
        <v>0.3305915577819472</v>
      </c>
      <c r="H12" s="82" t="n">
        <v>0.1173819506419207</v>
      </c>
      <c r="I12" s="82" t="n">
        <v>0.1696002460025463</v>
      </c>
      <c r="J12" s="82" t="n">
        <v>0.133234561472402</v>
      </c>
      <c r="K12" s="82" t="n">
        <v>-0.04256145116699095</v>
      </c>
      <c r="L12" s="82" t="n">
        <v>-0.04124633316694015</v>
      </c>
      <c r="M12" s="82" t="n">
        <v>-0.1891344418113166</v>
      </c>
      <c r="N12" s="82" t="n">
        <v>-0.1670646309580199</v>
      </c>
      <c r="O12" s="82" t="n">
        <v>-0.1889941003651481</v>
      </c>
      <c r="P12" s="82" t="n">
        <v>-0.1447923046282268</v>
      </c>
      <c r="Q12" s="82" t="n">
        <v>-0.1246166443921025</v>
      </c>
      <c r="R12" s="82" t="n">
        <v>-0.1640089407962717</v>
      </c>
      <c r="S12" s="82" t="n">
        <v>-0.1514175576374736</v>
      </c>
      <c r="T12" s="82" t="n">
        <v>-0.104853189713884</v>
      </c>
      <c r="U12" s="82" t="n">
        <v>-0.07029660558684203</v>
      </c>
      <c r="V12" s="82" t="n">
        <v>-0.0642079923362191</v>
      </c>
      <c r="W12" s="82" t="n">
        <v>-0.03712872446878257</v>
      </c>
      <c r="X12" s="82" t="n">
        <v>-0.03</v>
      </c>
      <c r="Y12" s="82" t="n">
        <v>-0.03</v>
      </c>
      <c r="Z12" s="82" t="n">
        <v>-0.03</v>
      </c>
      <c r="AA12" s="82" t="n">
        <v>-0.0156039306186341</v>
      </c>
      <c r="AB12" s="82" t="n"/>
      <c r="AC12" s="82" t="n"/>
      <c r="AD12" s="82" t="n">
        <v>-0.03</v>
      </c>
    </row>
    <row r="13" ht="15" customHeight="1" s="115">
      <c r="A13" s="94" t="inlineStr">
        <is>
          <t>Adjustment to RAGU Score from MMI</t>
        </is>
      </c>
      <c r="B13" s="13">
        <f>B12/10%*1.7/0.65</f>
        <v/>
      </c>
      <c r="C13" s="13">
        <f>C12/10%*1.7/0.65</f>
        <v/>
      </c>
      <c r="D13" s="13">
        <f>D12/10%*1.7/0.65</f>
        <v/>
      </c>
      <c r="E13" s="13">
        <f>E12/10%*1.7/0.65</f>
        <v/>
      </c>
      <c r="F13" s="13">
        <f>F12/10%*1.7/0.65</f>
        <v/>
      </c>
      <c r="G13" s="13">
        <f>G12/10%*1.7/0.65</f>
        <v/>
      </c>
      <c r="H13" s="13">
        <f>H12/10%*1.7/0.65</f>
        <v/>
      </c>
      <c r="I13" s="13">
        <f>I12/10%*1.7/0.65</f>
        <v/>
      </c>
      <c r="J13" s="13">
        <f>J12/10%*1.7/0.65</f>
        <v/>
      </c>
      <c r="K13" s="13">
        <f>K12/10%*1.7/0.65</f>
        <v/>
      </c>
      <c r="L13" s="13">
        <f>L12/10%*1.7/0.65</f>
        <v/>
      </c>
      <c r="M13" s="13">
        <f>M12/10%*1.7/0.65</f>
        <v/>
      </c>
      <c r="N13" s="13">
        <f>N12/10%*1.7/0.65</f>
        <v/>
      </c>
      <c r="O13" s="13">
        <f>O12/10%*1.7/0.65</f>
        <v/>
      </c>
      <c r="P13" s="13">
        <f>P12/10%*1.7/0.65</f>
        <v/>
      </c>
      <c r="Q13" s="13">
        <f>Q12/10%*1.7/0.65</f>
        <v/>
      </c>
      <c r="R13" s="13">
        <f>R12/10%*1.7/0.65</f>
        <v/>
      </c>
      <c r="S13" s="13">
        <f>S12/10%*1.7/0.65</f>
        <v/>
      </c>
      <c r="T13" s="13">
        <f>T12/10%*1.7/0.65</f>
        <v/>
      </c>
      <c r="U13" s="13">
        <f>U12/10%*1.7/0.65</f>
        <v/>
      </c>
      <c r="V13" s="13">
        <f>V12/10%*1.7/0.65</f>
        <v/>
      </c>
      <c r="W13" s="13">
        <f>W12/10%*1.7/0.65</f>
        <v/>
      </c>
      <c r="X13" s="13">
        <f>X12/10%*1.7/0.65</f>
        <v/>
      </c>
      <c r="Y13" s="13">
        <f>Y12/10%*1.7/0.65</f>
        <v/>
      </c>
      <c r="Z13" s="13">
        <f>Z12/10%*1.7/0.65</f>
        <v/>
      </c>
      <c r="AA13" s="13">
        <f>AA12/10%*1.7/0.65</f>
        <v/>
      </c>
      <c r="AB13" s="13" t="n"/>
      <c r="AC13" s="13" t="n"/>
      <c r="AD13" s="13">
        <f>AD12/10%*1.7/0.65</f>
        <v/>
      </c>
    </row>
    <row r="14" ht="15" customHeight="1" s="115">
      <c r="A14" s="72" t="inlineStr">
        <is>
          <t>RAGU Score (adjusted for MMI)</t>
        </is>
      </c>
      <c r="B14" s="12">
        <f>B13+B6</f>
        <v/>
      </c>
      <c r="C14" s="12">
        <f>C13+C6</f>
        <v/>
      </c>
      <c r="D14" s="12">
        <f>D13+D6</f>
        <v/>
      </c>
      <c r="E14" s="12">
        <f>E13+E6</f>
        <v/>
      </c>
      <c r="F14" s="12">
        <f>F13+F6</f>
        <v/>
      </c>
      <c r="G14" s="12">
        <f>G13+G6</f>
        <v/>
      </c>
      <c r="H14" s="12">
        <f>H13+H6</f>
        <v/>
      </c>
      <c r="I14" s="12">
        <f>I13+I6</f>
        <v/>
      </c>
      <c r="J14" s="12">
        <f>J13+J6</f>
        <v/>
      </c>
      <c r="K14" s="12">
        <f>K13+K6</f>
        <v/>
      </c>
      <c r="L14" s="12">
        <f>L13+L6</f>
        <v/>
      </c>
      <c r="M14" s="12">
        <f>M13+M6</f>
        <v/>
      </c>
      <c r="N14" s="12">
        <f>N13+N6</f>
        <v/>
      </c>
      <c r="O14" s="12">
        <f>O13+O6</f>
        <v/>
      </c>
      <c r="P14" s="12">
        <f>P13+P6</f>
        <v/>
      </c>
      <c r="Q14" s="12">
        <f>Q13+Q6</f>
        <v/>
      </c>
      <c r="R14" s="12">
        <f>R13+R6</f>
        <v/>
      </c>
      <c r="S14" s="12">
        <f>S13+S6</f>
        <v/>
      </c>
      <c r="T14" s="12">
        <f>T13+T6</f>
        <v/>
      </c>
      <c r="U14" s="12">
        <f>U13+U6</f>
        <v/>
      </c>
      <c r="V14" s="12">
        <f>V13+V6</f>
        <v/>
      </c>
      <c r="W14" s="12">
        <f>W13+W6</f>
        <v/>
      </c>
      <c r="X14" s="12">
        <f>X13+X6</f>
        <v/>
      </c>
      <c r="Y14" s="12">
        <f>Y13+Y6</f>
        <v/>
      </c>
      <c r="Z14" s="12">
        <f>Z13+Z6</f>
        <v/>
      </c>
      <c r="AA14" s="12">
        <f>AA13+AA6</f>
        <v/>
      </c>
      <c r="AB14" s="12" t="n"/>
      <c r="AC14" s="12" t="n"/>
      <c r="AD14" s="12">
        <f>AD13+AD6</f>
        <v/>
      </c>
    </row>
    <row r="15" ht="15" customHeight="1" s="115">
      <c r="A15" s="73" t="inlineStr">
        <is>
          <t>t_c CNL⁷</t>
        </is>
      </c>
      <c r="B15" s="19" t="n">
        <v>0.2687936339436671</v>
      </c>
      <c r="C15" s="19" t="n">
        <v>0.2223222665695167</v>
      </c>
      <c r="D15" s="19" t="n">
        <v>0.2030595441098602</v>
      </c>
      <c r="E15" s="19" t="n">
        <v>0.1807801960858241</v>
      </c>
      <c r="F15" s="19" t="n">
        <v>0.1945408742742841</v>
      </c>
      <c r="G15" s="19" t="n">
        <v>0.1893892868991308</v>
      </c>
      <c r="H15" s="19" t="n">
        <v>0.200497846921088</v>
      </c>
      <c r="I15" s="19" t="n">
        <v>0.2191029148419558</v>
      </c>
      <c r="J15" s="19" t="n">
        <v>0.2249912607389186</v>
      </c>
      <c r="K15" s="19" t="n">
        <v>0.257016117962319</v>
      </c>
      <c r="L15" s="19" t="n">
        <v>0.2769439593706956</v>
      </c>
      <c r="M15" s="19" t="n">
        <v>0.3144671965949911</v>
      </c>
      <c r="N15" s="19" t="n">
        <v>0.3424891500716168</v>
      </c>
      <c r="O15" s="19" t="n">
        <v>0.3380981676898543</v>
      </c>
      <c r="P15" s="19" t="n">
        <v>0.342638349620699</v>
      </c>
      <c r="Q15" s="19" t="n">
        <v>0.3330896211323267</v>
      </c>
      <c r="R15" s="19" t="n">
        <v>0.3275197357355145</v>
      </c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</row>
    <row r="16" ht="15" customHeight="1" s="115">
      <c r="A16" s="74" t="inlineStr">
        <is>
          <t>Implied t-1 CNL</t>
        </is>
      </c>
      <c r="B16" s="20">
        <f>B15-($AD$14-B14)*0.65%</f>
        <v/>
      </c>
      <c r="C16" s="20">
        <f>C15-($AD$14-C14)*0.65%</f>
        <v/>
      </c>
      <c r="D16" s="20">
        <f>D15-($AD$14-D14)*0.65%</f>
        <v/>
      </c>
      <c r="E16" s="20">
        <f>E15-($AD$14-E14)*0.65%</f>
        <v/>
      </c>
      <c r="F16" s="20">
        <f>F15-($AD$14-F14)*0.65%</f>
        <v/>
      </c>
      <c r="G16" s="20">
        <f>G15-($AD$14-G14)*0.65%</f>
        <v/>
      </c>
      <c r="H16" s="20">
        <f>H15-($AD$14-H14)*0.65%</f>
        <v/>
      </c>
      <c r="I16" s="20">
        <f>I15-($AD$14-I14)*0.65%</f>
        <v/>
      </c>
      <c r="J16" s="20">
        <f>J15-($AD$14-J14)*0.65%</f>
        <v/>
      </c>
      <c r="K16" s="20">
        <f>K15-($AD$14-K14)*0.65%</f>
        <v/>
      </c>
      <c r="L16" s="20">
        <f>L15-($AD$14-L14)*0.65%</f>
        <v/>
      </c>
      <c r="M16" s="20">
        <f>M15-($AD$14-M14)*0.65%</f>
        <v/>
      </c>
      <c r="N16" s="20">
        <f>N15-($AD$14-N14)*0.65%</f>
        <v/>
      </c>
      <c r="O16" s="20">
        <f>O15-($AD$14-O14)*0.65%</f>
        <v/>
      </c>
      <c r="P16" s="20">
        <f>P15-($AD$14-P14)*0.65%</f>
        <v/>
      </c>
      <c r="Q16" s="20">
        <f>Q15-($AD$14-Q14)*0.65%</f>
        <v/>
      </c>
      <c r="R16" s="20">
        <f>R15-($AD$14-R14)*0.65%</f>
        <v/>
      </c>
      <c r="S16" s="20" t="n"/>
      <c r="T16" s="20" t="n"/>
      <c r="U16" s="21" t="n"/>
      <c r="V16" s="21" t="n"/>
      <c r="W16" s="21" t="n"/>
      <c r="X16" s="20" t="n"/>
      <c r="Y16" s="21" t="n"/>
      <c r="Z16" s="20" t="n"/>
      <c r="AA16" s="21" t="n"/>
      <c r="AB16" s="21" t="n"/>
      <c r="AC16" s="21" t="n"/>
      <c r="AD16" s="20" t="n">
        <v>0.2944</v>
      </c>
    </row>
    <row r="18" ht="15" customHeight="1" s="115">
      <c r="A18" s="73" t="inlineStr">
        <is>
          <t>Haircut to Recovery ($1200, 2022 Q3+)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3">
        <f>-0.5*0.75*1200/22000*65</f>
        <v/>
      </c>
      <c r="Q18" s="13">
        <f>-0.5*0.75*1200/22000*65</f>
        <v/>
      </c>
      <c r="R18" s="13">
        <f>-0.5*0.75*1200/22000*65</f>
        <v/>
      </c>
      <c r="S18" s="13">
        <f>-0.5*0.75*1200/22000*65</f>
        <v/>
      </c>
      <c r="T18" s="13">
        <f>-0.5*0.75*1200/22000*65</f>
        <v/>
      </c>
      <c r="U18" s="13">
        <f>-0.5*0.75*1200/22000*65</f>
        <v/>
      </c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F18" s="16" t="n"/>
      <c r="AG18" s="16" t="n"/>
    </row>
    <row r="19" ht="15" customHeight="1" s="115">
      <c r="A19" s="49" t="inlineStr">
        <is>
          <t>1:</t>
        </is>
      </c>
      <c r="B19" s="48" t="inlineStr">
        <is>
          <t>Data includes only KMX accounts with BlackBook data, which ranges from 60-100% of loans, depending on vintage</t>
        </is>
      </c>
    </row>
    <row r="20" ht="15" customHeight="1" s="115">
      <c r="A20" s="49" t="inlineStr">
        <is>
          <t>2:</t>
        </is>
      </c>
      <c r="B20" s="48" t="inlineStr">
        <is>
          <t>Model Score excludes buybacks and high amount financed.</t>
        </is>
      </c>
    </row>
    <row r="21" ht="15" customHeight="1" s="115">
      <c r="A21" s="49" t="inlineStr">
        <is>
          <t>3:</t>
        </is>
      </c>
      <c r="B21" s="48" t="inlineStr">
        <is>
          <t>We are currently working with Pricing to determine how to use Mountain3 scores, there are large discrepancies between model scores as booked and Mountain3 due to what might be centering issues.</t>
        </is>
      </c>
    </row>
    <row r="22" ht="15" customHeight="1" s="115">
      <c r="A22" s="49" t="inlineStr">
        <is>
          <t>4:</t>
        </is>
      </c>
      <c r="B22" s="48" t="inlineStr">
        <is>
          <t>Biggest impacts to Gross Loss Adjustments are Dealer Level, weekday/weekend decision, and high mileage classification.</t>
        </is>
      </c>
    </row>
    <row r="23" ht="15" customHeight="1" s="115">
      <c r="B23" s="48" t="inlineStr">
        <is>
          <t>See Appendix for details on other factors</t>
        </is>
      </c>
    </row>
    <row r="24" ht="15" customHeight="1" s="115">
      <c r="A24" s="49" t="inlineStr">
        <is>
          <t>5:</t>
        </is>
      </c>
      <c r="B24" s="48" t="inlineStr">
        <is>
          <t>LTV adjustments are made using the 10% LTV improvement-&gt;170bps to CNL heuristic, based on BlackBook LTV values.</t>
        </is>
      </c>
    </row>
    <row r="25" ht="15" customHeight="1" s="115">
      <c r="B25" s="48" t="inlineStr">
        <is>
          <t>We removed Recovery Adjustments in KMX to prevent double counting due to BlackBook LTV.</t>
        </is>
      </c>
    </row>
    <row r="26" ht="15" customHeight="1" s="115">
      <c r="A26" s="49" t="inlineStr">
        <is>
          <t>6:</t>
        </is>
      </c>
      <c r="B26" s="48" t="inlineStr">
        <is>
          <t>We expect to replace the LTV adjustment with an updated recovery model coming May 2024 that will account for LTV changes.</t>
        </is>
      </c>
    </row>
    <row r="27" ht="15" customHeight="1" s="115">
      <c r="A27" s="49" t="inlineStr">
        <is>
          <t>7:</t>
        </is>
      </c>
      <c r="B27" s="48" t="inlineStr">
        <is>
          <t>MMI uses adjusted index (2019 seasonality). The MMI Impact compares the actual MMI to a 3% annual growth.</t>
        </is>
      </c>
    </row>
    <row r="28" ht="15" customHeight="1" s="115">
      <c r="B28" s="48" t="inlineStr">
        <is>
          <t>A positive impact of X% means sold recovery will be X% better.</t>
        </is>
      </c>
    </row>
    <row r="29" ht="15" customHeight="1" s="115">
      <c r="A29" s="49" t="inlineStr">
        <is>
          <t>8:</t>
        </is>
      </c>
      <c r="B29" s="48" t="inlineStr">
        <is>
          <t>tc CNL uses UGLY Model projections, and 2023 Q1 blends 75% UGLY Model with 25% Loss Committee.</t>
        </is>
      </c>
    </row>
  </sheetData>
  <mergeCells count="2">
    <mergeCell ref="AH2:AI2"/>
    <mergeCell ref="AH1:AI1"/>
  </mergeCells>
  <pageMargins left="0.7" right="0.7" top="0.75" bottom="0.75" header="0.3" footer="0.3"/>
  <pageSetup orientation="portrait" horizontalDpi="204" verticalDpi="192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30"/>
  <sheetViews>
    <sheetView topLeftCell="W1" zoomScale="160" zoomScaleNormal="160" workbookViewId="0">
      <selection activeCell="BC2" sqref="BC2"/>
    </sheetView>
  </sheetViews>
  <sheetFormatPr baseColWidth="8" defaultRowHeight="14.5"/>
  <cols>
    <col width="34.26953125" customWidth="1" style="115" min="1" max="1"/>
    <col width="5.26953125" customWidth="1" style="115" min="2" max="55"/>
  </cols>
  <sheetData>
    <row r="1" ht="24" customFormat="1" customHeight="1" s="41">
      <c r="A1" s="27" t="inlineStr">
        <is>
          <t>KMX¹</t>
        </is>
      </c>
      <c r="B1" s="28" t="n">
        <v>2016</v>
      </c>
      <c r="C1" s="28" t="n">
        <v>2017</v>
      </c>
      <c r="D1" s="28" t="n">
        <v>2018</v>
      </c>
      <c r="E1" s="28" t="n">
        <v>2019</v>
      </c>
      <c r="F1" s="28" t="inlineStr">
        <is>
          <t>2020 M01</t>
        </is>
      </c>
      <c r="G1" s="28" t="inlineStr">
        <is>
          <t>2020 M02</t>
        </is>
      </c>
      <c r="H1" s="28" t="inlineStr">
        <is>
          <t>2020 M03</t>
        </is>
      </c>
      <c r="I1" s="28" t="inlineStr">
        <is>
          <t>2020 M04</t>
        </is>
      </c>
      <c r="J1" s="28" t="inlineStr">
        <is>
          <t>2020 M05</t>
        </is>
      </c>
      <c r="K1" s="28" t="inlineStr">
        <is>
          <t>2020 M06</t>
        </is>
      </c>
      <c r="L1" s="28" t="inlineStr">
        <is>
          <t>2020 M07</t>
        </is>
      </c>
      <c r="M1" s="28" t="inlineStr">
        <is>
          <t>2020 M08</t>
        </is>
      </c>
      <c r="N1" s="28" t="inlineStr">
        <is>
          <t>2020 M09</t>
        </is>
      </c>
      <c r="O1" s="28" t="inlineStr">
        <is>
          <t>2020 M10</t>
        </is>
      </c>
      <c r="P1" s="28" t="inlineStr">
        <is>
          <t>2020 M11</t>
        </is>
      </c>
      <c r="Q1" s="28" t="inlineStr">
        <is>
          <t>2020 M12</t>
        </is>
      </c>
      <c r="R1" s="28" t="inlineStr">
        <is>
          <t>2021 M01</t>
        </is>
      </c>
      <c r="S1" s="28" t="inlineStr">
        <is>
          <t>2021 M02</t>
        </is>
      </c>
      <c r="T1" s="28" t="inlineStr">
        <is>
          <t>2021 M03</t>
        </is>
      </c>
      <c r="U1" s="28" t="inlineStr">
        <is>
          <t>2021 M04</t>
        </is>
      </c>
      <c r="V1" s="28" t="inlineStr">
        <is>
          <t>2021 M05</t>
        </is>
      </c>
      <c r="W1" s="28" t="inlineStr">
        <is>
          <t>2021 M06</t>
        </is>
      </c>
      <c r="X1" s="28" t="inlineStr">
        <is>
          <t>2021 M07</t>
        </is>
      </c>
      <c r="Y1" s="28" t="inlineStr">
        <is>
          <t>2021 M08</t>
        </is>
      </c>
      <c r="Z1" s="28" t="inlineStr">
        <is>
          <t>2021 M09</t>
        </is>
      </c>
      <c r="AA1" s="28" t="inlineStr">
        <is>
          <t>2021 M10</t>
        </is>
      </c>
      <c r="AB1" s="28" t="inlineStr">
        <is>
          <t>2021 M11</t>
        </is>
      </c>
      <c r="AC1" s="28" t="inlineStr">
        <is>
          <t>2021 M12</t>
        </is>
      </c>
      <c r="AD1" s="28" t="inlineStr">
        <is>
          <t>2022 M01</t>
        </is>
      </c>
      <c r="AE1" s="28" t="inlineStr">
        <is>
          <t>2022 M02</t>
        </is>
      </c>
      <c r="AF1" s="28" t="inlineStr">
        <is>
          <t>2022 M03</t>
        </is>
      </c>
      <c r="AG1" s="28" t="inlineStr">
        <is>
          <t>2022 M04</t>
        </is>
      </c>
      <c r="AH1" s="28" t="inlineStr">
        <is>
          <t>2022 M05</t>
        </is>
      </c>
      <c r="AI1" s="28" t="inlineStr">
        <is>
          <t>2022 M06</t>
        </is>
      </c>
      <c r="AJ1" s="28" t="inlineStr">
        <is>
          <t>2022 M07</t>
        </is>
      </c>
      <c r="AK1" s="28" t="inlineStr">
        <is>
          <t>2022 M08</t>
        </is>
      </c>
      <c r="AL1" s="28" t="inlineStr">
        <is>
          <t>2022 M09</t>
        </is>
      </c>
      <c r="AM1" s="28" t="inlineStr">
        <is>
          <t>2022 M10</t>
        </is>
      </c>
      <c r="AN1" s="28" t="inlineStr">
        <is>
          <t>2022 M11</t>
        </is>
      </c>
      <c r="AO1" s="28" t="inlineStr">
        <is>
          <t>2022 M12</t>
        </is>
      </c>
      <c r="AP1" s="28" t="inlineStr">
        <is>
          <t>2023 M01</t>
        </is>
      </c>
      <c r="AQ1" s="28" t="inlineStr">
        <is>
          <t>2023 M02</t>
        </is>
      </c>
      <c r="AR1" s="28" t="inlineStr">
        <is>
          <t>2023 M03</t>
        </is>
      </c>
      <c r="AS1" s="28" t="inlineStr">
        <is>
          <t>2023 M04</t>
        </is>
      </c>
      <c r="AT1" s="28" t="inlineStr">
        <is>
          <t>2023 M05</t>
        </is>
      </c>
      <c r="AU1" s="28" t="inlineStr">
        <is>
          <t>2023 M06</t>
        </is>
      </c>
      <c r="AV1" s="28" t="inlineStr">
        <is>
          <t>2023 M07</t>
        </is>
      </c>
      <c r="AW1" s="28" t="inlineStr">
        <is>
          <t>2023 M08</t>
        </is>
      </c>
      <c r="AX1" s="28" t="inlineStr">
        <is>
          <t>2023 M09</t>
        </is>
      </c>
      <c r="AY1" s="28" t="inlineStr">
        <is>
          <t>2023 M10</t>
        </is>
      </c>
      <c r="AZ1" s="28" t="inlineStr">
        <is>
          <t>2023 M11</t>
        </is>
      </c>
      <c r="BA1" s="28" t="inlineStr">
        <is>
          <t>2023 M12</t>
        </is>
      </c>
      <c r="BB1" s="28" t="inlineStr">
        <is>
          <t>2024 M01</t>
        </is>
      </c>
      <c r="BC1" s="28" t="inlineStr">
        <is>
          <t>2024 M02</t>
        </is>
      </c>
      <c r="BE1" s="28" t="inlineStr">
        <is>
          <t>t-1 manual input</t>
        </is>
      </c>
      <c r="BG1" s="134" t="inlineStr">
        <is>
          <t>Use Reassessed Model Score?</t>
        </is>
      </c>
      <c r="BH1" s="135" t="n"/>
    </row>
    <row r="2" ht="15.75" customHeight="1" s="115" thickBot="1">
      <c r="A2" s="29" t="inlineStr">
        <is>
          <t>Contract Model Score²</t>
        </is>
      </c>
      <c r="B2" s="12">
        <f>'Data Tables (M)'!B56</f>
        <v/>
      </c>
      <c r="C2" s="12">
        <f>'Data Tables (M)'!C56</f>
        <v/>
      </c>
      <c r="D2" s="12">
        <f>'Data Tables (M)'!D56</f>
        <v/>
      </c>
      <c r="E2" s="12">
        <f>'Data Tables (M)'!E56</f>
        <v/>
      </c>
      <c r="F2" s="12">
        <f>'Data Tables (M)'!F56</f>
        <v/>
      </c>
      <c r="G2" s="12">
        <f>'Data Tables (M)'!G56</f>
        <v/>
      </c>
      <c r="H2" s="12">
        <f>'Data Tables (M)'!H56</f>
        <v/>
      </c>
      <c r="I2" s="12">
        <f>'Data Tables (M)'!I56</f>
        <v/>
      </c>
      <c r="J2" s="12">
        <f>'Data Tables (M)'!J56</f>
        <v/>
      </c>
      <c r="K2" s="12">
        <f>'Data Tables (M)'!K56</f>
        <v/>
      </c>
      <c r="L2" s="12">
        <f>'Data Tables (M)'!L56</f>
        <v/>
      </c>
      <c r="M2" s="12">
        <f>'Data Tables (M)'!M56</f>
        <v/>
      </c>
      <c r="N2" s="12">
        <f>'Data Tables (M)'!N56</f>
        <v/>
      </c>
      <c r="O2" s="12">
        <f>'Data Tables (M)'!O56</f>
        <v/>
      </c>
      <c r="P2" s="12">
        <f>'Data Tables (M)'!P56</f>
        <v/>
      </c>
      <c r="Q2" s="12">
        <f>'Data Tables (M)'!Q56</f>
        <v/>
      </c>
      <c r="R2" s="12">
        <f>'Data Tables (M)'!R56</f>
        <v/>
      </c>
      <c r="S2" s="12">
        <f>'Data Tables (M)'!S56</f>
        <v/>
      </c>
      <c r="T2" s="12">
        <f>'Data Tables (M)'!T56</f>
        <v/>
      </c>
      <c r="U2" s="12">
        <f>'Data Tables (M)'!U56</f>
        <v/>
      </c>
      <c r="V2" s="12">
        <f>'Data Tables (M)'!V56</f>
        <v/>
      </c>
      <c r="W2" s="12">
        <f>'Data Tables (M)'!W56</f>
        <v/>
      </c>
      <c r="X2" s="12">
        <f>'Data Tables (M)'!X56</f>
        <v/>
      </c>
      <c r="Y2" s="12">
        <f>'Data Tables (M)'!Y56</f>
        <v/>
      </c>
      <c r="Z2" s="12">
        <f>'Data Tables (M)'!Z56</f>
        <v/>
      </c>
      <c r="AA2" s="12">
        <f>'Data Tables (M)'!AA56</f>
        <v/>
      </c>
      <c r="AB2" s="12">
        <f>'Data Tables (M)'!AB56</f>
        <v/>
      </c>
      <c r="AC2" s="12">
        <f>'Data Tables (M)'!AC56</f>
        <v/>
      </c>
      <c r="AD2" s="12">
        <f>'Data Tables (M)'!AD56</f>
        <v/>
      </c>
      <c r="AE2" s="12">
        <f>'Data Tables (M)'!AE56</f>
        <v/>
      </c>
      <c r="AF2" s="12">
        <f>'Data Tables (M)'!AF56</f>
        <v/>
      </c>
      <c r="AG2" s="12">
        <f>'Data Tables (M)'!AG56</f>
        <v/>
      </c>
      <c r="AH2" s="12">
        <f>'Data Tables (M)'!AH56</f>
        <v/>
      </c>
      <c r="AI2" s="12">
        <f>'Data Tables (M)'!AI56</f>
        <v/>
      </c>
      <c r="AJ2" s="12">
        <f>'Data Tables (M)'!AJ56</f>
        <v/>
      </c>
      <c r="AK2" s="12">
        <f>'Data Tables (M)'!AK56</f>
        <v/>
      </c>
      <c r="AL2" s="12">
        <f>'Data Tables (M)'!AL56</f>
        <v/>
      </c>
      <c r="AM2" s="12">
        <f>'Data Tables (M)'!AM56</f>
        <v/>
      </c>
      <c r="AN2" s="12">
        <f>'Data Tables (M)'!AN56</f>
        <v/>
      </c>
      <c r="AO2" s="12">
        <f>'Data Tables (M)'!AO56</f>
        <v/>
      </c>
      <c r="AP2" s="12">
        <f>'Data Tables (M)'!AP56</f>
        <v/>
      </c>
      <c r="AQ2" s="12">
        <f>'Data Tables (M)'!AQ56</f>
        <v/>
      </c>
      <c r="AR2" s="12">
        <f>'Data Tables (M)'!AR56</f>
        <v/>
      </c>
      <c r="AS2" s="12">
        <f>'Data Tables (M)'!AS56</f>
        <v/>
      </c>
      <c r="AT2" s="12">
        <f>'Data Tables (M)'!AT56</f>
        <v/>
      </c>
      <c r="AU2" s="12">
        <f>'Data Tables (M)'!AU56</f>
        <v/>
      </c>
      <c r="AV2" s="12">
        <f>'Data Tables (M)'!AV56</f>
        <v/>
      </c>
      <c r="AW2" s="12">
        <f>'Data Tables (M)'!AW56</f>
        <v/>
      </c>
      <c r="AX2" s="12">
        <f>'Data Tables (M)'!AX56</f>
        <v/>
      </c>
      <c r="AY2" s="12">
        <f>'Data Tables (M)'!AY56</f>
        <v/>
      </c>
      <c r="AZ2" s="12">
        <f>'Data Tables (M)'!AZ56</f>
        <v/>
      </c>
      <c r="BA2" s="12">
        <f>'Data Tables (M)'!BA56</f>
        <v/>
      </c>
      <c r="BB2" s="12">
        <f>'Data Tables (M)'!BB56</f>
        <v/>
      </c>
      <c r="BC2" s="12">
        <f>'Data Tables (M)'!BC56</f>
        <v/>
      </c>
      <c r="BE2" s="60">
        <f>'t-1 Data Table'!N6</f>
        <v/>
      </c>
      <c r="BG2" s="132" t="n">
        <v>0</v>
      </c>
      <c r="BH2" s="133" t="n"/>
    </row>
    <row r="3">
      <c r="A3" s="27" t="inlineStr">
        <is>
          <t>Shift to Mountain3 Score³</t>
        </is>
      </c>
      <c r="B3" s="13">
        <f>'Data Tables (M)'!B57*BG2</f>
        <v/>
      </c>
      <c r="C3" s="13">
        <f>'Data Tables (M)'!C57*BH2</f>
        <v/>
      </c>
      <c r="D3" s="13">
        <f>'Data Tables (M)'!D57*BI2</f>
        <v/>
      </c>
      <c r="E3" s="13">
        <f>'Data Tables (M)'!E57*BJ2</f>
        <v/>
      </c>
      <c r="F3" s="13">
        <f>'Data Tables (M)'!F57*BK2</f>
        <v/>
      </c>
      <c r="G3" s="13">
        <f>'Data Tables (M)'!G57*BL2</f>
        <v/>
      </c>
      <c r="H3" s="13">
        <f>'Data Tables (M)'!H57*BM2</f>
        <v/>
      </c>
      <c r="I3" s="13">
        <f>'Data Tables (M)'!I57*BN2</f>
        <v/>
      </c>
      <c r="J3" s="13">
        <f>'Data Tables (M)'!J57*BO2</f>
        <v/>
      </c>
      <c r="K3" s="13">
        <f>'Data Tables (M)'!K57*BP2</f>
        <v/>
      </c>
      <c r="L3" s="13">
        <f>'Data Tables (M)'!L57*BQ2</f>
        <v/>
      </c>
      <c r="M3" s="13">
        <f>'Data Tables (M)'!M57*BR2</f>
        <v/>
      </c>
      <c r="N3" s="13">
        <f>'Data Tables (M)'!N57*BS2</f>
        <v/>
      </c>
      <c r="O3" s="13">
        <f>'Data Tables (M)'!O57*BT2</f>
        <v/>
      </c>
      <c r="P3" s="13">
        <f>'Data Tables (M)'!P57*BU2</f>
        <v/>
      </c>
      <c r="Q3" s="13">
        <f>'Data Tables (M)'!Q57*BV2</f>
        <v/>
      </c>
      <c r="R3" s="13">
        <f>'Data Tables (M)'!R57*BW2</f>
        <v/>
      </c>
      <c r="S3" s="13">
        <f>'Data Tables (M)'!S57*BX2</f>
        <v/>
      </c>
      <c r="T3" s="13">
        <f>'Data Tables (M)'!T57*BY2</f>
        <v/>
      </c>
      <c r="U3" s="13">
        <f>'Data Tables (M)'!U57*BZ2</f>
        <v/>
      </c>
      <c r="V3" s="13">
        <f>'Data Tables (M)'!V57*CA2</f>
        <v/>
      </c>
      <c r="W3" s="13">
        <f>'Data Tables (M)'!W57*CB2</f>
        <v/>
      </c>
      <c r="X3" s="13">
        <f>'Data Tables (M)'!X57*CC2</f>
        <v/>
      </c>
      <c r="Y3" s="13">
        <f>'Data Tables (M)'!Y57*CD2</f>
        <v/>
      </c>
      <c r="Z3" s="13">
        <f>'Data Tables (M)'!Z57*CE2</f>
        <v/>
      </c>
      <c r="AA3" s="13">
        <f>'Data Tables (M)'!AA57*CF2</f>
        <v/>
      </c>
      <c r="AB3" s="13">
        <f>'Data Tables (M)'!AB57*CG2</f>
        <v/>
      </c>
      <c r="AC3" s="13">
        <f>'Data Tables (M)'!AC57*CH2</f>
        <v/>
      </c>
      <c r="AD3" s="13">
        <f>'Data Tables (M)'!AD57*CI2</f>
        <v/>
      </c>
      <c r="AE3" s="13" t="inlineStr">
        <is>
          <t>NA</t>
        </is>
      </c>
      <c r="AF3" s="13">
        <f>'Data Tables (M)'!AF57*CK2</f>
        <v/>
      </c>
      <c r="AG3" s="13">
        <f>'Data Tables (M)'!AG57*CL2</f>
        <v/>
      </c>
      <c r="AH3" s="13">
        <f>'Data Tables (M)'!AH57*CM2</f>
        <v/>
      </c>
      <c r="AI3" s="13">
        <f>'Data Tables (M)'!AI57*CN2</f>
        <v/>
      </c>
      <c r="AJ3" s="13">
        <f>'Data Tables (M)'!AJ57*CO2</f>
        <v/>
      </c>
      <c r="AK3" s="13">
        <f>'Data Tables (M)'!AK57*CP2</f>
        <v/>
      </c>
      <c r="AL3" s="13">
        <f>'Data Tables (M)'!AL57*CQ2</f>
        <v/>
      </c>
      <c r="AM3" s="13">
        <f>'Data Tables (M)'!AM57*CR2</f>
        <v/>
      </c>
      <c r="AN3" s="13">
        <f>'Data Tables (M)'!AN57*CS2</f>
        <v/>
      </c>
      <c r="AO3" s="13">
        <f>'Data Tables (M)'!AO57*CT2</f>
        <v/>
      </c>
      <c r="AP3" s="13">
        <f>'Data Tables (M)'!AP57*CU2</f>
        <v/>
      </c>
      <c r="AQ3" s="13">
        <f>'Data Tables (M)'!AQ57*CV2</f>
        <v/>
      </c>
      <c r="AR3" s="13">
        <f>'Data Tables (M)'!AR57*CW2</f>
        <v/>
      </c>
      <c r="AS3" s="13">
        <f>'Data Tables (M)'!AS57*CX2</f>
        <v/>
      </c>
      <c r="AT3" s="13">
        <f>'Data Tables (M)'!AT57*CY2</f>
        <v/>
      </c>
      <c r="AU3" s="13">
        <f>'Data Tables (M)'!AU57*CZ2</f>
        <v/>
      </c>
      <c r="AV3" s="13">
        <f>'Data Tables (M)'!AV57*DA2</f>
        <v/>
      </c>
      <c r="AW3" s="13">
        <f>'Data Tables (M)'!AW57*DB2</f>
        <v/>
      </c>
      <c r="AX3" s="13">
        <f>'Data Tables (M)'!AX57*DC2</f>
        <v/>
      </c>
      <c r="AY3" s="13">
        <f>'Data Tables (M)'!AY57*DD2</f>
        <v/>
      </c>
      <c r="AZ3" s="13" t="inlineStr">
        <is>
          <t>NA</t>
        </is>
      </c>
      <c r="BA3" s="13">
        <f>'Data Tables (M)'!BA57*DF2</f>
        <v/>
      </c>
      <c r="BB3" s="13">
        <f>'Data Tables (M)'!BB57*DG2</f>
        <v/>
      </c>
      <c r="BC3" s="13">
        <f>'Data Tables (M)'!BC57*DH2</f>
        <v/>
      </c>
      <c r="BE3" s="44" t="n">
        <v>0</v>
      </c>
    </row>
    <row r="4" ht="22.5" customHeight="1" s="115">
      <c r="A4" s="29" t="inlineStr">
        <is>
          <t>Gross Loss Adjustments (Dealer level, weekday/weekend, etc.⁴)</t>
        </is>
      </c>
      <c r="B4" s="12">
        <f>'Data Tables (M)'!B58</f>
        <v/>
      </c>
      <c r="C4" s="12">
        <f>'Data Tables (M)'!C58</f>
        <v/>
      </c>
      <c r="D4" s="12">
        <f>'Data Tables (M)'!D58</f>
        <v/>
      </c>
      <c r="E4" s="12">
        <f>'Data Tables (M)'!E58</f>
        <v/>
      </c>
      <c r="F4" s="12">
        <f>'Data Tables (M)'!F58</f>
        <v/>
      </c>
      <c r="G4" s="12">
        <f>'Data Tables (M)'!G58</f>
        <v/>
      </c>
      <c r="H4" s="12">
        <f>'Data Tables (M)'!H58</f>
        <v/>
      </c>
      <c r="I4" s="12">
        <f>'Data Tables (M)'!I58</f>
        <v/>
      </c>
      <c r="J4" s="12">
        <f>'Data Tables (M)'!J58</f>
        <v/>
      </c>
      <c r="K4" s="12">
        <f>'Data Tables (M)'!K58</f>
        <v/>
      </c>
      <c r="L4" s="12">
        <f>'Data Tables (M)'!L58</f>
        <v/>
      </c>
      <c r="M4" s="12">
        <f>'Data Tables (M)'!M58</f>
        <v/>
      </c>
      <c r="N4" s="12">
        <f>'Data Tables (M)'!N58</f>
        <v/>
      </c>
      <c r="O4" s="12">
        <f>'Data Tables (M)'!O58</f>
        <v/>
      </c>
      <c r="P4" s="12">
        <f>'Data Tables (M)'!P58</f>
        <v/>
      </c>
      <c r="Q4" s="12">
        <f>'Data Tables (M)'!Q58</f>
        <v/>
      </c>
      <c r="R4" s="12">
        <f>'Data Tables (M)'!R58</f>
        <v/>
      </c>
      <c r="S4" s="12">
        <f>'Data Tables (M)'!S58</f>
        <v/>
      </c>
      <c r="T4" s="12">
        <f>'Data Tables (M)'!T58</f>
        <v/>
      </c>
      <c r="U4" s="12">
        <f>'Data Tables (M)'!U58</f>
        <v/>
      </c>
      <c r="V4" s="12">
        <f>'Data Tables (M)'!V58</f>
        <v/>
      </c>
      <c r="W4" s="12">
        <f>'Data Tables (M)'!W58</f>
        <v/>
      </c>
      <c r="X4" s="12">
        <f>'Data Tables (M)'!X58</f>
        <v/>
      </c>
      <c r="Y4" s="12">
        <f>'Data Tables (M)'!Y58</f>
        <v/>
      </c>
      <c r="Z4" s="12">
        <f>'Data Tables (M)'!Z58</f>
        <v/>
      </c>
      <c r="AA4" s="12">
        <f>'Data Tables (M)'!AA58</f>
        <v/>
      </c>
      <c r="AB4" s="12">
        <f>'Data Tables (M)'!AB58</f>
        <v/>
      </c>
      <c r="AC4" s="12">
        <f>'Data Tables (M)'!AC58</f>
        <v/>
      </c>
      <c r="AD4" s="12">
        <f>'Data Tables (M)'!AD58</f>
        <v/>
      </c>
      <c r="AE4" s="12" t="inlineStr">
        <is>
          <t>NA</t>
        </is>
      </c>
      <c r="AF4" s="12">
        <f>'Data Tables (M)'!AF58</f>
        <v/>
      </c>
      <c r="AG4" s="12">
        <f>'Data Tables (M)'!AG58</f>
        <v/>
      </c>
      <c r="AH4" s="12">
        <f>'Data Tables (M)'!AH58</f>
        <v/>
      </c>
      <c r="AI4" s="12">
        <f>'Data Tables (M)'!AI58</f>
        <v/>
      </c>
      <c r="AJ4" s="12">
        <f>'Data Tables (M)'!AJ58</f>
        <v/>
      </c>
      <c r="AK4" s="12">
        <f>'Data Tables (M)'!AK58</f>
        <v/>
      </c>
      <c r="AL4" s="12">
        <f>'Data Tables (M)'!AL58</f>
        <v/>
      </c>
      <c r="AM4" s="12">
        <f>'Data Tables (M)'!AM58</f>
        <v/>
      </c>
      <c r="AN4" s="12">
        <f>'Data Tables (M)'!AN58</f>
        <v/>
      </c>
      <c r="AO4" s="12">
        <f>'Data Tables (M)'!AO58</f>
        <v/>
      </c>
      <c r="AP4" s="12">
        <f>'Data Tables (M)'!AP58</f>
        <v/>
      </c>
      <c r="AQ4" s="12">
        <f>'Data Tables (M)'!AQ58</f>
        <v/>
      </c>
      <c r="AR4" s="12">
        <f>'Data Tables (M)'!AR58</f>
        <v/>
      </c>
      <c r="AS4" s="12">
        <f>'Data Tables (M)'!AS58</f>
        <v/>
      </c>
      <c r="AT4" s="12">
        <f>'Data Tables (M)'!AT58</f>
        <v/>
      </c>
      <c r="AU4" s="12">
        <f>'Data Tables (M)'!AU58</f>
        <v/>
      </c>
      <c r="AV4" s="12">
        <f>'Data Tables (M)'!AV58</f>
        <v/>
      </c>
      <c r="AW4" s="12">
        <f>'Data Tables (M)'!AW58</f>
        <v/>
      </c>
      <c r="AX4" s="12">
        <f>'Data Tables (M)'!AX58</f>
        <v/>
      </c>
      <c r="AY4" s="12">
        <f>'Data Tables (M)'!AY58</f>
        <v/>
      </c>
      <c r="AZ4" s="12" t="inlineStr">
        <is>
          <t>NA</t>
        </is>
      </c>
      <c r="BA4" s="12">
        <f>'Data Tables (M)'!BA58</f>
        <v/>
      </c>
      <c r="BB4" s="12">
        <f>'Data Tables (M)'!BB58</f>
        <v/>
      </c>
      <c r="BC4" s="12">
        <f>'Data Tables (M)'!BC58</f>
        <v/>
      </c>
    </row>
    <row r="5" ht="30" customHeight="1" s="115">
      <c r="A5" s="27" t="inlineStr">
        <is>
          <t>BBLTV Adjustment to Recovery⁵ (Accounts for mileage/age and wholesale/retail gap⁶)</t>
        </is>
      </c>
      <c r="B5" s="13">
        <f>(159%/B11-1)/10%*1.7/0.65</f>
        <v/>
      </c>
      <c r="C5" s="13">
        <f>(159%/C11-1)/10%*1.7/0.65</f>
        <v/>
      </c>
      <c r="D5" s="13">
        <f>(159%/D11-1)/10%*1.7/0.65</f>
        <v/>
      </c>
      <c r="E5" s="13">
        <f>(159%/E11-1)/10%*1.7/0.65</f>
        <v/>
      </c>
      <c r="F5" s="13">
        <f>(159%/F11-1)/10%*1.7/0.65</f>
        <v/>
      </c>
      <c r="G5" s="13">
        <f>(159%/G11-1)/10%*1.7/0.65</f>
        <v/>
      </c>
      <c r="H5" s="13">
        <f>(159%/H11-1)/10%*1.7/0.65</f>
        <v/>
      </c>
      <c r="I5" s="13">
        <f>(159%/I11-1)/10%*1.7/0.65</f>
        <v/>
      </c>
      <c r="J5" s="13">
        <f>(159%/J11-1)/10%*1.7/0.65</f>
        <v/>
      </c>
      <c r="K5" s="13">
        <f>(159%/K11-1)/10%*1.7/0.65</f>
        <v/>
      </c>
      <c r="L5" s="13">
        <f>(159%/L11-1)/10%*1.7/0.65</f>
        <v/>
      </c>
      <c r="M5" s="13">
        <f>(159%/M11-1)/10%*1.7/0.65</f>
        <v/>
      </c>
      <c r="N5" s="13">
        <f>(159%/N11-1)/10%*1.7/0.65</f>
        <v/>
      </c>
      <c r="O5" s="13">
        <f>(159%/O11-1)/10%*1.7/0.65</f>
        <v/>
      </c>
      <c r="P5" s="13">
        <f>(159%/P11-1)/10%*1.7/0.65</f>
        <v/>
      </c>
      <c r="Q5" s="13">
        <f>(159%/Q11-1)/10%*1.7/0.65</f>
        <v/>
      </c>
      <c r="R5" s="13">
        <f>(159%/R11-1)/10%*1.7/0.65</f>
        <v/>
      </c>
      <c r="S5" s="13">
        <f>(159%/S11-1)/10%*1.7/0.65</f>
        <v/>
      </c>
      <c r="T5" s="13">
        <f>(159%/T11-1)/10%*1.7/0.65</f>
        <v/>
      </c>
      <c r="U5" s="13">
        <f>(159%/U11-1)/10%*1.7/0.65</f>
        <v/>
      </c>
      <c r="V5" s="13">
        <f>(159%/V11-1)/10%*1.7/0.65</f>
        <v/>
      </c>
      <c r="W5" s="13">
        <f>(159%/W11-1)/10%*1.7/0.65</f>
        <v/>
      </c>
      <c r="X5" s="13">
        <f>(159%/X11-1)/10%*1.7/0.65</f>
        <v/>
      </c>
      <c r="Y5" s="13">
        <f>(159%/Y11-1)/10%*1.7/0.65</f>
        <v/>
      </c>
      <c r="Z5" s="13">
        <f>(159%/Z11-1)/10%*1.7/0.65</f>
        <v/>
      </c>
      <c r="AA5" s="13">
        <f>(159%/AA11-1)/10%*1.7/0.65</f>
        <v/>
      </c>
      <c r="AB5" s="13">
        <f>(159%/AB11-1)/10%*1.7/0.65</f>
        <v/>
      </c>
      <c r="AC5" s="13">
        <f>(159%/AC11-1)/10%*1.7/0.65</f>
        <v/>
      </c>
      <c r="AD5" s="13">
        <f>(159%/AD11-1)/10%*1.7/0.65</f>
        <v/>
      </c>
      <c r="AE5" s="13" t="inlineStr">
        <is>
          <t>NA</t>
        </is>
      </c>
      <c r="AF5" s="13">
        <f>(159%/AF11-1)/10%*1.7/0.65</f>
        <v/>
      </c>
      <c r="AG5" s="13">
        <f>(159%/AG11-1)/10%*1.7/0.65</f>
        <v/>
      </c>
      <c r="AH5" s="13">
        <f>(159%/AH11-1)/10%*1.7/0.65</f>
        <v/>
      </c>
      <c r="AI5" s="13">
        <f>(159%/AI11-1)/10%*1.7/0.65</f>
        <v/>
      </c>
      <c r="AJ5" s="13">
        <f>(159%/AJ11-1)/10%*1.7/0.65</f>
        <v/>
      </c>
      <c r="AK5" s="13">
        <f>(159%/AK11-1)/10%*1.7/0.65</f>
        <v/>
      </c>
      <c r="AL5" s="13">
        <f>(159%/AL11-1)/10%*1.7/0.65</f>
        <v/>
      </c>
      <c r="AM5" s="13">
        <f>(159%/AM11-1)/10%*1.7/0.65</f>
        <v/>
      </c>
      <c r="AN5" s="13">
        <f>(159%/AN11-1)/10%*1.7/0.65</f>
        <v/>
      </c>
      <c r="AO5" s="13">
        <f>(159%/AO11-1)/10%*1.7/0.65</f>
        <v/>
      </c>
      <c r="AP5" s="13">
        <f>(159%/AP11-1)/10%*1.7/0.65</f>
        <v/>
      </c>
      <c r="AQ5" s="13">
        <f>(159%/AQ11-1)/10%*1.7/0.65</f>
        <v/>
      </c>
      <c r="AR5" s="13">
        <f>(159%/AR11-1)/10%*1.7/0.65</f>
        <v/>
      </c>
      <c r="AS5" s="13">
        <f>(159%/AS11-1)/10%*1.7/0.65</f>
        <v/>
      </c>
      <c r="AT5" s="13">
        <f>(159%/AT11-1)/10%*1.7/0.65</f>
        <v/>
      </c>
      <c r="AU5" s="13">
        <f>(159%/AU11-1)/10%*1.7/0.65</f>
        <v/>
      </c>
      <c r="AV5" s="13">
        <f>(159%/AV11-1)/10%*1.7/0.65</f>
        <v/>
      </c>
      <c r="AW5" s="13">
        <f>(159%/AW11-1)/10%*1.7/0.65</f>
        <v/>
      </c>
      <c r="AX5" s="13">
        <f>(159%/AX11-1)/10%*1.7/0.65</f>
        <v/>
      </c>
      <c r="AY5" s="13">
        <f>(159%/AY11-1)/10%*1.7/0.65</f>
        <v/>
      </c>
      <c r="AZ5" s="13" t="inlineStr">
        <is>
          <t>NA</t>
        </is>
      </c>
      <c r="BA5" s="13">
        <f>(159%/BA11-1)/10%*1.7/0.65</f>
        <v/>
      </c>
      <c r="BB5" s="13">
        <f>(159%/BB11-1)/10%*1.7/0.65</f>
        <v/>
      </c>
      <c r="BC5" s="13">
        <f>(159%/BC11-1)/10%*1.7/0.65</f>
        <v/>
      </c>
    </row>
    <row r="6">
      <c r="A6" s="29" t="inlineStr">
        <is>
          <t>RAGU Score</t>
        </is>
      </c>
      <c r="B6" s="12">
        <f>SUM(B2:B5)</f>
        <v/>
      </c>
      <c r="C6" s="12">
        <f>SUM(C2:C5)</f>
        <v/>
      </c>
      <c r="D6" s="12">
        <f>SUM(D2:D5)</f>
        <v/>
      </c>
      <c r="E6" s="12">
        <f>SUM(E2:E5)</f>
        <v/>
      </c>
      <c r="F6" s="12">
        <f>SUM(F2:F5)</f>
        <v/>
      </c>
      <c r="G6" s="12">
        <f>SUM(G2:G5)</f>
        <v/>
      </c>
      <c r="H6" s="12">
        <f>SUM(H2:H5)</f>
        <v/>
      </c>
      <c r="I6" s="12">
        <f>SUM(I2:I5)</f>
        <v/>
      </c>
      <c r="J6" s="12">
        <f>SUM(J2:J5)</f>
        <v/>
      </c>
      <c r="K6" s="12">
        <f>SUM(K2:K5)</f>
        <v/>
      </c>
      <c r="L6" s="12">
        <f>SUM(L2:L5)</f>
        <v/>
      </c>
      <c r="M6" s="12">
        <f>SUM(M2:M5)</f>
        <v/>
      </c>
      <c r="N6" s="12">
        <f>SUM(N2:N5)</f>
        <v/>
      </c>
      <c r="O6" s="12">
        <f>SUM(O2:O5)</f>
        <v/>
      </c>
      <c r="P6" s="12">
        <f>SUM(P2:P5)</f>
        <v/>
      </c>
      <c r="Q6" s="12">
        <f>SUM(Q2:Q5)</f>
        <v/>
      </c>
      <c r="R6" s="12">
        <f>SUM(R2:R5)</f>
        <v/>
      </c>
      <c r="S6" s="12">
        <f>SUM(S2:S5)</f>
        <v/>
      </c>
      <c r="T6" s="12">
        <f>SUM(T2:T5)</f>
        <v/>
      </c>
      <c r="U6" s="12">
        <f>SUM(U2:U5)</f>
        <v/>
      </c>
      <c r="V6" s="12">
        <f>SUM(V2:V5)</f>
        <v/>
      </c>
      <c r="W6" s="12">
        <f>SUM(W2:W5)</f>
        <v/>
      </c>
      <c r="X6" s="12">
        <f>SUM(X2:X5)</f>
        <v/>
      </c>
      <c r="Y6" s="12">
        <f>SUM(Y2:Y5)</f>
        <v/>
      </c>
      <c r="Z6" s="12">
        <f>SUM(Z2:Z5)</f>
        <v/>
      </c>
      <c r="AA6" s="12">
        <f>SUM(AA2:AA5)</f>
        <v/>
      </c>
      <c r="AB6" s="12">
        <f>SUM(AB2:AB5)</f>
        <v/>
      </c>
      <c r="AC6" s="12">
        <f>SUM(AC2:AC5)</f>
        <v/>
      </c>
      <c r="AD6" s="12">
        <f>SUM(AD2:AD5)</f>
        <v/>
      </c>
      <c r="AE6" s="12" t="inlineStr">
        <is>
          <t>NA</t>
        </is>
      </c>
      <c r="AF6" s="12">
        <f>SUM(AF2:AF5)</f>
        <v/>
      </c>
      <c r="AG6" s="12">
        <f>SUM(AG2:AG5)</f>
        <v/>
      </c>
      <c r="AH6" s="12">
        <f>SUM(AH2:AH5)</f>
        <v/>
      </c>
      <c r="AI6" s="12">
        <f>SUM(AI2:AI5)</f>
        <v/>
      </c>
      <c r="AJ6" s="12">
        <f>SUM(AJ2:AJ5)</f>
        <v/>
      </c>
      <c r="AK6" s="12">
        <f>SUM(AK2:AK5)</f>
        <v/>
      </c>
      <c r="AL6" s="12">
        <f>SUM(AL2:AL5)</f>
        <v/>
      </c>
      <c r="AM6" s="12">
        <f>SUM(AM2:AM5)</f>
        <v/>
      </c>
      <c r="AN6" s="12">
        <f>SUM(AN2:AN5)</f>
        <v/>
      </c>
      <c r="AO6" s="12">
        <f>SUM(AO2:AO5)</f>
        <v/>
      </c>
      <c r="AP6" s="12">
        <f>SUM(AP2:AP5)</f>
        <v/>
      </c>
      <c r="AQ6" s="12">
        <f>SUM(AQ2:AQ5)</f>
        <v/>
      </c>
      <c r="AR6" s="12">
        <f>SUM(AR2:AR5)</f>
        <v/>
      </c>
      <c r="AS6" s="12">
        <f>SUM(AS2:AS5)</f>
        <v/>
      </c>
      <c r="AT6" s="12">
        <f>SUM(AT2:AT5)</f>
        <v/>
      </c>
      <c r="AU6" s="12">
        <f>SUM(AU2:AU5)</f>
        <v/>
      </c>
      <c r="AV6" s="12">
        <f>SUM(AV2:AV5)</f>
        <v/>
      </c>
      <c r="AW6" s="12">
        <f>SUM(AW2:AW5)</f>
        <v/>
      </c>
      <c r="AX6" s="12">
        <f>SUM(AX2:AX5)</f>
        <v/>
      </c>
      <c r="AY6" s="12">
        <f>SUM(AY2:AY5)</f>
        <v/>
      </c>
      <c r="AZ6" s="12" t="inlineStr">
        <is>
          <t>NA</t>
        </is>
      </c>
      <c r="BA6" s="12">
        <f>SUM(BA2:BA5)</f>
        <v/>
      </c>
      <c r="BB6" s="12">
        <f>SUM(BB2:BB5)</f>
        <v/>
      </c>
      <c r="BC6" s="12">
        <f>SUM(BC2:BC5)</f>
        <v/>
      </c>
    </row>
    <row r="7" hidden="1" s="115">
      <c r="A7" s="27" t="inlineStr">
        <is>
          <t>Haircut to Recovery ($1200, 2022 Q3+)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3">
        <f>-0.5*0.75*1200/22000*65</f>
        <v/>
      </c>
      <c r="Q7" s="13">
        <f>-0.5*0.75*1200/22000*65</f>
        <v/>
      </c>
      <c r="R7" s="13">
        <f>-0.5*0.75*1200/22000*65</f>
        <v/>
      </c>
      <c r="S7" s="13">
        <f>-0.5*0.75*1200/22000*65</f>
        <v/>
      </c>
      <c r="T7" s="13">
        <f>-0.5*0.75*1200/22000*65</f>
        <v/>
      </c>
      <c r="U7" s="13">
        <f>-0.5*0.75*1200/22000*65</f>
        <v/>
      </c>
      <c r="V7" s="62" t="n"/>
      <c r="W7" s="68" t="n"/>
      <c r="X7" s="68" t="n"/>
      <c r="Y7" s="68" t="n"/>
      <c r="Z7" s="68" t="n"/>
      <c r="AA7" s="68" t="n"/>
      <c r="AB7" s="68" t="n"/>
      <c r="AC7" s="68" t="n"/>
      <c r="AD7" s="68" t="n"/>
      <c r="AE7" s="68" t="n"/>
      <c r="AF7" s="68" t="n"/>
      <c r="AG7" s="68" t="n"/>
      <c r="AH7" s="68" t="n"/>
      <c r="AI7" s="68" t="n"/>
      <c r="AJ7" s="68" t="n"/>
      <c r="AK7" s="68" t="n"/>
      <c r="AL7" s="68" t="n"/>
      <c r="AM7" s="68" t="n"/>
      <c r="AN7" s="68" t="n"/>
      <c r="AO7" s="68" t="n"/>
      <c r="AP7" s="68" t="n"/>
      <c r="AQ7" s="68" t="n"/>
      <c r="AR7" s="68" t="n"/>
      <c r="AS7" s="68" t="n"/>
      <c r="AT7" s="68" t="n"/>
      <c r="AU7" s="68" t="n"/>
      <c r="AV7" s="68" t="n"/>
      <c r="AW7" s="68" t="n"/>
      <c r="AX7" s="68" t="n"/>
      <c r="AY7" s="68" t="n"/>
      <c r="AZ7" s="68" t="n"/>
      <c r="BA7" s="68" t="n"/>
      <c r="BB7" s="68" t="n"/>
      <c r="BC7" s="68" t="n"/>
    </row>
    <row r="8" hidden="1" s="115">
      <c r="A8" s="30" t="inlineStr">
        <is>
          <t>RAGU Score with Haircut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2">
        <f>P6+P7</f>
        <v/>
      </c>
      <c r="Q8" s="12">
        <f>Q6+Q7</f>
        <v/>
      </c>
      <c r="R8" s="12">
        <f>R6+R7</f>
        <v/>
      </c>
      <c r="S8" s="12">
        <f>S6+S7</f>
        <v/>
      </c>
      <c r="T8" s="12">
        <f>T6+T7</f>
        <v/>
      </c>
      <c r="U8" s="12">
        <f>U6+U7</f>
        <v/>
      </c>
      <c r="V8" s="62" t="n"/>
      <c r="W8" s="68" t="n"/>
      <c r="X8" s="68" t="n"/>
      <c r="Y8" s="68" t="n"/>
      <c r="Z8" s="68" t="n"/>
      <c r="AA8" s="68" t="n"/>
      <c r="AB8" s="68" t="n"/>
      <c r="AC8" s="68" t="n"/>
      <c r="AD8" s="68" t="n"/>
      <c r="AE8" s="68" t="n"/>
      <c r="AF8" s="68" t="n"/>
      <c r="AG8" s="68" t="n"/>
      <c r="AH8" s="68" t="n"/>
      <c r="AI8" s="68" t="n"/>
      <c r="AJ8" s="68" t="n"/>
      <c r="AK8" s="68" t="n"/>
      <c r="AL8" s="68" t="n"/>
      <c r="AM8" s="68" t="n"/>
      <c r="AN8" s="68" t="n"/>
      <c r="AO8" s="68" t="n"/>
      <c r="AP8" s="68" t="n"/>
      <c r="AQ8" s="68" t="n"/>
      <c r="AR8" s="68" t="n"/>
      <c r="AS8" s="68" t="n"/>
      <c r="AT8" s="68" t="n"/>
      <c r="AU8" s="68" t="n"/>
      <c r="AV8" s="68" t="n"/>
      <c r="AW8" s="68" t="n"/>
      <c r="AX8" s="68" t="n"/>
      <c r="AY8" s="68" t="n"/>
      <c r="AZ8" s="68" t="n"/>
      <c r="BA8" s="68" t="n"/>
      <c r="BB8" s="68" t="n"/>
      <c r="BC8" s="68" t="n"/>
    </row>
    <row r="9">
      <c r="A9" s="31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6" t="n"/>
      <c r="BB9" s="16" t="n"/>
      <c r="BC9" s="16" t="n"/>
    </row>
    <row r="10">
      <c r="A10" s="32" t="inlineStr">
        <is>
          <t>Context info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</row>
    <row r="11">
      <c r="A11" s="30" t="inlineStr">
        <is>
          <t>BlackBook LTV (Baseline 159%)</t>
        </is>
      </c>
      <c r="B11" s="14">
        <f>'Data Tables (M)'!B62</f>
        <v/>
      </c>
      <c r="C11" s="14">
        <f>'Data Tables (M)'!C62</f>
        <v/>
      </c>
      <c r="D11" s="14">
        <f>'Data Tables (M)'!D62</f>
        <v/>
      </c>
      <c r="E11" s="14">
        <f>'Data Tables (M)'!E62</f>
        <v/>
      </c>
      <c r="F11" s="14">
        <f>'Data Tables (M)'!F62</f>
        <v/>
      </c>
      <c r="G11" s="14">
        <f>'Data Tables (M)'!G62</f>
        <v/>
      </c>
      <c r="H11" s="14">
        <f>'Data Tables (M)'!H62</f>
        <v/>
      </c>
      <c r="I11" s="14">
        <f>'Data Tables (M)'!I62</f>
        <v/>
      </c>
      <c r="J11" s="14">
        <f>'Data Tables (M)'!J62</f>
        <v/>
      </c>
      <c r="K11" s="14">
        <f>'Data Tables (M)'!K62</f>
        <v/>
      </c>
      <c r="L11" s="14">
        <f>'Data Tables (M)'!L62</f>
        <v/>
      </c>
      <c r="M11" s="14">
        <f>'Data Tables (M)'!M62</f>
        <v/>
      </c>
      <c r="N11" s="14">
        <f>'Data Tables (M)'!N62</f>
        <v/>
      </c>
      <c r="O11" s="14">
        <f>'Data Tables (M)'!O62</f>
        <v/>
      </c>
      <c r="P11" s="14">
        <f>'Data Tables (M)'!P62</f>
        <v/>
      </c>
      <c r="Q11" s="14">
        <f>'Data Tables (M)'!Q62</f>
        <v/>
      </c>
      <c r="R11" s="14">
        <f>'Data Tables (M)'!R62</f>
        <v/>
      </c>
      <c r="S11" s="14">
        <f>'Data Tables (M)'!S62</f>
        <v/>
      </c>
      <c r="T11" s="14">
        <f>'Data Tables (M)'!T62</f>
        <v/>
      </c>
      <c r="U11" s="14">
        <f>'Data Tables (M)'!U62</f>
        <v/>
      </c>
      <c r="V11" s="14">
        <f>'Data Tables (M)'!V62</f>
        <v/>
      </c>
      <c r="W11" s="14">
        <f>'Data Tables (M)'!W62</f>
        <v/>
      </c>
      <c r="X11" s="14">
        <f>'Data Tables (M)'!X62</f>
        <v/>
      </c>
      <c r="Y11" s="14">
        <f>'Data Tables (M)'!Y62</f>
        <v/>
      </c>
      <c r="Z11" s="14">
        <f>'Data Tables (M)'!Z62</f>
        <v/>
      </c>
      <c r="AA11" s="14">
        <f>'Data Tables (M)'!AA62</f>
        <v/>
      </c>
      <c r="AB11" s="14">
        <f>'Data Tables (M)'!AB62</f>
        <v/>
      </c>
      <c r="AC11" s="14">
        <f>'Data Tables (M)'!AC62</f>
        <v/>
      </c>
      <c r="AD11" s="14">
        <f>'Data Tables (M)'!AD62</f>
        <v/>
      </c>
      <c r="AE11" s="14">
        <f>'Data Tables (M)'!AE62</f>
        <v/>
      </c>
      <c r="AF11" s="14">
        <f>'Data Tables (M)'!AF62</f>
        <v/>
      </c>
      <c r="AG11" s="14">
        <f>'Data Tables (M)'!AG62</f>
        <v/>
      </c>
      <c r="AH11" s="14">
        <f>'Data Tables (M)'!AH62</f>
        <v/>
      </c>
      <c r="AI11" s="14">
        <f>'Data Tables (M)'!AI62</f>
        <v/>
      </c>
      <c r="AJ11" s="14">
        <f>'Data Tables (M)'!AJ62</f>
        <v/>
      </c>
      <c r="AK11" s="14">
        <f>'Data Tables (M)'!AK62</f>
        <v/>
      </c>
      <c r="AL11" s="14">
        <f>'Data Tables (M)'!AL62</f>
        <v/>
      </c>
      <c r="AM11" s="14">
        <f>'Data Tables (M)'!AM62</f>
        <v/>
      </c>
      <c r="AN11" s="14">
        <f>'Data Tables (M)'!AN62</f>
        <v/>
      </c>
      <c r="AO11" s="14">
        <f>'Data Tables (M)'!AO62</f>
        <v/>
      </c>
      <c r="AP11" s="14">
        <f>'Data Tables (M)'!AP62</f>
        <v/>
      </c>
      <c r="AQ11" s="14">
        <f>'Data Tables (M)'!AQ62</f>
        <v/>
      </c>
      <c r="AR11" s="14">
        <f>'Data Tables (M)'!AR62</f>
        <v/>
      </c>
      <c r="AS11" s="14">
        <f>'Data Tables (M)'!AS62</f>
        <v/>
      </c>
      <c r="AT11" s="14">
        <f>'Data Tables (M)'!AT62</f>
        <v/>
      </c>
      <c r="AU11" s="14">
        <f>'Data Tables (M)'!AU62</f>
        <v/>
      </c>
      <c r="AV11" s="14">
        <f>'Data Tables (M)'!AV62</f>
        <v/>
      </c>
      <c r="AW11" s="14">
        <f>'Data Tables (M)'!AW62</f>
        <v/>
      </c>
      <c r="AX11" s="14">
        <f>'Data Tables (M)'!AX62</f>
        <v/>
      </c>
      <c r="AY11" s="14">
        <f>'Data Tables (M)'!AY62</f>
        <v/>
      </c>
      <c r="AZ11" s="14">
        <f>'Data Tables (M)'!AZ62</f>
        <v/>
      </c>
      <c r="BA11" s="14">
        <f>'Data Tables (M)'!BA62</f>
        <v/>
      </c>
      <c r="BB11" s="14">
        <f>'Data Tables (M)'!BB62</f>
        <v/>
      </c>
      <c r="BC11" s="14">
        <f>'Data Tables (M)'!BC62</f>
        <v/>
      </c>
    </row>
    <row r="12">
      <c r="A12" s="27" t="inlineStr">
        <is>
          <t>Origination MMI</t>
        </is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</row>
    <row r="13">
      <c r="A13" s="30" t="inlineStr">
        <is>
          <t>MMI Impact⁷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3" t="n"/>
      <c r="Y13" s="33" t="n"/>
      <c r="Z13" s="33" t="n"/>
      <c r="AA13" s="33" t="n"/>
      <c r="AB13" s="33" t="n"/>
      <c r="AC13" s="33" t="n"/>
      <c r="AD13" s="33" t="n"/>
      <c r="AE13" s="33" t="n"/>
      <c r="AF13" s="33" t="n"/>
      <c r="AG13" s="33" t="n"/>
      <c r="AH13" s="33" t="n"/>
      <c r="AI13" s="33" t="n"/>
      <c r="AJ13" s="33" t="n"/>
      <c r="AK13" s="33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  <c r="BB13" s="33" t="n"/>
      <c r="BC13" s="33" t="n"/>
    </row>
    <row r="14">
      <c r="A14" s="27" t="inlineStr">
        <is>
          <t>Adjustment to RAGU Score from MMI</t>
        </is>
      </c>
      <c r="B14" s="45" t="n"/>
      <c r="C14" s="45" t="n"/>
      <c r="D14" s="45" t="n"/>
      <c r="E14" s="45" t="n"/>
      <c r="F14" s="45" t="n"/>
      <c r="G14" s="45" t="n"/>
      <c r="H14" s="45" t="n"/>
      <c r="I14" s="45" t="n"/>
      <c r="J14" s="45" t="n"/>
      <c r="K14" s="45" t="n"/>
      <c r="L14" s="45" t="n"/>
      <c r="M14" s="45" t="n"/>
      <c r="N14" s="45" t="n"/>
      <c r="O14" s="45" t="n"/>
      <c r="P14" s="45" t="n"/>
      <c r="Q14" s="45" t="n"/>
      <c r="R14" s="45" t="n"/>
      <c r="S14" s="45" t="n"/>
      <c r="T14" s="45" t="n"/>
      <c r="U14" s="45" t="n"/>
      <c r="V14" s="45" t="n"/>
      <c r="W14" s="45" t="n"/>
      <c r="X14" s="45" t="n"/>
      <c r="Y14" s="45" t="n"/>
      <c r="Z14" s="45" t="n"/>
      <c r="AA14" s="45" t="n"/>
      <c r="AB14" s="45" t="n"/>
      <c r="AC14" s="45" t="n"/>
      <c r="AD14" s="45" t="n"/>
      <c r="AE14" s="45" t="n"/>
      <c r="AF14" s="45" t="n"/>
      <c r="AG14" s="45" t="n"/>
      <c r="AH14" s="45" t="n"/>
      <c r="AI14" s="45" t="n"/>
      <c r="AJ14" s="45" t="n"/>
      <c r="AK14" s="45" t="n"/>
      <c r="AL14" s="45" t="n"/>
      <c r="AM14" s="45" t="n"/>
      <c r="AN14" s="45" t="n"/>
      <c r="AO14" s="45" t="n"/>
      <c r="AP14" s="45" t="n"/>
      <c r="AQ14" s="45" t="n"/>
      <c r="AR14" s="45" t="n"/>
      <c r="AS14" s="45" t="n"/>
      <c r="AT14" s="45" t="n"/>
      <c r="AU14" s="45" t="n"/>
      <c r="AV14" s="45" t="n"/>
      <c r="AW14" s="45" t="n"/>
      <c r="AX14" s="45" t="n"/>
      <c r="AY14" s="45" t="n"/>
      <c r="AZ14" s="45" t="n"/>
      <c r="BA14" s="45" t="n"/>
      <c r="BB14" s="45" t="n"/>
      <c r="BC14" s="45" t="n"/>
    </row>
    <row r="15">
      <c r="A15" s="30" t="inlineStr">
        <is>
          <t>RAGU Score (adjusted for MMI)</t>
        </is>
      </c>
      <c r="B15" s="12">
        <f>B14+B6</f>
        <v/>
      </c>
      <c r="C15" s="12">
        <f>C14+C6</f>
        <v/>
      </c>
      <c r="D15" s="12">
        <f>D14+D6</f>
        <v/>
      </c>
      <c r="E15" s="12">
        <f>E14+E6</f>
        <v/>
      </c>
      <c r="F15" s="12">
        <f>F14+F6</f>
        <v/>
      </c>
      <c r="G15" s="12">
        <f>G14+G6</f>
        <v/>
      </c>
      <c r="H15" s="12">
        <f>H14+H6</f>
        <v/>
      </c>
      <c r="I15" s="12">
        <f>I14+I6</f>
        <v/>
      </c>
      <c r="J15" s="12">
        <f>J14+J6</f>
        <v/>
      </c>
      <c r="K15" s="12">
        <f>K14+K6</f>
        <v/>
      </c>
      <c r="L15" s="12">
        <f>L14+L6</f>
        <v/>
      </c>
      <c r="M15" s="12">
        <f>M14+M6</f>
        <v/>
      </c>
      <c r="N15" s="12">
        <f>N14+N6</f>
        <v/>
      </c>
      <c r="O15" s="12">
        <f>O14+O6</f>
        <v/>
      </c>
      <c r="P15" s="12">
        <f>P14+P6</f>
        <v/>
      </c>
      <c r="Q15" s="12">
        <f>Q14+Q6</f>
        <v/>
      </c>
      <c r="R15" s="12">
        <f>R14+R6</f>
        <v/>
      </c>
      <c r="S15" s="12">
        <f>S14+S6</f>
        <v/>
      </c>
      <c r="T15" s="12">
        <f>T14+T6</f>
        <v/>
      </c>
      <c r="U15" s="12">
        <f>U14+U6</f>
        <v/>
      </c>
      <c r="V15" s="12">
        <f>V14+V6</f>
        <v/>
      </c>
      <c r="W15" s="12">
        <f>W14+W6</f>
        <v/>
      </c>
      <c r="X15" s="12">
        <f>X14+X6</f>
        <v/>
      </c>
      <c r="Y15" s="12">
        <f>Y14+Y6</f>
        <v/>
      </c>
      <c r="Z15" s="12">
        <f>Z14+Z6</f>
        <v/>
      </c>
      <c r="AA15" s="12">
        <f>AA14+AA6</f>
        <v/>
      </c>
      <c r="AB15" s="12">
        <f>AB14+AB6</f>
        <v/>
      </c>
      <c r="AC15" s="12">
        <f>AC14+AC6</f>
        <v/>
      </c>
      <c r="AD15" s="12">
        <f>AD14+AD6</f>
        <v/>
      </c>
      <c r="AE15" s="12" t="inlineStr">
        <is>
          <t>NA</t>
        </is>
      </c>
      <c r="AF15" s="12">
        <f>AF14+AF6</f>
        <v/>
      </c>
      <c r="AG15" s="12">
        <f>AG14+AG6</f>
        <v/>
      </c>
      <c r="AH15" s="12">
        <f>AH14+AH6</f>
        <v/>
      </c>
      <c r="AI15" s="12">
        <f>AI14+AI6</f>
        <v/>
      </c>
      <c r="AJ15" s="12">
        <f>AJ14+AJ6</f>
        <v/>
      </c>
      <c r="AK15" s="12">
        <f>AK14+AK6</f>
        <v/>
      </c>
      <c r="AL15" s="12">
        <f>AL14+AL6</f>
        <v/>
      </c>
      <c r="AM15" s="12">
        <f>AM14+AM6</f>
        <v/>
      </c>
      <c r="AN15" s="12">
        <f>AN14+AN6</f>
        <v/>
      </c>
      <c r="AO15" s="12">
        <f>AO14+AO6</f>
        <v/>
      </c>
      <c r="AP15" s="12">
        <f>AP14+AP6</f>
        <v/>
      </c>
      <c r="AQ15" s="12">
        <f>AQ14+AQ6</f>
        <v/>
      </c>
      <c r="AR15" s="12">
        <f>AR14+AR6</f>
        <v/>
      </c>
      <c r="AS15" s="12">
        <f>AS14+AS6</f>
        <v/>
      </c>
      <c r="AT15" s="12">
        <f>AT14+AT6</f>
        <v/>
      </c>
      <c r="AU15" s="12">
        <f>AU14+AU6</f>
        <v/>
      </c>
      <c r="AV15" s="12">
        <f>AV14+AV6</f>
        <v/>
      </c>
      <c r="AW15" s="12">
        <f>AW14+AW6</f>
        <v/>
      </c>
      <c r="AX15" s="12">
        <f>AX14+AX6</f>
        <v/>
      </c>
      <c r="AY15" s="12">
        <f>AY14+AY6</f>
        <v/>
      </c>
      <c r="AZ15" s="12" t="inlineStr">
        <is>
          <t>NA</t>
        </is>
      </c>
      <c r="BA15" s="12">
        <f>BA14+BA6</f>
        <v/>
      </c>
      <c r="BB15" s="12">
        <f>BB14+BB6</f>
        <v/>
      </c>
      <c r="BC15" s="12">
        <f>BC14+BC6</f>
        <v/>
      </c>
    </row>
    <row r="16">
      <c r="A16" s="27" t="inlineStr">
        <is>
          <t>t_c CNL⁸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69" t="n"/>
      <c r="X16" s="69" t="n"/>
      <c r="Y16" s="69" t="n"/>
      <c r="Z16" s="69" t="n"/>
      <c r="AA16" s="69" t="n"/>
      <c r="AB16" s="69" t="n"/>
      <c r="AC16" s="69" t="n"/>
      <c r="AD16" s="69" t="n"/>
      <c r="AE16" s="69" t="n"/>
      <c r="AF16" s="69" t="n"/>
      <c r="AG16" s="69" t="n"/>
      <c r="AH16" s="69" t="n"/>
      <c r="AI16" s="69" t="n"/>
      <c r="AJ16" s="69" t="n"/>
      <c r="AK16" s="69" t="n"/>
      <c r="AL16" s="69" t="n"/>
      <c r="AM16" s="69" t="n"/>
      <c r="AN16" s="69" t="n"/>
      <c r="AO16" s="69" t="n"/>
      <c r="AP16" s="69" t="n"/>
      <c r="AQ16" s="69" t="n"/>
      <c r="AR16" s="69" t="n"/>
      <c r="AS16" s="69" t="n"/>
      <c r="AT16" s="69" t="n"/>
      <c r="AU16" s="69" t="n"/>
      <c r="AV16" s="69" t="n"/>
      <c r="AW16" s="69" t="n"/>
      <c r="AX16" s="69" t="n"/>
      <c r="AY16" s="69" t="n"/>
      <c r="AZ16" s="69" t="n"/>
      <c r="BA16" s="69" t="n"/>
      <c r="BB16" s="69" t="n"/>
      <c r="BC16" s="69" t="n"/>
    </row>
    <row r="17">
      <c r="A17" s="34" t="inlineStr">
        <is>
          <t>Implied t-1 CNL</t>
        </is>
      </c>
      <c r="B17" s="20">
        <f>B16-($BC$15-B15)*0.65%</f>
        <v/>
      </c>
      <c r="C17" s="20">
        <f>C16-($BC$15-C15)*0.65%</f>
        <v/>
      </c>
      <c r="D17" s="20">
        <f>D16-($BC$15-D15)*0.65%</f>
        <v/>
      </c>
      <c r="E17" s="20">
        <f>E16-($BC$15-E15)*0.65%</f>
        <v/>
      </c>
      <c r="F17" s="20">
        <f>F16-($BC$15-F15)*0.65%</f>
        <v/>
      </c>
      <c r="G17" s="20">
        <f>G16-($BC$15-G15)*0.65%</f>
        <v/>
      </c>
      <c r="H17" s="20">
        <f>H16-($BC$15-H15)*0.65%</f>
        <v/>
      </c>
      <c r="I17" s="20">
        <f>I16-($BC$15-I15)*0.65%</f>
        <v/>
      </c>
      <c r="J17" s="20">
        <f>J16-($BC$15-J15)*0.65%</f>
        <v/>
      </c>
      <c r="K17" s="20">
        <f>K16-($BC$15-K15)*0.65%</f>
        <v/>
      </c>
      <c r="L17" s="20">
        <f>L16-($BC$15-L15)*0.65%</f>
        <v/>
      </c>
      <c r="M17" s="20">
        <f>M16-($BC$15-M15)*0.65%</f>
        <v/>
      </c>
      <c r="N17" s="20">
        <f>N16-($BC$15-N15)*0.65%</f>
        <v/>
      </c>
      <c r="O17" s="20">
        <f>O16-($BC$15-O15)*0.65%</f>
        <v/>
      </c>
      <c r="P17" s="20">
        <f>P16-($BC$15-P15)*0.65%</f>
        <v/>
      </c>
      <c r="Q17" s="20">
        <f>Q16-($BC$15-Q15)*0.65%</f>
        <v/>
      </c>
      <c r="R17" s="20">
        <f>R16-($BC$15-R15)*0.65%</f>
        <v/>
      </c>
      <c r="S17" s="20">
        <f>S16-($BC$15-S15)*0.65%</f>
        <v/>
      </c>
      <c r="T17" s="20">
        <f>T16-($BC$15-T15)*0.65%</f>
        <v/>
      </c>
      <c r="U17" s="20">
        <f>U16-($BC$15-U15)*0.65%</f>
        <v/>
      </c>
      <c r="V17" s="20">
        <f>V16-($BC$15-V15)*0.65%</f>
        <v/>
      </c>
      <c r="W17" s="20">
        <f>W16-($BC$15-W15)*0.65%</f>
        <v/>
      </c>
      <c r="X17" s="20">
        <f>X16-($BC$15-X15)*0.65%</f>
        <v/>
      </c>
      <c r="Y17" s="20">
        <f>Y16-($BC$15-Y15)*0.65%</f>
        <v/>
      </c>
      <c r="Z17" s="20">
        <f>Z16-($BC$15-Z15)*0.65%</f>
        <v/>
      </c>
      <c r="AA17" s="20">
        <f>AA16-($BC$15-AA15)*0.65%</f>
        <v/>
      </c>
      <c r="AB17" s="20">
        <f>AB16-($BC$15-AB15)*0.65%</f>
        <v/>
      </c>
      <c r="AC17" s="20">
        <f>AC16-($BC$15-AC15)*0.65%</f>
        <v/>
      </c>
      <c r="AD17" s="20">
        <f>AD16-($BC$15-AD15)*0.65%</f>
        <v/>
      </c>
      <c r="AE17" s="20" t="inlineStr">
        <is>
          <t>NA</t>
        </is>
      </c>
      <c r="AF17" s="20">
        <f>AF16-($BC$15-AF15)*0.65%</f>
        <v/>
      </c>
      <c r="AG17" s="20">
        <f>AG16-($BC$15-AG15)*0.65%</f>
        <v/>
      </c>
      <c r="AH17" s="20">
        <f>AH16-($BC$15-AH15)*0.65%</f>
        <v/>
      </c>
      <c r="AI17" s="20">
        <f>AI16-($BC$15-AI15)*0.65%</f>
        <v/>
      </c>
      <c r="AJ17" s="20">
        <f>AJ16-($BC$15-AJ15)*0.65%</f>
        <v/>
      </c>
      <c r="AK17" s="20">
        <f>AK16-($BC$15-AK15)*0.65%</f>
        <v/>
      </c>
      <c r="AL17" s="20">
        <f>AL16-($BC$15-AL15)*0.65%</f>
        <v/>
      </c>
      <c r="AM17" s="20">
        <f>AM16-($BC$15-AM15)*0.65%</f>
        <v/>
      </c>
      <c r="AN17" s="20">
        <f>AN16-($BC$15-AN15)*0.65%</f>
        <v/>
      </c>
      <c r="AO17" s="20">
        <f>AO16-($BC$15-AO15)*0.65%</f>
        <v/>
      </c>
      <c r="AP17" s="20">
        <f>AP16-($BC$15-AP15)*0.65%</f>
        <v/>
      </c>
      <c r="AQ17" s="20">
        <f>AQ16-($BC$15-AQ15)*0.65%</f>
        <v/>
      </c>
      <c r="AR17" s="20">
        <f>AR16-($BC$15-AR15)*0.65%</f>
        <v/>
      </c>
      <c r="AS17" s="20">
        <f>AS16-($BC$15-AS15)*0.65%</f>
        <v/>
      </c>
      <c r="AT17" s="20">
        <f>AT16-($BC$15-AT15)*0.65%</f>
        <v/>
      </c>
      <c r="AU17" s="20">
        <f>AU16-($BC$15-AU15)*0.65%</f>
        <v/>
      </c>
      <c r="AV17" s="20">
        <f>AV16-($BC$15-AV15)*0.65%</f>
        <v/>
      </c>
      <c r="AW17" s="20">
        <f>AW16-($BC$15-AW15)*0.65%</f>
        <v/>
      </c>
      <c r="AX17" s="20">
        <f>AX16-($BC$15-AX15)*0.65%</f>
        <v/>
      </c>
      <c r="AY17" s="20">
        <f>AY16-($BC$15-AY15)*0.65%</f>
        <v/>
      </c>
      <c r="AZ17" s="20" t="inlineStr">
        <is>
          <t>NA</t>
        </is>
      </c>
      <c r="BA17" s="20">
        <f>BA16-($BC$15-BA15)*0.65%</f>
        <v/>
      </c>
      <c r="BB17" s="20">
        <f>BB16-($BC$15-BB15)*0.65%</f>
        <v/>
      </c>
      <c r="BC17" s="70" t="n"/>
    </row>
    <row r="18">
      <c r="D18" t="inlineStr">
        <is>
          <t>UNDER CONSTRUCTION</t>
        </is>
      </c>
    </row>
    <row r="20">
      <c r="A20" s="49" t="inlineStr">
        <is>
          <t>1:</t>
        </is>
      </c>
      <c r="B20" s="48" t="inlineStr">
        <is>
          <t>Data includes only KMX accounts with BlackBook data, which ranges from 60-100% of loans, depending on vintage</t>
        </is>
      </c>
    </row>
    <row r="21">
      <c r="A21" s="49" t="inlineStr">
        <is>
          <t>2:</t>
        </is>
      </c>
      <c r="B21" s="48" t="inlineStr">
        <is>
          <t>Model Score excludes buybacks and high amount financed.</t>
        </is>
      </c>
    </row>
    <row r="22">
      <c r="A22" s="49" t="inlineStr">
        <is>
          <t>3:</t>
        </is>
      </c>
      <c r="B22" s="48" t="inlineStr">
        <is>
          <t>We are currently working with Pricing to determine how to use Mountain3 scores, there are large discrepancies between model scores as booked and Mountain3 due to what might be centering issues.</t>
        </is>
      </c>
    </row>
    <row r="23">
      <c r="A23" s="49" t="inlineStr">
        <is>
          <t>4:</t>
        </is>
      </c>
      <c r="B23" s="48" t="inlineStr">
        <is>
          <t>Biggest impacts to Gross Loss Adjustments are Dealer Level, weekday/weekend decision, and high mileage classification.</t>
        </is>
      </c>
    </row>
    <row r="24">
      <c r="A24" s="41" t="n"/>
      <c r="B24" s="48" t="inlineStr">
        <is>
          <t>See Appendix for details on other factors</t>
        </is>
      </c>
    </row>
    <row r="25">
      <c r="A25" s="49" t="inlineStr">
        <is>
          <t>5:</t>
        </is>
      </c>
      <c r="B25" s="48" t="inlineStr">
        <is>
          <t>LTV adjustments are made using the 10% LTV improvement-&gt;170bps to CNL heuristic, based on BlackBook LTV values.</t>
        </is>
      </c>
    </row>
    <row r="26">
      <c r="A26" s="41" t="n"/>
      <c r="B26" s="48" t="inlineStr">
        <is>
          <t>We removed Recovery Adjustments in KMX to prevent double counting due to BlackBook LTV.</t>
        </is>
      </c>
    </row>
    <row r="27">
      <c r="A27" s="49" t="inlineStr">
        <is>
          <t>6:</t>
        </is>
      </c>
      <c r="B27" s="48" t="inlineStr">
        <is>
          <t>We expect to replace the LTV adjustment with an updated recovery model coming May 2024 that will account for LTV changes.</t>
        </is>
      </c>
    </row>
    <row r="28">
      <c r="A28" s="49" t="inlineStr">
        <is>
          <t>7:</t>
        </is>
      </c>
      <c r="B28" s="48" t="inlineStr">
        <is>
          <t>MMI uses adjusted index (2019 seasonality). The MMI Impact compares the actual MMI to a 3% annual growth.</t>
        </is>
      </c>
    </row>
    <row r="29">
      <c r="A29" s="41" t="n"/>
      <c r="B29" s="48" t="inlineStr">
        <is>
          <t>A positive impact of X% means sold recovery will be X% better.</t>
        </is>
      </c>
    </row>
    <row r="30">
      <c r="A30" s="49" t="inlineStr">
        <is>
          <t>8:</t>
        </is>
      </c>
      <c r="B30" s="48" t="inlineStr">
        <is>
          <t>tc CNL uses UGLY Model projections, and 2023 Q1 blends 75% UGLY Model with 25% Loss Committee.</t>
        </is>
      </c>
    </row>
  </sheetData>
  <mergeCells count="2">
    <mergeCell ref="BG1:BH1"/>
    <mergeCell ref="BG2:BH2"/>
  </mergeCells>
  <pageMargins left="0.7" right="0.7" top="0.75" bottom="0.75" header="0.3" footer="0.3"/>
  <pageSetup orientation="portrait" horizontalDpi="204" verticalDpi="192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27"/>
  <sheetViews>
    <sheetView zoomScale="160" zoomScaleNormal="160" workbookViewId="0">
      <selection activeCell="V16" sqref="V16"/>
    </sheetView>
  </sheetViews>
  <sheetFormatPr baseColWidth="8" defaultRowHeight="14.5"/>
  <cols>
    <col width="34.26953125" customWidth="1" style="115" min="1" max="1"/>
    <col width="5.26953125" customWidth="1" style="115" min="2" max="22"/>
  </cols>
  <sheetData>
    <row r="1" ht="24" customHeight="1" s="115">
      <c r="A1" s="35" t="inlineStr">
        <is>
          <t>FRN, STG, AN, FLD</t>
        </is>
      </c>
      <c r="B1" s="28" t="n">
        <v>2016</v>
      </c>
      <c r="C1" s="28" t="n">
        <v>2017</v>
      </c>
      <c r="D1" s="28" t="n">
        <v>2018</v>
      </c>
      <c r="E1" s="28" t="n">
        <v>2019</v>
      </c>
      <c r="F1" s="28" t="inlineStr">
        <is>
          <t>2020 Q1</t>
        </is>
      </c>
      <c r="G1" s="28" t="inlineStr">
        <is>
          <t>2020 Q2</t>
        </is>
      </c>
      <c r="H1" s="28" t="inlineStr">
        <is>
          <t>2020 Q3</t>
        </is>
      </c>
      <c r="I1" s="28" t="inlineStr">
        <is>
          <t>2020 Q4</t>
        </is>
      </c>
      <c r="J1" s="28" t="inlineStr">
        <is>
          <t>2021 Q1</t>
        </is>
      </c>
      <c r="K1" s="28" t="inlineStr">
        <is>
          <t>2021 Q2</t>
        </is>
      </c>
      <c r="L1" s="28" t="inlineStr">
        <is>
          <t>2021 Q3</t>
        </is>
      </c>
      <c r="M1" s="28" t="inlineStr">
        <is>
          <t>2021 Q4</t>
        </is>
      </c>
      <c r="N1" s="28" t="inlineStr">
        <is>
          <t>2022 Q1</t>
        </is>
      </c>
      <c r="O1" s="28" t="inlineStr">
        <is>
          <t>2022 Q2</t>
        </is>
      </c>
      <c r="P1" s="28" t="inlineStr">
        <is>
          <t>2022 Q3</t>
        </is>
      </c>
      <c r="Q1" s="28" t="inlineStr">
        <is>
          <t>2022 Q4</t>
        </is>
      </c>
      <c r="R1" s="28" t="inlineStr">
        <is>
          <t>2023 Q1</t>
        </is>
      </c>
      <c r="S1" s="28" t="inlineStr">
        <is>
          <t>2023 Q2</t>
        </is>
      </c>
      <c r="T1" s="28" t="inlineStr">
        <is>
          <t>2023 Q3</t>
        </is>
      </c>
      <c r="U1" s="28" t="inlineStr">
        <is>
          <t>2023 Q4</t>
        </is>
      </c>
      <c r="V1" s="56" t="inlineStr">
        <is>
          <t>t-1</t>
        </is>
      </c>
      <c r="X1" s="28" t="inlineStr">
        <is>
          <t>t-1 manual input</t>
        </is>
      </c>
      <c r="Y1" s="79" t="inlineStr">
        <is>
          <t>Use Recent Month?</t>
        </is>
      </c>
      <c r="Z1" s="134" t="inlineStr">
        <is>
          <t>Use Reassessed Model Score?</t>
        </is>
      </c>
      <c r="AA1" s="135" t="n"/>
    </row>
    <row r="2" ht="15" customHeight="1" s="115" thickBot="1">
      <c r="A2" s="38" t="inlineStr">
        <is>
          <t>Contract Model Score¹</t>
        </is>
      </c>
      <c r="B2" s="12">
        <f>'Data Tables (Q)'!B47</f>
        <v/>
      </c>
      <c r="C2" s="12">
        <f>'Data Tables (Q)'!C47</f>
        <v/>
      </c>
      <c r="D2" s="12">
        <f>'Data Tables (Q)'!D47</f>
        <v/>
      </c>
      <c r="E2" s="12">
        <f>'Data Tables (Q)'!E47</f>
        <v/>
      </c>
      <c r="F2" s="12">
        <f>'Data Tables (Q)'!F47</f>
        <v/>
      </c>
      <c r="G2" s="12">
        <f>'Data Tables (Q)'!G47</f>
        <v/>
      </c>
      <c r="H2" s="12">
        <f>'Data Tables (Q)'!H47</f>
        <v/>
      </c>
      <c r="I2" s="12">
        <f>'Data Tables (Q)'!I47</f>
        <v/>
      </c>
      <c r="J2" s="12">
        <f>'Data Tables (Q)'!J47</f>
        <v/>
      </c>
      <c r="K2" s="12">
        <f>'Data Tables (Q)'!K47</f>
        <v/>
      </c>
      <c r="L2" s="12">
        <f>'Data Tables (Q)'!L47</f>
        <v/>
      </c>
      <c r="M2" s="12">
        <f>'Data Tables (Q)'!M47</f>
        <v/>
      </c>
      <c r="N2" s="12">
        <f>'Data Tables (Q)'!N47</f>
        <v/>
      </c>
      <c r="O2" s="12">
        <f>'Data Tables (Q)'!O47</f>
        <v/>
      </c>
      <c r="P2" s="12">
        <f>'Data Tables (Q)'!P47</f>
        <v/>
      </c>
      <c r="Q2" s="12">
        <f>'Data Tables (Q)'!Q47</f>
        <v/>
      </c>
      <c r="R2" s="12">
        <f>'Data Tables (Q)'!R47</f>
        <v/>
      </c>
      <c r="S2" s="12">
        <f>'Data Tables (Q)'!S47</f>
        <v/>
      </c>
      <c r="T2" s="12">
        <f>'Data Tables (Q)'!T47</f>
        <v/>
      </c>
      <c r="U2" s="12">
        <f>'Data Tables (Q)'!U47</f>
        <v/>
      </c>
      <c r="V2" s="12">
        <f>'Data Tables (M)'!BC47*$Z$4+X2*(1-$Z$4)</f>
        <v/>
      </c>
      <c r="X2" s="61">
        <f>'t-1 Data Table'!N8</f>
        <v/>
      </c>
      <c r="Y2" s="75" t="n">
        <v>0</v>
      </c>
      <c r="Z2" s="136" t="n">
        <v>0</v>
      </c>
      <c r="AA2" s="137" t="n"/>
    </row>
    <row r="3" ht="15" customHeight="1" s="115">
      <c r="A3" s="43" t="inlineStr">
        <is>
          <t>Shift to FRN 3.1 Score²</t>
        </is>
      </c>
      <c r="B3" s="13">
        <f>'Data Tables (Q)'!B48*$Z$2</f>
        <v/>
      </c>
      <c r="C3" s="13">
        <f>'Data Tables (Q)'!C48*$Z$2</f>
        <v/>
      </c>
      <c r="D3" s="13">
        <f>'Data Tables (Q)'!D48*$Z$2</f>
        <v/>
      </c>
      <c r="E3" s="13">
        <f>'Data Tables (Q)'!E48*$Z$2</f>
        <v/>
      </c>
      <c r="F3" s="13">
        <f>'Data Tables (Q)'!F48*$Z$2</f>
        <v/>
      </c>
      <c r="G3" s="13">
        <f>'Data Tables (Q)'!G48*$Z$2</f>
        <v/>
      </c>
      <c r="H3" s="13">
        <f>'Data Tables (Q)'!H48*$Z$2</f>
        <v/>
      </c>
      <c r="I3" s="13">
        <f>'Data Tables (Q)'!I48*$Z$2</f>
        <v/>
      </c>
      <c r="J3" s="13">
        <f>'Data Tables (Q)'!J48*$Z$2</f>
        <v/>
      </c>
      <c r="K3" s="13">
        <f>'Data Tables (Q)'!K48*$Z$2</f>
        <v/>
      </c>
      <c r="L3" s="13">
        <f>'Data Tables (Q)'!L48*$Z$2</f>
        <v/>
      </c>
      <c r="M3" s="13">
        <f>'Data Tables (Q)'!M48*$Z$2</f>
        <v/>
      </c>
      <c r="N3" s="13">
        <f>'Data Tables (Q)'!N48*$Z$2</f>
        <v/>
      </c>
      <c r="O3" s="13">
        <f>'Data Tables (Q)'!O48*$Z$2</f>
        <v/>
      </c>
      <c r="P3" s="13">
        <f>'Data Tables (Q)'!P48*$Z$2</f>
        <v/>
      </c>
      <c r="Q3" s="13">
        <f>'Data Tables (Q)'!Q48*$Z$2</f>
        <v/>
      </c>
      <c r="R3" s="13">
        <f>'Data Tables (Q)'!R48*$Z$2</f>
        <v/>
      </c>
      <c r="S3" s="13">
        <f>'Data Tables (Q)'!S48*$Z$2</f>
        <v/>
      </c>
      <c r="T3" s="13">
        <f>'Data Tables (Q)'!T48*$Z$2</f>
        <v/>
      </c>
      <c r="U3" s="13">
        <f>'Data Tables (Q)'!U48*$Z$2</f>
        <v/>
      </c>
      <c r="V3" s="13">
        <f>('Data Tables (M)'!BC48*$Z$4+X3*(1-$Z$4))*$Z$2</f>
        <v/>
      </c>
      <c r="X3" s="44" t="n">
        <v>0</v>
      </c>
      <c r="Y3" s="17" t="n">
        <v>1</v>
      </c>
      <c r="Z3" s="140" t="inlineStr">
        <is>
          <t>Use Recent Month for t-1?</t>
        </is>
      </c>
      <c r="AA3" s="141" t="n"/>
    </row>
    <row r="4" ht="15" customHeight="1" s="115" thickBot="1">
      <c r="A4" s="38" t="inlineStr">
        <is>
          <t>Gross Loss Adjustments (Dealer level, high PTI, etc.)³</t>
        </is>
      </c>
      <c r="B4" s="12">
        <f>'Data Tables (Q)'!B49</f>
        <v/>
      </c>
      <c r="C4" s="12">
        <f>'Data Tables (Q)'!C49</f>
        <v/>
      </c>
      <c r="D4" s="12">
        <f>'Data Tables (Q)'!D49</f>
        <v/>
      </c>
      <c r="E4" s="12">
        <f>'Data Tables (Q)'!E49</f>
        <v/>
      </c>
      <c r="F4" s="12">
        <f>'Data Tables (Q)'!F49</f>
        <v/>
      </c>
      <c r="G4" s="12">
        <f>'Data Tables (Q)'!G49</f>
        <v/>
      </c>
      <c r="H4" s="12">
        <f>'Data Tables (Q)'!H49</f>
        <v/>
      </c>
      <c r="I4" s="12">
        <f>'Data Tables (Q)'!I49</f>
        <v/>
      </c>
      <c r="J4" s="12">
        <f>'Data Tables (Q)'!J49</f>
        <v/>
      </c>
      <c r="K4" s="12">
        <f>'Data Tables (Q)'!K49</f>
        <v/>
      </c>
      <c r="L4" s="12">
        <f>'Data Tables (Q)'!L49</f>
        <v/>
      </c>
      <c r="M4" s="12">
        <f>'Data Tables (Q)'!M49</f>
        <v/>
      </c>
      <c r="N4" s="12">
        <f>'Data Tables (Q)'!N49</f>
        <v/>
      </c>
      <c r="O4" s="12">
        <f>'Data Tables (Q)'!O49</f>
        <v/>
      </c>
      <c r="P4" s="12">
        <f>'Data Tables (Q)'!P49</f>
        <v/>
      </c>
      <c r="Q4" s="12">
        <f>'Data Tables (Q)'!Q49</f>
        <v/>
      </c>
      <c r="R4" s="12">
        <f>'Data Tables (Q)'!R49</f>
        <v/>
      </c>
      <c r="S4" s="12">
        <f>'Data Tables (Q)'!S49</f>
        <v/>
      </c>
      <c r="T4" s="12">
        <f>'Data Tables (Q)'!T49</f>
        <v/>
      </c>
      <c r="U4" s="12">
        <f>'Data Tables (Q)'!U49</f>
        <v/>
      </c>
      <c r="V4" s="12">
        <f>'Data Tables (M)'!BC49*$Z$4+X4*(1-$Z$4)</f>
        <v/>
      </c>
      <c r="X4" s="9" t="n"/>
      <c r="Y4" s="17" t="n">
        <v>1</v>
      </c>
      <c r="Z4" s="138" t="n">
        <v>1</v>
      </c>
      <c r="AA4" s="139" t="n"/>
    </row>
    <row r="5" ht="30" customHeight="1" s="115">
      <c r="A5" s="36" t="inlineStr">
        <is>
          <t>Recovery Adjustments excluding LTV (Mileage, vehicle type, etc.)⁴</t>
        </is>
      </c>
      <c r="B5" s="13">
        <f>'Data Tables (Q)'!B50</f>
        <v/>
      </c>
      <c r="C5" s="13">
        <f>'Data Tables (Q)'!C50</f>
        <v/>
      </c>
      <c r="D5" s="13">
        <f>'Data Tables (Q)'!D50</f>
        <v/>
      </c>
      <c r="E5" s="13">
        <f>'Data Tables (Q)'!E50</f>
        <v/>
      </c>
      <c r="F5" s="13">
        <f>'Data Tables (Q)'!F50</f>
        <v/>
      </c>
      <c r="G5" s="13">
        <f>'Data Tables (Q)'!G50</f>
        <v/>
      </c>
      <c r="H5" s="13">
        <f>'Data Tables (Q)'!H50</f>
        <v/>
      </c>
      <c r="I5" s="13">
        <f>'Data Tables (Q)'!I50</f>
        <v/>
      </c>
      <c r="J5" s="13">
        <f>'Data Tables (Q)'!J50</f>
        <v/>
      </c>
      <c r="K5" s="13">
        <f>'Data Tables (Q)'!K50</f>
        <v/>
      </c>
      <c r="L5" s="13">
        <f>'Data Tables (Q)'!L50</f>
        <v/>
      </c>
      <c r="M5" s="13">
        <f>'Data Tables (Q)'!M50</f>
        <v/>
      </c>
      <c r="N5" s="13">
        <f>'Data Tables (Q)'!N50</f>
        <v/>
      </c>
      <c r="O5" s="13">
        <f>'Data Tables (Q)'!O50</f>
        <v/>
      </c>
      <c r="P5" s="13">
        <f>'Data Tables (Q)'!P50</f>
        <v/>
      </c>
      <c r="Q5" s="13">
        <f>'Data Tables (Q)'!Q50</f>
        <v/>
      </c>
      <c r="R5" s="13">
        <f>'Data Tables (Q)'!R50</f>
        <v/>
      </c>
      <c r="S5" s="13">
        <f>'Data Tables (Q)'!S50</f>
        <v/>
      </c>
      <c r="T5" s="13">
        <f>'Data Tables (Q)'!T50</f>
        <v/>
      </c>
      <c r="U5" s="13">
        <f>'Data Tables (Q)'!U50</f>
        <v/>
      </c>
      <c r="V5" s="13">
        <f>'Data Tables (M)'!BC50*$Z$4+X5*(1-$Z$4)</f>
        <v/>
      </c>
      <c r="X5" s="9" t="n"/>
      <c r="Y5" s="17" t="n">
        <v>1</v>
      </c>
    </row>
    <row r="6" ht="15" customHeight="1" s="115">
      <c r="A6" s="38" t="inlineStr">
        <is>
          <t>BBLTV Adjustments⁵</t>
        </is>
      </c>
      <c r="B6" s="12">
        <f>(194%/B10-1)/10%*1.7</f>
        <v/>
      </c>
      <c r="C6" s="12">
        <f>(194%/C10-1)/10%*1.7</f>
        <v/>
      </c>
      <c r="D6" s="12">
        <f>(194%/D10-1)/10%*1.7</f>
        <v/>
      </c>
      <c r="E6" s="12">
        <f>(194%/E10-1)/10%*1.7</f>
        <v/>
      </c>
      <c r="F6" s="12">
        <f>(194%/F10-1)/10%*1.7</f>
        <v/>
      </c>
      <c r="G6" s="12">
        <f>(194%/G10-1)/10%*1.7</f>
        <v/>
      </c>
      <c r="H6" s="12">
        <f>(194%/H10-1)/10%*1.7</f>
        <v/>
      </c>
      <c r="I6" s="12">
        <f>(194%/I10-1)/10%*1.7</f>
        <v/>
      </c>
      <c r="J6" s="12">
        <f>(194%/J10-1)/10%*1.7</f>
        <v/>
      </c>
      <c r="K6" s="12">
        <f>(194%/K10-1)/10%*1.7</f>
        <v/>
      </c>
      <c r="L6" s="12">
        <f>(194%/L10-1)/10%*1.7</f>
        <v/>
      </c>
      <c r="M6" s="12">
        <f>(194%/M10-1)/10%*1.7</f>
        <v/>
      </c>
      <c r="N6" s="12">
        <f>(194%/N10-1)/10%*1.7</f>
        <v/>
      </c>
      <c r="O6" s="12">
        <f>(194%/O10-1)/10%*1.7</f>
        <v/>
      </c>
      <c r="P6" s="12">
        <f>(194%/P10-1)/10%*1.7</f>
        <v/>
      </c>
      <c r="Q6" s="12">
        <f>(194%/Q10-1)/10%*1.7</f>
        <v/>
      </c>
      <c r="R6" s="12">
        <f>(194%/R10-1)/10%*1.7</f>
        <v/>
      </c>
      <c r="S6" s="12">
        <f>(194%/S10-1)/10%*1.7</f>
        <v/>
      </c>
      <c r="T6" s="12">
        <f>(194%/T10-1)/10%*1.7</f>
        <v/>
      </c>
      <c r="U6" s="12">
        <f>(194%/U10-1)/10%*1.7</f>
        <v/>
      </c>
      <c r="V6" s="12">
        <f>(194%/V10-1)/10%*1.7</f>
        <v/>
      </c>
      <c r="Y6" s="16" t="n"/>
    </row>
    <row r="7" ht="15" customHeight="1" s="115">
      <c r="A7" s="36" t="inlineStr">
        <is>
          <t>RAGU Score</t>
        </is>
      </c>
      <c r="B7" s="13">
        <f>SUM(B2:B6)</f>
        <v/>
      </c>
      <c r="C7" s="13">
        <f>SUM(C2:C6)</f>
        <v/>
      </c>
      <c r="D7" s="13">
        <f>SUM(D2:D6)</f>
        <v/>
      </c>
      <c r="E7" s="13">
        <f>SUM(E2:E6)</f>
        <v/>
      </c>
      <c r="F7" s="13">
        <f>SUM(F2:F6)</f>
        <v/>
      </c>
      <c r="G7" s="13">
        <f>SUM(G2:G6)</f>
        <v/>
      </c>
      <c r="H7" s="13">
        <f>SUM(H2:H6)</f>
        <v/>
      </c>
      <c r="I7" s="13">
        <f>SUM(I2:I6)</f>
        <v/>
      </c>
      <c r="J7" s="13">
        <f>SUM(J2:J6)</f>
        <v/>
      </c>
      <c r="K7" s="13">
        <f>SUM(K2:K6)</f>
        <v/>
      </c>
      <c r="L7" s="13">
        <f>SUM(L2:L6)</f>
        <v/>
      </c>
      <c r="M7" s="13">
        <f>SUM(M2:M6)</f>
        <v/>
      </c>
      <c r="N7" s="13">
        <f>SUM(N2:N6)</f>
        <v/>
      </c>
      <c r="O7" s="13">
        <f>SUM(O2:O6)</f>
        <v/>
      </c>
      <c r="P7" s="13">
        <f>SUM(P2:P6)</f>
        <v/>
      </c>
      <c r="Q7" s="13">
        <f>SUM(Q2:Q6)</f>
        <v/>
      </c>
      <c r="R7" s="13">
        <f>SUM(R2:R6)</f>
        <v/>
      </c>
      <c r="S7" s="13">
        <f>SUM(S2:S6)</f>
        <v/>
      </c>
      <c r="T7" s="13">
        <f>SUM(T2:T6)</f>
        <v/>
      </c>
      <c r="U7" s="13">
        <f>SUM(U2:U6)</f>
        <v/>
      </c>
      <c r="V7" s="13">
        <f>SUM(V2:V6)</f>
        <v/>
      </c>
      <c r="Y7" s="16" t="n"/>
    </row>
    <row r="8" ht="15" customHeight="1" s="115">
      <c r="A8" s="40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Y8" s="16" t="n"/>
    </row>
    <row r="9" ht="15" customHeight="1" s="115">
      <c r="A9" s="42" t="inlineStr">
        <is>
          <t>Context info</t>
        </is>
      </c>
      <c r="B9" s="47" t="inlineStr">
        <is>
          <t>NOTE: 194 as a baseline may not work 2020 forward, because FLD has a different baseline</t>
        </is>
      </c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Y9" s="16" t="n"/>
    </row>
    <row r="10" ht="15" customHeight="1" s="115">
      <c r="A10" s="39" t="inlineStr">
        <is>
          <t>BlackBook LTV (Baseline 194%)</t>
        </is>
      </c>
      <c r="B10" s="14">
        <f>'Data Tables (Q)'!B53</f>
        <v/>
      </c>
      <c r="C10" s="14">
        <f>'Data Tables (Q)'!C53</f>
        <v/>
      </c>
      <c r="D10" s="14">
        <f>'Data Tables (Q)'!D53</f>
        <v/>
      </c>
      <c r="E10" s="14">
        <f>'Data Tables (Q)'!E53</f>
        <v/>
      </c>
      <c r="F10" s="14">
        <f>'Data Tables (Q)'!F53</f>
        <v/>
      </c>
      <c r="G10" s="14">
        <f>'Data Tables (Q)'!G53</f>
        <v/>
      </c>
      <c r="H10" s="14">
        <f>'Data Tables (Q)'!H53</f>
        <v/>
      </c>
      <c r="I10" s="14">
        <f>'Data Tables (Q)'!I53</f>
        <v/>
      </c>
      <c r="J10" s="14">
        <f>'Data Tables (Q)'!J53</f>
        <v/>
      </c>
      <c r="K10" s="14">
        <f>'Data Tables (Q)'!K53</f>
        <v/>
      </c>
      <c r="L10" s="14">
        <f>'Data Tables (Q)'!L53</f>
        <v/>
      </c>
      <c r="M10" s="14">
        <f>'Data Tables (Q)'!M53</f>
        <v/>
      </c>
      <c r="N10" s="14">
        <f>'Data Tables (Q)'!N53</f>
        <v/>
      </c>
      <c r="O10" s="14">
        <f>'Data Tables (Q)'!O53</f>
        <v/>
      </c>
      <c r="P10" s="14">
        <f>'Data Tables (Q)'!P53</f>
        <v/>
      </c>
      <c r="Q10" s="14">
        <f>'Data Tables (Q)'!Q53</f>
        <v/>
      </c>
      <c r="R10" s="14">
        <f>'Data Tables (Q)'!R53</f>
        <v/>
      </c>
      <c r="S10" s="14">
        <f>'Data Tables (Q)'!S53</f>
        <v/>
      </c>
      <c r="T10" s="14">
        <f>'Data Tables (Q)'!T53</f>
        <v/>
      </c>
      <c r="U10" s="14">
        <f>'Data Tables (Q)'!U53</f>
        <v/>
      </c>
      <c r="V10" s="14">
        <f>'Data Tables (M)'!BC53*$Z$4+X10*(1-$Z$4)</f>
        <v/>
      </c>
      <c r="X10" s="9" t="n"/>
      <c r="Y10" s="17" t="n">
        <v>1</v>
      </c>
    </row>
    <row r="11" ht="15" customHeight="1" s="115">
      <c r="A11" s="43" t="inlineStr">
        <is>
          <t>Origination MMI</t>
        </is>
      </c>
      <c r="B11" s="11" t="n">
        <v>136.4</v>
      </c>
      <c r="C11" s="11" t="n">
        <v>141.3</v>
      </c>
      <c r="D11" s="11" t="n">
        <v>148</v>
      </c>
      <c r="E11" s="11" t="n">
        <v>151.5</v>
      </c>
      <c r="F11" s="11" t="n">
        <v>156.6</v>
      </c>
      <c r="G11" s="11" t="n">
        <v>149.5</v>
      </c>
      <c r="H11" s="11" t="n">
        <v>178.6</v>
      </c>
      <c r="I11" s="11" t="n">
        <v>176.8</v>
      </c>
      <c r="J11" s="11" t="n">
        <v>184.6</v>
      </c>
      <c r="K11" s="11" t="n">
        <v>221.5</v>
      </c>
      <c r="L11" s="11" t="n">
        <v>212.1</v>
      </c>
      <c r="M11" s="11" t="n">
        <v>253.6</v>
      </c>
      <c r="N11" s="11" t="n">
        <v>252.3</v>
      </c>
      <c r="O11" s="11" t="n">
        <v>243</v>
      </c>
      <c r="P11" s="11" t="n">
        <v>230</v>
      </c>
      <c r="Q11" s="11" t="n">
        <v>217.6</v>
      </c>
      <c r="R11" s="11" t="n">
        <v>234.5</v>
      </c>
      <c r="S11" s="11" t="n">
        <v>224.5</v>
      </c>
      <c r="T11" s="11" t="n">
        <v>212.2</v>
      </c>
      <c r="U11" s="11" t="n">
        <v>206.4</v>
      </c>
      <c r="V11" s="18" t="n">
        <v>201.1</v>
      </c>
    </row>
    <row r="12" ht="15" customHeight="1" s="115">
      <c r="A12" s="37" t="inlineStr">
        <is>
          <t>MMI Impact⁶</t>
        </is>
      </c>
      <c r="B12" s="33" t="n">
        <v>0.04</v>
      </c>
      <c r="C12" s="33" t="n">
        <v>0.11</v>
      </c>
      <c r="D12" s="33" t="n">
        <v>0.13</v>
      </c>
      <c r="E12" s="33" t="n">
        <v>0.146</v>
      </c>
      <c r="F12" s="33" t="n">
        <v>0.297</v>
      </c>
      <c r="G12" s="33" t="n">
        <v>0.305</v>
      </c>
      <c r="H12" s="33" t="n">
        <v>0.221</v>
      </c>
      <c r="I12" s="33" t="n">
        <v>0.217</v>
      </c>
      <c r="J12" s="33" t="n">
        <v>0.234</v>
      </c>
      <c r="K12" s="33" t="n">
        <v>0.08699999999999999</v>
      </c>
      <c r="L12" s="33" t="n">
        <v>0.022</v>
      </c>
      <c r="M12" s="33" t="n">
        <v>-0.112</v>
      </c>
      <c r="N12" s="33" t="n">
        <v>-0.15</v>
      </c>
      <c r="O12" s="33" t="n">
        <v>-0.186</v>
      </c>
      <c r="P12" s="33" t="n">
        <v>-0.177</v>
      </c>
      <c r="Q12" s="33" t="n">
        <v>-0.155</v>
      </c>
      <c r="R12" s="33" t="n">
        <v>-0.177</v>
      </c>
      <c r="S12" s="33" t="n">
        <v>-0.159</v>
      </c>
      <c r="T12" s="33" t="n">
        <v>-0.113</v>
      </c>
      <c r="U12" s="33" t="n">
        <v>-0.081</v>
      </c>
      <c r="V12" s="33" t="n">
        <v>-0.08699999999999999</v>
      </c>
    </row>
    <row r="13" ht="15" customHeight="1" s="115">
      <c r="A13" s="36" t="inlineStr">
        <is>
          <t>Adjustment to RAGU Score from MMI</t>
        </is>
      </c>
      <c r="B13" s="45">
        <f>B12/10%*1.7</f>
        <v/>
      </c>
      <c r="C13" s="45">
        <f>C12/10%*1.7</f>
        <v/>
      </c>
      <c r="D13" s="45">
        <f>D12/10%*1.7</f>
        <v/>
      </c>
      <c r="E13" s="45">
        <f>E12/10%*1.7</f>
        <v/>
      </c>
      <c r="F13" s="45">
        <f>F12/10%*1.7</f>
        <v/>
      </c>
      <c r="G13" s="45">
        <f>G12/10%*1.7</f>
        <v/>
      </c>
      <c r="H13" s="45">
        <f>H12/10%*1.7</f>
        <v/>
      </c>
      <c r="I13" s="45">
        <f>I12/10%*1.7</f>
        <v/>
      </c>
      <c r="J13" s="45">
        <f>J12/10%*1.7</f>
        <v/>
      </c>
      <c r="K13" s="45">
        <f>K12/10%*1.7</f>
        <v/>
      </c>
      <c r="L13" s="45">
        <f>L12/10%*1.7</f>
        <v/>
      </c>
      <c r="M13" s="45">
        <f>M12/10%*1.7</f>
        <v/>
      </c>
      <c r="N13" s="45">
        <f>N12/10%*1.7</f>
        <v/>
      </c>
      <c r="O13" s="45">
        <f>O12/10%*1.7</f>
        <v/>
      </c>
      <c r="P13" s="45">
        <f>P12/10%*1.7</f>
        <v/>
      </c>
      <c r="Q13" s="45">
        <f>Q12/10%*1.7</f>
        <v/>
      </c>
      <c r="R13" s="45">
        <f>R12/10%*1.7</f>
        <v/>
      </c>
      <c r="S13" s="45">
        <f>S12/10%*1.7</f>
        <v/>
      </c>
      <c r="T13" s="45">
        <f>T12/10%*1.7</f>
        <v/>
      </c>
      <c r="U13" s="45">
        <f>U12/10%*1.7</f>
        <v/>
      </c>
      <c r="V13" s="45">
        <f>V12/10%*1.7</f>
        <v/>
      </c>
    </row>
    <row r="14" ht="15" customHeight="1" s="115">
      <c r="A14" s="38" t="inlineStr">
        <is>
          <t>RAGU Score (adjusted for MMI)</t>
        </is>
      </c>
      <c r="B14" s="12">
        <f>B7+B13</f>
        <v/>
      </c>
      <c r="C14" s="12">
        <f>C7+C13</f>
        <v/>
      </c>
      <c r="D14" s="12">
        <f>D7+D13</f>
        <v/>
      </c>
      <c r="E14" s="12">
        <f>E7+E13</f>
        <v/>
      </c>
      <c r="F14" s="12">
        <f>F7+F13</f>
        <v/>
      </c>
      <c r="G14" s="12">
        <f>G7+G13</f>
        <v/>
      </c>
      <c r="H14" s="12">
        <f>H7+H13</f>
        <v/>
      </c>
      <c r="I14" s="12">
        <f>I7+I13</f>
        <v/>
      </c>
      <c r="J14" s="12">
        <f>J7+J13</f>
        <v/>
      </c>
      <c r="K14" s="12">
        <f>K7+K13</f>
        <v/>
      </c>
      <c r="L14" s="12">
        <f>L7+L13</f>
        <v/>
      </c>
      <c r="M14" s="12">
        <f>M7+M13</f>
        <v/>
      </c>
      <c r="N14" s="12">
        <f>N7+N13</f>
        <v/>
      </c>
      <c r="O14" s="12">
        <f>O7+O13</f>
        <v/>
      </c>
      <c r="P14" s="12">
        <f>P7+P13</f>
        <v/>
      </c>
      <c r="Q14" s="12">
        <f>Q7+Q13</f>
        <v/>
      </c>
      <c r="R14" s="12">
        <f>R7+R13</f>
        <v/>
      </c>
      <c r="S14" s="12">
        <f>S7+S13</f>
        <v/>
      </c>
      <c r="T14" s="12">
        <f>T7+T13</f>
        <v/>
      </c>
      <c r="U14" s="12">
        <f>U7+U13</f>
        <v/>
      </c>
      <c r="V14" s="12">
        <f>V7+V13</f>
        <v/>
      </c>
    </row>
    <row r="15" ht="15" customHeight="1" s="115">
      <c r="A15" s="36" t="inlineStr">
        <is>
          <t>t_c CNL⁷</t>
        </is>
      </c>
      <c r="B15" s="19" t="n">
        <v>0.304</v>
      </c>
      <c r="C15" s="19" t="n">
        <v>0.262</v>
      </c>
      <c r="D15" s="19" t="n">
        <v>0.254</v>
      </c>
      <c r="E15" s="19" t="n">
        <v>0.232</v>
      </c>
      <c r="F15" s="19" t="n">
        <v>0.206</v>
      </c>
      <c r="G15" s="19" t="n">
        <v>0.201</v>
      </c>
      <c r="H15" s="19" t="n">
        <v>0.208</v>
      </c>
      <c r="I15" s="19" t="n">
        <v>0.223</v>
      </c>
      <c r="J15" s="19" t="n">
        <v>0.215</v>
      </c>
      <c r="K15" s="19" t="n">
        <v>0.251</v>
      </c>
      <c r="L15" s="19" t="n">
        <v>0.284</v>
      </c>
      <c r="M15" s="19" t="n">
        <v>0.325</v>
      </c>
      <c r="N15" s="19" t="n">
        <v>0.343</v>
      </c>
      <c r="O15" s="19" t="n">
        <v>0.334</v>
      </c>
      <c r="P15" s="19" t="n">
        <v>0.328</v>
      </c>
      <c r="Q15" s="19" t="n">
        <v>0.311</v>
      </c>
      <c r="R15" s="19" t="n">
        <v>0.302</v>
      </c>
      <c r="S15" s="19" t="n"/>
      <c r="T15" s="19" t="n"/>
      <c r="U15" s="19" t="n"/>
      <c r="V15" s="19" t="n"/>
    </row>
    <row r="16" ht="15" customHeight="1" s="115">
      <c r="A16" s="38" t="inlineStr">
        <is>
          <t>Implied t-1 CNL</t>
        </is>
      </c>
      <c r="B16" s="20">
        <f>B15-($U$14-B14)*1%</f>
        <v/>
      </c>
      <c r="C16" s="20">
        <f>C15-($U$14-C14)*1%</f>
        <v/>
      </c>
      <c r="D16" s="20">
        <f>D15-($U$14-D14)*1%</f>
        <v/>
      </c>
      <c r="E16" s="20">
        <f>E15-($U$14-E14)*1%</f>
        <v/>
      </c>
      <c r="F16" s="20">
        <f>F15-($U$14-F14)*1%</f>
        <v/>
      </c>
      <c r="G16" s="20">
        <f>G15-($U$14-G14)*1%</f>
        <v/>
      </c>
      <c r="H16" s="20">
        <f>H15-($U$14-H14)*1%</f>
        <v/>
      </c>
      <c r="I16" s="20">
        <f>I15-($U$14-I14)*1%</f>
        <v/>
      </c>
      <c r="J16" s="20">
        <f>J15-($U$14-J14)*1%</f>
        <v/>
      </c>
      <c r="K16" s="20">
        <f>K15-($U$14-K14)*1%</f>
        <v/>
      </c>
      <c r="L16" s="20">
        <f>L15-($U$14-L14)*1%</f>
        <v/>
      </c>
      <c r="M16" s="20">
        <f>M15-($U$14-M14)*1%</f>
        <v/>
      </c>
      <c r="N16" s="20">
        <f>N15-($U$14-N14)*1%</f>
        <v/>
      </c>
      <c r="O16" s="20">
        <f>O15-($U$14-O14)*1%</f>
        <v/>
      </c>
      <c r="P16" s="20">
        <f>P15-($U$14-P14)*1%</f>
        <v/>
      </c>
      <c r="Q16" s="20">
        <f>Q15-($U$14-Q14)*1%</f>
        <v/>
      </c>
      <c r="R16" s="20">
        <f>R15-($U$14-R14)*1%</f>
        <v/>
      </c>
      <c r="S16" s="20" t="n"/>
      <c r="T16" s="20" t="n"/>
      <c r="U16" s="7" t="n"/>
      <c r="V16" s="7" t="n"/>
    </row>
    <row r="17">
      <c r="H17" t="inlineStr">
        <is>
          <t>UNDER CONSTRUCTION</t>
        </is>
      </c>
      <c r="N17" s="10" t="n"/>
      <c r="O17" s="10" t="n"/>
      <c r="P17" s="10" t="n"/>
      <c r="Q17" s="10" t="n"/>
      <c r="R17" s="10" t="n"/>
    </row>
    <row r="19">
      <c r="A19" s="50" t="inlineStr">
        <is>
          <t>1:</t>
        </is>
      </c>
      <c r="B19" s="51" t="inlineStr">
        <is>
          <t>Model Score excludes buybacks and high amount financed.</t>
        </is>
      </c>
    </row>
    <row r="20">
      <c r="A20" s="50" t="inlineStr">
        <is>
          <t>2:</t>
        </is>
      </c>
      <c r="B20" s="51" t="inlineStr">
        <is>
          <t>We are currently working with Pricing to determine how to use FRN3.1 scores, there are large discrepancies between model scores as booked and FRN3.1 due to what might be centering issues.</t>
        </is>
      </c>
    </row>
    <row r="21">
      <c r="A21" s="50" t="inlineStr">
        <is>
          <t>3:</t>
        </is>
      </c>
      <c r="B21" s="51" t="inlineStr">
        <is>
          <t>Biggest impacts to Gross Loss Adjustments are Dealer Level, weekday/weekend decision, and high mileage classification.</t>
        </is>
      </c>
    </row>
    <row r="22">
      <c r="A22" s="50" t="n"/>
      <c r="B22" s="51" t="inlineStr">
        <is>
          <t>See Appendix for details on other factors</t>
        </is>
      </c>
    </row>
    <row r="23">
      <c r="A23" s="50" t="inlineStr">
        <is>
          <t>4:</t>
        </is>
      </c>
      <c r="B23" s="51" t="inlineStr">
        <is>
          <t>Biggest impacts to Recovery Adjustments are mileage/age, impound probability, and vehicle class.</t>
        </is>
      </c>
    </row>
    <row r="24">
      <c r="A24" s="50" t="inlineStr">
        <is>
          <t>5:</t>
        </is>
      </c>
      <c r="B24" s="51" t="inlineStr">
        <is>
          <t>LTV adjustments are made using the 10% LTV improvement-&gt;170bps to CNL heuristic, based on BlackBook LTV values.</t>
        </is>
      </c>
    </row>
    <row r="25">
      <c r="A25" s="50" t="inlineStr">
        <is>
          <t>6:</t>
        </is>
      </c>
      <c r="B25" s="51" t="inlineStr">
        <is>
          <t>MMI uses adjusted index (2019 seasonality). The MMI Impact compares the actual MMI to a 3% annual growth.</t>
        </is>
      </c>
    </row>
    <row r="26">
      <c r="A26" s="50" t="n"/>
      <c r="B26" s="51" t="inlineStr">
        <is>
          <t>A positive impact of X% means sold recovery will be X% better.</t>
        </is>
      </c>
    </row>
    <row r="27">
      <c r="A27" s="50" t="inlineStr">
        <is>
          <t>7:</t>
        </is>
      </c>
      <c r="B27" s="51" t="inlineStr">
        <is>
          <t>tc CNL uses UGLY Model projections, and 2023 Q1 blends 75% UGLY Model with 25% Loss Committee.</t>
        </is>
      </c>
    </row>
  </sheetData>
  <mergeCells count="4">
    <mergeCell ref="Z2:AA2"/>
    <mergeCell ref="Z4:AA4"/>
    <mergeCell ref="Z1:AA1"/>
    <mergeCell ref="Z3:AA3"/>
  </mergeCells>
  <pageMargins left="0.7" right="0.7" top="0.75" bottom="0.75" header="0.3" footer="0.3"/>
  <pageSetup orientation="portrait" horizontalDpi="204" verticalDpi="192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20"/>
  <sheetViews>
    <sheetView zoomScale="160" zoomScaleNormal="160" workbookViewId="0">
      <selection activeCell="M6" sqref="M6"/>
    </sheetView>
  </sheetViews>
  <sheetFormatPr baseColWidth="8" defaultRowHeight="14.5"/>
  <cols>
    <col width="34.26953125" customWidth="1" style="115" min="1" max="1"/>
    <col width="5.26953125" customWidth="1" style="115" min="2" max="21"/>
  </cols>
  <sheetData>
    <row r="1" ht="24" customHeight="1" s="115">
      <c r="A1" s="35" t="inlineStr">
        <is>
          <t>POS</t>
        </is>
      </c>
      <c r="B1" s="28" t="n">
        <v>2016</v>
      </c>
      <c r="C1" s="28" t="n">
        <v>2017</v>
      </c>
      <c r="D1" s="28" t="n">
        <v>2018</v>
      </c>
      <c r="E1" s="28" t="n">
        <v>2019</v>
      </c>
      <c r="F1" s="28" t="inlineStr">
        <is>
          <t>2020 Q1</t>
        </is>
      </c>
      <c r="G1" s="28" t="inlineStr">
        <is>
          <t>2020 Q2</t>
        </is>
      </c>
      <c r="H1" s="28" t="inlineStr">
        <is>
          <t>2020 Q3</t>
        </is>
      </c>
      <c r="I1" s="28" t="inlineStr">
        <is>
          <t>2020 Q4</t>
        </is>
      </c>
      <c r="J1" s="28" t="inlineStr">
        <is>
          <t>2021 Q1</t>
        </is>
      </c>
      <c r="K1" s="28" t="inlineStr">
        <is>
          <t>2021 Q2</t>
        </is>
      </c>
      <c r="L1" s="28" t="inlineStr">
        <is>
          <t>2021 Q3</t>
        </is>
      </c>
      <c r="M1" s="28" t="inlineStr">
        <is>
          <t>2021 Q4</t>
        </is>
      </c>
      <c r="N1" s="28" t="inlineStr">
        <is>
          <t>2022 Q1</t>
        </is>
      </c>
      <c r="O1" s="28" t="inlineStr">
        <is>
          <t>2022 Q2</t>
        </is>
      </c>
      <c r="P1" s="28" t="inlineStr">
        <is>
          <t>2022 Q3</t>
        </is>
      </c>
      <c r="Q1" s="28" t="inlineStr">
        <is>
          <t>2022 Q4</t>
        </is>
      </c>
      <c r="R1" s="28" t="inlineStr">
        <is>
          <t>2023 Q1</t>
        </is>
      </c>
      <c r="S1" s="28" t="inlineStr">
        <is>
          <t>2023 Q2</t>
        </is>
      </c>
      <c r="T1" s="28" t="inlineStr">
        <is>
          <t>2023 Q3</t>
        </is>
      </c>
      <c r="U1" s="28" t="inlineStr">
        <is>
          <t>2023 Q4</t>
        </is>
      </c>
      <c r="V1" s="28" t="inlineStr">
        <is>
          <t>t-1</t>
        </is>
      </c>
      <c r="X1" s="28" t="inlineStr">
        <is>
          <t>t-1 manual input</t>
        </is>
      </c>
      <c r="Z1" s="134" t="inlineStr">
        <is>
          <t>Use Reassessed Model Score?</t>
        </is>
      </c>
      <c r="AA1" s="135" t="n"/>
    </row>
    <row r="2" ht="15" customHeight="1" s="115" thickBot="1">
      <c r="A2" s="38" t="inlineStr">
        <is>
          <t>Contract Model Score¹</t>
        </is>
      </c>
      <c r="B2" s="12" t="n">
        <v>133.6615471336917</v>
      </c>
      <c r="C2" s="12" t="n">
        <v>136.9659641500268</v>
      </c>
      <c r="D2" s="12" t="n">
        <v>136.2109703202923</v>
      </c>
      <c r="E2" s="12" t="n">
        <v>135.1229164064583</v>
      </c>
      <c r="F2" s="12" t="n">
        <v>134.093101104082</v>
      </c>
      <c r="G2" s="12" t="n">
        <v>136.853032701172</v>
      </c>
      <c r="H2" s="12" t="n">
        <v>137.82196484828</v>
      </c>
      <c r="I2" s="12" t="n">
        <v>136.403712186237</v>
      </c>
      <c r="J2" s="12" t="n">
        <v>135.305222954109</v>
      </c>
      <c r="K2" s="12" t="n">
        <v>135.170232943825</v>
      </c>
      <c r="L2" s="12" t="n">
        <v>134.587077927903</v>
      </c>
      <c r="M2" s="12" t="n">
        <v>133.100341985891</v>
      </c>
      <c r="N2" s="12" t="n">
        <v>133.515928656595</v>
      </c>
      <c r="O2" s="12" t="n">
        <v>134.836465622116</v>
      </c>
      <c r="P2" s="12" t="n">
        <v>136.339154685758</v>
      </c>
      <c r="Q2" s="12" t="n">
        <v>138.281914443527</v>
      </c>
      <c r="R2" s="12" t="n">
        <v>139.828556540467</v>
      </c>
      <c r="S2" s="12" t="n">
        <v>139.296909180701</v>
      </c>
      <c r="T2" s="12" t="n">
        <v>139.905312648443</v>
      </c>
      <c r="U2" s="12" t="n">
        <v>139.503741040157</v>
      </c>
      <c r="V2" s="12" t="n">
        <v>140.503741040157</v>
      </c>
      <c r="X2" s="61" t="n">
        <v>139.543017</v>
      </c>
      <c r="Z2" s="132" t="n">
        <v>0</v>
      </c>
      <c r="AA2" s="133" t="n"/>
    </row>
    <row r="3" ht="15" customHeight="1" s="115">
      <c r="A3" s="43" t="inlineStr">
        <is>
          <t>Shift to Modern Model Score²</t>
        </is>
      </c>
      <c r="B3" s="13">
        <f>#REF!-B2</f>
        <v/>
      </c>
      <c r="C3" s="13">
        <f>#REF!-C2</f>
        <v/>
      </c>
      <c r="D3" s="13">
        <f>#REF!-D2</f>
        <v/>
      </c>
      <c r="E3" s="13">
        <f>#REF!-E2</f>
        <v/>
      </c>
      <c r="F3" s="13">
        <f>#REF!-F2</f>
        <v/>
      </c>
      <c r="G3" s="13">
        <f>#REF!-G2</f>
        <v/>
      </c>
      <c r="H3" s="13">
        <f>#REF!-H2</f>
        <v/>
      </c>
      <c r="I3" s="13">
        <f>#REF!-I2</f>
        <v/>
      </c>
      <c r="J3" s="13">
        <f>#REF!-J2</f>
        <v/>
      </c>
      <c r="K3" s="13">
        <f>#REF!-K2</f>
        <v/>
      </c>
      <c r="L3" s="13">
        <f>#REF!-L2</f>
        <v/>
      </c>
      <c r="M3" s="13">
        <f>#REF!-M2</f>
        <v/>
      </c>
      <c r="N3" s="13">
        <f>#REF!-N2</f>
        <v/>
      </c>
      <c r="O3" s="13">
        <f>#REF!-O2</f>
        <v/>
      </c>
      <c r="P3" s="13">
        <f>#REF!-P2</f>
        <v/>
      </c>
      <c r="Q3" s="13">
        <f>#REF!-Q2</f>
        <v/>
      </c>
      <c r="R3" s="13">
        <f>#REF!-R2</f>
        <v/>
      </c>
      <c r="S3" s="13">
        <f>#REF!-S2</f>
        <v/>
      </c>
      <c r="T3" s="13">
        <f>#REF!-T2</f>
        <v/>
      </c>
      <c r="U3" s="13">
        <f>#REF!-U2</f>
        <v/>
      </c>
      <c r="V3" s="13">
        <f>#REF!-V2</f>
        <v/>
      </c>
      <c r="X3" s="44" t="n">
        <v>0</v>
      </c>
    </row>
    <row r="4" ht="15" customHeight="1" s="115">
      <c r="A4" s="38" t="inlineStr">
        <is>
          <t>Gross Loss Adjustments (Dealer level, high PTI, etc.)</t>
        </is>
      </c>
      <c r="B4" s="12">
        <f>#REF!</f>
        <v/>
      </c>
      <c r="C4" s="12">
        <f>#REF!</f>
        <v/>
      </c>
      <c r="D4" s="12">
        <f>#REF!</f>
        <v/>
      </c>
      <c r="E4" s="12">
        <f>#REF!</f>
        <v/>
      </c>
      <c r="F4" s="12">
        <f>#REF!</f>
        <v/>
      </c>
      <c r="G4" s="12">
        <f>#REF!</f>
        <v/>
      </c>
      <c r="H4" s="12">
        <f>#REF!</f>
        <v/>
      </c>
      <c r="I4" s="12">
        <f>#REF!</f>
        <v/>
      </c>
      <c r="J4" s="12">
        <f>#REF!</f>
        <v/>
      </c>
      <c r="K4" s="12">
        <f>#REF!</f>
        <v/>
      </c>
      <c r="L4" s="12">
        <f>#REF!</f>
        <v/>
      </c>
      <c r="M4" s="12">
        <f>#REF!</f>
        <v/>
      </c>
      <c r="N4" s="12">
        <f>#REF!</f>
        <v/>
      </c>
      <c r="O4" s="12">
        <f>#REF!</f>
        <v/>
      </c>
      <c r="P4" s="12">
        <f>#REF!</f>
        <v/>
      </c>
      <c r="Q4" s="12">
        <f>#REF!</f>
        <v/>
      </c>
      <c r="R4" s="12">
        <f>#REF!</f>
        <v/>
      </c>
      <c r="S4" s="12">
        <f>#REF!</f>
        <v/>
      </c>
      <c r="T4" s="12">
        <f>#REF!</f>
        <v/>
      </c>
      <c r="U4" s="12">
        <f>#REF!</f>
        <v/>
      </c>
      <c r="V4" s="12">
        <f>#REF!</f>
        <v/>
      </c>
      <c r="X4" s="9" t="n"/>
    </row>
    <row r="5" ht="30" customHeight="1" s="115">
      <c r="A5" s="36" t="inlineStr">
        <is>
          <t>Recovery Adjustments excluding LTV (Mileage, vehicle type, etc.)</t>
        </is>
      </c>
      <c r="B5" s="13">
        <f>#REF!</f>
        <v/>
      </c>
      <c r="C5" s="13">
        <f>#REF!</f>
        <v/>
      </c>
      <c r="D5" s="13">
        <f>#REF!</f>
        <v/>
      </c>
      <c r="E5" s="13">
        <f>#REF!</f>
        <v/>
      </c>
      <c r="F5" s="13">
        <f>#REF!</f>
        <v/>
      </c>
      <c r="G5" s="13">
        <f>#REF!</f>
        <v/>
      </c>
      <c r="H5" s="13">
        <f>#REF!</f>
        <v/>
      </c>
      <c r="I5" s="13">
        <f>#REF!</f>
        <v/>
      </c>
      <c r="J5" s="13">
        <f>#REF!</f>
        <v/>
      </c>
      <c r="K5" s="13">
        <f>#REF!</f>
        <v/>
      </c>
      <c r="L5" s="13">
        <f>#REF!</f>
        <v/>
      </c>
      <c r="M5" s="13">
        <f>#REF!</f>
        <v/>
      </c>
      <c r="N5" s="13">
        <f>#REF!</f>
        <v/>
      </c>
      <c r="O5" s="13">
        <f>#REF!</f>
        <v/>
      </c>
      <c r="P5" s="13">
        <f>#REF!</f>
        <v/>
      </c>
      <c r="Q5" s="13">
        <f>#REF!</f>
        <v/>
      </c>
      <c r="R5" s="13">
        <f>#REF!</f>
        <v/>
      </c>
      <c r="S5" s="13">
        <f>#REF!</f>
        <v/>
      </c>
      <c r="T5" s="13">
        <f>#REF!</f>
        <v/>
      </c>
      <c r="U5" s="13">
        <f>#REF!</f>
        <v/>
      </c>
      <c r="V5" s="13">
        <f>#REF!</f>
        <v/>
      </c>
      <c r="X5" s="9" t="n"/>
    </row>
    <row r="6" ht="30" customHeight="1" s="115">
      <c r="A6" s="29" t="inlineStr">
        <is>
          <t>BBLTV Adjustment to Recovery⁵ (Accounts for mileage/age and wholesale/retail gap⁶)</t>
        </is>
      </c>
      <c r="B6" s="12">
        <f>#REF!</f>
        <v/>
      </c>
      <c r="C6" s="12">
        <f>#REF!</f>
        <v/>
      </c>
      <c r="D6" s="12">
        <f>#REF!</f>
        <v/>
      </c>
      <c r="E6" s="12">
        <f>#REF!</f>
        <v/>
      </c>
      <c r="F6" s="12">
        <f>#REF!</f>
        <v/>
      </c>
      <c r="G6" s="12">
        <f>#REF!</f>
        <v/>
      </c>
      <c r="H6" s="12">
        <f>#REF!</f>
        <v/>
      </c>
      <c r="I6" s="12">
        <f>#REF!</f>
        <v/>
      </c>
      <c r="J6" s="12">
        <f>#REF!</f>
        <v/>
      </c>
      <c r="K6" s="12">
        <f>#REF!</f>
        <v/>
      </c>
      <c r="L6" s="12">
        <f>#REF!</f>
        <v/>
      </c>
      <c r="M6" s="12">
        <f>#REF!</f>
        <v/>
      </c>
      <c r="N6" s="12">
        <f>#REF!</f>
        <v/>
      </c>
      <c r="O6" s="12">
        <f>#REF!</f>
        <v/>
      </c>
      <c r="P6" s="12">
        <f>#REF!</f>
        <v/>
      </c>
      <c r="Q6" s="12">
        <f>#REF!</f>
        <v/>
      </c>
      <c r="R6" s="12">
        <f>#REF!</f>
        <v/>
      </c>
      <c r="S6" s="12">
        <f>#REF!</f>
        <v/>
      </c>
      <c r="T6" s="12">
        <f>#REF!</f>
        <v/>
      </c>
      <c r="U6" s="12">
        <f>#REF!</f>
        <v/>
      </c>
      <c r="V6" s="12">
        <f>#REF!</f>
        <v/>
      </c>
    </row>
    <row r="7" ht="15" customHeight="1" s="115">
      <c r="A7" s="36" t="inlineStr">
        <is>
          <t>RAGU Score</t>
        </is>
      </c>
      <c r="B7" s="13">
        <f>#REF!</f>
        <v/>
      </c>
      <c r="C7" s="13">
        <f>#REF!</f>
        <v/>
      </c>
      <c r="D7" s="13">
        <f>#REF!</f>
        <v/>
      </c>
      <c r="E7" s="13">
        <f>#REF!</f>
        <v/>
      </c>
      <c r="F7" s="13">
        <f>#REF!</f>
        <v/>
      </c>
      <c r="G7" s="13">
        <f>#REF!</f>
        <v/>
      </c>
      <c r="H7" s="13">
        <f>#REF!</f>
        <v/>
      </c>
      <c r="I7" s="13">
        <f>#REF!</f>
        <v/>
      </c>
      <c r="J7" s="13">
        <f>#REF!</f>
        <v/>
      </c>
      <c r="K7" s="13">
        <f>#REF!</f>
        <v/>
      </c>
      <c r="L7" s="13">
        <f>#REF!</f>
        <v/>
      </c>
      <c r="M7" s="13">
        <f>#REF!</f>
        <v/>
      </c>
      <c r="N7" s="13">
        <f>#REF!</f>
        <v/>
      </c>
      <c r="O7" s="13">
        <f>#REF!</f>
        <v/>
      </c>
      <c r="P7" s="13">
        <f>#REF!</f>
        <v/>
      </c>
      <c r="Q7" s="13">
        <f>#REF!</f>
        <v/>
      </c>
      <c r="R7" s="13">
        <f>#REF!</f>
        <v/>
      </c>
      <c r="S7" s="13">
        <f>#REF!</f>
        <v/>
      </c>
      <c r="T7" s="13">
        <f>#REF!</f>
        <v/>
      </c>
      <c r="U7" s="13">
        <f>#REF!</f>
        <v/>
      </c>
      <c r="V7" s="13">
        <f>#REF!</f>
        <v/>
      </c>
    </row>
    <row r="8" ht="15" customHeight="1" s="115">
      <c r="A8" s="57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</row>
    <row r="9" ht="15" customHeight="1" s="115">
      <c r="A9" s="42" t="inlineStr">
        <is>
          <t>Context info</t>
        </is>
      </c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</row>
    <row r="10" ht="15" customHeight="1" s="115">
      <c r="A10" s="39" t="inlineStr">
        <is>
          <t>BlackBook LTV (Baseline 159%)</t>
        </is>
      </c>
      <c r="B10" s="14">
        <f>#REF!</f>
        <v/>
      </c>
      <c r="C10" s="14">
        <f>#REF!</f>
        <v/>
      </c>
      <c r="D10" s="14">
        <f>#REF!</f>
        <v/>
      </c>
      <c r="E10" s="14">
        <f>#REF!</f>
        <v/>
      </c>
      <c r="F10" s="14">
        <f>#REF!</f>
        <v/>
      </c>
      <c r="G10" s="14">
        <f>#REF!</f>
        <v/>
      </c>
      <c r="H10" s="14">
        <f>#REF!</f>
        <v/>
      </c>
      <c r="I10" s="14">
        <f>#REF!</f>
        <v/>
      </c>
      <c r="J10" s="14">
        <f>#REF!</f>
        <v/>
      </c>
      <c r="K10" s="14">
        <f>#REF!</f>
        <v/>
      </c>
      <c r="L10" s="14">
        <f>#REF!</f>
        <v/>
      </c>
      <c r="M10" s="14">
        <f>#REF!</f>
        <v/>
      </c>
      <c r="N10" s="14">
        <f>#REF!</f>
        <v/>
      </c>
      <c r="O10" s="14">
        <f>#REF!</f>
        <v/>
      </c>
      <c r="P10" s="14">
        <f>#REF!</f>
        <v/>
      </c>
      <c r="Q10" s="14">
        <f>#REF!</f>
        <v/>
      </c>
      <c r="R10" s="14">
        <f>#REF!</f>
        <v/>
      </c>
      <c r="S10" s="14">
        <f>#REF!</f>
        <v/>
      </c>
      <c r="T10" s="14">
        <f>#REF!</f>
        <v/>
      </c>
      <c r="U10" s="14">
        <f>#REF!</f>
        <v/>
      </c>
      <c r="V10" s="14">
        <f>#REF!</f>
        <v/>
      </c>
      <c r="X10" s="9" t="n"/>
    </row>
    <row r="11" ht="15" customHeight="1" s="115">
      <c r="A11" s="43" t="inlineStr">
        <is>
          <t>Origination MMI</t>
        </is>
      </c>
      <c r="B11" s="11" t="n">
        <v>136.4</v>
      </c>
      <c r="C11" s="11" t="n">
        <v>141.3</v>
      </c>
      <c r="D11" s="11" t="n">
        <v>148</v>
      </c>
      <c r="E11" s="11" t="n">
        <v>151.5</v>
      </c>
      <c r="F11" s="11" t="n">
        <v>156.6</v>
      </c>
      <c r="G11" s="11" t="n">
        <v>149.5</v>
      </c>
      <c r="H11" s="11" t="n">
        <v>178.6</v>
      </c>
      <c r="I11" s="11" t="n">
        <v>176.8</v>
      </c>
      <c r="J11" s="11" t="n">
        <v>184.6</v>
      </c>
      <c r="K11" s="11" t="n">
        <v>221.5</v>
      </c>
      <c r="L11" s="11" t="n">
        <v>212.1</v>
      </c>
      <c r="M11" s="11" t="n">
        <v>253.6</v>
      </c>
      <c r="N11" s="11" t="n">
        <v>252.3</v>
      </c>
      <c r="O11" s="11" t="n">
        <v>243</v>
      </c>
      <c r="P11" s="11" t="n">
        <v>230</v>
      </c>
      <c r="Q11" s="11" t="n">
        <v>217.6</v>
      </c>
      <c r="R11" s="11" t="n">
        <v>234.5</v>
      </c>
      <c r="S11" s="11" t="n">
        <v>224.5</v>
      </c>
      <c r="T11" s="11" t="n">
        <v>212.2</v>
      </c>
      <c r="U11" s="59" t="n">
        <v>206.4</v>
      </c>
      <c r="V11" s="59" t="n"/>
    </row>
    <row r="12" ht="15" customHeight="1" s="115">
      <c r="A12" s="37" t="inlineStr">
        <is>
          <t>MMI Impact</t>
        </is>
      </c>
      <c r="B12" s="33" t="n">
        <v>0.04</v>
      </c>
      <c r="C12" s="33" t="n">
        <v>0.11</v>
      </c>
      <c r="D12" s="33" t="n">
        <v>0.13</v>
      </c>
      <c r="E12" s="33" t="n">
        <v>0.146</v>
      </c>
      <c r="F12" s="33" t="n">
        <v>0.297</v>
      </c>
      <c r="G12" s="33" t="n">
        <v>0.305</v>
      </c>
      <c r="H12" s="33" t="n">
        <v>0.221</v>
      </c>
      <c r="I12" s="33" t="n">
        <v>0.217</v>
      </c>
      <c r="J12" s="33" t="n">
        <v>0.234</v>
      </c>
      <c r="K12" s="33" t="n">
        <v>0.08699999999999999</v>
      </c>
      <c r="L12" s="33" t="n">
        <v>0.022</v>
      </c>
      <c r="M12" s="33" t="n">
        <v>-0.112</v>
      </c>
      <c r="N12" s="33" t="n">
        <v>-0.15</v>
      </c>
      <c r="O12" s="33" t="n">
        <v>-0.186</v>
      </c>
      <c r="P12" s="33" t="n">
        <v>-0.177</v>
      </c>
      <c r="Q12" s="33" t="n">
        <v>-0.155</v>
      </c>
      <c r="R12" s="33" t="n">
        <v>-0.177</v>
      </c>
      <c r="S12" s="33" t="n">
        <v>-0.159</v>
      </c>
      <c r="T12" s="33" t="n">
        <v>-0.113</v>
      </c>
      <c r="U12" s="33" t="n">
        <v>-0.081</v>
      </c>
      <c r="V12" s="33" t="n"/>
    </row>
    <row r="13" ht="15" customHeight="1" s="115">
      <c r="A13" s="36" t="inlineStr">
        <is>
          <t>Adjustment to RAGU Score from MMI</t>
        </is>
      </c>
      <c r="B13" s="45" t="n">
        <v>0.68</v>
      </c>
      <c r="C13" s="45" t="n">
        <v>1.87</v>
      </c>
      <c r="D13" s="45" t="n">
        <v>2.21</v>
      </c>
      <c r="E13" s="45" t="n">
        <v>2.49</v>
      </c>
      <c r="F13" s="45" t="n">
        <v>5.05</v>
      </c>
      <c r="G13" s="45" t="n">
        <v>5.19</v>
      </c>
      <c r="H13" s="45" t="n">
        <v>3.76</v>
      </c>
      <c r="I13" s="45" t="n">
        <v>3.69</v>
      </c>
      <c r="J13" s="45" t="n">
        <v>3.97</v>
      </c>
      <c r="K13" s="45" t="n">
        <v>1.48</v>
      </c>
      <c r="L13" s="45" t="n">
        <v>0.38</v>
      </c>
      <c r="M13" s="45" t="n">
        <v>-1.91</v>
      </c>
      <c r="N13" s="45" t="n">
        <v>-2.56</v>
      </c>
      <c r="O13" s="45" t="n">
        <v>-3.17</v>
      </c>
      <c r="P13" s="45" t="n">
        <v>-3</v>
      </c>
      <c r="Q13" s="45" t="n">
        <v>-2.64</v>
      </c>
      <c r="R13" s="45" t="n">
        <v>-3</v>
      </c>
      <c r="S13" s="45" t="n">
        <v>-2.71</v>
      </c>
      <c r="T13" s="45" t="n">
        <v>-1.93</v>
      </c>
      <c r="U13" s="45" t="n">
        <v>-1.38</v>
      </c>
      <c r="V13" s="45" t="n"/>
    </row>
    <row r="14" ht="15" customHeight="1" s="115">
      <c r="A14" s="38" t="inlineStr">
        <is>
          <t>RAGU Score (adjusted for MMI)</t>
        </is>
      </c>
      <c r="B14" s="12">
        <f>B13+B7</f>
        <v/>
      </c>
      <c r="C14" s="12">
        <f>C13+C7</f>
        <v/>
      </c>
      <c r="D14" s="12">
        <f>D13+D7</f>
        <v/>
      </c>
      <c r="E14" s="12">
        <f>E13+E7</f>
        <v/>
      </c>
      <c r="F14" s="12">
        <f>F13+F7</f>
        <v/>
      </c>
      <c r="G14" s="12">
        <f>G13+G7</f>
        <v/>
      </c>
      <c r="H14" s="12">
        <f>H13+H7</f>
        <v/>
      </c>
      <c r="I14" s="12">
        <f>I13+I7</f>
        <v/>
      </c>
      <c r="J14" s="12">
        <f>J13+J7</f>
        <v/>
      </c>
      <c r="K14" s="12">
        <f>K13+K7</f>
        <v/>
      </c>
      <c r="L14" s="12">
        <f>L13+L7</f>
        <v/>
      </c>
      <c r="M14" s="12">
        <f>M13+M7</f>
        <v/>
      </c>
      <c r="N14" s="12">
        <f>N13+N7</f>
        <v/>
      </c>
      <c r="O14" s="12">
        <f>O13+O7</f>
        <v/>
      </c>
      <c r="P14" s="12">
        <f>P13+P7</f>
        <v/>
      </c>
      <c r="Q14" s="12">
        <f>Q13+Q7</f>
        <v/>
      </c>
      <c r="R14" s="12">
        <f>R13+R7</f>
        <v/>
      </c>
      <c r="S14" s="12">
        <f>S13+S7</f>
        <v/>
      </c>
      <c r="T14" s="12">
        <f>T13+T7</f>
        <v/>
      </c>
      <c r="U14" s="12">
        <f>U13+U7</f>
        <v/>
      </c>
      <c r="V14" s="12">
        <f>V13+V7</f>
        <v/>
      </c>
    </row>
    <row r="15" ht="15" customHeight="1" s="115">
      <c r="A15" s="36" t="inlineStr">
        <is>
          <t>t_c CNL</t>
        </is>
      </c>
      <c r="B15" s="58" t="n">
        <v>0.292</v>
      </c>
      <c r="C15" s="58" t="n">
        <v>0.241</v>
      </c>
      <c r="D15" s="58" t="n">
        <v>0.222</v>
      </c>
      <c r="E15" s="58" t="n">
        <v>0.195</v>
      </c>
      <c r="F15" s="58" t="n">
        <v>0.194</v>
      </c>
      <c r="G15" s="58" t="n">
        <v>0.188</v>
      </c>
      <c r="H15" s="58" t="n">
        <v>0.201</v>
      </c>
      <c r="I15" s="58" t="n">
        <v>0.213</v>
      </c>
      <c r="J15" s="58" t="n">
        <v>0.22</v>
      </c>
      <c r="K15" s="58" t="n">
        <v>0.259</v>
      </c>
      <c r="L15" s="58" t="n">
        <v>0.284</v>
      </c>
      <c r="M15" s="58" t="n">
        <v>0.325</v>
      </c>
      <c r="N15" s="58" t="n">
        <v>0.342</v>
      </c>
      <c r="O15" s="58" t="n">
        <v>0.339</v>
      </c>
      <c r="P15" s="58" t="n">
        <v>0.335</v>
      </c>
      <c r="Q15" s="58" t="n">
        <v>0.318</v>
      </c>
      <c r="R15" s="58" t="n">
        <v>0.305</v>
      </c>
      <c r="S15" s="58" t="n"/>
      <c r="T15" s="58" t="n"/>
      <c r="U15" s="58" t="n"/>
      <c r="V15" s="58" t="n"/>
    </row>
    <row r="16" ht="15" customHeight="1" s="115">
      <c r="A16" s="34" t="inlineStr">
        <is>
          <t>Implied t-1 CNL</t>
        </is>
      </c>
      <c r="B16" s="20">
        <f>B15-($U$14-B14)*0.65%</f>
        <v/>
      </c>
      <c r="C16" s="20">
        <f>C15-($U$14-C14)*0.65%</f>
        <v/>
      </c>
      <c r="D16" s="20">
        <f>D15-($U$14-D14)*0.65%</f>
        <v/>
      </c>
      <c r="E16" s="20">
        <f>E15-($U$14-E14)*0.65%</f>
        <v/>
      </c>
      <c r="F16" s="20">
        <f>F15-($U$14-F14)*0.65%</f>
        <v/>
      </c>
      <c r="G16" s="20">
        <f>G15-($U$14-G14)*0.65%</f>
        <v/>
      </c>
      <c r="H16" s="20">
        <f>H15-($U$14-H14)*0.65%</f>
        <v/>
      </c>
      <c r="I16" s="20">
        <f>I15-($U$14-I14)*0.65%</f>
        <v/>
      </c>
      <c r="J16" s="20">
        <f>J15-($U$14-J14)*0.65%</f>
        <v/>
      </c>
      <c r="K16" s="20">
        <f>K15-($U$14-K14)*0.65%</f>
        <v/>
      </c>
      <c r="L16" s="20">
        <f>L15-($U$14-L14)*0.65%</f>
        <v/>
      </c>
      <c r="M16" s="20">
        <f>M15-($U$14-M14)*0.65%</f>
        <v/>
      </c>
      <c r="N16" s="20">
        <f>N15-($U$14-N14)*0.65%</f>
        <v/>
      </c>
      <c r="O16" s="20">
        <f>O15-($U$14-O14)*0.65%</f>
        <v/>
      </c>
      <c r="P16" s="20">
        <f>P15-($U$14-P14)*0.65%</f>
        <v/>
      </c>
      <c r="Q16" s="20">
        <f>Q15-($U$14-Q14)*0.65%</f>
        <v/>
      </c>
      <c r="R16" s="20">
        <f>R15-($U$14-R14)*0.65%</f>
        <v/>
      </c>
      <c r="S16" s="20" t="n"/>
      <c r="T16" s="20" t="n"/>
      <c r="U16" s="21" t="n"/>
      <c r="V16" s="21" t="n"/>
    </row>
    <row r="20">
      <c r="G20" t="inlineStr">
        <is>
          <t>UNDER CONSTRUCTION</t>
        </is>
      </c>
    </row>
  </sheetData>
  <mergeCells count="2">
    <mergeCell ref="Z2:AA2"/>
    <mergeCell ref="Z1:AA1"/>
  </mergeCells>
  <pageMargins left="0.7" right="0.7" top="0.75" bottom="0.75" header="0.3" footer="0.3"/>
  <pageSetup orientation="portrait" horizontalDpi="204" verticalDpi="192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OW75"/>
  <sheetViews>
    <sheetView topLeftCell="B1" workbookViewId="0">
      <selection activeCell="B1" sqref="B1:D1"/>
    </sheetView>
  </sheetViews>
  <sheetFormatPr baseColWidth="8" defaultRowHeight="14.5"/>
  <cols>
    <col width="54.1796875" customWidth="1" style="115" min="1" max="1"/>
    <col width="10.81640625" bestFit="1" customWidth="1" style="115" min="2" max="2"/>
    <col width="9.26953125" bestFit="1" customWidth="1" style="115" min="3" max="7"/>
    <col width="9.7265625" bestFit="1" customWidth="1" style="115" min="8" max="10"/>
    <col width="9.26953125" bestFit="1" customWidth="1" style="115" min="11" max="11"/>
    <col width="9.81640625" bestFit="1" customWidth="1" style="115" min="12" max="15"/>
    <col width="9.26953125" bestFit="1" customWidth="1" style="115" min="16" max="16"/>
    <col width="9.54296875" bestFit="1" customWidth="1" style="115" min="17" max="19"/>
    <col width="9.26953125" bestFit="1" customWidth="1" style="115" min="20" max="20"/>
    <col width="10.1796875" bestFit="1" customWidth="1" style="115" min="21" max="21"/>
    <col width="12.81640625" bestFit="1" customWidth="1" style="115" min="22" max="23"/>
  </cols>
  <sheetData>
    <row r="1">
      <c r="A1" s="100" t="inlineStr">
        <is>
          <t>AN</t>
        </is>
      </c>
      <c r="B1" s="119" t="n">
        <v>45291</v>
      </c>
      <c r="C1" s="119" t="n">
        <v>45298</v>
      </c>
      <c r="D1" s="119" t="n">
        <v>45305</v>
      </c>
      <c r="E1" s="119" t="n">
        <v>45312</v>
      </c>
      <c r="F1" s="119" t="n">
        <v>45319</v>
      </c>
      <c r="G1" s="119" t="n">
        <v>45326</v>
      </c>
      <c r="H1" s="119" t="n">
        <v>45333</v>
      </c>
      <c r="I1" s="119" t="n">
        <v>45340</v>
      </c>
      <c r="J1" s="119" t="n">
        <v>45347</v>
      </c>
      <c r="K1" s="119" t="n">
        <v>45354</v>
      </c>
      <c r="L1" s="119" t="n">
        <v>45361</v>
      </c>
      <c r="M1" s="119" t="n">
        <v>45368</v>
      </c>
      <c r="N1" s="119" t="n">
        <v>45375</v>
      </c>
      <c r="O1" s="119" t="n">
        <v>45382</v>
      </c>
      <c r="P1" s="119" t="n">
        <v>45389</v>
      </c>
      <c r="Q1" s="119" t="n">
        <v>45396</v>
      </c>
      <c r="R1" s="119" t="n">
        <v>45403</v>
      </c>
      <c r="S1" s="119" t="n">
        <v>45410</v>
      </c>
      <c r="T1" s="119" t="n">
        <v>45417</v>
      </c>
      <c r="U1" s="119" t="n">
        <v>45424</v>
      </c>
      <c r="V1" s="119" t="n">
        <v>45431</v>
      </c>
      <c r="W1" s="119" t="n">
        <v>45438</v>
      </c>
    </row>
    <row r="2">
      <c r="A2" s="101" t="inlineStr">
        <is>
          <t>Contract Model Score</t>
        </is>
      </c>
      <c r="B2" t="n">
        <v>136.0563212045286</v>
      </c>
      <c r="C2" t="n">
        <v>136.8809824377745</v>
      </c>
      <c r="D2" t="n">
        <v>137.2037722858597</v>
      </c>
      <c r="E2" t="n">
        <v>136.3915843143165</v>
      </c>
      <c r="F2" t="n">
        <v>136.797151660647</v>
      </c>
      <c r="G2" t="n">
        <v>136.8119441583737</v>
      </c>
      <c r="H2" t="n">
        <v>136.015981729893</v>
      </c>
      <c r="I2" t="n">
        <v>135.6200262497423</v>
      </c>
      <c r="J2" t="n">
        <v>135.8896767880401</v>
      </c>
      <c r="K2" t="n">
        <v>136.3367683968983</v>
      </c>
      <c r="L2" t="n">
        <v>136.8888455865379</v>
      </c>
      <c r="M2" t="n">
        <v>136.6931365673783</v>
      </c>
      <c r="N2" t="n">
        <v>136.4819598579949</v>
      </c>
      <c r="O2" t="n">
        <v>136.9795175821128</v>
      </c>
      <c r="P2" t="n">
        <v>137.8432258987915</v>
      </c>
      <c r="Q2" t="n">
        <v>136.6094214357475</v>
      </c>
      <c r="R2" t="n">
        <v>136.8121403511544</v>
      </c>
      <c r="S2" t="n">
        <v>137.7573093786904</v>
      </c>
      <c r="T2" t="n">
        <v>137.8481614496075</v>
      </c>
      <c r="U2" t="n">
        <v>137.0779424338276</v>
      </c>
      <c r="V2" t="n">
        <v>137.7403087548314</v>
      </c>
      <c r="W2" t="n">
        <v>135.7146945883949</v>
      </c>
      <c r="X2" t="n">
        <v>129.9345971389828</v>
      </c>
      <c r="Y2" t="n">
        <v>128.354420819997</v>
      </c>
      <c r="Z2" t="n">
        <v>129.5798409214159</v>
      </c>
      <c r="AA2" t="n">
        <v>128.7263118274116</v>
      </c>
      <c r="AB2" t="n">
        <v>129.4112392918254</v>
      </c>
      <c r="AC2" t="n">
        <v>129.755151347104</v>
      </c>
      <c r="AD2" t="n">
        <v>128.2879378217523</v>
      </c>
      <c r="AE2" t="n">
        <v>127.3719755625715</v>
      </c>
      <c r="AF2" t="n">
        <v>127.7103802677721</v>
      </c>
      <c r="AG2" t="n">
        <v>128.0741047316993</v>
      </c>
      <c r="AH2" t="n">
        <v>129.8590915486547</v>
      </c>
      <c r="AI2" t="n">
        <v>128.724251428089</v>
      </c>
      <c r="AJ2" t="n">
        <v>130.5862085231802</v>
      </c>
      <c r="AK2" t="n">
        <v>130.3957870881598</v>
      </c>
      <c r="AL2" t="n">
        <v>130.5078359414115</v>
      </c>
      <c r="AM2" t="n">
        <v>131.7300688668684</v>
      </c>
      <c r="AN2" t="n">
        <v>130.2715188296865</v>
      </c>
      <c r="AO2" t="n">
        <v>128.385263969457</v>
      </c>
      <c r="AP2" t="n">
        <v>130.5458117785113</v>
      </c>
      <c r="AQ2" t="n">
        <v>129.9500022253652</v>
      </c>
      <c r="AR2" t="n">
        <v>131.1581714234038</v>
      </c>
      <c r="AS2" t="n">
        <v>131.8540914750045</v>
      </c>
      <c r="AT2" t="n">
        <v>129.3369296007781</v>
      </c>
      <c r="AU2" t="n">
        <v>129.6450427248173</v>
      </c>
      <c r="AV2" t="n">
        <v>130.7860150689473</v>
      </c>
      <c r="AW2" t="n">
        <v>128.93245271834</v>
      </c>
      <c r="AX2" t="n">
        <v>130.1673545051841</v>
      </c>
      <c r="AY2" t="n">
        <v>130.1109832077009</v>
      </c>
      <c r="AZ2" t="n">
        <v>131.4372153750953</v>
      </c>
      <c r="BA2" t="n">
        <v>131.5358898921288</v>
      </c>
      <c r="BB2" t="n">
        <v>131.2255735194861</v>
      </c>
      <c r="BC2" t="n">
        <v>129.4893554772648</v>
      </c>
      <c r="BD2" t="n">
        <v>132.4430489746669</v>
      </c>
      <c r="BE2" t="n">
        <v>132.751197181944</v>
      </c>
      <c r="BF2" t="n">
        <v>132.0919227297984</v>
      </c>
      <c r="BG2" t="n">
        <v>130.2608577245484</v>
      </c>
      <c r="BH2" t="n">
        <v>131.2358519643273</v>
      </c>
      <c r="BI2" t="n">
        <v>131.3544918825577</v>
      </c>
      <c r="BJ2" t="n">
        <v>129.9016714840388</v>
      </c>
      <c r="BK2" t="n">
        <v>131.2582838132221</v>
      </c>
      <c r="BL2" t="n">
        <v>131.0099740373666</v>
      </c>
      <c r="BM2" t="n">
        <v>129.9068800413098</v>
      </c>
      <c r="BN2" t="n">
        <v>131.2402884874525</v>
      </c>
      <c r="BO2" t="n">
        <v>131.6129765230591</v>
      </c>
      <c r="BP2" t="n">
        <v>129.7072894671481</v>
      </c>
      <c r="BQ2" t="n">
        <v>131.15753032009</v>
      </c>
      <c r="BR2" t="n">
        <v>133.6419058781103</v>
      </c>
      <c r="BS2" t="n">
        <v>131.2851900047597</v>
      </c>
      <c r="BT2" t="n">
        <v>132.7073722026628</v>
      </c>
      <c r="BU2" t="n">
        <v>132.3507621221596</v>
      </c>
      <c r="BV2" t="n">
        <v>131.0624540290093</v>
      </c>
      <c r="BW2" t="n">
        <v>131.9594397770342</v>
      </c>
      <c r="BX2" t="n">
        <v>132.0026646294111</v>
      </c>
      <c r="BY2" t="n">
        <v>133.0247042549863</v>
      </c>
      <c r="BZ2" t="n">
        <v>132.1890226728952</v>
      </c>
      <c r="CA2" t="n">
        <v>133.1894623736929</v>
      </c>
      <c r="CB2" t="n">
        <v>133.1397377074231</v>
      </c>
      <c r="CC2" t="n">
        <v>133.2841142748055</v>
      </c>
      <c r="CD2" t="n">
        <v>132.5792429463755</v>
      </c>
      <c r="CE2" t="n">
        <v>132.6370987481531</v>
      </c>
      <c r="CF2" t="n">
        <v>131.4365290309664</v>
      </c>
      <c r="CG2" t="n">
        <v>131.7434790725758</v>
      </c>
      <c r="CH2" t="n">
        <v>132.263896036221</v>
      </c>
      <c r="CI2" t="n">
        <v>131.7786445846373</v>
      </c>
      <c r="CJ2" t="n">
        <v>131.9606438675559</v>
      </c>
      <c r="CK2" t="n">
        <v>133.1477897095344</v>
      </c>
      <c r="CL2" t="n">
        <v>133.8656813918439</v>
      </c>
      <c r="CM2" t="n">
        <v>133.7288503254513</v>
      </c>
      <c r="CN2" t="n">
        <v>133.1061837001047</v>
      </c>
      <c r="CO2" t="n">
        <v>133.2254292101991</v>
      </c>
      <c r="CP2" t="n">
        <v>133.2067241650545</v>
      </c>
      <c r="CQ2" t="n">
        <v>132.2363124918776</v>
      </c>
      <c r="CR2" t="n">
        <v>132.518622724588</v>
      </c>
      <c r="CS2" t="n">
        <v>132.5825075924092</v>
      </c>
      <c r="CT2" t="n">
        <v>134.0027888423197</v>
      </c>
      <c r="CU2" t="n">
        <v>132.9512540326158</v>
      </c>
      <c r="CV2" t="n">
        <v>133.0394675570362</v>
      </c>
      <c r="CW2" t="n">
        <v>133.7457298474853</v>
      </c>
      <c r="CX2" t="n">
        <v>133.2532011260538</v>
      </c>
      <c r="CY2" t="n">
        <v>132.2120473663856</v>
      </c>
      <c r="CZ2" t="n">
        <v>132.9411077041153</v>
      </c>
      <c r="DA2" t="n">
        <v>133.7942011747477</v>
      </c>
      <c r="DB2" t="n">
        <v>132.8821591962306</v>
      </c>
      <c r="DC2" t="n">
        <v>133.0265183158326</v>
      </c>
      <c r="DD2" t="n">
        <v>133.2288969860009</v>
      </c>
      <c r="DE2" t="n">
        <v>133.9113234804774</v>
      </c>
      <c r="DF2" t="n">
        <v>132.8756849324455</v>
      </c>
      <c r="DG2" t="n">
        <v>131.3414545783222</v>
      </c>
      <c r="DH2" t="n">
        <v>132.0798564077774</v>
      </c>
      <c r="DI2" t="n">
        <v>131.7627087687782</v>
      </c>
      <c r="DJ2" t="n">
        <v>133.6191850155608</v>
      </c>
      <c r="DK2" t="n">
        <v>132.9977793731375</v>
      </c>
      <c r="DL2" t="n">
        <v>134.5050561044099</v>
      </c>
      <c r="DM2" t="n">
        <v>133.020869031672</v>
      </c>
      <c r="DN2" t="n">
        <v>132.0898169370312</v>
      </c>
      <c r="DO2" t="n">
        <v>132.5245961390851</v>
      </c>
      <c r="DP2" t="n">
        <v>133.5397559079416</v>
      </c>
      <c r="DQ2" t="n">
        <v>133.5165100459504</v>
      </c>
      <c r="DR2" t="n">
        <v>132.9113291576352</v>
      </c>
      <c r="DS2" t="n">
        <v>131.1822734518171</v>
      </c>
      <c r="DT2" t="n">
        <v>134.5046481748297</v>
      </c>
      <c r="DU2" t="n">
        <v>132.3434356148223</v>
      </c>
      <c r="DV2" t="n">
        <v>133.0404816700604</v>
      </c>
      <c r="DW2" t="n">
        <v>132.770947580244</v>
      </c>
      <c r="DX2" t="n">
        <v>132.807410877828</v>
      </c>
      <c r="DY2" t="n">
        <v>134.9914827937583</v>
      </c>
      <c r="DZ2" t="n">
        <v>131.0741978414353</v>
      </c>
      <c r="EA2" t="n">
        <v>131.9980912852452</v>
      </c>
      <c r="EB2" t="n">
        <v>131.8972826661598</v>
      </c>
      <c r="EC2" t="n">
        <v>131.4401239478165</v>
      </c>
      <c r="ED2" t="n">
        <v>130.8386621215406</v>
      </c>
      <c r="EE2" t="n">
        <v>132.5665032344742</v>
      </c>
      <c r="EF2" t="n">
        <v>133.1197851074233</v>
      </c>
      <c r="EG2" t="n">
        <v>130.9274989938007</v>
      </c>
      <c r="EH2" t="n">
        <v>131.8874925464912</v>
      </c>
      <c r="EI2" t="n">
        <v>132.689642441967</v>
      </c>
      <c r="EJ2" t="n">
        <v>132.8813717186196</v>
      </c>
      <c r="EK2" t="n">
        <v>134.1439317485259</v>
      </c>
      <c r="EL2" t="n">
        <v>133.9746237193571</v>
      </c>
      <c r="EM2" t="n">
        <v>133.0681418188688</v>
      </c>
      <c r="EN2" t="n">
        <v>132.7059352776482</v>
      </c>
      <c r="EO2" t="n">
        <v>132.9236106542547</v>
      </c>
      <c r="EP2" t="n">
        <v>132.543802623385</v>
      </c>
      <c r="EQ2" t="n">
        <v>132.6934087966159</v>
      </c>
      <c r="ER2" t="n">
        <v>133.8632587969985</v>
      </c>
      <c r="ES2" t="n">
        <v>132.1096983254114</v>
      </c>
      <c r="ET2" t="n">
        <v>133.8819778112234</v>
      </c>
      <c r="EU2" t="n">
        <v>133.3663724756822</v>
      </c>
      <c r="EV2" t="n">
        <v>134.1859396250114</v>
      </c>
      <c r="EW2" t="n">
        <v>134.0573640976845</v>
      </c>
      <c r="EX2" t="n">
        <v>133.6436606136256</v>
      </c>
      <c r="EY2" t="n">
        <v>134.4610330491319</v>
      </c>
      <c r="EZ2" t="n">
        <v>134.257773796238</v>
      </c>
      <c r="FA2" t="n">
        <v>134.3008207102393</v>
      </c>
      <c r="FB2" t="n">
        <v>132.8368737784081</v>
      </c>
      <c r="FC2" t="n">
        <v>133.6127408069502</v>
      </c>
      <c r="FD2" t="n">
        <v>132.3661945803723</v>
      </c>
      <c r="FE2" t="n">
        <v>133.5784497921474</v>
      </c>
      <c r="FF2" t="n">
        <v>131.5320346075186</v>
      </c>
      <c r="FG2" t="n">
        <v>134.9600287598084</v>
      </c>
      <c r="FH2" t="n">
        <v>134.2534593887486</v>
      </c>
      <c r="FI2" t="n">
        <v>133.3516934087146</v>
      </c>
      <c r="FJ2" t="n">
        <v>133.5979997629876</v>
      </c>
      <c r="FK2" t="n">
        <v>133.1109971176431</v>
      </c>
      <c r="FL2" t="n">
        <v>132.5781588900033</v>
      </c>
      <c r="FM2" t="n">
        <v>133.7838555497557</v>
      </c>
      <c r="FN2" t="n">
        <v>133.1388813336653</v>
      </c>
      <c r="FO2" t="n">
        <v>133.1233653832767</v>
      </c>
      <c r="FP2" t="n">
        <v>132.7252942068494</v>
      </c>
      <c r="FQ2" t="n">
        <v>133.3934931008537</v>
      </c>
      <c r="FR2" t="n">
        <v>132.7293219940703</v>
      </c>
      <c r="FS2" t="n">
        <v>132.3557769005451</v>
      </c>
      <c r="FT2" t="n">
        <v>133.3989313143342</v>
      </c>
      <c r="FU2" t="n">
        <v>132.8180509744774</v>
      </c>
      <c r="FV2" t="n">
        <v>132.9513091121354</v>
      </c>
      <c r="FW2" t="n">
        <v>130.8003197150903</v>
      </c>
      <c r="FX2" t="n">
        <v>132.0951065370157</v>
      </c>
      <c r="FY2" t="n">
        <v>133.5488959373229</v>
      </c>
      <c r="FZ2" t="n">
        <v>133.5095397577141</v>
      </c>
      <c r="GA2" t="n">
        <v>132.2617560761796</v>
      </c>
      <c r="GB2" t="n">
        <v>133.7136720988857</v>
      </c>
      <c r="GC2" t="n">
        <v>132.1238268100346</v>
      </c>
      <c r="GD2" t="n">
        <v>131.8541466382925</v>
      </c>
      <c r="GE2" t="n">
        <v>132.7005169131094</v>
      </c>
      <c r="GF2" t="n">
        <v>133.3342648892798</v>
      </c>
      <c r="GG2" t="n">
        <v>133.5990319182331</v>
      </c>
      <c r="GH2" t="n">
        <v>133.6763347577608</v>
      </c>
      <c r="GI2" t="n">
        <v>131.4720086220321</v>
      </c>
      <c r="GJ2" t="n">
        <v>131.8123507226321</v>
      </c>
      <c r="GK2" t="n">
        <v>132.9446572017008</v>
      </c>
      <c r="GL2" t="n">
        <v>131.5287086198013</v>
      </c>
      <c r="GM2" t="n">
        <v>132.5998262237702</v>
      </c>
      <c r="GN2" t="n">
        <v>132.6940398532473</v>
      </c>
      <c r="GO2" t="n">
        <v>132.5830348559317</v>
      </c>
      <c r="GP2" t="n">
        <v>132.6979336749268</v>
      </c>
      <c r="GQ2" t="n">
        <v>132.1473047960882</v>
      </c>
      <c r="GR2" t="n">
        <v>131.3509736618952</v>
      </c>
      <c r="GS2" t="n">
        <v>131.784953295423</v>
      </c>
      <c r="GT2" t="n">
        <v>132.1686713224226</v>
      </c>
      <c r="GU2" t="n">
        <v>133.6372145911758</v>
      </c>
      <c r="GV2" t="n">
        <v>132.324568104734</v>
      </c>
      <c r="GW2" t="n">
        <v>131.3316899317913</v>
      </c>
      <c r="GX2" t="n">
        <v>133.3762946704717</v>
      </c>
      <c r="GY2" t="n">
        <v>131.4889729518193</v>
      </c>
      <c r="GZ2" t="n">
        <v>132.6450010566685</v>
      </c>
      <c r="HA2" t="n">
        <v>131.2094838230396</v>
      </c>
      <c r="HB2" t="n">
        <v>132.5326981050758</v>
      </c>
      <c r="HC2" t="n">
        <v>131.914609455502</v>
      </c>
      <c r="HD2" t="n">
        <v>130.8395194848764</v>
      </c>
      <c r="HE2" t="n">
        <v>132.0808948477136</v>
      </c>
      <c r="HF2" t="n">
        <v>134.4284208324744</v>
      </c>
      <c r="HG2" t="n">
        <v>131.2607482449915</v>
      </c>
      <c r="HH2" t="n">
        <v>131.2793199649321</v>
      </c>
      <c r="HI2" t="n">
        <v>131.7706568358304</v>
      </c>
      <c r="HJ2" t="n">
        <v>132.0735090481398</v>
      </c>
      <c r="HK2" t="n">
        <v>131.9612643250238</v>
      </c>
      <c r="HL2" t="n">
        <v>131.5667352549618</v>
      </c>
      <c r="HM2" t="n">
        <v>132.1218639650736</v>
      </c>
      <c r="HN2" t="n">
        <v>130.894961097181</v>
      </c>
      <c r="HO2" t="n">
        <v>130.6954376458061</v>
      </c>
      <c r="HP2" t="n">
        <v>132.024305937169</v>
      </c>
      <c r="HQ2" t="n">
        <v>130.9062021573671</v>
      </c>
      <c r="HR2" t="n">
        <v>130.3149155260722</v>
      </c>
      <c r="HS2" t="n">
        <v>131.7272415667335</v>
      </c>
      <c r="HT2" t="n">
        <v>131.3047147007498</v>
      </c>
      <c r="HU2" t="n">
        <v>130.3684268820224</v>
      </c>
      <c r="HV2" t="n">
        <v>132.8657429946227</v>
      </c>
      <c r="HW2" t="n">
        <v>132.0309948654306</v>
      </c>
      <c r="HX2" t="n">
        <v>131.5737505617103</v>
      </c>
      <c r="HY2" t="n">
        <v>132.1375171852453</v>
      </c>
      <c r="HZ2" t="n">
        <v>133.1232262771457</v>
      </c>
      <c r="IA2" t="n">
        <v>132.7617874922346</v>
      </c>
      <c r="IB2" t="n">
        <v>132.0667763361762</v>
      </c>
      <c r="IC2" t="n">
        <v>133.4242954228187</v>
      </c>
      <c r="ID2" t="n">
        <v>130.0737133390815</v>
      </c>
      <c r="IE2" t="n">
        <v>130.8442618945311</v>
      </c>
      <c r="IF2" t="n">
        <v>132.0569096903963</v>
      </c>
      <c r="IG2" t="n">
        <v>132.7856235165961</v>
      </c>
      <c r="IH2" t="n">
        <v>131.3179171161354</v>
      </c>
      <c r="II2" t="n">
        <v>133.6644524882894</v>
      </c>
      <c r="IJ2" t="n">
        <v>130.4901352805049</v>
      </c>
      <c r="IK2" t="n">
        <v>132.1262837564842</v>
      </c>
      <c r="IL2" t="n">
        <v>131.6341361662712</v>
      </c>
      <c r="IM2" t="n">
        <v>130.7915498291629</v>
      </c>
      <c r="IN2" t="n">
        <v>132.7105373570225</v>
      </c>
      <c r="IO2" t="n">
        <v>133.1308538727591</v>
      </c>
      <c r="IP2" t="n">
        <v>132.6009674506642</v>
      </c>
      <c r="IQ2" t="n">
        <v>131.5086696026591</v>
      </c>
      <c r="IR2" t="n">
        <v>132.6893431486077</v>
      </c>
      <c r="IS2" t="n">
        <v>133.8023280691082</v>
      </c>
      <c r="IT2" t="n">
        <v>134.0425846184832</v>
      </c>
      <c r="IU2" t="n">
        <v>133.5912005732112</v>
      </c>
      <c r="IV2" t="n">
        <v>134.5084830650172</v>
      </c>
      <c r="IW2" t="n">
        <v>134.6700049379816</v>
      </c>
      <c r="IX2" t="n">
        <v>135.0848351695169</v>
      </c>
      <c r="IY2" t="n">
        <v>134.7966287077478</v>
      </c>
      <c r="IZ2" t="n">
        <v>135.2779397139827</v>
      </c>
      <c r="JA2" t="n">
        <v>133.6358557705813</v>
      </c>
      <c r="JB2" t="n">
        <v>134.9019038117082</v>
      </c>
      <c r="JC2" t="n">
        <v>133.8065091686963</v>
      </c>
      <c r="JD2" t="n">
        <v>135.7392319355533</v>
      </c>
      <c r="JE2" t="n">
        <v>134.550683189992</v>
      </c>
      <c r="JF2" t="n">
        <v>136.309769201396</v>
      </c>
      <c r="JG2" t="n">
        <v>134.3734464976777</v>
      </c>
      <c r="JH2" t="n">
        <v>137.0247908672136</v>
      </c>
      <c r="JI2" t="n">
        <v>135.0181062556584</v>
      </c>
      <c r="JJ2" t="n">
        <v>136.0055641539534</v>
      </c>
      <c r="JK2" t="n">
        <v>135.8636338049167</v>
      </c>
      <c r="JL2" t="n">
        <v>135.1628924863114</v>
      </c>
      <c r="JM2" t="n">
        <v>135.5304916074807</v>
      </c>
      <c r="JN2" t="n">
        <v>136.1572312033754</v>
      </c>
      <c r="JO2" t="n">
        <v>135.9382831186887</v>
      </c>
      <c r="JP2" t="n">
        <v>136.1208069733231</v>
      </c>
      <c r="JQ2" t="n">
        <v>137.1891041814942</v>
      </c>
      <c r="JR2" t="n">
        <v>134.6030622546873</v>
      </c>
      <c r="JS2" t="n">
        <v>136.6211210926615</v>
      </c>
      <c r="JT2" t="n">
        <v>136.7111836592692</v>
      </c>
      <c r="JU2" t="n">
        <v>136.6129337354607</v>
      </c>
      <c r="JV2" t="n">
        <v>135.9420600107811</v>
      </c>
      <c r="JW2" t="n">
        <v>136.7832508243547</v>
      </c>
      <c r="JX2" t="n">
        <v>134.7134203269312</v>
      </c>
      <c r="JY2" t="n">
        <v>135.1430492556283</v>
      </c>
      <c r="JZ2" t="n">
        <v>135.1620573496365</v>
      </c>
      <c r="KA2" t="n">
        <v>137.0652741814992</v>
      </c>
      <c r="KB2" t="n">
        <v>134.7774914860561</v>
      </c>
      <c r="KC2" t="n">
        <v>137.2070491984339</v>
      </c>
      <c r="KD2" t="n">
        <v>134.1167034220181</v>
      </c>
      <c r="KE2" t="n">
        <v>136.0583894483066</v>
      </c>
      <c r="KF2" t="n">
        <v>135.0511666988072</v>
      </c>
      <c r="KG2" t="n">
        <v>134.4353157091589</v>
      </c>
      <c r="KH2" t="n">
        <v>135.3230091711671</v>
      </c>
      <c r="KI2" t="n">
        <v>135.1955333582659</v>
      </c>
      <c r="KJ2" t="n">
        <v>133.667092979733</v>
      </c>
      <c r="KK2" t="n">
        <v>133.7433870894334</v>
      </c>
      <c r="KL2" t="n">
        <v>133.3729293979503</v>
      </c>
      <c r="KM2" t="n">
        <v>134.4709225180416</v>
      </c>
      <c r="KN2" t="n">
        <v>133.9753178117009</v>
      </c>
      <c r="KO2" t="n">
        <v>134.6510473535305</v>
      </c>
      <c r="KP2" t="n">
        <v>134.8469527069838</v>
      </c>
      <c r="KQ2" t="n">
        <v>134.236818201508</v>
      </c>
      <c r="KR2" t="n">
        <v>136.1468654495033</v>
      </c>
      <c r="KS2" t="n">
        <v>134.678176210758</v>
      </c>
      <c r="KT2" t="n">
        <v>136.4294505974129</v>
      </c>
      <c r="KU2" t="n">
        <v>135.3470351217867</v>
      </c>
      <c r="KV2" t="n">
        <v>136.0566744828727</v>
      </c>
      <c r="KW2" t="n">
        <v>135.0045888522434</v>
      </c>
      <c r="KX2" t="n">
        <v>135.8224403215085</v>
      </c>
      <c r="KY2" t="n">
        <v>135.3899673236792</v>
      </c>
      <c r="KZ2" t="n">
        <v>136.0132056075076</v>
      </c>
      <c r="LA2" t="n">
        <v>135.5989605075787</v>
      </c>
      <c r="LB2" t="n">
        <v>133.6479041642638</v>
      </c>
      <c r="LC2" t="n">
        <v>135.8536958811391</v>
      </c>
      <c r="LD2" t="n">
        <v>134.35008550544</v>
      </c>
      <c r="LE2" t="n">
        <v>135.0864136123524</v>
      </c>
      <c r="LF2" t="n">
        <v>135.0464240852006</v>
      </c>
      <c r="LG2" t="n">
        <v>138.0910797161236</v>
      </c>
      <c r="LH2" t="n">
        <v>135.2949649600473</v>
      </c>
      <c r="LI2" t="n">
        <v>135.4010720061196</v>
      </c>
      <c r="LJ2" t="n">
        <v>134.6245336300915</v>
      </c>
      <c r="LK2" t="n">
        <v>134.7843232398083</v>
      </c>
      <c r="LL2" t="n">
        <v>135.1749051646678</v>
      </c>
      <c r="LM2" t="n">
        <v>135.5464944966603</v>
      </c>
      <c r="LN2" t="n">
        <v>134.7804027955474</v>
      </c>
      <c r="LO2" t="n">
        <v>134.2290348965975</v>
      </c>
      <c r="LP2" t="n">
        <v>134.4743588170481</v>
      </c>
      <c r="LQ2" t="n">
        <v>134.9513442803847</v>
      </c>
      <c r="LR2" t="n">
        <v>135.0641055825338</v>
      </c>
      <c r="LS2" t="n">
        <v>134.370384683191</v>
      </c>
      <c r="LT2" t="n">
        <v>135.2875746445543</v>
      </c>
      <c r="LU2" t="n">
        <v>133.0030404191752</v>
      </c>
      <c r="LV2" t="n">
        <v>132.5780777910686</v>
      </c>
      <c r="LW2" t="n">
        <v>132.9679282571958</v>
      </c>
      <c r="LX2" t="n">
        <v>134.3173364493456</v>
      </c>
      <c r="LY2" t="n">
        <v>133.8758583814451</v>
      </c>
      <c r="LZ2" t="n">
        <v>134.6758407810528</v>
      </c>
      <c r="MA2" t="n">
        <v>134.6467020935602</v>
      </c>
      <c r="MB2" t="n">
        <v>136.6871253902933</v>
      </c>
      <c r="MC2" t="n">
        <v>135.999812434483</v>
      </c>
      <c r="MD2" t="n">
        <v>130.376683070406</v>
      </c>
      <c r="ME2" t="n">
        <v>134.784785526896</v>
      </c>
      <c r="MF2" t="n">
        <v>133.3975033378735</v>
      </c>
      <c r="MG2" t="n">
        <v>131.7840403559126</v>
      </c>
      <c r="MH2" t="n">
        <v>132.2793194848405</v>
      </c>
      <c r="MI2" t="n">
        <v>135.234773157443</v>
      </c>
      <c r="MJ2" t="n">
        <v>133.5218430522599</v>
      </c>
      <c r="MK2" t="n">
        <v>133.5736942987579</v>
      </c>
      <c r="ML2" t="n">
        <v>133.8079947325188</v>
      </c>
      <c r="MM2" t="n">
        <v>133.6104654325132</v>
      </c>
      <c r="MN2" t="n">
        <v>134.218426434728</v>
      </c>
      <c r="MO2" t="n">
        <v>134.8775153443355</v>
      </c>
      <c r="MP2" t="n">
        <v>135.5860374648983</v>
      </c>
      <c r="MQ2" t="n">
        <v>135.7819308059241</v>
      </c>
      <c r="MR2" t="n">
        <v>135.5396170696294</v>
      </c>
      <c r="MS2" t="n">
        <v>135.2147745366005</v>
      </c>
      <c r="MT2" t="n">
        <v>135.4411145873201</v>
      </c>
      <c r="MU2" t="n">
        <v>135.6323228920835</v>
      </c>
      <c r="MV2" t="n">
        <v>137.1027081903865</v>
      </c>
      <c r="MW2" t="n">
        <v>136.8794824354949</v>
      </c>
      <c r="MX2" t="n">
        <v>135.826398448068</v>
      </c>
      <c r="MY2" t="n">
        <v>136.361671109998</v>
      </c>
      <c r="MZ2" t="n">
        <v>136.5364282791576</v>
      </c>
      <c r="NA2" t="n">
        <v>136.6659106614729</v>
      </c>
      <c r="NB2" t="n">
        <v>135.6932311245102</v>
      </c>
      <c r="NC2" t="n">
        <v>135.8903071494864</v>
      </c>
      <c r="ND2" t="n">
        <v>136.111253695197</v>
      </c>
      <c r="NE2" t="n">
        <v>136.2220516704433</v>
      </c>
      <c r="NF2" t="n">
        <v>135.14976567834</v>
      </c>
      <c r="NG2" t="n">
        <v>136.7324514732773</v>
      </c>
      <c r="NH2" t="n">
        <v>136.7729821497125</v>
      </c>
      <c r="NI2" t="n">
        <v>135.300000250466</v>
      </c>
      <c r="NJ2" t="n">
        <v>136.0212001422214</v>
      </c>
      <c r="NK2" t="n">
        <v>136.3424199797167</v>
      </c>
      <c r="NL2" t="n">
        <v>136.5571896588279</v>
      </c>
      <c r="NM2" t="n">
        <v>135.8199696667906</v>
      </c>
      <c r="NN2" t="n">
        <v>135.3095623097079</v>
      </c>
      <c r="NO2" t="n">
        <v>136.0511437604588</v>
      </c>
      <c r="NP2" t="n">
        <v>136.0057919099368</v>
      </c>
      <c r="NQ2" t="n">
        <v>135.1120114840739</v>
      </c>
      <c r="NR2" t="n">
        <v>136.9084209713957</v>
      </c>
      <c r="NS2" t="n">
        <v>138.5193189689443</v>
      </c>
      <c r="NT2" t="n">
        <v>137.4158583065273</v>
      </c>
      <c r="NU2" t="n">
        <v>135.9115009580824</v>
      </c>
      <c r="NV2" t="n">
        <v>139.8764672801236</v>
      </c>
      <c r="NW2" t="n">
        <v>136.7845008417697</v>
      </c>
      <c r="NX2" t="n">
        <v>137.3346930428029</v>
      </c>
      <c r="NY2" t="n">
        <v>136.719808078714</v>
      </c>
      <c r="NZ2" t="n">
        <v>136.0810992627055</v>
      </c>
      <c r="OA2" t="n">
        <v>136.7168595646713</v>
      </c>
      <c r="OB2" t="n">
        <v>137.0127081703726</v>
      </c>
      <c r="OC2" t="n">
        <v>137.7699663219557</v>
      </c>
      <c r="OD2" t="n">
        <v>135.8882738811978</v>
      </c>
      <c r="OE2" t="n">
        <v>135.933784270539</v>
      </c>
      <c r="OF2" t="n">
        <v>137.1120576231686</v>
      </c>
      <c r="OG2" t="n">
        <v>138.5151425404912</v>
      </c>
      <c r="OH2" t="n">
        <v>137.8975409290136</v>
      </c>
      <c r="OI2" t="n">
        <v>137.2613079529259</v>
      </c>
      <c r="OJ2" t="n">
        <v>137.5413627383744</v>
      </c>
      <c r="OK2" t="n">
        <v>135.7429226956038</v>
      </c>
      <c r="OL2" t="n">
        <v>135.233834631247</v>
      </c>
      <c r="OM2" t="n">
        <v>135.6021620627857</v>
      </c>
      <c r="ON2" t="n">
        <v>136.8145907446269</v>
      </c>
      <c r="OO2" t="n">
        <v>136.5754066903318</v>
      </c>
      <c r="OP2" t="n">
        <v>137.4310653135151</v>
      </c>
      <c r="OQ2" t="n">
        <v>137.7202455138887</v>
      </c>
      <c r="OR2" t="n">
        <v>137.0349997608725</v>
      </c>
      <c r="OS2" t="n">
        <v>137.6777938359529</v>
      </c>
      <c r="OT2" t="n">
        <v>136.865458442556</v>
      </c>
      <c r="OU2" t="n">
        <v>138.2398143634278</v>
      </c>
      <c r="OV2" t="n">
        <v>136.4775470147909</v>
      </c>
      <c r="OW2" t="n">
        <v>136.1107341581144</v>
      </c>
      <c r="OX2" t="n">
        <v>136.5147793190534</v>
      </c>
      <c r="OY2" t="n">
        <v>135.9488272158843</v>
      </c>
      <c r="OZ2" t="n">
        <v>136.1698044718</v>
      </c>
      <c r="PA2" t="n">
        <v>136.2988567155874</v>
      </c>
      <c r="PB2" t="n">
        <v>137.0074159046577</v>
      </c>
      <c r="PC2" t="n">
        <v>137.7971601540345</v>
      </c>
      <c r="PD2" t="n">
        <v>134.8738823259428</v>
      </c>
      <c r="PE2" t="n">
        <v>136.3170775730212</v>
      </c>
      <c r="PF2" t="n">
        <v>135.1843055262749</v>
      </c>
      <c r="PG2" t="n">
        <v>135.5111061460612</v>
      </c>
      <c r="PH2" t="n">
        <v>136.7488342383289</v>
      </c>
      <c r="PI2" t="n">
        <v>137.1450024289236</v>
      </c>
      <c r="PJ2" t="n">
        <v>136.7900033632202</v>
      </c>
      <c r="PK2" t="n">
        <v>136.9178826173803</v>
      </c>
      <c r="PL2" t="n">
        <v>136.640232501905</v>
      </c>
      <c r="PM2" t="n">
        <v>137.5334424036589</v>
      </c>
      <c r="PN2" t="n">
        <v>138.0711839229536</v>
      </c>
      <c r="PO2" t="n">
        <v>136.5686189877368</v>
      </c>
      <c r="PP2" t="n">
        <v>136.749840282431</v>
      </c>
      <c r="PQ2" t="n">
        <v>137.5475175372101</v>
      </c>
      <c r="PR2" t="n">
        <v>137.4488262868615</v>
      </c>
      <c r="PS2" t="n">
        <v>136.5535722017963</v>
      </c>
      <c r="PT2" t="n">
        <v>136.4057825283209</v>
      </c>
      <c r="PU2" t="n">
        <v>136.5606283370678</v>
      </c>
      <c r="PV2" t="n">
        <v>137.3403565383501</v>
      </c>
      <c r="PW2" t="n">
        <v>135.9111630486228</v>
      </c>
      <c r="PX2" t="n">
        <v>136.9881565169521</v>
      </c>
      <c r="PY2" t="n">
        <v>137.7684612614402</v>
      </c>
      <c r="PZ2" t="n">
        <v>137.6028354424072</v>
      </c>
      <c r="QA2" t="n">
        <v>137.8430807777697</v>
      </c>
      <c r="QB2" t="n">
        <v>135.8126376704019</v>
      </c>
      <c r="QC2" t="n">
        <v>137.1344385748956</v>
      </c>
      <c r="QD2" t="n">
        <v>136.1881779382634</v>
      </c>
      <c r="QE2" t="n">
        <v>131.2536872819171</v>
      </c>
      <c r="QF2" t="n">
        <v>136.0563212045286</v>
      </c>
      <c r="QG2" t="n">
        <v>136.8809824377745</v>
      </c>
      <c r="QH2" t="n">
        <v>137.2037722858597</v>
      </c>
      <c r="QI2" t="n">
        <v>136.3915843143165</v>
      </c>
      <c r="QJ2" t="n">
        <v>136.797151660647</v>
      </c>
      <c r="QK2" t="n">
        <v>136.8119441583737</v>
      </c>
      <c r="QL2" t="n">
        <v>136.015981729893</v>
      </c>
      <c r="QM2" t="n">
        <v>135.6200262497423</v>
      </c>
      <c r="QN2" t="n">
        <v>135.8896767880401</v>
      </c>
      <c r="QO2" t="n">
        <v>136.3367683968983</v>
      </c>
      <c r="QP2" t="n">
        <v>136.8888455865379</v>
      </c>
      <c r="QQ2" t="n">
        <v>136.6931365673783</v>
      </c>
      <c r="QR2" t="n">
        <v>136.4819598579949</v>
      </c>
      <c r="QS2" t="n">
        <v>136.9795175821128</v>
      </c>
      <c r="QT2" t="n">
        <v>137.8432258987915</v>
      </c>
      <c r="QU2" t="n">
        <v>136.6094214357475</v>
      </c>
      <c r="QV2" t="n">
        <v>136.8121403511544</v>
      </c>
      <c r="QW2" t="n">
        <v>137.7573093786904</v>
      </c>
      <c r="QX2" t="n">
        <v>137.8481614496075</v>
      </c>
      <c r="QY2" t="n">
        <v>137.0779424338276</v>
      </c>
      <c r="QZ2" t="n">
        <v>137.7403087548314</v>
      </c>
      <c r="RA2" t="n">
        <v>135.7146945883949</v>
      </c>
      <c r="RB2" t="n">
        <v>129.9345971389828</v>
      </c>
      <c r="RC2" t="n">
        <v>128.354420819997</v>
      </c>
      <c r="RD2" t="n">
        <v>129.5798409214159</v>
      </c>
      <c r="RE2" t="n">
        <v>128.7263118274116</v>
      </c>
      <c r="RF2" t="n">
        <v>129.4112392918254</v>
      </c>
      <c r="RG2" t="n">
        <v>129.755151347104</v>
      </c>
      <c r="RH2" t="n">
        <v>128.2879378217523</v>
      </c>
      <c r="RI2" t="n">
        <v>127.3719755625715</v>
      </c>
      <c r="RJ2" t="n">
        <v>127.7103802677721</v>
      </c>
      <c r="RK2" t="n">
        <v>128.0741047316993</v>
      </c>
      <c r="RL2" t="n">
        <v>129.8590915486547</v>
      </c>
      <c r="RM2" t="n">
        <v>128.724251428089</v>
      </c>
      <c r="RN2" t="n">
        <v>130.5862085231802</v>
      </c>
      <c r="RO2" t="n">
        <v>130.3957870881598</v>
      </c>
      <c r="RP2" t="n">
        <v>130.5078359414115</v>
      </c>
      <c r="RQ2" t="n">
        <v>131.7300688668684</v>
      </c>
      <c r="RR2" t="n">
        <v>130.2715188296865</v>
      </c>
      <c r="RS2" t="n">
        <v>128.385263969457</v>
      </c>
      <c r="RT2" t="n">
        <v>130.5458117785113</v>
      </c>
      <c r="RU2" t="n">
        <v>129.9500022253652</v>
      </c>
      <c r="RV2" t="n">
        <v>131.1581714234038</v>
      </c>
      <c r="RW2" t="n">
        <v>131.8540914750045</v>
      </c>
      <c r="RX2" t="n">
        <v>129.3369296007781</v>
      </c>
      <c r="RY2" t="n">
        <v>129.6450427248173</v>
      </c>
      <c r="RZ2" t="n">
        <v>130.7860150689473</v>
      </c>
      <c r="SA2" t="n">
        <v>128.93245271834</v>
      </c>
      <c r="SB2" t="n">
        <v>130.1673545051841</v>
      </c>
      <c r="SC2" t="n">
        <v>130.1109832077009</v>
      </c>
      <c r="SD2" t="n">
        <v>131.4372153750953</v>
      </c>
      <c r="SE2" t="n">
        <v>131.5358898921288</v>
      </c>
      <c r="SF2" t="n">
        <v>131.2255735194861</v>
      </c>
      <c r="SG2" t="n">
        <v>129.4893554772648</v>
      </c>
      <c r="SH2" t="n">
        <v>132.4430489746669</v>
      </c>
      <c r="SI2" t="n">
        <v>132.751197181944</v>
      </c>
      <c r="SJ2" t="n">
        <v>132.0919227297984</v>
      </c>
      <c r="SK2" t="n">
        <v>130.2608577245484</v>
      </c>
      <c r="SL2" t="n">
        <v>131.2358519643273</v>
      </c>
      <c r="SM2" t="n">
        <v>131.3544918825577</v>
      </c>
      <c r="SN2" t="n">
        <v>129.9016714840388</v>
      </c>
      <c r="SO2" t="n">
        <v>131.2582838132221</v>
      </c>
      <c r="SP2" t="n">
        <v>131.0099740373666</v>
      </c>
      <c r="SQ2" t="n">
        <v>129.9068800413098</v>
      </c>
      <c r="SR2" t="n">
        <v>131.2402884874525</v>
      </c>
      <c r="SS2" t="n">
        <v>131.6129765230591</v>
      </c>
      <c r="ST2" t="n">
        <v>129.7072894671481</v>
      </c>
      <c r="SU2" t="n">
        <v>131.15753032009</v>
      </c>
      <c r="SV2" t="n">
        <v>133.6419058781103</v>
      </c>
      <c r="SW2" t="n">
        <v>131.2851900047597</v>
      </c>
      <c r="SX2" t="n">
        <v>132.7073722026628</v>
      </c>
      <c r="SY2" t="n">
        <v>132.3507621221596</v>
      </c>
      <c r="SZ2" t="n">
        <v>131.0624540290093</v>
      </c>
      <c r="TA2" t="n">
        <v>131.9594397770342</v>
      </c>
      <c r="TB2" t="n">
        <v>132.0026646294111</v>
      </c>
      <c r="TC2" t="n">
        <v>133.0247042549863</v>
      </c>
      <c r="TD2" t="n">
        <v>132.1890226728952</v>
      </c>
      <c r="TE2" t="n">
        <v>133.1894623736929</v>
      </c>
      <c r="TF2" t="n">
        <v>133.1397377074231</v>
      </c>
      <c r="TG2" t="n">
        <v>133.2841142748055</v>
      </c>
      <c r="TH2" t="n">
        <v>132.5792429463755</v>
      </c>
      <c r="TI2" t="n">
        <v>132.6370987481531</v>
      </c>
      <c r="TJ2" t="n">
        <v>131.4365290309664</v>
      </c>
      <c r="TK2" t="n">
        <v>131.7434790725758</v>
      </c>
      <c r="TL2" t="n">
        <v>132.263896036221</v>
      </c>
      <c r="TM2" t="n">
        <v>131.7786445846373</v>
      </c>
      <c r="TN2" t="n">
        <v>131.9606438675559</v>
      </c>
      <c r="TO2" t="n">
        <v>133.1477897095344</v>
      </c>
      <c r="TP2" t="n">
        <v>133.8656813918439</v>
      </c>
      <c r="TQ2" t="n">
        <v>133.7288503254513</v>
      </c>
      <c r="TR2" t="n">
        <v>133.1061837001047</v>
      </c>
      <c r="TS2" t="n">
        <v>133.2254292101991</v>
      </c>
      <c r="TT2" t="n">
        <v>133.2067241650545</v>
      </c>
      <c r="TU2" t="n">
        <v>132.2363124918776</v>
      </c>
      <c r="TV2" t="n">
        <v>132.518622724588</v>
      </c>
      <c r="TW2" t="n">
        <v>132.5825075924092</v>
      </c>
      <c r="TX2" t="n">
        <v>134.0027888423197</v>
      </c>
      <c r="TY2" t="n">
        <v>132.9512540326158</v>
      </c>
      <c r="TZ2" t="n">
        <v>133.0394675570362</v>
      </c>
      <c r="UA2" t="n">
        <v>133.7457298474853</v>
      </c>
      <c r="UB2" t="n">
        <v>133.2532011260538</v>
      </c>
      <c r="UC2" t="n">
        <v>132.2120473663856</v>
      </c>
      <c r="UD2" t="n">
        <v>132.9411077041153</v>
      </c>
      <c r="UE2" t="n">
        <v>133.7942011747477</v>
      </c>
      <c r="UF2" t="n">
        <v>132.8821591962306</v>
      </c>
      <c r="UG2" t="n">
        <v>133.0265183158326</v>
      </c>
      <c r="UH2" t="n">
        <v>133.2288969860009</v>
      </c>
      <c r="UI2" t="n">
        <v>133.9113234804774</v>
      </c>
      <c r="UJ2" t="n">
        <v>132.8756849324455</v>
      </c>
      <c r="UK2" t="n">
        <v>131.3414545783222</v>
      </c>
      <c r="UL2" t="n">
        <v>132.0798564077774</v>
      </c>
      <c r="UM2" t="n">
        <v>131.7627087687782</v>
      </c>
      <c r="UN2" t="n">
        <v>133.6191850155608</v>
      </c>
      <c r="UO2" t="n">
        <v>132.9977793731375</v>
      </c>
      <c r="UP2" t="n">
        <v>134.5050561044099</v>
      </c>
      <c r="UQ2" t="n">
        <v>133.020869031672</v>
      </c>
      <c r="UR2" t="n">
        <v>132.0898169370312</v>
      </c>
      <c r="US2" t="n">
        <v>132.5245961390851</v>
      </c>
      <c r="UT2" t="n">
        <v>133.5397559079416</v>
      </c>
      <c r="UU2" t="n">
        <v>133.5165100459504</v>
      </c>
      <c r="UV2" t="n">
        <v>132.9113291576352</v>
      </c>
      <c r="UW2" t="n">
        <v>131.1822734518171</v>
      </c>
      <c r="UX2" t="n">
        <v>134.5046481748297</v>
      </c>
      <c r="UY2" t="n">
        <v>132.3434356148223</v>
      </c>
      <c r="UZ2" t="n">
        <v>133.0404816700604</v>
      </c>
      <c r="VA2" t="n">
        <v>132.770947580244</v>
      </c>
      <c r="VB2" t="n">
        <v>132.807410877828</v>
      </c>
      <c r="VC2" t="n">
        <v>134.9914827937583</v>
      </c>
      <c r="VD2" t="n">
        <v>131.0741978414353</v>
      </c>
      <c r="VE2" t="n">
        <v>131.9980912852452</v>
      </c>
      <c r="VF2" t="n">
        <v>131.8972826661598</v>
      </c>
      <c r="VG2" t="n">
        <v>131.4401239478165</v>
      </c>
      <c r="VH2" t="n">
        <v>130.8386621215406</v>
      </c>
      <c r="VI2" t="n">
        <v>132.5665032344742</v>
      </c>
      <c r="VJ2" t="n">
        <v>133.1197851074233</v>
      </c>
      <c r="VK2" t="n">
        <v>130.9274989938007</v>
      </c>
      <c r="VL2" t="n">
        <v>131.8874925464912</v>
      </c>
      <c r="VM2" t="n">
        <v>132.689642441967</v>
      </c>
      <c r="VN2" t="n">
        <v>132.8813717186196</v>
      </c>
      <c r="VO2" t="n">
        <v>134.1439317485259</v>
      </c>
      <c r="VP2" t="n">
        <v>133.9746237193571</v>
      </c>
      <c r="VQ2" t="n">
        <v>133.0681418188688</v>
      </c>
      <c r="VR2" t="n">
        <v>132.7059352776482</v>
      </c>
      <c r="VS2" t="n">
        <v>132.9236106542547</v>
      </c>
      <c r="VT2" t="n">
        <v>132.543802623385</v>
      </c>
      <c r="VU2" t="n">
        <v>132.6934087966159</v>
      </c>
      <c r="VV2" t="n">
        <v>133.8632587969985</v>
      </c>
      <c r="VW2" t="n">
        <v>132.1096983254114</v>
      </c>
      <c r="VX2" t="n">
        <v>133.8819778112234</v>
      </c>
      <c r="VY2" t="n">
        <v>133.3663724756822</v>
      </c>
      <c r="VZ2" t="n">
        <v>134.1859396250114</v>
      </c>
      <c r="WA2" t="n">
        <v>134.0573640976845</v>
      </c>
      <c r="WB2" t="n">
        <v>133.6436606136256</v>
      </c>
      <c r="WC2" t="n">
        <v>134.4610330491319</v>
      </c>
      <c r="WD2" t="n">
        <v>134.257773796238</v>
      </c>
      <c r="WE2" t="n">
        <v>134.3008207102393</v>
      </c>
      <c r="WF2" t="n">
        <v>132.8368737784081</v>
      </c>
      <c r="WG2" t="n">
        <v>133.6127408069502</v>
      </c>
      <c r="WH2" t="n">
        <v>132.3661945803723</v>
      </c>
      <c r="WI2" t="n">
        <v>133.5784497921474</v>
      </c>
      <c r="WJ2" t="n">
        <v>131.5320346075186</v>
      </c>
      <c r="WK2" t="n">
        <v>134.9600287598084</v>
      </c>
      <c r="WL2" t="n">
        <v>134.2534593887486</v>
      </c>
      <c r="WM2" t="n">
        <v>133.3516934087146</v>
      </c>
      <c r="WN2" t="n">
        <v>133.5979997629876</v>
      </c>
      <c r="WO2" t="n">
        <v>133.1109971176431</v>
      </c>
      <c r="WP2" t="n">
        <v>132.5781588900033</v>
      </c>
      <c r="WQ2" t="n">
        <v>133.7838555497557</v>
      </c>
      <c r="WR2" t="n">
        <v>133.1388813336653</v>
      </c>
      <c r="WS2" t="n">
        <v>133.1233653832767</v>
      </c>
      <c r="WT2" t="n">
        <v>132.7252942068494</v>
      </c>
      <c r="WU2" t="n">
        <v>133.3934931008537</v>
      </c>
      <c r="WV2" t="n">
        <v>132.7293219940703</v>
      </c>
      <c r="WW2" t="n">
        <v>132.3557769005451</v>
      </c>
      <c r="WX2" t="n">
        <v>133.3989313143342</v>
      </c>
      <c r="WY2" t="n">
        <v>132.8180509744774</v>
      </c>
      <c r="WZ2" t="n">
        <v>132.9513091121354</v>
      </c>
      <c r="XA2" t="n">
        <v>130.8003197150903</v>
      </c>
      <c r="XB2" t="n">
        <v>132.0951065370157</v>
      </c>
      <c r="XC2" t="n">
        <v>133.5488959373229</v>
      </c>
      <c r="XD2" t="n">
        <v>133.5095397577141</v>
      </c>
      <c r="XE2" t="n">
        <v>132.2617560761796</v>
      </c>
      <c r="XF2" t="n">
        <v>133.7136720988857</v>
      </c>
      <c r="XG2" t="n">
        <v>132.1238268100346</v>
      </c>
      <c r="XH2" t="n">
        <v>131.8541466382925</v>
      </c>
      <c r="XI2" t="n">
        <v>132.7005169131094</v>
      </c>
      <c r="XJ2" t="n">
        <v>133.3342648892798</v>
      </c>
      <c r="XK2" t="n">
        <v>133.5990319182331</v>
      </c>
      <c r="XL2" t="n">
        <v>133.6763347577608</v>
      </c>
      <c r="XM2" t="n">
        <v>131.4720086220321</v>
      </c>
      <c r="XN2" t="n">
        <v>131.8123507226321</v>
      </c>
      <c r="XO2" t="n">
        <v>132.9446572017008</v>
      </c>
      <c r="XP2" t="n">
        <v>131.5287086198013</v>
      </c>
      <c r="XQ2" t="n">
        <v>132.5998262237702</v>
      </c>
      <c r="XR2" t="n">
        <v>132.6940398532473</v>
      </c>
      <c r="XS2" t="n">
        <v>132.5830348559317</v>
      </c>
      <c r="XT2" t="n">
        <v>132.6979336749268</v>
      </c>
      <c r="XU2" t="n">
        <v>132.1473047960882</v>
      </c>
      <c r="XV2" t="n">
        <v>131.3509736618952</v>
      </c>
      <c r="XW2" t="n">
        <v>131.784953295423</v>
      </c>
      <c r="XX2" t="n">
        <v>132.1686713224226</v>
      </c>
      <c r="XY2" t="n">
        <v>133.6372145911758</v>
      </c>
      <c r="XZ2" t="n">
        <v>132.324568104734</v>
      </c>
      <c r="YA2" t="n">
        <v>131.3316899317913</v>
      </c>
      <c r="YB2" t="n">
        <v>133.3762946704717</v>
      </c>
      <c r="YC2" t="n">
        <v>131.4889729518193</v>
      </c>
      <c r="YD2" t="n">
        <v>132.6450010566685</v>
      </c>
      <c r="YE2" t="n">
        <v>131.2094838230396</v>
      </c>
      <c r="YF2" t="n">
        <v>132.5326981050758</v>
      </c>
      <c r="YG2" t="n">
        <v>131.914609455502</v>
      </c>
      <c r="YH2" t="n">
        <v>130.8395194848764</v>
      </c>
      <c r="YI2" t="n">
        <v>132.0808948477136</v>
      </c>
      <c r="YJ2" t="n">
        <v>134.4284208324744</v>
      </c>
      <c r="YK2" t="n">
        <v>131.2607482449915</v>
      </c>
      <c r="YL2" t="n">
        <v>131.2793199649321</v>
      </c>
      <c r="YM2" t="n">
        <v>131.7706568358304</v>
      </c>
      <c r="YN2" t="n">
        <v>132.0735090481398</v>
      </c>
      <c r="YO2" t="n">
        <v>131.9612643250238</v>
      </c>
      <c r="YP2" t="n">
        <v>131.5667352549618</v>
      </c>
      <c r="YQ2" t="n">
        <v>132.1218639650736</v>
      </c>
      <c r="YR2" t="n">
        <v>130.894961097181</v>
      </c>
      <c r="YS2" t="n">
        <v>130.6954376458061</v>
      </c>
      <c r="YT2" t="n">
        <v>132.024305937169</v>
      </c>
      <c r="YU2" t="n">
        <v>130.9062021573671</v>
      </c>
      <c r="YV2" t="n">
        <v>130.3149155260722</v>
      </c>
      <c r="YW2" t="n">
        <v>131.7272415667335</v>
      </c>
      <c r="YX2" t="n">
        <v>131.3047147007498</v>
      </c>
      <c r="YY2" t="n">
        <v>130.3684268820224</v>
      </c>
      <c r="YZ2" t="n">
        <v>132.8657429946227</v>
      </c>
      <c r="ZA2" t="n">
        <v>132.0309948654306</v>
      </c>
      <c r="ZB2" t="n">
        <v>131.5737505617103</v>
      </c>
      <c r="ZC2" t="n">
        <v>132.1375171852453</v>
      </c>
      <c r="ZD2" t="n">
        <v>133.1232262771457</v>
      </c>
      <c r="ZE2" t="n">
        <v>132.7617874922346</v>
      </c>
      <c r="ZF2" t="n">
        <v>132.0667763361762</v>
      </c>
      <c r="ZG2" t="n">
        <v>133.4242954228187</v>
      </c>
      <c r="ZH2" t="n">
        <v>130.0737133390815</v>
      </c>
      <c r="ZI2" t="n">
        <v>130.8442618945311</v>
      </c>
      <c r="ZJ2" t="n">
        <v>132.0569096903963</v>
      </c>
      <c r="ZK2" t="n">
        <v>132.7856235165961</v>
      </c>
      <c r="ZL2" t="n">
        <v>131.3179171161354</v>
      </c>
      <c r="ZM2" t="n">
        <v>133.6644524882894</v>
      </c>
      <c r="ZN2" t="n">
        <v>130.4901352805049</v>
      </c>
      <c r="ZO2" t="n">
        <v>132.1262837564842</v>
      </c>
      <c r="ZP2" t="n">
        <v>131.6341361662712</v>
      </c>
      <c r="ZQ2" t="n">
        <v>130.7915498291629</v>
      </c>
      <c r="ZR2" t="n">
        <v>132.7105373570225</v>
      </c>
      <c r="ZS2" t="n">
        <v>133.1308538727591</v>
      </c>
      <c r="ZT2" t="n">
        <v>132.6009674506642</v>
      </c>
      <c r="ZU2" t="n">
        <v>131.5086696026591</v>
      </c>
      <c r="ZV2" t="n">
        <v>132.6893431486077</v>
      </c>
      <c r="ZW2" t="n">
        <v>133.8023280691082</v>
      </c>
      <c r="ZX2" t="n">
        <v>134.0425846184832</v>
      </c>
      <c r="ZY2" t="n">
        <v>133.5912005732112</v>
      </c>
      <c r="ZZ2" t="n">
        <v>134.5084830650172</v>
      </c>
      <c r="AAA2" t="n">
        <v>134.6700049379816</v>
      </c>
      <c r="AAB2" t="n">
        <v>135.0848351695169</v>
      </c>
      <c r="AAC2" t="n">
        <v>134.7966287077478</v>
      </c>
      <c r="AAD2" t="n">
        <v>135.2779397139827</v>
      </c>
      <c r="AAE2" t="n">
        <v>133.6358557705813</v>
      </c>
      <c r="AAF2" t="n">
        <v>134.9019038117082</v>
      </c>
      <c r="AAG2" t="n">
        <v>133.8065091686963</v>
      </c>
      <c r="AAH2" t="n">
        <v>135.7392319355533</v>
      </c>
      <c r="AAI2" t="n">
        <v>134.550683189992</v>
      </c>
      <c r="AAJ2" t="n">
        <v>136.309769201396</v>
      </c>
      <c r="AAK2" t="n">
        <v>134.3734464976777</v>
      </c>
      <c r="AAL2" t="n">
        <v>137.0247908672136</v>
      </c>
      <c r="AAM2" t="n">
        <v>135.0181062556584</v>
      </c>
      <c r="AAN2" t="n">
        <v>136.0055641539534</v>
      </c>
      <c r="AAO2" t="n">
        <v>135.8636338049167</v>
      </c>
      <c r="AAP2" t="n">
        <v>135.1628924863114</v>
      </c>
      <c r="AAQ2" t="n">
        <v>135.5304916074807</v>
      </c>
      <c r="AAR2" t="n">
        <v>136.1572312033754</v>
      </c>
      <c r="AAS2" t="n">
        <v>135.9382831186887</v>
      </c>
      <c r="AAT2" t="n">
        <v>136.1208069733231</v>
      </c>
      <c r="AAU2" t="n">
        <v>137.1891041814942</v>
      </c>
      <c r="AAV2" t="n">
        <v>134.6030622546873</v>
      </c>
      <c r="AAW2" t="n">
        <v>136.6211210926615</v>
      </c>
      <c r="AAX2" t="n">
        <v>136.7111836592692</v>
      </c>
      <c r="AAY2" t="n">
        <v>136.6129337354607</v>
      </c>
      <c r="AAZ2" t="n">
        <v>135.9420600107811</v>
      </c>
      <c r="ABA2" t="n">
        <v>136.7832508243547</v>
      </c>
      <c r="ABB2" t="n">
        <v>134.7134203269312</v>
      </c>
      <c r="ABC2" t="n">
        <v>135.1430492556283</v>
      </c>
      <c r="ABD2" t="n">
        <v>135.1620573496365</v>
      </c>
      <c r="ABE2" t="n">
        <v>137.0652741814992</v>
      </c>
      <c r="ABF2" t="n">
        <v>134.7774914860561</v>
      </c>
      <c r="ABG2" t="n">
        <v>137.2070491984339</v>
      </c>
      <c r="ABH2" t="n">
        <v>134.1167034220181</v>
      </c>
      <c r="ABI2" t="n">
        <v>136.0583894483066</v>
      </c>
      <c r="ABJ2" t="n">
        <v>135.0511666988072</v>
      </c>
      <c r="ABK2" t="n">
        <v>134.4353157091589</v>
      </c>
      <c r="ABL2" t="n">
        <v>135.3230091711671</v>
      </c>
      <c r="ABM2" t="n">
        <v>135.1955333582659</v>
      </c>
      <c r="ABN2" t="n">
        <v>133.667092979733</v>
      </c>
      <c r="ABO2" t="n">
        <v>133.7433870894334</v>
      </c>
      <c r="ABP2" t="n">
        <v>133.3729293979503</v>
      </c>
      <c r="ABQ2" t="n">
        <v>134.4709225180416</v>
      </c>
      <c r="ABR2" t="n">
        <v>133.9753178117009</v>
      </c>
      <c r="ABS2" t="n">
        <v>134.6510473535305</v>
      </c>
      <c r="ABT2" t="n">
        <v>134.8469527069838</v>
      </c>
      <c r="ABU2" t="n">
        <v>134.236818201508</v>
      </c>
      <c r="ABV2" t="n">
        <v>136.1468654495033</v>
      </c>
      <c r="ABW2" t="n">
        <v>134.678176210758</v>
      </c>
      <c r="ABX2" t="n">
        <v>136.4294505974129</v>
      </c>
      <c r="ABY2" t="n">
        <v>135.3470351217867</v>
      </c>
      <c r="ABZ2" t="n">
        <v>136.0566744828727</v>
      </c>
      <c r="ACA2" t="n">
        <v>135.0045888522434</v>
      </c>
      <c r="ACB2" t="n">
        <v>135.8224403215085</v>
      </c>
      <c r="ACC2" t="n">
        <v>135.3899673236792</v>
      </c>
      <c r="ACD2" t="n">
        <v>136.0132056075076</v>
      </c>
      <c r="ACE2" t="n">
        <v>135.5989605075787</v>
      </c>
      <c r="ACF2" t="n">
        <v>133.6479041642638</v>
      </c>
      <c r="ACG2" t="n">
        <v>135.8536958811391</v>
      </c>
      <c r="ACH2" t="n">
        <v>134.35008550544</v>
      </c>
      <c r="ACI2" t="n">
        <v>135.0864136123524</v>
      </c>
      <c r="ACJ2" t="n">
        <v>135.0464240852006</v>
      </c>
      <c r="ACK2" t="n">
        <v>138.0910797161236</v>
      </c>
      <c r="ACL2" t="n">
        <v>135.2949649600473</v>
      </c>
      <c r="ACM2" t="n">
        <v>135.4010720061196</v>
      </c>
      <c r="ACN2" t="n">
        <v>134.6245336300915</v>
      </c>
      <c r="ACO2" t="n">
        <v>134.7843232398083</v>
      </c>
      <c r="ACP2" t="n">
        <v>135.1749051646678</v>
      </c>
      <c r="ACQ2" t="n">
        <v>135.5464944966603</v>
      </c>
      <c r="ACR2" t="n">
        <v>134.7804027955474</v>
      </c>
      <c r="ACS2" t="n">
        <v>134.2290348965975</v>
      </c>
      <c r="ACT2" t="n">
        <v>134.4743588170481</v>
      </c>
      <c r="ACU2" t="n">
        <v>134.9513442803847</v>
      </c>
      <c r="ACV2" t="n">
        <v>135.0641055825338</v>
      </c>
      <c r="ACW2" t="n">
        <v>134.370384683191</v>
      </c>
      <c r="ACX2" t="n">
        <v>135.2875746445543</v>
      </c>
      <c r="ACY2" t="n">
        <v>133.0030404191752</v>
      </c>
      <c r="ACZ2" t="n">
        <v>132.5780777910686</v>
      </c>
      <c r="ADA2" t="n">
        <v>132.9679282571958</v>
      </c>
      <c r="ADB2" t="n">
        <v>134.3173364493456</v>
      </c>
      <c r="ADC2" t="n">
        <v>133.8758583814451</v>
      </c>
      <c r="ADD2" t="n">
        <v>134.6758407810528</v>
      </c>
      <c r="ADE2" t="n">
        <v>134.6467020935602</v>
      </c>
      <c r="ADF2" t="n">
        <v>136.6871253902933</v>
      </c>
      <c r="ADG2" t="n">
        <v>135.999812434483</v>
      </c>
      <c r="ADH2" t="n">
        <v>130.376683070406</v>
      </c>
      <c r="ADI2" t="n">
        <v>134.784785526896</v>
      </c>
      <c r="ADJ2" t="n">
        <v>133.3975033378735</v>
      </c>
      <c r="ADK2" t="n">
        <v>131.7840403559126</v>
      </c>
      <c r="ADL2" t="n">
        <v>132.2793194848405</v>
      </c>
      <c r="ADM2" t="n">
        <v>135.234773157443</v>
      </c>
      <c r="ADN2" t="n">
        <v>133.5218430522599</v>
      </c>
      <c r="ADO2" t="n">
        <v>133.5736942987579</v>
      </c>
      <c r="ADP2" t="n">
        <v>133.8079947325188</v>
      </c>
      <c r="ADQ2" t="n">
        <v>133.6104654325132</v>
      </c>
      <c r="ADR2" t="n">
        <v>134.218426434728</v>
      </c>
      <c r="ADS2" t="n">
        <v>134.8775153443355</v>
      </c>
      <c r="ADT2" t="n">
        <v>135.5860374648983</v>
      </c>
      <c r="ADU2" t="n">
        <v>135.7819308059241</v>
      </c>
      <c r="ADV2" t="n">
        <v>135.5396170696294</v>
      </c>
      <c r="ADW2" t="n">
        <v>135.2147745366005</v>
      </c>
      <c r="ADX2" t="n">
        <v>135.4411145873201</v>
      </c>
      <c r="ADY2" t="n">
        <v>135.6323228920835</v>
      </c>
      <c r="ADZ2" t="n">
        <v>137.1027081903865</v>
      </c>
      <c r="AEA2" t="n">
        <v>136.8794824354949</v>
      </c>
      <c r="AEB2" t="n">
        <v>135.826398448068</v>
      </c>
      <c r="AEC2" t="n">
        <v>136.361671109998</v>
      </c>
      <c r="AED2" t="n">
        <v>136.5364282791576</v>
      </c>
      <c r="AEE2" t="n">
        <v>136.6659106614729</v>
      </c>
      <c r="AEF2" t="n">
        <v>135.6932311245102</v>
      </c>
      <c r="AEG2" t="n">
        <v>135.8903071494864</v>
      </c>
      <c r="AEH2" t="n">
        <v>136.111253695197</v>
      </c>
      <c r="AEI2" t="n">
        <v>136.2220516704433</v>
      </c>
      <c r="AEJ2" t="n">
        <v>135.14976567834</v>
      </c>
      <c r="AEK2" t="n">
        <v>136.7324514732773</v>
      </c>
      <c r="AEL2" t="n">
        <v>136.7729821497125</v>
      </c>
      <c r="AEM2" t="n">
        <v>135.300000250466</v>
      </c>
      <c r="AEN2" t="n">
        <v>136.0212001422214</v>
      </c>
      <c r="AEO2" t="n">
        <v>136.3424199797167</v>
      </c>
      <c r="AEP2" t="n">
        <v>136.5571896588279</v>
      </c>
      <c r="AEQ2" t="n">
        <v>135.8199696667906</v>
      </c>
      <c r="AER2" t="n">
        <v>135.3095623097079</v>
      </c>
      <c r="AES2" t="n">
        <v>136.0511437604588</v>
      </c>
      <c r="AET2" t="n">
        <v>136.0057919099368</v>
      </c>
      <c r="AEU2" t="n">
        <v>135.1120114840739</v>
      </c>
      <c r="AEV2" t="n">
        <v>136.9084209713957</v>
      </c>
      <c r="AEW2" t="n">
        <v>138.5193189689443</v>
      </c>
      <c r="AEX2" t="n">
        <v>137.4158583065273</v>
      </c>
      <c r="AEY2" t="n">
        <v>135.9115009580824</v>
      </c>
      <c r="AEZ2" t="n">
        <v>139.8764672801236</v>
      </c>
      <c r="AFA2" t="n">
        <v>136.7845008417697</v>
      </c>
      <c r="AFB2" t="n">
        <v>137.3346930428029</v>
      </c>
      <c r="AFC2" t="n">
        <v>136.719808078714</v>
      </c>
      <c r="AFD2" t="n">
        <v>136.0810992627055</v>
      </c>
      <c r="AFE2" t="n">
        <v>136.7168595646713</v>
      </c>
      <c r="AFF2" t="n">
        <v>137.0127081703726</v>
      </c>
      <c r="AFG2" t="n">
        <v>137.7699663219557</v>
      </c>
      <c r="AFH2" t="n">
        <v>135.8882738811978</v>
      </c>
      <c r="AFI2" t="n">
        <v>135.933784270539</v>
      </c>
      <c r="AFJ2" t="n">
        <v>137.1120576231686</v>
      </c>
      <c r="AFK2" t="n">
        <v>138.5151425404912</v>
      </c>
      <c r="AFL2" t="n">
        <v>137.8975409290136</v>
      </c>
      <c r="AFM2" t="n">
        <v>137.2613079529259</v>
      </c>
      <c r="AFN2" t="n">
        <v>137.5413627383744</v>
      </c>
      <c r="AFO2" t="n">
        <v>135.7429226956038</v>
      </c>
      <c r="AFP2" t="n">
        <v>135.233834631247</v>
      </c>
      <c r="AFQ2" t="n">
        <v>135.6021620627857</v>
      </c>
      <c r="AFR2" t="n">
        <v>136.8145907446269</v>
      </c>
      <c r="AFS2" t="n">
        <v>136.5754066903318</v>
      </c>
      <c r="AFT2" t="n">
        <v>137.4310653135151</v>
      </c>
      <c r="AFU2" t="n">
        <v>137.7202455138887</v>
      </c>
      <c r="AFV2" t="n">
        <v>137.0349997608725</v>
      </c>
      <c r="AFW2" t="n">
        <v>137.6777938359529</v>
      </c>
      <c r="AFX2" t="n">
        <v>136.865458442556</v>
      </c>
      <c r="AFY2" t="n">
        <v>138.2398143634278</v>
      </c>
      <c r="AFZ2" t="n">
        <v>136.4775470147909</v>
      </c>
      <c r="AGA2" t="n">
        <v>136.1107341581144</v>
      </c>
      <c r="AGB2" t="n">
        <v>136.5147793190534</v>
      </c>
      <c r="AGC2" t="n">
        <v>135.9488272158843</v>
      </c>
      <c r="AGD2" t="n">
        <v>136.1698044718</v>
      </c>
      <c r="AGE2" t="n">
        <v>136.2988567155874</v>
      </c>
      <c r="AGF2" t="n">
        <v>137.0074159046577</v>
      </c>
      <c r="AGG2" t="n">
        <v>137.7971601540345</v>
      </c>
      <c r="AGH2" t="n">
        <v>134.8738823259428</v>
      </c>
      <c r="AGI2" t="n">
        <v>136.3170775730212</v>
      </c>
      <c r="AGJ2" t="n">
        <v>135.1843055262749</v>
      </c>
      <c r="AGK2" t="n">
        <v>135.5111061460612</v>
      </c>
      <c r="AGL2" t="n">
        <v>136.7488342383289</v>
      </c>
      <c r="AGM2" t="n">
        <v>137.1450024289236</v>
      </c>
      <c r="AGN2" t="n">
        <v>136.7900033632202</v>
      </c>
      <c r="AGO2" t="n">
        <v>136.9178826173803</v>
      </c>
      <c r="AGP2" t="n">
        <v>136.640232501905</v>
      </c>
      <c r="AGQ2" t="n">
        <v>137.5334424036589</v>
      </c>
      <c r="AGR2" t="n">
        <v>138.0711839229536</v>
      </c>
      <c r="AGS2" t="n">
        <v>136.5686189877368</v>
      </c>
      <c r="AGT2" t="n">
        <v>136.749840282431</v>
      </c>
      <c r="AGU2" t="n">
        <v>137.5475175372101</v>
      </c>
      <c r="AGV2" t="n">
        <v>137.4488262868615</v>
      </c>
      <c r="AGW2" t="n">
        <v>136.5535722017963</v>
      </c>
      <c r="AGX2" t="n">
        <v>136.4057825283209</v>
      </c>
      <c r="AGY2" t="n">
        <v>136.5606283370678</v>
      </c>
      <c r="AGZ2" t="n">
        <v>137.3403565383501</v>
      </c>
      <c r="AHA2" t="n">
        <v>135.9111630486228</v>
      </c>
      <c r="AHB2" t="n">
        <v>136.9881565169521</v>
      </c>
      <c r="AHC2" t="n">
        <v>137.7684612614402</v>
      </c>
      <c r="AHD2" t="n">
        <v>137.6028354424072</v>
      </c>
      <c r="AHE2" t="n">
        <v>137.8430807777697</v>
      </c>
      <c r="AHF2" t="n">
        <v>135.8126376704019</v>
      </c>
      <c r="AHG2" t="n">
        <v>137.1344385748956</v>
      </c>
      <c r="AHH2" t="n">
        <v>136.1881779382634</v>
      </c>
      <c r="AHI2" t="n">
        <v>131.2536872819171</v>
      </c>
    </row>
    <row r="3">
      <c r="A3" s="6" t="inlineStr">
        <is>
          <t>Model Score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</row>
    <row r="4">
      <c r="A4" s="4" t="inlineStr">
        <is>
          <t>Gross Loss Adjustments (Dealer level, high PTI, etc.)</t>
        </is>
      </c>
      <c r="B4" t="n">
        <v>2.458039522199243</v>
      </c>
      <c r="C4" t="n">
        <v>2.352776681058998</v>
      </c>
      <c r="D4" t="n">
        <v>2.08942186242723</v>
      </c>
      <c r="E4" t="n">
        <v>2.123169390787609</v>
      </c>
      <c r="F4" t="n">
        <v>2.069337695485046</v>
      </c>
      <c r="G4" t="n">
        <v>2.504913958167208</v>
      </c>
      <c r="H4" t="n">
        <v>2.536740708109846</v>
      </c>
      <c r="I4" t="n">
        <v>2.25326177302361</v>
      </c>
      <c r="J4" t="n">
        <v>2.358597571837464</v>
      </c>
      <c r="K4" t="n">
        <v>2.154352896579297</v>
      </c>
      <c r="L4" t="n">
        <v>2.515203709197436</v>
      </c>
      <c r="M4" t="n">
        <v>2.308996335562739</v>
      </c>
      <c r="N4" t="n">
        <v>2.736894524368324</v>
      </c>
      <c r="O4" t="n">
        <v>2.508633366601828</v>
      </c>
      <c r="P4" t="n">
        <v>2.382404322109153</v>
      </c>
      <c r="Q4" t="n">
        <v>2.490982493964481</v>
      </c>
      <c r="R4" t="n">
        <v>2.138437599798152</v>
      </c>
      <c r="S4" t="n">
        <v>2.207039810581477</v>
      </c>
      <c r="T4" t="n">
        <v>2.324528276266989</v>
      </c>
      <c r="U4" t="n">
        <v>2.728119420910474</v>
      </c>
      <c r="V4" t="n">
        <v>2.24808847037346</v>
      </c>
      <c r="W4" t="n">
        <v>2.237494004528287</v>
      </c>
      <c r="QF4" t="n">
        <v>2.458039522199243</v>
      </c>
      <c r="QG4" t="n">
        <v>2.352776681058998</v>
      </c>
      <c r="QH4" t="n">
        <v>2.08942186242723</v>
      </c>
      <c r="QI4" t="n">
        <v>2.123169390787609</v>
      </c>
      <c r="QJ4" t="n">
        <v>2.069337695485046</v>
      </c>
      <c r="QK4" t="n">
        <v>2.504913958167208</v>
      </c>
      <c r="QL4" t="n">
        <v>2.536740708109846</v>
      </c>
      <c r="QM4" t="n">
        <v>2.25326177302361</v>
      </c>
      <c r="QN4" t="n">
        <v>2.358597571837464</v>
      </c>
      <c r="QO4" t="n">
        <v>2.154352896579297</v>
      </c>
      <c r="QP4" t="n">
        <v>2.515203709197436</v>
      </c>
      <c r="QQ4" t="n">
        <v>2.308996335562739</v>
      </c>
      <c r="QR4" t="n">
        <v>2.736894524368324</v>
      </c>
      <c r="QS4" t="n">
        <v>2.508633366601828</v>
      </c>
      <c r="QT4" t="n">
        <v>2.382404322109153</v>
      </c>
      <c r="QU4" t="n">
        <v>2.490982493964481</v>
      </c>
      <c r="QV4" t="n">
        <v>2.138437599798152</v>
      </c>
      <c r="QW4" t="n">
        <v>2.207039810581477</v>
      </c>
      <c r="QX4" t="n">
        <v>2.324528276266989</v>
      </c>
      <c r="QY4" t="n">
        <v>2.728119420910474</v>
      </c>
      <c r="QZ4" t="n">
        <v>2.24808847037346</v>
      </c>
      <c r="RA4" t="n">
        <v>2.237494004528287</v>
      </c>
    </row>
    <row r="5" ht="24" customHeight="1" s="115">
      <c r="A5" s="3" t="inlineStr">
        <is>
          <t>Recovery Adjustments excluding LTV (Mileage, vehicle type, etc.)</t>
        </is>
      </c>
      <c r="B5" t="n">
        <v>-1.124771435119897</v>
      </c>
      <c r="C5" t="n">
        <v>-0.5152899930470767</v>
      </c>
      <c r="D5" t="n">
        <v>-0.8976997233951067</v>
      </c>
      <c r="E5" t="n">
        <v>-0.9517098223188327</v>
      </c>
      <c r="F5" t="n">
        <v>-0.8975077546261332</v>
      </c>
      <c r="G5" t="n">
        <v>-0.5401202482066481</v>
      </c>
      <c r="H5" t="n">
        <v>-0.9816929499218929</v>
      </c>
      <c r="I5" t="n">
        <v>-1.169682070868475</v>
      </c>
      <c r="J5" t="n">
        <v>-0.7627021183437819</v>
      </c>
      <c r="K5" t="n">
        <v>-1.416030805480005</v>
      </c>
      <c r="L5" t="n">
        <v>-0.9319821793702658</v>
      </c>
      <c r="M5" t="n">
        <v>-0.6934434728107135</v>
      </c>
      <c r="N5" t="n">
        <v>-0.3976553104411664</v>
      </c>
      <c r="O5" t="n">
        <v>-0.9881738912256708</v>
      </c>
      <c r="P5" t="n">
        <v>-1.146178534150522</v>
      </c>
      <c r="Q5" t="n">
        <v>-1.149653924953583</v>
      </c>
      <c r="R5" t="n">
        <v>-0.2556292067072832</v>
      </c>
      <c r="S5" t="n">
        <v>-0.4726444788268225</v>
      </c>
      <c r="T5" t="n">
        <v>-0.6490799590752658</v>
      </c>
      <c r="U5" t="n">
        <v>0.0745822220785044</v>
      </c>
      <c r="V5" t="n">
        <v>0.2693583347627282</v>
      </c>
      <c r="W5" t="n">
        <v>1.031369883003407</v>
      </c>
      <c r="QF5" t="n">
        <v>-1.124771435119897</v>
      </c>
      <c r="QG5" t="n">
        <v>-0.5152899930470767</v>
      </c>
      <c r="QH5" t="n">
        <v>-0.8976997233951067</v>
      </c>
      <c r="QI5" t="n">
        <v>-0.9517098223188327</v>
      </c>
      <c r="QJ5" t="n">
        <v>-0.8975077546261332</v>
      </c>
      <c r="QK5" t="n">
        <v>-0.5401202482066481</v>
      </c>
      <c r="QL5" t="n">
        <v>-0.9816929499218929</v>
      </c>
      <c r="QM5" t="n">
        <v>-1.169682070868475</v>
      </c>
      <c r="QN5" t="n">
        <v>-0.7627021183437819</v>
      </c>
      <c r="QO5" t="n">
        <v>-1.416030805480005</v>
      </c>
      <c r="QP5" t="n">
        <v>-0.9319821793702658</v>
      </c>
      <c r="QQ5" t="n">
        <v>-0.6934434728107135</v>
      </c>
      <c r="QR5" t="n">
        <v>-0.3976553104411664</v>
      </c>
      <c r="QS5" t="n">
        <v>-0.9881738912256708</v>
      </c>
      <c r="QT5" t="n">
        <v>-1.146178534150522</v>
      </c>
      <c r="QU5" t="n">
        <v>-1.149653924953583</v>
      </c>
      <c r="QV5" t="n">
        <v>-0.2556292067072832</v>
      </c>
      <c r="QW5" t="n">
        <v>-0.4726444788268225</v>
      </c>
      <c r="QX5" t="n">
        <v>-0.6490799590752658</v>
      </c>
      <c r="QY5" t="n">
        <v>0.0745822220785044</v>
      </c>
      <c r="QZ5" t="n">
        <v>0.2693583347627282</v>
      </c>
      <c r="RA5" t="n">
        <v>1.031369883003407</v>
      </c>
    </row>
    <row r="6">
      <c r="A6" s="4" t="inlineStr">
        <is>
          <t>LTV Adjustments</t>
        </is>
      </c>
      <c r="B6" t="n">
        <v>1.124771435119897</v>
      </c>
      <c r="C6" t="n">
        <v>0.5152899930470767</v>
      </c>
      <c r="D6" t="n">
        <v>0.8976997233951067</v>
      </c>
      <c r="E6" t="n">
        <v>0.9517098223188327</v>
      </c>
      <c r="F6" t="n">
        <v>0.8975077546261332</v>
      </c>
      <c r="G6" t="n">
        <v>0.5401202482066481</v>
      </c>
      <c r="H6" t="n">
        <v>0.9816929499218929</v>
      </c>
      <c r="I6" t="n">
        <v>1.169682070868475</v>
      </c>
      <c r="J6" t="n">
        <v>0.7627021183437819</v>
      </c>
      <c r="K6" t="n">
        <v>1.416030805480005</v>
      </c>
      <c r="L6" t="n">
        <v>0.9319821793702658</v>
      </c>
      <c r="M6" t="n">
        <v>0.6934434728107135</v>
      </c>
      <c r="N6" t="n">
        <v>0.3976553104411664</v>
      </c>
      <c r="O6" t="n">
        <v>0.9881738912256708</v>
      </c>
      <c r="P6" t="n">
        <v>1.146178534150522</v>
      </c>
      <c r="Q6" t="n">
        <v>1.149653924953583</v>
      </c>
      <c r="R6" t="n">
        <v>0.2556292067072832</v>
      </c>
      <c r="S6" t="n">
        <v>0.4726444788268225</v>
      </c>
      <c r="T6" t="n">
        <v>0.6490799590752658</v>
      </c>
      <c r="U6" t="n">
        <v>-0.0745822220785044</v>
      </c>
      <c r="V6" t="n">
        <v>-0.2693583347627282</v>
      </c>
      <c r="W6" t="n">
        <v>-1.031369883003407</v>
      </c>
      <c r="QF6" t="n">
        <v>1.124771435119897</v>
      </c>
      <c r="QG6" t="n">
        <v>0.5152899930470767</v>
      </c>
      <c r="QH6" t="n">
        <v>0.8976997233951067</v>
      </c>
      <c r="QI6" t="n">
        <v>0.9517098223188327</v>
      </c>
      <c r="QJ6" t="n">
        <v>0.8975077546261332</v>
      </c>
      <c r="QK6" t="n">
        <v>0.5401202482066481</v>
      </c>
      <c r="QL6" t="n">
        <v>0.9816929499218929</v>
      </c>
      <c r="QM6" t="n">
        <v>1.169682070868475</v>
      </c>
      <c r="QN6" t="n">
        <v>0.7627021183437819</v>
      </c>
      <c r="QO6" t="n">
        <v>1.416030805480005</v>
      </c>
      <c r="QP6" t="n">
        <v>0.9319821793702658</v>
      </c>
      <c r="QQ6" t="n">
        <v>0.6934434728107135</v>
      </c>
      <c r="QR6" t="n">
        <v>0.3976553104411664</v>
      </c>
      <c r="QS6" t="n">
        <v>0.9881738912256708</v>
      </c>
      <c r="QT6" t="n">
        <v>1.146178534150522</v>
      </c>
      <c r="QU6" t="n">
        <v>1.149653924953583</v>
      </c>
      <c r="QV6" t="n">
        <v>0.2556292067072832</v>
      </c>
      <c r="QW6" t="n">
        <v>0.4726444788268225</v>
      </c>
      <c r="QX6" t="n">
        <v>0.6490799590752658</v>
      </c>
      <c r="QY6" t="n">
        <v>-0.0745822220785044</v>
      </c>
      <c r="QZ6" t="n">
        <v>-0.2693583347627282</v>
      </c>
      <c r="RA6" t="n">
        <v>-1.031369883003407</v>
      </c>
    </row>
    <row r="7">
      <c r="A7" s="3" t="inlineStr">
        <is>
          <t>RAGU Score</t>
        </is>
      </c>
      <c r="B7" t="n">
        <v>138.5143607267279</v>
      </c>
      <c r="C7" t="n">
        <v>139.2337591188335</v>
      </c>
      <c r="D7" t="n">
        <v>139.2931941482869</v>
      </c>
      <c r="E7" t="n">
        <v>138.5147537051041</v>
      </c>
      <c r="F7" t="n">
        <v>138.866489356132</v>
      </c>
      <c r="G7" t="n">
        <v>139.3168581165409</v>
      </c>
      <c r="H7" t="n">
        <v>138.5527224380028</v>
      </c>
      <c r="I7" t="n">
        <v>137.8732880227659</v>
      </c>
      <c r="J7" t="n">
        <v>138.2482743598775</v>
      </c>
      <c r="K7" t="n">
        <v>138.4911212934776</v>
      </c>
      <c r="L7" t="n">
        <v>139.4040492957353</v>
      </c>
      <c r="M7" t="n">
        <v>139.002132902941</v>
      </c>
      <c r="N7" t="n">
        <v>139.2188543823632</v>
      </c>
      <c r="O7" t="n">
        <v>139.4881509487147</v>
      </c>
      <c r="P7" t="n">
        <v>140.2256302209006</v>
      </c>
      <c r="Q7" t="n">
        <v>139.100403929712</v>
      </c>
      <c r="R7" t="n">
        <v>138.9505779509525</v>
      </c>
      <c r="S7" t="n">
        <v>139.9643491892719</v>
      </c>
      <c r="T7" t="n">
        <v>140.1726897258745</v>
      </c>
      <c r="U7" t="n">
        <v>139.8060618547381</v>
      </c>
      <c r="V7" t="n">
        <v>139.9883972252049</v>
      </c>
      <c r="W7" t="n">
        <v>137.9521885929232</v>
      </c>
      <c r="QF7" t="n">
        <v>138.5143607267279</v>
      </c>
      <c r="QG7" t="n">
        <v>139.2337591188335</v>
      </c>
      <c r="QH7" t="n">
        <v>139.2931941482869</v>
      </c>
      <c r="QI7" t="n">
        <v>138.5147537051041</v>
      </c>
      <c r="QJ7" t="n">
        <v>138.866489356132</v>
      </c>
      <c r="QK7" t="n">
        <v>139.3168581165409</v>
      </c>
      <c r="QL7" t="n">
        <v>138.5527224380028</v>
      </c>
      <c r="QM7" t="n">
        <v>137.8732880227659</v>
      </c>
      <c r="QN7" t="n">
        <v>138.2482743598775</v>
      </c>
      <c r="QO7" t="n">
        <v>138.4911212934776</v>
      </c>
      <c r="QP7" t="n">
        <v>139.4040492957353</v>
      </c>
      <c r="QQ7" t="n">
        <v>139.002132902941</v>
      </c>
      <c r="QR7" t="n">
        <v>139.2188543823632</v>
      </c>
      <c r="QS7" t="n">
        <v>139.4881509487147</v>
      </c>
      <c r="QT7" t="n">
        <v>140.2256302209006</v>
      </c>
      <c r="QU7" t="n">
        <v>139.100403929712</v>
      </c>
      <c r="QV7" t="n">
        <v>138.9505779509525</v>
      </c>
      <c r="QW7" t="n">
        <v>139.9643491892719</v>
      </c>
      <c r="QX7" t="n">
        <v>140.1726897258745</v>
      </c>
      <c r="QY7" t="n">
        <v>139.8060618547381</v>
      </c>
      <c r="QZ7" t="n">
        <v>139.9883972252049</v>
      </c>
      <c r="RA7" t="n">
        <v>137.9521885929232</v>
      </c>
    </row>
    <row r="8">
      <c r="A8" s="5" t="inlineStr">
        <is>
          <t>LTV</t>
        </is>
      </c>
      <c r="B8" t="n">
        <v>1.758145032626552</v>
      </c>
      <c r="C8" t="n">
        <v>1.750595240875143</v>
      </c>
      <c r="D8" t="n">
        <v>1.70040292707382</v>
      </c>
      <c r="E8" t="n">
        <v>1.743007851730034</v>
      </c>
      <c r="F8" t="n">
        <v>1.746621698067722</v>
      </c>
      <c r="G8" t="n">
        <v>1.705253202437277</v>
      </c>
      <c r="H8" t="n">
        <v>1.699740848025773</v>
      </c>
      <c r="I8" t="n">
        <v>1.757084263190681</v>
      </c>
      <c r="J8" t="n">
        <v>1.675521404824326</v>
      </c>
      <c r="K8" t="n">
        <v>1.754943817138138</v>
      </c>
      <c r="L8" t="n">
        <v>1.73642656054617</v>
      </c>
      <c r="M8" t="n">
        <v>1.766064091077676</v>
      </c>
      <c r="N8" t="n">
        <v>1.760879076148348</v>
      </c>
      <c r="O8" t="n">
        <v>1.688483161501292</v>
      </c>
      <c r="P8" t="n">
        <v>1.703922836855364</v>
      </c>
      <c r="Q8" t="n">
        <v>1.796595722082468</v>
      </c>
      <c r="R8" t="n">
        <v>1.671367654388388</v>
      </c>
      <c r="S8" t="n">
        <v>1.674437990852308</v>
      </c>
      <c r="T8" t="n">
        <v>1.787980365036678</v>
      </c>
      <c r="U8" t="n">
        <v>1.609682018834016</v>
      </c>
      <c r="V8" t="n">
        <v>1.587781935534383</v>
      </c>
      <c r="W8" t="n">
        <v>1.577100768821353</v>
      </c>
      <c r="QF8" t="n">
        <v>1.758145032626552</v>
      </c>
      <c r="QG8" t="n">
        <v>1.750595240875143</v>
      </c>
      <c r="QH8" t="n">
        <v>1.70040292707382</v>
      </c>
      <c r="QI8" t="n">
        <v>1.743007851730034</v>
      </c>
      <c r="QJ8" t="n">
        <v>1.746621698067722</v>
      </c>
      <c r="QK8" t="n">
        <v>1.705253202437277</v>
      </c>
      <c r="QL8" t="n">
        <v>1.699740848025773</v>
      </c>
      <c r="QM8" t="n">
        <v>1.757084263190681</v>
      </c>
      <c r="QN8" t="n">
        <v>1.675521404824326</v>
      </c>
      <c r="QO8" t="n">
        <v>1.754943817138138</v>
      </c>
      <c r="QP8" t="n">
        <v>1.73642656054617</v>
      </c>
      <c r="QQ8" t="n">
        <v>1.766064091077676</v>
      </c>
      <c r="QR8" t="n">
        <v>1.760879076148348</v>
      </c>
      <c r="QS8" t="n">
        <v>1.688483161501292</v>
      </c>
      <c r="QT8" t="n">
        <v>1.703922836855364</v>
      </c>
      <c r="QU8" t="n">
        <v>1.796595722082468</v>
      </c>
      <c r="QV8" t="n">
        <v>1.671367654388388</v>
      </c>
      <c r="QW8" t="n">
        <v>1.674437990852308</v>
      </c>
      <c r="QX8" t="n">
        <v>1.787980365036678</v>
      </c>
      <c r="QY8" t="n">
        <v>1.609682018834016</v>
      </c>
      <c r="QZ8" t="n">
        <v>1.587781935534383</v>
      </c>
      <c r="RA8" t="n">
        <v>1.577100768821353</v>
      </c>
    </row>
    <row r="10">
      <c r="A10" s="23" t="inlineStr">
        <is>
          <t>FLD</t>
        </is>
      </c>
      <c r="B10" s="119">
        <f>B1</f>
        <v/>
      </c>
      <c r="C10" s="119">
        <f>C1</f>
        <v/>
      </c>
      <c r="D10" s="119">
        <f>D1</f>
        <v/>
      </c>
      <c r="E10" s="119">
        <f>E1</f>
        <v/>
      </c>
      <c r="F10" s="119">
        <f>F1</f>
        <v/>
      </c>
      <c r="G10" s="119">
        <f>G1</f>
        <v/>
      </c>
      <c r="H10" s="119">
        <f>H1</f>
        <v/>
      </c>
      <c r="I10" s="119">
        <f>I1</f>
        <v/>
      </c>
      <c r="J10" s="119">
        <f>J1</f>
        <v/>
      </c>
      <c r="K10" s="119">
        <f>K1</f>
        <v/>
      </c>
      <c r="L10" s="119">
        <f>L1</f>
        <v/>
      </c>
      <c r="M10" s="119">
        <f>M1</f>
        <v/>
      </c>
      <c r="N10" s="119">
        <f>N1</f>
        <v/>
      </c>
      <c r="O10" s="119">
        <f>O1</f>
        <v/>
      </c>
      <c r="P10" s="119">
        <f>P1</f>
        <v/>
      </c>
      <c r="Q10" s="119">
        <f>Q1</f>
        <v/>
      </c>
      <c r="R10" s="119">
        <f>R1</f>
        <v/>
      </c>
      <c r="S10" s="119">
        <f>S1</f>
        <v/>
      </c>
      <c r="T10" s="119">
        <f>T1</f>
        <v/>
      </c>
      <c r="U10" s="119">
        <f>U1</f>
        <v/>
      </c>
      <c r="V10" s="119">
        <f>V1</f>
        <v/>
      </c>
      <c r="W10" s="119">
        <f>W1</f>
        <v/>
      </c>
    </row>
    <row r="11">
      <c r="A11" s="101" t="inlineStr">
        <is>
          <t>Contract Model Score</t>
        </is>
      </c>
      <c r="B11" t="n">
        <v>138.9347945905999</v>
      </c>
      <c r="C11" t="n">
        <v>139.134712385322</v>
      </c>
      <c r="D11" t="n">
        <v>139.5779689746732</v>
      </c>
      <c r="E11" t="n">
        <v>138.9205141848153</v>
      </c>
      <c r="F11" t="n">
        <v>137.3766640426964</v>
      </c>
      <c r="G11" t="n">
        <v>139.1447297934461</v>
      </c>
      <c r="H11" t="n">
        <v>139.7086831199108</v>
      </c>
      <c r="I11" t="n">
        <v>137.9755691335564</v>
      </c>
      <c r="J11" t="n">
        <v>137.6320659339258</v>
      </c>
      <c r="K11" t="n">
        <v>138.2896382045768</v>
      </c>
      <c r="L11" t="n">
        <v>139.1917387701238</v>
      </c>
      <c r="M11" t="n">
        <v>137.3180605010965</v>
      </c>
      <c r="N11" t="n">
        <v>138.2525370172677</v>
      </c>
      <c r="O11" t="n">
        <v>139.0013628719075</v>
      </c>
      <c r="P11" t="n">
        <v>138.7999169089257</v>
      </c>
      <c r="Q11" t="n">
        <v>137.8026377889748</v>
      </c>
      <c r="R11" t="n">
        <v>138.5035296513154</v>
      </c>
      <c r="S11" t="n">
        <v>137.5335658791275</v>
      </c>
      <c r="T11" t="n">
        <v>137.9766338480025</v>
      </c>
      <c r="U11" t="n">
        <v>138.6290032454343</v>
      </c>
      <c r="V11" t="n">
        <v>138.9419688386108</v>
      </c>
      <c r="W11" t="n">
        <v>138.7733621031359</v>
      </c>
      <c r="X11" t="n">
        <v>126.8492093792145</v>
      </c>
      <c r="Y11" t="n">
        <v>129.5046451913978</v>
      </c>
      <c r="Z11" t="n">
        <v>127.0307166124752</v>
      </c>
      <c r="AA11" t="n">
        <v>129.3830279351928</v>
      </c>
      <c r="AB11" t="n">
        <v>123.505445540524</v>
      </c>
      <c r="AC11" t="n">
        <v>129.6915258436441</v>
      </c>
      <c r="AD11" t="n">
        <v>128.7193744023002</v>
      </c>
      <c r="AE11" t="n">
        <v>127.4209149127454</v>
      </c>
      <c r="AF11" t="n">
        <v>125.8142793694762</v>
      </c>
      <c r="AG11" t="n">
        <v>129.5532370869237</v>
      </c>
      <c r="AH11" t="n">
        <v>129.4133175174736</v>
      </c>
      <c r="AI11" t="n">
        <v>128.0839404468148</v>
      </c>
      <c r="AJ11" t="n">
        <v>129.4776383326805</v>
      </c>
      <c r="AK11" t="n">
        <v>129.6907733974283</v>
      </c>
      <c r="AL11" t="n">
        <v>131.5468019022996</v>
      </c>
      <c r="AM11" t="n">
        <v>130.3700610701918</v>
      </c>
      <c r="AN11" t="n">
        <v>132.9130512984699</v>
      </c>
      <c r="AO11" t="n">
        <v>129.8748608709817</v>
      </c>
      <c r="AP11" t="n">
        <v>130.0002614622931</v>
      </c>
      <c r="AQ11" t="n">
        <v>131.1719512127145</v>
      </c>
      <c r="AR11" t="n">
        <v>133.9410866894558</v>
      </c>
      <c r="AS11" t="n">
        <v>130.6596892779207</v>
      </c>
      <c r="AT11" t="n">
        <v>129.8517825979017</v>
      </c>
      <c r="AU11" t="n">
        <v>130.7662648845143</v>
      </c>
      <c r="AV11" t="n">
        <v>135.1218051463638</v>
      </c>
      <c r="AW11" t="n">
        <v>134.3623815301308</v>
      </c>
      <c r="AX11" t="n">
        <v>128.8994219235567</v>
      </c>
      <c r="AY11" t="n">
        <v>132.578329233249</v>
      </c>
      <c r="AZ11" t="n">
        <v>129.9965963209474</v>
      </c>
      <c r="BA11" t="n">
        <v>130.4943491541885</v>
      </c>
      <c r="BB11" t="n">
        <v>128.9281297489193</v>
      </c>
      <c r="BC11" t="n">
        <v>130.7027016650306</v>
      </c>
      <c r="BD11" t="n">
        <v>126.489342265717</v>
      </c>
      <c r="BE11" t="n">
        <v>131.9842736145439</v>
      </c>
      <c r="BF11" t="n">
        <v>135.3900146387194</v>
      </c>
      <c r="BG11" t="n">
        <v>130.5303753432431</v>
      </c>
      <c r="BH11" t="n">
        <v>131.4921095123082</v>
      </c>
      <c r="BI11" t="n">
        <v>129.2685596430117</v>
      </c>
      <c r="BJ11" t="n">
        <v>130.6168295127138</v>
      </c>
      <c r="BK11" t="n">
        <v>133.3654644492935</v>
      </c>
      <c r="BL11" t="n">
        <v>133.8293606980738</v>
      </c>
      <c r="BM11" t="n">
        <v>129.7696259889074</v>
      </c>
      <c r="BN11" t="n">
        <v>129.4810432899563</v>
      </c>
      <c r="BO11" t="n">
        <v>130.3565665294938</v>
      </c>
      <c r="BP11" t="n">
        <v>132.5875405579524</v>
      </c>
      <c r="BQ11" t="n">
        <v>129.5437085944366</v>
      </c>
      <c r="BR11" t="n">
        <v>128.5848800697817</v>
      </c>
      <c r="BS11" t="n">
        <v>130.8590076687966</v>
      </c>
      <c r="BT11" t="n">
        <v>132.0332999261978</v>
      </c>
      <c r="BU11" t="n">
        <v>131.0446045774133</v>
      </c>
      <c r="BV11" t="n">
        <v>131.4320452033773</v>
      </c>
      <c r="BW11" t="n">
        <v>130.1478501472293</v>
      </c>
      <c r="BX11" t="n">
        <v>137.0499032597292</v>
      </c>
      <c r="BY11" t="n">
        <v>129.7568211022403</v>
      </c>
      <c r="BZ11" t="n">
        <v>132.4046123981448</v>
      </c>
      <c r="CA11" t="n">
        <v>131.6655690328824</v>
      </c>
      <c r="CB11" t="n">
        <v>132.7980584758807</v>
      </c>
      <c r="CC11" t="n">
        <v>133.9026036595322</v>
      </c>
      <c r="CD11" t="n">
        <v>128.5781164624039</v>
      </c>
      <c r="CE11" t="n">
        <v>128.7675028881437</v>
      </c>
      <c r="CF11" t="n">
        <v>131.6836728181648</v>
      </c>
      <c r="CG11" t="n">
        <v>131.1733943909707</v>
      </c>
      <c r="CH11" t="n">
        <v>133.6943121540937</v>
      </c>
      <c r="CI11" t="n">
        <v>132.0660675454305</v>
      </c>
      <c r="CJ11" t="n">
        <v>134.5886866728097</v>
      </c>
      <c r="CK11" t="n">
        <v>132.3462864663532</v>
      </c>
      <c r="CL11" t="n">
        <v>134.2804845496861</v>
      </c>
      <c r="CM11" t="n">
        <v>134.2778487997882</v>
      </c>
      <c r="CN11" t="n">
        <v>133.6916158700486</v>
      </c>
      <c r="CO11" t="n">
        <v>133.8083392620923</v>
      </c>
      <c r="CP11" t="n">
        <v>135.4522390414784</v>
      </c>
      <c r="CQ11" t="n">
        <v>134.9426422560993</v>
      </c>
      <c r="CR11" t="n">
        <v>134.8031365674314</v>
      </c>
      <c r="CS11" t="n">
        <v>137.6619684061003</v>
      </c>
      <c r="CT11" t="n">
        <v>137.5840465678808</v>
      </c>
      <c r="CU11" t="n">
        <v>140.1035537503953</v>
      </c>
      <c r="CV11" t="n">
        <v>131.6138385639952</v>
      </c>
      <c r="CW11" t="n">
        <v>139.7133270158619</v>
      </c>
      <c r="CX11" t="n">
        <v>136.9035578538186</v>
      </c>
      <c r="CY11" t="n">
        <v>134.763770567028</v>
      </c>
      <c r="CZ11" t="n">
        <v>143.6709533281706</v>
      </c>
      <c r="DA11" t="n">
        <v>145.4259087685835</v>
      </c>
      <c r="DB11" t="n">
        <v>138.6855528782927</v>
      </c>
      <c r="DC11" t="n">
        <v>137.5573219118348</v>
      </c>
      <c r="DD11" t="n">
        <v>138.6596552638144</v>
      </c>
      <c r="DE11" t="n">
        <v>145.3048149445735</v>
      </c>
      <c r="DF11" t="n">
        <v>137.1224258776493</v>
      </c>
      <c r="DG11" t="n">
        <v>134.74919262747</v>
      </c>
      <c r="DH11" t="n">
        <v>134.9159979987644</v>
      </c>
      <c r="DI11" t="n">
        <v>147.4240183736644</v>
      </c>
      <c r="DJ11" t="n">
        <v>144.0715571570564</v>
      </c>
      <c r="DK11" t="n">
        <v>143.1354132716256</v>
      </c>
      <c r="DL11" t="n">
        <v>135.647334972669</v>
      </c>
      <c r="DM11" t="n">
        <v>138.8887861643276</v>
      </c>
      <c r="DN11" t="n">
        <v>143.5943563259335</v>
      </c>
      <c r="DO11" t="n">
        <v>135.8799522900988</v>
      </c>
      <c r="DP11" t="n">
        <v>150.7811258710294</v>
      </c>
      <c r="DQ11" t="n">
        <v>134.1397249827562</v>
      </c>
      <c r="DR11" t="n">
        <v>141.4684096466153</v>
      </c>
      <c r="DS11" t="n">
        <v>141.7293717001114</v>
      </c>
      <c r="DT11" t="n">
        <v>133.2804178021312</v>
      </c>
      <c r="DU11" t="n">
        <v>135.6370178737629</v>
      </c>
      <c r="DV11" t="n">
        <v>142.2003313300606</v>
      </c>
      <c r="DW11" t="n">
        <v>135.584415535754</v>
      </c>
      <c r="DX11" t="n">
        <v>131.8864360162362</v>
      </c>
      <c r="DY11" t="n">
        <v>137.3174278782595</v>
      </c>
      <c r="DZ11" t="n">
        <v>143.1227134217901</v>
      </c>
      <c r="EA11" t="n">
        <v>141.3458862494718</v>
      </c>
      <c r="EB11" t="n">
        <v>141.1225967618427</v>
      </c>
      <c r="EC11" t="n">
        <v>132.8740277683286</v>
      </c>
      <c r="ED11" t="n">
        <v>135.1453052075601</v>
      </c>
      <c r="EE11" t="n">
        <v>140.2346364929037</v>
      </c>
      <c r="EF11" t="n">
        <v>136.6888405835618</v>
      </c>
      <c r="EG11" t="n">
        <v>136.8544667680336</v>
      </c>
      <c r="EH11" t="n">
        <v>140.8592885754365</v>
      </c>
      <c r="EI11" t="n">
        <v>133.0964382794671</v>
      </c>
      <c r="EJ11" t="n">
        <v>139.9962086933695</v>
      </c>
      <c r="EK11" t="n">
        <v>142.9488894494405</v>
      </c>
      <c r="EL11" t="n">
        <v>145.1501875405789</v>
      </c>
      <c r="EM11" t="n">
        <v>138.3302379930259</v>
      </c>
      <c r="EN11" t="n">
        <v>142.5295840782611</v>
      </c>
      <c r="EO11" t="n">
        <v>137.6120020787206</v>
      </c>
      <c r="EP11" t="n">
        <v>139.2640544369087</v>
      </c>
      <c r="EQ11" t="n">
        <v>137.9548866558593</v>
      </c>
      <c r="ER11" t="n">
        <v>140.9410049360916</v>
      </c>
      <c r="ES11" t="n">
        <v>137.9689625145068</v>
      </c>
      <c r="ET11" t="n">
        <v>136.3158613106769</v>
      </c>
      <c r="EU11" t="n">
        <v>137.9585007281893</v>
      </c>
      <c r="EV11" t="n">
        <v>137.28841146178</v>
      </c>
      <c r="EW11" t="n">
        <v>137.8084352553189</v>
      </c>
      <c r="EX11" t="n">
        <v>135.6978337181863</v>
      </c>
      <c r="EY11" t="n">
        <v>139.7218967281813</v>
      </c>
      <c r="EZ11" t="n">
        <v>145.0189750309139</v>
      </c>
      <c r="FA11" t="n">
        <v>138.8045926078115</v>
      </c>
      <c r="FB11" t="n">
        <v>142.363739383166</v>
      </c>
      <c r="FC11" t="n">
        <v>142.5578363865455</v>
      </c>
      <c r="FD11" t="n">
        <v>137.8921110577389</v>
      </c>
      <c r="FE11" t="n">
        <v>138.9883237765367</v>
      </c>
      <c r="FF11" t="n">
        <v>138.0621432653474</v>
      </c>
      <c r="FG11" t="n">
        <v>138.7683681328306</v>
      </c>
      <c r="FH11" t="n">
        <v>134.2813124345055</v>
      </c>
      <c r="FI11" t="n">
        <v>135.7513835963229</v>
      </c>
      <c r="FJ11" t="n">
        <v>136.2101319946419</v>
      </c>
      <c r="FK11" t="n">
        <v>139.7789428688133</v>
      </c>
      <c r="FL11" t="n">
        <v>140.2186026709263</v>
      </c>
      <c r="FM11" t="n">
        <v>137.8419614913462</v>
      </c>
      <c r="FN11" t="n">
        <v>139.8753724706827</v>
      </c>
      <c r="FO11" t="n">
        <v>140.9504378889876</v>
      </c>
      <c r="FP11" t="n">
        <v>137.1985880968403</v>
      </c>
      <c r="FQ11" t="n">
        <v>139.3114843901889</v>
      </c>
      <c r="FR11" t="n">
        <v>137.2097813905516</v>
      </c>
      <c r="FS11" t="n">
        <v>136.8437570181364</v>
      </c>
      <c r="FT11" t="n">
        <v>137.8920916281417</v>
      </c>
      <c r="FU11" t="n">
        <v>138.701193941246</v>
      </c>
      <c r="FV11" t="n">
        <v>141.2610604265774</v>
      </c>
      <c r="FW11" t="n">
        <v>139.5848478742899</v>
      </c>
      <c r="FX11" t="n">
        <v>135.7116607944474</v>
      </c>
      <c r="FY11" t="n">
        <v>133.4379784544809</v>
      </c>
      <c r="FZ11" t="n">
        <v>137.077561005768</v>
      </c>
      <c r="GA11" t="n">
        <v>139.7609862862465</v>
      </c>
      <c r="GB11" t="n">
        <v>138.8068018065315</v>
      </c>
      <c r="GC11" t="n">
        <v>136.4750448680255</v>
      </c>
      <c r="GD11" t="n">
        <v>136.2434558770099</v>
      </c>
      <c r="GE11" t="n">
        <v>135.9999986839063</v>
      </c>
      <c r="GF11" t="n">
        <v>133.384996346742</v>
      </c>
      <c r="GG11" t="n">
        <v>134.4356987547039</v>
      </c>
      <c r="GH11" t="n">
        <v>132.5879166510679</v>
      </c>
      <c r="GI11" t="n">
        <v>132.0009717503937</v>
      </c>
      <c r="GJ11" t="n">
        <v>133.5800602590383</v>
      </c>
      <c r="GK11" t="n">
        <v>131.9021816478364</v>
      </c>
      <c r="GL11" t="n">
        <v>133.6769946387527</v>
      </c>
      <c r="GM11" t="n">
        <v>132.8306703013107</v>
      </c>
      <c r="GN11" t="n">
        <v>131.9166732945723</v>
      </c>
      <c r="GO11" t="n">
        <v>133.4818390749122</v>
      </c>
      <c r="GP11" t="n">
        <v>130.6734168156686</v>
      </c>
      <c r="GQ11" t="n">
        <v>131.6026501104141</v>
      </c>
      <c r="GR11" t="n">
        <v>132.3019751621747</v>
      </c>
      <c r="GS11" t="n">
        <v>132.2755144241449</v>
      </c>
      <c r="GT11" t="n">
        <v>131.5324132273328</v>
      </c>
      <c r="GU11" t="n">
        <v>129.4695544304333</v>
      </c>
      <c r="GV11" t="n">
        <v>130.6080072043195</v>
      </c>
      <c r="GW11" t="n">
        <v>130.1747853888951</v>
      </c>
      <c r="GX11" t="n">
        <v>131.6948905383305</v>
      </c>
      <c r="GY11" t="n">
        <v>131.2716017381825</v>
      </c>
      <c r="GZ11" t="n">
        <v>130.278495586663</v>
      </c>
      <c r="HA11" t="n">
        <v>130.7935141871258</v>
      </c>
      <c r="HB11" t="n">
        <v>129.3259441557584</v>
      </c>
      <c r="HC11" t="n">
        <v>129.6882109258382</v>
      </c>
      <c r="HD11" t="n">
        <v>131.0372946684203</v>
      </c>
      <c r="HE11" t="n">
        <v>129.361995893475</v>
      </c>
      <c r="HF11" t="n">
        <v>129.8290494881159</v>
      </c>
      <c r="HG11" t="n">
        <v>131.5777090137212</v>
      </c>
      <c r="HH11" t="n">
        <v>130.4338319158162</v>
      </c>
      <c r="HI11" t="n">
        <v>129.5509103827322</v>
      </c>
      <c r="HJ11" t="n">
        <v>129.2159571045005</v>
      </c>
      <c r="HK11" t="n">
        <v>132.0360438613704</v>
      </c>
      <c r="HL11" t="n">
        <v>129.6093046285937</v>
      </c>
      <c r="HM11" t="n">
        <v>129.9732976613208</v>
      </c>
      <c r="HN11" t="n">
        <v>130.3436795919205</v>
      </c>
      <c r="HO11" t="n">
        <v>129.6913512064087</v>
      </c>
      <c r="HP11" t="n">
        <v>128.6599000234345</v>
      </c>
      <c r="HQ11" t="n">
        <v>129.8302943930898</v>
      </c>
      <c r="HR11" t="n">
        <v>129.2066121231686</v>
      </c>
      <c r="HS11" t="n">
        <v>128.8618805856468</v>
      </c>
      <c r="HT11" t="n">
        <v>129.5500536469145</v>
      </c>
      <c r="HU11" t="n">
        <v>130.6495730011987</v>
      </c>
      <c r="HV11" t="n">
        <v>130.6203690561601</v>
      </c>
      <c r="HW11" t="n">
        <v>128.7377858549414</v>
      </c>
      <c r="HX11" t="n">
        <v>129.3240611727926</v>
      </c>
      <c r="HY11" t="n">
        <v>131.708187077203</v>
      </c>
      <c r="HZ11" t="n">
        <v>133.0447495124868</v>
      </c>
      <c r="IA11" t="n">
        <v>132.2538294648052</v>
      </c>
      <c r="IB11" t="n">
        <v>131.9114961592761</v>
      </c>
      <c r="IC11" t="n">
        <v>132.6269608616199</v>
      </c>
      <c r="ID11" t="n">
        <v>130.6541025467955</v>
      </c>
      <c r="IE11" t="n">
        <v>132.5580753322478</v>
      </c>
      <c r="IF11" t="n">
        <v>132.9122815363997</v>
      </c>
      <c r="IG11" t="n">
        <v>133.1700211784717</v>
      </c>
      <c r="IH11" t="n">
        <v>133.508120359845</v>
      </c>
      <c r="II11" t="n">
        <v>131.6055148182702</v>
      </c>
      <c r="IJ11" t="n">
        <v>131.2774848676346</v>
      </c>
      <c r="IK11" t="n">
        <v>132.3202770869289</v>
      </c>
      <c r="IL11" t="n">
        <v>130.1981205819827</v>
      </c>
      <c r="IM11" t="n">
        <v>130.874441768833</v>
      </c>
      <c r="IN11" t="n">
        <v>131.0861500479877</v>
      </c>
      <c r="IO11" t="n">
        <v>130.3374231902093</v>
      </c>
      <c r="IP11" t="n">
        <v>133.6040330531932</v>
      </c>
      <c r="IQ11" t="n">
        <v>136.4003277634059</v>
      </c>
      <c r="IR11" t="n">
        <v>134.0991197274895</v>
      </c>
      <c r="IS11" t="n">
        <v>135.6698803799003</v>
      </c>
      <c r="IT11" t="n">
        <v>136.9733098698912</v>
      </c>
      <c r="IU11" t="n">
        <v>136.2028617526916</v>
      </c>
      <c r="IV11" t="n">
        <v>137.4066999853902</v>
      </c>
      <c r="IW11" t="n">
        <v>136.9135985687883</v>
      </c>
      <c r="IX11" t="n">
        <v>138.4144049741894</v>
      </c>
      <c r="IY11" t="n">
        <v>137.8480509976567</v>
      </c>
      <c r="IZ11" t="n">
        <v>139.567996650305</v>
      </c>
      <c r="JA11" t="n">
        <v>137.8331187755917</v>
      </c>
      <c r="JB11" t="n">
        <v>136.9166323589454</v>
      </c>
      <c r="JC11" t="n">
        <v>138.1223333983286</v>
      </c>
      <c r="JD11" t="n">
        <v>136.6232225880353</v>
      </c>
      <c r="JE11" t="n">
        <v>137.9560883368321</v>
      </c>
      <c r="JF11" t="n">
        <v>136.6838785947895</v>
      </c>
      <c r="JG11" t="n">
        <v>137.056700886932</v>
      </c>
      <c r="JH11" t="n">
        <v>138.3917167904192</v>
      </c>
      <c r="JI11" t="n">
        <v>141.3292279495069</v>
      </c>
      <c r="JJ11" t="n">
        <v>138.0114932067048</v>
      </c>
      <c r="JK11" t="n">
        <v>139.8750946923781</v>
      </c>
      <c r="JL11" t="n">
        <v>138.1470444669697</v>
      </c>
      <c r="JM11" t="n">
        <v>137.0420589351032</v>
      </c>
      <c r="JN11" t="n">
        <v>139.5321478880607</v>
      </c>
      <c r="JO11" t="n">
        <v>136.4360353653932</v>
      </c>
      <c r="JP11" t="n">
        <v>138.6179838179748</v>
      </c>
      <c r="JQ11" t="n">
        <v>138.9383012092647</v>
      </c>
      <c r="JR11" t="n">
        <v>141.5986772229889</v>
      </c>
      <c r="JS11" t="n">
        <v>144.8641162705661</v>
      </c>
      <c r="JT11" t="n">
        <v>140.8484334301133</v>
      </c>
      <c r="JU11" t="n">
        <v>141.4057879417911</v>
      </c>
      <c r="JV11" t="n">
        <v>144.3027222400314</v>
      </c>
      <c r="JW11" t="n">
        <v>140.3639078181751</v>
      </c>
      <c r="JX11" t="n">
        <v>142.187847217015</v>
      </c>
      <c r="JY11" t="n">
        <v>143.44745841594</v>
      </c>
      <c r="JZ11" t="n">
        <v>140.6414649040376</v>
      </c>
      <c r="KA11" t="n">
        <v>143.6605406488078</v>
      </c>
      <c r="KB11" t="n">
        <v>136.9647995190241</v>
      </c>
      <c r="KC11" t="n">
        <v>138.8378281280551</v>
      </c>
      <c r="KD11" t="n">
        <v>137.9287848357706</v>
      </c>
      <c r="KE11" t="n">
        <v>137.0371986386876</v>
      </c>
      <c r="KF11" t="n">
        <v>139.0732078480319</v>
      </c>
      <c r="KG11" t="n">
        <v>136.8648808621422</v>
      </c>
      <c r="KH11" t="n">
        <v>138.7087638961193</v>
      </c>
      <c r="KI11" t="n">
        <v>136.2420591177297</v>
      </c>
      <c r="KJ11" t="n">
        <v>137.0440902175099</v>
      </c>
      <c r="KK11" t="n">
        <v>136.5356664020683</v>
      </c>
      <c r="KL11" t="n">
        <v>136.2625193416967</v>
      </c>
      <c r="KM11" t="n">
        <v>135.8700543625365</v>
      </c>
      <c r="KN11" t="n">
        <v>135.665695573233</v>
      </c>
      <c r="KO11" t="n">
        <v>136.7149177554215</v>
      </c>
      <c r="KP11" t="n">
        <v>137.1450997093609</v>
      </c>
      <c r="KQ11" t="n">
        <v>136.5324494128202</v>
      </c>
      <c r="KR11" t="n">
        <v>136.1865102822185</v>
      </c>
      <c r="KS11" t="n">
        <v>137.8303075956013</v>
      </c>
      <c r="KT11" t="n">
        <v>136.2535494722785</v>
      </c>
      <c r="KU11" t="n">
        <v>135.1815909715187</v>
      </c>
      <c r="KV11" t="n">
        <v>135.0165950433648</v>
      </c>
      <c r="KW11" t="n">
        <v>135.9064647172171</v>
      </c>
      <c r="KX11" t="n">
        <v>133.3784426470818</v>
      </c>
      <c r="KY11" t="n">
        <v>136.9996561413383</v>
      </c>
      <c r="KZ11" t="n">
        <v>136.0227345019062</v>
      </c>
      <c r="LA11" t="n">
        <v>132.9791844317964</v>
      </c>
      <c r="LB11" t="n">
        <v>133.9960016553454</v>
      </c>
      <c r="LC11" t="n">
        <v>134.9322083487404</v>
      </c>
      <c r="LD11" t="n">
        <v>134.6567941850201</v>
      </c>
      <c r="LE11" t="n">
        <v>138.6187273342467</v>
      </c>
      <c r="LF11" t="n">
        <v>138.2679381797479</v>
      </c>
      <c r="LG11" t="n">
        <v>137.1282073856809</v>
      </c>
      <c r="LH11" t="n">
        <v>136.1022742670014</v>
      </c>
      <c r="LI11" t="n">
        <v>134.090849593977</v>
      </c>
      <c r="LJ11" t="n">
        <v>135.3887323304613</v>
      </c>
      <c r="LK11" t="n">
        <v>135.722474066709</v>
      </c>
      <c r="LL11" t="n">
        <v>135.4373821058197</v>
      </c>
      <c r="LM11" t="n">
        <v>134.9787667987454</v>
      </c>
      <c r="LN11" t="n">
        <v>135.7063461826954</v>
      </c>
      <c r="LO11" t="n">
        <v>134.9752398989616</v>
      </c>
      <c r="LP11" t="n">
        <v>135.7038781574648</v>
      </c>
      <c r="LQ11" t="n">
        <v>135.0328453198033</v>
      </c>
      <c r="LR11" t="n">
        <v>135.4340299077093</v>
      </c>
      <c r="LS11" t="n">
        <v>134.8710616454142</v>
      </c>
      <c r="LT11" t="n">
        <v>134.52619628888</v>
      </c>
      <c r="LU11" t="n">
        <v>134.5242875249133</v>
      </c>
      <c r="LV11" t="n">
        <v>133.4616719393766</v>
      </c>
      <c r="LW11" t="n">
        <v>134.9174631049652</v>
      </c>
      <c r="LX11" t="n">
        <v>135.1342896805294</v>
      </c>
      <c r="LY11" t="n">
        <v>133.5411786694291</v>
      </c>
      <c r="LZ11" t="n">
        <v>133.4987758682713</v>
      </c>
      <c r="MA11" t="n">
        <v>132.58261044672</v>
      </c>
      <c r="MB11" t="n">
        <v>134.0842611728447</v>
      </c>
      <c r="MC11" t="n">
        <v>137.697796363974</v>
      </c>
      <c r="MD11" t="n">
        <v>135.4973362357735</v>
      </c>
      <c r="ME11" t="n">
        <v>134.0361994573175</v>
      </c>
      <c r="MF11" t="n">
        <v>134.3249257997299</v>
      </c>
      <c r="MG11" t="n">
        <v>131.8706335998998</v>
      </c>
      <c r="MH11" t="n">
        <v>133.3994469054313</v>
      </c>
      <c r="MI11" t="n">
        <v>135.7918956314501</v>
      </c>
      <c r="MJ11" t="n">
        <v>133.8793798079616</v>
      </c>
      <c r="MK11" t="n">
        <v>133.6570401744589</v>
      </c>
      <c r="ML11" t="n">
        <v>133.6224183102334</v>
      </c>
      <c r="MM11" t="n">
        <v>133.9305974684428</v>
      </c>
      <c r="MN11" t="n">
        <v>136.3810368304956</v>
      </c>
      <c r="MO11" t="n">
        <v>134.327544805464</v>
      </c>
      <c r="MP11" t="n">
        <v>135.7875680823364</v>
      </c>
      <c r="MQ11" t="n">
        <v>136.6238298170869</v>
      </c>
      <c r="MR11" t="n">
        <v>136.4684160851691</v>
      </c>
      <c r="MS11" t="n">
        <v>135.9030527989011</v>
      </c>
      <c r="MT11" t="n">
        <v>134.6830231937021</v>
      </c>
      <c r="MU11" t="n">
        <v>135.6712655183571</v>
      </c>
      <c r="MV11" t="n">
        <v>136.7404717241849</v>
      </c>
      <c r="MW11" t="n">
        <v>136.0143841262468</v>
      </c>
      <c r="MX11" t="n">
        <v>135.0836836669701</v>
      </c>
      <c r="MY11" t="n">
        <v>137.3832646511551</v>
      </c>
      <c r="MZ11" t="n">
        <v>135.5499685236619</v>
      </c>
      <c r="NA11" t="n">
        <v>137.2071164685428</v>
      </c>
      <c r="NB11" t="n">
        <v>136.9517383489773</v>
      </c>
      <c r="NC11" t="n">
        <v>137.043384917951</v>
      </c>
      <c r="ND11" t="n">
        <v>135.4279486815254</v>
      </c>
      <c r="NE11" t="n">
        <v>135.7696404270926</v>
      </c>
      <c r="NF11" t="n">
        <v>137.2145386504423</v>
      </c>
      <c r="NG11" t="n">
        <v>137.6345031513199</v>
      </c>
      <c r="NH11" t="n">
        <v>136.6373287032658</v>
      </c>
      <c r="NI11" t="n">
        <v>137.1436743010661</v>
      </c>
      <c r="NJ11" t="n">
        <v>139.0741095949671</v>
      </c>
      <c r="NK11" t="n">
        <v>136.4257362878482</v>
      </c>
      <c r="NL11" t="n">
        <v>136.9882493485819</v>
      </c>
      <c r="NM11" t="n">
        <v>138.4131491539589</v>
      </c>
      <c r="NN11" t="n">
        <v>136.7494610136556</v>
      </c>
      <c r="NO11" t="n">
        <v>135.9888506399561</v>
      </c>
      <c r="NP11" t="n">
        <v>136.2066219820179</v>
      </c>
      <c r="NQ11" t="n">
        <v>136.6328380071805</v>
      </c>
      <c r="NR11" t="n">
        <v>137.7509682863659</v>
      </c>
      <c r="NS11" t="n">
        <v>137.6558688441025</v>
      </c>
      <c r="NT11" t="n">
        <v>137.8889702054631</v>
      </c>
      <c r="NU11" t="n">
        <v>140.891772737598</v>
      </c>
      <c r="NV11" t="n">
        <v>138.8677396921259</v>
      </c>
      <c r="NW11" t="n">
        <v>138.914948434999</v>
      </c>
      <c r="NX11" t="n">
        <v>139.8161143315009</v>
      </c>
      <c r="NY11" t="n">
        <v>138.6690678969564</v>
      </c>
      <c r="NZ11" t="n">
        <v>143.601733936623</v>
      </c>
      <c r="OA11" t="n">
        <v>140.8849599728564</v>
      </c>
      <c r="OB11" t="n">
        <v>140.5747023083587</v>
      </c>
      <c r="OC11" t="n">
        <v>140.3556861578012</v>
      </c>
      <c r="OD11" t="n">
        <v>141.8187089093807</v>
      </c>
      <c r="OE11" t="n">
        <v>143.7759745243027</v>
      </c>
      <c r="OF11" t="n">
        <v>141.4806035886573</v>
      </c>
      <c r="OG11" t="n">
        <v>140.5762998145871</v>
      </c>
      <c r="OH11" t="n">
        <v>145.1675734614984</v>
      </c>
      <c r="OI11" t="n">
        <v>141.3062541674096</v>
      </c>
      <c r="OJ11" t="n">
        <v>141.9566653328548</v>
      </c>
      <c r="OK11" t="n">
        <v>138.5470390960102</v>
      </c>
      <c r="OL11" t="n">
        <v>141.931711925755</v>
      </c>
      <c r="OM11" t="n">
        <v>139.7479579585274</v>
      </c>
      <c r="ON11" t="n">
        <v>138.2691474323902</v>
      </c>
      <c r="OO11" t="n">
        <v>142.7011596541288</v>
      </c>
      <c r="OP11" t="n">
        <v>139.6547221310527</v>
      </c>
      <c r="OQ11" t="n">
        <v>139.8289506098334</v>
      </c>
      <c r="OR11" t="n">
        <v>139.8482419224062</v>
      </c>
      <c r="OS11" t="n">
        <v>138.3527799723435</v>
      </c>
      <c r="OT11" t="n">
        <v>140.2867124204154</v>
      </c>
      <c r="OU11" t="n">
        <v>139.8838535934765</v>
      </c>
      <c r="OV11" t="n">
        <v>138.7747347472956</v>
      </c>
      <c r="OW11" t="n">
        <v>138.0676404946514</v>
      </c>
      <c r="OX11" t="n">
        <v>139.2406227897063</v>
      </c>
      <c r="OY11" t="n">
        <v>138.3596581651525</v>
      </c>
      <c r="OZ11" t="n">
        <v>137.7905497445441</v>
      </c>
      <c r="PA11" t="n">
        <v>138.454194978264</v>
      </c>
      <c r="PB11" t="n">
        <v>136.3124886678405</v>
      </c>
      <c r="PC11" t="n">
        <v>135.0038787447234</v>
      </c>
      <c r="PD11" t="n">
        <v>139.3623497601856</v>
      </c>
      <c r="PE11" t="n">
        <v>137.9315205436912</v>
      </c>
      <c r="PF11" t="n">
        <v>137.9291779342869</v>
      </c>
      <c r="PG11" t="n">
        <v>137.7227044073542</v>
      </c>
      <c r="PH11" t="n">
        <v>137.9023314263803</v>
      </c>
      <c r="PI11" t="n">
        <v>138.0687741710401</v>
      </c>
      <c r="PJ11" t="n">
        <v>137.9147300779688</v>
      </c>
      <c r="PK11" t="n">
        <v>138.0418698124076</v>
      </c>
      <c r="PL11" t="n">
        <v>138.8590500279125</v>
      </c>
      <c r="PM11" t="n">
        <v>138.5513830205352</v>
      </c>
      <c r="PN11" t="n">
        <v>139.0759075071003</v>
      </c>
      <c r="PO11" t="n">
        <v>139.994892505879</v>
      </c>
      <c r="PP11" t="n">
        <v>138.9251408534311</v>
      </c>
      <c r="PQ11" t="n">
        <v>138.7088302884547</v>
      </c>
      <c r="PR11" t="n">
        <v>139.5462270690771</v>
      </c>
      <c r="PS11" t="n">
        <v>138.9066972720362</v>
      </c>
      <c r="PT11" t="n">
        <v>139.6226903354057</v>
      </c>
      <c r="PU11" t="n">
        <v>140.6972238753976</v>
      </c>
      <c r="PV11" t="n">
        <v>140.0581068166358</v>
      </c>
      <c r="PW11" t="n">
        <v>139.1385127256542</v>
      </c>
      <c r="PX11" t="n">
        <v>141.00741541183</v>
      </c>
      <c r="PY11" t="n">
        <v>138.9333894480792</v>
      </c>
      <c r="PZ11" t="n">
        <v>138.1855748228023</v>
      </c>
      <c r="QA11" t="n">
        <v>138.3564442432274</v>
      </c>
      <c r="QB11" t="n">
        <v>139.8933504645236</v>
      </c>
      <c r="QC11" t="n">
        <v>139.0335325198775</v>
      </c>
      <c r="QD11" t="n">
        <v>138</v>
      </c>
      <c r="QE11" t="n">
        <v>141.5898804162429</v>
      </c>
    </row>
    <row r="12">
      <c r="A12" s="6" t="inlineStr">
        <is>
          <t>Model Score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4" t="inlineStr">
        <is>
          <t>Gross Loss Adjustments (Dealer level, high PTI, etc.)</t>
        </is>
      </c>
      <c r="B13" t="n">
        <v>2.707996182348325</v>
      </c>
      <c r="C13" t="n">
        <v>2.525705178780214</v>
      </c>
      <c r="D13" t="n">
        <v>2.845055381706317</v>
      </c>
      <c r="E13" t="n">
        <v>2.708817391551207</v>
      </c>
      <c r="F13" t="n">
        <v>2.271019657816282</v>
      </c>
      <c r="G13" t="n">
        <v>2.670100173007398</v>
      </c>
      <c r="H13" t="n">
        <v>2.192000890846117</v>
      </c>
      <c r="I13" t="n">
        <v>2.847587003881983</v>
      </c>
      <c r="J13" t="n">
        <v>3.019384878121542</v>
      </c>
      <c r="K13" t="n">
        <v>2.667340026907198</v>
      </c>
      <c r="L13" t="n">
        <v>3.12191684999118</v>
      </c>
      <c r="M13" t="n">
        <v>3.209996199527524</v>
      </c>
      <c r="N13" t="n">
        <v>2.344850447349842</v>
      </c>
      <c r="O13" t="n">
        <v>3.059278264263526</v>
      </c>
      <c r="P13" t="n">
        <v>3.21642129622424</v>
      </c>
      <c r="Q13" t="n">
        <v>3.219680231388082</v>
      </c>
      <c r="R13" t="n">
        <v>2.969971448926657</v>
      </c>
      <c r="S13" t="n">
        <v>3.399738472627092</v>
      </c>
      <c r="T13" t="n">
        <v>3.379007476495275</v>
      </c>
      <c r="U13" t="n">
        <v>2.984846931574253</v>
      </c>
      <c r="V13" t="n">
        <v>3.290087075658505</v>
      </c>
      <c r="W13" t="n">
        <v>3.081701282732325</v>
      </c>
    </row>
    <row r="14" ht="24" customHeight="1" s="115">
      <c r="A14" s="3" t="inlineStr">
        <is>
          <t>Recovery Adjustments excluding LTV (Mileage, vehicle type, etc.)</t>
        </is>
      </c>
      <c r="B14" t="n">
        <v>1.575648843978342</v>
      </c>
      <c r="C14" t="n">
        <v>1.515488432534028</v>
      </c>
      <c r="D14" t="n">
        <v>1.700964400737689</v>
      </c>
      <c r="E14" t="n">
        <v>1.442875467764992</v>
      </c>
      <c r="F14" t="n">
        <v>0.9911856820285436</v>
      </c>
      <c r="G14" t="n">
        <v>0.7065851985118741</v>
      </c>
      <c r="H14" t="n">
        <v>1.68924252521515</v>
      </c>
      <c r="I14" t="n">
        <v>1.751104547502791</v>
      </c>
      <c r="J14" t="n">
        <v>0.8657096683465113</v>
      </c>
      <c r="K14" t="n">
        <v>0.1045305774815688</v>
      </c>
      <c r="L14" t="n">
        <v>0.9679832660011414</v>
      </c>
      <c r="M14" t="n">
        <v>1.075842296061239</v>
      </c>
      <c r="N14" t="n">
        <v>0.906729560923111</v>
      </c>
      <c r="O14" t="n">
        <v>1.702090155517254</v>
      </c>
      <c r="P14" t="n">
        <v>0.8645555172292916</v>
      </c>
      <c r="Q14" t="n">
        <v>1.200788324168514</v>
      </c>
      <c r="R14" t="n">
        <v>0.7875044265764188</v>
      </c>
      <c r="S14" t="n">
        <v>1.827687360307067</v>
      </c>
      <c r="T14" t="n">
        <v>0.454809173302408</v>
      </c>
      <c r="U14" t="n">
        <v>1.32095369104357</v>
      </c>
      <c r="V14" t="n">
        <v>1.866614387812916</v>
      </c>
      <c r="W14" t="n">
        <v>1.677717939694986</v>
      </c>
    </row>
    <row r="15">
      <c r="A15" s="4" t="inlineStr">
        <is>
          <t>LTV Adjustments</t>
        </is>
      </c>
      <c r="B15" t="n">
        <v>-1.575648843978342</v>
      </c>
      <c r="C15" t="n">
        <v>-1.515488432534028</v>
      </c>
      <c r="D15" t="n">
        <v>-1.700964400737689</v>
      </c>
      <c r="E15" t="n">
        <v>-1.442875467764992</v>
      </c>
      <c r="F15" t="n">
        <v>-0.9911856820285436</v>
      </c>
      <c r="G15" t="n">
        <v>-0.7065851985118741</v>
      </c>
      <c r="H15" t="n">
        <v>-1.68924252521515</v>
      </c>
      <c r="I15" t="n">
        <v>-1.751104547502791</v>
      </c>
      <c r="J15" t="n">
        <v>-0.8657096683465113</v>
      </c>
      <c r="K15" t="n">
        <v>-0.1045305774815688</v>
      </c>
      <c r="L15" t="n">
        <v>-0.9679832660011414</v>
      </c>
      <c r="M15" t="n">
        <v>-1.075842296061239</v>
      </c>
      <c r="N15" t="n">
        <v>-0.906729560923111</v>
      </c>
      <c r="O15" t="n">
        <v>-1.702090155517254</v>
      </c>
      <c r="P15" t="n">
        <v>-0.8645555172292916</v>
      </c>
      <c r="Q15" t="n">
        <v>-1.200788324168514</v>
      </c>
      <c r="R15" t="n">
        <v>-0.7875044265764188</v>
      </c>
      <c r="S15" t="n">
        <v>-1.827687360307067</v>
      </c>
      <c r="T15" t="n">
        <v>-0.454809173302408</v>
      </c>
      <c r="U15" t="n">
        <v>-1.32095369104357</v>
      </c>
      <c r="V15" t="n">
        <v>-1.866614387812916</v>
      </c>
      <c r="W15" t="n">
        <v>-1.677717939694986</v>
      </c>
    </row>
    <row r="16">
      <c r="A16" s="3" t="inlineStr">
        <is>
          <t>RAGU Score</t>
        </is>
      </c>
      <c r="B16" t="n">
        <v>141.6427907729483</v>
      </c>
      <c r="C16" t="n">
        <v>141.6604175641023</v>
      </c>
      <c r="D16" t="n">
        <v>142.4230243563795</v>
      </c>
      <c r="E16" t="n">
        <v>141.6293315763665</v>
      </c>
      <c r="F16" t="n">
        <v>139.6476837005127</v>
      </c>
      <c r="G16" t="n">
        <v>141.8148299664535</v>
      </c>
      <c r="H16" t="n">
        <v>141.9006840107569</v>
      </c>
      <c r="I16" t="n">
        <v>140.8231561374384</v>
      </c>
      <c r="J16" t="n">
        <v>140.6514508120474</v>
      </c>
      <c r="K16" t="n">
        <v>140.956978231484</v>
      </c>
      <c r="L16" t="n">
        <v>142.313655620115</v>
      </c>
      <c r="M16" t="n">
        <v>140.528056700624</v>
      </c>
      <c r="N16" t="n">
        <v>140.5973874646175</v>
      </c>
      <c r="O16" t="n">
        <v>142.060641136171</v>
      </c>
      <c r="P16" t="n">
        <v>142.01633820515</v>
      </c>
      <c r="Q16" t="n">
        <v>141.0223180203629</v>
      </c>
      <c r="R16" t="n">
        <v>141.4735011002421</v>
      </c>
      <c r="S16" t="n">
        <v>140.9333043517546</v>
      </c>
      <c r="T16" t="n">
        <v>141.3556413244977</v>
      </c>
      <c r="U16" t="n">
        <v>141.6138501770086</v>
      </c>
      <c r="V16" t="n">
        <v>142.2320559142694</v>
      </c>
      <c r="W16" t="n">
        <v>141.8550633858682</v>
      </c>
    </row>
    <row r="17">
      <c r="A17" s="5" t="inlineStr">
        <is>
          <t>LTV</t>
        </is>
      </c>
      <c r="B17" t="n">
        <v>1.310900904366654</v>
      </c>
      <c r="C17" t="n">
        <v>1.396719633566388</v>
      </c>
      <c r="D17" t="n">
        <v>1.33821118200635</v>
      </c>
      <c r="E17" t="n">
        <v>1.351367276334788</v>
      </c>
      <c r="F17" t="n">
        <v>1.439586586568638</v>
      </c>
      <c r="G17" t="n">
        <v>1.376030009612373</v>
      </c>
      <c r="H17" t="n">
        <v>1.39771444162654</v>
      </c>
      <c r="I17" t="n">
        <v>1.32792404625168</v>
      </c>
      <c r="J17" t="n">
        <v>1.373211587580663</v>
      </c>
      <c r="K17" t="n">
        <v>1.410704540875052</v>
      </c>
      <c r="L17" t="n">
        <v>1.404840153700054</v>
      </c>
      <c r="M17" t="n">
        <v>1.443212420757959</v>
      </c>
      <c r="N17" t="n">
        <v>1.404495115274874</v>
      </c>
      <c r="O17" t="n">
        <v>1.365601845203213</v>
      </c>
      <c r="P17" t="n">
        <v>1.387864099168109</v>
      </c>
      <c r="Q17" t="n">
        <v>1.42624026634689</v>
      </c>
      <c r="R17" t="n">
        <v>1.411876424149144</v>
      </c>
      <c r="S17" t="n">
        <v>1.369684390364684</v>
      </c>
      <c r="T17" t="n">
        <v>1.318857492119134</v>
      </c>
      <c r="U17" t="n">
        <v>1.313044935616593</v>
      </c>
      <c r="V17" t="n">
        <v>1.31384989214897</v>
      </c>
      <c r="W17" t="n">
        <v>1.278157814822839</v>
      </c>
    </row>
    <row r="19">
      <c r="A19" s="1" t="inlineStr">
        <is>
          <t>FRN</t>
        </is>
      </c>
      <c r="B19" s="119">
        <f>B10</f>
        <v/>
      </c>
      <c r="C19" s="119">
        <f>C10</f>
        <v/>
      </c>
      <c r="D19" s="119">
        <f>D10</f>
        <v/>
      </c>
      <c r="E19" s="119">
        <f>E10</f>
        <v/>
      </c>
      <c r="F19" s="119">
        <f>F10</f>
        <v/>
      </c>
      <c r="G19" s="119">
        <f>G10</f>
        <v/>
      </c>
      <c r="H19" s="119">
        <f>H10</f>
        <v/>
      </c>
      <c r="I19" s="119">
        <f>I10</f>
        <v/>
      </c>
      <c r="J19" s="119">
        <f>J10</f>
        <v/>
      </c>
      <c r="K19" s="119">
        <f>K10</f>
        <v/>
      </c>
      <c r="L19" s="119">
        <f>L10</f>
        <v/>
      </c>
      <c r="M19" s="119">
        <f>M10</f>
        <v/>
      </c>
      <c r="N19" s="119">
        <f>N10</f>
        <v/>
      </c>
      <c r="O19" s="119">
        <f>O10</f>
        <v/>
      </c>
      <c r="P19" s="119">
        <f>P10</f>
        <v/>
      </c>
      <c r="Q19" s="119">
        <f>Q10</f>
        <v/>
      </c>
      <c r="R19" s="119">
        <f>R10</f>
        <v/>
      </c>
      <c r="S19" s="119">
        <f>S10</f>
        <v/>
      </c>
      <c r="T19" s="119">
        <f>T10</f>
        <v/>
      </c>
      <c r="U19" s="119">
        <f>U10</f>
        <v/>
      </c>
      <c r="V19" s="119">
        <f>V10</f>
        <v/>
      </c>
      <c r="W19" s="119">
        <f>W10</f>
        <v/>
      </c>
    </row>
    <row r="20">
      <c r="A20" s="101" t="inlineStr">
        <is>
          <t>Contract Model Score</t>
        </is>
      </c>
      <c r="B20" t="n">
        <v>139.8998635893275</v>
      </c>
      <c r="C20" t="n">
        <v>139.2208785925361</v>
      </c>
      <c r="D20" t="n">
        <v>138.4512261613783</v>
      </c>
      <c r="E20" t="n">
        <v>139.1329522179562</v>
      </c>
      <c r="F20" t="n">
        <v>139.4071937843016</v>
      </c>
      <c r="G20" t="n">
        <v>138.8543571611015</v>
      </c>
      <c r="H20" t="n">
        <v>138.3547917479038</v>
      </c>
      <c r="I20" t="n">
        <v>137.0057275296653</v>
      </c>
      <c r="J20" t="n">
        <v>137.5070291464328</v>
      </c>
      <c r="K20" t="n">
        <v>137.5684114429918</v>
      </c>
      <c r="L20" t="n">
        <v>137.7728850293343</v>
      </c>
      <c r="M20" t="n">
        <v>138.053305616067</v>
      </c>
      <c r="N20" t="n">
        <v>138.7527092833618</v>
      </c>
      <c r="O20" t="n">
        <v>138.3369899007788</v>
      </c>
      <c r="P20" t="n">
        <v>139.9519865906632</v>
      </c>
      <c r="Q20" t="n">
        <v>140.8414772294644</v>
      </c>
      <c r="R20" t="n">
        <v>141.475470960844</v>
      </c>
      <c r="S20" t="n">
        <v>141.2244351386425</v>
      </c>
      <c r="T20" t="n">
        <v>140.7521557917883</v>
      </c>
      <c r="U20" t="n">
        <v>139.9366268047652</v>
      </c>
      <c r="V20" t="n">
        <v>140.8441046204103</v>
      </c>
      <c r="W20" t="n">
        <v>140.5587093348235</v>
      </c>
      <c r="X20" t="n">
        <v>127.3329513837031</v>
      </c>
      <c r="Y20" t="n">
        <v>127.1896038011362</v>
      </c>
      <c r="Z20" t="n">
        <v>127.2788383196485</v>
      </c>
      <c r="AA20" t="n">
        <v>126.5139937305914</v>
      </c>
      <c r="AB20" t="n">
        <v>126.4380466497907</v>
      </c>
      <c r="AC20" t="n">
        <v>127.2355199838029</v>
      </c>
      <c r="AD20" t="n">
        <v>125.6435450144528</v>
      </c>
      <c r="AE20" t="n">
        <v>127.4086230249426</v>
      </c>
      <c r="AF20" t="n">
        <v>127.2302810370121</v>
      </c>
      <c r="AG20" t="n">
        <v>127.9021464872557</v>
      </c>
      <c r="AH20" t="n">
        <v>129.752448285137</v>
      </c>
      <c r="AI20" t="n">
        <v>128.8815273803175</v>
      </c>
      <c r="AJ20" t="n">
        <v>128.0533913396469</v>
      </c>
      <c r="AK20" t="n">
        <v>129.323924825701</v>
      </c>
      <c r="AL20" t="n">
        <v>129.9676136833518</v>
      </c>
      <c r="AM20" t="n">
        <v>129.4956288527605</v>
      </c>
      <c r="AN20" t="n">
        <v>130.3158749980418</v>
      </c>
      <c r="AO20" t="n">
        <v>130.019304781977</v>
      </c>
      <c r="AP20" t="n">
        <v>129.3611146388344</v>
      </c>
      <c r="AQ20" t="n">
        <v>130.2990748527227</v>
      </c>
      <c r="AR20" t="n">
        <v>129.357525144029</v>
      </c>
      <c r="AS20" t="n">
        <v>128.4273363460327</v>
      </c>
      <c r="AT20" t="n">
        <v>129.240121209895</v>
      </c>
      <c r="AU20" t="n">
        <v>128.0857461977284</v>
      </c>
      <c r="AV20" t="n">
        <v>128.3696060346418</v>
      </c>
      <c r="AW20" t="n">
        <v>131.2110135512906</v>
      </c>
      <c r="AX20" t="n">
        <v>131.2526454988818</v>
      </c>
      <c r="AY20" t="n">
        <v>132.7052677407796</v>
      </c>
      <c r="AZ20" t="n">
        <v>130.8851621244611</v>
      </c>
      <c r="BA20" t="n">
        <v>132.7752215338202</v>
      </c>
      <c r="BB20" t="n">
        <v>131.0658181866655</v>
      </c>
      <c r="BC20" t="n">
        <v>132.3418704494771</v>
      </c>
      <c r="BD20" t="n">
        <v>131.3379252802752</v>
      </c>
      <c r="BE20" t="n">
        <v>129.913995794155</v>
      </c>
      <c r="BF20" t="n">
        <v>133.2043692089563</v>
      </c>
      <c r="BG20" t="n">
        <v>132.4880203930276</v>
      </c>
      <c r="BH20" t="n">
        <v>133.4895807334843</v>
      </c>
      <c r="BI20" t="n">
        <v>133.4336981498444</v>
      </c>
      <c r="BJ20" t="n">
        <v>132.7053605876386</v>
      </c>
      <c r="BK20" t="n">
        <v>133.6131605378962</v>
      </c>
      <c r="BL20" t="n">
        <v>132.4754732522059</v>
      </c>
      <c r="BM20" t="n">
        <v>132.3647877537973</v>
      </c>
      <c r="BN20" t="n">
        <v>131.7012747511101</v>
      </c>
      <c r="BO20" t="n">
        <v>131.29780051561</v>
      </c>
      <c r="BP20" t="n">
        <v>131.3685159094497</v>
      </c>
      <c r="BQ20" t="n">
        <v>130.6667864846366</v>
      </c>
      <c r="BR20" t="n">
        <v>131.294635244159</v>
      </c>
      <c r="BS20" t="n">
        <v>134.1188454489409</v>
      </c>
      <c r="BT20" t="n">
        <v>132.4257268328521</v>
      </c>
      <c r="BU20" t="n">
        <v>133.0265962991876</v>
      </c>
      <c r="BV20" t="n">
        <v>132.8351769108255</v>
      </c>
      <c r="BW20" t="n">
        <v>135.6120730242355</v>
      </c>
      <c r="BX20" t="n">
        <v>136.7190521012724</v>
      </c>
      <c r="BY20" t="n">
        <v>134.1859230107209</v>
      </c>
      <c r="BZ20" t="n">
        <v>137.1989501033777</v>
      </c>
      <c r="CA20" t="n">
        <v>136.2431308411027</v>
      </c>
      <c r="CB20" t="n">
        <v>133.9733803183813</v>
      </c>
      <c r="CC20" t="n">
        <v>134.5442559354709</v>
      </c>
      <c r="CD20" t="n">
        <v>136.6715764879692</v>
      </c>
      <c r="CE20" t="n">
        <v>136.2503367566982</v>
      </c>
      <c r="CF20" t="n">
        <v>134.791622087332</v>
      </c>
      <c r="CG20" t="n">
        <v>135.2105999464117</v>
      </c>
      <c r="CH20" t="n">
        <v>135.1424958617777</v>
      </c>
      <c r="CI20" t="n">
        <v>136.1972389490818</v>
      </c>
      <c r="CJ20" t="n">
        <v>135.0272379100639</v>
      </c>
      <c r="CK20" t="n">
        <v>134.4229152013355</v>
      </c>
      <c r="CL20" t="n">
        <v>138.5652402629764</v>
      </c>
      <c r="CM20" t="n">
        <v>140.3529299988399</v>
      </c>
      <c r="CN20" t="n">
        <v>139.5486328970024</v>
      </c>
      <c r="CO20" t="n">
        <v>136.5556801122869</v>
      </c>
      <c r="CP20" t="n">
        <v>135.3611518335726</v>
      </c>
      <c r="CQ20" t="n">
        <v>137.9943512453108</v>
      </c>
      <c r="CR20" t="n">
        <v>136.1177943118521</v>
      </c>
      <c r="CS20" t="n">
        <v>134.8286925464299</v>
      </c>
      <c r="CT20" t="n">
        <v>136.0651432688606</v>
      </c>
      <c r="CU20" t="n">
        <v>137.9443442806111</v>
      </c>
      <c r="CV20" t="n">
        <v>138.1604246841192</v>
      </c>
      <c r="CW20" t="n">
        <v>137.4057276454805</v>
      </c>
      <c r="CX20" t="n">
        <v>135.650680565574</v>
      </c>
      <c r="CY20" t="n">
        <v>135.8854934236806</v>
      </c>
      <c r="CZ20" t="n">
        <v>136.3053218225588</v>
      </c>
      <c r="DA20" t="n">
        <v>138.5140031724178</v>
      </c>
      <c r="DB20" t="n">
        <v>134.9221502005219</v>
      </c>
      <c r="DC20" t="n">
        <v>138.9908638655151</v>
      </c>
      <c r="DD20" t="n">
        <v>138.4780309570349</v>
      </c>
      <c r="DE20" t="n">
        <v>137.8092482773726</v>
      </c>
      <c r="DF20" t="n">
        <v>134.9985141537416</v>
      </c>
      <c r="DG20" t="n">
        <v>136.1670792107495</v>
      </c>
      <c r="DH20" t="n">
        <v>135.0626844612574</v>
      </c>
      <c r="DI20" t="n">
        <v>138.8665957163603</v>
      </c>
      <c r="DJ20" t="n">
        <v>136.9586309431318</v>
      </c>
      <c r="DK20" t="n">
        <v>139.6610687066863</v>
      </c>
      <c r="DL20" t="n">
        <v>135.2339248280181</v>
      </c>
      <c r="DM20" t="n">
        <v>139.7443055388139</v>
      </c>
      <c r="DN20" t="n">
        <v>139.1593992591745</v>
      </c>
      <c r="DO20" t="n">
        <v>138.7587106155069</v>
      </c>
      <c r="DP20" t="n">
        <v>138.1057316885897</v>
      </c>
      <c r="DQ20" t="n">
        <v>138.2358862931975</v>
      </c>
      <c r="DR20" t="n">
        <v>139.2450780360113</v>
      </c>
      <c r="DS20" t="n">
        <v>135.0888668073453</v>
      </c>
      <c r="DT20" t="n">
        <v>137.6509334376411</v>
      </c>
      <c r="DU20" t="n">
        <v>133.947178164202</v>
      </c>
      <c r="DV20" t="n">
        <v>135.6162789642652</v>
      </c>
      <c r="DW20" t="n">
        <v>135.203125496386</v>
      </c>
      <c r="DX20" t="n">
        <v>136.0100428719329</v>
      </c>
      <c r="DY20" t="n">
        <v>140.3716893545918</v>
      </c>
      <c r="DZ20" t="n">
        <v>138.279677497356</v>
      </c>
      <c r="EA20" t="n">
        <v>138.2827018162272</v>
      </c>
      <c r="EB20" t="n">
        <v>138.0325159354117</v>
      </c>
      <c r="EC20" t="n">
        <v>136.3985935525357</v>
      </c>
      <c r="ED20" t="n">
        <v>137.5149975110897</v>
      </c>
      <c r="EE20" t="n">
        <v>136.3554592590446</v>
      </c>
      <c r="EF20" t="n">
        <v>135.4108572324442</v>
      </c>
      <c r="EG20" t="n">
        <v>136.2904970519677</v>
      </c>
      <c r="EH20" t="n">
        <v>138.9106791445737</v>
      </c>
      <c r="EI20" t="n">
        <v>134.8905798858662</v>
      </c>
      <c r="EJ20" t="n">
        <v>137.4062005890461</v>
      </c>
      <c r="EK20" t="n">
        <v>137.6997721946874</v>
      </c>
      <c r="EL20" t="n">
        <v>136.3663238136752</v>
      </c>
      <c r="EM20" t="n">
        <v>133.8326917790496</v>
      </c>
      <c r="EN20" t="n">
        <v>139.6188443915344</v>
      </c>
      <c r="EO20" t="n">
        <v>135.2727350789654</v>
      </c>
      <c r="EP20" t="n">
        <v>138.7211605450267</v>
      </c>
      <c r="EQ20" t="n">
        <v>138.7948576009649</v>
      </c>
      <c r="ER20" t="n">
        <v>141.3654630426302</v>
      </c>
      <c r="ES20" t="n">
        <v>137.8171321917636</v>
      </c>
      <c r="ET20" t="n">
        <v>133.0458872726467</v>
      </c>
      <c r="EU20" t="n">
        <v>134.260752272649</v>
      </c>
      <c r="EV20" t="n">
        <v>133.687850105745</v>
      </c>
      <c r="EW20" t="n">
        <v>137.1194855451585</v>
      </c>
      <c r="EX20" t="n">
        <v>138.0892886597783</v>
      </c>
      <c r="EY20" t="n">
        <v>139.1058722921873</v>
      </c>
      <c r="EZ20" t="n">
        <v>137.5622314321073</v>
      </c>
      <c r="FA20" t="n">
        <v>138.2599737432378</v>
      </c>
      <c r="FB20" t="n">
        <v>134.5382282135666</v>
      </c>
      <c r="FC20" t="n">
        <v>136.824551478658</v>
      </c>
      <c r="FD20" t="n">
        <v>136.2785761164617</v>
      </c>
      <c r="FE20" t="n">
        <v>137.8269636687187</v>
      </c>
      <c r="FF20" t="n">
        <v>134.780590069573</v>
      </c>
      <c r="FG20" t="n">
        <v>136.5963743208291</v>
      </c>
      <c r="FH20" t="n">
        <v>137.3487658201583</v>
      </c>
      <c r="FI20" t="n">
        <v>136.0391774057966</v>
      </c>
      <c r="FJ20" t="n">
        <v>132.9981005623255</v>
      </c>
      <c r="FK20" t="n">
        <v>134.9973137516125</v>
      </c>
      <c r="FL20" t="n">
        <v>139.4898487802077</v>
      </c>
      <c r="FM20" t="n">
        <v>134.2226033430713</v>
      </c>
      <c r="FN20" t="n">
        <v>139.7369744762255</v>
      </c>
      <c r="FO20" t="n">
        <v>136.3403033811251</v>
      </c>
      <c r="FP20" t="n">
        <v>137.6673244201453</v>
      </c>
      <c r="FQ20" t="n">
        <v>133.7046269590428</v>
      </c>
      <c r="FR20" t="n">
        <v>134.5967883582311</v>
      </c>
      <c r="FS20" t="n">
        <v>139.2309693080896</v>
      </c>
      <c r="FT20" t="n">
        <v>135.4151869606626</v>
      </c>
      <c r="FU20" t="n">
        <v>137.2527998797115</v>
      </c>
      <c r="FV20" t="n">
        <v>132.7312476421287</v>
      </c>
      <c r="FW20" t="n">
        <v>138.225906199936</v>
      </c>
      <c r="FX20" t="n">
        <v>135.8839116999386</v>
      </c>
      <c r="FY20" t="n">
        <v>141.8701357202798</v>
      </c>
      <c r="FZ20" t="n">
        <v>135.5828899843208</v>
      </c>
      <c r="GA20" t="n">
        <v>132.7695797656936</v>
      </c>
      <c r="GB20" t="n">
        <v>135.3882474306218</v>
      </c>
      <c r="GC20" t="n">
        <v>130.8684879359554</v>
      </c>
      <c r="GD20" t="n">
        <v>134.0265763437001</v>
      </c>
      <c r="GE20" t="n">
        <v>135.8201928069077</v>
      </c>
      <c r="GF20" t="n">
        <v>135.7115442902856</v>
      </c>
      <c r="GG20" t="n">
        <v>137.1958405104679</v>
      </c>
      <c r="GH20" t="n">
        <v>135.8709897713702</v>
      </c>
      <c r="GI20" t="n">
        <v>134.6688702027763</v>
      </c>
      <c r="GJ20" t="n">
        <v>137.3198144763604</v>
      </c>
      <c r="GK20" t="n">
        <v>135.2051591469481</v>
      </c>
      <c r="GL20" t="n">
        <v>135.5357754734621</v>
      </c>
      <c r="GM20" t="n">
        <v>134.1821036091526</v>
      </c>
      <c r="GN20" t="n">
        <v>130.6804435982451</v>
      </c>
      <c r="GO20" t="n">
        <v>133.0121319569087</v>
      </c>
      <c r="GP20" t="n">
        <v>134.1439251386802</v>
      </c>
      <c r="GQ20" t="n">
        <v>132.5816177861892</v>
      </c>
      <c r="GR20" t="n">
        <v>135.1335156361335</v>
      </c>
      <c r="GS20" t="n">
        <v>133.2199252177307</v>
      </c>
      <c r="GT20" t="n">
        <v>133.2940227337052</v>
      </c>
      <c r="GU20" t="n">
        <v>132.0751395688094</v>
      </c>
      <c r="GV20" t="n">
        <v>133.5918232079704</v>
      </c>
      <c r="GW20" t="n">
        <v>134.1999154726701</v>
      </c>
      <c r="GX20" t="n">
        <v>134.8432103779064</v>
      </c>
      <c r="GY20" t="n">
        <v>130.3691568442313</v>
      </c>
      <c r="GZ20" t="n">
        <v>132.5511246288026</v>
      </c>
      <c r="HA20" t="n">
        <v>134.8495112466342</v>
      </c>
      <c r="HB20" t="n">
        <v>132.7244084339943</v>
      </c>
      <c r="HC20" t="n">
        <v>131.3378052496804</v>
      </c>
      <c r="HD20" t="n">
        <v>131.0551920142913</v>
      </c>
      <c r="HE20" t="n">
        <v>134.2677139444918</v>
      </c>
      <c r="HF20" t="n">
        <v>131.0452068308809</v>
      </c>
      <c r="HG20" t="n">
        <v>130.9399322826544</v>
      </c>
      <c r="HH20" t="n">
        <v>129.4723110129708</v>
      </c>
      <c r="HI20" t="n">
        <v>131.450105156173</v>
      </c>
      <c r="HJ20" t="n">
        <v>130.5885564586056</v>
      </c>
      <c r="HK20" t="n">
        <v>131.3896958141017</v>
      </c>
      <c r="HL20" t="n">
        <v>131.7450718354439</v>
      </c>
      <c r="HM20" t="n">
        <v>132.3689262468143</v>
      </c>
      <c r="HN20" t="n">
        <v>129.344855223485</v>
      </c>
      <c r="HO20" t="n">
        <v>131.763817785689</v>
      </c>
      <c r="HP20" t="n">
        <v>132.6364329949299</v>
      </c>
      <c r="HQ20" t="n">
        <v>129.8515951908221</v>
      </c>
      <c r="HR20" t="n">
        <v>132.0336403680327</v>
      </c>
      <c r="HS20" t="n">
        <v>130.3919479095967</v>
      </c>
      <c r="HT20" t="n">
        <v>130.9146581589813</v>
      </c>
      <c r="HU20" t="n">
        <v>130.5342243579521</v>
      </c>
      <c r="HV20" t="n">
        <v>129.9783811831393</v>
      </c>
      <c r="HW20" t="n">
        <v>129.7919556828401</v>
      </c>
      <c r="HX20" t="n">
        <v>132.7223513700825</v>
      </c>
      <c r="HY20" t="n">
        <v>133.990174569182</v>
      </c>
      <c r="HZ20" t="n">
        <v>133.1454718262069</v>
      </c>
      <c r="IA20" t="n">
        <v>133.0785442391634</v>
      </c>
      <c r="IB20" t="n">
        <v>130.6488727665304</v>
      </c>
      <c r="IC20" t="n">
        <v>131.4764926857079</v>
      </c>
      <c r="ID20" t="n">
        <v>132.2778562129093</v>
      </c>
      <c r="IE20" t="n">
        <v>130.9669748928443</v>
      </c>
      <c r="IF20" t="n">
        <v>131.9898582282945</v>
      </c>
      <c r="IG20" t="n">
        <v>131.3033932274197</v>
      </c>
      <c r="IH20" t="n">
        <v>132.8218590573599</v>
      </c>
      <c r="II20" t="n">
        <v>129.7809391119781</v>
      </c>
      <c r="IJ20" t="n">
        <v>131.3888343151424</v>
      </c>
      <c r="IK20" t="n">
        <v>132.2061146867765</v>
      </c>
      <c r="IL20" t="n">
        <v>132.7218831708648</v>
      </c>
      <c r="IM20" t="n">
        <v>130.6404835466598</v>
      </c>
      <c r="IN20" t="n">
        <v>130.5844119300544</v>
      </c>
      <c r="IO20" t="n">
        <v>131.3191505073898</v>
      </c>
      <c r="IP20" t="n">
        <v>131.5814178091668</v>
      </c>
      <c r="IQ20" t="n">
        <v>132.8018664522169</v>
      </c>
      <c r="IR20" t="n">
        <v>133.5607067814707</v>
      </c>
      <c r="IS20" t="n">
        <v>132.3066585258403</v>
      </c>
      <c r="IT20" t="n">
        <v>135.1257897176112</v>
      </c>
      <c r="IU20" t="n">
        <v>133.8461937087772</v>
      </c>
      <c r="IV20" t="n">
        <v>133.8781772527632</v>
      </c>
      <c r="IW20" t="n">
        <v>133.2333126901366</v>
      </c>
      <c r="IX20" t="n">
        <v>133.6761332868879</v>
      </c>
      <c r="IY20" t="n">
        <v>135.1956073836555</v>
      </c>
      <c r="IZ20" t="n">
        <v>134.2114538777864</v>
      </c>
      <c r="JA20" t="n">
        <v>133.6801682091684</v>
      </c>
      <c r="JB20" t="n">
        <v>134.5912785995295</v>
      </c>
      <c r="JC20" t="n">
        <v>133.9699308128201</v>
      </c>
      <c r="JD20" t="n">
        <v>133.1080224357422</v>
      </c>
      <c r="JE20" t="n">
        <v>134.8186565083085</v>
      </c>
      <c r="JF20" t="n">
        <v>134.9002943073563</v>
      </c>
      <c r="JG20" t="n">
        <v>135.2778182473919</v>
      </c>
      <c r="JH20" t="n">
        <v>133.2603831950873</v>
      </c>
      <c r="JI20" t="n">
        <v>133.7884693179213</v>
      </c>
      <c r="JJ20" t="n">
        <v>133.339062051599</v>
      </c>
      <c r="JK20" t="n">
        <v>133.5605104421215</v>
      </c>
      <c r="JL20" t="n">
        <v>131.753057731011</v>
      </c>
      <c r="JM20" t="n">
        <v>132.3403712906787</v>
      </c>
      <c r="JN20" t="n">
        <v>132.5204608516333</v>
      </c>
      <c r="JO20" t="n">
        <v>134.537798192129</v>
      </c>
      <c r="JP20" t="n">
        <v>132.080112892587</v>
      </c>
      <c r="JQ20" t="n">
        <v>131.7508659444476</v>
      </c>
      <c r="JR20" t="n">
        <v>131.0250919582728</v>
      </c>
      <c r="JS20" t="n">
        <v>129.7646743962307</v>
      </c>
      <c r="JT20" t="n">
        <v>130.5079431305569</v>
      </c>
      <c r="JU20" t="n">
        <v>133.8919577152778</v>
      </c>
      <c r="JV20" t="n">
        <v>135.5075247100525</v>
      </c>
      <c r="JW20" t="n">
        <v>134.4383872751789</v>
      </c>
      <c r="JX20" t="n">
        <v>136.903001434936</v>
      </c>
      <c r="JY20" t="n">
        <v>135.4574681995059</v>
      </c>
      <c r="JZ20" t="n">
        <v>135.7628407843588</v>
      </c>
      <c r="KA20" t="n">
        <v>136.4289592271626</v>
      </c>
      <c r="KB20" t="n">
        <v>137.0129132866516</v>
      </c>
      <c r="KC20" t="n">
        <v>134.7607750197569</v>
      </c>
      <c r="KD20" t="n">
        <v>135.6059980266806</v>
      </c>
      <c r="KE20" t="n">
        <v>135.8350763240662</v>
      </c>
      <c r="KF20" t="n">
        <v>135.0027781500835</v>
      </c>
      <c r="KG20" t="n">
        <v>135.6928717857321</v>
      </c>
      <c r="KH20" t="n">
        <v>135.9756607485685</v>
      </c>
      <c r="KI20" t="n">
        <v>136.1489407291564</v>
      </c>
      <c r="KJ20" t="n">
        <v>135.2225541707756</v>
      </c>
      <c r="KK20" t="n">
        <v>135.5754151263383</v>
      </c>
      <c r="KL20" t="n">
        <v>134.696050054058</v>
      </c>
      <c r="KM20" t="n">
        <v>135.5985219423472</v>
      </c>
      <c r="KN20" t="n">
        <v>136.3010277073767</v>
      </c>
      <c r="KO20" t="n">
        <v>135.2613648072201</v>
      </c>
      <c r="KP20" t="n">
        <v>135.6528048003423</v>
      </c>
      <c r="KQ20" t="n">
        <v>134.633984119401</v>
      </c>
      <c r="KR20" t="n">
        <v>134.7955018547018</v>
      </c>
      <c r="KS20" t="n">
        <v>135.447855247916</v>
      </c>
      <c r="KT20" t="n">
        <v>136.4497462468057</v>
      </c>
      <c r="KU20" t="n">
        <v>134.8249333993157</v>
      </c>
      <c r="KV20" t="n">
        <v>134.366475618136</v>
      </c>
      <c r="KW20" t="n">
        <v>134.89592163968</v>
      </c>
      <c r="KX20" t="n">
        <v>134.7783096167774</v>
      </c>
      <c r="KY20" t="n">
        <v>134.4338004533808</v>
      </c>
      <c r="KZ20" t="n">
        <v>134.425841415644</v>
      </c>
      <c r="LA20" t="n">
        <v>134.381042241968</v>
      </c>
      <c r="LB20" t="n">
        <v>134.6068193391397</v>
      </c>
      <c r="LC20" t="n">
        <v>134.8567699701003</v>
      </c>
      <c r="LD20" t="n">
        <v>134.1677067150372</v>
      </c>
      <c r="LE20" t="n">
        <v>136.2396993026535</v>
      </c>
      <c r="LF20" t="n">
        <v>137.6545375276684</v>
      </c>
      <c r="LG20" t="n">
        <v>134.6335286913657</v>
      </c>
      <c r="LH20" t="n">
        <v>134.5790984504092</v>
      </c>
      <c r="LI20" t="n">
        <v>135.0345515042069</v>
      </c>
      <c r="LJ20" t="n">
        <v>134.5836643480591</v>
      </c>
      <c r="LK20" t="n">
        <v>133.5005614726349</v>
      </c>
      <c r="LL20" t="n">
        <v>134.8045475811993</v>
      </c>
      <c r="LM20" t="n">
        <v>135.2506593536054</v>
      </c>
      <c r="LN20" t="n">
        <v>134.591069676867</v>
      </c>
      <c r="LO20" t="n">
        <v>134.3878063228592</v>
      </c>
      <c r="LP20" t="n">
        <v>133.9420260681442</v>
      </c>
      <c r="LQ20" t="n">
        <v>133.6178608367497</v>
      </c>
      <c r="LR20" t="n">
        <v>133.1007442533552</v>
      </c>
      <c r="LS20" t="n">
        <v>133.8305446342343</v>
      </c>
      <c r="LT20" t="n">
        <v>134.1464875203432</v>
      </c>
      <c r="LU20" t="n">
        <v>130.9279564721663</v>
      </c>
      <c r="LV20" t="n">
        <v>129.7813392389512</v>
      </c>
      <c r="LW20" t="n">
        <v>130.0867147497677</v>
      </c>
      <c r="LX20" t="n">
        <v>131.9420272495782</v>
      </c>
      <c r="LY20" t="n">
        <v>134.1558124226585</v>
      </c>
      <c r="LZ20" t="n">
        <v>133.6579383014547</v>
      </c>
      <c r="MA20" t="n">
        <v>133.7993321636723</v>
      </c>
      <c r="MB20" t="n">
        <v>134.6598028054035</v>
      </c>
      <c r="MC20" t="n">
        <v>136.9780410262741</v>
      </c>
      <c r="MD20" t="n">
        <v>134.4895187790264</v>
      </c>
      <c r="ME20" t="n">
        <v>133.69251041076</v>
      </c>
      <c r="MF20" t="n">
        <v>133.5273273967048</v>
      </c>
      <c r="MG20" t="n">
        <v>134.7268269656642</v>
      </c>
      <c r="MH20" t="n">
        <v>132.8831639301468</v>
      </c>
      <c r="MI20" t="n">
        <v>133.8269500919846</v>
      </c>
      <c r="MJ20" t="n">
        <v>134.0297410648938</v>
      </c>
      <c r="MK20" t="n">
        <v>133.0497535592002</v>
      </c>
      <c r="ML20" t="n">
        <v>134.1896516792099</v>
      </c>
      <c r="MM20" t="n">
        <v>134.8060142503449</v>
      </c>
      <c r="MN20" t="n">
        <v>134.6319495501901</v>
      </c>
      <c r="MO20" t="n">
        <v>134.3824634686575</v>
      </c>
      <c r="MP20" t="n">
        <v>135.5745355515744</v>
      </c>
      <c r="MQ20" t="n">
        <v>135.912873678633</v>
      </c>
      <c r="MR20" t="n">
        <v>136.1572256097919</v>
      </c>
      <c r="MS20" t="n">
        <v>136.2577183597038</v>
      </c>
      <c r="MT20" t="n">
        <v>136.4607801274354</v>
      </c>
      <c r="MU20" t="n">
        <v>137.6671788476387</v>
      </c>
      <c r="MV20" t="n">
        <v>137.6638282305468</v>
      </c>
      <c r="MW20" t="n">
        <v>137.9406248851142</v>
      </c>
      <c r="MX20" t="n">
        <v>137.5878106429721</v>
      </c>
      <c r="MY20" t="n">
        <v>138.3526693536637</v>
      </c>
      <c r="MZ20" t="n">
        <v>137.7588392759353</v>
      </c>
      <c r="NA20" t="n">
        <v>137.344772065189</v>
      </c>
      <c r="NB20" t="n">
        <v>137.7084460186003</v>
      </c>
      <c r="NC20" t="n">
        <v>138.1560889517246</v>
      </c>
      <c r="ND20" t="n">
        <v>137.6596037283533</v>
      </c>
      <c r="NE20" t="n">
        <v>138.7865574969176</v>
      </c>
      <c r="NF20" t="n">
        <v>137.8912395043208</v>
      </c>
      <c r="NG20" t="n">
        <v>137.7475307074315</v>
      </c>
      <c r="NH20" t="n">
        <v>138.642422774493</v>
      </c>
      <c r="NI20" t="n">
        <v>137.7237186079225</v>
      </c>
      <c r="NJ20" t="n">
        <v>138.3402761024159</v>
      </c>
      <c r="NK20" t="n">
        <v>137.7849557368618</v>
      </c>
      <c r="NL20" t="n">
        <v>138.1436941835497</v>
      </c>
      <c r="NM20" t="n">
        <v>138.1947067526311</v>
      </c>
      <c r="NN20" t="n">
        <v>136.8614782576113</v>
      </c>
      <c r="NO20" t="n">
        <v>137.7959957228347</v>
      </c>
      <c r="NP20" t="n">
        <v>137.4918817487213</v>
      </c>
      <c r="NQ20" t="n">
        <v>138.7317417103269</v>
      </c>
      <c r="NR20" t="n">
        <v>138.307892148925</v>
      </c>
      <c r="NS20" t="n">
        <v>139.9419999481575</v>
      </c>
      <c r="NT20" t="n">
        <v>141.1086782347839</v>
      </c>
      <c r="NU20" t="n">
        <v>141.9913233337075</v>
      </c>
      <c r="NV20" t="n">
        <v>141.2199638148764</v>
      </c>
      <c r="NW20" t="n">
        <v>141.0532972728388</v>
      </c>
      <c r="NX20" t="n">
        <v>140.9782453488411</v>
      </c>
      <c r="NY20" t="n">
        <v>141.2767432812711</v>
      </c>
      <c r="NZ20" t="n">
        <v>140.3952758181819</v>
      </c>
      <c r="OA20" t="n">
        <v>140.8901920808972</v>
      </c>
      <c r="OB20" t="n">
        <v>141.5849861164981</v>
      </c>
      <c r="OC20" t="n">
        <v>140.7804010657958</v>
      </c>
      <c r="OD20" t="n">
        <v>140.8696166328542</v>
      </c>
      <c r="OE20" t="n">
        <v>141.3651303401348</v>
      </c>
      <c r="OF20" t="n">
        <v>141.0662977758231</v>
      </c>
      <c r="OG20" t="n">
        <v>141.8470013864981</v>
      </c>
      <c r="OH20" t="n">
        <v>142.0930675259664</v>
      </c>
      <c r="OI20" t="n">
        <v>141.634695602616</v>
      </c>
      <c r="OJ20" t="n">
        <v>141.821471049495</v>
      </c>
      <c r="OK20" t="n">
        <v>141.5287937740804</v>
      </c>
      <c r="OL20" t="n">
        <v>140.350360437976</v>
      </c>
      <c r="OM20" t="n">
        <v>141.6945164259612</v>
      </c>
      <c r="ON20" t="n">
        <v>141.4488413622417</v>
      </c>
      <c r="OO20" t="n">
        <v>139.9841592926033</v>
      </c>
      <c r="OP20" t="n">
        <v>140.6645309073478</v>
      </c>
      <c r="OQ20" t="n">
        <v>139.7038346181507</v>
      </c>
      <c r="OR20" t="n">
        <v>140.1390227184517</v>
      </c>
      <c r="OS20" t="n">
        <v>140.9953506931562</v>
      </c>
      <c r="OT20" t="n">
        <v>141.2235876833232</v>
      </c>
      <c r="OU20" t="n">
        <v>140.5742698760335</v>
      </c>
      <c r="OV20" t="n">
        <v>139.8946089597799</v>
      </c>
      <c r="OW20" t="n">
        <v>140.1793492312201</v>
      </c>
      <c r="OX20" t="n">
        <v>139.3687920447239</v>
      </c>
      <c r="OY20" t="n">
        <v>140.1859675155658</v>
      </c>
      <c r="OZ20" t="n">
        <v>141.1926039276997</v>
      </c>
      <c r="PA20" t="n">
        <v>140.0340052632387</v>
      </c>
      <c r="PB20" t="n">
        <v>140.2993532525525</v>
      </c>
      <c r="PC20" t="n">
        <v>139.2783520981222</v>
      </c>
      <c r="PD20" t="n">
        <v>139.0831473746066</v>
      </c>
      <c r="PE20" t="n">
        <v>139.9413388781153</v>
      </c>
      <c r="PF20" t="n">
        <v>140.9593108350223</v>
      </c>
      <c r="PG20" t="n">
        <v>141.2799068503278</v>
      </c>
      <c r="PH20" t="n">
        <v>140.6934405281307</v>
      </c>
      <c r="PI20" t="n">
        <v>140.6013368445008</v>
      </c>
      <c r="PJ20" t="n">
        <v>142.2022113863568</v>
      </c>
      <c r="PK20" t="n">
        <v>140.510138804972</v>
      </c>
      <c r="PL20" t="n">
        <v>141.0889506869205</v>
      </c>
      <c r="PM20" t="n">
        <v>141.3016488525717</v>
      </c>
      <c r="PN20" t="n">
        <v>140.881669812896</v>
      </c>
      <c r="PO20" t="n">
        <v>140.8442969461179</v>
      </c>
      <c r="PP20" t="n">
        <v>141.8644570284482</v>
      </c>
      <c r="PQ20" t="n">
        <v>140.4741183888102</v>
      </c>
      <c r="PR20" t="n">
        <v>140.0535094264261</v>
      </c>
      <c r="PS20" t="n">
        <v>139.060466473681</v>
      </c>
      <c r="PT20" t="n">
        <v>138.5025973160396</v>
      </c>
      <c r="PU20" t="n">
        <v>139.1385234060122</v>
      </c>
      <c r="PV20" t="n">
        <v>138.6235435221154</v>
      </c>
      <c r="PW20" t="n">
        <v>137.9569770294203</v>
      </c>
      <c r="PX20" t="n">
        <v>138.1518223462216</v>
      </c>
      <c r="PY20" t="n">
        <v>138.736540153476</v>
      </c>
      <c r="PZ20" t="n">
        <v>139.2408672198542</v>
      </c>
      <c r="QA20" t="n">
        <v>138.4692813153832</v>
      </c>
      <c r="QB20" t="n">
        <v>138.1121323930207</v>
      </c>
      <c r="QC20" t="n">
        <v>138.8248779096205</v>
      </c>
      <c r="QD20" t="n">
        <v>137.5655055561194</v>
      </c>
      <c r="QE20" t="n">
        <v>141.8781679777349</v>
      </c>
      <c r="QF20" t="n">
        <v>139.8998635893275</v>
      </c>
      <c r="QG20" t="n">
        <v>139.2208785925361</v>
      </c>
      <c r="QH20" t="n">
        <v>138.4512261613783</v>
      </c>
      <c r="QI20" t="n">
        <v>139.1329522179562</v>
      </c>
      <c r="QJ20" t="n">
        <v>139.4071937843016</v>
      </c>
      <c r="QK20" t="n">
        <v>138.8543571611015</v>
      </c>
      <c r="QL20" t="n">
        <v>138.3547917479038</v>
      </c>
      <c r="QM20" t="n">
        <v>137.0057275296653</v>
      </c>
      <c r="QN20" t="n">
        <v>137.5070291464328</v>
      </c>
      <c r="QO20" t="n">
        <v>137.5684114429918</v>
      </c>
      <c r="QP20" t="n">
        <v>137.7728850293343</v>
      </c>
      <c r="QQ20" t="n">
        <v>138.053305616067</v>
      </c>
      <c r="QR20" t="n">
        <v>138.7527092833618</v>
      </c>
      <c r="QS20" t="n">
        <v>138.3369899007788</v>
      </c>
      <c r="QT20" t="n">
        <v>139.9519865906632</v>
      </c>
      <c r="QU20" t="n">
        <v>140.8414772294644</v>
      </c>
      <c r="QV20" t="n">
        <v>141.475470960844</v>
      </c>
      <c r="QW20" t="n">
        <v>141.2244351386425</v>
      </c>
      <c r="QX20" t="n">
        <v>140.7521557917883</v>
      </c>
      <c r="QY20" t="n">
        <v>139.9366268047652</v>
      </c>
      <c r="QZ20" t="n">
        <v>140.8441046204103</v>
      </c>
      <c r="RA20" t="n">
        <v>140.5587093348235</v>
      </c>
      <c r="RB20" t="n">
        <v>127.3329513837031</v>
      </c>
      <c r="RC20" t="n">
        <v>127.1896038011362</v>
      </c>
      <c r="RD20" t="n">
        <v>127.2788383196485</v>
      </c>
      <c r="RE20" t="n">
        <v>126.5139937305914</v>
      </c>
      <c r="RF20" t="n">
        <v>126.4380466497907</v>
      </c>
      <c r="RG20" t="n">
        <v>127.2355199838029</v>
      </c>
      <c r="RH20" t="n">
        <v>125.6435450144528</v>
      </c>
      <c r="RI20" t="n">
        <v>127.4086230249426</v>
      </c>
      <c r="RJ20" t="n">
        <v>127.2302810370121</v>
      </c>
      <c r="RK20" t="n">
        <v>127.9021464872557</v>
      </c>
      <c r="RL20" t="n">
        <v>129.752448285137</v>
      </c>
      <c r="RM20" t="n">
        <v>128.8815273803175</v>
      </c>
      <c r="RN20" t="n">
        <v>128.0533913396469</v>
      </c>
      <c r="RO20" t="n">
        <v>129.323924825701</v>
      </c>
      <c r="RP20" t="n">
        <v>129.9676136833518</v>
      </c>
      <c r="RQ20" t="n">
        <v>129.4956288527605</v>
      </c>
      <c r="RR20" t="n">
        <v>130.3158749980418</v>
      </c>
      <c r="RS20" t="n">
        <v>130.019304781977</v>
      </c>
      <c r="RT20" t="n">
        <v>129.3611146388344</v>
      </c>
      <c r="RU20" t="n">
        <v>130.2990748527227</v>
      </c>
      <c r="RV20" t="n">
        <v>129.357525144029</v>
      </c>
      <c r="RW20" t="n">
        <v>128.4273363460327</v>
      </c>
      <c r="RX20" t="n">
        <v>129.240121209895</v>
      </c>
      <c r="RY20" t="n">
        <v>128.0857461977284</v>
      </c>
      <c r="RZ20" t="n">
        <v>128.3696060346418</v>
      </c>
      <c r="SA20" t="n">
        <v>131.2110135512906</v>
      </c>
      <c r="SB20" t="n">
        <v>131.2526454988818</v>
      </c>
      <c r="SC20" t="n">
        <v>132.7052677407796</v>
      </c>
      <c r="SD20" t="n">
        <v>130.8851621244611</v>
      </c>
      <c r="SE20" t="n">
        <v>132.7752215338202</v>
      </c>
      <c r="SF20" t="n">
        <v>131.0658181866655</v>
      </c>
      <c r="SG20" t="n">
        <v>132.3418704494771</v>
      </c>
      <c r="SH20" t="n">
        <v>131.3379252802752</v>
      </c>
      <c r="SI20" t="n">
        <v>129.913995794155</v>
      </c>
      <c r="SJ20" t="n">
        <v>133.2043692089563</v>
      </c>
      <c r="SK20" t="n">
        <v>132.4880203930276</v>
      </c>
      <c r="SL20" t="n">
        <v>133.4895807334843</v>
      </c>
      <c r="SM20" t="n">
        <v>133.4336981498444</v>
      </c>
      <c r="SN20" t="n">
        <v>132.7053605876386</v>
      </c>
      <c r="SO20" t="n">
        <v>133.6131605378962</v>
      </c>
      <c r="SP20" t="n">
        <v>132.4754732522059</v>
      </c>
      <c r="SQ20" t="n">
        <v>132.3647877537973</v>
      </c>
      <c r="SR20" t="n">
        <v>131.7012747511101</v>
      </c>
      <c r="SS20" t="n">
        <v>131.29780051561</v>
      </c>
      <c r="ST20" t="n">
        <v>131.3685159094497</v>
      </c>
      <c r="SU20" t="n">
        <v>130.6667864846366</v>
      </c>
      <c r="SV20" t="n">
        <v>131.294635244159</v>
      </c>
      <c r="SW20" t="n">
        <v>134.1188454489409</v>
      </c>
      <c r="SX20" t="n">
        <v>132.4257268328521</v>
      </c>
      <c r="SY20" t="n">
        <v>133.0265962991876</v>
      </c>
      <c r="SZ20" t="n">
        <v>132.8351769108255</v>
      </c>
      <c r="TA20" t="n">
        <v>135.6120730242355</v>
      </c>
      <c r="TB20" t="n">
        <v>136.7190521012724</v>
      </c>
      <c r="TC20" t="n">
        <v>134.1859230107209</v>
      </c>
      <c r="TD20" t="n">
        <v>137.1989501033777</v>
      </c>
      <c r="TE20" t="n">
        <v>136.2431308411027</v>
      </c>
      <c r="TF20" t="n">
        <v>133.9733803183813</v>
      </c>
      <c r="TG20" t="n">
        <v>134.5442559354709</v>
      </c>
      <c r="TH20" t="n">
        <v>136.6715764879692</v>
      </c>
      <c r="TI20" t="n">
        <v>136.2503367566982</v>
      </c>
      <c r="TJ20" t="n">
        <v>134.791622087332</v>
      </c>
      <c r="TK20" t="n">
        <v>135.2105999464117</v>
      </c>
      <c r="TL20" t="n">
        <v>135.1424958617777</v>
      </c>
      <c r="TM20" t="n">
        <v>136.1972389490818</v>
      </c>
      <c r="TN20" t="n">
        <v>135.0272379100639</v>
      </c>
      <c r="TO20" t="n">
        <v>134.4229152013355</v>
      </c>
      <c r="TP20" t="n">
        <v>138.5652402629764</v>
      </c>
      <c r="TQ20" t="n">
        <v>140.3529299988399</v>
      </c>
      <c r="TR20" t="n">
        <v>139.5486328970024</v>
      </c>
      <c r="TS20" t="n">
        <v>136.5556801122869</v>
      </c>
      <c r="TT20" t="n">
        <v>135.3611518335726</v>
      </c>
      <c r="TU20" t="n">
        <v>137.9943512453108</v>
      </c>
      <c r="TV20" t="n">
        <v>136.1177943118521</v>
      </c>
      <c r="TW20" t="n">
        <v>134.8286925464299</v>
      </c>
      <c r="TX20" t="n">
        <v>136.0651432688606</v>
      </c>
      <c r="TY20" t="n">
        <v>137.9443442806111</v>
      </c>
      <c r="TZ20" t="n">
        <v>138.1604246841192</v>
      </c>
      <c r="UA20" t="n">
        <v>137.4057276454805</v>
      </c>
      <c r="UB20" t="n">
        <v>135.650680565574</v>
      </c>
      <c r="UC20" t="n">
        <v>135.8854934236806</v>
      </c>
      <c r="UD20" t="n">
        <v>136.3053218225588</v>
      </c>
      <c r="UE20" t="n">
        <v>138.5140031724178</v>
      </c>
      <c r="UF20" t="n">
        <v>134.9221502005219</v>
      </c>
      <c r="UG20" t="n">
        <v>138.9908638655151</v>
      </c>
      <c r="UH20" t="n">
        <v>138.4780309570349</v>
      </c>
      <c r="UI20" t="n">
        <v>137.8092482773726</v>
      </c>
      <c r="UJ20" t="n">
        <v>134.9985141537416</v>
      </c>
      <c r="UK20" t="n">
        <v>136.1670792107495</v>
      </c>
      <c r="UL20" t="n">
        <v>135.0626844612574</v>
      </c>
      <c r="UM20" t="n">
        <v>138.8665957163603</v>
      </c>
      <c r="UN20" t="n">
        <v>136.9586309431318</v>
      </c>
      <c r="UO20" t="n">
        <v>139.6610687066863</v>
      </c>
      <c r="UP20" t="n">
        <v>135.2339248280181</v>
      </c>
      <c r="UQ20" t="n">
        <v>139.7443055388139</v>
      </c>
      <c r="UR20" t="n">
        <v>139.1593992591745</v>
      </c>
      <c r="US20" t="n">
        <v>138.7587106155069</v>
      </c>
      <c r="UT20" t="n">
        <v>138.1057316885897</v>
      </c>
      <c r="UU20" t="n">
        <v>138.2358862931975</v>
      </c>
      <c r="UV20" t="n">
        <v>139.2450780360113</v>
      </c>
      <c r="UW20" t="n">
        <v>135.0888668073453</v>
      </c>
      <c r="UX20" t="n">
        <v>137.6509334376411</v>
      </c>
      <c r="UY20" t="n">
        <v>133.947178164202</v>
      </c>
      <c r="UZ20" t="n">
        <v>135.6162789642652</v>
      </c>
      <c r="VA20" t="n">
        <v>135.203125496386</v>
      </c>
      <c r="VB20" t="n">
        <v>136.0100428719329</v>
      </c>
      <c r="VC20" t="n">
        <v>140.3716893545918</v>
      </c>
      <c r="VD20" t="n">
        <v>138.279677497356</v>
      </c>
      <c r="VE20" t="n">
        <v>138.2827018162272</v>
      </c>
      <c r="VF20" t="n">
        <v>138.0325159354117</v>
      </c>
      <c r="VG20" t="n">
        <v>136.3985935525357</v>
      </c>
      <c r="VH20" t="n">
        <v>137.5149975110897</v>
      </c>
      <c r="VI20" t="n">
        <v>136.3554592590446</v>
      </c>
      <c r="VJ20" t="n">
        <v>135.4108572324442</v>
      </c>
      <c r="VK20" t="n">
        <v>136.2904970519677</v>
      </c>
      <c r="VL20" t="n">
        <v>138.9106791445737</v>
      </c>
      <c r="VM20" t="n">
        <v>134.8905798858662</v>
      </c>
      <c r="VN20" t="n">
        <v>137.4062005890461</v>
      </c>
      <c r="VO20" t="n">
        <v>137.6997721946874</v>
      </c>
      <c r="VP20" t="n">
        <v>136.3663238136752</v>
      </c>
      <c r="VQ20" t="n">
        <v>133.8326917790496</v>
      </c>
      <c r="VR20" t="n">
        <v>139.6188443915344</v>
      </c>
      <c r="VS20" t="n">
        <v>135.2727350789654</v>
      </c>
      <c r="VT20" t="n">
        <v>138.7211605450267</v>
      </c>
      <c r="VU20" t="n">
        <v>138.7948576009649</v>
      </c>
      <c r="VV20" t="n">
        <v>141.3654630426302</v>
      </c>
      <c r="VW20" t="n">
        <v>137.8171321917636</v>
      </c>
      <c r="VX20" t="n">
        <v>133.0458872726467</v>
      </c>
      <c r="VY20" t="n">
        <v>134.260752272649</v>
      </c>
      <c r="VZ20" t="n">
        <v>133.687850105745</v>
      </c>
      <c r="WA20" t="n">
        <v>137.1194855451585</v>
      </c>
      <c r="WB20" t="n">
        <v>138.0892886597783</v>
      </c>
      <c r="WC20" t="n">
        <v>139.1058722921873</v>
      </c>
      <c r="WD20" t="n">
        <v>137.5622314321073</v>
      </c>
      <c r="WE20" t="n">
        <v>138.2599737432378</v>
      </c>
      <c r="WF20" t="n">
        <v>134.5382282135666</v>
      </c>
      <c r="WG20" t="n">
        <v>136.824551478658</v>
      </c>
      <c r="WH20" t="n">
        <v>136.2785761164617</v>
      </c>
      <c r="WI20" t="n">
        <v>137.8269636687187</v>
      </c>
      <c r="WJ20" t="n">
        <v>134.780590069573</v>
      </c>
      <c r="WK20" t="n">
        <v>136.5963743208291</v>
      </c>
      <c r="WL20" t="n">
        <v>137.3487658201583</v>
      </c>
      <c r="WM20" t="n">
        <v>136.0391774057966</v>
      </c>
      <c r="WN20" t="n">
        <v>132.9981005623255</v>
      </c>
      <c r="WO20" t="n">
        <v>134.9973137516125</v>
      </c>
      <c r="WP20" t="n">
        <v>139.4898487802077</v>
      </c>
      <c r="WQ20" t="n">
        <v>134.2226033430713</v>
      </c>
      <c r="WR20" t="n">
        <v>139.7369744762255</v>
      </c>
      <c r="WS20" t="n">
        <v>136.3403033811251</v>
      </c>
      <c r="WT20" t="n">
        <v>137.6673244201453</v>
      </c>
      <c r="WU20" t="n">
        <v>133.7046269590428</v>
      </c>
      <c r="WV20" t="n">
        <v>134.5967883582311</v>
      </c>
      <c r="WW20" t="n">
        <v>139.2309693080896</v>
      </c>
      <c r="WX20" t="n">
        <v>135.4151869606626</v>
      </c>
      <c r="WY20" t="n">
        <v>137.2527998797115</v>
      </c>
      <c r="WZ20" t="n">
        <v>132.7312476421287</v>
      </c>
      <c r="XA20" t="n">
        <v>138.225906199936</v>
      </c>
      <c r="XB20" t="n">
        <v>135.8839116999386</v>
      </c>
      <c r="XC20" t="n">
        <v>141.8701357202798</v>
      </c>
      <c r="XD20" t="n">
        <v>135.5828899843208</v>
      </c>
      <c r="XE20" t="n">
        <v>132.7695797656936</v>
      </c>
      <c r="XF20" t="n">
        <v>135.3882474306218</v>
      </c>
      <c r="XG20" t="n">
        <v>130.8684879359554</v>
      </c>
      <c r="XH20" t="n">
        <v>134.0265763437001</v>
      </c>
      <c r="XI20" t="n">
        <v>135.8201928069077</v>
      </c>
      <c r="XJ20" t="n">
        <v>135.7115442902856</v>
      </c>
      <c r="XK20" t="n">
        <v>137.1958405104679</v>
      </c>
      <c r="XL20" t="n">
        <v>135.8709897713702</v>
      </c>
      <c r="XM20" t="n">
        <v>134.6688702027763</v>
      </c>
      <c r="XN20" t="n">
        <v>137.3198144763604</v>
      </c>
      <c r="XO20" t="n">
        <v>135.2051591469481</v>
      </c>
      <c r="XP20" t="n">
        <v>135.5357754734621</v>
      </c>
      <c r="XQ20" t="n">
        <v>134.1821036091526</v>
      </c>
      <c r="XR20" t="n">
        <v>130.6804435982451</v>
      </c>
      <c r="XS20" t="n">
        <v>133.0121319569087</v>
      </c>
      <c r="XT20" t="n">
        <v>134.1439251386802</v>
      </c>
      <c r="XU20" t="n">
        <v>132.5816177861892</v>
      </c>
      <c r="XV20" t="n">
        <v>135.1335156361335</v>
      </c>
      <c r="XW20" t="n">
        <v>133.2199252177307</v>
      </c>
      <c r="XX20" t="n">
        <v>133.2940227337052</v>
      </c>
      <c r="XY20" t="n">
        <v>132.0751395688094</v>
      </c>
      <c r="XZ20" t="n">
        <v>133.5918232079704</v>
      </c>
      <c r="YA20" t="n">
        <v>134.1999154726701</v>
      </c>
      <c r="YB20" t="n">
        <v>134.8432103779064</v>
      </c>
      <c r="YC20" t="n">
        <v>130.3691568442313</v>
      </c>
      <c r="YD20" t="n">
        <v>132.5511246288026</v>
      </c>
      <c r="YE20" t="n">
        <v>134.8495112466342</v>
      </c>
      <c r="YF20" t="n">
        <v>132.7244084339943</v>
      </c>
      <c r="YG20" t="n">
        <v>131.3378052496804</v>
      </c>
      <c r="YH20" t="n">
        <v>131.0551920142913</v>
      </c>
      <c r="YI20" t="n">
        <v>134.2677139444918</v>
      </c>
      <c r="YJ20" t="n">
        <v>131.0452068308809</v>
      </c>
      <c r="YK20" t="n">
        <v>130.9399322826544</v>
      </c>
      <c r="YL20" t="n">
        <v>129.4723110129708</v>
      </c>
      <c r="YM20" t="n">
        <v>131.450105156173</v>
      </c>
      <c r="YN20" t="n">
        <v>130.5885564586056</v>
      </c>
      <c r="YO20" t="n">
        <v>131.3896958141017</v>
      </c>
      <c r="YP20" t="n">
        <v>131.7450718354439</v>
      </c>
      <c r="YQ20" t="n">
        <v>132.3689262468143</v>
      </c>
      <c r="YR20" t="n">
        <v>129.344855223485</v>
      </c>
      <c r="YS20" t="n">
        <v>131.763817785689</v>
      </c>
      <c r="YT20" t="n">
        <v>132.6364329949299</v>
      </c>
      <c r="YU20" t="n">
        <v>129.8515951908221</v>
      </c>
      <c r="YV20" t="n">
        <v>132.0336403680327</v>
      </c>
      <c r="YW20" t="n">
        <v>130.3919479095967</v>
      </c>
      <c r="YX20" t="n">
        <v>130.9146581589813</v>
      </c>
      <c r="YY20" t="n">
        <v>130.5342243579521</v>
      </c>
      <c r="YZ20" t="n">
        <v>129.9783811831393</v>
      </c>
      <c r="ZA20" t="n">
        <v>129.7919556828401</v>
      </c>
      <c r="ZB20" t="n">
        <v>132.7223513700825</v>
      </c>
      <c r="ZC20" t="n">
        <v>133.990174569182</v>
      </c>
      <c r="ZD20" t="n">
        <v>133.1454718262069</v>
      </c>
      <c r="ZE20" t="n">
        <v>133.0785442391634</v>
      </c>
      <c r="ZF20" t="n">
        <v>130.6488727665304</v>
      </c>
      <c r="ZG20" t="n">
        <v>131.4764926857079</v>
      </c>
      <c r="ZH20" t="n">
        <v>132.2778562129093</v>
      </c>
      <c r="ZI20" t="n">
        <v>130.9669748928443</v>
      </c>
      <c r="ZJ20" t="n">
        <v>131.9898582282945</v>
      </c>
      <c r="ZK20" t="n">
        <v>131.3033932274197</v>
      </c>
      <c r="ZL20" t="n">
        <v>132.8218590573599</v>
      </c>
      <c r="ZM20" t="n">
        <v>129.7809391119781</v>
      </c>
      <c r="ZN20" t="n">
        <v>131.3888343151424</v>
      </c>
      <c r="ZO20" t="n">
        <v>132.2061146867765</v>
      </c>
      <c r="ZP20" t="n">
        <v>132.7218831708648</v>
      </c>
      <c r="ZQ20" t="n">
        <v>130.6404835466598</v>
      </c>
      <c r="ZR20" t="n">
        <v>130.5844119300544</v>
      </c>
      <c r="ZS20" t="n">
        <v>131.3191505073898</v>
      </c>
      <c r="ZT20" t="n">
        <v>131.5814178091668</v>
      </c>
      <c r="ZU20" t="n">
        <v>132.8018664522169</v>
      </c>
      <c r="ZV20" t="n">
        <v>133.5607067814707</v>
      </c>
      <c r="ZW20" t="n">
        <v>132.3066585258403</v>
      </c>
      <c r="ZX20" t="n">
        <v>135.1257897176112</v>
      </c>
      <c r="ZY20" t="n">
        <v>133.8461937087772</v>
      </c>
      <c r="ZZ20" t="n">
        <v>133.8781772527632</v>
      </c>
      <c r="AAA20" t="n">
        <v>133.2333126901366</v>
      </c>
      <c r="AAB20" t="n">
        <v>133.6761332868879</v>
      </c>
      <c r="AAC20" t="n">
        <v>135.1956073836555</v>
      </c>
      <c r="AAD20" t="n">
        <v>134.2114538777864</v>
      </c>
      <c r="AAE20" t="n">
        <v>133.6801682091684</v>
      </c>
      <c r="AAF20" t="n">
        <v>134.5912785995295</v>
      </c>
      <c r="AAG20" t="n">
        <v>133.9699308128201</v>
      </c>
      <c r="AAH20" t="n">
        <v>133.1080224357422</v>
      </c>
      <c r="AAI20" t="n">
        <v>134.8186565083085</v>
      </c>
      <c r="AAJ20" t="n">
        <v>134.9002943073563</v>
      </c>
      <c r="AAK20" t="n">
        <v>135.2778182473919</v>
      </c>
      <c r="AAL20" t="n">
        <v>133.2603831950873</v>
      </c>
      <c r="AAM20" t="n">
        <v>133.7884693179213</v>
      </c>
      <c r="AAN20" t="n">
        <v>133.339062051599</v>
      </c>
      <c r="AAO20" t="n">
        <v>133.5605104421215</v>
      </c>
      <c r="AAP20" t="n">
        <v>131.753057731011</v>
      </c>
      <c r="AAQ20" t="n">
        <v>132.3403712906787</v>
      </c>
      <c r="AAR20" t="n">
        <v>132.5204608516333</v>
      </c>
      <c r="AAS20" t="n">
        <v>134.537798192129</v>
      </c>
      <c r="AAT20" t="n">
        <v>132.080112892587</v>
      </c>
      <c r="AAU20" t="n">
        <v>131.7508659444476</v>
      </c>
      <c r="AAV20" t="n">
        <v>131.0250919582728</v>
      </c>
      <c r="AAW20" t="n">
        <v>129.7646743962307</v>
      </c>
      <c r="AAX20" t="n">
        <v>130.5079431305569</v>
      </c>
      <c r="AAY20" t="n">
        <v>133.8919577152778</v>
      </c>
      <c r="AAZ20" t="n">
        <v>135.5075247100525</v>
      </c>
      <c r="ABA20" t="n">
        <v>134.4383872751789</v>
      </c>
      <c r="ABB20" t="n">
        <v>136.903001434936</v>
      </c>
      <c r="ABC20" t="n">
        <v>135.4574681995059</v>
      </c>
      <c r="ABD20" t="n">
        <v>135.7628407843588</v>
      </c>
      <c r="ABE20" t="n">
        <v>136.4289592271626</v>
      </c>
      <c r="ABF20" t="n">
        <v>137.0129132866516</v>
      </c>
      <c r="ABG20" t="n">
        <v>134.7607750197569</v>
      </c>
      <c r="ABH20" t="n">
        <v>135.6059980266806</v>
      </c>
      <c r="ABI20" t="n">
        <v>135.8350763240662</v>
      </c>
      <c r="ABJ20" t="n">
        <v>135.0027781500835</v>
      </c>
      <c r="ABK20" t="n">
        <v>135.6928717857321</v>
      </c>
      <c r="ABL20" t="n">
        <v>135.9756607485685</v>
      </c>
      <c r="ABM20" t="n">
        <v>136.1489407291564</v>
      </c>
      <c r="ABN20" t="n">
        <v>135.2225541707756</v>
      </c>
      <c r="ABO20" t="n">
        <v>135.5754151263383</v>
      </c>
      <c r="ABP20" t="n">
        <v>134.696050054058</v>
      </c>
      <c r="ABQ20" t="n">
        <v>135.5985219423472</v>
      </c>
      <c r="ABR20" t="n">
        <v>136.3010277073767</v>
      </c>
      <c r="ABS20" t="n">
        <v>135.2613648072201</v>
      </c>
      <c r="ABT20" t="n">
        <v>135.6528048003423</v>
      </c>
      <c r="ABU20" t="n">
        <v>134.633984119401</v>
      </c>
      <c r="ABV20" t="n">
        <v>134.7955018547018</v>
      </c>
      <c r="ABW20" t="n">
        <v>135.447855247916</v>
      </c>
      <c r="ABX20" t="n">
        <v>136.4497462468057</v>
      </c>
      <c r="ABY20" t="n">
        <v>134.8249333993157</v>
      </c>
      <c r="ABZ20" t="n">
        <v>134.366475618136</v>
      </c>
      <c r="ACA20" t="n">
        <v>134.89592163968</v>
      </c>
      <c r="ACB20" t="n">
        <v>134.7783096167774</v>
      </c>
      <c r="ACC20" t="n">
        <v>134.4338004533808</v>
      </c>
      <c r="ACD20" t="n">
        <v>134.425841415644</v>
      </c>
      <c r="ACE20" t="n">
        <v>134.381042241968</v>
      </c>
      <c r="ACF20" t="n">
        <v>134.6068193391397</v>
      </c>
      <c r="ACG20" t="n">
        <v>134.8567699701003</v>
      </c>
      <c r="ACH20" t="n">
        <v>134.1677067150372</v>
      </c>
      <c r="ACI20" t="n">
        <v>136.2396993026535</v>
      </c>
      <c r="ACJ20" t="n">
        <v>137.6545375276684</v>
      </c>
      <c r="ACK20" t="n">
        <v>134.6335286913657</v>
      </c>
      <c r="ACL20" t="n">
        <v>134.5790984504092</v>
      </c>
      <c r="ACM20" t="n">
        <v>135.0345515042069</v>
      </c>
      <c r="ACN20" t="n">
        <v>134.5836643480591</v>
      </c>
      <c r="ACO20" t="n">
        <v>133.5005614726349</v>
      </c>
      <c r="ACP20" t="n">
        <v>134.8045475811993</v>
      </c>
      <c r="ACQ20" t="n">
        <v>135.2506593536054</v>
      </c>
      <c r="ACR20" t="n">
        <v>134.591069676867</v>
      </c>
      <c r="ACS20" t="n">
        <v>134.3878063228592</v>
      </c>
      <c r="ACT20" t="n">
        <v>133.9420260681442</v>
      </c>
      <c r="ACU20" t="n">
        <v>133.6178608367497</v>
      </c>
      <c r="ACV20" t="n">
        <v>133.1007442533552</v>
      </c>
      <c r="ACW20" t="n">
        <v>133.8305446342343</v>
      </c>
      <c r="ACX20" t="n">
        <v>134.1464875203432</v>
      </c>
      <c r="ACY20" t="n">
        <v>130.9279564721663</v>
      </c>
      <c r="ACZ20" t="n">
        <v>129.7813392389512</v>
      </c>
      <c r="ADA20" t="n">
        <v>130.0867147497677</v>
      </c>
      <c r="ADB20" t="n">
        <v>131.9420272495782</v>
      </c>
      <c r="ADC20" t="n">
        <v>134.1558124226585</v>
      </c>
      <c r="ADD20" t="n">
        <v>133.6579383014547</v>
      </c>
      <c r="ADE20" t="n">
        <v>133.7993321636723</v>
      </c>
      <c r="ADF20" t="n">
        <v>134.6598028054035</v>
      </c>
      <c r="ADG20" t="n">
        <v>136.9780410262741</v>
      </c>
      <c r="ADH20" t="n">
        <v>134.4895187790264</v>
      </c>
      <c r="ADI20" t="n">
        <v>133.69251041076</v>
      </c>
      <c r="ADJ20" t="n">
        <v>133.5273273967048</v>
      </c>
      <c r="ADK20" t="n">
        <v>134.7268269656642</v>
      </c>
      <c r="ADL20" t="n">
        <v>132.8831639301468</v>
      </c>
      <c r="ADM20" t="n">
        <v>133.8269500919846</v>
      </c>
      <c r="ADN20" t="n">
        <v>134.0297410648938</v>
      </c>
      <c r="ADO20" t="n">
        <v>133.0497535592002</v>
      </c>
      <c r="ADP20" t="n">
        <v>134.1896516792099</v>
      </c>
      <c r="ADQ20" t="n">
        <v>134.8060142503449</v>
      </c>
      <c r="ADR20" t="n">
        <v>134.6319495501901</v>
      </c>
      <c r="ADS20" t="n">
        <v>134.3824634686575</v>
      </c>
      <c r="ADT20" t="n">
        <v>135.5745355515744</v>
      </c>
      <c r="ADU20" t="n">
        <v>135.912873678633</v>
      </c>
      <c r="ADV20" t="n">
        <v>136.1572256097919</v>
      </c>
      <c r="ADW20" t="n">
        <v>136.2577183597038</v>
      </c>
      <c r="ADX20" t="n">
        <v>136.4607801274354</v>
      </c>
      <c r="ADY20" t="n">
        <v>137.6671788476387</v>
      </c>
      <c r="ADZ20" t="n">
        <v>137.6638282305468</v>
      </c>
      <c r="AEA20" t="n">
        <v>137.9406248851142</v>
      </c>
      <c r="AEB20" t="n">
        <v>137.5878106429721</v>
      </c>
      <c r="AEC20" t="n">
        <v>138.3526693536637</v>
      </c>
      <c r="AED20" t="n">
        <v>137.7588392759353</v>
      </c>
      <c r="AEE20" t="n">
        <v>137.344772065189</v>
      </c>
      <c r="AEF20" t="n">
        <v>137.7084460186003</v>
      </c>
      <c r="AEG20" t="n">
        <v>138.1560889517246</v>
      </c>
      <c r="AEH20" t="n">
        <v>137.6596037283533</v>
      </c>
      <c r="AEI20" t="n">
        <v>138.7865574969176</v>
      </c>
      <c r="AEJ20" t="n">
        <v>137.8912395043208</v>
      </c>
      <c r="AEK20" t="n">
        <v>137.7475307074315</v>
      </c>
      <c r="AEL20" t="n">
        <v>138.642422774493</v>
      </c>
      <c r="AEM20" t="n">
        <v>137.7237186079225</v>
      </c>
      <c r="AEN20" t="n">
        <v>138.3402761024159</v>
      </c>
      <c r="AEO20" t="n">
        <v>137.7849557368618</v>
      </c>
      <c r="AEP20" t="n">
        <v>138.1436941835497</v>
      </c>
      <c r="AEQ20" t="n">
        <v>138.1947067526311</v>
      </c>
      <c r="AER20" t="n">
        <v>136.8614782576113</v>
      </c>
      <c r="AES20" t="n">
        <v>137.7959957228347</v>
      </c>
      <c r="AET20" t="n">
        <v>137.4918817487213</v>
      </c>
      <c r="AEU20" t="n">
        <v>138.7317417103269</v>
      </c>
      <c r="AEV20" t="n">
        <v>138.307892148925</v>
      </c>
      <c r="AEW20" t="n">
        <v>139.9419999481575</v>
      </c>
      <c r="AEX20" t="n">
        <v>141.1086782347839</v>
      </c>
      <c r="AEY20" t="n">
        <v>141.9913233337075</v>
      </c>
      <c r="AEZ20" t="n">
        <v>141.2199638148764</v>
      </c>
      <c r="AFA20" t="n">
        <v>141.0532972728388</v>
      </c>
      <c r="AFB20" t="n">
        <v>140.9782453488411</v>
      </c>
      <c r="AFC20" t="n">
        <v>141.2767432812711</v>
      </c>
      <c r="AFD20" t="n">
        <v>140.3952758181819</v>
      </c>
      <c r="AFE20" t="n">
        <v>140.8901920808972</v>
      </c>
      <c r="AFF20" t="n">
        <v>141.5849861164981</v>
      </c>
      <c r="AFG20" t="n">
        <v>140.7804010657958</v>
      </c>
      <c r="AFH20" t="n">
        <v>140.8696166328542</v>
      </c>
      <c r="AFI20" t="n">
        <v>141.3651303401348</v>
      </c>
      <c r="AFJ20" t="n">
        <v>141.0662977758231</v>
      </c>
      <c r="AFK20" t="n">
        <v>141.8470013864981</v>
      </c>
      <c r="AFL20" t="n">
        <v>142.0930675259664</v>
      </c>
      <c r="AFM20" t="n">
        <v>141.634695602616</v>
      </c>
      <c r="AFN20" t="n">
        <v>141.821471049495</v>
      </c>
      <c r="AFO20" t="n">
        <v>141.5287937740804</v>
      </c>
      <c r="AFP20" t="n">
        <v>140.350360437976</v>
      </c>
      <c r="AFQ20" t="n">
        <v>141.6945164259612</v>
      </c>
      <c r="AFR20" t="n">
        <v>141.4488413622417</v>
      </c>
      <c r="AFS20" t="n">
        <v>139.9841592926033</v>
      </c>
      <c r="AFT20" t="n">
        <v>140.6645309073478</v>
      </c>
      <c r="AFU20" t="n">
        <v>139.7038346181507</v>
      </c>
      <c r="AFV20" t="n">
        <v>140.1390227184517</v>
      </c>
      <c r="AFW20" t="n">
        <v>140.9953506931562</v>
      </c>
      <c r="AFX20" t="n">
        <v>141.2235876833232</v>
      </c>
      <c r="AFY20" t="n">
        <v>140.5742698760335</v>
      </c>
      <c r="AFZ20" t="n">
        <v>139.8946089597799</v>
      </c>
      <c r="AGA20" t="n">
        <v>140.1793492312201</v>
      </c>
      <c r="AGB20" t="n">
        <v>139.3687920447239</v>
      </c>
      <c r="AGC20" t="n">
        <v>140.1859675155658</v>
      </c>
      <c r="AGD20" t="n">
        <v>141.1926039276997</v>
      </c>
      <c r="AGE20" t="n">
        <v>140.0340052632387</v>
      </c>
      <c r="AGF20" t="n">
        <v>140.2993532525525</v>
      </c>
      <c r="AGG20" t="n">
        <v>139.2783520981222</v>
      </c>
      <c r="AGH20" t="n">
        <v>139.0831473746066</v>
      </c>
      <c r="AGI20" t="n">
        <v>139.9413388781153</v>
      </c>
      <c r="AGJ20" t="n">
        <v>140.9593108350223</v>
      </c>
      <c r="AGK20" t="n">
        <v>141.2799068503278</v>
      </c>
      <c r="AGL20" t="n">
        <v>140.6934405281307</v>
      </c>
      <c r="AGM20" t="n">
        <v>140.6013368445008</v>
      </c>
      <c r="AGN20" t="n">
        <v>142.2022113863568</v>
      </c>
      <c r="AGO20" t="n">
        <v>140.510138804972</v>
      </c>
      <c r="AGP20" t="n">
        <v>141.0889506869205</v>
      </c>
      <c r="AGQ20" t="n">
        <v>141.3016488525717</v>
      </c>
      <c r="AGR20" t="n">
        <v>140.881669812896</v>
      </c>
      <c r="AGS20" t="n">
        <v>140.8442969461179</v>
      </c>
      <c r="AGT20" t="n">
        <v>141.8644570284482</v>
      </c>
      <c r="AGU20" t="n">
        <v>140.4741183888102</v>
      </c>
      <c r="AGV20" t="n">
        <v>140.0535094264261</v>
      </c>
      <c r="AGW20" t="n">
        <v>139.060466473681</v>
      </c>
      <c r="AGX20" t="n">
        <v>138.5025973160396</v>
      </c>
      <c r="AGY20" t="n">
        <v>139.1385234060122</v>
      </c>
      <c r="AGZ20" t="n">
        <v>138.6235435221154</v>
      </c>
      <c r="AHA20" t="n">
        <v>137.9569770294203</v>
      </c>
      <c r="AHB20" t="n">
        <v>138.1518223462216</v>
      </c>
      <c r="AHC20" t="n">
        <v>138.736540153476</v>
      </c>
      <c r="AHD20" t="n">
        <v>139.2408672198542</v>
      </c>
      <c r="AHE20" t="n">
        <v>138.4692813153832</v>
      </c>
      <c r="AHF20" t="n">
        <v>138.1121323930207</v>
      </c>
      <c r="AHG20" t="n">
        <v>138.8248779096205</v>
      </c>
      <c r="AHH20" t="n">
        <v>137.5655055561194</v>
      </c>
      <c r="AHI20" t="n">
        <v>141.8781679777349</v>
      </c>
    </row>
    <row r="21">
      <c r="A21" s="6" t="inlineStr">
        <is>
          <t>Model Score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</row>
    <row r="22">
      <c r="A22" s="4" t="inlineStr">
        <is>
          <t>Gross Loss Adjustments (Dealer level, high PTI, etc.)</t>
        </is>
      </c>
      <c r="B22" t="n">
        <v>-0.7992693658340215</v>
      </c>
      <c r="C22" t="n">
        <v>-0.9993241735832044</v>
      </c>
      <c r="D22" t="n">
        <v>-1.290629634154698</v>
      </c>
      <c r="E22" t="n">
        <v>-0.9593352706129963</v>
      </c>
      <c r="F22" t="n">
        <v>-1.405961891728111</v>
      </c>
      <c r="G22" t="n">
        <v>-1.169119749106585</v>
      </c>
      <c r="H22" t="n">
        <v>-0.9686027335937979</v>
      </c>
      <c r="I22" t="n">
        <v>-1.433428488915382</v>
      </c>
      <c r="J22" t="n">
        <v>-1.337139495874567</v>
      </c>
      <c r="K22" t="n">
        <v>-1.168388332992379</v>
      </c>
      <c r="L22" t="n">
        <v>-1.388159718871435</v>
      </c>
      <c r="M22" t="n">
        <v>-1.252137546667939</v>
      </c>
      <c r="N22" t="n">
        <v>-1.249589875207619</v>
      </c>
      <c r="O22" t="n">
        <v>-1.386537431266504</v>
      </c>
      <c r="P22" t="n">
        <v>-1.122110214423714</v>
      </c>
      <c r="Q22" t="n">
        <v>-0.8047837696447289</v>
      </c>
      <c r="R22" t="n">
        <v>-0.7628703911325374</v>
      </c>
      <c r="S22" t="n">
        <v>-0.543694056297511</v>
      </c>
      <c r="T22" t="n">
        <v>-0.7230640799654111</v>
      </c>
      <c r="U22" t="n">
        <v>-0.7254644139504762</v>
      </c>
      <c r="V22" t="n">
        <v>-0.9753464219817829</v>
      </c>
      <c r="W22" t="n">
        <v>-1.215489262618377</v>
      </c>
      <c r="QF22" t="n">
        <v>-0.7992693658340215</v>
      </c>
      <c r="QG22" t="n">
        <v>-0.9993241735832044</v>
      </c>
      <c r="QH22" t="n">
        <v>-1.290629634154698</v>
      </c>
      <c r="QI22" t="n">
        <v>-0.9593352706129963</v>
      </c>
      <c r="QJ22" t="n">
        <v>-1.405961891728111</v>
      </c>
      <c r="QK22" t="n">
        <v>-1.169119749106585</v>
      </c>
      <c r="QL22" t="n">
        <v>-0.9686027335937979</v>
      </c>
      <c r="QM22" t="n">
        <v>-1.433428488915382</v>
      </c>
      <c r="QN22" t="n">
        <v>-1.337139495874567</v>
      </c>
      <c r="QO22" t="n">
        <v>-1.168388332992379</v>
      </c>
      <c r="QP22" t="n">
        <v>-1.388159718871435</v>
      </c>
      <c r="QQ22" t="n">
        <v>-1.252137546667939</v>
      </c>
      <c r="QR22" t="n">
        <v>-1.249589875207619</v>
      </c>
      <c r="QS22" t="n">
        <v>-1.386537431266504</v>
      </c>
      <c r="QT22" t="n">
        <v>-1.122110214423714</v>
      </c>
      <c r="QU22" t="n">
        <v>-0.8047837696447289</v>
      </c>
      <c r="QV22" t="n">
        <v>-0.7628703911325374</v>
      </c>
      <c r="QW22" t="n">
        <v>-0.543694056297511</v>
      </c>
      <c r="QX22" t="n">
        <v>-0.7230640799654111</v>
      </c>
      <c r="QY22" t="n">
        <v>-0.7254644139504762</v>
      </c>
      <c r="QZ22" t="n">
        <v>-0.9753464219817829</v>
      </c>
      <c r="RA22" t="n">
        <v>-1.215489262618377</v>
      </c>
    </row>
    <row r="23" ht="24" customHeight="1" s="115">
      <c r="A23" s="3" t="inlineStr">
        <is>
          <t>Recovery Adjustments excluding LTV (Mileage, vehicle type, etc.)</t>
        </is>
      </c>
      <c r="B23" t="n">
        <v>-1.627902413963682</v>
      </c>
      <c r="C23" t="n">
        <v>-1.606113538228271</v>
      </c>
      <c r="D23" t="n">
        <v>-1.756199999689301</v>
      </c>
      <c r="E23" t="n">
        <v>-2.078394525798927</v>
      </c>
      <c r="F23" t="n">
        <v>-1.861623175401434</v>
      </c>
      <c r="G23" t="n">
        <v>-1.839681405438739</v>
      </c>
      <c r="H23" t="n">
        <v>-2.030943090957408</v>
      </c>
      <c r="I23" t="n">
        <v>-1.900514212648716</v>
      </c>
      <c r="J23" t="n">
        <v>-1.879088366792104</v>
      </c>
      <c r="K23" t="n">
        <v>-1.897248519562936</v>
      </c>
      <c r="L23" t="n">
        <v>-2.086877154657884</v>
      </c>
      <c r="M23" t="n">
        <v>-1.605600325237049</v>
      </c>
      <c r="N23" t="n">
        <v>-1.974459840143936</v>
      </c>
      <c r="O23" t="n">
        <v>-2.264311044399903</v>
      </c>
      <c r="P23" t="n">
        <v>-2.038344418442875</v>
      </c>
      <c r="Q23" t="n">
        <v>-1.906586974194028</v>
      </c>
      <c r="R23" t="n">
        <v>-1.660593828628009</v>
      </c>
      <c r="S23" t="n">
        <v>-1.694634781252802</v>
      </c>
      <c r="T23" t="n">
        <v>-2.052296867782644</v>
      </c>
      <c r="U23" t="n">
        <v>-1.345226235943585</v>
      </c>
      <c r="V23" t="n">
        <v>-1.797536397203686</v>
      </c>
      <c r="W23" t="n">
        <v>-1.548080829926306</v>
      </c>
      <c r="QF23" t="n">
        <v>-1.627902413963682</v>
      </c>
      <c r="QG23" t="n">
        <v>-1.606113538228271</v>
      </c>
      <c r="QH23" t="n">
        <v>-1.756199999689301</v>
      </c>
      <c r="QI23" t="n">
        <v>-2.078394525798927</v>
      </c>
      <c r="QJ23" t="n">
        <v>-1.861623175401434</v>
      </c>
      <c r="QK23" t="n">
        <v>-1.839681405438739</v>
      </c>
      <c r="QL23" t="n">
        <v>-2.030943090957408</v>
      </c>
      <c r="QM23" t="n">
        <v>-1.900514212648716</v>
      </c>
      <c r="QN23" t="n">
        <v>-1.879088366792104</v>
      </c>
      <c r="QO23" t="n">
        <v>-1.897248519562936</v>
      </c>
      <c r="QP23" t="n">
        <v>-2.086877154657884</v>
      </c>
      <c r="QQ23" t="n">
        <v>-1.605600325237049</v>
      </c>
      <c r="QR23" t="n">
        <v>-1.974459840143936</v>
      </c>
      <c r="QS23" t="n">
        <v>-2.264311044399903</v>
      </c>
      <c r="QT23" t="n">
        <v>-2.038344418442875</v>
      </c>
      <c r="QU23" t="n">
        <v>-1.906586974194028</v>
      </c>
      <c r="QV23" t="n">
        <v>-1.660593828628009</v>
      </c>
      <c r="QW23" t="n">
        <v>-1.694634781252802</v>
      </c>
      <c r="QX23" t="n">
        <v>-2.052296867782644</v>
      </c>
      <c r="QY23" t="n">
        <v>-1.345226235943585</v>
      </c>
      <c r="QZ23" t="n">
        <v>-1.797536397203686</v>
      </c>
      <c r="RA23" t="n">
        <v>-1.548080829926306</v>
      </c>
    </row>
    <row r="24">
      <c r="A24" s="4" t="inlineStr">
        <is>
          <t>LTV Adjustments</t>
        </is>
      </c>
      <c r="B24" t="n">
        <v>1.627902413963682</v>
      </c>
      <c r="C24" t="n">
        <v>1.606113538228271</v>
      </c>
      <c r="D24" t="n">
        <v>1.756199999689301</v>
      </c>
      <c r="E24" t="n">
        <v>2.078394525798927</v>
      </c>
      <c r="F24" t="n">
        <v>1.861623175401434</v>
      </c>
      <c r="G24" t="n">
        <v>1.839681405438739</v>
      </c>
      <c r="H24" t="n">
        <v>2.030943090957408</v>
      </c>
      <c r="I24" t="n">
        <v>1.900514212648716</v>
      </c>
      <c r="J24" t="n">
        <v>1.879088366792104</v>
      </c>
      <c r="K24" t="n">
        <v>1.897248519562936</v>
      </c>
      <c r="L24" t="n">
        <v>2.086877154657884</v>
      </c>
      <c r="M24" t="n">
        <v>1.605600325237049</v>
      </c>
      <c r="N24" t="n">
        <v>1.974459840143936</v>
      </c>
      <c r="O24" t="n">
        <v>2.264311044399903</v>
      </c>
      <c r="P24" t="n">
        <v>2.038344418442875</v>
      </c>
      <c r="Q24" t="n">
        <v>1.906586974194028</v>
      </c>
      <c r="R24" t="n">
        <v>1.660593828628009</v>
      </c>
      <c r="S24" t="n">
        <v>1.694634781252802</v>
      </c>
      <c r="T24" t="n">
        <v>2.052296867782644</v>
      </c>
      <c r="U24" t="n">
        <v>1.345226235943585</v>
      </c>
      <c r="V24" t="n">
        <v>1.797536397203686</v>
      </c>
      <c r="W24" t="n">
        <v>1.548080829926306</v>
      </c>
      <c r="QF24" t="n">
        <v>1.627902413963682</v>
      </c>
      <c r="QG24" t="n">
        <v>1.606113538228271</v>
      </c>
      <c r="QH24" t="n">
        <v>1.756199999689301</v>
      </c>
      <c r="QI24" t="n">
        <v>2.078394525798927</v>
      </c>
      <c r="QJ24" t="n">
        <v>1.861623175401434</v>
      </c>
      <c r="QK24" t="n">
        <v>1.839681405438739</v>
      </c>
      <c r="QL24" t="n">
        <v>2.030943090957408</v>
      </c>
      <c r="QM24" t="n">
        <v>1.900514212648716</v>
      </c>
      <c r="QN24" t="n">
        <v>1.879088366792104</v>
      </c>
      <c r="QO24" t="n">
        <v>1.897248519562936</v>
      </c>
      <c r="QP24" t="n">
        <v>2.086877154657884</v>
      </c>
      <c r="QQ24" t="n">
        <v>1.605600325237049</v>
      </c>
      <c r="QR24" t="n">
        <v>1.974459840143936</v>
      </c>
      <c r="QS24" t="n">
        <v>2.264311044399903</v>
      </c>
      <c r="QT24" t="n">
        <v>2.038344418442875</v>
      </c>
      <c r="QU24" t="n">
        <v>1.906586974194028</v>
      </c>
      <c r="QV24" t="n">
        <v>1.660593828628009</v>
      </c>
      <c r="QW24" t="n">
        <v>1.694634781252802</v>
      </c>
      <c r="QX24" t="n">
        <v>2.052296867782644</v>
      </c>
      <c r="QY24" t="n">
        <v>1.345226235943585</v>
      </c>
      <c r="QZ24" t="n">
        <v>1.797536397203686</v>
      </c>
      <c r="RA24" t="n">
        <v>1.548080829926306</v>
      </c>
    </row>
    <row r="25">
      <c r="A25" s="3" t="inlineStr">
        <is>
          <t>RAGU Score</t>
        </is>
      </c>
      <c r="B25" t="n">
        <v>139.1005942234935</v>
      </c>
      <c r="C25" t="n">
        <v>138.2215544189529</v>
      </c>
      <c r="D25" t="n">
        <v>137.1605965272236</v>
      </c>
      <c r="E25" t="n">
        <v>138.1736169473432</v>
      </c>
      <c r="F25" t="n">
        <v>138.0012318925735</v>
      </c>
      <c r="G25" t="n">
        <v>137.6852374119949</v>
      </c>
      <c r="H25" t="n">
        <v>137.38618901431</v>
      </c>
      <c r="I25" t="n">
        <v>135.5722990407499</v>
      </c>
      <c r="J25" t="n">
        <v>136.1698896505582</v>
      </c>
      <c r="K25" t="n">
        <v>136.4000231099994</v>
      </c>
      <c r="L25" t="n">
        <v>136.3847253104629</v>
      </c>
      <c r="M25" t="n">
        <v>136.8011680693991</v>
      </c>
      <c r="N25" t="n">
        <v>137.5031194081542</v>
      </c>
      <c r="O25" t="n">
        <v>136.9504524695123</v>
      </c>
      <c r="P25" t="n">
        <v>138.8298763762395</v>
      </c>
      <c r="Q25" t="n">
        <v>140.0366934598196</v>
      </c>
      <c r="R25" t="n">
        <v>140.7126005697114</v>
      </c>
      <c r="S25" t="n">
        <v>140.680741082345</v>
      </c>
      <c r="T25" t="n">
        <v>140.0290917118229</v>
      </c>
      <c r="U25" t="n">
        <v>139.2111623908147</v>
      </c>
      <c r="V25" t="n">
        <v>139.8687581984285</v>
      </c>
      <c r="W25" t="n">
        <v>139.3432200722051</v>
      </c>
      <c r="QF25" t="n">
        <v>139.1005942234935</v>
      </c>
      <c r="QG25" t="n">
        <v>138.2215544189529</v>
      </c>
      <c r="QH25" t="n">
        <v>137.1605965272236</v>
      </c>
      <c r="QI25" t="n">
        <v>138.1736169473432</v>
      </c>
      <c r="QJ25" t="n">
        <v>138.0012318925735</v>
      </c>
      <c r="QK25" t="n">
        <v>137.6852374119949</v>
      </c>
      <c r="QL25" t="n">
        <v>137.38618901431</v>
      </c>
      <c r="QM25" t="n">
        <v>135.5722990407499</v>
      </c>
      <c r="QN25" t="n">
        <v>136.1698896505582</v>
      </c>
      <c r="QO25" t="n">
        <v>136.4000231099994</v>
      </c>
      <c r="QP25" t="n">
        <v>136.3847253104629</v>
      </c>
      <c r="QQ25" t="n">
        <v>136.8011680693991</v>
      </c>
      <c r="QR25" t="n">
        <v>137.5031194081542</v>
      </c>
      <c r="QS25" t="n">
        <v>136.9504524695123</v>
      </c>
      <c r="QT25" t="n">
        <v>138.8298763762395</v>
      </c>
      <c r="QU25" t="n">
        <v>140.0366934598196</v>
      </c>
      <c r="QV25" t="n">
        <v>140.7126005697114</v>
      </c>
      <c r="QW25" t="n">
        <v>140.680741082345</v>
      </c>
      <c r="QX25" t="n">
        <v>140.0290917118229</v>
      </c>
      <c r="QY25" t="n">
        <v>139.2111623908147</v>
      </c>
      <c r="QZ25" t="n">
        <v>139.8687581984285</v>
      </c>
      <c r="RA25" t="n">
        <v>139.3432200722051</v>
      </c>
    </row>
    <row r="26">
      <c r="A26" s="5" t="inlineStr">
        <is>
          <t>LTV</t>
        </is>
      </c>
      <c r="B26" t="n">
        <v>1.480607786846684</v>
      </c>
      <c r="C26" t="n">
        <v>1.478159374089346</v>
      </c>
      <c r="D26" t="n">
        <v>1.482522596476908</v>
      </c>
      <c r="E26" t="n">
        <v>1.443965957341556</v>
      </c>
      <c r="F26" t="n">
        <v>1.475266185549303</v>
      </c>
      <c r="G26" t="n">
        <v>1.459646987919798</v>
      </c>
      <c r="H26" t="n">
        <v>1.462023126670236</v>
      </c>
      <c r="I26" t="n">
        <v>1.503974611577258</v>
      </c>
      <c r="J26" t="n">
        <v>1.499762237987895</v>
      </c>
      <c r="K26" t="n">
        <v>1.471827477963553</v>
      </c>
      <c r="L26" t="n">
        <v>1.496412104576575</v>
      </c>
      <c r="M26" t="n">
        <v>1.457317454914093</v>
      </c>
      <c r="N26" t="n">
        <v>1.509259424092446</v>
      </c>
      <c r="O26" t="n">
        <v>1.490673429951041</v>
      </c>
      <c r="P26" t="n">
        <v>1.50795478892787</v>
      </c>
      <c r="Q26" t="n">
        <v>1.481771401873737</v>
      </c>
      <c r="R26" t="n">
        <v>1.450422304885549</v>
      </c>
      <c r="S26" t="n">
        <v>1.509290078812852</v>
      </c>
      <c r="T26" t="n">
        <v>1.474701551135069</v>
      </c>
      <c r="U26" t="n">
        <v>1.493130460803269</v>
      </c>
      <c r="V26" t="n">
        <v>1.458418096172382</v>
      </c>
      <c r="W26" t="n">
        <v>1.443465398359543</v>
      </c>
      <c r="QF26" t="n">
        <v>1.480607786846684</v>
      </c>
      <c r="QG26" t="n">
        <v>1.478159374089346</v>
      </c>
      <c r="QH26" t="n">
        <v>1.482522596476908</v>
      </c>
      <c r="QI26" t="n">
        <v>1.443965957341556</v>
      </c>
      <c r="QJ26" t="n">
        <v>1.475266185549303</v>
      </c>
      <c r="QK26" t="n">
        <v>1.459646987919798</v>
      </c>
      <c r="QL26" t="n">
        <v>1.462023126670236</v>
      </c>
      <c r="QM26" t="n">
        <v>1.503974611577258</v>
      </c>
      <c r="QN26" t="n">
        <v>1.499762237987895</v>
      </c>
      <c r="QO26" t="n">
        <v>1.471827477963553</v>
      </c>
      <c r="QP26" t="n">
        <v>1.496412104576575</v>
      </c>
      <c r="QQ26" t="n">
        <v>1.457317454914093</v>
      </c>
      <c r="QR26" t="n">
        <v>1.509259424092446</v>
      </c>
      <c r="QS26" t="n">
        <v>1.490673429951041</v>
      </c>
      <c r="QT26" t="n">
        <v>1.50795478892787</v>
      </c>
      <c r="QU26" t="n">
        <v>1.481771401873737</v>
      </c>
      <c r="QV26" t="n">
        <v>1.450422304885549</v>
      </c>
      <c r="QW26" t="n">
        <v>1.509290078812852</v>
      </c>
      <c r="QX26" t="n">
        <v>1.474701551135069</v>
      </c>
      <c r="QY26" t="n">
        <v>1.493130460803269</v>
      </c>
      <c r="QZ26" t="n">
        <v>1.458418096172382</v>
      </c>
      <c r="RA26" t="n">
        <v>1.443465398359543</v>
      </c>
    </row>
    <row r="28">
      <c r="A28" s="1" t="inlineStr">
        <is>
          <t>STG</t>
        </is>
      </c>
      <c r="B28" s="119">
        <f>B19</f>
        <v/>
      </c>
      <c r="C28" s="119">
        <f>C19</f>
        <v/>
      </c>
      <c r="D28" s="119">
        <f>D19</f>
        <v/>
      </c>
      <c r="E28" s="119">
        <f>E19</f>
        <v/>
      </c>
      <c r="F28" s="119">
        <f>F19</f>
        <v/>
      </c>
      <c r="G28" s="119">
        <f>G19</f>
        <v/>
      </c>
      <c r="H28" s="119">
        <f>H19</f>
        <v/>
      </c>
      <c r="I28" s="119">
        <f>I19</f>
        <v/>
      </c>
      <c r="J28" s="119">
        <f>J19</f>
        <v/>
      </c>
      <c r="K28" s="119">
        <f>K19</f>
        <v/>
      </c>
      <c r="L28" s="119">
        <f>L19</f>
        <v/>
      </c>
      <c r="M28" s="119">
        <f>M19</f>
        <v/>
      </c>
      <c r="N28" s="119">
        <f>N19</f>
        <v/>
      </c>
      <c r="O28" s="119">
        <f>O19</f>
        <v/>
      </c>
      <c r="P28" s="119">
        <f>P19</f>
        <v/>
      </c>
      <c r="Q28" s="119">
        <f>Q19</f>
        <v/>
      </c>
      <c r="R28" s="119">
        <f>R19</f>
        <v/>
      </c>
      <c r="S28" s="119">
        <f>S19</f>
        <v/>
      </c>
      <c r="T28" s="119">
        <f>T19</f>
        <v/>
      </c>
      <c r="U28" s="119">
        <f>U19</f>
        <v/>
      </c>
      <c r="V28" s="119">
        <f>V19</f>
        <v/>
      </c>
      <c r="W28" s="119">
        <f>W19</f>
        <v/>
      </c>
    </row>
    <row r="29">
      <c r="A29" s="101" t="inlineStr">
        <is>
          <t>Contract Model Score</t>
        </is>
      </c>
      <c r="B29" t="n">
        <v>136.9368996379681</v>
      </c>
      <c r="C29" t="n">
        <v>137.9880274220805</v>
      </c>
      <c r="D29" t="n">
        <v>137.0658552301207</v>
      </c>
      <c r="E29" t="n">
        <v>138.7958878799292</v>
      </c>
      <c r="F29" t="n">
        <v>136.6773650579506</v>
      </c>
      <c r="G29" t="n">
        <v>137.0616520852859</v>
      </c>
      <c r="H29" t="n">
        <v>136.8354392453249</v>
      </c>
      <c r="I29" t="n">
        <v>135.2448841315185</v>
      </c>
      <c r="J29" t="n">
        <v>136.6503474538372</v>
      </c>
      <c r="K29" t="n">
        <v>137.1016229081258</v>
      </c>
      <c r="L29" t="n">
        <v>137.2064730081406</v>
      </c>
      <c r="M29" t="n">
        <v>136.3355233446589</v>
      </c>
      <c r="N29" t="n">
        <v>136.8490175061166</v>
      </c>
      <c r="O29" t="n">
        <v>136.9316922007181</v>
      </c>
      <c r="P29" t="n">
        <v>136.8422622589138</v>
      </c>
      <c r="Q29" t="n">
        <v>137.6298833214782</v>
      </c>
      <c r="R29" t="n">
        <v>137.7008847083186</v>
      </c>
      <c r="S29" t="n">
        <v>137.7084556174342</v>
      </c>
      <c r="T29" t="n">
        <v>137.8825575046203</v>
      </c>
      <c r="U29" t="n">
        <v>137.2835663375128</v>
      </c>
      <c r="V29" t="n">
        <v>137.4298987182585</v>
      </c>
      <c r="W29" t="n">
        <v>137.8767004228862</v>
      </c>
      <c r="X29" t="n">
        <v>130.7732714378864</v>
      </c>
      <c r="Y29" t="n">
        <v>129.3004445850488</v>
      </c>
      <c r="Z29" t="n">
        <v>127.8830605879124</v>
      </c>
      <c r="AA29" t="n">
        <v>129.0083303732216</v>
      </c>
      <c r="AB29" t="n">
        <v>128.7971876718922</v>
      </c>
      <c r="AC29" t="n">
        <v>127.2810262583452</v>
      </c>
      <c r="AD29" t="n">
        <v>127.5243046618775</v>
      </c>
      <c r="AE29" t="n">
        <v>127.0878543530805</v>
      </c>
      <c r="AF29" t="n">
        <v>127.3887985638287</v>
      </c>
      <c r="AG29" t="n">
        <v>126.7505432479321</v>
      </c>
      <c r="AH29" t="n">
        <v>129.1594328800261</v>
      </c>
      <c r="AI29" t="n">
        <v>128.6314783272697</v>
      </c>
      <c r="AJ29" t="n">
        <v>130.004947472204</v>
      </c>
      <c r="AK29" t="n">
        <v>130.312082831724</v>
      </c>
      <c r="AL29" t="n">
        <v>129.0454566110492</v>
      </c>
      <c r="AM29" t="n">
        <v>128.8792672166934</v>
      </c>
      <c r="AN29" t="n">
        <v>129.6302290929381</v>
      </c>
      <c r="AO29" t="n">
        <v>130.2032797363782</v>
      </c>
      <c r="AP29" t="n">
        <v>130.6262596152145</v>
      </c>
      <c r="AQ29" t="n">
        <v>129.741734877871</v>
      </c>
      <c r="AR29" t="n">
        <v>129.2187530475695</v>
      </c>
      <c r="AS29" t="n">
        <v>130.4231167918077</v>
      </c>
      <c r="AT29" t="n">
        <v>129.5250624490976</v>
      </c>
      <c r="AU29" t="n">
        <v>131.0462255501838</v>
      </c>
      <c r="AV29" t="n">
        <v>129.3325789877917</v>
      </c>
      <c r="AW29" t="n">
        <v>130.0447799313381</v>
      </c>
      <c r="AX29" t="n">
        <v>129.8707107907246</v>
      </c>
      <c r="AY29" t="n">
        <v>128.506338040748</v>
      </c>
      <c r="AZ29" t="n">
        <v>130.7336929864866</v>
      </c>
      <c r="BA29" t="n">
        <v>130.1604118879646</v>
      </c>
      <c r="BB29" t="n">
        <v>130.4297590823311</v>
      </c>
      <c r="BC29" t="n">
        <v>130.475863484332</v>
      </c>
      <c r="BD29" t="n">
        <v>131.2538731529954</v>
      </c>
      <c r="BE29" t="n">
        <v>131.1651109151132</v>
      </c>
      <c r="BF29" t="n">
        <v>130.2949320345314</v>
      </c>
      <c r="BG29" t="n">
        <v>131.5355123646873</v>
      </c>
      <c r="BH29" t="n">
        <v>131.2795975174484</v>
      </c>
      <c r="BI29" t="n">
        <v>130.8391667207729</v>
      </c>
      <c r="BJ29" t="n">
        <v>131.0700830565897</v>
      </c>
      <c r="BK29" t="n">
        <v>130.2708229773229</v>
      </c>
      <c r="BL29" t="n">
        <v>131.063091557324</v>
      </c>
      <c r="BM29" t="n">
        <v>130.6857185171832</v>
      </c>
      <c r="BN29" t="n">
        <v>130.6741192233121</v>
      </c>
      <c r="BO29" t="n">
        <v>130.5098190932767</v>
      </c>
      <c r="BP29" t="n">
        <v>129.2300896627493</v>
      </c>
      <c r="BQ29" t="n">
        <v>132.0230800267157</v>
      </c>
      <c r="BR29" t="n">
        <v>129.7297085294604</v>
      </c>
      <c r="BS29" t="n">
        <v>130.7099249437744</v>
      </c>
      <c r="BT29" t="n">
        <v>130.117638050277</v>
      </c>
      <c r="BU29" t="n">
        <v>130.1639193038669</v>
      </c>
      <c r="BV29" t="n">
        <v>129.3948533300892</v>
      </c>
      <c r="BW29" t="n">
        <v>129.1690444452266</v>
      </c>
      <c r="BX29" t="n">
        <v>130.8360490697702</v>
      </c>
      <c r="BY29" t="n">
        <v>129.8894344323352</v>
      </c>
      <c r="BZ29" t="n">
        <v>130.0433038093166</v>
      </c>
      <c r="CA29" t="n">
        <v>130.3822191252323</v>
      </c>
      <c r="CB29" t="n">
        <v>130.2586850160228</v>
      </c>
      <c r="CC29" t="n">
        <v>130.5282241344036</v>
      </c>
      <c r="CD29" t="n">
        <v>129.564087173543</v>
      </c>
      <c r="CE29" t="n">
        <v>132.2663198967258</v>
      </c>
      <c r="CF29" t="n">
        <v>130.4929115873396</v>
      </c>
      <c r="CG29" t="n">
        <v>131.4703182242149</v>
      </c>
      <c r="CH29" t="n">
        <v>131.4538545294696</v>
      </c>
      <c r="CI29" t="n">
        <v>131.1053295338297</v>
      </c>
      <c r="CJ29" t="n">
        <v>131.9179996333429</v>
      </c>
      <c r="CK29" t="n">
        <v>131.3618632685649</v>
      </c>
      <c r="CL29" t="n">
        <v>131.4079249192891</v>
      </c>
      <c r="CM29" t="n">
        <v>132.5407179315094</v>
      </c>
      <c r="CN29" t="n">
        <v>131.9338670377407</v>
      </c>
      <c r="CO29" t="n">
        <v>130.7057418493717</v>
      </c>
      <c r="CP29" t="n">
        <v>131.6561088555964</v>
      </c>
      <c r="CQ29" t="n">
        <v>131.9384653296336</v>
      </c>
      <c r="CR29" t="n">
        <v>132.8003925292828</v>
      </c>
      <c r="CS29" t="n">
        <v>131.6978810168129</v>
      </c>
      <c r="CT29" t="n">
        <v>132.2470235782754</v>
      </c>
      <c r="CU29" t="n">
        <v>133.3571852314448</v>
      </c>
      <c r="CV29" t="n">
        <v>132.3170902121911</v>
      </c>
      <c r="CW29" t="n">
        <v>132.628799292283</v>
      </c>
      <c r="CX29" t="n">
        <v>131.4006620283528</v>
      </c>
      <c r="CY29" t="n">
        <v>132.2743337523046</v>
      </c>
      <c r="CZ29" t="n">
        <v>131.3245312764679</v>
      </c>
      <c r="DA29" t="n">
        <v>131.8913163336029</v>
      </c>
      <c r="DB29" t="n">
        <v>131.1682671618168</v>
      </c>
      <c r="DC29" t="n">
        <v>131.3423450503005</v>
      </c>
      <c r="DD29" t="n">
        <v>132.0598154062636</v>
      </c>
      <c r="DE29" t="n">
        <v>132.7025582228394</v>
      </c>
      <c r="DF29" t="n">
        <v>130.8461434830796</v>
      </c>
      <c r="DG29" t="n">
        <v>131.3743435602742</v>
      </c>
      <c r="DH29" t="n">
        <v>130.5526916088974</v>
      </c>
      <c r="DI29" t="n">
        <v>132.918172610043</v>
      </c>
      <c r="DJ29" t="n">
        <v>131.4384915197049</v>
      </c>
      <c r="DK29" t="n">
        <v>132.0085756175863</v>
      </c>
      <c r="DL29" t="n">
        <v>132.239559866623</v>
      </c>
      <c r="DM29" t="n">
        <v>131.8780187350498</v>
      </c>
      <c r="DN29" t="n">
        <v>132.9335527818032</v>
      </c>
      <c r="DO29" t="n">
        <v>132.6098995520977</v>
      </c>
      <c r="DP29" t="n">
        <v>132.1471537112573</v>
      </c>
      <c r="DQ29" t="n">
        <v>131.8007724554747</v>
      </c>
      <c r="DR29" t="n">
        <v>132.3131403668719</v>
      </c>
      <c r="DS29" t="n">
        <v>132.6638974922319</v>
      </c>
      <c r="DT29" t="n">
        <v>132.2723985410423</v>
      </c>
      <c r="DU29" t="n">
        <v>132.6191602634759</v>
      </c>
      <c r="DV29" t="n">
        <v>131.1550212941486</v>
      </c>
      <c r="DW29" t="n">
        <v>131.9990363863734</v>
      </c>
      <c r="DX29" t="n">
        <v>132.1088762024605</v>
      </c>
      <c r="DY29" t="n">
        <v>137.6679790684114</v>
      </c>
      <c r="DZ29" t="n">
        <v>132.1235778235096</v>
      </c>
      <c r="EA29" t="n">
        <v>132.375805543094</v>
      </c>
      <c r="EB29" t="n">
        <v>131.8986456916024</v>
      </c>
      <c r="EC29" t="n">
        <v>132.4693099768571</v>
      </c>
      <c r="ED29" t="n">
        <v>131.3020816472782</v>
      </c>
      <c r="EE29" t="n">
        <v>132.1525879125361</v>
      </c>
      <c r="EF29" t="n">
        <v>132.2952817505238</v>
      </c>
      <c r="EG29" t="n">
        <v>131.5729199646752</v>
      </c>
      <c r="EH29" t="n">
        <v>132.0096607096775</v>
      </c>
      <c r="EI29" t="n">
        <v>131.6934461520334</v>
      </c>
      <c r="EJ29" t="n">
        <v>131.7150999646916</v>
      </c>
      <c r="EK29" t="n">
        <v>132.7970911360495</v>
      </c>
      <c r="EL29" t="n">
        <v>132.9137558220824</v>
      </c>
      <c r="EM29" t="n">
        <v>132.2818925281477</v>
      </c>
      <c r="EN29" t="n">
        <v>131.581268585454</v>
      </c>
      <c r="EO29" t="n">
        <v>131.8475496511319</v>
      </c>
      <c r="EP29" t="n">
        <v>131.7094515719749</v>
      </c>
      <c r="EQ29" t="n">
        <v>130.7369576868974</v>
      </c>
      <c r="ER29" t="n">
        <v>131.4311510375762</v>
      </c>
      <c r="ES29" t="n">
        <v>131.9696622701689</v>
      </c>
      <c r="ET29" t="n">
        <v>130.8504243781408</v>
      </c>
      <c r="EU29" t="n">
        <v>132.199151335591</v>
      </c>
      <c r="EV29" t="n">
        <v>132.1195003108003</v>
      </c>
      <c r="EW29" t="n">
        <v>131.4668217819468</v>
      </c>
      <c r="EX29" t="n">
        <v>132.4155104465016</v>
      </c>
      <c r="EY29" t="n">
        <v>131.0248302492538</v>
      </c>
      <c r="EZ29" t="n">
        <v>130.7242014167653</v>
      </c>
      <c r="FA29" t="n">
        <v>130.7533847360524</v>
      </c>
      <c r="FB29" t="n">
        <v>131.957136210098</v>
      </c>
      <c r="FC29" t="n">
        <v>132.11888259677</v>
      </c>
      <c r="FD29" t="n">
        <v>131.064442334955</v>
      </c>
      <c r="FE29" t="n">
        <v>131.5025678460725</v>
      </c>
      <c r="FF29" t="n">
        <v>130.2058356041828</v>
      </c>
      <c r="FG29" t="n">
        <v>129.8432506276299</v>
      </c>
      <c r="FH29" t="n">
        <v>131.2752841191321</v>
      </c>
      <c r="FI29" t="n">
        <v>131.4973298088313</v>
      </c>
      <c r="FJ29" t="n">
        <v>132.7955896590695</v>
      </c>
      <c r="FK29" t="n">
        <v>131.8981946752786</v>
      </c>
      <c r="FL29" t="n">
        <v>130.6393590452664</v>
      </c>
      <c r="FM29" t="n">
        <v>130.8171243454103</v>
      </c>
      <c r="FN29" t="n">
        <v>132.3799451546982</v>
      </c>
      <c r="FO29" t="n">
        <v>131.6253327918037</v>
      </c>
      <c r="FP29" t="n">
        <v>132.3343124824622</v>
      </c>
      <c r="FQ29" t="n">
        <v>131.5810811112176</v>
      </c>
      <c r="FR29" t="n">
        <v>130.6188514024047</v>
      </c>
      <c r="FS29" t="n">
        <v>130.7468103180738</v>
      </c>
      <c r="FT29" t="n">
        <v>131.2407646983185</v>
      </c>
      <c r="FU29" t="n">
        <v>129.9887762528821</v>
      </c>
      <c r="FV29" t="n">
        <v>131.0537570687103</v>
      </c>
      <c r="FW29" t="n">
        <v>129.2529529319</v>
      </c>
      <c r="FX29" t="n">
        <v>130.6915058429972</v>
      </c>
      <c r="FY29" t="n">
        <v>130.1301960430358</v>
      </c>
      <c r="FZ29" t="n">
        <v>132.037955401651</v>
      </c>
      <c r="GA29" t="n">
        <v>130.2491543878608</v>
      </c>
      <c r="GB29" t="n">
        <v>130.9701555059717</v>
      </c>
      <c r="GC29" t="n">
        <v>131.5493045191929</v>
      </c>
      <c r="GD29" t="n">
        <v>130.1563342794374</v>
      </c>
      <c r="GE29" t="n">
        <v>131.3975169157834</v>
      </c>
      <c r="GF29" t="n">
        <v>130.5949962073346</v>
      </c>
      <c r="GG29" t="n">
        <v>130.6372731533468</v>
      </c>
      <c r="GH29" t="n">
        <v>130.9719433129641</v>
      </c>
      <c r="GI29" t="n">
        <v>129.816721204232</v>
      </c>
      <c r="GJ29" t="n">
        <v>129.9640286539338</v>
      </c>
      <c r="GK29" t="n">
        <v>130.6862067752976</v>
      </c>
      <c r="GL29" t="n">
        <v>130.7918649081036</v>
      </c>
      <c r="GM29" t="n">
        <v>130.5495311910545</v>
      </c>
      <c r="GN29" t="n">
        <v>130.6579964784936</v>
      </c>
      <c r="GO29" t="n">
        <v>130.1211094760363</v>
      </c>
      <c r="GP29" t="n">
        <v>129.6833654578502</v>
      </c>
      <c r="GQ29" t="n">
        <v>128.6846236715246</v>
      </c>
      <c r="GR29" t="n">
        <v>129.6363599553352</v>
      </c>
      <c r="GS29" t="n">
        <v>128.8055382307776</v>
      </c>
      <c r="GT29" t="n">
        <v>128.6590071482654</v>
      </c>
      <c r="GU29" t="n">
        <v>128.7512155734164</v>
      </c>
      <c r="GV29" t="n">
        <v>128.9036967540747</v>
      </c>
      <c r="GW29" t="n">
        <v>129.3672908473974</v>
      </c>
      <c r="GX29" t="n">
        <v>128.6364805209854</v>
      </c>
      <c r="GY29" t="n">
        <v>128.1969596405797</v>
      </c>
      <c r="GZ29" t="n">
        <v>129.6597287037243</v>
      </c>
      <c r="HA29" t="n">
        <v>128.6237376266939</v>
      </c>
      <c r="HB29" t="n">
        <v>129.3238223015185</v>
      </c>
      <c r="HC29" t="n">
        <v>129.7487946265249</v>
      </c>
      <c r="HD29" t="n">
        <v>129.5504677213858</v>
      </c>
      <c r="HE29" t="n">
        <v>129.3855416571271</v>
      </c>
      <c r="HF29" t="n">
        <v>129.9792081979316</v>
      </c>
      <c r="HG29" t="n">
        <v>129.8031216632302</v>
      </c>
      <c r="HH29" t="n">
        <v>130.8173882973919</v>
      </c>
      <c r="HI29" t="n">
        <v>129.3349571600032</v>
      </c>
      <c r="HJ29" t="n">
        <v>128.9006421665004</v>
      </c>
      <c r="HK29" t="n">
        <v>129.5370443281623</v>
      </c>
      <c r="HL29" t="n">
        <v>129.6205008533555</v>
      </c>
      <c r="HM29" t="n">
        <v>128.9788991845697</v>
      </c>
      <c r="HN29" t="n">
        <v>128.336582577308</v>
      </c>
      <c r="HO29" t="n">
        <v>129.0930983612015</v>
      </c>
      <c r="HP29" t="n">
        <v>128.606909211472</v>
      </c>
      <c r="HQ29" t="n">
        <v>128.3732030282868</v>
      </c>
      <c r="HR29" t="n">
        <v>127.9888266645185</v>
      </c>
      <c r="HS29" t="n">
        <v>128.074974786513</v>
      </c>
      <c r="HT29" t="n">
        <v>127.2770144968861</v>
      </c>
      <c r="HU29" t="n">
        <v>127.6048416606797</v>
      </c>
      <c r="HV29" t="n">
        <v>128.5222444949454</v>
      </c>
      <c r="HW29" t="n">
        <v>128.7438661163665</v>
      </c>
      <c r="HX29" t="n">
        <v>127.9718735724647</v>
      </c>
      <c r="HY29" t="n">
        <v>128.7463036942809</v>
      </c>
      <c r="HZ29" t="n">
        <v>130.348596647625</v>
      </c>
      <c r="IA29" t="n">
        <v>128.4175293118932</v>
      </c>
      <c r="IB29" t="n">
        <v>128.6883822316879</v>
      </c>
      <c r="IC29" t="n">
        <v>128.8945395308933</v>
      </c>
      <c r="ID29" t="n">
        <v>131.3713230634329</v>
      </c>
      <c r="IE29" t="n">
        <v>130.2876829460787</v>
      </c>
      <c r="IF29" t="n">
        <v>130.6872475461005</v>
      </c>
      <c r="IG29" t="n">
        <v>129.0711420070647</v>
      </c>
      <c r="IH29" t="n">
        <v>131.2982658599099</v>
      </c>
      <c r="II29" t="n">
        <v>130.2620016738567</v>
      </c>
      <c r="IJ29" t="n">
        <v>128.8523123689976</v>
      </c>
      <c r="IK29" t="n">
        <v>130.1743889966922</v>
      </c>
      <c r="IL29" t="n">
        <v>130.9925126658549</v>
      </c>
      <c r="IM29" t="n">
        <v>129.5561887328334</v>
      </c>
      <c r="IN29" t="n">
        <v>129.5085830160691</v>
      </c>
      <c r="IO29" t="n">
        <v>129.2386541305953</v>
      </c>
      <c r="IP29" t="n">
        <v>130.307408709191</v>
      </c>
      <c r="IQ29" t="n">
        <v>132.1032953795633</v>
      </c>
      <c r="IR29" t="n">
        <v>132.5328363567553</v>
      </c>
      <c r="IS29" t="n">
        <v>134.15813920554</v>
      </c>
      <c r="IT29" t="n">
        <v>133.2374581948953</v>
      </c>
      <c r="IU29" t="n">
        <v>133.5499332704812</v>
      </c>
      <c r="IV29" t="n">
        <v>134.5501772356079</v>
      </c>
      <c r="IW29" t="n">
        <v>134.8274601318635</v>
      </c>
      <c r="IX29" t="n">
        <v>135.3250360471996</v>
      </c>
      <c r="IY29" t="n">
        <v>134.3437133220659</v>
      </c>
      <c r="IZ29" t="n">
        <v>134.863141023628</v>
      </c>
      <c r="JA29" t="n">
        <v>135.1471829098055</v>
      </c>
      <c r="JB29" t="n">
        <v>136.2027483775488</v>
      </c>
      <c r="JC29" t="n">
        <v>135.681300609733</v>
      </c>
      <c r="JD29" t="n">
        <v>135.0962901687463</v>
      </c>
      <c r="JE29" t="n">
        <v>134.3095495644291</v>
      </c>
      <c r="JF29" t="n">
        <v>134.9225373958401</v>
      </c>
      <c r="JG29" t="n">
        <v>136.5130407422494</v>
      </c>
      <c r="JH29" t="n">
        <v>135.7959308899992</v>
      </c>
      <c r="JI29" t="n">
        <v>135.5389517635642</v>
      </c>
      <c r="JJ29" t="n">
        <v>135.6752431907675</v>
      </c>
      <c r="JK29" t="n">
        <v>135.7229041822264</v>
      </c>
      <c r="JL29" t="n">
        <v>136.7466524856428</v>
      </c>
      <c r="JM29" t="n">
        <v>135.3707086573859</v>
      </c>
      <c r="JN29" t="n">
        <v>134.4019875069133</v>
      </c>
      <c r="JO29" t="n">
        <v>135.8812923944126</v>
      </c>
      <c r="JP29" t="n">
        <v>136.6774474433104</v>
      </c>
      <c r="JQ29" t="n">
        <v>135.0804773608432</v>
      </c>
      <c r="JR29" t="n">
        <v>134.5458781514059</v>
      </c>
      <c r="JS29" t="n">
        <v>136.204772486427</v>
      </c>
      <c r="JT29" t="n">
        <v>133.9422264346498</v>
      </c>
      <c r="JU29" t="n">
        <v>135.4124946628856</v>
      </c>
      <c r="JV29" t="n">
        <v>135.7468282714114</v>
      </c>
      <c r="JW29" t="n">
        <v>135.2029305650006</v>
      </c>
      <c r="JX29" t="n">
        <v>135.6387594594742</v>
      </c>
      <c r="JY29" t="n">
        <v>134.0195329371633</v>
      </c>
      <c r="JZ29" t="n">
        <v>134.4257832904146</v>
      </c>
      <c r="KA29" t="n">
        <v>135.7801891294218</v>
      </c>
      <c r="KB29" t="n">
        <v>135.0010512319693</v>
      </c>
      <c r="KC29" t="n">
        <v>136.6336831658627</v>
      </c>
      <c r="KD29" t="n">
        <v>136.1166002007453</v>
      </c>
      <c r="KE29" t="n">
        <v>135.1836888639456</v>
      </c>
      <c r="KF29" t="n">
        <v>135.9258365164966</v>
      </c>
      <c r="KG29" t="n">
        <v>134.4648143143552</v>
      </c>
      <c r="KH29" t="n">
        <v>134.1965977311535</v>
      </c>
      <c r="KI29" t="n">
        <v>135.4559085740794</v>
      </c>
      <c r="KJ29" t="n">
        <v>136.1537607722719</v>
      </c>
      <c r="KK29" t="n">
        <v>134.5299514869394</v>
      </c>
      <c r="KL29" t="n">
        <v>135.0484387838854</v>
      </c>
      <c r="KM29" t="n">
        <v>135.0271912759998</v>
      </c>
      <c r="KN29" t="n">
        <v>135.279526730596</v>
      </c>
      <c r="KO29" t="n">
        <v>135.4431987995107</v>
      </c>
      <c r="KP29" t="n">
        <v>135.8025442018755</v>
      </c>
      <c r="KQ29" t="n">
        <v>135.3040497051909</v>
      </c>
      <c r="KR29" t="n">
        <v>135.4004197035772</v>
      </c>
      <c r="KS29" t="n">
        <v>135.7982496685037</v>
      </c>
      <c r="KT29" t="n">
        <v>136.066255304268</v>
      </c>
      <c r="KU29" t="n">
        <v>134.9483226132247</v>
      </c>
      <c r="KV29" t="n">
        <v>134.7584538363143</v>
      </c>
      <c r="KW29" t="n">
        <v>136.0862637104297</v>
      </c>
      <c r="KX29" t="n">
        <v>136.0746486824485</v>
      </c>
      <c r="KY29" t="n">
        <v>136.2577221778489</v>
      </c>
      <c r="KZ29" t="n">
        <v>135.7476169383199</v>
      </c>
      <c r="LA29" t="n">
        <v>135.5142498187256</v>
      </c>
      <c r="LB29" t="n">
        <v>134.8662175916689</v>
      </c>
      <c r="LC29" t="n">
        <v>135.3124127826856</v>
      </c>
      <c r="LD29" t="n">
        <v>135.0686112706534</v>
      </c>
      <c r="LE29" t="n">
        <v>135.3076858003799</v>
      </c>
      <c r="LF29" t="n">
        <v>134.3007031841368</v>
      </c>
      <c r="LG29" t="n">
        <v>137.1772198191194</v>
      </c>
      <c r="LH29" t="n">
        <v>134.7135745647436</v>
      </c>
      <c r="LI29" t="n">
        <v>136.0659548850036</v>
      </c>
      <c r="LJ29" t="n">
        <v>134.4230139503627</v>
      </c>
      <c r="LK29" t="n">
        <v>134.3664150431379</v>
      </c>
      <c r="LL29" t="n">
        <v>134.8464925821067</v>
      </c>
      <c r="LM29" t="n">
        <v>134.3191051022972</v>
      </c>
      <c r="LN29" t="n">
        <v>134.6418164489872</v>
      </c>
      <c r="LO29" t="n">
        <v>134.2993995881281</v>
      </c>
      <c r="LP29" t="n">
        <v>134.2106175361315</v>
      </c>
      <c r="LQ29" t="n">
        <v>134.9857655452071</v>
      </c>
      <c r="LR29" t="n">
        <v>135.3488353283224</v>
      </c>
      <c r="LS29" t="n">
        <v>134.3717916401324</v>
      </c>
      <c r="LT29" t="n">
        <v>133.694959005843</v>
      </c>
      <c r="LU29" t="n">
        <v>132.953474183317</v>
      </c>
      <c r="LV29" t="n">
        <v>133.192502090083</v>
      </c>
      <c r="LW29" t="n">
        <v>132.4234736410785</v>
      </c>
      <c r="LX29" t="n">
        <v>132.983021979243</v>
      </c>
      <c r="LY29" t="n">
        <v>133.0901228161485</v>
      </c>
      <c r="LZ29" t="n">
        <v>133.2289755116294</v>
      </c>
      <c r="MA29" t="n">
        <v>134.0970566973632</v>
      </c>
      <c r="MB29" t="n">
        <v>133.7641820995018</v>
      </c>
      <c r="MC29" t="n">
        <v>135.4824721681456</v>
      </c>
      <c r="MD29" t="n">
        <v>134.5619578986774</v>
      </c>
      <c r="ME29" t="n">
        <v>133.9678891462615</v>
      </c>
      <c r="MF29" t="n">
        <v>134.7835748629303</v>
      </c>
      <c r="MG29" t="n">
        <v>134.0979583298967</v>
      </c>
      <c r="MH29" t="n">
        <v>132.9598806275636</v>
      </c>
      <c r="MI29" t="n">
        <v>134.2134992512957</v>
      </c>
      <c r="MJ29" t="n">
        <v>135.3738023864454</v>
      </c>
      <c r="MK29" t="n">
        <v>134.4911122870628</v>
      </c>
      <c r="ML29" t="n">
        <v>134.5628682705586</v>
      </c>
      <c r="MM29" t="n">
        <v>134.1537888881057</v>
      </c>
      <c r="MN29" t="n">
        <v>134.8584275621864</v>
      </c>
      <c r="MO29" t="n">
        <v>136.1726210330343</v>
      </c>
      <c r="MP29" t="n">
        <v>134.3929917417518</v>
      </c>
      <c r="MQ29" t="n">
        <v>136.5930954841495</v>
      </c>
      <c r="MR29" t="n">
        <v>136.3311466258725</v>
      </c>
      <c r="MS29" t="n">
        <v>136.3711202074302</v>
      </c>
      <c r="MT29" t="n">
        <v>136.7932278784055</v>
      </c>
      <c r="MU29" t="n">
        <v>136.6691481273641</v>
      </c>
      <c r="MV29" t="n">
        <v>135.8241442415498</v>
      </c>
      <c r="MW29" t="n">
        <v>135.5808335938066</v>
      </c>
      <c r="MX29" t="n">
        <v>137.3241178991413</v>
      </c>
      <c r="MY29" t="n">
        <v>137.4709974006142</v>
      </c>
      <c r="MZ29" t="n">
        <v>136.9555964583573</v>
      </c>
      <c r="NA29" t="n">
        <v>137.5602949483834</v>
      </c>
      <c r="NB29" t="n">
        <v>137.5788398541473</v>
      </c>
      <c r="NC29" t="n">
        <v>136.7824396235915</v>
      </c>
      <c r="ND29" t="n">
        <v>137.3209530918384</v>
      </c>
      <c r="NE29" t="n">
        <v>136.4841199517623</v>
      </c>
      <c r="NF29" t="n">
        <v>136.3931514722125</v>
      </c>
      <c r="NG29" t="n">
        <v>137.4284860819431</v>
      </c>
      <c r="NH29" t="n">
        <v>137.5502820930156</v>
      </c>
      <c r="NI29" t="n">
        <v>137.3790388204491</v>
      </c>
      <c r="NJ29" t="n">
        <v>138.2453384627953</v>
      </c>
      <c r="NK29" t="n">
        <v>138.6246024165763</v>
      </c>
      <c r="NL29" t="n">
        <v>136.7371956869655</v>
      </c>
      <c r="NM29" t="n">
        <v>137.7267289586473</v>
      </c>
      <c r="NN29" t="n">
        <v>137.6316153120629</v>
      </c>
      <c r="NO29" t="n">
        <v>136.1750687399079</v>
      </c>
      <c r="NP29" t="n">
        <v>137.6166020212194</v>
      </c>
      <c r="NQ29" t="n">
        <v>137.2808955633918</v>
      </c>
      <c r="NR29" t="n">
        <v>137.0344080000885</v>
      </c>
      <c r="NS29" t="n">
        <v>138.9266870833169</v>
      </c>
      <c r="NT29" t="n">
        <v>138.0327226421822</v>
      </c>
      <c r="NU29" t="n">
        <v>138.1492720116825</v>
      </c>
      <c r="NV29" t="n">
        <v>137.9536426390867</v>
      </c>
      <c r="NW29" t="n">
        <v>140.5746424317391</v>
      </c>
      <c r="NX29" t="n">
        <v>137.7312045137576</v>
      </c>
      <c r="NY29" t="n">
        <v>139.0670484276319</v>
      </c>
      <c r="NZ29" t="n">
        <v>139.1548047874525</v>
      </c>
      <c r="OA29" t="n">
        <v>138.9298502651658</v>
      </c>
      <c r="OB29" t="n">
        <v>139.3128329988142</v>
      </c>
      <c r="OC29" t="n">
        <v>138.9444609155876</v>
      </c>
      <c r="OD29" t="n">
        <v>139.9026258986797</v>
      </c>
      <c r="OE29" t="n">
        <v>141.1196091024736</v>
      </c>
      <c r="OF29" t="n">
        <v>137.8892807716791</v>
      </c>
      <c r="OG29" t="n">
        <v>139.3315625077602</v>
      </c>
      <c r="OH29" t="n">
        <v>139.0901350987386</v>
      </c>
      <c r="OI29" t="n">
        <v>141.0420307481771</v>
      </c>
      <c r="OJ29" t="n">
        <v>139.5131732793569</v>
      </c>
      <c r="OK29" t="n">
        <v>140.1051208384637</v>
      </c>
      <c r="OL29" t="n">
        <v>138.5722995564544</v>
      </c>
      <c r="OM29" t="n">
        <v>139.1994674768074</v>
      </c>
      <c r="ON29" t="n">
        <v>138.8367840432994</v>
      </c>
      <c r="OO29" t="n">
        <v>138.8981194851619</v>
      </c>
      <c r="OP29" t="n">
        <v>138.049700835021</v>
      </c>
      <c r="OQ29" t="n">
        <v>137.9227535579373</v>
      </c>
      <c r="OR29" t="n">
        <v>135.8856227776726</v>
      </c>
      <c r="OS29" t="n">
        <v>140.6797286624997</v>
      </c>
      <c r="OT29" t="n">
        <v>136.7090581900733</v>
      </c>
      <c r="OU29" t="n">
        <v>138.5683005588457</v>
      </c>
      <c r="OV29" t="n">
        <v>136.7008237840903</v>
      </c>
      <c r="OW29" t="n">
        <v>139.0037536958956</v>
      </c>
      <c r="OX29" t="n">
        <v>138.0818240508033</v>
      </c>
      <c r="OY29" t="n">
        <v>137.8733522116376</v>
      </c>
      <c r="OZ29" t="n">
        <v>137.0932172558567</v>
      </c>
      <c r="PA29" t="n">
        <v>136.4763617803936</v>
      </c>
      <c r="PB29" t="n">
        <v>139.7203558075872</v>
      </c>
      <c r="PC29" t="n">
        <v>138.2676545576911</v>
      </c>
      <c r="PD29" t="n">
        <v>136.9672103753009</v>
      </c>
      <c r="PE29" t="n">
        <v>137.8315568366411</v>
      </c>
      <c r="PF29" t="n">
        <v>137.9375569315902</v>
      </c>
      <c r="PG29" t="n">
        <v>136.9036026480146</v>
      </c>
      <c r="PH29" t="n">
        <v>136.9372665396947</v>
      </c>
      <c r="PI29" t="n">
        <v>139.552954819473</v>
      </c>
      <c r="PJ29" t="n">
        <v>139.3800572122038</v>
      </c>
      <c r="PK29" t="n">
        <v>139.093586396354</v>
      </c>
      <c r="PL29" t="n">
        <v>139.4496811606968</v>
      </c>
      <c r="PM29" t="n">
        <v>137.9687621284436</v>
      </c>
      <c r="PN29" t="n">
        <v>139.5770479005532</v>
      </c>
      <c r="PO29" t="n">
        <v>138.9020124248969</v>
      </c>
      <c r="PP29" t="n">
        <v>139.1367326248036</v>
      </c>
      <c r="PQ29" t="n">
        <v>139.9972825581762</v>
      </c>
      <c r="PR29" t="n">
        <v>138.3706652550636</v>
      </c>
      <c r="PS29" t="n">
        <v>138.707729866747</v>
      </c>
      <c r="PT29" t="n">
        <v>136.8335393318079</v>
      </c>
      <c r="PU29" t="n">
        <v>137.4626524989152</v>
      </c>
      <c r="PV29" t="n">
        <v>137.2365809308602</v>
      </c>
      <c r="PW29" t="n">
        <v>136.476509600599</v>
      </c>
      <c r="PX29" t="n">
        <v>136.8352764570835</v>
      </c>
      <c r="PY29" t="n">
        <v>137.3010332939011</v>
      </c>
      <c r="PZ29" t="n">
        <v>136.8942852988</v>
      </c>
      <c r="QA29" t="n">
        <v>137.401123408456</v>
      </c>
      <c r="QB29" t="n">
        <v>137.2219327761173</v>
      </c>
      <c r="QC29" t="n">
        <v>137.6544690640279</v>
      </c>
      <c r="QD29" t="n">
        <v>137.1283706919143</v>
      </c>
      <c r="QE29" t="n">
        <v>136.6751715168103</v>
      </c>
      <c r="QF29" t="n">
        <v>133.9217930694863</v>
      </c>
      <c r="QG29" t="n">
        <v>136.9368996379681</v>
      </c>
      <c r="QH29" t="n">
        <v>137.9880274220805</v>
      </c>
      <c r="QI29" t="n">
        <v>137.0658552301207</v>
      </c>
      <c r="QJ29" t="n">
        <v>138.7958878799292</v>
      </c>
      <c r="QK29" t="n">
        <v>136.6773650579506</v>
      </c>
      <c r="QL29" t="n">
        <v>137.0616520852859</v>
      </c>
      <c r="QM29" t="n">
        <v>136.8354392453249</v>
      </c>
      <c r="QN29" t="n">
        <v>135.2448841315185</v>
      </c>
      <c r="QO29" t="n">
        <v>136.6503474538372</v>
      </c>
      <c r="QP29" t="n">
        <v>137.1016229081258</v>
      </c>
      <c r="QQ29" t="n">
        <v>137.2064730081406</v>
      </c>
      <c r="QR29" t="n">
        <v>136.3355233446589</v>
      </c>
      <c r="QS29" t="n">
        <v>136.8490175061166</v>
      </c>
      <c r="QT29" t="n">
        <v>136.9316922007181</v>
      </c>
      <c r="QU29" t="n">
        <v>136.8422622589138</v>
      </c>
      <c r="QV29" t="n">
        <v>137.6298833214782</v>
      </c>
      <c r="QW29" t="n">
        <v>137.7008847083186</v>
      </c>
      <c r="QX29" t="n">
        <v>137.7084556174342</v>
      </c>
      <c r="QY29" t="n">
        <v>137.8825575046203</v>
      </c>
      <c r="QZ29" t="n">
        <v>137.2835663375128</v>
      </c>
      <c r="RA29" t="n">
        <v>137.4298987182585</v>
      </c>
      <c r="RB29" t="n">
        <v>137.8767004228862</v>
      </c>
      <c r="RC29" t="n">
        <v>130.7732714378864</v>
      </c>
      <c r="RD29" t="n">
        <v>129.3004445850488</v>
      </c>
      <c r="RE29" t="n">
        <v>127.8830605879124</v>
      </c>
      <c r="RF29" t="n">
        <v>129.0083303732216</v>
      </c>
      <c r="RG29" t="n">
        <v>128.7971876718922</v>
      </c>
      <c r="RH29" t="n">
        <v>127.2810262583452</v>
      </c>
      <c r="RI29" t="n">
        <v>127.5243046618775</v>
      </c>
      <c r="RJ29" t="n">
        <v>127.0878543530805</v>
      </c>
      <c r="RK29" t="n">
        <v>127.3887985638287</v>
      </c>
      <c r="RL29" t="n">
        <v>126.7505432479321</v>
      </c>
      <c r="RM29" t="n">
        <v>129.1594328800261</v>
      </c>
      <c r="RN29" t="n">
        <v>128.6314783272697</v>
      </c>
      <c r="RO29" t="n">
        <v>130.004947472204</v>
      </c>
      <c r="RP29" t="n">
        <v>130.312082831724</v>
      </c>
      <c r="RQ29" t="n">
        <v>129.0454566110492</v>
      </c>
      <c r="RR29" t="n">
        <v>128.8792672166934</v>
      </c>
      <c r="RS29" t="n">
        <v>129.6302290929381</v>
      </c>
      <c r="RT29" t="n">
        <v>130.2032797363782</v>
      </c>
      <c r="RU29" t="n">
        <v>130.6262596152145</v>
      </c>
      <c r="RV29" t="n">
        <v>129.741734877871</v>
      </c>
      <c r="RW29" t="n">
        <v>129.2187530475695</v>
      </c>
      <c r="RX29" t="n">
        <v>130.4231167918077</v>
      </c>
      <c r="RY29" t="n">
        <v>129.5250624490976</v>
      </c>
      <c r="RZ29" t="n">
        <v>131.0462255501838</v>
      </c>
      <c r="SA29" t="n">
        <v>129.3325789877917</v>
      </c>
      <c r="SB29" t="n">
        <v>130.0447799313381</v>
      </c>
      <c r="SC29" t="n">
        <v>129.8707107907246</v>
      </c>
      <c r="SD29" t="n">
        <v>128.506338040748</v>
      </c>
      <c r="SE29" t="n">
        <v>130.7336929864866</v>
      </c>
      <c r="SF29" t="n">
        <v>130.1604118879646</v>
      </c>
      <c r="SG29" t="n">
        <v>130.4297590823311</v>
      </c>
      <c r="SH29" t="n">
        <v>130.475863484332</v>
      </c>
      <c r="SI29" t="n">
        <v>131.2538731529954</v>
      </c>
      <c r="SJ29" t="n">
        <v>131.1651109151132</v>
      </c>
      <c r="SK29" t="n">
        <v>130.2949320345314</v>
      </c>
      <c r="SL29" t="n">
        <v>131.5355123646873</v>
      </c>
      <c r="SM29" t="n">
        <v>131.2795975174484</v>
      </c>
      <c r="SN29" t="n">
        <v>130.8391667207729</v>
      </c>
      <c r="SO29" t="n">
        <v>131.0700830565897</v>
      </c>
      <c r="SP29" t="n">
        <v>130.2708229773229</v>
      </c>
      <c r="SQ29" t="n">
        <v>131.063091557324</v>
      </c>
      <c r="SR29" t="n">
        <v>130.6857185171832</v>
      </c>
      <c r="SS29" t="n">
        <v>130.6741192233121</v>
      </c>
      <c r="ST29" t="n">
        <v>130.5098190932767</v>
      </c>
      <c r="SU29" t="n">
        <v>129.2300896627493</v>
      </c>
      <c r="SV29" t="n">
        <v>132.0230800267157</v>
      </c>
      <c r="SW29" t="n">
        <v>129.7297085294604</v>
      </c>
      <c r="SX29" t="n">
        <v>130.7099249437744</v>
      </c>
      <c r="SY29" t="n">
        <v>130.117638050277</v>
      </c>
      <c r="SZ29" t="n">
        <v>130.1639193038669</v>
      </c>
      <c r="TA29" t="n">
        <v>129.3948533300892</v>
      </c>
      <c r="TB29" t="n">
        <v>129.1690444452266</v>
      </c>
      <c r="TC29" t="n">
        <v>130.8360490697702</v>
      </c>
      <c r="TD29" t="n">
        <v>129.8894344323352</v>
      </c>
      <c r="TE29" t="n">
        <v>130.0433038093166</v>
      </c>
      <c r="TF29" t="n">
        <v>130.3822191252323</v>
      </c>
      <c r="TG29" t="n">
        <v>130.2586850160228</v>
      </c>
      <c r="TH29" t="n">
        <v>130.5282241344036</v>
      </c>
      <c r="TI29" t="n">
        <v>129.564087173543</v>
      </c>
      <c r="TJ29" t="n">
        <v>132.2663198967258</v>
      </c>
      <c r="TK29" t="n">
        <v>130.4929115873396</v>
      </c>
      <c r="TL29" t="n">
        <v>131.4703182242149</v>
      </c>
      <c r="TM29" t="n">
        <v>131.4538545294696</v>
      </c>
      <c r="TN29" t="n">
        <v>131.1053295338297</v>
      </c>
      <c r="TO29" t="n">
        <v>131.9179996333429</v>
      </c>
      <c r="TP29" t="n">
        <v>131.3618632685649</v>
      </c>
      <c r="TQ29" t="n">
        <v>131.4079249192891</v>
      </c>
      <c r="TR29" t="n">
        <v>132.5407179315094</v>
      </c>
      <c r="TS29" t="n">
        <v>131.9338670377407</v>
      </c>
      <c r="TT29" t="n">
        <v>130.7057418493717</v>
      </c>
      <c r="TU29" t="n">
        <v>131.6561088555964</v>
      </c>
      <c r="TV29" t="n">
        <v>131.9384653296336</v>
      </c>
      <c r="TW29" t="n">
        <v>132.8003925292828</v>
      </c>
      <c r="TX29" t="n">
        <v>131.6978810168129</v>
      </c>
      <c r="TY29" t="n">
        <v>132.2470235782754</v>
      </c>
      <c r="TZ29" t="n">
        <v>133.3571852314448</v>
      </c>
      <c r="UA29" t="n">
        <v>132.3170902121911</v>
      </c>
      <c r="UB29" t="n">
        <v>132.628799292283</v>
      </c>
      <c r="UC29" t="n">
        <v>131.4006620283528</v>
      </c>
      <c r="UD29" t="n">
        <v>132.2743337523046</v>
      </c>
      <c r="UE29" t="n">
        <v>131.3245312764679</v>
      </c>
      <c r="UF29" t="n">
        <v>131.8913163336029</v>
      </c>
      <c r="UG29" t="n">
        <v>131.1682671618168</v>
      </c>
      <c r="UH29" t="n">
        <v>131.3423450503005</v>
      </c>
      <c r="UI29" t="n">
        <v>132.0598154062636</v>
      </c>
      <c r="UJ29" t="n">
        <v>132.7025582228394</v>
      </c>
      <c r="UK29" t="n">
        <v>130.8461434830796</v>
      </c>
      <c r="UL29" t="n">
        <v>131.3743435602742</v>
      </c>
      <c r="UM29" t="n">
        <v>130.5526916088974</v>
      </c>
      <c r="UN29" t="n">
        <v>132.918172610043</v>
      </c>
      <c r="UO29" t="n">
        <v>131.4384915197049</v>
      </c>
      <c r="UP29" t="n">
        <v>132.0085756175863</v>
      </c>
      <c r="UQ29" t="n">
        <v>132.239559866623</v>
      </c>
      <c r="UR29" t="n">
        <v>131.8780187350498</v>
      </c>
      <c r="US29" t="n">
        <v>132.9335527818032</v>
      </c>
      <c r="UT29" t="n">
        <v>132.6098995520977</v>
      </c>
      <c r="UU29" t="n">
        <v>132.1471537112573</v>
      </c>
      <c r="UV29" t="n">
        <v>131.8007724554747</v>
      </c>
      <c r="UW29" t="n">
        <v>132.3131403668719</v>
      </c>
      <c r="UX29" t="n">
        <v>132.6638974922319</v>
      </c>
      <c r="UY29" t="n">
        <v>132.2723985410423</v>
      </c>
      <c r="UZ29" t="n">
        <v>132.6191602634759</v>
      </c>
      <c r="VA29" t="n">
        <v>131.1550212941486</v>
      </c>
      <c r="VB29" t="n">
        <v>131.9990363863734</v>
      </c>
      <c r="VC29" t="n">
        <v>132.1088762024605</v>
      </c>
      <c r="VD29" t="n">
        <v>137.6679790684114</v>
      </c>
      <c r="VE29" t="n">
        <v>132.1235778235096</v>
      </c>
      <c r="VF29" t="n">
        <v>132.375805543094</v>
      </c>
      <c r="VG29" t="n">
        <v>131.8986456916024</v>
      </c>
      <c r="VH29" t="n">
        <v>132.4693099768571</v>
      </c>
      <c r="VI29" t="n">
        <v>131.3020816472782</v>
      </c>
      <c r="VJ29" t="n">
        <v>132.1525879125361</v>
      </c>
      <c r="VK29" t="n">
        <v>132.2952817505238</v>
      </c>
      <c r="VL29" t="n">
        <v>131.5729199646752</v>
      </c>
      <c r="VM29" t="n">
        <v>132.0096607096775</v>
      </c>
      <c r="VN29" t="n">
        <v>131.6934461520334</v>
      </c>
      <c r="VO29" t="n">
        <v>131.7150999646916</v>
      </c>
      <c r="VP29" t="n">
        <v>132.7970911360495</v>
      </c>
      <c r="VQ29" t="n">
        <v>132.9137558220824</v>
      </c>
      <c r="VR29" t="n">
        <v>132.2818925281477</v>
      </c>
      <c r="VS29" t="n">
        <v>131.581268585454</v>
      </c>
      <c r="VT29" t="n">
        <v>131.8475496511319</v>
      </c>
      <c r="VU29" t="n">
        <v>131.7094515719749</v>
      </c>
      <c r="VV29" t="n">
        <v>130.7369576868974</v>
      </c>
      <c r="VW29" t="n">
        <v>131.4311510375762</v>
      </c>
      <c r="VX29" t="n">
        <v>131.9696622701689</v>
      </c>
      <c r="VY29" t="n">
        <v>130.8504243781408</v>
      </c>
      <c r="VZ29" t="n">
        <v>132.199151335591</v>
      </c>
      <c r="WA29" t="n">
        <v>132.1195003108003</v>
      </c>
      <c r="WB29" t="n">
        <v>131.4668217819468</v>
      </c>
      <c r="WC29" t="n">
        <v>132.4155104465016</v>
      </c>
      <c r="WD29" t="n">
        <v>131.0248302492538</v>
      </c>
      <c r="WE29" t="n">
        <v>130.7242014167653</v>
      </c>
      <c r="WF29" t="n">
        <v>130.7533847360524</v>
      </c>
      <c r="WG29" t="n">
        <v>131.957136210098</v>
      </c>
      <c r="WH29" t="n">
        <v>132.11888259677</v>
      </c>
      <c r="WI29" t="n">
        <v>131.064442334955</v>
      </c>
      <c r="WJ29" t="n">
        <v>131.5025678460725</v>
      </c>
      <c r="WK29" t="n">
        <v>130.2058356041828</v>
      </c>
      <c r="WL29" t="n">
        <v>129.8432506276299</v>
      </c>
      <c r="WM29" t="n">
        <v>131.2752841191321</v>
      </c>
      <c r="WN29" t="n">
        <v>131.4973298088313</v>
      </c>
      <c r="WO29" t="n">
        <v>132.7955896590695</v>
      </c>
      <c r="WP29" t="n">
        <v>131.8981946752786</v>
      </c>
      <c r="WQ29" t="n">
        <v>130.6393590452664</v>
      </c>
      <c r="WR29" t="n">
        <v>130.8171243454103</v>
      </c>
      <c r="WS29" t="n">
        <v>132.3799451546982</v>
      </c>
      <c r="WT29" t="n">
        <v>131.6253327918037</v>
      </c>
      <c r="WU29" t="n">
        <v>132.3343124824622</v>
      </c>
      <c r="WV29" t="n">
        <v>131.5810811112176</v>
      </c>
      <c r="WW29" t="n">
        <v>130.6188514024047</v>
      </c>
      <c r="WX29" t="n">
        <v>130.7468103180738</v>
      </c>
      <c r="WY29" t="n">
        <v>131.2407646983185</v>
      </c>
      <c r="WZ29" t="n">
        <v>129.9887762528821</v>
      </c>
      <c r="XA29" t="n">
        <v>131.0537570687103</v>
      </c>
      <c r="XB29" t="n">
        <v>129.2529529319</v>
      </c>
      <c r="XC29" t="n">
        <v>130.6915058429972</v>
      </c>
      <c r="XD29" t="n">
        <v>130.1301960430358</v>
      </c>
      <c r="XE29" t="n">
        <v>132.037955401651</v>
      </c>
      <c r="XF29" t="n">
        <v>130.2491543878608</v>
      </c>
      <c r="XG29" t="n">
        <v>130.9701555059717</v>
      </c>
      <c r="XH29" t="n">
        <v>131.5493045191929</v>
      </c>
      <c r="XI29" t="n">
        <v>130.1563342794374</v>
      </c>
      <c r="XJ29" t="n">
        <v>131.3975169157834</v>
      </c>
      <c r="XK29" t="n">
        <v>130.5949962073346</v>
      </c>
      <c r="XL29" t="n">
        <v>130.6372731533468</v>
      </c>
      <c r="XM29" t="n">
        <v>130.9719433129641</v>
      </c>
      <c r="XN29" t="n">
        <v>129.816721204232</v>
      </c>
      <c r="XO29" t="n">
        <v>129.9640286539338</v>
      </c>
      <c r="XP29" t="n">
        <v>130.6862067752976</v>
      </c>
      <c r="XQ29" t="n">
        <v>130.7918649081036</v>
      </c>
      <c r="XR29" t="n">
        <v>130.5495311910545</v>
      </c>
      <c r="XS29" t="n">
        <v>130.6579964784936</v>
      </c>
      <c r="XT29" t="n">
        <v>130.1211094760363</v>
      </c>
      <c r="XU29" t="n">
        <v>129.6833654578502</v>
      </c>
      <c r="XV29" t="n">
        <v>128.6846236715246</v>
      </c>
      <c r="XW29" t="n">
        <v>129.6363599553352</v>
      </c>
      <c r="XX29" t="n">
        <v>128.8055382307776</v>
      </c>
      <c r="XY29" t="n">
        <v>128.6590071482654</v>
      </c>
      <c r="XZ29" t="n">
        <v>128.7512155734164</v>
      </c>
      <c r="YA29" t="n">
        <v>128.9036967540747</v>
      </c>
      <c r="YB29" t="n">
        <v>129.3672908473974</v>
      </c>
      <c r="YC29" t="n">
        <v>128.6364805209854</v>
      </c>
      <c r="YD29" t="n">
        <v>128.1969596405797</v>
      </c>
      <c r="YE29" t="n">
        <v>129.6597287037243</v>
      </c>
      <c r="YF29" t="n">
        <v>128.6237376266939</v>
      </c>
      <c r="YG29" t="n">
        <v>129.3238223015185</v>
      </c>
      <c r="YH29" t="n">
        <v>129.7487946265249</v>
      </c>
      <c r="YI29" t="n">
        <v>129.5504677213858</v>
      </c>
      <c r="YJ29" t="n">
        <v>129.3855416571271</v>
      </c>
      <c r="YK29" t="n">
        <v>129.9792081979316</v>
      </c>
      <c r="YL29" t="n">
        <v>129.8031216632302</v>
      </c>
      <c r="YM29" t="n">
        <v>130.8173882973919</v>
      </c>
      <c r="YN29" t="n">
        <v>129.3349571600032</v>
      </c>
      <c r="YO29" t="n">
        <v>128.9006421665004</v>
      </c>
      <c r="YP29" t="n">
        <v>129.5370443281623</v>
      </c>
      <c r="YQ29" t="n">
        <v>129.6205008533555</v>
      </c>
      <c r="YR29" t="n">
        <v>128.9788991845697</v>
      </c>
      <c r="YS29" t="n">
        <v>128.336582577308</v>
      </c>
      <c r="YT29" t="n">
        <v>129.0930983612015</v>
      </c>
      <c r="YU29" t="n">
        <v>128.606909211472</v>
      </c>
      <c r="YV29" t="n">
        <v>128.3732030282868</v>
      </c>
      <c r="YW29" t="n">
        <v>127.9888266645185</v>
      </c>
      <c r="YX29" t="n">
        <v>128.074974786513</v>
      </c>
      <c r="YY29" t="n">
        <v>127.2770144968861</v>
      </c>
      <c r="YZ29" t="n">
        <v>127.6048416606797</v>
      </c>
      <c r="ZA29" t="n">
        <v>128.5222444949454</v>
      </c>
      <c r="ZB29" t="n">
        <v>128.7438661163665</v>
      </c>
      <c r="ZC29" t="n">
        <v>127.9718735724647</v>
      </c>
      <c r="ZD29" t="n">
        <v>128.7463036942809</v>
      </c>
      <c r="ZE29" t="n">
        <v>130.348596647625</v>
      </c>
      <c r="ZF29" t="n">
        <v>128.4175293118932</v>
      </c>
      <c r="ZG29" t="n">
        <v>128.6883822316879</v>
      </c>
      <c r="ZH29" t="n">
        <v>128.8945395308933</v>
      </c>
      <c r="ZI29" t="n">
        <v>131.3713230634329</v>
      </c>
      <c r="ZJ29" t="n">
        <v>130.2876829460787</v>
      </c>
      <c r="ZK29" t="n">
        <v>130.6872475461005</v>
      </c>
      <c r="ZL29" t="n">
        <v>129.0711420070647</v>
      </c>
      <c r="ZM29" t="n">
        <v>131.2982658599099</v>
      </c>
      <c r="ZN29" t="n">
        <v>130.2620016738567</v>
      </c>
      <c r="ZO29" t="n">
        <v>128.8523123689976</v>
      </c>
      <c r="ZP29" t="n">
        <v>130.1743889966922</v>
      </c>
      <c r="ZQ29" t="n">
        <v>130.9925126658549</v>
      </c>
      <c r="ZR29" t="n">
        <v>129.5561887328334</v>
      </c>
      <c r="ZS29" t="n">
        <v>129.5085830160691</v>
      </c>
      <c r="ZT29" t="n">
        <v>129.2386541305953</v>
      </c>
      <c r="ZU29" t="n">
        <v>130.307408709191</v>
      </c>
      <c r="ZV29" t="n">
        <v>132.1032953795633</v>
      </c>
      <c r="ZW29" t="n">
        <v>132.5328363567553</v>
      </c>
      <c r="ZX29" t="n">
        <v>134.15813920554</v>
      </c>
      <c r="ZY29" t="n">
        <v>133.2374581948953</v>
      </c>
      <c r="ZZ29" t="n">
        <v>133.5499332704812</v>
      </c>
      <c r="AAA29" t="n">
        <v>134.5501772356079</v>
      </c>
      <c r="AAB29" t="n">
        <v>134.8274601318635</v>
      </c>
      <c r="AAC29" t="n">
        <v>135.3250360471996</v>
      </c>
      <c r="AAD29" t="n">
        <v>134.3437133220659</v>
      </c>
      <c r="AAE29" t="n">
        <v>134.863141023628</v>
      </c>
      <c r="AAF29" t="n">
        <v>135.1471829098055</v>
      </c>
      <c r="AAG29" t="n">
        <v>136.2027483775488</v>
      </c>
      <c r="AAH29" t="n">
        <v>135.681300609733</v>
      </c>
      <c r="AAI29" t="n">
        <v>135.0962901687463</v>
      </c>
      <c r="AAJ29" t="n">
        <v>134.3095495644291</v>
      </c>
      <c r="AAK29" t="n">
        <v>134.9225373958401</v>
      </c>
      <c r="AAL29" t="n">
        <v>136.5130407422494</v>
      </c>
      <c r="AAM29" t="n">
        <v>135.7959308899992</v>
      </c>
      <c r="AAN29" t="n">
        <v>135.5389517635642</v>
      </c>
      <c r="AAO29" t="n">
        <v>135.6752431907675</v>
      </c>
      <c r="AAP29" t="n">
        <v>135.7229041822264</v>
      </c>
      <c r="AAQ29" t="n">
        <v>136.7466524856428</v>
      </c>
      <c r="AAR29" t="n">
        <v>135.3707086573859</v>
      </c>
      <c r="AAS29" t="n">
        <v>134.4019875069133</v>
      </c>
      <c r="AAT29" t="n">
        <v>135.8812923944126</v>
      </c>
      <c r="AAU29" t="n">
        <v>136.6774474433104</v>
      </c>
      <c r="AAV29" t="n">
        <v>135.0804773608432</v>
      </c>
      <c r="AAW29" t="n">
        <v>134.5458781514059</v>
      </c>
      <c r="AAX29" t="n">
        <v>136.204772486427</v>
      </c>
      <c r="AAY29" t="n">
        <v>133.9422264346498</v>
      </c>
      <c r="AAZ29" t="n">
        <v>135.4124946628856</v>
      </c>
      <c r="ABA29" t="n">
        <v>135.7468282714114</v>
      </c>
      <c r="ABB29" t="n">
        <v>135.2029305650006</v>
      </c>
      <c r="ABC29" t="n">
        <v>135.6387594594742</v>
      </c>
      <c r="ABD29" t="n">
        <v>134.0195329371633</v>
      </c>
      <c r="ABE29" t="n">
        <v>134.4257832904146</v>
      </c>
      <c r="ABF29" t="n">
        <v>135.7801891294218</v>
      </c>
      <c r="ABG29" t="n">
        <v>135.0010512319693</v>
      </c>
      <c r="ABH29" t="n">
        <v>136.6336831658627</v>
      </c>
      <c r="ABI29" t="n">
        <v>136.1166002007453</v>
      </c>
      <c r="ABJ29" t="n">
        <v>135.1836888639456</v>
      </c>
      <c r="ABK29" t="n">
        <v>135.9258365164966</v>
      </c>
      <c r="ABL29" t="n">
        <v>134.4648143143552</v>
      </c>
      <c r="ABM29" t="n">
        <v>134.1965977311535</v>
      </c>
      <c r="ABN29" t="n">
        <v>135.4559085740794</v>
      </c>
      <c r="ABO29" t="n">
        <v>136.1537607722719</v>
      </c>
      <c r="ABP29" t="n">
        <v>134.5299514869394</v>
      </c>
      <c r="ABQ29" t="n">
        <v>135.0484387838854</v>
      </c>
      <c r="ABR29" t="n">
        <v>135.0271912759998</v>
      </c>
      <c r="ABS29" t="n">
        <v>135.279526730596</v>
      </c>
      <c r="ABT29" t="n">
        <v>135.4431987995107</v>
      </c>
      <c r="ABU29" t="n">
        <v>135.8025442018755</v>
      </c>
      <c r="ABV29" t="n">
        <v>135.3040497051909</v>
      </c>
      <c r="ABW29" t="n">
        <v>135.4004197035772</v>
      </c>
      <c r="ABX29" t="n">
        <v>135.7982496685037</v>
      </c>
      <c r="ABY29" t="n">
        <v>136.066255304268</v>
      </c>
      <c r="ABZ29" t="n">
        <v>134.9483226132247</v>
      </c>
      <c r="ACA29" t="n">
        <v>134.7584538363143</v>
      </c>
      <c r="ACB29" t="n">
        <v>136.0862637104297</v>
      </c>
      <c r="ACC29" t="n">
        <v>136.0746486824485</v>
      </c>
      <c r="ACD29" t="n">
        <v>136.2577221778489</v>
      </c>
      <c r="ACE29" t="n">
        <v>135.7476169383199</v>
      </c>
      <c r="ACF29" t="n">
        <v>135.5142498187256</v>
      </c>
      <c r="ACG29" t="n">
        <v>134.8662175916689</v>
      </c>
      <c r="ACH29" t="n">
        <v>135.3124127826856</v>
      </c>
      <c r="ACI29" t="n">
        <v>135.0686112706534</v>
      </c>
      <c r="ACJ29" t="n">
        <v>135.3076858003799</v>
      </c>
      <c r="ACK29" t="n">
        <v>134.3007031841368</v>
      </c>
      <c r="ACL29" t="n">
        <v>137.1772198191194</v>
      </c>
      <c r="ACM29" t="n">
        <v>134.7135745647436</v>
      </c>
      <c r="ACN29" t="n">
        <v>136.0659548850036</v>
      </c>
      <c r="ACO29" t="n">
        <v>134.4230139503627</v>
      </c>
      <c r="ACP29" t="n">
        <v>134.3664150431379</v>
      </c>
      <c r="ACQ29" t="n">
        <v>134.8464925821067</v>
      </c>
      <c r="ACR29" t="n">
        <v>134.3191051022972</v>
      </c>
      <c r="ACS29" t="n">
        <v>134.6418164489872</v>
      </c>
      <c r="ACT29" t="n">
        <v>134.2993995881281</v>
      </c>
      <c r="ACU29" t="n">
        <v>134.2106175361315</v>
      </c>
      <c r="ACV29" t="n">
        <v>134.9857655452071</v>
      </c>
      <c r="ACW29" t="n">
        <v>135.3488353283224</v>
      </c>
      <c r="ACX29" t="n">
        <v>134.3717916401324</v>
      </c>
      <c r="ACY29" t="n">
        <v>133.694959005843</v>
      </c>
      <c r="ACZ29" t="n">
        <v>132.953474183317</v>
      </c>
      <c r="ADA29" t="n">
        <v>133.192502090083</v>
      </c>
      <c r="ADB29" t="n">
        <v>132.4234736410785</v>
      </c>
      <c r="ADC29" t="n">
        <v>132.983021979243</v>
      </c>
      <c r="ADD29" t="n">
        <v>133.0901228161485</v>
      </c>
      <c r="ADE29" t="n">
        <v>133.2289755116294</v>
      </c>
      <c r="ADF29" t="n">
        <v>134.0970566973632</v>
      </c>
      <c r="ADG29" t="n">
        <v>133.7641820995018</v>
      </c>
      <c r="ADH29" t="n">
        <v>135.4824721681456</v>
      </c>
      <c r="ADI29" t="n">
        <v>134.5619578986774</v>
      </c>
      <c r="ADJ29" t="n">
        <v>133.9678891462615</v>
      </c>
      <c r="ADK29" t="n">
        <v>134.7835748629303</v>
      </c>
      <c r="ADL29" t="n">
        <v>134.0979583298967</v>
      </c>
      <c r="ADM29" t="n">
        <v>132.9598806275636</v>
      </c>
      <c r="ADN29" t="n">
        <v>134.2134992512957</v>
      </c>
      <c r="ADO29" t="n">
        <v>135.3738023864454</v>
      </c>
      <c r="ADP29" t="n">
        <v>134.4911122870628</v>
      </c>
      <c r="ADQ29" t="n">
        <v>134.5628682705586</v>
      </c>
      <c r="ADR29" t="n">
        <v>134.1537888881057</v>
      </c>
      <c r="ADS29" t="n">
        <v>134.8584275621864</v>
      </c>
      <c r="ADT29" t="n">
        <v>136.1726210330343</v>
      </c>
      <c r="ADU29" t="n">
        <v>134.3929917417518</v>
      </c>
      <c r="ADV29" t="n">
        <v>136.5930954841495</v>
      </c>
      <c r="ADW29" t="n">
        <v>136.3311466258725</v>
      </c>
      <c r="ADX29" t="n">
        <v>136.3711202074302</v>
      </c>
      <c r="ADY29" t="n">
        <v>136.7932278784055</v>
      </c>
      <c r="ADZ29" t="n">
        <v>136.6691481273641</v>
      </c>
      <c r="AEA29" t="n">
        <v>135.8241442415498</v>
      </c>
      <c r="AEB29" t="n">
        <v>135.5808335938066</v>
      </c>
      <c r="AEC29" t="n">
        <v>137.3241178991413</v>
      </c>
      <c r="AED29" t="n">
        <v>137.4709974006142</v>
      </c>
      <c r="AEE29" t="n">
        <v>136.9555964583573</v>
      </c>
      <c r="AEF29" t="n">
        <v>137.5602949483834</v>
      </c>
      <c r="AEG29" t="n">
        <v>137.5788398541473</v>
      </c>
      <c r="AEH29" t="n">
        <v>136.7824396235915</v>
      </c>
      <c r="AEI29" t="n">
        <v>137.3209530918384</v>
      </c>
      <c r="AEJ29" t="n">
        <v>136.4841199517623</v>
      </c>
      <c r="AEK29" t="n">
        <v>136.3931514722125</v>
      </c>
      <c r="AEL29" t="n">
        <v>137.4284860819431</v>
      </c>
      <c r="AEM29" t="n">
        <v>137.5502820930156</v>
      </c>
      <c r="AEN29" t="n">
        <v>137.3790388204491</v>
      </c>
      <c r="AEO29" t="n">
        <v>138.2453384627953</v>
      </c>
      <c r="AEP29" t="n">
        <v>138.6246024165763</v>
      </c>
      <c r="AEQ29" t="n">
        <v>136.7371956869655</v>
      </c>
      <c r="AER29" t="n">
        <v>137.7267289586473</v>
      </c>
      <c r="AES29" t="n">
        <v>137.6316153120629</v>
      </c>
      <c r="AET29" t="n">
        <v>136.1750687399079</v>
      </c>
      <c r="AEU29" t="n">
        <v>137.6166020212194</v>
      </c>
      <c r="AEV29" t="n">
        <v>137.2808955633918</v>
      </c>
      <c r="AEW29" t="n">
        <v>137.0344080000885</v>
      </c>
      <c r="AEX29" t="n">
        <v>138.9266870833169</v>
      </c>
      <c r="AEY29" t="n">
        <v>138.0327226421822</v>
      </c>
      <c r="AEZ29" t="n">
        <v>138.1492720116825</v>
      </c>
      <c r="AFA29" t="n">
        <v>137.9536426390867</v>
      </c>
      <c r="AFB29" t="n">
        <v>140.5746424317391</v>
      </c>
      <c r="AFC29" t="n">
        <v>137.7312045137576</v>
      </c>
      <c r="AFD29" t="n">
        <v>139.0670484276319</v>
      </c>
      <c r="AFE29" t="n">
        <v>139.1548047874525</v>
      </c>
      <c r="AFF29" t="n">
        <v>138.9298502651658</v>
      </c>
      <c r="AFG29" t="n">
        <v>139.3128329988142</v>
      </c>
      <c r="AFH29" t="n">
        <v>138.9444609155876</v>
      </c>
      <c r="AFI29" t="n">
        <v>139.9026258986797</v>
      </c>
      <c r="AFJ29" t="n">
        <v>141.1196091024736</v>
      </c>
      <c r="AFK29" t="n">
        <v>137.8892807716791</v>
      </c>
      <c r="AFL29" t="n">
        <v>139.3315625077602</v>
      </c>
      <c r="AFM29" t="n">
        <v>139.0901350987386</v>
      </c>
      <c r="AFN29" t="n">
        <v>141.0420307481771</v>
      </c>
      <c r="AFO29" t="n">
        <v>139.5131732793569</v>
      </c>
      <c r="AFP29" t="n">
        <v>140.1051208384637</v>
      </c>
      <c r="AFQ29" t="n">
        <v>138.5722995564544</v>
      </c>
      <c r="AFR29" t="n">
        <v>139.1994674768074</v>
      </c>
      <c r="AFS29" t="n">
        <v>138.8367840432994</v>
      </c>
      <c r="AFT29" t="n">
        <v>138.8981194851619</v>
      </c>
      <c r="AFU29" t="n">
        <v>138.049700835021</v>
      </c>
      <c r="AFV29" t="n">
        <v>137.9227535579373</v>
      </c>
      <c r="AFW29" t="n">
        <v>135.8856227776726</v>
      </c>
      <c r="AFX29" t="n">
        <v>140.6797286624997</v>
      </c>
      <c r="AFY29" t="n">
        <v>136.7090581900733</v>
      </c>
      <c r="AFZ29" t="n">
        <v>138.5683005588457</v>
      </c>
      <c r="AGA29" t="n">
        <v>136.7008237840903</v>
      </c>
      <c r="AGB29" t="n">
        <v>139.0037536958956</v>
      </c>
      <c r="AGC29" t="n">
        <v>138.0818240508033</v>
      </c>
      <c r="AGD29" t="n">
        <v>137.8733522116376</v>
      </c>
      <c r="AGE29" t="n">
        <v>137.0932172558567</v>
      </c>
      <c r="AGF29" t="n">
        <v>136.4763617803936</v>
      </c>
      <c r="AGG29" t="n">
        <v>139.7203558075872</v>
      </c>
      <c r="AGH29" t="n">
        <v>138.2676545576911</v>
      </c>
      <c r="AGI29" t="n">
        <v>136.9672103753009</v>
      </c>
      <c r="AGJ29" t="n">
        <v>137.8315568366411</v>
      </c>
      <c r="AGK29" t="n">
        <v>137.9375569315902</v>
      </c>
      <c r="AGL29" t="n">
        <v>136.9036026480146</v>
      </c>
      <c r="AGM29" t="n">
        <v>136.9372665396947</v>
      </c>
      <c r="AGN29" t="n">
        <v>139.552954819473</v>
      </c>
      <c r="AGO29" t="n">
        <v>139.3800572122038</v>
      </c>
      <c r="AGP29" t="n">
        <v>139.093586396354</v>
      </c>
      <c r="AGQ29" t="n">
        <v>139.4496811606968</v>
      </c>
      <c r="AGR29" t="n">
        <v>137.9687621284436</v>
      </c>
      <c r="AGS29" t="n">
        <v>139.5770479005532</v>
      </c>
      <c r="AGT29" t="n">
        <v>138.9020124248969</v>
      </c>
      <c r="AGU29" t="n">
        <v>139.1367326248036</v>
      </c>
      <c r="AGV29" t="n">
        <v>139.9972825581762</v>
      </c>
      <c r="AGW29" t="n">
        <v>138.3706652550636</v>
      </c>
      <c r="AGX29" t="n">
        <v>138.707729866747</v>
      </c>
      <c r="AGY29" t="n">
        <v>136.8335393318079</v>
      </c>
      <c r="AGZ29" t="n">
        <v>137.4626524989152</v>
      </c>
      <c r="AHA29" t="n">
        <v>137.2365809308602</v>
      </c>
      <c r="AHB29" t="n">
        <v>136.476509600599</v>
      </c>
      <c r="AHC29" t="n">
        <v>136.8352764570835</v>
      </c>
      <c r="AHD29" t="n">
        <v>137.3010332939011</v>
      </c>
      <c r="AHE29" t="n">
        <v>136.8942852988</v>
      </c>
      <c r="AHF29" t="n">
        <v>137.401123408456</v>
      </c>
      <c r="AHG29" t="n">
        <v>137.2219327761173</v>
      </c>
      <c r="AHH29" t="n">
        <v>137.6544690640279</v>
      </c>
      <c r="AHI29" t="n">
        <v>137.1283706919143</v>
      </c>
      <c r="AHJ29" t="n">
        <v>136.6751715168103</v>
      </c>
      <c r="AHK29" t="n">
        <v>133.9217930694863</v>
      </c>
    </row>
    <row r="30">
      <c r="A30" s="6" t="inlineStr">
        <is>
          <t>Model Score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</row>
    <row r="31">
      <c r="A31" s="4" t="inlineStr">
        <is>
          <t>Gross Loss Adjustments (Dealer level, high PTI, etc.)</t>
        </is>
      </c>
      <c r="B31" t="n">
        <v>1.41258666298009</v>
      </c>
      <c r="C31" t="n">
        <v>1.670735379458421</v>
      </c>
      <c r="D31" t="n">
        <v>1.354657295722632</v>
      </c>
      <c r="E31" t="n">
        <v>1.828250532559139</v>
      </c>
      <c r="F31" t="n">
        <v>1.587001201392923</v>
      </c>
      <c r="G31" t="n">
        <v>1.54521280669951</v>
      </c>
      <c r="H31" t="n">
        <v>1.816872585426836</v>
      </c>
      <c r="I31" t="n">
        <v>1.554066051377362</v>
      </c>
      <c r="J31" t="n">
        <v>1.194763756153947</v>
      </c>
      <c r="K31" t="n">
        <v>1.622624835895039</v>
      </c>
      <c r="L31" t="n">
        <v>1.528755276793248</v>
      </c>
      <c r="M31" t="n">
        <v>1.624010576682821</v>
      </c>
      <c r="N31" t="n">
        <v>1.901730298516128</v>
      </c>
      <c r="O31" t="n">
        <v>1.788627832115452</v>
      </c>
      <c r="P31" t="n">
        <v>1.912024086185909</v>
      </c>
      <c r="Q31" t="n">
        <v>2.013990487588245</v>
      </c>
      <c r="R31" t="n">
        <v>1.756567583082045</v>
      </c>
      <c r="S31" t="n">
        <v>2.241731377905296</v>
      </c>
      <c r="T31" t="n">
        <v>1.830597590668191</v>
      </c>
      <c r="U31" t="n">
        <v>2.437496009536886</v>
      </c>
      <c r="V31" t="n">
        <v>2.248067757180337</v>
      </c>
      <c r="W31" t="n">
        <v>1.842238650856785</v>
      </c>
      <c r="QG31" t="n">
        <v>1.41258666298009</v>
      </c>
      <c r="QH31" t="n">
        <v>1.670735379458421</v>
      </c>
      <c r="QI31" t="n">
        <v>1.354657295722632</v>
      </c>
      <c r="QJ31" t="n">
        <v>1.828250532559139</v>
      </c>
      <c r="QK31" t="n">
        <v>1.587001201392923</v>
      </c>
      <c r="QL31" t="n">
        <v>1.54521280669951</v>
      </c>
      <c r="QM31" t="n">
        <v>1.816872585426836</v>
      </c>
      <c r="QN31" t="n">
        <v>1.554066051377362</v>
      </c>
      <c r="QO31" t="n">
        <v>1.194763756153947</v>
      </c>
      <c r="QP31" t="n">
        <v>1.622624835895039</v>
      </c>
      <c r="QQ31" t="n">
        <v>1.528755276793248</v>
      </c>
      <c r="QR31" t="n">
        <v>1.624010576682821</v>
      </c>
      <c r="QS31" t="n">
        <v>1.901730298516128</v>
      </c>
      <c r="QT31" t="n">
        <v>1.788627832115452</v>
      </c>
      <c r="QU31" t="n">
        <v>1.912024086185909</v>
      </c>
      <c r="QV31" t="n">
        <v>2.013990487588245</v>
      </c>
      <c r="QW31" t="n">
        <v>1.756567583082045</v>
      </c>
      <c r="QX31" t="n">
        <v>2.241731377905296</v>
      </c>
      <c r="QY31" t="n">
        <v>1.830597590668191</v>
      </c>
      <c r="QZ31" t="n">
        <v>2.437496009536886</v>
      </c>
      <c r="RA31" t="n">
        <v>2.248067757180337</v>
      </c>
      <c r="RB31" t="n">
        <v>1.842238650856785</v>
      </c>
    </row>
    <row r="32" ht="24" customHeight="1" s="115">
      <c r="A32" s="3" t="inlineStr">
        <is>
          <t>Recovery Adjustments excluding LTV (Mileage, vehicle type, etc.)</t>
        </is>
      </c>
      <c r="B32" t="n">
        <v>0.4609217728699946</v>
      </c>
      <c r="C32" t="n">
        <v>1.139282625512152</v>
      </c>
      <c r="D32" t="n">
        <v>-0.1407290715204113</v>
      </c>
      <c r="E32" t="n">
        <v>0.8089334803540567</v>
      </c>
      <c r="F32" t="n">
        <v>0.3765751069182102</v>
      </c>
      <c r="G32" t="n">
        <v>1.516712476879775</v>
      </c>
      <c r="H32" t="n">
        <v>0.3777579159737172</v>
      </c>
      <c r="I32" t="n">
        <v>0.2528931870366478</v>
      </c>
      <c r="J32" t="n">
        <v>0.7640690743034213</v>
      </c>
      <c r="K32" t="n">
        <v>0.4534074342197414</v>
      </c>
      <c r="L32" t="n">
        <v>1.112294207811374</v>
      </c>
      <c r="M32" t="n">
        <v>0.9050639199178079</v>
      </c>
      <c r="N32" t="n">
        <v>0.6242765380355593</v>
      </c>
      <c r="O32" t="n">
        <v>0.4440648971435621</v>
      </c>
      <c r="P32" t="n">
        <v>1.55739239152453</v>
      </c>
      <c r="Q32" t="n">
        <v>0.6157856654056104</v>
      </c>
      <c r="R32" t="n">
        <v>1.404770383832528</v>
      </c>
      <c r="S32" t="n">
        <v>1.519294709850442</v>
      </c>
      <c r="T32" t="n">
        <v>1.220074389677535</v>
      </c>
      <c r="U32" t="n">
        <v>2.260297717399965</v>
      </c>
      <c r="V32" t="n">
        <v>2.419200705959611</v>
      </c>
      <c r="W32" t="n">
        <v>2.184023257131514</v>
      </c>
      <c r="QG32" t="n">
        <v>0.4609217728699946</v>
      </c>
      <c r="QH32" t="n">
        <v>1.139282625512152</v>
      </c>
      <c r="QI32" t="n">
        <v>-0.1407290715204113</v>
      </c>
      <c r="QJ32" t="n">
        <v>0.8089334803540567</v>
      </c>
      <c r="QK32" t="n">
        <v>0.3765751069182102</v>
      </c>
      <c r="QL32" t="n">
        <v>1.516712476879775</v>
      </c>
      <c r="QM32" t="n">
        <v>0.3777579159737172</v>
      </c>
      <c r="QN32" t="n">
        <v>0.2528931870366478</v>
      </c>
      <c r="QO32" t="n">
        <v>0.7640690743034213</v>
      </c>
      <c r="QP32" t="n">
        <v>0.4534074342197414</v>
      </c>
      <c r="QQ32" t="n">
        <v>1.112294207811374</v>
      </c>
      <c r="QR32" t="n">
        <v>0.9050639199178079</v>
      </c>
      <c r="QS32" t="n">
        <v>0.6242765380355593</v>
      </c>
      <c r="QT32" t="n">
        <v>0.4440648971435621</v>
      </c>
      <c r="QU32" t="n">
        <v>1.55739239152453</v>
      </c>
      <c r="QV32" t="n">
        <v>0.6157856654056104</v>
      </c>
      <c r="QW32" t="n">
        <v>1.404770383832528</v>
      </c>
      <c r="QX32" t="n">
        <v>1.519294709850442</v>
      </c>
      <c r="QY32" t="n">
        <v>1.220074389677535</v>
      </c>
      <c r="QZ32" t="n">
        <v>2.260297717399965</v>
      </c>
      <c r="RA32" t="n">
        <v>2.419200705959611</v>
      </c>
      <c r="RB32" t="n">
        <v>2.184023257131514</v>
      </c>
    </row>
    <row r="33">
      <c r="A33" s="4" t="inlineStr">
        <is>
          <t>LTV Adjustments</t>
        </is>
      </c>
      <c r="B33" t="n">
        <v>-0.4609217728699946</v>
      </c>
      <c r="C33" t="n">
        <v>-1.139282625512152</v>
      </c>
      <c r="D33" t="n">
        <v>0.1407290715204113</v>
      </c>
      <c r="E33" t="n">
        <v>-0.8089334803540567</v>
      </c>
      <c r="F33" t="n">
        <v>-0.3765751069182102</v>
      </c>
      <c r="G33" t="n">
        <v>-1.516712476879775</v>
      </c>
      <c r="H33" t="n">
        <v>-0.3777579159737172</v>
      </c>
      <c r="I33" t="n">
        <v>-0.2528931870366478</v>
      </c>
      <c r="J33" t="n">
        <v>-0.7640690743034213</v>
      </c>
      <c r="K33" t="n">
        <v>-0.4534074342197414</v>
      </c>
      <c r="L33" t="n">
        <v>-1.112294207811374</v>
      </c>
      <c r="M33" t="n">
        <v>-0.9050639199178079</v>
      </c>
      <c r="N33" t="n">
        <v>-0.6242765380355593</v>
      </c>
      <c r="O33" t="n">
        <v>-0.4440648971435621</v>
      </c>
      <c r="P33" t="n">
        <v>-1.55739239152453</v>
      </c>
      <c r="Q33" t="n">
        <v>-0.6157856654056104</v>
      </c>
      <c r="R33" t="n">
        <v>-1.404770383832528</v>
      </c>
      <c r="S33" t="n">
        <v>-1.519294709850442</v>
      </c>
      <c r="T33" t="n">
        <v>-1.220074389677535</v>
      </c>
      <c r="U33" t="n">
        <v>-2.260297717399965</v>
      </c>
      <c r="V33" t="n">
        <v>-2.419200705959611</v>
      </c>
      <c r="W33" t="n">
        <v>-2.184023257131514</v>
      </c>
      <c r="QG33" t="n">
        <v>-0.4609217728699946</v>
      </c>
      <c r="QH33" t="n">
        <v>-1.139282625512152</v>
      </c>
      <c r="QI33" t="n">
        <v>0.1407290715204113</v>
      </c>
      <c r="QJ33" t="n">
        <v>-0.8089334803540567</v>
      </c>
      <c r="QK33" t="n">
        <v>-0.3765751069182102</v>
      </c>
      <c r="QL33" t="n">
        <v>-1.516712476879775</v>
      </c>
      <c r="QM33" t="n">
        <v>-0.3777579159737172</v>
      </c>
      <c r="QN33" t="n">
        <v>-0.2528931870366478</v>
      </c>
      <c r="QO33" t="n">
        <v>-0.7640690743034213</v>
      </c>
      <c r="QP33" t="n">
        <v>-0.4534074342197414</v>
      </c>
      <c r="QQ33" t="n">
        <v>-1.112294207811374</v>
      </c>
      <c r="QR33" t="n">
        <v>-0.9050639199178079</v>
      </c>
      <c r="QS33" t="n">
        <v>-0.6242765380355593</v>
      </c>
      <c r="QT33" t="n">
        <v>-0.4440648971435621</v>
      </c>
      <c r="QU33" t="n">
        <v>-1.55739239152453</v>
      </c>
      <c r="QV33" t="n">
        <v>-0.6157856654056104</v>
      </c>
      <c r="QW33" t="n">
        <v>-1.404770383832528</v>
      </c>
      <c r="QX33" t="n">
        <v>-1.519294709850442</v>
      </c>
      <c r="QY33" t="n">
        <v>-1.220074389677535</v>
      </c>
      <c r="QZ33" t="n">
        <v>-2.260297717399965</v>
      </c>
      <c r="RA33" t="n">
        <v>-2.419200705959611</v>
      </c>
      <c r="RB33" t="n">
        <v>-2.184023257131514</v>
      </c>
    </row>
    <row r="34">
      <c r="A34" s="3" t="inlineStr">
        <is>
          <t>RAGU Score</t>
        </is>
      </c>
      <c r="B34" t="n">
        <v>138.3494863009482</v>
      </c>
      <c r="C34" t="n">
        <v>139.6587628015389</v>
      </c>
      <c r="D34" t="n">
        <v>138.4205125258433</v>
      </c>
      <c r="E34" t="n">
        <v>140.6241384124884</v>
      </c>
      <c r="F34" t="n">
        <v>138.2643662593435</v>
      </c>
      <c r="G34" t="n">
        <v>138.6068648919854</v>
      </c>
      <c r="H34" t="n">
        <v>138.6523118307518</v>
      </c>
      <c r="I34" t="n">
        <v>136.7989501828958</v>
      </c>
      <c r="J34" t="n">
        <v>137.8451112099911</v>
      </c>
      <c r="K34" t="n">
        <v>138.7242477440208</v>
      </c>
      <c r="L34" t="n">
        <v>138.7352282849338</v>
      </c>
      <c r="M34" t="n">
        <v>137.9595339213417</v>
      </c>
      <c r="N34" t="n">
        <v>138.7507478046327</v>
      </c>
      <c r="O34" t="n">
        <v>138.7203200328336</v>
      </c>
      <c r="P34" t="n">
        <v>138.7542863450997</v>
      </c>
      <c r="Q34" t="n">
        <v>139.6438738090665</v>
      </c>
      <c r="R34" t="n">
        <v>139.4574522914007</v>
      </c>
      <c r="S34" t="n">
        <v>139.9501869953395</v>
      </c>
      <c r="T34" t="n">
        <v>139.7131550952884</v>
      </c>
      <c r="U34" t="n">
        <v>139.7210623470496</v>
      </c>
      <c r="V34" t="n">
        <v>139.6779664754389</v>
      </c>
      <c r="W34" t="n">
        <v>139.7189390737429</v>
      </c>
      <c r="QG34" t="n">
        <v>138.3494863009482</v>
      </c>
      <c r="QH34" t="n">
        <v>139.6587628015389</v>
      </c>
      <c r="QI34" t="n">
        <v>138.4205125258433</v>
      </c>
      <c r="QJ34" t="n">
        <v>140.6241384124884</v>
      </c>
      <c r="QK34" t="n">
        <v>138.2643662593435</v>
      </c>
      <c r="QL34" t="n">
        <v>138.6068648919854</v>
      </c>
      <c r="QM34" t="n">
        <v>138.6523118307518</v>
      </c>
      <c r="QN34" t="n">
        <v>136.7989501828958</v>
      </c>
      <c r="QO34" t="n">
        <v>137.8451112099911</v>
      </c>
      <c r="QP34" t="n">
        <v>138.7242477440208</v>
      </c>
      <c r="QQ34" t="n">
        <v>138.7352282849338</v>
      </c>
      <c r="QR34" t="n">
        <v>137.9595339213417</v>
      </c>
      <c r="QS34" t="n">
        <v>138.7507478046327</v>
      </c>
      <c r="QT34" t="n">
        <v>138.7203200328336</v>
      </c>
      <c r="QU34" t="n">
        <v>138.7542863450997</v>
      </c>
      <c r="QV34" t="n">
        <v>139.6438738090665</v>
      </c>
      <c r="QW34" t="n">
        <v>139.4574522914007</v>
      </c>
      <c r="QX34" t="n">
        <v>139.9501869953395</v>
      </c>
      <c r="QY34" t="n">
        <v>139.7131550952884</v>
      </c>
      <c r="QZ34" t="n">
        <v>139.7210623470496</v>
      </c>
      <c r="RA34" t="n">
        <v>139.6779664754389</v>
      </c>
      <c r="RB34" t="n">
        <v>139.7189390737429</v>
      </c>
    </row>
    <row r="35">
      <c r="A35" s="5" t="inlineStr">
        <is>
          <t>LTV</t>
        </is>
      </c>
      <c r="B35" t="n">
        <v>1.585606600655462</v>
      </c>
      <c r="C35" t="n">
        <v>1.505136283811261</v>
      </c>
      <c r="D35" t="n">
        <v>1.582332320473836</v>
      </c>
      <c r="E35" t="n">
        <v>1.501941277237942</v>
      </c>
      <c r="F35" t="n">
        <v>1.572205887949712</v>
      </c>
      <c r="G35" t="n">
        <v>1.457617109032284</v>
      </c>
      <c r="H35" t="n">
        <v>1.539932055619891</v>
      </c>
      <c r="I35" t="n">
        <v>1.533362048456495</v>
      </c>
      <c r="J35" t="n">
        <v>1.527616104703821</v>
      </c>
      <c r="K35" t="n">
        <v>1.521796419614559</v>
      </c>
      <c r="L35" t="n">
        <v>1.503959084702092</v>
      </c>
      <c r="M35" t="n">
        <v>1.535430904008086</v>
      </c>
      <c r="N35" t="n">
        <v>1.538342008107523</v>
      </c>
      <c r="O35" t="n">
        <v>1.594304627695485</v>
      </c>
      <c r="P35" t="n">
        <v>1.493949407190311</v>
      </c>
      <c r="Q35" t="n">
        <v>1.521627987927509</v>
      </c>
      <c r="R35" t="n">
        <v>1.457384865252813</v>
      </c>
      <c r="S35" t="n">
        <v>1.518217519433414</v>
      </c>
      <c r="T35" t="n">
        <v>1.538512187944657</v>
      </c>
      <c r="U35" t="n">
        <v>1.49698318440688</v>
      </c>
      <c r="V35" t="n">
        <v>1.44707532303394</v>
      </c>
      <c r="W35" t="n">
        <v>1.470086331058725</v>
      </c>
      <c r="QG35" t="n">
        <v>1.585606600655462</v>
      </c>
      <c r="QH35" t="n">
        <v>1.505136283811261</v>
      </c>
      <c r="QI35" t="n">
        <v>1.582332320473836</v>
      </c>
      <c r="QJ35" t="n">
        <v>1.501941277237942</v>
      </c>
      <c r="QK35" t="n">
        <v>1.572205887949712</v>
      </c>
      <c r="QL35" t="n">
        <v>1.457617109032284</v>
      </c>
      <c r="QM35" t="n">
        <v>1.539932055619891</v>
      </c>
      <c r="QN35" t="n">
        <v>1.533362048456495</v>
      </c>
      <c r="QO35" t="n">
        <v>1.527616104703821</v>
      </c>
      <c r="QP35" t="n">
        <v>1.521796419614559</v>
      </c>
      <c r="QQ35" t="n">
        <v>1.503959084702092</v>
      </c>
      <c r="QR35" t="n">
        <v>1.535430904008086</v>
      </c>
      <c r="QS35" t="n">
        <v>1.538342008107523</v>
      </c>
      <c r="QT35" t="n">
        <v>1.594304627695485</v>
      </c>
      <c r="QU35" t="n">
        <v>1.493949407190311</v>
      </c>
      <c r="QV35" t="n">
        <v>1.521627987927509</v>
      </c>
      <c r="QW35" t="n">
        <v>1.457384865252813</v>
      </c>
      <c r="QX35" t="n">
        <v>1.518217519433414</v>
      </c>
      <c r="QY35" t="n">
        <v>1.538512187944657</v>
      </c>
      <c r="QZ35" t="n">
        <v>1.49698318440688</v>
      </c>
      <c r="RA35" t="n">
        <v>1.44707532303394</v>
      </c>
      <c r="RB35" t="n">
        <v>1.470086331058725</v>
      </c>
    </row>
    <row r="37">
      <c r="A37" s="1" t="inlineStr">
        <is>
          <t>ENT</t>
        </is>
      </c>
      <c r="B37" s="119">
        <f>B28</f>
        <v/>
      </c>
      <c r="C37" s="119">
        <f>C28</f>
        <v/>
      </c>
      <c r="D37" s="119">
        <f>D28</f>
        <v/>
      </c>
      <c r="E37" s="119">
        <f>E28</f>
        <v/>
      </c>
      <c r="F37" s="119">
        <f>F28</f>
        <v/>
      </c>
      <c r="G37" s="119">
        <f>G28</f>
        <v/>
      </c>
      <c r="H37" s="119">
        <f>H28</f>
        <v/>
      </c>
      <c r="I37" s="119">
        <f>I28</f>
        <v/>
      </c>
      <c r="J37" s="119">
        <f>J28</f>
        <v/>
      </c>
      <c r="K37" s="119">
        <f>K28</f>
        <v/>
      </c>
      <c r="L37" s="119">
        <f>L28</f>
        <v/>
      </c>
      <c r="M37" s="119">
        <f>M28</f>
        <v/>
      </c>
      <c r="N37" s="119">
        <f>N28</f>
        <v/>
      </c>
      <c r="O37" s="119">
        <f>O28</f>
        <v/>
      </c>
      <c r="P37" s="119">
        <f>P28</f>
        <v/>
      </c>
      <c r="Q37" s="119">
        <f>Q28</f>
        <v/>
      </c>
      <c r="R37" s="119">
        <f>R28</f>
        <v/>
      </c>
      <c r="S37" s="119">
        <f>S28</f>
        <v/>
      </c>
      <c r="T37" s="119">
        <f>T28</f>
        <v/>
      </c>
      <c r="U37" s="119">
        <f>U28</f>
        <v/>
      </c>
      <c r="V37" s="119">
        <f>V28</f>
        <v/>
      </c>
      <c r="W37" s="119">
        <f>W28</f>
        <v/>
      </c>
    </row>
    <row r="38">
      <c r="A38" s="101" t="inlineStr">
        <is>
          <t>Contract Model Score</t>
        </is>
      </c>
      <c r="B38" t="n">
        <v>135.8565824543368</v>
      </c>
      <c r="C38" t="n">
        <v>136.0946065730934</v>
      </c>
      <c r="D38" t="n">
        <v>136.1105565483991</v>
      </c>
      <c r="E38" t="n">
        <v>135.9852061925347</v>
      </c>
      <c r="F38" t="n">
        <v>136.4103774671823</v>
      </c>
      <c r="G38" t="n">
        <v>136.2675663190512</v>
      </c>
      <c r="H38" t="n">
        <v>136.1481603661581</v>
      </c>
      <c r="I38" t="n">
        <v>135.613385339826</v>
      </c>
      <c r="J38" t="n">
        <v>135.8882177985541</v>
      </c>
      <c r="K38" t="n">
        <v>136.5457188575745</v>
      </c>
      <c r="L38" t="n">
        <v>136.6800247013514</v>
      </c>
      <c r="M38" t="n">
        <v>136.6592061153781</v>
      </c>
      <c r="N38" t="n">
        <v>136.5111015439147</v>
      </c>
      <c r="O38" t="n">
        <v>136.6844782020436</v>
      </c>
      <c r="P38" t="n">
        <v>136.507677003432</v>
      </c>
      <c r="Q38" t="n">
        <v>136.4908565570049</v>
      </c>
      <c r="R38" t="n">
        <v>137.2061953064435</v>
      </c>
      <c r="S38" t="n">
        <v>136.4249335165109</v>
      </c>
      <c r="T38" t="n">
        <v>136.793233834178</v>
      </c>
      <c r="U38" t="n">
        <v>137.2874279515025</v>
      </c>
      <c r="V38" t="n">
        <v>137.36902838071</v>
      </c>
      <c r="W38" t="n">
        <v>137.2306181293806</v>
      </c>
      <c r="X38" t="n">
        <v>132.2802547140194</v>
      </c>
      <c r="Y38" t="n">
        <v>129.5055446398337</v>
      </c>
      <c r="Z38" t="n">
        <v>126.797396046186</v>
      </c>
      <c r="AA38" t="n">
        <v>126.5477783748518</v>
      </c>
      <c r="AB38" t="n">
        <v>128.6523770827476</v>
      </c>
      <c r="AC38" t="n">
        <v>130.6443332001743</v>
      </c>
      <c r="AD38" t="n">
        <v>128.4132750090801</v>
      </c>
      <c r="AE38" t="n">
        <v>129.4840282339433</v>
      </c>
      <c r="AF38" t="n">
        <v>129.1025926472264</v>
      </c>
      <c r="AG38" t="n">
        <v>127.847535744794</v>
      </c>
      <c r="AH38" t="n">
        <v>130.1532802068419</v>
      </c>
      <c r="AI38" t="n">
        <v>132.8373477802763</v>
      </c>
      <c r="AJ38" t="n">
        <v>133.3667700368264</v>
      </c>
      <c r="AK38" t="n">
        <v>133.5991166539235</v>
      </c>
      <c r="AL38" t="n">
        <v>133.6556271412231</v>
      </c>
      <c r="AM38" t="n">
        <v>133.4934351705031</v>
      </c>
      <c r="AN38" t="n">
        <v>132.8178328203996</v>
      </c>
      <c r="AO38" t="n">
        <v>133.1154106213783</v>
      </c>
      <c r="AP38" t="n">
        <v>133.9172579887495</v>
      </c>
      <c r="AQ38" t="n">
        <v>133.1001812103848</v>
      </c>
      <c r="AR38" t="n">
        <v>131.7578705679964</v>
      </c>
      <c r="AS38" t="n">
        <v>130.3881064453551</v>
      </c>
      <c r="AT38" t="n">
        <v>129.5598384618478</v>
      </c>
      <c r="AU38" t="n">
        <v>129.2281586657159</v>
      </c>
      <c r="AV38" t="n">
        <v>132.4779022171581</v>
      </c>
      <c r="AW38" t="n">
        <v>134.4979469478973</v>
      </c>
      <c r="AX38" t="n">
        <v>134.8404936266353</v>
      </c>
      <c r="AY38" t="n">
        <v>135.3139777105175</v>
      </c>
      <c r="AZ38" t="n">
        <v>134.3404019946161</v>
      </c>
      <c r="BA38" t="n">
        <v>135.2910035635059</v>
      </c>
      <c r="BB38" t="n">
        <v>135.6984871520491</v>
      </c>
      <c r="BC38" t="n">
        <v>136.9293057107043</v>
      </c>
      <c r="BD38" t="n">
        <v>136.7994613130066</v>
      </c>
      <c r="BE38" t="n">
        <v>137.0320752535575</v>
      </c>
      <c r="BF38" t="n">
        <v>136.1373205379186</v>
      </c>
      <c r="BG38" t="n">
        <v>137.0537505577279</v>
      </c>
      <c r="BH38" t="n">
        <v>135.5601317694881</v>
      </c>
      <c r="BI38" t="n">
        <v>136.4452301567908</v>
      </c>
      <c r="BJ38" t="n">
        <v>136.3933412026724</v>
      </c>
      <c r="BK38" t="n">
        <v>136.2001768898559</v>
      </c>
      <c r="BL38" t="n">
        <v>135.6014791094418</v>
      </c>
      <c r="BM38" t="n">
        <v>136.825010787345</v>
      </c>
      <c r="BN38" t="n">
        <v>136.1236849176393</v>
      </c>
      <c r="BO38" t="n">
        <v>136.4364113454463</v>
      </c>
      <c r="BP38" t="n">
        <v>136.060535620524</v>
      </c>
      <c r="BQ38" t="n">
        <v>135.6651300499511</v>
      </c>
      <c r="BR38" t="n">
        <v>135.0871903939404</v>
      </c>
      <c r="BS38" t="n">
        <v>135.9339694590694</v>
      </c>
      <c r="BT38" t="n">
        <v>136.3250493164541</v>
      </c>
      <c r="BU38" t="n">
        <v>135.1489231060696</v>
      </c>
      <c r="BV38" t="n">
        <v>136.6895367279448</v>
      </c>
      <c r="BW38" t="n">
        <v>136.6992564985324</v>
      </c>
      <c r="BX38" t="n">
        <v>135.3610728784251</v>
      </c>
      <c r="BY38" t="n">
        <v>135.3877938443481</v>
      </c>
      <c r="BZ38" t="n">
        <v>135.019607469074</v>
      </c>
      <c r="CA38" t="n">
        <v>134.5532596743827</v>
      </c>
      <c r="CB38" t="n">
        <v>135.0327343924776</v>
      </c>
      <c r="CC38" t="n">
        <v>134.9190528933774</v>
      </c>
      <c r="CD38" t="n">
        <v>134.4110821266311</v>
      </c>
      <c r="CE38" t="n">
        <v>134.6270687259686</v>
      </c>
      <c r="CF38" t="n">
        <v>134.2779789692756</v>
      </c>
      <c r="CG38" t="n">
        <v>133.8056207669589</v>
      </c>
      <c r="CH38" t="n">
        <v>135.2731409930557</v>
      </c>
      <c r="CI38" t="n">
        <v>134.8301251051009</v>
      </c>
      <c r="CJ38" t="n">
        <v>134.6940737779017</v>
      </c>
      <c r="CK38" t="n">
        <v>133.7290063489471</v>
      </c>
      <c r="CL38" t="n">
        <v>133.4759450564695</v>
      </c>
      <c r="CM38" t="n">
        <v>134.5541670636307</v>
      </c>
      <c r="CN38" t="n">
        <v>133.5914534169361</v>
      </c>
      <c r="CO38" t="n">
        <v>133.161292896107</v>
      </c>
      <c r="CP38" t="n">
        <v>133.4899107868898</v>
      </c>
      <c r="CQ38" t="n">
        <v>133.3774529134371</v>
      </c>
      <c r="CR38" t="n">
        <v>132.9965000973711</v>
      </c>
      <c r="CS38" t="n">
        <v>133.5523711268342</v>
      </c>
      <c r="CT38" t="n">
        <v>131.8320974103519</v>
      </c>
      <c r="CU38" t="n">
        <v>131.5002454443718</v>
      </c>
      <c r="CV38" t="n">
        <v>131.9563336321089</v>
      </c>
      <c r="CW38" t="n">
        <v>131.8391268241919</v>
      </c>
      <c r="CX38" t="n">
        <v>132.0372825599724</v>
      </c>
      <c r="CY38" t="n">
        <v>131.8540672060036</v>
      </c>
      <c r="CZ38" t="n">
        <v>131.9983765879159</v>
      </c>
      <c r="DA38" t="n">
        <v>131.7613263132085</v>
      </c>
      <c r="DB38" t="n">
        <v>131.1060597532458</v>
      </c>
      <c r="DC38" t="n">
        <v>132.0593580937047</v>
      </c>
      <c r="DD38" t="n">
        <v>131.6444889802333</v>
      </c>
      <c r="DE38" t="n">
        <v>131.2789704923797</v>
      </c>
      <c r="DF38" t="n">
        <v>130.5770910031473</v>
      </c>
      <c r="DG38" t="n">
        <v>129.8411375141164</v>
      </c>
      <c r="DH38" t="n">
        <v>130.4099581356242</v>
      </c>
      <c r="DI38" t="n">
        <v>130.8933717006917</v>
      </c>
      <c r="DJ38" t="n">
        <v>131.8058542346618</v>
      </c>
      <c r="DK38" t="n">
        <v>133.178742590491</v>
      </c>
      <c r="DL38" t="n">
        <v>131.0347300625718</v>
      </c>
      <c r="DM38" t="n">
        <v>131.8106495967209</v>
      </c>
      <c r="DN38" t="n">
        <v>131.1443392869042</v>
      </c>
      <c r="DO38" t="n">
        <v>130.4610723495104</v>
      </c>
      <c r="DP38" t="n">
        <v>131.6228371599538</v>
      </c>
      <c r="DQ38" t="n">
        <v>130.4779412890677</v>
      </c>
      <c r="DR38" t="n">
        <v>130.8037534547067</v>
      </c>
      <c r="DS38" t="n">
        <v>130.5176685312966</v>
      </c>
      <c r="DT38" t="n">
        <v>130.1197548309578</v>
      </c>
      <c r="DU38" t="n">
        <v>130.1187293852763</v>
      </c>
      <c r="DV38" t="n">
        <v>129.8633460942122</v>
      </c>
      <c r="DW38" t="n">
        <v>130.039702005368</v>
      </c>
      <c r="DX38" t="n">
        <v>129.9757001536703</v>
      </c>
      <c r="DY38" t="n">
        <v>130.4004932629498</v>
      </c>
      <c r="DZ38" t="n">
        <v>129.5327071145065</v>
      </c>
      <c r="EA38" t="n">
        <v>128.9238018034213</v>
      </c>
      <c r="EB38" t="n">
        <v>128.9644417877462</v>
      </c>
      <c r="EC38" t="n">
        <v>128.4463695113238</v>
      </c>
      <c r="ED38" t="n">
        <v>128.7846548792481</v>
      </c>
      <c r="EE38" t="n">
        <v>128.2658855924517</v>
      </c>
      <c r="EF38" t="n">
        <v>128.9003495884213</v>
      </c>
      <c r="EG38" t="n">
        <v>128.7088034637437</v>
      </c>
      <c r="EH38" t="n">
        <v>129.1135512189247</v>
      </c>
      <c r="EI38" t="n">
        <v>129.2863477763255</v>
      </c>
      <c r="EJ38" t="n">
        <v>128.6789165030408</v>
      </c>
      <c r="EK38" t="n">
        <v>128.626348224204</v>
      </c>
      <c r="EL38" t="n">
        <v>128.6725316085736</v>
      </c>
      <c r="EM38" t="n">
        <v>129.5539643516998</v>
      </c>
      <c r="EN38" t="n">
        <v>128.1911566229794</v>
      </c>
      <c r="EO38" t="n">
        <v>129.7590990327618</v>
      </c>
      <c r="EP38" t="n">
        <v>128.9644531523917</v>
      </c>
      <c r="EQ38" t="n">
        <v>129.8592913649468</v>
      </c>
      <c r="ER38" t="n">
        <v>129.8544634049569</v>
      </c>
      <c r="ES38" t="n">
        <v>130.5085767252375</v>
      </c>
      <c r="ET38" t="n">
        <v>130.3442987762647</v>
      </c>
      <c r="EU38" t="n">
        <v>130.401344421821</v>
      </c>
      <c r="EV38" t="n">
        <v>130.0675728460064</v>
      </c>
      <c r="EW38" t="n">
        <v>131.2590102666627</v>
      </c>
      <c r="EX38" t="n">
        <v>132.0268638994727</v>
      </c>
      <c r="EY38" t="n">
        <v>131.3497837881122</v>
      </c>
      <c r="EZ38" t="n">
        <v>132.0164980773447</v>
      </c>
      <c r="FA38" t="n">
        <v>131.8448938881614</v>
      </c>
      <c r="FB38" t="n">
        <v>131.770732078669</v>
      </c>
      <c r="FC38" t="n">
        <v>131.790301345972</v>
      </c>
      <c r="FD38" t="n">
        <v>132.0713258717913</v>
      </c>
      <c r="FE38" t="n">
        <v>131.4225815316229</v>
      </c>
      <c r="FF38" t="n">
        <v>132.6571392926214</v>
      </c>
      <c r="FG38" t="n">
        <v>132.1459633912538</v>
      </c>
      <c r="FH38" t="n">
        <v>131.9036054842764</v>
      </c>
      <c r="FI38" t="n">
        <v>132.2831091788792</v>
      </c>
      <c r="FJ38" t="n">
        <v>132.744207224231</v>
      </c>
      <c r="FK38" t="n">
        <v>132.2091646674027</v>
      </c>
      <c r="FL38" t="n">
        <v>131.7533592649763</v>
      </c>
      <c r="FM38" t="n">
        <v>132.1631489568579</v>
      </c>
      <c r="FN38" t="n">
        <v>131.6634343074498</v>
      </c>
      <c r="FO38" t="n">
        <v>131.9034208822217</v>
      </c>
      <c r="FP38" t="n">
        <v>131.8104469075952</v>
      </c>
      <c r="FQ38" t="n">
        <v>130.7600949484613</v>
      </c>
      <c r="FR38" t="n">
        <v>131.0959809765435</v>
      </c>
      <c r="FS38" t="n">
        <v>131.1445788025498</v>
      </c>
      <c r="FT38" t="n">
        <v>130.8803600829572</v>
      </c>
      <c r="FU38" t="n">
        <v>130.1686384625951</v>
      </c>
      <c r="FV38" t="n">
        <v>130.8929650596862</v>
      </c>
      <c r="FW38" t="n">
        <v>130.0081888166842</v>
      </c>
      <c r="FX38" t="n">
        <v>131.0707864012504</v>
      </c>
      <c r="FY38" t="n">
        <v>130.9258596069682</v>
      </c>
      <c r="FZ38" t="n">
        <v>131.2948590294945</v>
      </c>
      <c r="GA38" t="n">
        <v>131.5075490589535</v>
      </c>
      <c r="GB38" t="n">
        <v>131.3255951538519</v>
      </c>
      <c r="GC38" t="n">
        <v>131.3999618596663</v>
      </c>
      <c r="GD38" t="n">
        <v>131.7892515819608</v>
      </c>
      <c r="GE38" t="n">
        <v>132.2355383804295</v>
      </c>
      <c r="GF38" t="n">
        <v>132.4679667175454</v>
      </c>
      <c r="GG38" t="n">
        <v>132.2009393306213</v>
      </c>
      <c r="GH38" t="n">
        <v>132.0690680329031</v>
      </c>
      <c r="GI38" t="n">
        <v>131.8594291141179</v>
      </c>
      <c r="GJ38" t="n">
        <v>131.8809281366553</v>
      </c>
      <c r="GK38" t="n">
        <v>132.5519987070107</v>
      </c>
      <c r="GL38" t="n">
        <v>132.7575618984969</v>
      </c>
      <c r="GM38" t="n">
        <v>131.9731801667625</v>
      </c>
      <c r="GN38" t="n">
        <v>133.2186376322958</v>
      </c>
      <c r="GO38" t="n">
        <v>133.343023778598</v>
      </c>
      <c r="GP38" t="n">
        <v>132.5710534333283</v>
      </c>
      <c r="GQ38" t="n">
        <v>133.4110592963459</v>
      </c>
      <c r="GR38" t="n">
        <v>133.064046556074</v>
      </c>
      <c r="GS38" t="n">
        <v>133.0667466612606</v>
      </c>
      <c r="GT38" t="n">
        <v>133.5024257507998</v>
      </c>
      <c r="GU38" t="n">
        <v>133.285368103696</v>
      </c>
      <c r="GV38" t="n">
        <v>134.3973765826705</v>
      </c>
      <c r="GW38" t="n">
        <v>134.2482465379871</v>
      </c>
      <c r="GX38" t="n">
        <v>134.6607496780367</v>
      </c>
      <c r="GY38" t="n">
        <v>133.7879467620915</v>
      </c>
      <c r="GZ38" t="n">
        <v>134.0988844681863</v>
      </c>
      <c r="HA38" t="n">
        <v>133.8345219523945</v>
      </c>
      <c r="HB38" t="n">
        <v>133.8690619646708</v>
      </c>
      <c r="HC38" t="n">
        <v>133.4891216351168</v>
      </c>
      <c r="HD38" t="n">
        <v>132.9297317412389</v>
      </c>
      <c r="HE38" t="n">
        <v>132.1862943464062</v>
      </c>
      <c r="HF38" t="n">
        <v>132.1456991421608</v>
      </c>
      <c r="HG38" t="n">
        <v>132.4574734099759</v>
      </c>
      <c r="HH38" t="n">
        <v>132.1490669150677</v>
      </c>
      <c r="HI38" t="n">
        <v>132.4657749426106</v>
      </c>
      <c r="HJ38" t="n">
        <v>132.3714219324899</v>
      </c>
      <c r="HK38" t="n">
        <v>132.7944887758277</v>
      </c>
      <c r="HL38" t="n">
        <v>133.3617444077702</v>
      </c>
      <c r="HM38" t="n">
        <v>134.3324579514778</v>
      </c>
      <c r="HN38" t="n">
        <v>134.4189564978768</v>
      </c>
      <c r="HO38" t="n">
        <v>134.8005325214456</v>
      </c>
      <c r="HP38" t="n">
        <v>134.6559632496624</v>
      </c>
      <c r="HQ38" t="n">
        <v>134.86704059672</v>
      </c>
      <c r="HR38" t="n">
        <v>134.3291406419162</v>
      </c>
      <c r="HS38" t="n">
        <v>135.7675916619788</v>
      </c>
      <c r="HT38" t="n">
        <v>135.6201255115309</v>
      </c>
      <c r="HU38" t="n">
        <v>135.1429224789771</v>
      </c>
      <c r="HV38" t="n">
        <v>135.2611598703646</v>
      </c>
      <c r="HW38" t="n">
        <v>134.6650460646281</v>
      </c>
      <c r="HX38" t="n">
        <v>134.4989633290073</v>
      </c>
      <c r="HY38" t="n">
        <v>134.4170470527034</v>
      </c>
      <c r="HZ38" t="n">
        <v>134.2721088141404</v>
      </c>
      <c r="IA38" t="n">
        <v>135.8654901296618</v>
      </c>
      <c r="IB38" t="n">
        <v>135.8446115725673</v>
      </c>
      <c r="IC38" t="n">
        <v>135.4943721634776</v>
      </c>
      <c r="ID38" t="n">
        <v>136.0798189307046</v>
      </c>
      <c r="IE38" t="n">
        <v>136.0533173555239</v>
      </c>
      <c r="IF38" t="n">
        <v>135.7923565300588</v>
      </c>
      <c r="IG38" t="n">
        <v>136.2720672243704</v>
      </c>
      <c r="IH38" t="n">
        <v>136.2426982388027</v>
      </c>
      <c r="II38" t="n">
        <v>136.8965317336682</v>
      </c>
    </row>
    <row r="39">
      <c r="A39" s="6" t="inlineStr">
        <is>
          <t>Model Score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4" t="inlineStr">
        <is>
          <t>Gross Loss Adjustments (Dealer level, high PTI, etc.)</t>
        </is>
      </c>
      <c r="B40" t="n">
        <v>0.5501596898851346</v>
      </c>
      <c r="C40" t="n">
        <v>0.2882573569517319</v>
      </c>
      <c r="D40" t="n">
        <v>0.1828611774959938</v>
      </c>
      <c r="E40" t="n">
        <v>0.2781983614600563</v>
      </c>
      <c r="F40" t="n">
        <v>0.5920578004146364</v>
      </c>
      <c r="G40" t="n">
        <v>0.3115401862449119</v>
      </c>
      <c r="H40" t="n">
        <v>0.523176593613158</v>
      </c>
      <c r="I40" t="n">
        <v>-0.008911488969630454</v>
      </c>
      <c r="J40" t="n">
        <v>-0.02468451746364053</v>
      </c>
      <c r="K40" t="n">
        <v>0.1370683744451071</v>
      </c>
      <c r="L40" t="n">
        <v>0.2710272799804443</v>
      </c>
      <c r="M40" t="n">
        <v>0.2470540741066429</v>
      </c>
      <c r="N40" t="n">
        <v>0.1515606442380317</v>
      </c>
      <c r="O40" t="n">
        <v>0.2843539939295852</v>
      </c>
      <c r="P40" t="n">
        <v>0.3214682648975611</v>
      </c>
      <c r="Q40" t="n">
        <v>0.5496536789565596</v>
      </c>
      <c r="R40" t="n">
        <v>0.4453812196999536</v>
      </c>
      <c r="S40" t="n">
        <v>0.4872045441312594</v>
      </c>
      <c r="T40" t="n">
        <v>0.5701411668459002</v>
      </c>
      <c r="U40" t="n">
        <v>0.453969777632409</v>
      </c>
      <c r="V40" t="n">
        <v>0.6439230346732643</v>
      </c>
      <c r="W40" t="n">
        <v>0.6159434314063787</v>
      </c>
    </row>
    <row r="41" ht="24" customHeight="1" s="115">
      <c r="A41" s="3" t="inlineStr">
        <is>
          <t>Recovery Adjustments excluding LTV (Mileage, vehicle type, etc.)</t>
        </is>
      </c>
      <c r="B41" t="n">
        <v>-1.542172294106507</v>
      </c>
      <c r="C41" t="n">
        <v>-1.816971478255937</v>
      </c>
      <c r="D41" t="n">
        <v>-1.517112550381825</v>
      </c>
      <c r="E41" t="n">
        <v>-1.616768990919496</v>
      </c>
      <c r="F41" t="n">
        <v>-1.710551869964121</v>
      </c>
      <c r="G41" t="n">
        <v>-1.551404845524729</v>
      </c>
      <c r="H41" t="n">
        <v>-1.63237302930392</v>
      </c>
      <c r="I41" t="n">
        <v>-1.685633320001614</v>
      </c>
      <c r="J41" t="n">
        <v>-1.588877213715762</v>
      </c>
      <c r="K41" t="n">
        <v>-1.52466492615136</v>
      </c>
      <c r="L41" t="n">
        <v>-1.533525247986034</v>
      </c>
      <c r="M41" t="n">
        <v>-1.59600583825403</v>
      </c>
      <c r="N41" t="n">
        <v>-1.498709775535986</v>
      </c>
      <c r="O41" t="n">
        <v>-1.565766925379762</v>
      </c>
      <c r="P41" t="n">
        <v>-1.515613762539061</v>
      </c>
      <c r="Q41" t="n">
        <v>-1.486088155690879</v>
      </c>
      <c r="R41" t="n">
        <v>-1.424187956149154</v>
      </c>
      <c r="S41" t="n">
        <v>-1.20373141415476</v>
      </c>
      <c r="T41" t="n">
        <v>-1.273611294293772</v>
      </c>
      <c r="U41" t="n">
        <v>-0.9763328368105704</v>
      </c>
      <c r="V41" t="n">
        <v>-1.112774937133338</v>
      </c>
      <c r="W41" t="n">
        <v>-1.438701008415819</v>
      </c>
    </row>
    <row r="42">
      <c r="A42" s="4" t="inlineStr">
        <is>
          <t>LTV Adjustments</t>
        </is>
      </c>
      <c r="B42" t="n">
        <v>1.542172294106507</v>
      </c>
      <c r="C42" t="n">
        <v>1.816971478255937</v>
      </c>
      <c r="D42" t="n">
        <v>1.517112550381825</v>
      </c>
      <c r="E42" t="n">
        <v>1.616768990919496</v>
      </c>
      <c r="F42" t="n">
        <v>1.710551869964121</v>
      </c>
      <c r="G42" t="n">
        <v>1.551404845524729</v>
      </c>
      <c r="H42" t="n">
        <v>1.63237302930392</v>
      </c>
      <c r="I42" t="n">
        <v>1.685633320001614</v>
      </c>
      <c r="J42" t="n">
        <v>1.588877213715762</v>
      </c>
      <c r="K42" t="n">
        <v>1.52466492615136</v>
      </c>
      <c r="L42" t="n">
        <v>1.533525247986034</v>
      </c>
      <c r="M42" t="n">
        <v>1.59600583825403</v>
      </c>
      <c r="N42" t="n">
        <v>1.498709775535986</v>
      </c>
      <c r="O42" t="n">
        <v>1.565766925379762</v>
      </c>
      <c r="P42" t="n">
        <v>1.515613762539061</v>
      </c>
      <c r="Q42" t="n">
        <v>1.486088155690879</v>
      </c>
      <c r="R42" t="n">
        <v>1.424187956149154</v>
      </c>
      <c r="S42" t="n">
        <v>1.20373141415476</v>
      </c>
      <c r="T42" t="n">
        <v>1.273611294293772</v>
      </c>
      <c r="U42" t="n">
        <v>0.9763328368105704</v>
      </c>
      <c r="V42" t="n">
        <v>1.112774937133338</v>
      </c>
      <c r="W42" t="n">
        <v>1.438701008415819</v>
      </c>
    </row>
    <row r="43">
      <c r="A43" s="3" t="inlineStr">
        <is>
          <t>RAGU Score</t>
        </is>
      </c>
      <c r="B43" t="n">
        <v>136.4067421442219</v>
      </c>
      <c r="C43" t="n">
        <v>136.3828639300451</v>
      </c>
      <c r="D43" t="n">
        <v>136.2934177258951</v>
      </c>
      <c r="E43" t="n">
        <v>136.2634045539948</v>
      </c>
      <c r="F43" t="n">
        <v>137.0024352675969</v>
      </c>
      <c r="G43" t="n">
        <v>136.5791065052961</v>
      </c>
      <c r="H43" t="n">
        <v>136.6713369597712</v>
      </c>
      <c r="I43" t="n">
        <v>135.6044738508564</v>
      </c>
      <c r="J43" t="n">
        <v>135.8635332810904</v>
      </c>
      <c r="K43" t="n">
        <v>136.6827872320196</v>
      </c>
      <c r="L43" t="n">
        <v>136.9510519813318</v>
      </c>
      <c r="M43" t="n">
        <v>136.9062601894847</v>
      </c>
      <c r="N43" t="n">
        <v>136.6626621881527</v>
      </c>
      <c r="O43" t="n">
        <v>136.9688321959731</v>
      </c>
      <c r="P43" t="n">
        <v>136.8291452683296</v>
      </c>
      <c r="Q43" t="n">
        <v>137.0405102359614</v>
      </c>
      <c r="R43" t="n">
        <v>137.6515765261435</v>
      </c>
      <c r="S43" t="n">
        <v>136.9121380606421</v>
      </c>
      <c r="T43" t="n">
        <v>137.3633750010239</v>
      </c>
      <c r="U43" t="n">
        <v>137.7413977291349</v>
      </c>
      <c r="V43" t="n">
        <v>138.0129514153833</v>
      </c>
      <c r="W43" t="n">
        <v>137.8465615607869</v>
      </c>
    </row>
    <row r="44">
      <c r="A44" s="5" t="inlineStr">
        <is>
          <t>LTV</t>
        </is>
      </c>
      <c r="B44" t="n">
        <v>1.351663410045804</v>
      </c>
      <c r="C44" t="n">
        <v>1.337237349338236</v>
      </c>
      <c r="D44" t="n">
        <v>1.344365093256942</v>
      </c>
      <c r="E44" t="n">
        <v>1.344121622124919</v>
      </c>
      <c r="F44" t="n">
        <v>1.351099884120741</v>
      </c>
      <c r="G44" t="n">
        <v>1.340425193475157</v>
      </c>
      <c r="H44" t="n">
        <v>1.322058708126018</v>
      </c>
      <c r="I44" t="n">
        <v>1.279348266929212</v>
      </c>
      <c r="J44" t="n">
        <v>1.295542762638684</v>
      </c>
      <c r="K44" t="n">
        <v>1.291859918279013</v>
      </c>
      <c r="L44" t="n">
        <v>1.302492289370073</v>
      </c>
      <c r="M44" t="n">
        <v>1.297810898141068</v>
      </c>
      <c r="N44" t="n">
        <v>1.319573468462554</v>
      </c>
      <c r="O44" t="n">
        <v>1.282889807271903</v>
      </c>
      <c r="P44" t="n">
        <v>1.288421726477463</v>
      </c>
      <c r="Q44" t="n">
        <v>1.287181300315738</v>
      </c>
      <c r="R44" t="n">
        <v>1.286215969442864</v>
      </c>
      <c r="S44" t="n">
        <v>1.306501774585798</v>
      </c>
      <c r="T44" t="n">
        <v>1.325381183713095</v>
      </c>
      <c r="U44" t="n">
        <v>1.304389399780548</v>
      </c>
      <c r="V44" t="n">
        <v>1.293478835252249</v>
      </c>
      <c r="W44" t="n">
        <v>1.314507327976591</v>
      </c>
    </row>
    <row r="46">
      <c r="A46" s="1" t="inlineStr">
        <is>
          <t>nonKMXENT</t>
        </is>
      </c>
      <c r="B46" s="119">
        <f>B37</f>
        <v/>
      </c>
      <c r="C46" s="119">
        <f>C37</f>
        <v/>
      </c>
      <c r="D46" s="119">
        <f>D37</f>
        <v/>
      </c>
      <c r="E46" s="119">
        <f>E37</f>
        <v/>
      </c>
      <c r="F46" s="119">
        <f>F37</f>
        <v/>
      </c>
      <c r="G46" s="119">
        <f>G37</f>
        <v/>
      </c>
      <c r="H46" s="119">
        <f>H37</f>
        <v/>
      </c>
      <c r="I46" s="119">
        <f>I37</f>
        <v/>
      </c>
      <c r="J46" s="119">
        <f>J37</f>
        <v/>
      </c>
      <c r="K46" s="119">
        <f>K37</f>
        <v/>
      </c>
      <c r="L46" s="119">
        <f>L37</f>
        <v/>
      </c>
      <c r="M46" s="119">
        <f>M37</f>
        <v/>
      </c>
      <c r="N46" s="119">
        <f>N37</f>
        <v/>
      </c>
      <c r="O46" s="119">
        <f>O37</f>
        <v/>
      </c>
      <c r="P46" s="119">
        <f>P37</f>
        <v/>
      </c>
      <c r="Q46" s="119">
        <f>Q37</f>
        <v/>
      </c>
      <c r="R46" s="119">
        <f>R37</f>
        <v/>
      </c>
      <c r="S46" s="119">
        <f>S37</f>
        <v/>
      </c>
      <c r="T46" s="119">
        <f>T37</f>
        <v/>
      </c>
      <c r="U46" s="119">
        <f>U37</f>
        <v/>
      </c>
      <c r="V46" s="119">
        <f>V37</f>
        <v/>
      </c>
      <c r="W46" s="119">
        <f>W37</f>
        <v/>
      </c>
    </row>
    <row r="47">
      <c r="A47" s="101" t="inlineStr">
        <is>
          <t>Contract Model Score</t>
        </is>
      </c>
      <c r="B47" t="n">
        <v>138.3069449601409</v>
      </c>
      <c r="C47" t="n">
        <v>138.48908057686</v>
      </c>
      <c r="D47" t="n">
        <v>137.9969983318698</v>
      </c>
      <c r="E47" t="n">
        <v>138.5398796735425</v>
      </c>
      <c r="F47" t="n">
        <v>138.0209761056988</v>
      </c>
      <c r="G47" t="n">
        <v>138.0050326114553</v>
      </c>
      <c r="H47" t="n">
        <v>137.6798694637769</v>
      </c>
      <c r="I47" t="n">
        <v>136.442896095372</v>
      </c>
      <c r="J47" t="n">
        <v>137.0668018886987</v>
      </c>
      <c r="K47" t="n">
        <v>137.3283998286629</v>
      </c>
      <c r="L47" t="n">
        <v>137.6382916060487</v>
      </c>
      <c r="M47" t="n">
        <v>137.3266357939639</v>
      </c>
      <c r="N47" t="n">
        <v>137.8214240797368</v>
      </c>
      <c r="O47" t="n">
        <v>137.8849669935304</v>
      </c>
      <c r="P47" t="n">
        <v>138.6716339211372</v>
      </c>
      <c r="Q47" t="n">
        <v>138.8793167206958</v>
      </c>
      <c r="R47" t="n">
        <v>139.2579074885254</v>
      </c>
      <c r="S47" t="n">
        <v>139.1223296282085</v>
      </c>
      <c r="T47" t="n">
        <v>139.0372787212935</v>
      </c>
      <c r="U47" t="n">
        <v>138.6163544741102</v>
      </c>
      <c r="V47" t="n">
        <v>139.2483452337241</v>
      </c>
      <c r="W47" t="n">
        <v>139.1066367053363</v>
      </c>
      <c r="X47" t="n">
        <v>129.4366755669926</v>
      </c>
      <c r="Y47" t="n">
        <v>128.5449211659614</v>
      </c>
      <c r="Z47" t="n">
        <v>128.3523362883148</v>
      </c>
      <c r="AA47" t="n">
        <v>128.3990476110109</v>
      </c>
      <c r="AB47" t="n">
        <v>128.2149658867596</v>
      </c>
      <c r="AC47" t="n">
        <v>128.277563421238</v>
      </c>
      <c r="AD47" t="n">
        <v>127.4576732924489</v>
      </c>
      <c r="AE47" t="n">
        <v>127.2637675584477</v>
      </c>
      <c r="AF47" t="n">
        <v>127.4216673962189</v>
      </c>
      <c r="AG47" t="n">
        <v>127.5774949500708</v>
      </c>
      <c r="AH47" t="n">
        <v>129.5655306161735</v>
      </c>
      <c r="AI47" t="n">
        <v>128.7092477818361</v>
      </c>
      <c r="AJ47" t="n">
        <v>129.7159230908479</v>
      </c>
      <c r="AK47" t="n">
        <v>130.097293486342</v>
      </c>
      <c r="AL47" t="n">
        <v>129.9081845637471</v>
      </c>
      <c r="AM47" t="n">
        <v>130.1236660481183</v>
      </c>
      <c r="AN47" t="n">
        <v>130.1384597700551</v>
      </c>
      <c r="AO47" t="n">
        <v>129.5112453993026</v>
      </c>
      <c r="AP47" t="n">
        <v>130.1862668567398</v>
      </c>
      <c r="AQ47" t="n">
        <v>130.0277542987959</v>
      </c>
      <c r="AR47" t="n">
        <v>130.0186602399897</v>
      </c>
      <c r="AS47" t="n">
        <v>130.2744157656922</v>
      </c>
      <c r="AT47" t="n">
        <v>129.3972863910793</v>
      </c>
      <c r="AU47" t="n">
        <v>129.726346816525</v>
      </c>
      <c r="AV47" t="n">
        <v>129.6055874799986</v>
      </c>
      <c r="AW47" t="n">
        <v>130.261719675311</v>
      </c>
      <c r="AX47" t="n">
        <v>130.3220832259586</v>
      </c>
      <c r="AY47" t="n">
        <v>130.1873672094618</v>
      </c>
      <c r="AZ47" t="n">
        <v>130.9687768543475</v>
      </c>
      <c r="BA47" t="n">
        <v>131.3754334073987</v>
      </c>
      <c r="BB47" t="n">
        <v>130.7762014234252</v>
      </c>
      <c r="BC47" t="n">
        <v>130.7109220085752</v>
      </c>
      <c r="BD47" t="n">
        <v>131.5290599302833</v>
      </c>
      <c r="BE47" t="n">
        <v>131.3515223635061</v>
      </c>
      <c r="BF47" t="n">
        <v>131.8538465389478</v>
      </c>
      <c r="BG47" t="n">
        <v>131.3322123207326</v>
      </c>
      <c r="BH47" t="n">
        <v>131.8508030054208</v>
      </c>
      <c r="BI47" t="n">
        <v>131.6305650711575</v>
      </c>
      <c r="BJ47" t="n">
        <v>131.155408065714</v>
      </c>
      <c r="BK47" t="n">
        <v>131.5748427663939</v>
      </c>
      <c r="BL47" t="n">
        <v>131.5562100244055</v>
      </c>
      <c r="BM47" t="n">
        <v>130.9366502145113</v>
      </c>
      <c r="BN47" t="n">
        <v>131.0518243961956</v>
      </c>
      <c r="BO47" t="n">
        <v>130.986909669808</v>
      </c>
      <c r="BP47" t="n">
        <v>130.1505553667484</v>
      </c>
      <c r="BQ47" t="n">
        <v>131.3580417367324</v>
      </c>
      <c r="BR47" t="n">
        <v>131.2957574286184</v>
      </c>
      <c r="BS47" t="n">
        <v>131.779521167159</v>
      </c>
      <c r="BT47" t="n">
        <v>131.5776724658068</v>
      </c>
      <c r="BU47" t="n">
        <v>131.5336192338269</v>
      </c>
      <c r="BV47" t="n">
        <v>130.5866685217428</v>
      </c>
      <c r="BW47" t="n">
        <v>131.2657962689959</v>
      </c>
      <c r="BX47" t="n">
        <v>132.21451143874</v>
      </c>
      <c r="BY47" t="n">
        <v>131.5580099750076</v>
      </c>
      <c r="BZ47" t="n">
        <v>131.6784313859141</v>
      </c>
      <c r="CA47" t="n">
        <v>132.3785334156301</v>
      </c>
      <c r="CB47" t="n">
        <v>132.051405202998</v>
      </c>
      <c r="CC47" t="n">
        <v>132.1326714815028</v>
      </c>
      <c r="CD47" t="n">
        <v>131.6515641936066</v>
      </c>
      <c r="CE47" t="n">
        <v>132.7687969909596</v>
      </c>
      <c r="CF47" t="n">
        <v>131.4347334962036</v>
      </c>
      <c r="CG47" t="n">
        <v>131.8515365347247</v>
      </c>
      <c r="CH47" t="n">
        <v>132.1664245360473</v>
      </c>
      <c r="CI47" t="n">
        <v>131.8946524610611</v>
      </c>
      <c r="CJ47" t="n">
        <v>132.348572173101</v>
      </c>
      <c r="CK47" t="n">
        <v>132.364395641342</v>
      </c>
      <c r="CL47" t="n">
        <v>133.1450706877335</v>
      </c>
      <c r="CM47" t="n">
        <v>133.8124028217676</v>
      </c>
      <c r="CN47" t="n">
        <v>133.0693786539166</v>
      </c>
      <c r="CO47" t="n">
        <v>132.4240082924561</v>
      </c>
      <c r="CP47" t="n">
        <v>132.670332617501</v>
      </c>
      <c r="CQ47" t="n">
        <v>132.6302948153444</v>
      </c>
      <c r="CR47" t="n">
        <v>133.0864581163212</v>
      </c>
      <c r="CS47" t="n">
        <v>132.5063176693631</v>
      </c>
      <c r="CT47" t="n">
        <v>133.4919711430865</v>
      </c>
      <c r="CU47" t="n">
        <v>133.7531633878008</v>
      </c>
      <c r="CV47" t="n">
        <v>133.0918968607251</v>
      </c>
      <c r="CW47" t="n">
        <v>133.7596553237778</v>
      </c>
      <c r="CX47" t="n">
        <v>132.5434775845866</v>
      </c>
      <c r="CY47" t="n">
        <v>132.5798943707354</v>
      </c>
      <c r="CZ47" t="n">
        <v>132.5317438918233</v>
      </c>
      <c r="DA47" t="n">
        <v>133.5326336611231</v>
      </c>
      <c r="DB47" t="n">
        <v>132.1995386941895</v>
      </c>
      <c r="DC47" t="n">
        <v>132.7463740899208</v>
      </c>
      <c r="DD47" t="n">
        <v>133.1051354834738</v>
      </c>
      <c r="DE47" t="n">
        <v>133.5702421684487</v>
      </c>
      <c r="DF47" t="n">
        <v>132.0038726913671</v>
      </c>
      <c r="DG47" t="n">
        <v>131.7384793966554</v>
      </c>
      <c r="DH47" t="n">
        <v>131.5721218769838</v>
      </c>
      <c r="DI47" t="n">
        <v>133.1332472653576</v>
      </c>
      <c r="DJ47" t="n">
        <v>133.0194662219326</v>
      </c>
      <c r="DK47" t="n">
        <v>132.9752955785456</v>
      </c>
      <c r="DL47" t="n">
        <v>133.4425730891554</v>
      </c>
      <c r="DM47" t="n">
        <v>133.0915611968968</v>
      </c>
      <c r="DN47" t="n">
        <v>133.0459648719938</v>
      </c>
      <c r="DO47" t="n">
        <v>132.9542127797392</v>
      </c>
      <c r="DP47" t="n">
        <v>133.1856578356851</v>
      </c>
      <c r="DQ47" t="n">
        <v>132.9278595740678</v>
      </c>
      <c r="DR47" t="n">
        <v>133.0544929327867</v>
      </c>
      <c r="DS47" t="n">
        <v>132.443973444782</v>
      </c>
      <c r="DT47" t="n">
        <v>133.5301776219408</v>
      </c>
      <c r="DU47" t="n">
        <v>132.620707100683</v>
      </c>
      <c r="DV47" t="n">
        <v>132.1688442649998</v>
      </c>
      <c r="DW47" t="n">
        <v>132.5379325983748</v>
      </c>
      <c r="DX47" t="n">
        <v>132.5570342041521</v>
      </c>
      <c r="DY47" t="n">
        <v>136.339728288529</v>
      </c>
      <c r="DZ47" t="n">
        <v>132.2591342237461</v>
      </c>
      <c r="EA47" t="n">
        <v>132.6752843301788</v>
      </c>
      <c r="EB47" t="n">
        <v>132.4491044452903</v>
      </c>
      <c r="EC47" t="n">
        <v>132.4312171171919</v>
      </c>
      <c r="ED47" t="n">
        <v>131.3919015895854</v>
      </c>
      <c r="EE47" t="n">
        <v>132.5588569958135</v>
      </c>
      <c r="EF47" t="n">
        <v>132.9963912608985</v>
      </c>
      <c r="EG47" t="n">
        <v>131.7240907114381</v>
      </c>
      <c r="EH47" t="n">
        <v>132.2669210606126</v>
      </c>
      <c r="EI47" t="n">
        <v>132.5935988095548</v>
      </c>
      <c r="EJ47" t="n">
        <v>132.3429937816118</v>
      </c>
      <c r="EK47" t="n">
        <v>133.7057971470223</v>
      </c>
      <c r="EL47" t="n">
        <v>133.7027003266949</v>
      </c>
      <c r="EM47" t="n">
        <v>133.0335630717728</v>
      </c>
      <c r="EN47" t="n">
        <v>132.2275232314941</v>
      </c>
      <c r="EO47" t="n">
        <v>132.9086295773864</v>
      </c>
      <c r="EP47" t="n">
        <v>132.3397581971946</v>
      </c>
      <c r="EQ47" t="n">
        <v>132.1599384017404</v>
      </c>
      <c r="ER47" t="n">
        <v>132.9654101721788</v>
      </c>
      <c r="ES47" t="n">
        <v>132.8276893714934</v>
      </c>
      <c r="ET47" t="n">
        <v>132.5308996905867</v>
      </c>
      <c r="EU47" t="n">
        <v>132.658970043145</v>
      </c>
      <c r="EV47" t="n">
        <v>133.0782654315153</v>
      </c>
      <c r="EW47" t="n">
        <v>132.6829158885294</v>
      </c>
      <c r="EX47" t="n">
        <v>133.1242600110662</v>
      </c>
      <c r="EY47" t="n">
        <v>132.5707359751075</v>
      </c>
      <c r="EZ47" t="n">
        <v>132.5395493030543</v>
      </c>
      <c r="FA47" t="n">
        <v>132.4679995491927</v>
      </c>
      <c r="FB47" t="n">
        <v>132.7895814540037</v>
      </c>
      <c r="FC47" t="n">
        <v>132.9080336652746</v>
      </c>
      <c r="FD47" t="n">
        <v>131.9026056862829</v>
      </c>
      <c r="FE47" t="n">
        <v>132.5578176973755</v>
      </c>
      <c r="FF47" t="n">
        <v>131.2754018590244</v>
      </c>
      <c r="FG47" t="n">
        <v>131.8696751726774</v>
      </c>
      <c r="FH47" t="n">
        <v>132.7628803084125</v>
      </c>
      <c r="FI47" t="n">
        <v>132.3209998991867</v>
      </c>
      <c r="FJ47" t="n">
        <v>133.271117194914</v>
      </c>
      <c r="FK47" t="n">
        <v>132.3790495604077</v>
      </c>
      <c r="FL47" t="n">
        <v>131.5800809492735</v>
      </c>
      <c r="FM47" t="n">
        <v>132.5682515810625</v>
      </c>
      <c r="FN47" t="n">
        <v>132.9554116217753</v>
      </c>
      <c r="FO47" t="n">
        <v>132.8607598664615</v>
      </c>
      <c r="FP47" t="n">
        <v>133.1556838509235</v>
      </c>
      <c r="FQ47" t="n">
        <v>132.7115901276153</v>
      </c>
      <c r="FR47" t="n">
        <v>132.1474794280358</v>
      </c>
      <c r="FS47" t="n">
        <v>131.9077076791599</v>
      </c>
      <c r="FT47" t="n">
        <v>132.7606722561466</v>
      </c>
      <c r="FU47" t="n">
        <v>131.7537202524044</v>
      </c>
      <c r="FV47" t="n">
        <v>132.4190763821716</v>
      </c>
      <c r="FW47" t="n">
        <v>130.4763697228603</v>
      </c>
      <c r="FX47" t="n">
        <v>131.7860189339119</v>
      </c>
      <c r="FY47" t="n">
        <v>131.8631556050732</v>
      </c>
      <c r="FZ47" t="n">
        <v>133.1659660979652</v>
      </c>
      <c r="GA47" t="n">
        <v>131.5828172129372</v>
      </c>
      <c r="GB47" t="n">
        <v>132.3051767786229</v>
      </c>
      <c r="GC47" t="n">
        <v>132.3778489676127</v>
      </c>
      <c r="GD47" t="n">
        <v>131.1214708103428</v>
      </c>
      <c r="GE47" t="n">
        <v>132.2806217040972</v>
      </c>
      <c r="GF47" t="n">
        <v>132.1206644277067</v>
      </c>
      <c r="GG47" t="n">
        <v>132.0405413875895</v>
      </c>
      <c r="GH47" t="n">
        <v>132.3557147969256</v>
      </c>
      <c r="GI47" t="n">
        <v>130.8528716458444</v>
      </c>
      <c r="GJ47" t="n">
        <v>130.9631098700603</v>
      </c>
      <c r="GK47" t="n">
        <v>131.9699592313563</v>
      </c>
      <c r="GL47" t="n">
        <v>131.3663590230386</v>
      </c>
      <c r="GM47" t="n">
        <v>131.6928424902869</v>
      </c>
      <c r="GN47" t="n">
        <v>131.5822227889829</v>
      </c>
      <c r="GO47" t="n">
        <v>130.9969865136786</v>
      </c>
      <c r="GP47" t="n">
        <v>131.0875645096914</v>
      </c>
      <c r="GQ47" t="n">
        <v>130.2699954418578</v>
      </c>
      <c r="GR47" t="n">
        <v>130.425974024864</v>
      </c>
      <c r="GS47" t="n">
        <v>130.4642439039609</v>
      </c>
      <c r="GT47" t="n">
        <v>130.3985596936576</v>
      </c>
      <c r="GU47" t="n">
        <v>130.5376392972293</v>
      </c>
      <c r="GV47" t="n">
        <v>129.9028612639015</v>
      </c>
      <c r="GW47" t="n">
        <v>130.265181908963</v>
      </c>
      <c r="GX47" t="n">
        <v>130.19381318366</v>
      </c>
      <c r="GY47" t="n">
        <v>130.0768451244732</v>
      </c>
      <c r="GZ47" t="n">
        <v>130.5895348733875</v>
      </c>
      <c r="HA47" t="n">
        <v>129.7755975838943</v>
      </c>
      <c r="HB47" t="n">
        <v>130.6620459408512</v>
      </c>
      <c r="HC47" t="n">
        <v>130.352604994775</v>
      </c>
      <c r="HD47" t="n">
        <v>129.9669446151238</v>
      </c>
      <c r="HE47" t="n">
        <v>130.3633046163449</v>
      </c>
      <c r="HF47" t="n">
        <v>130.9193822492783</v>
      </c>
      <c r="HG47" t="n">
        <v>130.1777562385084</v>
      </c>
      <c r="HH47" t="n">
        <v>131.0818333520952</v>
      </c>
      <c r="HI47" t="n">
        <v>130.1120931333814</v>
      </c>
      <c r="HJ47" t="n">
        <v>129.8548787856787</v>
      </c>
      <c r="HK47" t="n">
        <v>130.0607346576597</v>
      </c>
      <c r="HL47" t="n">
        <v>130.7187689707075</v>
      </c>
      <c r="HM47" t="n">
        <v>130.1012923330741</v>
      </c>
      <c r="HN47" t="n">
        <v>129.6222383333217</v>
      </c>
      <c r="HO47" t="n">
        <v>129.6792062208774</v>
      </c>
      <c r="HP47" t="n">
        <v>129.8749327338444</v>
      </c>
      <c r="HQ47" t="n">
        <v>129.3599106138267</v>
      </c>
      <c r="HR47" t="n">
        <v>129.0074745680487</v>
      </c>
      <c r="HS47" t="n">
        <v>129.4231608786159</v>
      </c>
      <c r="HT47" t="n">
        <v>128.7826992394325</v>
      </c>
      <c r="HU47" t="n">
        <v>128.9709118441466</v>
      </c>
      <c r="HV47" t="n">
        <v>129.9617617905683</v>
      </c>
      <c r="HW47" t="n">
        <v>129.8071116328112</v>
      </c>
      <c r="HX47" t="n">
        <v>129.0189829592009</v>
      </c>
      <c r="HY47" t="n">
        <v>130.0538406124101</v>
      </c>
      <c r="HZ47" t="n">
        <v>131.5871175644858</v>
      </c>
      <c r="IA47" t="n">
        <v>130.8008733709266</v>
      </c>
      <c r="IB47" t="n">
        <v>130.653393789288</v>
      </c>
      <c r="IC47" t="n">
        <v>130.559433741717</v>
      </c>
      <c r="ID47" t="n">
        <v>131.3530049434942</v>
      </c>
      <c r="IE47" t="n">
        <v>130.8289504680489</v>
      </c>
      <c r="IF47" t="n">
        <v>131.3404481150993</v>
      </c>
      <c r="IG47" t="n">
        <v>130.9811329317391</v>
      </c>
      <c r="IH47" t="n">
        <v>131.6079169864885</v>
      </c>
      <c r="II47" t="n">
        <v>131.9440135354713</v>
      </c>
      <c r="IJ47" t="n">
        <v>129.9050559150307</v>
      </c>
      <c r="IK47" t="n">
        <v>131.0470195248209</v>
      </c>
      <c r="IL47" t="n">
        <v>131.576050565139</v>
      </c>
      <c r="IM47" t="n">
        <v>130.4058512566288</v>
      </c>
      <c r="IN47" t="n">
        <v>130.588526905715</v>
      </c>
      <c r="IO47" t="n">
        <v>130.5100534089288</v>
      </c>
      <c r="IP47" t="n">
        <v>130.987265578535</v>
      </c>
      <c r="IQ47" t="n">
        <v>132.1296982879676</v>
      </c>
      <c r="IR47" t="n">
        <v>133.1392349982223</v>
      </c>
      <c r="IS47" t="n">
        <v>133.9361405746417</v>
      </c>
      <c r="IT47" t="n">
        <v>133.5703165582634</v>
      </c>
      <c r="IU47" t="n">
        <v>134.4661529247319</v>
      </c>
      <c r="IV47" t="n">
        <v>134.6128835678837</v>
      </c>
      <c r="IW47" t="n">
        <v>134.9621102777361</v>
      </c>
      <c r="IX47" t="n">
        <v>134.9212513553177</v>
      </c>
      <c r="IY47" t="n">
        <v>134.8531931970022</v>
      </c>
      <c r="IZ47" t="n">
        <v>135.499658817364</v>
      </c>
      <c r="JA47" t="n">
        <v>135.1097905276617</v>
      </c>
      <c r="JB47" t="n">
        <v>135.5161226147495</v>
      </c>
      <c r="JC47" t="n">
        <v>135.2046206406283</v>
      </c>
      <c r="JD47" t="n">
        <v>135.3958913075526</v>
      </c>
      <c r="JE47" t="n">
        <v>134.3739304844507</v>
      </c>
      <c r="JF47" t="n">
        <v>135.5616593183046</v>
      </c>
      <c r="JG47" t="n">
        <v>135.7387753812612</v>
      </c>
      <c r="JH47" t="n">
        <v>136.0464809550595</v>
      </c>
      <c r="JI47" t="n">
        <v>135.1807412942018</v>
      </c>
      <c r="JJ47" t="n">
        <v>135.5437974235463</v>
      </c>
      <c r="JK47" t="n">
        <v>135.3899518226006</v>
      </c>
      <c r="JL47" t="n">
        <v>135.9574146657444</v>
      </c>
      <c r="JM47" t="n">
        <v>134.5348469350064</v>
      </c>
      <c r="JN47" t="n">
        <v>134.2109167377152</v>
      </c>
      <c r="JO47" t="n">
        <v>135.1832620711747</v>
      </c>
      <c r="JP47" t="n">
        <v>135.8338370775327</v>
      </c>
      <c r="JQ47" t="n">
        <v>134.9740011584868</v>
      </c>
      <c r="JR47" t="n">
        <v>133.9910722523193</v>
      </c>
      <c r="JS47" t="n">
        <v>134.8500699652749</v>
      </c>
      <c r="JT47" t="n">
        <v>133.5751899715522</v>
      </c>
      <c r="JU47" t="n">
        <v>134.425625352968</v>
      </c>
      <c r="JV47" t="n">
        <v>135.59945211328</v>
      </c>
      <c r="JW47" t="n">
        <v>136.2819649167194</v>
      </c>
      <c r="JX47" t="n">
        <v>135.4298655817423</v>
      </c>
      <c r="JY47" t="n">
        <v>135.8752284548893</v>
      </c>
      <c r="JZ47" t="n">
        <v>135.647548963347</v>
      </c>
      <c r="KA47" t="n">
        <v>136.4046649263287</v>
      </c>
      <c r="KB47" t="n">
        <v>135.9785260276045</v>
      </c>
      <c r="KC47" t="n">
        <v>136.8921826997204</v>
      </c>
      <c r="KD47" t="n">
        <v>135.3905744052574</v>
      </c>
      <c r="KE47" t="n">
        <v>135.618485892994</v>
      </c>
      <c r="KF47" t="n">
        <v>135.7954610373916</v>
      </c>
      <c r="KG47" t="n">
        <v>134.9814150566963</v>
      </c>
      <c r="KH47" t="n">
        <v>135.0731429013061</v>
      </c>
      <c r="KI47" t="n">
        <v>135.8128127232319</v>
      </c>
      <c r="KJ47" t="n">
        <v>135.6920475855359</v>
      </c>
      <c r="KK47" t="n">
        <v>134.8135652080285</v>
      </c>
      <c r="KL47" t="n">
        <v>135.0317648430664</v>
      </c>
      <c r="KM47" t="n">
        <v>134.9610038892463</v>
      </c>
      <c r="KN47" t="n">
        <v>135.1631809164054</v>
      </c>
      <c r="KO47" t="n">
        <v>135.5886623920226</v>
      </c>
      <c r="KP47" t="n">
        <v>135.5478889296833</v>
      </c>
      <c r="KQ47" t="n">
        <v>135.5149594877609</v>
      </c>
      <c r="KR47" t="n">
        <v>135.4447233019797</v>
      </c>
      <c r="KS47" t="n">
        <v>135.3246040757968</v>
      </c>
      <c r="KT47" t="n">
        <v>136.160375575132</v>
      </c>
      <c r="KU47" t="n">
        <v>135.7215447271253</v>
      </c>
      <c r="KV47" t="n">
        <v>135.0434748276953</v>
      </c>
      <c r="KW47" t="n">
        <v>135.1816648588594</v>
      </c>
      <c r="KX47" t="n">
        <v>135.6035031963929</v>
      </c>
      <c r="KY47" t="n">
        <v>135.1711579039106</v>
      </c>
      <c r="KZ47" t="n">
        <v>135.4998036787183</v>
      </c>
      <c r="LA47" t="n">
        <v>135.241161671624</v>
      </c>
      <c r="LB47" t="n">
        <v>134.263292798759</v>
      </c>
      <c r="LC47" t="n">
        <v>135.0264634168149</v>
      </c>
      <c r="LD47" t="n">
        <v>134.8658611844318</v>
      </c>
      <c r="LE47" t="n">
        <v>134.7629130544495</v>
      </c>
      <c r="LF47" t="n">
        <v>135.7687668818482</v>
      </c>
      <c r="LG47" t="n">
        <v>137.6158474867991</v>
      </c>
      <c r="LH47" t="n">
        <v>135.0972402376601</v>
      </c>
      <c r="LI47" t="n">
        <v>135.4345570861618</v>
      </c>
      <c r="LJ47" t="n">
        <v>134.6199371761563</v>
      </c>
      <c r="LK47" t="n">
        <v>134.6448026690314</v>
      </c>
      <c r="LL47" t="n">
        <v>134.5549146400944</v>
      </c>
      <c r="LM47" t="n">
        <v>134.8279254062188</v>
      </c>
      <c r="LN47" t="n">
        <v>134.9286004190753</v>
      </c>
      <c r="LO47" t="n">
        <v>134.5999049590955</v>
      </c>
      <c r="LP47" t="n">
        <v>134.4212719503778</v>
      </c>
      <c r="LQ47" t="n">
        <v>134.6388646568559</v>
      </c>
      <c r="LR47" t="n">
        <v>134.5883687989498</v>
      </c>
      <c r="LS47" t="n">
        <v>134.0022894219722</v>
      </c>
      <c r="LT47" t="n">
        <v>134.0927151095837</v>
      </c>
      <c r="LU47" t="n">
        <v>133.6533333804643</v>
      </c>
      <c r="LV47" t="n">
        <v>132.2767345093926</v>
      </c>
      <c r="LW47" t="n">
        <v>131.4437115868827</v>
      </c>
      <c r="LX47" t="n">
        <v>132.3422128503208</v>
      </c>
      <c r="LY47" t="n">
        <v>132.9787734872871</v>
      </c>
      <c r="LZ47" t="n">
        <v>133.799341252237</v>
      </c>
      <c r="MA47" t="n">
        <v>133.9211986127811</v>
      </c>
      <c r="MB47" t="n">
        <v>134.1102215962234</v>
      </c>
      <c r="MC47" t="n">
        <v>135.1515496848311</v>
      </c>
      <c r="MD47" t="n">
        <v>134.2489663923843</v>
      </c>
      <c r="ME47" t="n">
        <v>134.441332125134</v>
      </c>
      <c r="MF47" t="n">
        <v>134.0772006943335</v>
      </c>
      <c r="MG47" t="n">
        <v>133.6535261045108</v>
      </c>
      <c r="MH47" t="n">
        <v>133.3705617751276</v>
      </c>
      <c r="MI47" t="n">
        <v>133.7380676304866</v>
      </c>
      <c r="MJ47" t="n">
        <v>134.6205784194432</v>
      </c>
      <c r="MK47" t="n">
        <v>134.1211697086307</v>
      </c>
      <c r="ML47" t="n">
        <v>133.74026949266</v>
      </c>
      <c r="MM47" t="n">
        <v>134.0194395105949</v>
      </c>
      <c r="MN47" t="n">
        <v>134.6312149545173</v>
      </c>
      <c r="MO47" t="n">
        <v>135.4368034874354</v>
      </c>
      <c r="MP47" t="n">
        <v>134.5848650955103</v>
      </c>
      <c r="MQ47" t="n">
        <v>135.9596697401976</v>
      </c>
      <c r="MR47" t="n">
        <v>136.0668921765714</v>
      </c>
      <c r="MS47" t="n">
        <v>136.1435804686035</v>
      </c>
      <c r="MT47" t="n">
        <v>136.3081173919237</v>
      </c>
      <c r="MU47" t="n">
        <v>136.2607129244612</v>
      </c>
      <c r="MV47" t="n">
        <v>136.6428688134505</v>
      </c>
      <c r="MW47" t="n">
        <v>136.7141528979274</v>
      </c>
      <c r="MX47" t="n">
        <v>137.1860962056202</v>
      </c>
      <c r="MY47" t="n">
        <v>137.1406562184825</v>
      </c>
      <c r="MZ47" t="n">
        <v>137.4493711522362</v>
      </c>
      <c r="NA47" t="n">
        <v>137.2609603699645</v>
      </c>
      <c r="NB47" t="n">
        <v>137.1636948460492</v>
      </c>
      <c r="NC47" t="n">
        <v>137.0263445189422</v>
      </c>
      <c r="ND47" t="n">
        <v>137.3937477024863</v>
      </c>
      <c r="NE47" t="n">
        <v>136.8303733191117</v>
      </c>
      <c r="NF47" t="n">
        <v>137.066717054397</v>
      </c>
      <c r="NG47" t="n">
        <v>137.4535032858257</v>
      </c>
      <c r="NH47" t="n">
        <v>137.4750787640248</v>
      </c>
      <c r="NI47" t="n">
        <v>137.56850705969</v>
      </c>
      <c r="NJ47" t="n">
        <v>137.4283449038819</v>
      </c>
      <c r="NK47" t="n">
        <v>138.1249503719295</v>
      </c>
      <c r="NL47" t="n">
        <v>137.1443913441433</v>
      </c>
      <c r="NM47" t="n">
        <v>137.5584643703711</v>
      </c>
      <c r="NN47" t="n">
        <v>137.5098874406397</v>
      </c>
      <c r="NO47" t="n">
        <v>136.5595269476387</v>
      </c>
      <c r="NP47" t="n">
        <v>137.2863264188371</v>
      </c>
      <c r="NQ47" t="n">
        <v>136.8339492709661</v>
      </c>
      <c r="NR47" t="n">
        <v>137.7003190963496</v>
      </c>
      <c r="NS47" t="n">
        <v>138.4440804927237</v>
      </c>
      <c r="NT47" t="n">
        <v>138.7433681465561</v>
      </c>
      <c r="NU47" t="n">
        <v>139.0679398797351</v>
      </c>
      <c r="NV47" t="n">
        <v>140.4476834325815</v>
      </c>
      <c r="NW47" t="n">
        <v>139.7980532434825</v>
      </c>
      <c r="NX47" t="n">
        <v>138.9172862666543</v>
      </c>
      <c r="NY47" t="n">
        <v>139.1625214554159</v>
      </c>
      <c r="NZ47" t="n">
        <v>139.1682773520638</v>
      </c>
      <c r="OA47" t="n">
        <v>139.4510512774862</v>
      </c>
      <c r="OB47" t="n">
        <v>139.5343423106931</v>
      </c>
      <c r="OC47" t="n">
        <v>139.7698404179826</v>
      </c>
      <c r="OD47" t="n">
        <v>139.044439686516</v>
      </c>
      <c r="OE47" t="n">
        <v>139.5944666688968</v>
      </c>
      <c r="OF47" t="n">
        <v>139.661939500877</v>
      </c>
      <c r="OG47" t="n">
        <v>140.0950939098672</v>
      </c>
      <c r="OH47" t="n">
        <v>139.7712546142913</v>
      </c>
      <c r="OI47" t="n">
        <v>140.8118131342077</v>
      </c>
      <c r="OJ47" t="n">
        <v>139.9851054549602</v>
      </c>
      <c r="OK47" t="n">
        <v>139.4067955981517</v>
      </c>
      <c r="OL47" t="n">
        <v>138.4994109271431</v>
      </c>
      <c r="OM47" t="n">
        <v>138.8081404183925</v>
      </c>
      <c r="ON47" t="n">
        <v>139.4023321683914</v>
      </c>
      <c r="OO47" t="n">
        <v>138.9687328045075</v>
      </c>
      <c r="OP47" t="n">
        <v>139.1247402256478</v>
      </c>
      <c r="OQ47" t="n">
        <v>139.2128491651833</v>
      </c>
      <c r="OR47" t="n">
        <v>138.0226466581292</v>
      </c>
      <c r="OS47" t="n">
        <v>139.573564015023</v>
      </c>
      <c r="OT47" t="n">
        <v>138.7162477696127</v>
      </c>
      <c r="OU47" t="n">
        <v>139.5631978321513</v>
      </c>
      <c r="OV47" t="n">
        <v>138.6629362476824</v>
      </c>
      <c r="OW47" t="n">
        <v>138.5368896295849</v>
      </c>
      <c r="OX47" t="n">
        <v>138.5017323105825</v>
      </c>
      <c r="OY47" t="n">
        <v>138.1953057059577</v>
      </c>
      <c r="OZ47" t="n">
        <v>138.1806930851325</v>
      </c>
      <c r="PA47" t="n">
        <v>138.7351211846521</v>
      </c>
      <c r="PB47" t="n">
        <v>138.9990548892015</v>
      </c>
      <c r="PC47" t="n">
        <v>138.6837301180752</v>
      </c>
      <c r="PD47" t="n">
        <v>137.0216084892333</v>
      </c>
      <c r="PE47" t="n">
        <v>138.1195939365343</v>
      </c>
      <c r="PF47" t="n">
        <v>138.0995329618796</v>
      </c>
      <c r="PG47" t="n">
        <v>138.2747071325049</v>
      </c>
      <c r="PH47" t="n">
        <v>138.7078276684175</v>
      </c>
      <c r="PI47" t="n">
        <v>139.2881962992603</v>
      </c>
      <c r="PJ47" t="n">
        <v>139.1567351504789</v>
      </c>
      <c r="PK47" t="n">
        <v>139.673740765403</v>
      </c>
      <c r="PL47" t="n">
        <v>139.1532856287538</v>
      </c>
      <c r="PM47" t="n">
        <v>139.3517237719866</v>
      </c>
      <c r="PN47" t="n">
        <v>139.887527837674</v>
      </c>
      <c r="PO47" t="n">
        <v>139.2807625920754</v>
      </c>
      <c r="PP47" t="n">
        <v>139.4553331666039</v>
      </c>
      <c r="PQ47" t="n">
        <v>140.2717348244631</v>
      </c>
      <c r="PR47" t="n">
        <v>139.2214892445372</v>
      </c>
      <c r="PS47" t="n">
        <v>139.048314321736</v>
      </c>
      <c r="PT47" t="n">
        <v>137.9330675860744</v>
      </c>
      <c r="PU47" t="n">
        <v>137.951753395101</v>
      </c>
      <c r="PV47" t="n">
        <v>138.51956905452</v>
      </c>
      <c r="PW47" t="n">
        <v>137.7459074031367</v>
      </c>
      <c r="PX47" t="n">
        <v>137.5377636273541</v>
      </c>
      <c r="PY47" t="n">
        <v>138.0782533437749</v>
      </c>
      <c r="PZ47" t="n">
        <v>138.0327044743128</v>
      </c>
      <c r="QA47" t="n">
        <v>138.4729399592227</v>
      </c>
      <c r="QB47" t="n">
        <v>137.6142581880166</v>
      </c>
      <c r="QC47" t="n">
        <v>137.9436458074462</v>
      </c>
      <c r="QD47" t="n">
        <v>137.9007079569103</v>
      </c>
      <c r="QE47" t="n">
        <v>135.8077868998105</v>
      </c>
      <c r="QF47" t="n">
        <v>139.7287900269544</v>
      </c>
      <c r="QG47" t="n">
        <v>138.3069449601409</v>
      </c>
      <c r="QH47" t="n">
        <v>138.48908057686</v>
      </c>
      <c r="QI47" t="n">
        <v>137.9969983318698</v>
      </c>
      <c r="QJ47" t="n">
        <v>138.5398796735425</v>
      </c>
      <c r="QK47" t="n">
        <v>138.0209761056988</v>
      </c>
      <c r="QL47" t="n">
        <v>138.0050326114553</v>
      </c>
      <c r="QM47" t="n">
        <v>137.6798694637769</v>
      </c>
      <c r="QN47" t="n">
        <v>136.442896095372</v>
      </c>
      <c r="QO47" t="n">
        <v>137.0668018886987</v>
      </c>
      <c r="QP47" t="n">
        <v>137.3283998286629</v>
      </c>
      <c r="QQ47" t="n">
        <v>137.6382916060487</v>
      </c>
      <c r="QR47" t="n">
        <v>137.3266357939639</v>
      </c>
      <c r="QS47" t="n">
        <v>137.8214240797368</v>
      </c>
      <c r="QT47" t="n">
        <v>137.8849669935304</v>
      </c>
      <c r="QU47" t="n">
        <v>138.6716339211372</v>
      </c>
      <c r="QV47" t="n">
        <v>138.8793167206958</v>
      </c>
      <c r="QW47" t="n">
        <v>139.2579074885254</v>
      </c>
      <c r="QX47" t="n">
        <v>139.1223296282085</v>
      </c>
      <c r="QY47" t="n">
        <v>139.0372787212935</v>
      </c>
      <c r="QZ47" t="n">
        <v>138.6163544741102</v>
      </c>
      <c r="RA47" t="n">
        <v>139.2483452337241</v>
      </c>
      <c r="RB47" t="n">
        <v>139.1066367053363</v>
      </c>
      <c r="RC47" t="n">
        <v>129.4366755669926</v>
      </c>
      <c r="RD47" t="n">
        <v>128.5449211659614</v>
      </c>
      <c r="RE47" t="n">
        <v>128.3523362883148</v>
      </c>
      <c r="RF47" t="n">
        <v>128.3990476110109</v>
      </c>
      <c r="RG47" t="n">
        <v>128.2149658867596</v>
      </c>
      <c r="RH47" t="n">
        <v>128.277563421238</v>
      </c>
      <c r="RI47" t="n">
        <v>127.4576732924489</v>
      </c>
      <c r="RJ47" t="n">
        <v>127.2637675584477</v>
      </c>
      <c r="RK47" t="n">
        <v>127.4216673962189</v>
      </c>
      <c r="RL47" t="n">
        <v>127.5774949500708</v>
      </c>
      <c r="RM47" t="n">
        <v>129.5655306161735</v>
      </c>
      <c r="RN47" t="n">
        <v>128.7092477818361</v>
      </c>
      <c r="RO47" t="n">
        <v>129.7159230908479</v>
      </c>
      <c r="RP47" t="n">
        <v>130.097293486342</v>
      </c>
      <c r="RQ47" t="n">
        <v>129.9081845637471</v>
      </c>
      <c r="RR47" t="n">
        <v>130.1236660481183</v>
      </c>
      <c r="RS47" t="n">
        <v>130.1384597700551</v>
      </c>
      <c r="RT47" t="n">
        <v>129.5112453993026</v>
      </c>
      <c r="RU47" t="n">
        <v>130.1862668567398</v>
      </c>
      <c r="RV47" t="n">
        <v>130.0277542987959</v>
      </c>
      <c r="RW47" t="n">
        <v>130.0186602399897</v>
      </c>
      <c r="RX47" t="n">
        <v>130.2744157656922</v>
      </c>
      <c r="RY47" t="n">
        <v>129.3972863910793</v>
      </c>
      <c r="RZ47" t="n">
        <v>129.726346816525</v>
      </c>
      <c r="SA47" t="n">
        <v>129.6055874799986</v>
      </c>
      <c r="SB47" t="n">
        <v>130.261719675311</v>
      </c>
      <c r="SC47" t="n">
        <v>130.3220832259586</v>
      </c>
      <c r="SD47" t="n">
        <v>130.1873672094618</v>
      </c>
      <c r="SE47" t="n">
        <v>130.9687768543475</v>
      </c>
      <c r="SF47" t="n">
        <v>131.3754334073987</v>
      </c>
      <c r="SG47" t="n">
        <v>130.7762014234252</v>
      </c>
      <c r="SH47" t="n">
        <v>130.7109220085752</v>
      </c>
      <c r="SI47" t="n">
        <v>131.5290599302833</v>
      </c>
      <c r="SJ47" t="n">
        <v>131.3515223635061</v>
      </c>
      <c r="SK47" t="n">
        <v>131.8538465389478</v>
      </c>
      <c r="SL47" t="n">
        <v>131.3322123207326</v>
      </c>
      <c r="SM47" t="n">
        <v>131.8508030054208</v>
      </c>
      <c r="SN47" t="n">
        <v>131.6305650711575</v>
      </c>
      <c r="SO47" t="n">
        <v>131.155408065714</v>
      </c>
      <c r="SP47" t="n">
        <v>131.5748427663939</v>
      </c>
      <c r="SQ47" t="n">
        <v>131.5562100244055</v>
      </c>
      <c r="SR47" t="n">
        <v>130.9366502145113</v>
      </c>
      <c r="SS47" t="n">
        <v>131.0518243961956</v>
      </c>
      <c r="ST47" t="n">
        <v>130.986909669808</v>
      </c>
      <c r="SU47" t="n">
        <v>130.1505553667484</v>
      </c>
      <c r="SV47" t="n">
        <v>131.3580417367324</v>
      </c>
      <c r="SW47" t="n">
        <v>131.2957574286184</v>
      </c>
      <c r="SX47" t="n">
        <v>131.779521167159</v>
      </c>
      <c r="SY47" t="n">
        <v>131.5776724658068</v>
      </c>
      <c r="SZ47" t="n">
        <v>131.5336192338269</v>
      </c>
      <c r="TA47" t="n">
        <v>130.5866685217428</v>
      </c>
      <c r="TB47" t="n">
        <v>131.2657962689959</v>
      </c>
      <c r="TC47" t="n">
        <v>132.21451143874</v>
      </c>
      <c r="TD47" t="n">
        <v>131.5580099750076</v>
      </c>
      <c r="TE47" t="n">
        <v>131.6784313859141</v>
      </c>
      <c r="TF47" t="n">
        <v>132.3785334156301</v>
      </c>
      <c r="TG47" t="n">
        <v>132.051405202998</v>
      </c>
      <c r="TH47" t="n">
        <v>132.1326714815028</v>
      </c>
      <c r="TI47" t="n">
        <v>131.6515641936066</v>
      </c>
      <c r="TJ47" t="n">
        <v>132.7687969909596</v>
      </c>
      <c r="TK47" t="n">
        <v>131.4347334962036</v>
      </c>
      <c r="TL47" t="n">
        <v>131.8515365347247</v>
      </c>
      <c r="TM47" t="n">
        <v>132.1664245360473</v>
      </c>
      <c r="TN47" t="n">
        <v>131.8946524610611</v>
      </c>
      <c r="TO47" t="n">
        <v>132.348572173101</v>
      </c>
      <c r="TP47" t="n">
        <v>132.364395641342</v>
      </c>
      <c r="TQ47" t="n">
        <v>133.1450706877335</v>
      </c>
      <c r="TR47" t="n">
        <v>133.8124028217676</v>
      </c>
      <c r="TS47" t="n">
        <v>133.0693786539166</v>
      </c>
      <c r="TT47" t="n">
        <v>132.4240082924561</v>
      </c>
      <c r="TU47" t="n">
        <v>132.670332617501</v>
      </c>
      <c r="TV47" t="n">
        <v>132.6302948153444</v>
      </c>
      <c r="TW47" t="n">
        <v>133.0864581163212</v>
      </c>
      <c r="TX47" t="n">
        <v>132.5063176693631</v>
      </c>
      <c r="TY47" t="n">
        <v>133.4919711430865</v>
      </c>
      <c r="TZ47" t="n">
        <v>133.7531633878008</v>
      </c>
      <c r="UA47" t="n">
        <v>133.0918968607251</v>
      </c>
      <c r="UB47" t="n">
        <v>133.7596553237778</v>
      </c>
      <c r="UC47" t="n">
        <v>132.5434775845866</v>
      </c>
      <c r="UD47" t="n">
        <v>132.5798943707354</v>
      </c>
      <c r="UE47" t="n">
        <v>132.5317438918233</v>
      </c>
      <c r="UF47" t="n">
        <v>133.5326336611231</v>
      </c>
      <c r="UG47" t="n">
        <v>132.1995386941895</v>
      </c>
      <c r="UH47" t="n">
        <v>132.7463740899208</v>
      </c>
      <c r="UI47" t="n">
        <v>133.1051354834738</v>
      </c>
      <c r="UJ47" t="n">
        <v>133.5702421684487</v>
      </c>
      <c r="UK47" t="n">
        <v>132.0038726913671</v>
      </c>
      <c r="UL47" t="n">
        <v>131.7384793966554</v>
      </c>
      <c r="UM47" t="n">
        <v>131.5721218769838</v>
      </c>
      <c r="UN47" t="n">
        <v>133.1332472653576</v>
      </c>
      <c r="UO47" t="n">
        <v>133.0194662219326</v>
      </c>
      <c r="UP47" t="n">
        <v>132.9752955785456</v>
      </c>
      <c r="UQ47" t="n">
        <v>133.4425730891554</v>
      </c>
      <c r="UR47" t="n">
        <v>133.0915611968968</v>
      </c>
      <c r="US47" t="n">
        <v>133.0459648719938</v>
      </c>
      <c r="UT47" t="n">
        <v>132.9542127797392</v>
      </c>
      <c r="UU47" t="n">
        <v>133.1856578356851</v>
      </c>
      <c r="UV47" t="n">
        <v>132.9278595740678</v>
      </c>
      <c r="UW47" t="n">
        <v>133.0544929327867</v>
      </c>
      <c r="UX47" t="n">
        <v>132.443973444782</v>
      </c>
      <c r="UY47" t="n">
        <v>133.5301776219408</v>
      </c>
      <c r="UZ47" t="n">
        <v>132.620707100683</v>
      </c>
      <c r="VA47" t="n">
        <v>132.1688442649998</v>
      </c>
      <c r="VB47" t="n">
        <v>132.5379325983748</v>
      </c>
      <c r="VC47" t="n">
        <v>132.5570342041521</v>
      </c>
      <c r="VD47" t="n">
        <v>136.339728288529</v>
      </c>
      <c r="VE47" t="n">
        <v>132.2591342237461</v>
      </c>
      <c r="VF47" t="n">
        <v>132.6752843301788</v>
      </c>
      <c r="VG47" t="n">
        <v>132.4491044452903</v>
      </c>
      <c r="VH47" t="n">
        <v>132.4312171171919</v>
      </c>
      <c r="VI47" t="n">
        <v>131.3919015895854</v>
      </c>
      <c r="VJ47" t="n">
        <v>132.5588569958135</v>
      </c>
      <c r="VK47" t="n">
        <v>132.9963912608985</v>
      </c>
      <c r="VL47" t="n">
        <v>131.7240907114381</v>
      </c>
      <c r="VM47" t="n">
        <v>132.2669210606126</v>
      </c>
      <c r="VN47" t="n">
        <v>132.5935988095548</v>
      </c>
      <c r="VO47" t="n">
        <v>132.3429937816118</v>
      </c>
      <c r="VP47" t="n">
        <v>133.7057971470223</v>
      </c>
      <c r="VQ47" t="n">
        <v>133.7027003266949</v>
      </c>
      <c r="VR47" t="n">
        <v>133.0335630717728</v>
      </c>
      <c r="VS47" t="n">
        <v>132.2275232314941</v>
      </c>
      <c r="VT47" t="n">
        <v>132.9086295773864</v>
      </c>
      <c r="VU47" t="n">
        <v>132.3397581971946</v>
      </c>
      <c r="VV47" t="n">
        <v>132.1599384017404</v>
      </c>
      <c r="VW47" t="n">
        <v>132.9654101721788</v>
      </c>
      <c r="VX47" t="n">
        <v>132.8276893714934</v>
      </c>
      <c r="VY47" t="n">
        <v>132.5308996905867</v>
      </c>
      <c r="VZ47" t="n">
        <v>132.658970043145</v>
      </c>
      <c r="WA47" t="n">
        <v>133.0782654315153</v>
      </c>
      <c r="WB47" t="n">
        <v>132.6829158885294</v>
      </c>
      <c r="WC47" t="n">
        <v>133.1242600110662</v>
      </c>
      <c r="WD47" t="n">
        <v>132.5707359751075</v>
      </c>
      <c r="WE47" t="n">
        <v>132.5395493030543</v>
      </c>
      <c r="WF47" t="n">
        <v>132.4679995491927</v>
      </c>
      <c r="WG47" t="n">
        <v>132.7895814540037</v>
      </c>
      <c r="WH47" t="n">
        <v>132.9080336652746</v>
      </c>
      <c r="WI47" t="n">
        <v>131.9026056862829</v>
      </c>
      <c r="WJ47" t="n">
        <v>132.5578176973755</v>
      </c>
      <c r="WK47" t="n">
        <v>131.2754018590244</v>
      </c>
      <c r="WL47" t="n">
        <v>131.8696751726774</v>
      </c>
      <c r="WM47" t="n">
        <v>132.7628803084125</v>
      </c>
      <c r="WN47" t="n">
        <v>132.3209998991867</v>
      </c>
      <c r="WO47" t="n">
        <v>133.271117194914</v>
      </c>
      <c r="WP47" t="n">
        <v>132.3790495604077</v>
      </c>
      <c r="WQ47" t="n">
        <v>131.5800809492735</v>
      </c>
      <c r="WR47" t="n">
        <v>132.5682515810625</v>
      </c>
      <c r="WS47" t="n">
        <v>132.9554116217753</v>
      </c>
      <c r="WT47" t="n">
        <v>132.8607598664615</v>
      </c>
      <c r="WU47" t="n">
        <v>133.1556838509235</v>
      </c>
      <c r="WV47" t="n">
        <v>132.7115901276153</v>
      </c>
      <c r="WW47" t="n">
        <v>132.1474794280358</v>
      </c>
      <c r="WX47" t="n">
        <v>131.9077076791599</v>
      </c>
      <c r="WY47" t="n">
        <v>132.7606722561466</v>
      </c>
      <c r="WZ47" t="n">
        <v>131.7537202524044</v>
      </c>
      <c r="XA47" t="n">
        <v>132.4190763821716</v>
      </c>
      <c r="XB47" t="n">
        <v>130.4763697228603</v>
      </c>
      <c r="XC47" t="n">
        <v>131.7860189339119</v>
      </c>
      <c r="XD47" t="n">
        <v>131.8631556050732</v>
      </c>
      <c r="XE47" t="n">
        <v>133.1659660979652</v>
      </c>
      <c r="XF47" t="n">
        <v>131.5828172129372</v>
      </c>
      <c r="XG47" t="n">
        <v>132.3051767786229</v>
      </c>
      <c r="XH47" t="n">
        <v>132.3778489676127</v>
      </c>
      <c r="XI47" t="n">
        <v>131.1214708103428</v>
      </c>
      <c r="XJ47" t="n">
        <v>132.2806217040972</v>
      </c>
      <c r="XK47" t="n">
        <v>132.1206644277067</v>
      </c>
      <c r="XL47" t="n">
        <v>132.0405413875895</v>
      </c>
      <c r="XM47" t="n">
        <v>132.3557147969256</v>
      </c>
      <c r="XN47" t="n">
        <v>130.8528716458444</v>
      </c>
      <c r="XO47" t="n">
        <v>130.9631098700603</v>
      </c>
      <c r="XP47" t="n">
        <v>131.9699592313563</v>
      </c>
      <c r="XQ47" t="n">
        <v>131.3663590230386</v>
      </c>
      <c r="XR47" t="n">
        <v>131.6928424902869</v>
      </c>
      <c r="XS47" t="n">
        <v>131.5822227889829</v>
      </c>
      <c r="XT47" t="n">
        <v>130.9969865136786</v>
      </c>
      <c r="XU47" t="n">
        <v>131.0875645096914</v>
      </c>
      <c r="XV47" t="n">
        <v>130.2699954418578</v>
      </c>
      <c r="XW47" t="n">
        <v>130.425974024864</v>
      </c>
      <c r="XX47" t="n">
        <v>130.4642439039609</v>
      </c>
      <c r="XY47" t="n">
        <v>130.3985596936576</v>
      </c>
      <c r="XZ47" t="n">
        <v>130.5376392972293</v>
      </c>
      <c r="YA47" t="n">
        <v>129.9028612639015</v>
      </c>
      <c r="YB47" t="n">
        <v>130.265181908963</v>
      </c>
      <c r="YC47" t="n">
        <v>130.19381318366</v>
      </c>
      <c r="YD47" t="n">
        <v>130.0768451244732</v>
      </c>
      <c r="YE47" t="n">
        <v>130.5895348733875</v>
      </c>
      <c r="YF47" t="n">
        <v>129.7755975838943</v>
      </c>
      <c r="YG47" t="n">
        <v>130.6620459408512</v>
      </c>
      <c r="YH47" t="n">
        <v>130.352604994775</v>
      </c>
      <c r="YI47" t="n">
        <v>129.9669446151238</v>
      </c>
      <c r="YJ47" t="n">
        <v>130.3633046163449</v>
      </c>
      <c r="YK47" t="n">
        <v>130.9193822492783</v>
      </c>
      <c r="YL47" t="n">
        <v>130.1777562385084</v>
      </c>
      <c r="YM47" t="n">
        <v>131.0818333520952</v>
      </c>
      <c r="YN47" t="n">
        <v>130.1120931333814</v>
      </c>
      <c r="YO47" t="n">
        <v>129.8548787856787</v>
      </c>
      <c r="YP47" t="n">
        <v>130.0607346576597</v>
      </c>
      <c r="YQ47" t="n">
        <v>130.7187689707075</v>
      </c>
      <c r="YR47" t="n">
        <v>130.1012923330741</v>
      </c>
      <c r="YS47" t="n">
        <v>129.6222383333217</v>
      </c>
      <c r="YT47" t="n">
        <v>129.6792062208774</v>
      </c>
      <c r="YU47" t="n">
        <v>129.8749327338444</v>
      </c>
      <c r="YV47" t="n">
        <v>129.3599106138267</v>
      </c>
      <c r="YW47" t="n">
        <v>129.0074745680487</v>
      </c>
      <c r="YX47" t="n">
        <v>129.4231608786159</v>
      </c>
      <c r="YY47" t="n">
        <v>128.7826992394325</v>
      </c>
      <c r="YZ47" t="n">
        <v>128.9709118441466</v>
      </c>
      <c r="ZA47" t="n">
        <v>129.9617617905683</v>
      </c>
      <c r="ZB47" t="n">
        <v>129.8071116328112</v>
      </c>
      <c r="ZC47" t="n">
        <v>129.0189829592009</v>
      </c>
      <c r="ZD47" t="n">
        <v>130.0538406124101</v>
      </c>
      <c r="ZE47" t="n">
        <v>131.5871175644858</v>
      </c>
      <c r="ZF47" t="n">
        <v>130.8008733709266</v>
      </c>
      <c r="ZG47" t="n">
        <v>130.653393789288</v>
      </c>
      <c r="ZH47" t="n">
        <v>130.559433741717</v>
      </c>
      <c r="ZI47" t="n">
        <v>131.3530049434942</v>
      </c>
      <c r="ZJ47" t="n">
        <v>130.8289504680489</v>
      </c>
      <c r="ZK47" t="n">
        <v>131.3404481150993</v>
      </c>
      <c r="ZL47" t="n">
        <v>130.9811329317391</v>
      </c>
      <c r="ZM47" t="n">
        <v>131.6079169864885</v>
      </c>
      <c r="ZN47" t="n">
        <v>131.9440135354713</v>
      </c>
      <c r="ZO47" t="n">
        <v>129.9050559150307</v>
      </c>
      <c r="ZP47" t="n">
        <v>131.0470195248209</v>
      </c>
      <c r="ZQ47" t="n">
        <v>131.576050565139</v>
      </c>
      <c r="ZR47" t="n">
        <v>130.4058512566288</v>
      </c>
      <c r="ZS47" t="n">
        <v>130.588526905715</v>
      </c>
      <c r="ZT47" t="n">
        <v>130.5100534089288</v>
      </c>
      <c r="ZU47" t="n">
        <v>130.987265578535</v>
      </c>
      <c r="ZV47" t="n">
        <v>132.1296982879676</v>
      </c>
      <c r="ZW47" t="n">
        <v>133.1392349982223</v>
      </c>
      <c r="ZX47" t="n">
        <v>133.9361405746417</v>
      </c>
      <c r="ZY47" t="n">
        <v>133.5703165582634</v>
      </c>
      <c r="ZZ47" t="n">
        <v>134.4661529247319</v>
      </c>
      <c r="AAA47" t="n">
        <v>134.6128835678837</v>
      </c>
      <c r="AAB47" t="n">
        <v>134.9621102777361</v>
      </c>
      <c r="AAC47" t="n">
        <v>134.9212513553177</v>
      </c>
      <c r="AAD47" t="n">
        <v>134.8531931970022</v>
      </c>
      <c r="AAE47" t="n">
        <v>135.499658817364</v>
      </c>
      <c r="AAF47" t="n">
        <v>135.1097905276617</v>
      </c>
      <c r="AAG47" t="n">
        <v>135.5161226147495</v>
      </c>
      <c r="AAH47" t="n">
        <v>135.2046206406283</v>
      </c>
      <c r="AAI47" t="n">
        <v>135.3958913075526</v>
      </c>
      <c r="AAJ47" t="n">
        <v>134.3739304844507</v>
      </c>
      <c r="AAK47" t="n">
        <v>135.5616593183046</v>
      </c>
      <c r="AAL47" t="n">
        <v>135.7387753812612</v>
      </c>
      <c r="AAM47" t="n">
        <v>136.0464809550595</v>
      </c>
      <c r="AAN47" t="n">
        <v>135.1807412942018</v>
      </c>
      <c r="AAO47" t="n">
        <v>135.5437974235463</v>
      </c>
      <c r="AAP47" t="n">
        <v>135.3899518226006</v>
      </c>
      <c r="AAQ47" t="n">
        <v>135.9574146657444</v>
      </c>
      <c r="AAR47" t="n">
        <v>134.5348469350064</v>
      </c>
      <c r="AAS47" t="n">
        <v>134.2109167377152</v>
      </c>
      <c r="AAT47" t="n">
        <v>135.1832620711747</v>
      </c>
      <c r="AAU47" t="n">
        <v>135.8338370775327</v>
      </c>
      <c r="AAV47" t="n">
        <v>134.9740011584868</v>
      </c>
      <c r="AAW47" t="n">
        <v>133.9910722523193</v>
      </c>
      <c r="AAX47" t="n">
        <v>134.8500699652749</v>
      </c>
      <c r="AAY47" t="n">
        <v>133.5751899715522</v>
      </c>
      <c r="AAZ47" t="n">
        <v>134.425625352968</v>
      </c>
      <c r="ABA47" t="n">
        <v>135.59945211328</v>
      </c>
      <c r="ABB47" t="n">
        <v>136.2819649167194</v>
      </c>
      <c r="ABC47" t="n">
        <v>135.4298655817423</v>
      </c>
      <c r="ABD47" t="n">
        <v>135.8752284548893</v>
      </c>
      <c r="ABE47" t="n">
        <v>135.647548963347</v>
      </c>
      <c r="ABF47" t="n">
        <v>136.4046649263287</v>
      </c>
      <c r="ABG47" t="n">
        <v>135.9785260276045</v>
      </c>
      <c r="ABH47" t="n">
        <v>136.8921826997204</v>
      </c>
      <c r="ABI47" t="n">
        <v>135.3905744052574</v>
      </c>
      <c r="ABJ47" t="n">
        <v>135.618485892994</v>
      </c>
      <c r="ABK47" t="n">
        <v>135.7954610373916</v>
      </c>
      <c r="ABL47" t="n">
        <v>134.9814150566963</v>
      </c>
      <c r="ABM47" t="n">
        <v>135.0731429013061</v>
      </c>
      <c r="ABN47" t="n">
        <v>135.8128127232319</v>
      </c>
      <c r="ABO47" t="n">
        <v>135.6920475855359</v>
      </c>
      <c r="ABP47" t="n">
        <v>134.8135652080285</v>
      </c>
      <c r="ABQ47" t="n">
        <v>135.0317648430664</v>
      </c>
      <c r="ABR47" t="n">
        <v>134.9610038892463</v>
      </c>
      <c r="ABS47" t="n">
        <v>135.1631809164054</v>
      </c>
      <c r="ABT47" t="n">
        <v>135.5886623920226</v>
      </c>
      <c r="ABU47" t="n">
        <v>135.5478889296833</v>
      </c>
      <c r="ABV47" t="n">
        <v>135.5149594877609</v>
      </c>
      <c r="ABW47" t="n">
        <v>135.4447233019797</v>
      </c>
      <c r="ABX47" t="n">
        <v>135.3246040757968</v>
      </c>
      <c r="ABY47" t="n">
        <v>136.160375575132</v>
      </c>
      <c r="ABZ47" t="n">
        <v>135.7215447271253</v>
      </c>
      <c r="ACA47" t="n">
        <v>135.0434748276953</v>
      </c>
      <c r="ACB47" t="n">
        <v>135.1816648588594</v>
      </c>
      <c r="ACC47" t="n">
        <v>135.6035031963929</v>
      </c>
      <c r="ACD47" t="n">
        <v>135.1711579039106</v>
      </c>
      <c r="ACE47" t="n">
        <v>135.4998036787183</v>
      </c>
      <c r="ACF47" t="n">
        <v>135.241161671624</v>
      </c>
      <c r="ACG47" t="n">
        <v>134.263292798759</v>
      </c>
      <c r="ACH47" t="n">
        <v>135.0264634168149</v>
      </c>
      <c r="ACI47" t="n">
        <v>134.8658611844318</v>
      </c>
      <c r="ACJ47" t="n">
        <v>134.7629130544495</v>
      </c>
      <c r="ACK47" t="n">
        <v>135.7687668818482</v>
      </c>
      <c r="ACL47" t="n">
        <v>137.6158474867991</v>
      </c>
      <c r="ACM47" t="n">
        <v>135.0972402376601</v>
      </c>
      <c r="ACN47" t="n">
        <v>135.4345570861618</v>
      </c>
      <c r="ACO47" t="n">
        <v>134.6199371761563</v>
      </c>
      <c r="ACP47" t="n">
        <v>134.6448026690314</v>
      </c>
      <c r="ACQ47" t="n">
        <v>134.5549146400944</v>
      </c>
      <c r="ACR47" t="n">
        <v>134.8279254062188</v>
      </c>
      <c r="ACS47" t="n">
        <v>134.9286004190753</v>
      </c>
      <c r="ACT47" t="n">
        <v>134.5999049590955</v>
      </c>
      <c r="ACU47" t="n">
        <v>134.4212719503778</v>
      </c>
      <c r="ACV47" t="n">
        <v>134.6388646568559</v>
      </c>
      <c r="ACW47" t="n">
        <v>134.5883687989498</v>
      </c>
      <c r="ACX47" t="n">
        <v>134.0022894219722</v>
      </c>
      <c r="ACY47" t="n">
        <v>134.0927151095837</v>
      </c>
      <c r="ACZ47" t="n">
        <v>133.6533333804643</v>
      </c>
      <c r="ADA47" t="n">
        <v>132.2767345093926</v>
      </c>
      <c r="ADB47" t="n">
        <v>131.4437115868827</v>
      </c>
      <c r="ADC47" t="n">
        <v>132.3422128503208</v>
      </c>
      <c r="ADD47" t="n">
        <v>132.9787734872871</v>
      </c>
      <c r="ADE47" t="n">
        <v>133.799341252237</v>
      </c>
      <c r="ADF47" t="n">
        <v>133.9211986127811</v>
      </c>
      <c r="ADG47" t="n">
        <v>134.1102215962234</v>
      </c>
      <c r="ADH47" t="n">
        <v>135.1515496848311</v>
      </c>
      <c r="ADI47" t="n">
        <v>134.2489663923843</v>
      </c>
      <c r="ADJ47" t="n">
        <v>134.441332125134</v>
      </c>
      <c r="ADK47" t="n">
        <v>134.0772006943335</v>
      </c>
      <c r="ADL47" t="n">
        <v>133.6535261045108</v>
      </c>
      <c r="ADM47" t="n">
        <v>133.3705617751276</v>
      </c>
      <c r="ADN47" t="n">
        <v>133.7380676304866</v>
      </c>
      <c r="ADO47" t="n">
        <v>134.6205784194432</v>
      </c>
      <c r="ADP47" t="n">
        <v>134.1211697086307</v>
      </c>
      <c r="ADQ47" t="n">
        <v>133.74026949266</v>
      </c>
      <c r="ADR47" t="n">
        <v>134.0194395105949</v>
      </c>
      <c r="ADS47" t="n">
        <v>134.6312149545173</v>
      </c>
      <c r="ADT47" t="n">
        <v>135.4368034874354</v>
      </c>
      <c r="ADU47" t="n">
        <v>134.5848650955103</v>
      </c>
      <c r="ADV47" t="n">
        <v>135.9596697401976</v>
      </c>
      <c r="ADW47" t="n">
        <v>136.0668921765714</v>
      </c>
      <c r="ADX47" t="n">
        <v>136.1435804686035</v>
      </c>
      <c r="ADY47" t="n">
        <v>136.3081173919237</v>
      </c>
      <c r="ADZ47" t="n">
        <v>136.2607129244612</v>
      </c>
      <c r="AEA47" t="n">
        <v>136.6428688134505</v>
      </c>
      <c r="AEB47" t="n">
        <v>136.7141528979274</v>
      </c>
      <c r="AEC47" t="n">
        <v>137.1860962056202</v>
      </c>
      <c r="AED47" t="n">
        <v>137.1406562184825</v>
      </c>
      <c r="AEE47" t="n">
        <v>137.4493711522362</v>
      </c>
      <c r="AEF47" t="n">
        <v>137.2609603699645</v>
      </c>
      <c r="AEG47" t="n">
        <v>137.1636948460492</v>
      </c>
      <c r="AEH47" t="n">
        <v>137.0263445189422</v>
      </c>
      <c r="AEI47" t="n">
        <v>137.3937477024863</v>
      </c>
      <c r="AEJ47" t="n">
        <v>136.8303733191117</v>
      </c>
      <c r="AEK47" t="n">
        <v>137.066717054397</v>
      </c>
      <c r="AEL47" t="n">
        <v>137.4535032858257</v>
      </c>
      <c r="AEM47" t="n">
        <v>137.4750787640248</v>
      </c>
      <c r="AEN47" t="n">
        <v>137.56850705969</v>
      </c>
      <c r="AEO47" t="n">
        <v>137.4283449038819</v>
      </c>
      <c r="AEP47" t="n">
        <v>138.1249503719295</v>
      </c>
      <c r="AEQ47" t="n">
        <v>137.1443913441433</v>
      </c>
      <c r="AER47" t="n">
        <v>137.5584643703711</v>
      </c>
      <c r="AES47" t="n">
        <v>137.5098874406397</v>
      </c>
      <c r="AET47" t="n">
        <v>136.5595269476387</v>
      </c>
      <c r="AEU47" t="n">
        <v>137.2863264188371</v>
      </c>
      <c r="AEV47" t="n">
        <v>136.8339492709661</v>
      </c>
      <c r="AEW47" t="n">
        <v>137.7003190963496</v>
      </c>
      <c r="AEX47" t="n">
        <v>138.4440804927237</v>
      </c>
      <c r="AEY47" t="n">
        <v>138.7433681465561</v>
      </c>
      <c r="AEZ47" t="n">
        <v>139.0679398797351</v>
      </c>
      <c r="AFA47" t="n">
        <v>140.4476834325815</v>
      </c>
      <c r="AFB47" t="n">
        <v>139.7980532434825</v>
      </c>
      <c r="AFC47" t="n">
        <v>138.9172862666543</v>
      </c>
      <c r="AFD47" t="n">
        <v>139.1625214554159</v>
      </c>
      <c r="AFE47" t="n">
        <v>139.1682773520638</v>
      </c>
      <c r="AFF47" t="n">
        <v>139.4510512774862</v>
      </c>
      <c r="AFG47" t="n">
        <v>139.5343423106931</v>
      </c>
      <c r="AFH47" t="n">
        <v>139.7698404179826</v>
      </c>
      <c r="AFI47" t="n">
        <v>139.044439686516</v>
      </c>
      <c r="AFJ47" t="n">
        <v>139.5944666688968</v>
      </c>
      <c r="AFK47" t="n">
        <v>139.661939500877</v>
      </c>
      <c r="AFL47" t="n">
        <v>140.0950939098672</v>
      </c>
      <c r="AFM47" t="n">
        <v>139.7712546142913</v>
      </c>
      <c r="AFN47" t="n">
        <v>140.8118131342077</v>
      </c>
      <c r="AFO47" t="n">
        <v>139.9851054549602</v>
      </c>
      <c r="AFP47" t="n">
        <v>139.4067955981517</v>
      </c>
      <c r="AFQ47" t="n">
        <v>138.4994109271431</v>
      </c>
      <c r="AFR47" t="n">
        <v>138.8081404183925</v>
      </c>
      <c r="AFS47" t="n">
        <v>139.4023321683914</v>
      </c>
      <c r="AFT47" t="n">
        <v>138.9687328045075</v>
      </c>
      <c r="AFU47" t="n">
        <v>139.1247402256478</v>
      </c>
      <c r="AFV47" t="n">
        <v>139.2128491651833</v>
      </c>
      <c r="AFW47" t="n">
        <v>138.0226466581292</v>
      </c>
      <c r="AFX47" t="n">
        <v>139.573564015023</v>
      </c>
      <c r="AFY47" t="n">
        <v>138.7162477696127</v>
      </c>
      <c r="AFZ47" t="n">
        <v>139.5631978321513</v>
      </c>
      <c r="AGA47" t="n">
        <v>138.6629362476824</v>
      </c>
      <c r="AGB47" t="n">
        <v>138.5368896295849</v>
      </c>
      <c r="AGC47" t="n">
        <v>138.5017323105825</v>
      </c>
      <c r="AGD47" t="n">
        <v>138.1953057059577</v>
      </c>
      <c r="AGE47" t="n">
        <v>138.1806930851325</v>
      </c>
      <c r="AGF47" t="n">
        <v>138.7351211846521</v>
      </c>
      <c r="AGG47" t="n">
        <v>138.9990548892015</v>
      </c>
      <c r="AGH47" t="n">
        <v>138.6837301180752</v>
      </c>
      <c r="AGI47" t="n">
        <v>137.0216084892333</v>
      </c>
      <c r="AGJ47" t="n">
        <v>138.1195939365343</v>
      </c>
      <c r="AGK47" t="n">
        <v>138.0995329618796</v>
      </c>
      <c r="AGL47" t="n">
        <v>138.2747071325049</v>
      </c>
      <c r="AGM47" t="n">
        <v>138.7078276684175</v>
      </c>
      <c r="AGN47" t="n">
        <v>139.2881962992603</v>
      </c>
      <c r="AGO47" t="n">
        <v>139.1567351504789</v>
      </c>
      <c r="AGP47" t="n">
        <v>139.673740765403</v>
      </c>
      <c r="AGQ47" t="n">
        <v>139.1532856287538</v>
      </c>
      <c r="AGR47" t="n">
        <v>139.3517237719866</v>
      </c>
      <c r="AGS47" t="n">
        <v>139.887527837674</v>
      </c>
      <c r="AGT47" t="n">
        <v>139.2807625920754</v>
      </c>
      <c r="AGU47" t="n">
        <v>139.4553331666039</v>
      </c>
      <c r="AGV47" t="n">
        <v>140.2717348244631</v>
      </c>
      <c r="AGW47" t="n">
        <v>139.2214892445372</v>
      </c>
      <c r="AGX47" t="n">
        <v>139.048314321736</v>
      </c>
      <c r="AGY47" t="n">
        <v>137.9330675860744</v>
      </c>
      <c r="AGZ47" t="n">
        <v>137.951753395101</v>
      </c>
      <c r="AHA47" t="n">
        <v>138.51956905452</v>
      </c>
      <c r="AHB47" t="n">
        <v>137.7459074031367</v>
      </c>
      <c r="AHC47" t="n">
        <v>137.5377636273541</v>
      </c>
      <c r="AHD47" t="n">
        <v>138.0782533437749</v>
      </c>
      <c r="AHE47" t="n">
        <v>138.0327044743128</v>
      </c>
      <c r="AHF47" t="n">
        <v>138.4729399592227</v>
      </c>
      <c r="AHG47" t="n">
        <v>137.6142581880166</v>
      </c>
      <c r="AHH47" t="n">
        <v>137.9436458074462</v>
      </c>
      <c r="AHI47" t="n">
        <v>137.9007079569103</v>
      </c>
      <c r="AHJ47" t="n">
        <v>135.8077868998105</v>
      </c>
      <c r="AHK47" t="n">
        <v>139.7287900269544</v>
      </c>
    </row>
    <row r="48">
      <c r="A48" s="6" t="inlineStr">
        <is>
          <t>Model Score</t>
        </is>
      </c>
      <c r="B48" t="n">
        <v>-0.04026618925107073</v>
      </c>
      <c r="C48" t="n">
        <v>0.002255019986677098</v>
      </c>
      <c r="D48" t="n">
        <v>-0.004164793307296577</v>
      </c>
      <c r="E48" t="n">
        <v>-0.002270272808488016</v>
      </c>
      <c r="F48" t="n">
        <v>-0.001083433884019769</v>
      </c>
      <c r="G48" t="n">
        <v>-0.003183954466010164</v>
      </c>
      <c r="H48" t="n">
        <v>-0.00280041136733189</v>
      </c>
      <c r="I48" t="n">
        <v>-0.001330705051742598</v>
      </c>
      <c r="J48" t="n">
        <v>-0.002547895522241106</v>
      </c>
      <c r="K48" t="n">
        <v>0.0006453166499511553</v>
      </c>
      <c r="L48" t="n">
        <v>0.003257883630112701</v>
      </c>
      <c r="M48" t="n">
        <v>-0.00256870365484474</v>
      </c>
      <c r="N48" t="n">
        <v>0.00363641178182661</v>
      </c>
      <c r="O48" t="n">
        <v>0.0004050788139124961</v>
      </c>
      <c r="P48" t="n">
        <v>0.004101526049652193</v>
      </c>
      <c r="Q48" t="n">
        <v>0.001345604804299683</v>
      </c>
      <c r="R48" t="n">
        <v>-0.01646955456234878</v>
      </c>
      <c r="S48" t="n">
        <v>-0.009792817663765163</v>
      </c>
      <c r="T48" t="n">
        <v>-0.007899945732702918</v>
      </c>
      <c r="U48" t="n">
        <v>0.002871806993027803</v>
      </c>
      <c r="V48" t="n">
        <v>0.006749715883699992</v>
      </c>
      <c r="W48" t="n">
        <v>0.04373412135302601</v>
      </c>
      <c r="QG48" t="n">
        <v>-0.04026618925107073</v>
      </c>
      <c r="QH48" t="n">
        <v>0.002255019986677098</v>
      </c>
      <c r="QI48" t="n">
        <v>-0.004164793307296577</v>
      </c>
      <c r="QJ48" t="n">
        <v>-0.002270272808488016</v>
      </c>
      <c r="QK48" t="n">
        <v>-0.001083433884019769</v>
      </c>
      <c r="QL48" t="n">
        <v>-0.003183954466010164</v>
      </c>
      <c r="QM48" t="n">
        <v>-0.00280041136733189</v>
      </c>
      <c r="QN48" t="n">
        <v>-0.001330705051742598</v>
      </c>
      <c r="QO48" t="n">
        <v>-0.002547895522241106</v>
      </c>
      <c r="QP48" t="n">
        <v>0.0006453166499511553</v>
      </c>
      <c r="QQ48" t="n">
        <v>0.003257883630112701</v>
      </c>
      <c r="QR48" t="n">
        <v>-0.00256870365484474</v>
      </c>
      <c r="QS48" t="n">
        <v>0.00363641178182661</v>
      </c>
      <c r="QT48" t="n">
        <v>0.0004050788139124961</v>
      </c>
      <c r="QU48" t="n">
        <v>0.004101526049652193</v>
      </c>
      <c r="QV48" t="n">
        <v>0.001345604804299683</v>
      </c>
      <c r="QW48" t="n">
        <v>-0.01646955456234878</v>
      </c>
      <c r="QX48" t="n">
        <v>-0.009792817663765163</v>
      </c>
      <c r="QY48" t="n">
        <v>-0.007899945732702918</v>
      </c>
      <c r="QZ48" t="n">
        <v>0.002871806993027803</v>
      </c>
      <c r="RA48" t="n">
        <v>0.006749715883699992</v>
      </c>
      <c r="RB48" t="n">
        <v>0.04373412135302601</v>
      </c>
    </row>
    <row r="49">
      <c r="A49" s="4" t="inlineStr">
        <is>
          <t>Gross Loss Adjustments (Dealer level, high PTI, etc.)</t>
        </is>
      </c>
      <c r="B49" t="n">
        <v>0.7481985773591191</v>
      </c>
      <c r="C49" t="n">
        <v>0.634029762718626</v>
      </c>
      <c r="D49" t="n">
        <v>0.5117116552485754</v>
      </c>
      <c r="E49" t="n">
        <v>0.7633148871095443</v>
      </c>
      <c r="F49" t="n">
        <v>0.3646654707515893</v>
      </c>
      <c r="G49" t="n">
        <v>0.5962128042841925</v>
      </c>
      <c r="H49" t="n">
        <v>0.642982234958879</v>
      </c>
      <c r="I49" t="n">
        <v>0.2780980206808863</v>
      </c>
      <c r="J49" t="n">
        <v>0.3277117784754751</v>
      </c>
      <c r="K49" t="n">
        <v>0.4074719092444639</v>
      </c>
      <c r="L49" t="n">
        <v>0.3670687129060468</v>
      </c>
      <c r="M49" t="n">
        <v>0.4679109217554753</v>
      </c>
      <c r="N49" t="n">
        <v>0.6510662535793017</v>
      </c>
      <c r="O49" t="n">
        <v>0.5193075528001145</v>
      </c>
      <c r="P49" t="n">
        <v>0.7458231357302338</v>
      </c>
      <c r="Q49" t="n">
        <v>0.9981797512195385</v>
      </c>
      <c r="R49" t="n">
        <v>0.9106667539044793</v>
      </c>
      <c r="S49" t="n">
        <v>1.242163593445014</v>
      </c>
      <c r="T49" t="n">
        <v>1.07632176920589</v>
      </c>
      <c r="U49" t="n">
        <v>1.091061414660089</v>
      </c>
      <c r="V49" t="n">
        <v>0.8159280728460487</v>
      </c>
      <c r="W49" t="n">
        <v>0.5197078052388804</v>
      </c>
      <c r="QG49" t="n">
        <v>0.7481985773591191</v>
      </c>
      <c r="QH49" t="n">
        <v>0.634029762718626</v>
      </c>
      <c r="QI49" t="n">
        <v>0.5117116552485754</v>
      </c>
      <c r="QJ49" t="n">
        <v>0.7633148871095443</v>
      </c>
      <c r="QK49" t="n">
        <v>0.3646654707515893</v>
      </c>
      <c r="QL49" t="n">
        <v>0.5962128042841925</v>
      </c>
      <c r="QM49" t="n">
        <v>0.642982234958879</v>
      </c>
      <c r="QN49" t="n">
        <v>0.2780980206808863</v>
      </c>
      <c r="QO49" t="n">
        <v>0.3277117784754751</v>
      </c>
      <c r="QP49" t="n">
        <v>0.4074719092444639</v>
      </c>
      <c r="QQ49" t="n">
        <v>0.3670687129060468</v>
      </c>
      <c r="QR49" t="n">
        <v>0.4679109217554753</v>
      </c>
      <c r="QS49" t="n">
        <v>0.6510662535793017</v>
      </c>
      <c r="QT49" t="n">
        <v>0.5193075528001145</v>
      </c>
      <c r="QU49" t="n">
        <v>0.7458231357302338</v>
      </c>
      <c r="QV49" t="n">
        <v>0.9981797512195385</v>
      </c>
      <c r="QW49" t="n">
        <v>0.9106667539044793</v>
      </c>
      <c r="QX49" t="n">
        <v>1.242163593445014</v>
      </c>
      <c r="QY49" t="n">
        <v>1.07632176920589</v>
      </c>
      <c r="QZ49" t="n">
        <v>1.091061414660089</v>
      </c>
      <c r="RA49" t="n">
        <v>0.8159280728460487</v>
      </c>
      <c r="RB49" t="n">
        <v>0.5197078052388804</v>
      </c>
    </row>
    <row r="50" ht="24" customHeight="1" s="115">
      <c r="A50" s="3" t="inlineStr">
        <is>
          <t>Recovery Adjustments excluding LTV (Mileage, vehicle type, etc.)</t>
        </is>
      </c>
      <c r="B50" t="n">
        <v>-0.7366838622374416</v>
      </c>
      <c r="C50" t="n">
        <v>-0.4627341806331913</v>
      </c>
      <c r="D50" t="n">
        <v>-0.8632839914330361</v>
      </c>
      <c r="E50" t="n">
        <v>-0.7772626427269813</v>
      </c>
      <c r="F50" t="n">
        <v>-0.9117798306303371</v>
      </c>
      <c r="G50" t="n">
        <v>-0.5978779190272405</v>
      </c>
      <c r="H50" t="n">
        <v>-0.9229789928745618</v>
      </c>
      <c r="I50" t="n">
        <v>-0.9465309698325086</v>
      </c>
      <c r="J50" t="n">
        <v>-0.8123224131181246</v>
      </c>
      <c r="K50" t="n">
        <v>-1.104575225127746</v>
      </c>
      <c r="L50" t="n">
        <v>-0.9153070188268089</v>
      </c>
      <c r="M50" t="n">
        <v>-0.6034864625750913</v>
      </c>
      <c r="N50" t="n">
        <v>-0.7541737401839725</v>
      </c>
      <c r="O50" t="n">
        <v>-1.008838422557091</v>
      </c>
      <c r="P50" t="n">
        <v>-0.6659177306617892</v>
      </c>
      <c r="Q50" t="n">
        <v>-0.7319987609493523</v>
      </c>
      <c r="R50" t="n">
        <v>-0.2606000571679772</v>
      </c>
      <c r="S50" t="n">
        <v>-0.1153685821610679</v>
      </c>
      <c r="T50" t="n">
        <v>-0.4879222354188073</v>
      </c>
      <c r="U50" t="n">
        <v>0.1277544188465072</v>
      </c>
      <c r="V50" t="n">
        <v>-0.04405194607474527</v>
      </c>
      <c r="W50" t="n">
        <v>0.06417749078286761</v>
      </c>
      <c r="QG50" t="n">
        <v>-0.7366838622374416</v>
      </c>
      <c r="QH50" t="n">
        <v>-0.4627341806331913</v>
      </c>
      <c r="QI50" t="n">
        <v>-0.8632839914330361</v>
      </c>
      <c r="QJ50" t="n">
        <v>-0.7772626427269813</v>
      </c>
      <c r="QK50" t="n">
        <v>-0.9117798306303371</v>
      </c>
      <c r="QL50" t="n">
        <v>-0.5978779190272405</v>
      </c>
      <c r="QM50" t="n">
        <v>-0.9229789928745618</v>
      </c>
      <c r="QN50" t="n">
        <v>-0.9465309698325086</v>
      </c>
      <c r="QO50" t="n">
        <v>-0.8123224131181246</v>
      </c>
      <c r="QP50" t="n">
        <v>-1.104575225127746</v>
      </c>
      <c r="QQ50" t="n">
        <v>-0.9153070188268089</v>
      </c>
      <c r="QR50" t="n">
        <v>-0.6034864625750913</v>
      </c>
      <c r="QS50" t="n">
        <v>-0.7541737401839725</v>
      </c>
      <c r="QT50" t="n">
        <v>-1.008838422557091</v>
      </c>
      <c r="QU50" t="n">
        <v>-0.6659177306617892</v>
      </c>
      <c r="QV50" t="n">
        <v>-0.7319987609493523</v>
      </c>
      <c r="QW50" t="n">
        <v>-0.2606000571679772</v>
      </c>
      <c r="QX50" t="n">
        <v>-0.1153685821610679</v>
      </c>
      <c r="QY50" t="n">
        <v>-0.4879222354188073</v>
      </c>
      <c r="QZ50" t="n">
        <v>0.1277544188465072</v>
      </c>
      <c r="RA50" t="n">
        <v>-0.04405194607474527</v>
      </c>
      <c r="RB50" t="n">
        <v>0.06417749078286761</v>
      </c>
    </row>
    <row r="51">
      <c r="A51" s="4" t="inlineStr">
        <is>
          <t>LTV Adjustments</t>
        </is>
      </c>
      <c r="B51" t="n">
        <v>0.7366838622374416</v>
      </c>
      <c r="C51" t="n">
        <v>0.4627341806331913</v>
      </c>
      <c r="D51" t="n">
        <v>0.8632839914330361</v>
      </c>
      <c r="E51" t="n">
        <v>0.7772626427269813</v>
      </c>
      <c r="F51" t="n">
        <v>0.9117798306303371</v>
      </c>
      <c r="G51" t="n">
        <v>0.5978779190272405</v>
      </c>
      <c r="H51" t="n">
        <v>0.9229789928745618</v>
      </c>
      <c r="I51" t="n">
        <v>0.9465309698325086</v>
      </c>
      <c r="J51" t="n">
        <v>0.8123224131181246</v>
      </c>
      <c r="K51" t="n">
        <v>1.104575225127746</v>
      </c>
      <c r="L51" t="n">
        <v>0.9153070188268089</v>
      </c>
      <c r="M51" t="n">
        <v>0.6034864625750913</v>
      </c>
      <c r="N51" t="n">
        <v>0.7541737401839725</v>
      </c>
      <c r="O51" t="n">
        <v>1.008838422557091</v>
      </c>
      <c r="P51" t="n">
        <v>0.6659177306617892</v>
      </c>
      <c r="Q51" t="n">
        <v>0.7319987609493523</v>
      </c>
      <c r="R51" t="n">
        <v>0.2606000571679772</v>
      </c>
      <c r="S51" t="n">
        <v>0.1153685821610679</v>
      </c>
      <c r="T51" t="n">
        <v>0.4879222354188073</v>
      </c>
      <c r="U51" t="n">
        <v>-0.1277544188465072</v>
      </c>
      <c r="V51" t="n">
        <v>0.04405194607474527</v>
      </c>
      <c r="W51" t="n">
        <v>-0.06417749078286761</v>
      </c>
      <c r="QG51" t="n">
        <v>0.7366838622374416</v>
      </c>
      <c r="QH51" t="n">
        <v>0.4627341806331913</v>
      </c>
      <c r="QI51" t="n">
        <v>0.8632839914330361</v>
      </c>
      <c r="QJ51" t="n">
        <v>0.7772626427269813</v>
      </c>
      <c r="QK51" t="n">
        <v>0.9117798306303371</v>
      </c>
      <c r="QL51" t="n">
        <v>0.5978779190272405</v>
      </c>
      <c r="QM51" t="n">
        <v>0.9229789928745618</v>
      </c>
      <c r="QN51" t="n">
        <v>0.9465309698325086</v>
      </c>
      <c r="QO51" t="n">
        <v>0.8123224131181246</v>
      </c>
      <c r="QP51" t="n">
        <v>1.104575225127746</v>
      </c>
      <c r="QQ51" t="n">
        <v>0.9153070188268089</v>
      </c>
      <c r="QR51" t="n">
        <v>0.6034864625750913</v>
      </c>
      <c r="QS51" t="n">
        <v>0.7541737401839725</v>
      </c>
      <c r="QT51" t="n">
        <v>1.008838422557091</v>
      </c>
      <c r="QU51" t="n">
        <v>0.6659177306617892</v>
      </c>
      <c r="QV51" t="n">
        <v>0.7319987609493523</v>
      </c>
      <c r="QW51" t="n">
        <v>0.2606000571679772</v>
      </c>
      <c r="QX51" t="n">
        <v>0.1153685821610679</v>
      </c>
      <c r="QY51" t="n">
        <v>0.4879222354188073</v>
      </c>
      <c r="QZ51" t="n">
        <v>-0.1277544188465072</v>
      </c>
      <c r="RA51" t="n">
        <v>0.04405194607474527</v>
      </c>
      <c r="RB51" t="n">
        <v>-0.06417749078286761</v>
      </c>
    </row>
    <row r="52">
      <c r="A52" s="3" t="inlineStr">
        <is>
          <t>RAGU Score</t>
        </is>
      </c>
      <c r="B52" t="n">
        <v>139.0148773482489</v>
      </c>
      <c r="C52" t="n">
        <v>139.1253653595653</v>
      </c>
      <c r="D52" t="n">
        <v>138.5045451938111</v>
      </c>
      <c r="E52" t="n">
        <v>139.3009242878435</v>
      </c>
      <c r="F52" t="n">
        <v>138.3845581425664</v>
      </c>
      <c r="G52" t="n">
        <v>138.5980614612735</v>
      </c>
      <c r="H52" t="n">
        <v>138.3200512873684</v>
      </c>
      <c r="I52" t="n">
        <v>136.7196634110011</v>
      </c>
      <c r="J52" t="n">
        <v>137.391965771652</v>
      </c>
      <c r="K52" t="n">
        <v>137.7365170545573</v>
      </c>
      <c r="L52" t="n">
        <v>138.0086182025848</v>
      </c>
      <c r="M52" t="n">
        <v>137.7919780120645</v>
      </c>
      <c r="N52" t="n">
        <v>138.4761267450979</v>
      </c>
      <c r="O52" t="n">
        <v>138.4046796251445</v>
      </c>
      <c r="P52" t="n">
        <v>139.421558582917</v>
      </c>
      <c r="Q52" t="n">
        <v>139.8788420767196</v>
      </c>
      <c r="R52" t="n">
        <v>140.1521046878675</v>
      </c>
      <c r="S52" t="n">
        <v>140.3547004039898</v>
      </c>
      <c r="T52" t="n">
        <v>140.1057005447667</v>
      </c>
      <c r="U52" t="n">
        <v>139.7102876957633</v>
      </c>
      <c r="V52" t="n">
        <v>140.0710230224539</v>
      </c>
      <c r="W52" t="n">
        <v>139.6700786319282</v>
      </c>
      <c r="QG52" t="n">
        <v>139.0148773482489</v>
      </c>
      <c r="QH52" t="n">
        <v>139.1253653595653</v>
      </c>
      <c r="QI52" t="n">
        <v>138.5045451938111</v>
      </c>
      <c r="QJ52" t="n">
        <v>139.3009242878435</v>
      </c>
      <c r="QK52" t="n">
        <v>138.3845581425664</v>
      </c>
      <c r="QL52" t="n">
        <v>138.5980614612735</v>
      </c>
      <c r="QM52" t="n">
        <v>138.3200512873684</v>
      </c>
      <c r="QN52" t="n">
        <v>136.7196634110011</v>
      </c>
      <c r="QO52" t="n">
        <v>137.391965771652</v>
      </c>
      <c r="QP52" t="n">
        <v>137.7365170545573</v>
      </c>
      <c r="QQ52" t="n">
        <v>138.0086182025848</v>
      </c>
      <c r="QR52" t="n">
        <v>137.7919780120645</v>
      </c>
      <c r="QS52" t="n">
        <v>138.4761267450979</v>
      </c>
      <c r="QT52" t="n">
        <v>138.4046796251445</v>
      </c>
      <c r="QU52" t="n">
        <v>139.421558582917</v>
      </c>
      <c r="QV52" t="n">
        <v>139.8788420767196</v>
      </c>
      <c r="QW52" t="n">
        <v>140.1521046878675</v>
      </c>
      <c r="QX52" t="n">
        <v>140.3547004039898</v>
      </c>
      <c r="QY52" t="n">
        <v>140.1057005447667</v>
      </c>
      <c r="QZ52" t="n">
        <v>139.7102876957633</v>
      </c>
      <c r="RA52" t="n">
        <v>140.0710230224539</v>
      </c>
      <c r="RB52" t="n">
        <v>139.6700786319282</v>
      </c>
    </row>
    <row r="53">
      <c r="A53" s="5" t="inlineStr">
        <is>
          <t>LTV</t>
        </is>
      </c>
      <c r="B53" t="n">
        <v>1.548430851296627</v>
      </c>
      <c r="C53" t="n">
        <v>1.524316802429071</v>
      </c>
      <c r="D53" t="n">
        <v>1.535915589089963</v>
      </c>
      <c r="E53" t="n">
        <v>1.5000732248666</v>
      </c>
      <c r="F53" t="n">
        <v>1.552451594147246</v>
      </c>
      <c r="G53" t="n">
        <v>1.504150268091674</v>
      </c>
      <c r="H53" t="n">
        <v>1.51506147121293</v>
      </c>
      <c r="I53" t="n">
        <v>1.529877764824657</v>
      </c>
      <c r="J53" t="n">
        <v>1.519077215335745</v>
      </c>
      <c r="K53" t="n">
        <v>1.52293498932463</v>
      </c>
      <c r="L53" t="n">
        <v>1.525535760881586</v>
      </c>
      <c r="M53" t="n">
        <v>1.522867072557258</v>
      </c>
      <c r="N53" t="n">
        <v>1.54456559178392</v>
      </c>
      <c r="O53" t="n">
        <v>1.528227873735874</v>
      </c>
      <c r="P53" t="n">
        <v>1.515951374639796</v>
      </c>
      <c r="Q53" t="n">
        <v>1.535485321975672</v>
      </c>
      <c r="R53" t="n">
        <v>1.481279723454214</v>
      </c>
      <c r="S53" t="n">
        <v>1.521660067853142</v>
      </c>
      <c r="T53" t="n">
        <v>1.516821307929362</v>
      </c>
      <c r="U53" t="n">
        <v>1.489921202880644</v>
      </c>
      <c r="V53" t="n">
        <v>1.456600917048594</v>
      </c>
      <c r="W53" t="n">
        <v>1.440194377761844</v>
      </c>
      <c r="QG53" t="n">
        <v>1.548430851296627</v>
      </c>
      <c r="QH53" t="n">
        <v>1.524316802429071</v>
      </c>
      <c r="QI53" t="n">
        <v>1.535915589089963</v>
      </c>
      <c r="QJ53" t="n">
        <v>1.5000732248666</v>
      </c>
      <c r="QK53" t="n">
        <v>1.552451594147246</v>
      </c>
      <c r="QL53" t="n">
        <v>1.504150268091674</v>
      </c>
      <c r="QM53" t="n">
        <v>1.51506147121293</v>
      </c>
      <c r="QN53" t="n">
        <v>1.529877764824657</v>
      </c>
      <c r="QO53" t="n">
        <v>1.519077215335745</v>
      </c>
      <c r="QP53" t="n">
        <v>1.52293498932463</v>
      </c>
      <c r="QQ53" t="n">
        <v>1.525535760881586</v>
      </c>
      <c r="QR53" t="n">
        <v>1.522867072557258</v>
      </c>
      <c r="QS53" t="n">
        <v>1.54456559178392</v>
      </c>
      <c r="QT53" t="n">
        <v>1.528227873735874</v>
      </c>
      <c r="QU53" t="n">
        <v>1.515951374639796</v>
      </c>
      <c r="QV53" t="n">
        <v>1.535485321975672</v>
      </c>
      <c r="QW53" t="n">
        <v>1.481279723454214</v>
      </c>
      <c r="QX53" t="n">
        <v>1.521660067853142</v>
      </c>
      <c r="QY53" t="n">
        <v>1.516821307929362</v>
      </c>
      <c r="QZ53" t="n">
        <v>1.489921202880644</v>
      </c>
      <c r="RA53" t="n">
        <v>1.456600917048594</v>
      </c>
      <c r="RB53" t="n">
        <v>1.440194377761844</v>
      </c>
    </row>
    <row r="55">
      <c r="A55" s="1" t="inlineStr">
        <is>
          <t>KMX</t>
        </is>
      </c>
      <c r="B55" s="119">
        <f>B46</f>
        <v/>
      </c>
      <c r="C55" s="119">
        <f>C46</f>
        <v/>
      </c>
      <c r="D55" s="119">
        <f>D46</f>
        <v/>
      </c>
      <c r="E55" s="119">
        <f>E46</f>
        <v/>
      </c>
      <c r="F55" s="119">
        <f>F46</f>
        <v/>
      </c>
      <c r="G55" s="119">
        <f>G46</f>
        <v/>
      </c>
      <c r="H55" s="119">
        <f>H46</f>
        <v/>
      </c>
      <c r="I55" s="119">
        <f>I46</f>
        <v/>
      </c>
      <c r="J55" s="119">
        <f>J46</f>
        <v/>
      </c>
      <c r="K55" s="119">
        <f>K46</f>
        <v/>
      </c>
      <c r="L55" s="119">
        <f>L46</f>
        <v/>
      </c>
      <c r="M55" s="119">
        <f>M46</f>
        <v/>
      </c>
      <c r="N55" s="119">
        <f>N46</f>
        <v/>
      </c>
      <c r="O55" s="119">
        <f>O46</f>
        <v/>
      </c>
      <c r="P55" s="119">
        <f>P46</f>
        <v/>
      </c>
      <c r="Q55" s="119">
        <f>Q46</f>
        <v/>
      </c>
      <c r="R55" s="119">
        <f>R46</f>
        <v/>
      </c>
      <c r="S55" s="119">
        <f>S46</f>
        <v/>
      </c>
      <c r="T55" s="119">
        <f>T46</f>
        <v/>
      </c>
      <c r="U55" s="119">
        <f>U46</f>
        <v/>
      </c>
      <c r="V55" s="119">
        <f>V46</f>
        <v/>
      </c>
      <c r="W55" s="119">
        <f>W46</f>
        <v/>
      </c>
    </row>
    <row r="56">
      <c r="A56" s="101" t="inlineStr">
        <is>
          <t>Contract Model Score</t>
        </is>
      </c>
      <c r="B56" t="n">
        <v>141.964415037453</v>
      </c>
      <c r="C56" t="n">
        <v>140.4219568353273</v>
      </c>
      <c r="D56" t="n">
        <v>139.6251827115235</v>
      </c>
      <c r="E56" t="n">
        <v>139.106775553146</v>
      </c>
      <c r="F56" t="n">
        <v>139.4068486826744</v>
      </c>
      <c r="G56" t="n">
        <v>139.4726392401969</v>
      </c>
      <c r="H56" t="n">
        <v>138.3400793230008</v>
      </c>
      <c r="I56" t="n">
        <v>137.8654045342257</v>
      </c>
      <c r="J56" t="n">
        <v>139.0973997086429</v>
      </c>
      <c r="K56" t="n">
        <v>139.818760695633</v>
      </c>
      <c r="L56" t="n">
        <v>140.5206279628223</v>
      </c>
      <c r="M56" t="n">
        <v>141.3872088153883</v>
      </c>
      <c r="N56" t="n">
        <v>140.6114501824572</v>
      </c>
      <c r="O56" t="n">
        <v>140.6894403487466</v>
      </c>
      <c r="P56" t="n">
        <v>140.4567380871224</v>
      </c>
      <c r="Q56" t="n">
        <v>140.564112400874</v>
      </c>
      <c r="R56" t="n">
        <v>140.3790399396579</v>
      </c>
      <c r="S56" t="n">
        <v>140.7327301300761</v>
      </c>
      <c r="T56" t="n">
        <v>140.719014754801</v>
      </c>
      <c r="U56" t="n">
        <v>140.596501602254</v>
      </c>
      <c r="V56" t="n">
        <v>140.3164622590501</v>
      </c>
      <c r="W56" t="n">
        <v>140.8038765575596</v>
      </c>
      <c r="X56" t="n">
        <v>136.7042921413723</v>
      </c>
      <c r="Y56" t="n">
        <v>133.9857056247706</v>
      </c>
      <c r="Z56" t="n">
        <v>132.337683677991</v>
      </c>
      <c r="AA56" t="n">
        <v>130.9358494317651</v>
      </c>
      <c r="AB56" t="n">
        <v>131.3420667686496</v>
      </c>
      <c r="AC56" t="n">
        <v>132.7040485610144</v>
      </c>
      <c r="AD56" t="n">
        <v>133.0978232171995</v>
      </c>
      <c r="AE56" t="n">
        <v>132.6332976460436</v>
      </c>
      <c r="AF56" t="n">
        <v>133.1767911332538</v>
      </c>
      <c r="AG56" t="n">
        <v>132.5475624113027</v>
      </c>
      <c r="AH56" t="n">
        <v>135.4084086383795</v>
      </c>
      <c r="AI56" t="n">
        <v>135.8479848307121</v>
      </c>
      <c r="AJ56" t="n">
        <v>136.6146618737654</v>
      </c>
      <c r="AK56" t="n">
        <v>135.5735918866051</v>
      </c>
      <c r="AL56" t="n">
        <v>135.96231954074</v>
      </c>
      <c r="AM56" t="n">
        <v>136.1432250417506</v>
      </c>
      <c r="AN56" t="n">
        <v>136.6955546892251</v>
      </c>
      <c r="AO56" t="n">
        <v>137.3461849009686</v>
      </c>
      <c r="AP56" t="n">
        <v>136.1044838443789</v>
      </c>
      <c r="AQ56" t="n">
        <v>136.582794205592</v>
      </c>
      <c r="AR56" t="n">
        <v>137.0093369885157</v>
      </c>
      <c r="AS56" t="n">
        <v>137.1262493237788</v>
      </c>
      <c r="AT56" t="n">
        <v>137.9152361423503</v>
      </c>
      <c r="AU56" t="n">
        <v>136.860091121413</v>
      </c>
      <c r="AV56" t="n">
        <v>137.6917819497688</v>
      </c>
      <c r="AW56" t="n">
        <v>136.4681445012943</v>
      </c>
      <c r="AX56" t="n">
        <v>136.4893955777196</v>
      </c>
      <c r="AY56" t="n">
        <v>136.7517984167774</v>
      </c>
      <c r="AZ56" t="n">
        <v>136.5377138043345</v>
      </c>
      <c r="BA56" t="n">
        <v>136.922081435793</v>
      </c>
      <c r="BB56" t="n">
        <v>137.3732985049776</v>
      </c>
      <c r="BC56" t="n">
        <v>137.6693718166007</v>
      </c>
      <c r="BD56" t="n">
        <v>136.1788646256171</v>
      </c>
      <c r="BE56" t="n">
        <v>136.8139173584138</v>
      </c>
      <c r="BF56" t="n">
        <v>136.587952041387</v>
      </c>
      <c r="BG56" t="n">
        <v>136.3631777741629</v>
      </c>
      <c r="BH56" t="n">
        <v>136.4696020105029</v>
      </c>
      <c r="BI56" t="n">
        <v>136.2265775740138</v>
      </c>
      <c r="BJ56" t="n">
        <v>137.4864253871712</v>
      </c>
      <c r="BK56" t="n">
        <v>138.3649379054561</v>
      </c>
      <c r="BL56" t="n">
        <v>137.4952249513351</v>
      </c>
      <c r="BM56" t="n">
        <v>137.7301193450321</v>
      </c>
      <c r="BN56" t="n">
        <v>138.614533727925</v>
      </c>
      <c r="BO56" t="n">
        <v>138.6775388157767</v>
      </c>
      <c r="BP56" t="n">
        <v>138.1815728872269</v>
      </c>
      <c r="BQ56" t="n">
        <v>138.0375311749921</v>
      </c>
      <c r="BR56" t="n">
        <v>139.7110832905455</v>
      </c>
      <c r="BS56" t="n">
        <v>139.471439125349</v>
      </c>
      <c r="BT56" t="n">
        <v>139.6272664025973</v>
      </c>
      <c r="BU56" t="n">
        <v>140.0175072879854</v>
      </c>
      <c r="BV56" t="n">
        <v>140.7519224305144</v>
      </c>
      <c r="BW56" t="n">
        <v>139.6820376871567</v>
      </c>
      <c r="BX56" t="n">
        <v>138.8804082493787</v>
      </c>
      <c r="BY56" t="n">
        <v>137.9113844569705</v>
      </c>
      <c r="BZ56" t="n">
        <v>139.0951077951096</v>
      </c>
      <c r="CA56" t="n">
        <v>139.1203274110685</v>
      </c>
      <c r="CB56" t="n">
        <v>138.7893450789404</v>
      </c>
      <c r="CC56" t="n">
        <v>135.8216847354376</v>
      </c>
      <c r="CD56" t="n">
        <v>136.2392371155391</v>
      </c>
      <c r="CE56" t="n">
        <v>137.8693777049687</v>
      </c>
      <c r="CF56" t="n">
        <v>138.2202307163585</v>
      </c>
      <c r="CG56" t="n">
        <v>138.4138620484542</v>
      </c>
      <c r="CH56" t="n">
        <v>138.5882334487286</v>
      </c>
      <c r="CI56" t="n">
        <v>139.6039313073167</v>
      </c>
      <c r="CJ56" t="n">
        <v>139.8213222110842</v>
      </c>
      <c r="CK56" t="n">
        <v>140.3760813617212</v>
      </c>
      <c r="CL56" t="n">
        <v>140.0183485255733</v>
      </c>
      <c r="CM56" t="n">
        <v>139.9309354695883</v>
      </c>
      <c r="CN56" t="n">
        <v>138.5599918609261</v>
      </c>
      <c r="CO56" t="n">
        <v>141.3704487959524</v>
      </c>
      <c r="CP56" t="n">
        <v>140.2223806573659</v>
      </c>
      <c r="CQ56" t="n">
        <v>139.6678813950659</v>
      </c>
      <c r="CR56" t="n">
        <v>140.4640380860459</v>
      </c>
      <c r="CS56" t="n">
        <v>140.3896171277298</v>
      </c>
      <c r="CT56" t="n">
        <v>140.3651441496246</v>
      </c>
      <c r="CU56" t="n">
        <v>140.2848597859257</v>
      </c>
      <c r="CV56" t="n">
        <v>140.4039071588685</v>
      </c>
      <c r="CW56" t="n">
        <v>139.3306447845901</v>
      </c>
      <c r="CX56" t="n">
        <v>140.1475099307257</v>
      </c>
      <c r="CY56" t="n">
        <v>140.3741581539232</v>
      </c>
      <c r="CZ56" t="n">
        <v>140.1851996379911</v>
      </c>
      <c r="DA56" t="n">
        <v>139.3908005758962</v>
      </c>
      <c r="DB56" t="n">
        <v>138.8418179028095</v>
      </c>
      <c r="DC56" t="n">
        <v>139.4055778691808</v>
      </c>
      <c r="DD56" t="n">
        <v>139.9905727212951</v>
      </c>
      <c r="DE56" t="n">
        <v>139.7604225504503</v>
      </c>
      <c r="DF56" t="n">
        <v>139.241034947877</v>
      </c>
      <c r="DG56" t="n">
        <v>139.7089547956826</v>
      </c>
      <c r="DH56" t="n">
        <v>140.1347225144955</v>
      </c>
      <c r="DI56" t="n">
        <v>139.1154523074413</v>
      </c>
      <c r="DJ56" t="n">
        <v>139.9524501358208</v>
      </c>
      <c r="DK56" t="n">
        <v>139.9009327058446</v>
      </c>
      <c r="DL56" t="n">
        <v>139.0348229971467</v>
      </c>
      <c r="DM56" t="n">
        <v>138.0216357050259</v>
      </c>
      <c r="DN56" t="n">
        <v>138.0653923563365</v>
      </c>
      <c r="DO56" t="n">
        <v>139.7972380868222</v>
      </c>
      <c r="DP56" t="n">
        <v>139.3378992411518</v>
      </c>
      <c r="DQ56" t="n">
        <v>138.593751792302</v>
      </c>
      <c r="DR56" t="n">
        <v>137.2053896593606</v>
      </c>
      <c r="DS56" t="n">
        <v>138.0928456004144</v>
      </c>
      <c r="DT56" t="n">
        <v>137.8905671756872</v>
      </c>
      <c r="DU56" t="n">
        <v>137.7369416491058</v>
      </c>
      <c r="DV56" t="n">
        <v>137.7318240355428</v>
      </c>
      <c r="DW56" t="n">
        <v>138.5424507975606</v>
      </c>
      <c r="DX56" t="n">
        <v>137.845129361454</v>
      </c>
      <c r="DY56" t="n">
        <v>139.0213393195892</v>
      </c>
      <c r="DZ56" t="n">
        <v>138.4998098197467</v>
      </c>
      <c r="EA56" t="n">
        <v>137.9322044245716</v>
      </c>
      <c r="EB56" t="n">
        <v>136.3140943963612</v>
      </c>
      <c r="EC56" t="n">
        <v>136.901307178378</v>
      </c>
      <c r="ED56" t="n">
        <v>134.7359961583264</v>
      </c>
      <c r="EE56" t="n">
        <v>135.1239860077783</v>
      </c>
      <c r="EF56" t="n">
        <v>136.2768146136233</v>
      </c>
      <c r="EG56" t="n">
        <v>136.7775895337319</v>
      </c>
      <c r="EH56" t="n">
        <v>136.8516136946501</v>
      </c>
      <c r="EI56" t="n">
        <v>137.8346060493371</v>
      </c>
      <c r="EJ56" t="n">
        <v>138.148106134712</v>
      </c>
      <c r="EK56" t="n">
        <v>138.167077277745</v>
      </c>
      <c r="EL56" t="n">
        <v>138.5227742635314</v>
      </c>
      <c r="EM56" t="n">
        <v>139.473183875649</v>
      </c>
      <c r="EN56" t="n">
        <v>138.1884934558205</v>
      </c>
      <c r="EO56" t="n">
        <v>138.3602767496662</v>
      </c>
      <c r="EP56" t="n">
        <v>138.2409084832604</v>
      </c>
      <c r="EQ56" t="n">
        <v>138.5621199417386</v>
      </c>
      <c r="ER56" t="n">
        <v>139.3779008156642</v>
      </c>
      <c r="ES56" t="n">
        <v>138.0901740812018</v>
      </c>
      <c r="ET56" t="n">
        <v>139.0545579633448</v>
      </c>
      <c r="EU56" t="n">
        <v>138.5154050253733</v>
      </c>
      <c r="EV56" t="n">
        <v>138.5089111547011</v>
      </c>
      <c r="EW56" t="n">
        <v>138.942105330065</v>
      </c>
      <c r="EX56" t="n">
        <v>139.1956548489682</v>
      </c>
      <c r="EY56" t="n">
        <v>138.140040011108</v>
      </c>
      <c r="EZ56" t="n">
        <v>137.8875064373837</v>
      </c>
      <c r="FA56" t="n">
        <v>138.0621152388267</v>
      </c>
      <c r="FB56" t="n">
        <v>138.6986500315128</v>
      </c>
      <c r="FC56" t="n">
        <v>137.5739506520075</v>
      </c>
      <c r="FD56" t="n">
        <v>137.4039957754893</v>
      </c>
      <c r="FE56" t="n">
        <v>138.8338482084975</v>
      </c>
      <c r="FF56" t="n">
        <v>138.540036544697</v>
      </c>
      <c r="FG56" t="n">
        <v>138.2283880815762</v>
      </c>
      <c r="FH56" t="n">
        <v>138.1141612469184</v>
      </c>
      <c r="FI56" t="n">
        <v>137.5276357823979</v>
      </c>
      <c r="FJ56" t="n">
        <v>138.4418899499152</v>
      </c>
      <c r="FK56" t="n">
        <v>138.727728227042</v>
      </c>
      <c r="FL56" t="n">
        <v>137.394774367658</v>
      </c>
      <c r="FM56" t="n">
        <v>138.2520725396119</v>
      </c>
      <c r="FN56" t="n">
        <v>136.6113665654987</v>
      </c>
      <c r="FO56" t="n">
        <v>137.347958248456</v>
      </c>
      <c r="FP56" t="n">
        <v>137.0939638302122</v>
      </c>
      <c r="FQ56" t="n">
        <v>137.8794155075263</v>
      </c>
      <c r="FR56" t="n">
        <v>137.3311440026924</v>
      </c>
      <c r="FS56" t="n">
        <v>137.1352487504234</v>
      </c>
      <c r="FT56" t="n">
        <v>137.7515296007426</v>
      </c>
      <c r="FU56" t="n">
        <v>137.5560629081554</v>
      </c>
      <c r="FV56" t="n">
        <v>137.8828621009654</v>
      </c>
      <c r="FW56" t="n">
        <v>138.908030232976</v>
      </c>
      <c r="FX56" t="n">
        <v>138.2799823028923</v>
      </c>
      <c r="FY56" t="n">
        <v>136.3317978296137</v>
      </c>
      <c r="FZ56" t="n">
        <v>136.1613233962276</v>
      </c>
      <c r="GA56" t="n">
        <v>136.1334846034092</v>
      </c>
      <c r="GB56" t="n">
        <v>136.9774896887808</v>
      </c>
      <c r="GC56" t="n">
        <v>137.3791903055171</v>
      </c>
      <c r="GD56" t="n">
        <v>137.0985536483985</v>
      </c>
      <c r="GE56" t="n">
        <v>136.0066305293221</v>
      </c>
      <c r="GF56" t="n">
        <v>134.5379024685534</v>
      </c>
      <c r="GG56" t="n">
        <v>135.4281630790534</v>
      </c>
      <c r="GH56" t="n">
        <v>136.3225219290107</v>
      </c>
      <c r="GI56" t="n">
        <v>136.9971797457732</v>
      </c>
      <c r="GJ56" t="n">
        <v>137.3821713924329</v>
      </c>
      <c r="GK56" t="n">
        <v>136.6634275760362</v>
      </c>
      <c r="GL56" t="n">
        <v>137.4144058232287</v>
      </c>
      <c r="GM56" t="n">
        <v>137.491231925227</v>
      </c>
      <c r="GN56" t="n">
        <v>137.2019017644766</v>
      </c>
      <c r="GO56" t="n">
        <v>136.8194330313478</v>
      </c>
      <c r="GP56" t="n">
        <v>137.6683705361994</v>
      </c>
      <c r="GQ56" t="n">
        <v>137.3678387426192</v>
      </c>
      <c r="GR56" t="n">
        <v>136.4527804375266</v>
      </c>
      <c r="GS56" t="n">
        <v>137.1259211979507</v>
      </c>
      <c r="GT56" t="n">
        <v>137.7988957509918</v>
      </c>
      <c r="GU56" t="n">
        <v>136.8140520560024</v>
      </c>
      <c r="GV56" t="n">
        <v>137.5075970106918</v>
      </c>
      <c r="GW56" t="n">
        <v>137.6908624363348</v>
      </c>
      <c r="GX56" t="n">
        <v>137.8958011110446</v>
      </c>
      <c r="GY56" t="n">
        <v>137.5527780581333</v>
      </c>
      <c r="GZ56" t="n">
        <v>136.7766901021318</v>
      </c>
      <c r="HA56" t="n">
        <v>136.8428775175869</v>
      </c>
      <c r="HB56" t="n">
        <v>137.2203152170111</v>
      </c>
      <c r="HC56" t="n">
        <v>137.3085691830608</v>
      </c>
      <c r="HD56" t="n">
        <v>137.0827945513775</v>
      </c>
      <c r="HE56" t="n">
        <v>136.8906589057914</v>
      </c>
      <c r="HF56" t="n">
        <v>136.7617173694252</v>
      </c>
      <c r="HG56" t="n">
        <v>136.8662592577722</v>
      </c>
      <c r="HH56" t="n">
        <v>136.6177282578094</v>
      </c>
      <c r="HI56" t="n">
        <v>136.3195530623092</v>
      </c>
      <c r="HJ56" t="n">
        <v>136.4333334023063</v>
      </c>
      <c r="HK56" t="n">
        <v>136.5584970574531</v>
      </c>
      <c r="HL56" t="n">
        <v>136.926500465374</v>
      </c>
      <c r="HM56" t="n">
        <v>137.2542410253223</v>
      </c>
      <c r="HN56" t="n">
        <v>136.8099537132552</v>
      </c>
      <c r="HO56" t="n">
        <v>136.3043065371997</v>
      </c>
      <c r="HP56" t="n">
        <v>136.5754818049214</v>
      </c>
      <c r="HQ56" t="n">
        <v>136.0680523526864</v>
      </c>
      <c r="HR56" t="n">
        <v>137.2267583523109</v>
      </c>
      <c r="HS56" t="n">
        <v>137.0595385008382</v>
      </c>
      <c r="HT56" t="n">
        <v>136.5781695947556</v>
      </c>
      <c r="HU56" t="n">
        <v>136.8669541650239</v>
      </c>
      <c r="HV56" t="n">
        <v>136.5510691314272</v>
      </c>
      <c r="HW56" t="n">
        <v>137.2538532948548</v>
      </c>
      <c r="HX56" t="n">
        <v>137.3634018368854</v>
      </c>
      <c r="HY56" t="n">
        <v>135.2707138495303</v>
      </c>
      <c r="HZ56" t="n">
        <v>135.8560441168833</v>
      </c>
      <c r="IA56" t="n">
        <v>135.58703664092</v>
      </c>
      <c r="IB56" t="n">
        <v>136.1484179814487</v>
      </c>
      <c r="IC56" t="n">
        <v>136.7438899759238</v>
      </c>
      <c r="ID56" t="n">
        <v>136.1350716691553</v>
      </c>
      <c r="IE56" t="n">
        <v>136.4983139785238</v>
      </c>
      <c r="IF56" t="n">
        <v>136.6006132124305</v>
      </c>
      <c r="IG56" t="n">
        <v>134.9174010248359</v>
      </c>
      <c r="IH56" t="n">
        <v>135.5035381122455</v>
      </c>
      <c r="II56" t="n">
        <v>135.9347365290474</v>
      </c>
      <c r="IJ56" t="n">
        <v>135.7150742564125</v>
      </c>
      <c r="IK56" t="n">
        <v>135.7253410340863</v>
      </c>
      <c r="IL56" t="n">
        <v>135.7727040376559</v>
      </c>
      <c r="IM56" t="n">
        <v>135.3887337669528</v>
      </c>
      <c r="IN56" t="n">
        <v>136.2447560532547</v>
      </c>
      <c r="IO56" t="n">
        <v>137.0893269332766</v>
      </c>
      <c r="IP56" t="n">
        <v>137.7841512325409</v>
      </c>
      <c r="IQ56" t="n">
        <v>138.1813596193961</v>
      </c>
      <c r="IR56" t="n">
        <v>138.237559432004</v>
      </c>
      <c r="IS56" t="n">
        <v>139.2938281003703</v>
      </c>
      <c r="IT56" t="n">
        <v>138.6691488039319</v>
      </c>
      <c r="IU56" t="n">
        <v>139.6620112143798</v>
      </c>
      <c r="IV56" t="n">
        <v>139.0636378096373</v>
      </c>
      <c r="IW56" t="n">
        <v>139.3414028768662</v>
      </c>
      <c r="IX56" t="n">
        <v>139.2735264517976</v>
      </c>
      <c r="IY56" t="n">
        <v>139.2642499324869</v>
      </c>
      <c r="IZ56" t="n">
        <v>139.0889675726866</v>
      </c>
      <c r="JA56" t="n">
        <v>139.4358985979059</v>
      </c>
      <c r="JB56" t="n">
        <v>139.2121156389049</v>
      </c>
      <c r="JC56" t="n">
        <v>138.9112324485732</v>
      </c>
      <c r="JD56" t="n">
        <v>139.1470916051816</v>
      </c>
      <c r="JE56" t="n">
        <v>138.8721642456374</v>
      </c>
      <c r="JF56" t="n">
        <v>138.4197243981388</v>
      </c>
      <c r="JG56" t="n">
        <v>137.9782726996608</v>
      </c>
      <c r="JH56" t="n">
        <v>138.1815039896002</v>
      </c>
      <c r="JI56" t="n">
        <v>137.7799938992</v>
      </c>
      <c r="JJ56" t="n">
        <v>138.6522356386293</v>
      </c>
      <c r="JK56" t="n">
        <v>138.6847326261193</v>
      </c>
      <c r="JL56" t="n">
        <v>137.3061158652827</v>
      </c>
      <c r="JM56" t="n">
        <v>137.4499843360881</v>
      </c>
      <c r="JN56" t="n">
        <v>136.9710300596134</v>
      </c>
      <c r="JO56" t="n">
        <v>138.0320311057675</v>
      </c>
      <c r="JP56" t="n">
        <v>136.8596885321452</v>
      </c>
      <c r="JQ56" t="n">
        <v>136.5441370582492</v>
      </c>
      <c r="JR56" t="n">
        <v>136.8979164288328</v>
      </c>
      <c r="JS56" t="n">
        <v>136.2992937370805</v>
      </c>
      <c r="JT56" t="n">
        <v>135.9856474808619</v>
      </c>
      <c r="JU56" t="n">
        <v>136.6533976491925</v>
      </c>
      <c r="JV56" t="n">
        <v>137.0758291602886</v>
      </c>
      <c r="JW56" t="n">
        <v>136.9290913541892</v>
      </c>
      <c r="JX56" t="n">
        <v>137.4749341871573</v>
      </c>
      <c r="JY56" t="n">
        <v>136.570576721088</v>
      </c>
      <c r="JZ56" t="n">
        <v>136.753761492884</v>
      </c>
      <c r="KA56" t="n">
        <v>136.2474682188135</v>
      </c>
      <c r="KB56" t="n">
        <v>136.3064375080721</v>
      </c>
      <c r="KC56" t="n">
        <v>135.8677419618494</v>
      </c>
      <c r="KD56" t="n">
        <v>136.3351438453562</v>
      </c>
      <c r="KE56" t="n">
        <v>135.3567718205547</v>
      </c>
      <c r="KF56" t="n">
        <v>135.4401446493406</v>
      </c>
      <c r="KG56" t="n">
        <v>135.1815051448587</v>
      </c>
      <c r="KH56" t="n">
        <v>134.9939992674372</v>
      </c>
      <c r="KI56" t="n">
        <v>134.831540787583</v>
      </c>
      <c r="KJ56" t="n">
        <v>135.2069117268792</v>
      </c>
      <c r="KK56" t="n">
        <v>134.9789422364009</v>
      </c>
      <c r="KL56" t="n">
        <v>135.5792536441681</v>
      </c>
      <c r="KM56" t="n">
        <v>135.7060132022126</v>
      </c>
      <c r="KN56" t="n">
        <v>135.58801833927</v>
      </c>
      <c r="KO56" t="n">
        <v>135.9021581222083</v>
      </c>
      <c r="KP56" t="n">
        <v>136.1766119633785</v>
      </c>
      <c r="KQ56" t="n">
        <v>136.0307359097997</v>
      </c>
      <c r="KR56" t="n">
        <v>136.262871437973</v>
      </c>
      <c r="KS56" t="n">
        <v>135.6376037062035</v>
      </c>
      <c r="KT56" t="n">
        <v>135.6886026161309</v>
      </c>
      <c r="KU56" t="n">
        <v>135.4025018411494</v>
      </c>
      <c r="KV56" t="n">
        <v>135.8786945610835</v>
      </c>
      <c r="KW56" t="n">
        <v>135.5197739337132</v>
      </c>
      <c r="KX56" t="n">
        <v>135.5265653019632</v>
      </c>
      <c r="KY56" t="n">
        <v>135.4385389521375</v>
      </c>
      <c r="KZ56" t="n">
        <v>133.7859532791013</v>
      </c>
      <c r="LA56" t="n">
        <v>133.7440973314659</v>
      </c>
      <c r="LB56" t="n">
        <v>133.7527504169454</v>
      </c>
      <c r="LC56" t="n">
        <v>134.1366172995226</v>
      </c>
      <c r="LD56" t="n">
        <v>137.4633971635847</v>
      </c>
      <c r="LE56" t="n">
        <v>139.4282909975144</v>
      </c>
      <c r="LF56" t="n">
        <v>134.1113973122247</v>
      </c>
      <c r="LG56" t="n">
        <v>133.306030945699</v>
      </c>
      <c r="LH56" t="n">
        <v>133.8008303902621</v>
      </c>
      <c r="LI56" t="n">
        <v>133.6697579535769</v>
      </c>
      <c r="LJ56" t="n">
        <v>133.874363296811</v>
      </c>
      <c r="LK56" t="n">
        <v>133.6560055521087</v>
      </c>
      <c r="LL56" t="n">
        <v>133.5386052536579</v>
      </c>
      <c r="LM56" t="n">
        <v>133.8353561387303</v>
      </c>
      <c r="LN56" t="n">
        <v>134.2081142437171</v>
      </c>
      <c r="LO56" t="n">
        <v>133.6774856604179</v>
      </c>
      <c r="LP56" t="n">
        <v>133.8891951388223</v>
      </c>
      <c r="LQ56" t="n">
        <v>133.6331530974785</v>
      </c>
      <c r="LR56" t="n">
        <v>134.1529443301539</v>
      </c>
      <c r="LS56" t="n">
        <v>132.5014401713092</v>
      </c>
      <c r="LT56" t="n">
        <v>131.9430593588085</v>
      </c>
      <c r="LU56" t="n">
        <v>132.836984719682</v>
      </c>
      <c r="LV56" t="n">
        <v>132.6727063679921</v>
      </c>
      <c r="LW56" t="n">
        <v>132.8207353080434</v>
      </c>
      <c r="LX56" t="n">
        <v>133.0436712750699</v>
      </c>
      <c r="LY56" t="n">
        <v>132.4305740002946</v>
      </c>
      <c r="LZ56" t="n">
        <v>132.7670590660527</v>
      </c>
      <c r="MA56" t="n">
        <v>131.7104568040413</v>
      </c>
      <c r="MB56" t="n">
        <v>132.1438943417156</v>
      </c>
      <c r="MC56" t="n">
        <v>131.7463152077237</v>
      </c>
      <c r="MD56" t="n">
        <v>131.8422740939095</v>
      </c>
      <c r="ME56" t="n">
        <v>132.210160178244</v>
      </c>
      <c r="MF56" t="n">
        <v>132.8964588621296</v>
      </c>
      <c r="MG56" t="n">
        <v>133.5061227004462</v>
      </c>
      <c r="MH56" t="n">
        <v>134.1969367545736</v>
      </c>
      <c r="MI56" t="n">
        <v>133.3656097155516</v>
      </c>
      <c r="MJ56" t="n">
        <v>133.6710338186879</v>
      </c>
      <c r="MK56" t="n">
        <v>133.6168945572815</v>
      </c>
      <c r="ML56" t="n">
        <v>133.3544311218868</v>
      </c>
      <c r="MM56" t="n">
        <v>134.3082072235152</v>
      </c>
      <c r="MN56" t="n">
        <v>134.8290100677072</v>
      </c>
      <c r="MO56" t="n">
        <v>134.8059093023971</v>
      </c>
      <c r="MP56" t="n">
        <v>134.7952142458596</v>
      </c>
      <c r="MQ56" t="n">
        <v>134.8503602513807</v>
      </c>
      <c r="MR56" t="n">
        <v>134.4192045895965</v>
      </c>
      <c r="MS56" t="n">
        <v>134.3517502636585</v>
      </c>
      <c r="MT56" t="n">
        <v>134.2897330670826</v>
      </c>
      <c r="MU56" t="n">
        <v>134.3246091441494</v>
      </c>
      <c r="MV56" t="n">
        <v>134.4966120191499</v>
      </c>
      <c r="MW56" t="n">
        <v>134.4875616851524</v>
      </c>
      <c r="MX56" t="n">
        <v>134.6438333466875</v>
      </c>
      <c r="MY56" t="n">
        <v>134.9798917204688</v>
      </c>
      <c r="MZ56" t="n">
        <v>135.9058366722046</v>
      </c>
      <c r="NA56" t="n">
        <v>135.8248273734052</v>
      </c>
      <c r="NB56" t="n">
        <v>136.2048675282347</v>
      </c>
      <c r="NC56" t="n">
        <v>135.7631377813153</v>
      </c>
      <c r="ND56" t="n">
        <v>135.5293298170843</v>
      </c>
      <c r="NE56" t="n">
        <v>135.860515591719</v>
      </c>
      <c r="NF56" t="n">
        <v>136.3359774761844</v>
      </c>
      <c r="NG56" t="n">
        <v>136.9218297435736</v>
      </c>
      <c r="NH56" t="n">
        <v>136.2069677006018</v>
      </c>
      <c r="NI56" t="n">
        <v>135.8746201291379</v>
      </c>
      <c r="NJ56" t="n">
        <v>135.9176438543116</v>
      </c>
      <c r="NK56" t="n">
        <v>136.4440538621159</v>
      </c>
      <c r="NL56" t="n">
        <v>136.0850008274557</v>
      </c>
      <c r="NM56" t="n">
        <v>135.8845446076147</v>
      </c>
      <c r="NN56" t="n">
        <v>135.8235719024401</v>
      </c>
      <c r="NO56" t="n">
        <v>137.0315842627621</v>
      </c>
      <c r="NP56" t="n">
        <v>137.5611266795344</v>
      </c>
      <c r="NQ56" t="n">
        <v>137.9903094449039</v>
      </c>
      <c r="NR56" t="n">
        <v>138.0479011267503</v>
      </c>
      <c r="NS56" t="n">
        <v>138.3705598626938</v>
      </c>
      <c r="NT56" t="n">
        <v>139.1829866966496</v>
      </c>
      <c r="NU56" t="n">
        <v>138.483751969416</v>
      </c>
      <c r="NV56" t="n">
        <v>139.0091738857235</v>
      </c>
      <c r="NW56" t="n">
        <v>138.3750644294153</v>
      </c>
      <c r="NX56" t="n">
        <v>139.2839463679007</v>
      </c>
      <c r="NY56" t="n">
        <v>139.5848152639982</v>
      </c>
      <c r="NZ56" t="n">
        <v>139.972220324789</v>
      </c>
      <c r="OA56" t="n">
        <v>139.7346791219757</v>
      </c>
      <c r="OB56" t="n">
        <v>140.0241443990733</v>
      </c>
      <c r="OC56" t="n">
        <v>140.7057618852791</v>
      </c>
      <c r="OD56" t="n">
        <v>140.5563831266013</v>
      </c>
      <c r="OE56" t="n">
        <v>140.4043084528494</v>
      </c>
      <c r="OF56" t="n">
        <v>140.3157524115331</v>
      </c>
      <c r="OG56" t="n">
        <v>140.3630120413656</v>
      </c>
      <c r="OH56" t="n">
        <v>140.2430287436521</v>
      </c>
      <c r="OI56" t="n">
        <v>138.9359581907848</v>
      </c>
      <c r="OJ56" t="n">
        <v>139.7670605625743</v>
      </c>
      <c r="OK56" t="n">
        <v>140.1512303251868</v>
      </c>
      <c r="OL56" t="n">
        <v>140.123957012735</v>
      </c>
      <c r="OM56" t="n">
        <v>140.980767979379</v>
      </c>
      <c r="ON56" t="n">
        <v>140.6465454992818</v>
      </c>
      <c r="OO56" t="n">
        <v>140.6213543132665</v>
      </c>
      <c r="OP56" t="n">
        <v>140.0248836657731</v>
      </c>
      <c r="OQ56" t="n">
        <v>140.3881186130286</v>
      </c>
      <c r="OR56" t="n">
        <v>140.4439264738025</v>
      </c>
      <c r="OS56" t="n">
        <v>140.6317614357213</v>
      </c>
      <c r="OT56" t="n">
        <v>140.7476918163685</v>
      </c>
      <c r="OU56" t="n">
        <v>141.1349640342166</v>
      </c>
      <c r="OV56" t="n">
        <v>141.0139244381354</v>
      </c>
      <c r="OW56" t="n">
        <v>141.156064562971</v>
      </c>
      <c r="OX56" t="n">
        <v>140.7968976083512</v>
      </c>
      <c r="OY56" t="n">
        <v>140.0494902619138</v>
      </c>
      <c r="OZ56" t="n">
        <v>140.9664104640907</v>
      </c>
      <c r="PA56" t="n">
        <v>140.6547128773032</v>
      </c>
      <c r="PB56" t="n">
        <v>140.7040258408298</v>
      </c>
      <c r="PC56" t="n">
        <v>140.868553914806</v>
      </c>
      <c r="PD56" t="n">
        <v>140.3837519050762</v>
      </c>
      <c r="PE56" t="n">
        <v>140.558501535809</v>
      </c>
      <c r="PF56" t="n">
        <v>140.4985926485506</v>
      </c>
      <c r="PG56" t="n">
        <v>140.5236166211105</v>
      </c>
      <c r="PH56" t="n">
        <v>140.6791515416834</v>
      </c>
      <c r="PI56" t="n">
        <v>140.7661581081069</v>
      </c>
      <c r="PJ56" t="n">
        <v>140.4700491247655</v>
      </c>
      <c r="PK56" t="n">
        <v>140.4529532131005</v>
      </c>
      <c r="PL56" t="n">
        <v>140.2678995987807</v>
      </c>
      <c r="PM56" t="n">
        <v>140.2391445234635</v>
      </c>
      <c r="PN56" t="n">
        <v>140.1799168581273</v>
      </c>
      <c r="PO56" t="n">
        <v>140.2150291985697</v>
      </c>
      <c r="PP56" t="n">
        <v>139.9924290843653</v>
      </c>
      <c r="PQ56" t="n">
        <v>139.7825859678495</v>
      </c>
      <c r="PR56" t="n">
        <v>140.2259883293844</v>
      </c>
      <c r="PS56" t="n">
        <v>140.3331494604985</v>
      </c>
      <c r="PT56" t="n">
        <v>140.4551643269677</v>
      </c>
      <c r="PU56" t="n">
        <v>141.4983105795042</v>
      </c>
      <c r="PV56" t="n">
        <v>141.130572891997</v>
      </c>
      <c r="PW56" t="n">
        <v>141.7760440963557</v>
      </c>
      <c r="PX56" t="n">
        <v>140.7576719864993</v>
      </c>
      <c r="PY56" t="n">
        <v>140.2739789854231</v>
      </c>
      <c r="PZ56" t="n">
        <v>140.9784066949751</v>
      </c>
      <c r="QA56" t="n">
        <v>141.6463490985561</v>
      </c>
      <c r="QB56" t="n">
        <v>143.6914254209229</v>
      </c>
      <c r="QC56" t="n">
        <v>140.7388593820988</v>
      </c>
      <c r="QD56" t="n">
        <v>140.0079556791796</v>
      </c>
      <c r="QE56" t="n">
        <v>139.1998582436047</v>
      </c>
      <c r="QF56" t="n">
        <v>139.1852792039462</v>
      </c>
      <c r="QG56" t="n">
        <v>140.020207619556</v>
      </c>
      <c r="QH56" t="n">
        <v>138.3825353491866</v>
      </c>
      <c r="QI56" t="n">
        <v>138.2451418613403</v>
      </c>
      <c r="QJ56" t="n">
        <v>138.2409954294199</v>
      </c>
      <c r="QK56" t="n">
        <v>139.5254512393609</v>
      </c>
      <c r="QL56" t="n">
        <v>140.2243775476228</v>
      </c>
      <c r="QM56" t="n">
        <v>140.6826176810098</v>
      </c>
      <c r="QN56" t="n">
        <v>140.9828084311788</v>
      </c>
      <c r="QO56" t="n">
        <v>140.8970586742822</v>
      </c>
      <c r="QP56" t="n">
        <v>140.6848631848271</v>
      </c>
      <c r="QQ56" t="n">
        <v>140.1342761335046</v>
      </c>
      <c r="QR56" t="n">
        <v>140.4549146974259</v>
      </c>
      <c r="QS56" t="n">
        <v>140.7117785022846</v>
      </c>
      <c r="QT56" t="n">
        <v>140.6640604966854</v>
      </c>
      <c r="QU56" t="n">
        <v>140.6202100153417</v>
      </c>
      <c r="QV56" t="n">
        <v>140.5284768243478</v>
      </c>
      <c r="QW56" t="n">
        <v>140.5054136895978</v>
      </c>
      <c r="QX56" t="n">
        <v>133.527961039327</v>
      </c>
      <c r="QY56" t="n">
        <v>132.645493700343</v>
      </c>
      <c r="QZ56" t="n">
        <v>132.3732979883805</v>
      </c>
      <c r="RA56" t="n">
        <v>132.4250000610617</v>
      </c>
      <c r="RB56" t="n">
        <v>133.2809690768114</v>
      </c>
      <c r="RC56" t="n">
        <v>131.2822353173591</v>
      </c>
      <c r="RD56" t="n">
        <v>131.3472202531098</v>
      </c>
      <c r="RE56" t="n">
        <v>131.2970515627866</v>
      </c>
      <c r="RF56" t="n">
        <v>132.6177306213886</v>
      </c>
      <c r="RG56" t="n">
        <v>133.0274116435542</v>
      </c>
      <c r="RH56" t="n">
        <v>133.0214234456947</v>
      </c>
      <c r="RI56" t="n">
        <v>132.4884682025724</v>
      </c>
      <c r="RJ56" t="n">
        <v>134.0470214969246</v>
      </c>
      <c r="RK56" t="n">
        <v>135.4719652913242</v>
      </c>
      <c r="RL56" t="n">
        <v>136.391114079344</v>
      </c>
      <c r="RM56" t="n">
        <v>136.0237127337984</v>
      </c>
      <c r="RN56" t="n">
        <v>135.5207466507035</v>
      </c>
      <c r="RO56" t="n">
        <v>135.7206119940452</v>
      </c>
      <c r="RP56" t="n">
        <v>136.1350037574263</v>
      </c>
      <c r="RQ56" t="n">
        <v>137.3577618783042</v>
      </c>
      <c r="RR56" t="n">
        <v>137.1087445264675</v>
      </c>
      <c r="RS56" t="n">
        <v>136.5466002991919</v>
      </c>
      <c r="RT56" t="n">
        <v>137.0449952382679</v>
      </c>
      <c r="RU56" t="n">
        <v>136.5507960393273</v>
      </c>
      <c r="RV56" t="n">
        <v>136.8254090032872</v>
      </c>
      <c r="RW56" t="n">
        <v>138.0719204480682</v>
      </c>
      <c r="RX56" t="n">
        <v>137.4756109005095</v>
      </c>
      <c r="RY56" t="n">
        <v>137.4368084080002</v>
      </c>
      <c r="RZ56" t="n">
        <v>136.4973176847187</v>
      </c>
      <c r="SA56" t="n">
        <v>136.3133139084422</v>
      </c>
      <c r="SB56" t="n">
        <v>136.1959936192702</v>
      </c>
      <c r="SC56" t="n">
        <v>137.2444153782062</v>
      </c>
      <c r="SD56" t="n">
        <v>136.432988851068</v>
      </c>
      <c r="SE56" t="n">
        <v>137.959353246864</v>
      </c>
      <c r="SF56" t="n">
        <v>136.6736685257257</v>
      </c>
      <c r="SG56" t="n">
        <v>137.0226351679597</v>
      </c>
      <c r="SH56" t="n">
        <v>136.2607790748456</v>
      </c>
      <c r="SI56" t="n">
        <v>136.3272457855474</v>
      </c>
      <c r="SJ56" t="n">
        <v>137.4034642501049</v>
      </c>
      <c r="SK56" t="n">
        <v>135.2451376404612</v>
      </c>
      <c r="SL56" t="n">
        <v>137.0704122065029</v>
      </c>
      <c r="SM56" t="n">
        <v>137.6146158416463</v>
      </c>
      <c r="SN56" t="n">
        <v>137.6998398717253</v>
      </c>
      <c r="SO56" t="n">
        <v>138.1055109855797</v>
      </c>
      <c r="SP56" t="n">
        <v>137.6219146905448</v>
      </c>
      <c r="SQ56" t="n">
        <v>138.704134650349</v>
      </c>
      <c r="SR56" t="n">
        <v>138.527971416767</v>
      </c>
      <c r="SS56" t="n">
        <v>138.3367917059243</v>
      </c>
      <c r="ST56" t="n">
        <v>139.110076900854</v>
      </c>
      <c r="SU56" t="n">
        <v>139.0768553496376</v>
      </c>
      <c r="SV56" t="n">
        <v>139.7614259090275</v>
      </c>
      <c r="SW56" t="n">
        <v>140.496460734089</v>
      </c>
      <c r="SX56" t="n">
        <v>139.9672504490822</v>
      </c>
      <c r="SY56" t="n">
        <v>140.0509597642146</v>
      </c>
      <c r="SZ56" t="n">
        <v>139.1458334087216</v>
      </c>
      <c r="TA56" t="n">
        <v>138.8880427373165</v>
      </c>
      <c r="TB56" t="n">
        <v>138.1430439270019</v>
      </c>
      <c r="TC56" t="n">
        <v>139.3315342593652</v>
      </c>
      <c r="TD56" t="n">
        <v>139.2293875485146</v>
      </c>
      <c r="TE56" t="n">
        <v>137.3253220576689</v>
      </c>
      <c r="TF56" t="n">
        <v>135.5226929963524</v>
      </c>
      <c r="TG56" t="n">
        <v>136.5753980638229</v>
      </c>
      <c r="TH56" t="n">
        <v>137.3659939929007</v>
      </c>
      <c r="TI56" t="n">
        <v>138.2778172905689</v>
      </c>
      <c r="TJ56" t="n">
        <v>138.3047195022884</v>
      </c>
      <c r="TK56" t="n">
        <v>139.2290016010863</v>
      </c>
      <c r="TL56" t="n">
        <v>139.8105638884863</v>
      </c>
      <c r="TM56" t="n">
        <v>140.1039810900961</v>
      </c>
      <c r="TN56" t="n">
        <v>139.5190890929378</v>
      </c>
      <c r="TO56" t="n">
        <v>140.7455840511442</v>
      </c>
      <c r="TP56" t="n">
        <v>139.5114196703664</v>
      </c>
      <c r="TQ56" t="n">
        <v>139.4706607095528</v>
      </c>
      <c r="TR56" t="n">
        <v>140.4897211759484</v>
      </c>
      <c r="TS56" t="n">
        <v>140.2025013508057</v>
      </c>
      <c r="TT56" t="n">
        <v>140.1230317944521</v>
      </c>
      <c r="TU56" t="n">
        <v>140.7768883765005</v>
      </c>
      <c r="TV56" t="n">
        <v>140.0549805443565</v>
      </c>
      <c r="TW56" t="n">
        <v>140.1189954073035</v>
      </c>
      <c r="TX56" t="n">
        <v>140.7178994892415</v>
      </c>
      <c r="TY56" t="n">
        <v>139.8561433031936</v>
      </c>
      <c r="TZ56" t="n">
        <v>139.6696814474792</v>
      </c>
      <c r="UA56" t="n">
        <v>139.8739320019711</v>
      </c>
      <c r="UB56" t="n">
        <v>140.1657792240682</v>
      </c>
      <c r="UC56" t="n">
        <v>140.4107822533612</v>
      </c>
      <c r="UD56" t="n">
        <v>139.339624276516</v>
      </c>
      <c r="UE56" t="n">
        <v>138.9555102329472</v>
      </c>
      <c r="UF56" t="n">
        <v>139.5682631486378</v>
      </c>
      <c r="UG56" t="n">
        <v>139.9867176836289</v>
      </c>
      <c r="UH56" t="n">
        <v>139.8441985319089</v>
      </c>
      <c r="UI56" t="n">
        <v>138.5728517767729</v>
      </c>
      <c r="UJ56" t="n">
        <v>140.5668087210592</v>
      </c>
      <c r="UK56" t="n">
        <v>139.4657696113183</v>
      </c>
      <c r="UL56" t="n">
        <v>139.6362271670616</v>
      </c>
      <c r="UM56" t="n">
        <v>140.0003705215659</v>
      </c>
      <c r="UN56" t="n">
        <v>139.4811760138459</v>
      </c>
      <c r="UO56" t="n">
        <v>138.7905728738284</v>
      </c>
      <c r="UP56" t="n">
        <v>138.1624166536784</v>
      </c>
      <c r="UQ56" t="n">
        <v>138.6345204138242</v>
      </c>
      <c r="UR56" t="n">
        <v>139.3106493099215</v>
      </c>
      <c r="US56" t="n">
        <v>139.8225452108832</v>
      </c>
      <c r="UT56" t="n">
        <v>137.1948463663246</v>
      </c>
      <c r="UU56" t="n">
        <v>137.8173177618754</v>
      </c>
      <c r="UV56" t="n">
        <v>137.9298049500643</v>
      </c>
      <c r="UW56" t="n">
        <v>137.9858260906483</v>
      </c>
      <c r="UX56" t="n">
        <v>138.4218316889031</v>
      </c>
      <c r="UY56" t="n">
        <v>138.0099009379896</v>
      </c>
      <c r="UZ56" t="n">
        <v>138.5998413683577</v>
      </c>
      <c r="VA56" t="n">
        <v>138.6174161690401</v>
      </c>
      <c r="VB56" t="n">
        <v>138.0199687779423</v>
      </c>
      <c r="VC56" t="n">
        <v>137.7375112479068</v>
      </c>
      <c r="VD56" t="n">
        <v>136.4000481886997</v>
      </c>
      <c r="VE56" t="n">
        <v>135.9176726231891</v>
      </c>
      <c r="VF56" t="n">
        <v>134.7754699381255</v>
      </c>
      <c r="VG56" t="n">
        <v>135.2688392788591</v>
      </c>
      <c r="VH56" t="n">
        <v>137.0884030172433</v>
      </c>
      <c r="VI56" t="n">
        <v>136.7725802895764</v>
      </c>
      <c r="VJ56" t="n">
        <v>137.2306533976181</v>
      </c>
      <c r="VK56" t="n">
        <v>137.7841454854806</v>
      </c>
      <c r="VL56" t="n">
        <v>138.3777328685156</v>
      </c>
      <c r="VM56" t="n">
        <v>137.8163786044369</v>
      </c>
      <c r="VN56" t="n">
        <v>138.9406953318935</v>
      </c>
      <c r="VO56" t="n">
        <v>138.7883375268232</v>
      </c>
      <c r="VP56" t="n">
        <v>139.1537865863006</v>
      </c>
      <c r="VQ56" t="n">
        <v>137.4799319711174</v>
      </c>
      <c r="VR56" t="n">
        <v>138.3584355522322</v>
      </c>
      <c r="VS56" t="n">
        <v>139.5995848757805</v>
      </c>
      <c r="VT56" t="n">
        <v>138.4580920792439</v>
      </c>
      <c r="VU56" t="n">
        <v>138.5674684156417</v>
      </c>
      <c r="VV56" t="n">
        <v>139.0652741741719</v>
      </c>
      <c r="VW56" t="n">
        <v>138.4157861696285</v>
      </c>
      <c r="VX56" t="n">
        <v>138.7256104462727</v>
      </c>
      <c r="VY56" t="n">
        <v>139.7172114325949</v>
      </c>
      <c r="VZ56" t="n">
        <v>138.2894139427974</v>
      </c>
      <c r="WA56" t="n">
        <v>137.7154703342389</v>
      </c>
      <c r="WB56" t="n">
        <v>138.3672285852671</v>
      </c>
      <c r="WC56" t="n">
        <v>138.587492923158</v>
      </c>
      <c r="WD56" t="n">
        <v>137.9211580132527</v>
      </c>
      <c r="WE56" t="n">
        <v>136.7938970752151</v>
      </c>
      <c r="WF56" t="n">
        <v>138.1139604653181</v>
      </c>
      <c r="WG56" t="n">
        <v>138.9440311691502</v>
      </c>
      <c r="WH56" t="n">
        <v>138.5229509485986</v>
      </c>
      <c r="WI56" t="n">
        <v>138.1761098256819</v>
      </c>
      <c r="WJ56" t="n">
        <v>137.6120203488356</v>
      </c>
      <c r="WK56" t="n">
        <v>138.0115605905885</v>
      </c>
      <c r="WL56" t="n">
        <v>138.2101025772652</v>
      </c>
      <c r="WM56" t="n">
        <v>138.3182608855477</v>
      </c>
      <c r="WN56" t="n">
        <v>137.7136918589748</v>
      </c>
      <c r="WO56" t="n">
        <v>137.7140963723577</v>
      </c>
      <c r="WP56" t="n">
        <v>137.093856170734</v>
      </c>
      <c r="WQ56" t="n">
        <v>137.6651789941867</v>
      </c>
      <c r="WR56" t="n">
        <v>136.8848796122939</v>
      </c>
      <c r="WS56" t="n">
        <v>137.493290010627</v>
      </c>
      <c r="WT56" t="n">
        <v>137.0130915088769</v>
      </c>
      <c r="WU56" t="n">
        <v>137.5444009902716</v>
      </c>
      <c r="WV56" t="n">
        <v>137.5436287588119</v>
      </c>
      <c r="WW56" t="n">
        <v>137.8886442556215</v>
      </c>
      <c r="WX56" t="n">
        <v>137.4613379286518</v>
      </c>
      <c r="WY56" t="n">
        <v>138.3490742355734</v>
      </c>
      <c r="WZ56" t="n">
        <v>137.5672405260067</v>
      </c>
      <c r="XA56" t="n">
        <v>136.0464271680163</v>
      </c>
      <c r="XB56" t="n">
        <v>136.3621698069188</v>
      </c>
      <c r="XC56" t="n">
        <v>136.3753182530964</v>
      </c>
      <c r="XD56" t="n">
        <v>137.1249059648267</v>
      </c>
      <c r="XE56" t="n">
        <v>137.370072669892</v>
      </c>
      <c r="XF56" t="n">
        <v>137.2071033890093</v>
      </c>
      <c r="XG56" t="n">
        <v>134.9371123660808</v>
      </c>
      <c r="XH56" t="n">
        <v>134.6179447405702</v>
      </c>
      <c r="XI56" t="n">
        <v>135.9978342470426</v>
      </c>
      <c r="XJ56" t="n">
        <v>136.7944726406496</v>
      </c>
      <c r="XK56" t="n">
        <v>136.9891634519325</v>
      </c>
      <c r="XL56" t="n">
        <v>136.9968051173126</v>
      </c>
      <c r="XM56" t="n">
        <v>137.5528237781803</v>
      </c>
      <c r="XN56" t="n">
        <v>137.1573634227586</v>
      </c>
      <c r="XO56" t="n">
        <v>137.6055256476789</v>
      </c>
      <c r="XP56" t="n">
        <v>136.5289652849283</v>
      </c>
      <c r="XQ56" t="n">
        <v>137.2674185239776</v>
      </c>
      <c r="XR56" t="n">
        <v>137.3141436336307</v>
      </c>
      <c r="XS56" t="n">
        <v>136.9388802832177</v>
      </c>
      <c r="XT56" t="n">
        <v>136.9629784687254</v>
      </c>
      <c r="XU56" t="n">
        <v>137.5238343227063</v>
      </c>
      <c r="XV56" t="n">
        <v>137.2686382944003</v>
      </c>
      <c r="XW56" t="n">
        <v>137.4265918121156</v>
      </c>
      <c r="XX56" t="n">
        <v>137.3190296798593</v>
      </c>
      <c r="XY56" t="n">
        <v>137.0068978718437</v>
      </c>
      <c r="XZ56" t="n">
        <v>138.3266926835844</v>
      </c>
      <c r="YA56" t="n">
        <v>137.3894087582831</v>
      </c>
      <c r="YB56" t="n">
        <v>136.7927312018221</v>
      </c>
      <c r="YC56" t="n">
        <v>137.2419878725839</v>
      </c>
      <c r="YD56" t="n">
        <v>136.9933441232396</v>
      </c>
      <c r="YE56" t="n">
        <v>137.2247882457008</v>
      </c>
      <c r="YF56" t="n">
        <v>137.0438666617188</v>
      </c>
      <c r="YG56" t="n">
        <v>136.9200784288615</v>
      </c>
      <c r="YH56" t="n">
        <v>136.9304939534271</v>
      </c>
      <c r="YI56" t="n">
        <v>136.9498794850737</v>
      </c>
      <c r="YJ56" t="n">
        <v>136.1852688820395</v>
      </c>
      <c r="YK56" t="n">
        <v>135.8388479198676</v>
      </c>
      <c r="YL56" t="n">
        <v>136.5637141188612</v>
      </c>
      <c r="YM56" t="n">
        <v>136.8737905533402</v>
      </c>
      <c r="YN56" t="n">
        <v>137.2697629816175</v>
      </c>
      <c r="YO56" t="n">
        <v>136.3876400494249</v>
      </c>
      <c r="YP56" t="n">
        <v>137.1774508675967</v>
      </c>
      <c r="YQ56" t="n">
        <v>136.4290615073793</v>
      </c>
      <c r="YR56" t="n">
        <v>136.522578229671</v>
      </c>
      <c r="YS56" t="n">
        <v>136.5968012192396</v>
      </c>
      <c r="YT56" t="n">
        <v>136.6444117096144</v>
      </c>
      <c r="YU56" t="n">
        <v>137.0463468142127</v>
      </c>
      <c r="YV56" t="n">
        <v>136.6558238401751</v>
      </c>
      <c r="YW56" t="n">
        <v>136.9690180324941</v>
      </c>
      <c r="YX56" t="n">
        <v>136.7757025664735</v>
      </c>
      <c r="YY56" t="n">
        <v>136.4866700463937</v>
      </c>
      <c r="YZ56" t="n">
        <v>137.4519126936722</v>
      </c>
      <c r="ZA56" t="n">
        <v>135.5140825658362</v>
      </c>
      <c r="ZB56" t="n">
        <v>135.7684378737274</v>
      </c>
      <c r="ZC56" t="n">
        <v>135.8732291734879</v>
      </c>
      <c r="ZD56" t="n">
        <v>136.5320538757713</v>
      </c>
      <c r="ZE56" t="n">
        <v>136.6391948746438</v>
      </c>
      <c r="ZF56" t="n">
        <v>136.404814743321</v>
      </c>
      <c r="ZG56" t="n">
        <v>136.7004098256166</v>
      </c>
      <c r="ZH56" t="n">
        <v>135.0638941574381</v>
      </c>
      <c r="ZI56" t="n">
        <v>135.3468020045584</v>
      </c>
      <c r="ZJ56" t="n">
        <v>135.7620870335552</v>
      </c>
      <c r="ZK56" t="n">
        <v>135.7139529474079</v>
      </c>
      <c r="ZL56" t="n">
        <v>135.836082426072</v>
      </c>
      <c r="ZM56" t="n">
        <v>135.154414089914</v>
      </c>
      <c r="ZN56" t="n">
        <v>135.7678115216339</v>
      </c>
      <c r="ZO56" t="n">
        <v>135.7865451760742</v>
      </c>
      <c r="ZP56" t="n">
        <v>136.3374533100719</v>
      </c>
      <c r="ZQ56" t="n">
        <v>137.7256705781348</v>
      </c>
      <c r="ZR56" t="n">
        <v>137.6552574001475</v>
      </c>
      <c r="ZS56" t="n">
        <v>138.2953707846263</v>
      </c>
      <c r="ZT56" t="n">
        <v>138.8339514340275</v>
      </c>
      <c r="ZU56" t="n">
        <v>138.8845935320657</v>
      </c>
      <c r="ZV56" t="n">
        <v>139.0514298500097</v>
      </c>
      <c r="ZW56" t="n">
        <v>139.6152740786202</v>
      </c>
      <c r="ZX56" t="n">
        <v>138.7437015423359</v>
      </c>
      <c r="ZY56" t="n">
        <v>139.8483779062223</v>
      </c>
      <c r="ZZ56" t="n">
        <v>138.9534209570978</v>
      </c>
      <c r="AAA56" t="n">
        <v>139.3678511211773</v>
      </c>
      <c r="AAB56" t="n">
        <v>139.2445057853026</v>
      </c>
      <c r="AAC56" t="n">
        <v>139.3456619388888</v>
      </c>
      <c r="AAD56" t="n">
        <v>139.3426301221976</v>
      </c>
      <c r="AAE56" t="n">
        <v>138.7923037371135</v>
      </c>
      <c r="AAF56" t="n">
        <v>139.2779370334078</v>
      </c>
      <c r="AAG56" t="n">
        <v>138.4577541899699</v>
      </c>
      <c r="AAH56" t="n">
        <v>138.0475755628783</v>
      </c>
      <c r="AAI56" t="n">
        <v>138.4325302250696</v>
      </c>
      <c r="AAJ56" t="n">
        <v>138.1094679552116</v>
      </c>
      <c r="AAK56" t="n">
        <v>138.2800152711153</v>
      </c>
      <c r="AAL56" t="n">
        <v>138.5633372971371</v>
      </c>
      <c r="AAM56" t="n">
        <v>137.6572867264483</v>
      </c>
      <c r="AAN56" t="n">
        <v>137.4318694418179</v>
      </c>
      <c r="AAO56" t="n">
        <v>137.0141841806898</v>
      </c>
      <c r="AAP56" t="n">
        <v>137.8502671527982</v>
      </c>
      <c r="AAQ56" t="n">
        <v>137.479543756571</v>
      </c>
      <c r="AAR56" t="n">
        <v>136.6889140308678</v>
      </c>
      <c r="AAS56" t="n">
        <v>136.7100238922597</v>
      </c>
      <c r="AAT56" t="n">
        <v>136.5788309635554</v>
      </c>
      <c r="AAU56" t="n">
        <v>136.2107615973292</v>
      </c>
      <c r="AAV56" t="n">
        <v>136.4971050280033</v>
      </c>
      <c r="AAW56" t="n">
        <v>136.7225244330089</v>
      </c>
      <c r="AAX56" t="n">
        <v>137.1651623316172</v>
      </c>
      <c r="AAY56" t="n">
        <v>137.0415953498199</v>
      </c>
      <c r="AAZ56" t="n">
        <v>137.0397818378481</v>
      </c>
      <c r="ABA56" t="n">
        <v>136.438205671056</v>
      </c>
      <c r="ABB56" t="n">
        <v>136.2625967603279</v>
      </c>
      <c r="ABC56" t="n">
        <v>136.2381542701838</v>
      </c>
      <c r="ABD56" t="n">
        <v>136.3188401431751</v>
      </c>
      <c r="ABE56" t="n">
        <v>135.4350525698592</v>
      </c>
      <c r="ABF56" t="n">
        <v>135.6921686979499</v>
      </c>
      <c r="ABG56" t="n">
        <v>135.1381357993921</v>
      </c>
      <c r="ABH56" t="n">
        <v>134.8832791381674</v>
      </c>
      <c r="ABI56" t="n">
        <v>134.9072263600115</v>
      </c>
      <c r="ABJ56" t="n">
        <v>135.2580108899018</v>
      </c>
      <c r="ABK56" t="n">
        <v>134.6432450580616</v>
      </c>
      <c r="ABL56" t="n">
        <v>135.6535557586616</v>
      </c>
      <c r="ABM56" t="n">
        <v>135.550911357021</v>
      </c>
      <c r="ABN56" t="n">
        <v>135.7872732332976</v>
      </c>
      <c r="ABO56" t="n">
        <v>135.59248327719</v>
      </c>
      <c r="ABP56" t="n">
        <v>136.1363360229104</v>
      </c>
      <c r="ABQ56" t="n">
        <v>135.8058953296574</v>
      </c>
      <c r="ABR56" t="n">
        <v>136.4197923395974</v>
      </c>
      <c r="ABS56" t="n">
        <v>135.7471981913761</v>
      </c>
      <c r="ABT56" t="n">
        <v>136.0129629209178</v>
      </c>
      <c r="ABU56" t="n">
        <v>135.3091684561024</v>
      </c>
      <c r="ABV56" t="n">
        <v>135.925136660814</v>
      </c>
      <c r="ABW56" t="n">
        <v>135.2981974885803</v>
      </c>
      <c r="ABX56" t="n">
        <v>135.3520055578674</v>
      </c>
      <c r="ABY56" t="n">
        <v>135.8643202064468</v>
      </c>
      <c r="ABZ56" t="n">
        <v>134.6560511258796</v>
      </c>
      <c r="ACA56" t="n">
        <v>133.6259727691935</v>
      </c>
      <c r="ACB56" t="n">
        <v>134.2156159333868</v>
      </c>
      <c r="ACC56" t="n">
        <v>133.4032880409867</v>
      </c>
      <c r="ACD56" t="n">
        <v>133.857024336659</v>
      </c>
      <c r="ACE56" t="n">
        <v>143.084013474589</v>
      </c>
      <c r="ACF56" t="n">
        <v>134.7321608756892</v>
      </c>
      <c r="ACG56" t="n">
        <v>133.4319252570881</v>
      </c>
      <c r="ACH56" t="n">
        <v>133.6881822798075</v>
      </c>
      <c r="ACI56" t="n">
        <v>133.8143220559571</v>
      </c>
      <c r="ACJ56" t="n">
        <v>133.833400417026</v>
      </c>
      <c r="ACK56" t="n">
        <v>133.489234731107</v>
      </c>
      <c r="ACL56" t="n">
        <v>133.5425396511251</v>
      </c>
      <c r="ACM56" t="n">
        <v>133.9606585343829</v>
      </c>
      <c r="ACN56" t="n">
        <v>133.6508191607516</v>
      </c>
      <c r="ACO56" t="n">
        <v>134.1302667308051</v>
      </c>
      <c r="ACP56" t="n">
        <v>133.6857236704518</v>
      </c>
      <c r="ACQ56" t="n">
        <v>133.765405514259</v>
      </c>
      <c r="ACR56" t="n">
        <v>133.9700286893918</v>
      </c>
      <c r="ACS56" t="n">
        <v>133.1614193084743</v>
      </c>
      <c r="ACT56" t="n">
        <v>132.4152664387319</v>
      </c>
      <c r="ACU56" t="n">
        <v>132.1756768748794</v>
      </c>
      <c r="ACV56" t="n">
        <v>132.9185158850711</v>
      </c>
      <c r="ACW56" t="n">
        <v>132.7727958422363</v>
      </c>
      <c r="ACX56" t="n">
        <v>132.744136700643</v>
      </c>
      <c r="ACY56" t="n">
        <v>132.9954299065664</v>
      </c>
      <c r="ACZ56" t="n">
        <v>132.1162958156065</v>
      </c>
      <c r="ADA56" t="n">
        <v>132.5635718021466</v>
      </c>
      <c r="ADB56" t="n">
        <v>132.3453511010347</v>
      </c>
      <c r="ADC56" t="n">
        <v>131.7467205105485</v>
      </c>
      <c r="ADD56" t="n">
        <v>131.8407602563509</v>
      </c>
      <c r="ADE56" t="n">
        <v>132.8130965861547</v>
      </c>
      <c r="ADF56" t="n">
        <v>132.9897737335682</v>
      </c>
      <c r="ADG56" t="n">
        <v>133.7321954414492</v>
      </c>
      <c r="ADH56" t="n">
        <v>133.8669798107164</v>
      </c>
      <c r="ADI56" t="n">
        <v>133.3533522695527</v>
      </c>
      <c r="ADJ56" t="n">
        <v>133.7225835035687</v>
      </c>
      <c r="ADK56" t="n">
        <v>133.3007733787285</v>
      </c>
      <c r="ADL56" t="n">
        <v>133.5318435468701</v>
      </c>
      <c r="ADM56" t="n">
        <v>134.7729882571923</v>
      </c>
      <c r="ADN56" t="n">
        <v>134.9514755821046</v>
      </c>
      <c r="ADO56" t="n">
        <v>134.8914174003272</v>
      </c>
      <c r="ADP56" t="n">
        <v>134.7340344703946</v>
      </c>
      <c r="ADQ56" t="n">
        <v>134.6872822567366</v>
      </c>
      <c r="ADR56" t="n">
        <v>134.3080665199629</v>
      </c>
      <c r="ADS56" t="n">
        <v>134.3409792268687</v>
      </c>
      <c r="ADT56" t="n">
        <v>134.7318500478081</v>
      </c>
      <c r="ADU56" t="n">
        <v>133.9227640054649</v>
      </c>
      <c r="ADV56" t="n">
        <v>134.5892876897257</v>
      </c>
      <c r="ADW56" t="n">
        <v>134.8767140052225</v>
      </c>
      <c r="ADX56" t="n">
        <v>134.6875933979125</v>
      </c>
      <c r="ADY56" t="n">
        <v>135.5905811327065</v>
      </c>
      <c r="ADZ56" t="n">
        <v>135.6080167093088</v>
      </c>
      <c r="AEA56" t="n">
        <v>136.1649541454138</v>
      </c>
      <c r="AEB56" t="n">
        <v>135.7090398923448</v>
      </c>
      <c r="AEC56" t="n">
        <v>135.8045136034501</v>
      </c>
      <c r="AED56" t="n">
        <v>135.6473774281449</v>
      </c>
      <c r="AEE56" t="n">
        <v>135.9838450349895</v>
      </c>
      <c r="AEF56" t="n">
        <v>136.5741284490737</v>
      </c>
      <c r="AEG56" t="n">
        <v>136.772955538461</v>
      </c>
      <c r="AEH56" t="n">
        <v>136.1117565634969</v>
      </c>
      <c r="AEI56" t="n">
        <v>135.9586609855172</v>
      </c>
      <c r="AEJ56" t="n">
        <v>136.4239457709929</v>
      </c>
      <c r="AEK56" t="n">
        <v>135.9078237464393</v>
      </c>
      <c r="AEL56" t="n">
        <v>136.0339818216795</v>
      </c>
      <c r="AEM56" t="n">
        <v>135.855864395847</v>
      </c>
      <c r="AEN56" t="n">
        <v>136.2479175164976</v>
      </c>
      <c r="AEO56" t="n">
        <v>137.3080241765713</v>
      </c>
      <c r="AEP56" t="n">
        <v>137.6315007748628</v>
      </c>
      <c r="AEQ56" t="n">
        <v>137.9212216504001</v>
      </c>
      <c r="AER56" t="n">
        <v>137.7060697860476</v>
      </c>
      <c r="AES56" t="n">
        <v>138.8101356747416</v>
      </c>
      <c r="AET56" t="n">
        <v>138.7527183273852</v>
      </c>
      <c r="AEU56" t="n">
        <v>138.8191702522855</v>
      </c>
      <c r="AEV56" t="n">
        <v>138.6761729463521</v>
      </c>
      <c r="AEW56" t="n">
        <v>138.8285719818861</v>
      </c>
      <c r="AEX56" t="n">
        <v>139.3687844147362</v>
      </c>
      <c r="AEY56" t="n">
        <v>139.7136540817209</v>
      </c>
      <c r="AEZ56" t="n">
        <v>140.0641945650904</v>
      </c>
      <c r="AFA56" t="n">
        <v>139.756378863975</v>
      </c>
      <c r="AFB56" t="n">
        <v>140.3173119212209</v>
      </c>
      <c r="AFC56" t="n">
        <v>140.2434058066921</v>
      </c>
      <c r="AFD56" t="n">
        <v>141.0446879652407</v>
      </c>
      <c r="AFE56" t="n">
        <v>140.3344347266639</v>
      </c>
      <c r="AFF56" t="n">
        <v>140.3090358199045</v>
      </c>
      <c r="AFG56" t="n">
        <v>140.1252043289544</v>
      </c>
      <c r="AFH56" t="n">
        <v>139.6913853272433</v>
      </c>
      <c r="AFI56" t="n">
        <v>139.201611535427</v>
      </c>
      <c r="AFJ56" t="n">
        <v>140.0609878347685</v>
      </c>
      <c r="AFK56" t="n">
        <v>140.0800334501579</v>
      </c>
      <c r="AFL56" t="n">
        <v>140.560723293088</v>
      </c>
      <c r="AFM56" t="n">
        <v>140.7461464783145</v>
      </c>
      <c r="AFN56" t="n">
        <v>140.5942713524648</v>
      </c>
      <c r="AFO56" t="n">
        <v>140.3686517185614</v>
      </c>
      <c r="AFP56" t="n">
        <v>140.3891123570526</v>
      </c>
      <c r="AFQ56" t="n">
        <v>140.2834852335587</v>
      </c>
      <c r="AFR56" t="n">
        <v>140.3422332056319</v>
      </c>
      <c r="AFS56" t="n">
        <v>140.4129079655968</v>
      </c>
      <c r="AFT56" t="n">
        <v>141.0056577382276</v>
      </c>
      <c r="AFU56" t="n">
        <v>141.1882014364492</v>
      </c>
      <c r="AFV56" t="n">
        <v>141.3574025018549</v>
      </c>
      <c r="AFW56" t="n">
        <v>140.8474817328764</v>
      </c>
      <c r="AFX56" t="n">
        <v>139.9112402177259</v>
      </c>
      <c r="AFY56" t="n">
        <v>141.3429173086182</v>
      </c>
      <c r="AFZ56" t="n">
        <v>140.4478583012978</v>
      </c>
      <c r="AGA56" t="n">
        <v>140.3104310650217</v>
      </c>
      <c r="AGB56" t="n">
        <v>140.8631820545019</v>
      </c>
      <c r="AGC56" t="n">
        <v>140.7433334113305</v>
      </c>
      <c r="AGD56" t="n">
        <v>140.7106017664568</v>
      </c>
      <c r="AGE56" t="n">
        <v>140.5036980532179</v>
      </c>
      <c r="AGF56" t="n">
        <v>140.03866573476</v>
      </c>
      <c r="AGG56" t="n">
        <v>141.0084905599278</v>
      </c>
      <c r="AGH56" t="n">
        <v>140.7225110911007</v>
      </c>
      <c r="AGI56" t="n">
        <v>140.7109327904377</v>
      </c>
      <c r="AGJ56" t="n">
        <v>140.5734643652328</v>
      </c>
      <c r="AGK56" t="n">
        <v>140.0906773359653</v>
      </c>
      <c r="AGL56" t="n">
        <v>140.4594338212727</v>
      </c>
      <c r="AGM56" t="n">
        <v>139.8109790684905</v>
      </c>
      <c r="AGN56" t="n">
        <v>140.4702391049368</v>
      </c>
      <c r="AGO56" t="n">
        <v>140.0089071493706</v>
      </c>
      <c r="AGP56" t="n">
        <v>139.7827978105544</v>
      </c>
      <c r="AGQ56" t="n">
        <v>140.0335967063755</v>
      </c>
      <c r="AGR56" t="n">
        <v>140.1789254263106</v>
      </c>
      <c r="AGS56" t="n">
        <v>140.2038382402612</v>
      </c>
      <c r="AGT56" t="n">
        <v>141.2142309646068</v>
      </c>
      <c r="AGU56" t="n">
        <v>141.252879357979</v>
      </c>
      <c r="AGV56" t="n">
        <v>141.8344649802544</v>
      </c>
      <c r="AGW56" t="n">
        <v>141.4388603157631</v>
      </c>
      <c r="AGX56" t="n">
        <v>140.293302995503</v>
      </c>
      <c r="AGY56" t="n">
        <v>140.6828728018878</v>
      </c>
      <c r="AGZ56" t="n">
        <v>140.8852071743277</v>
      </c>
      <c r="AHA56" t="n">
        <v>140.9572442232741</v>
      </c>
      <c r="AHB56" t="n">
        <v>141.2860653194749</v>
      </c>
      <c r="AHC56" t="n">
        <v>141.2860653194749</v>
      </c>
      <c r="AHD56" t="n">
        <v>140.0079556791795</v>
      </c>
      <c r="AHE56" t="n">
        <v>140.0079556791795</v>
      </c>
      <c r="AHF56" t="n">
        <v>139.1998582436047</v>
      </c>
      <c r="AHG56" t="n">
        <v>139.1998582436047</v>
      </c>
      <c r="AHH56" t="n">
        <v>139.1852792039462</v>
      </c>
      <c r="AHI56" t="n">
        <v>139.1852792039462</v>
      </c>
      <c r="AHJ56" t="n">
        <v>140.020207619556</v>
      </c>
      <c r="AHK56" t="n">
        <v>140.020207619556</v>
      </c>
      <c r="AHL56" t="n">
        <v>138.3825353491866</v>
      </c>
      <c r="AHM56" t="n">
        <v>138.3825353491866</v>
      </c>
      <c r="AHN56" t="n">
        <v>138.2451418613404</v>
      </c>
      <c r="AHO56" t="n">
        <v>138.2451418613404</v>
      </c>
      <c r="AHP56" t="n">
        <v>138.2409954294199</v>
      </c>
      <c r="AHQ56" t="n">
        <v>138.2409954294199</v>
      </c>
      <c r="AHR56" t="n">
        <v>139.5254512393609</v>
      </c>
      <c r="AHS56" t="n">
        <v>139.5254512393609</v>
      </c>
      <c r="AHT56" t="n">
        <v>140.2243775476227</v>
      </c>
      <c r="AHU56" t="n">
        <v>140.2243775476227</v>
      </c>
      <c r="AHV56" t="n">
        <v>140.6826176810098</v>
      </c>
      <c r="AHW56" t="n">
        <v>140.6826176810098</v>
      </c>
      <c r="AHX56" t="n">
        <v>140.9828084311788</v>
      </c>
      <c r="AHY56" t="n">
        <v>140.9828084311788</v>
      </c>
      <c r="AHZ56" t="n">
        <v>140.8970586742822</v>
      </c>
      <c r="AIA56" t="n">
        <v>140.8970586742822</v>
      </c>
      <c r="AIB56" t="n">
        <v>140.6848631848271</v>
      </c>
      <c r="AIC56" t="n">
        <v>140.6848631848271</v>
      </c>
      <c r="AID56" t="n">
        <v>140.1342761335046</v>
      </c>
      <c r="AIE56" t="n">
        <v>140.1342761335046</v>
      </c>
      <c r="AIF56" t="n">
        <v>140.4549146974258</v>
      </c>
      <c r="AIG56" t="n">
        <v>140.4549146974258</v>
      </c>
      <c r="AIH56" t="n">
        <v>140.7117785022846</v>
      </c>
      <c r="AII56" t="n">
        <v>140.7117785022846</v>
      </c>
      <c r="AIJ56" t="n">
        <v>140.6640604966855</v>
      </c>
      <c r="AIK56" t="n">
        <v>140.6640604966855</v>
      </c>
      <c r="AIL56" t="n">
        <v>140.6202100153418</v>
      </c>
      <c r="AIM56" t="n">
        <v>140.6202100153418</v>
      </c>
      <c r="AIN56" t="n">
        <v>140.5284768243478</v>
      </c>
      <c r="AIO56" t="n">
        <v>140.5284768243478</v>
      </c>
      <c r="AIP56" t="n">
        <v>140.5054136895978</v>
      </c>
      <c r="AIQ56" t="n">
        <v>140.5054136895978</v>
      </c>
      <c r="AIR56" t="n">
        <v>133.527961039327</v>
      </c>
      <c r="AIS56" t="n">
        <v>133.527961039327</v>
      </c>
      <c r="AIT56" t="n">
        <v>132.645493700343</v>
      </c>
      <c r="AIU56" t="n">
        <v>132.645493700343</v>
      </c>
      <c r="AIV56" t="n">
        <v>132.3732979883805</v>
      </c>
      <c r="AIW56" t="n">
        <v>132.3732979883805</v>
      </c>
      <c r="AIX56" t="n">
        <v>132.4250000610617</v>
      </c>
      <c r="AIY56" t="n">
        <v>132.4250000610617</v>
      </c>
      <c r="AIZ56" t="n">
        <v>133.2809690768114</v>
      </c>
      <c r="AJA56" t="n">
        <v>133.2809690768114</v>
      </c>
      <c r="AJB56" t="n">
        <v>131.282235317359</v>
      </c>
      <c r="AJC56" t="n">
        <v>131.282235317359</v>
      </c>
      <c r="AJD56" t="n">
        <v>131.3472202531098</v>
      </c>
      <c r="AJE56" t="n">
        <v>131.3472202531098</v>
      </c>
      <c r="AJF56" t="n">
        <v>131.2970515627866</v>
      </c>
      <c r="AJG56" t="n">
        <v>131.2970515627866</v>
      </c>
      <c r="AJH56" t="n">
        <v>132.6177306213886</v>
      </c>
      <c r="AJI56" t="n">
        <v>132.6177306213886</v>
      </c>
      <c r="AJJ56" t="n">
        <v>133.0274116435542</v>
      </c>
      <c r="AJK56" t="n">
        <v>133.0274116435542</v>
      </c>
      <c r="AJL56" t="n">
        <v>133.0214234456947</v>
      </c>
      <c r="AJM56" t="n">
        <v>133.0214234456947</v>
      </c>
      <c r="AJN56" t="n">
        <v>132.4884682025724</v>
      </c>
      <c r="AJO56" t="n">
        <v>132.4884682025724</v>
      </c>
      <c r="AJP56" t="n">
        <v>134.0470214969247</v>
      </c>
      <c r="AJQ56" t="n">
        <v>134.0470214969247</v>
      </c>
      <c r="AJR56" t="n">
        <v>135.4719652913243</v>
      </c>
      <c r="AJS56" t="n">
        <v>135.4719652913243</v>
      </c>
      <c r="AJT56" t="n">
        <v>136.391114079344</v>
      </c>
      <c r="AJU56" t="n">
        <v>136.391114079344</v>
      </c>
      <c r="AJV56" t="n">
        <v>136.0237127337984</v>
      </c>
      <c r="AJW56" t="n">
        <v>136.0237127337984</v>
      </c>
      <c r="AJX56" t="n">
        <v>135.5207466507035</v>
      </c>
      <c r="AJY56" t="n">
        <v>135.5207466507035</v>
      </c>
      <c r="AJZ56" t="n">
        <v>135.7206119940452</v>
      </c>
      <c r="AKA56" t="n">
        <v>135.7206119940452</v>
      </c>
      <c r="AKB56" t="n">
        <v>136.1350037574263</v>
      </c>
      <c r="AKC56" t="n">
        <v>136.1350037574263</v>
      </c>
      <c r="AKD56" t="n">
        <v>137.3577618783042</v>
      </c>
      <c r="AKE56" t="n">
        <v>137.3577618783042</v>
      </c>
      <c r="AKF56" t="n">
        <v>137.1087445264675</v>
      </c>
      <c r="AKG56" t="n">
        <v>137.1087445264675</v>
      </c>
      <c r="AKH56" t="n">
        <v>136.5466002991919</v>
      </c>
      <c r="AKI56" t="n">
        <v>136.5466002991919</v>
      </c>
      <c r="AKJ56" t="n">
        <v>137.0449952382679</v>
      </c>
      <c r="AKK56" t="n">
        <v>137.0449952382679</v>
      </c>
      <c r="AKL56" t="n">
        <v>136.5507960393273</v>
      </c>
      <c r="AKM56" t="n">
        <v>136.5507960393273</v>
      </c>
      <c r="AKN56" t="n">
        <v>136.8254090032872</v>
      </c>
      <c r="AKO56" t="n">
        <v>136.8254090032872</v>
      </c>
      <c r="AKP56" t="n">
        <v>138.0719204480682</v>
      </c>
      <c r="AKQ56" t="n">
        <v>138.0719204480682</v>
      </c>
      <c r="AKR56" t="n">
        <v>137.4756109005096</v>
      </c>
      <c r="AKS56" t="n">
        <v>137.4756109005096</v>
      </c>
      <c r="AKT56" t="n">
        <v>137.4368084080002</v>
      </c>
      <c r="AKU56" t="n">
        <v>137.4368084080002</v>
      </c>
      <c r="AKV56" t="n">
        <v>136.4973176847187</v>
      </c>
      <c r="AKW56" t="n">
        <v>136.4973176847187</v>
      </c>
      <c r="AKX56" t="n">
        <v>136.3133139084423</v>
      </c>
      <c r="AKY56" t="n">
        <v>136.3133139084423</v>
      </c>
      <c r="AKZ56" t="n">
        <v>136.1959936192702</v>
      </c>
      <c r="ALA56" t="n">
        <v>136.1959936192702</v>
      </c>
      <c r="ALB56" t="n">
        <v>137.2444153782062</v>
      </c>
      <c r="ALC56" t="n">
        <v>137.2444153782062</v>
      </c>
      <c r="ALD56" t="n">
        <v>136.4329888510681</v>
      </c>
      <c r="ALE56" t="n">
        <v>136.4329888510681</v>
      </c>
      <c r="ALF56" t="n">
        <v>137.959353246864</v>
      </c>
      <c r="ALG56" t="n">
        <v>137.959353246864</v>
      </c>
      <c r="ALH56" t="n">
        <v>136.6736685257257</v>
      </c>
      <c r="ALI56" t="n">
        <v>136.6736685257257</v>
      </c>
      <c r="ALJ56" t="n">
        <v>137.0226351679597</v>
      </c>
      <c r="ALK56" t="n">
        <v>137.0226351679597</v>
      </c>
      <c r="ALL56" t="n">
        <v>136.2607790748455</v>
      </c>
      <c r="ALM56" t="n">
        <v>136.2607790748455</v>
      </c>
      <c r="ALN56" t="n">
        <v>136.3272457855474</v>
      </c>
      <c r="ALO56" t="n">
        <v>136.3272457855474</v>
      </c>
      <c r="ALP56" t="n">
        <v>137.4034642501049</v>
      </c>
      <c r="ALQ56" t="n">
        <v>137.4034642501049</v>
      </c>
      <c r="ALR56" t="n">
        <v>135.2451376404612</v>
      </c>
      <c r="ALS56" t="n">
        <v>135.2451376404612</v>
      </c>
      <c r="ALT56" t="n">
        <v>137.0704122065029</v>
      </c>
      <c r="ALU56" t="n">
        <v>137.0704122065029</v>
      </c>
      <c r="ALV56" t="n">
        <v>137.6146158416463</v>
      </c>
      <c r="ALW56" t="n">
        <v>137.6146158416463</v>
      </c>
      <c r="ALX56" t="n">
        <v>137.6998398717253</v>
      </c>
      <c r="ALY56" t="n">
        <v>137.6998398717253</v>
      </c>
      <c r="ALZ56" t="n">
        <v>138.1055109855797</v>
      </c>
      <c r="AMA56" t="n">
        <v>138.1055109855797</v>
      </c>
      <c r="AMB56" t="n">
        <v>137.6219146905449</v>
      </c>
      <c r="AMC56" t="n">
        <v>137.6219146905449</v>
      </c>
      <c r="AMD56" t="n">
        <v>138.704134650349</v>
      </c>
      <c r="AME56" t="n">
        <v>138.704134650349</v>
      </c>
      <c r="AMF56" t="n">
        <v>138.527971416767</v>
      </c>
      <c r="AMG56" t="n">
        <v>138.527971416767</v>
      </c>
      <c r="AMH56" t="n">
        <v>138.3367917059243</v>
      </c>
      <c r="AMI56" t="n">
        <v>138.3367917059243</v>
      </c>
      <c r="AMJ56" t="n">
        <v>139.110076900854</v>
      </c>
      <c r="AMK56" t="n">
        <v>139.110076900854</v>
      </c>
      <c r="AML56" t="n">
        <v>139.0768553496376</v>
      </c>
      <c r="AMM56" t="n">
        <v>139.0768553496376</v>
      </c>
      <c r="AMN56" t="n">
        <v>139.7614259090275</v>
      </c>
      <c r="AMO56" t="n">
        <v>139.7614259090275</v>
      </c>
      <c r="AMP56" t="n">
        <v>140.496460734089</v>
      </c>
      <c r="AMQ56" t="n">
        <v>140.496460734089</v>
      </c>
      <c r="AMR56" t="n">
        <v>139.9672504490822</v>
      </c>
      <c r="AMS56" t="n">
        <v>139.9672504490822</v>
      </c>
      <c r="AMT56" t="n">
        <v>140.0509597642146</v>
      </c>
      <c r="AMU56" t="n">
        <v>140.0509597642146</v>
      </c>
      <c r="AMV56" t="n">
        <v>139.1458334087216</v>
      </c>
      <c r="AMW56" t="n">
        <v>139.1458334087216</v>
      </c>
      <c r="AMX56" t="n">
        <v>138.8880427373165</v>
      </c>
      <c r="AMY56" t="n">
        <v>138.8880427373165</v>
      </c>
      <c r="AMZ56" t="n">
        <v>138.1430439270019</v>
      </c>
      <c r="ANA56" t="n">
        <v>138.1430439270019</v>
      </c>
      <c r="ANB56" t="n">
        <v>139.3315342593652</v>
      </c>
      <c r="ANC56" t="n">
        <v>139.3315342593652</v>
      </c>
      <c r="AND56" t="n">
        <v>139.2293875485147</v>
      </c>
      <c r="ANE56" t="n">
        <v>139.2293875485147</v>
      </c>
      <c r="ANF56" t="n">
        <v>137.3253220576689</v>
      </c>
      <c r="ANG56" t="n">
        <v>137.3253220576689</v>
      </c>
      <c r="ANH56" t="n">
        <v>135.5226929963524</v>
      </c>
      <c r="ANI56" t="n">
        <v>135.5226929963524</v>
      </c>
      <c r="ANJ56" t="n">
        <v>136.575398063823</v>
      </c>
      <c r="ANK56" t="n">
        <v>136.575398063823</v>
      </c>
      <c r="ANL56" t="n">
        <v>137.3659939929007</v>
      </c>
      <c r="ANM56" t="n">
        <v>137.3659939929007</v>
      </c>
      <c r="ANN56" t="n">
        <v>138.2778172905689</v>
      </c>
      <c r="ANO56" t="n">
        <v>138.2778172905689</v>
      </c>
      <c r="ANP56" t="n">
        <v>138.3047195022884</v>
      </c>
      <c r="ANQ56" t="n">
        <v>138.3047195022884</v>
      </c>
      <c r="ANR56" t="n">
        <v>139.2290016010863</v>
      </c>
      <c r="ANS56" t="n">
        <v>139.2290016010863</v>
      </c>
      <c r="ANT56" t="n">
        <v>139.8105638884863</v>
      </c>
      <c r="ANU56" t="n">
        <v>139.8105638884863</v>
      </c>
      <c r="ANV56" t="n">
        <v>140.1039810900961</v>
      </c>
      <c r="ANW56" t="n">
        <v>140.1039810900961</v>
      </c>
      <c r="ANX56" t="n">
        <v>139.5190890929378</v>
      </c>
      <c r="ANY56" t="n">
        <v>139.5190890929378</v>
      </c>
      <c r="ANZ56" t="n">
        <v>140.7455840511442</v>
      </c>
      <c r="AOA56" t="n">
        <v>140.7455840511442</v>
      </c>
      <c r="AOB56" t="n">
        <v>139.5114196703664</v>
      </c>
      <c r="AOC56" t="n">
        <v>139.5114196703664</v>
      </c>
      <c r="AOD56" t="n">
        <v>139.4706607095529</v>
      </c>
      <c r="AOE56" t="n">
        <v>139.4706607095529</v>
      </c>
      <c r="AOF56" t="n">
        <v>140.4897211759484</v>
      </c>
      <c r="AOG56" t="n">
        <v>140.4897211759484</v>
      </c>
      <c r="AOH56" t="n">
        <v>140.2025013508057</v>
      </c>
      <c r="AOI56" t="n">
        <v>140.2025013508057</v>
      </c>
      <c r="AOJ56" t="n">
        <v>140.1230317944521</v>
      </c>
      <c r="AOK56" t="n">
        <v>140.1230317944521</v>
      </c>
      <c r="AOL56" t="n">
        <v>140.7768883765005</v>
      </c>
      <c r="AOM56" t="n">
        <v>140.7768883765005</v>
      </c>
      <c r="AON56" t="n">
        <v>140.0549805443565</v>
      </c>
      <c r="AOO56" t="n">
        <v>140.0549805443565</v>
      </c>
      <c r="AOP56" t="n">
        <v>140.1189954073035</v>
      </c>
      <c r="AOQ56" t="n">
        <v>140.1189954073035</v>
      </c>
      <c r="AOR56" t="n">
        <v>140.7178994892415</v>
      </c>
      <c r="AOS56" t="n">
        <v>140.7178994892415</v>
      </c>
      <c r="AOT56" t="n">
        <v>139.8561433031937</v>
      </c>
      <c r="AOU56" t="n">
        <v>139.8561433031937</v>
      </c>
      <c r="AOV56" t="n">
        <v>139.6696814474792</v>
      </c>
      <c r="AOW56" t="n">
        <v>139.6696814474792</v>
      </c>
      <c r="AOX56" t="n">
        <v>139.8739320019711</v>
      </c>
      <c r="AOY56" t="n">
        <v>139.8739320019711</v>
      </c>
      <c r="AOZ56" t="n">
        <v>140.1657792240682</v>
      </c>
      <c r="APA56" t="n">
        <v>140.1657792240682</v>
      </c>
      <c r="APB56" t="n">
        <v>140.4107822533611</v>
      </c>
      <c r="APC56" t="n">
        <v>140.4107822533611</v>
      </c>
      <c r="APD56" t="n">
        <v>139.3396242765159</v>
      </c>
      <c r="APE56" t="n">
        <v>139.3396242765159</v>
      </c>
      <c r="APF56" t="n">
        <v>138.9555102329472</v>
      </c>
      <c r="APG56" t="n">
        <v>138.9555102329472</v>
      </c>
      <c r="APH56" t="n">
        <v>139.5682631486378</v>
      </c>
      <c r="API56" t="n">
        <v>139.5682631486378</v>
      </c>
      <c r="APJ56" t="n">
        <v>139.9867176836289</v>
      </c>
      <c r="APK56" t="n">
        <v>139.9867176836289</v>
      </c>
      <c r="APL56" t="n">
        <v>139.8441985319089</v>
      </c>
      <c r="APM56" t="n">
        <v>139.8441985319089</v>
      </c>
      <c r="APN56" t="n">
        <v>138.5728517767729</v>
      </c>
      <c r="APO56" t="n">
        <v>138.5728517767729</v>
      </c>
      <c r="APP56" t="n">
        <v>140.5668087210593</v>
      </c>
      <c r="APQ56" t="n">
        <v>140.5668087210593</v>
      </c>
      <c r="APR56" t="n">
        <v>139.4657696113183</v>
      </c>
      <c r="APS56" t="n">
        <v>139.4657696113183</v>
      </c>
      <c r="APT56" t="n">
        <v>139.6362271670616</v>
      </c>
      <c r="APU56" t="n">
        <v>139.6362271670616</v>
      </c>
      <c r="APV56" t="n">
        <v>140.0003705215659</v>
      </c>
      <c r="APW56" t="n">
        <v>140.0003705215659</v>
      </c>
      <c r="APX56" t="n">
        <v>139.4811760138459</v>
      </c>
      <c r="APY56" t="n">
        <v>139.4811760138459</v>
      </c>
      <c r="APZ56" t="n">
        <v>138.7905728738284</v>
      </c>
      <c r="AQA56" t="n">
        <v>138.7905728738284</v>
      </c>
      <c r="AQB56" t="n">
        <v>138.1624166536783</v>
      </c>
      <c r="AQC56" t="n">
        <v>138.1624166536783</v>
      </c>
      <c r="AQD56" t="n">
        <v>138.6345204138242</v>
      </c>
      <c r="AQE56" t="n">
        <v>138.6345204138242</v>
      </c>
      <c r="AQF56" t="n">
        <v>139.3106493099214</v>
      </c>
      <c r="AQG56" t="n">
        <v>139.3106493099214</v>
      </c>
      <c r="AQH56" t="n">
        <v>139.8225452108832</v>
      </c>
      <c r="AQI56" t="n">
        <v>139.8225452108832</v>
      </c>
      <c r="AQJ56" t="n">
        <v>137.1948463663247</v>
      </c>
      <c r="AQK56" t="n">
        <v>137.1948463663247</v>
      </c>
      <c r="AQL56" t="n">
        <v>137.8173177618754</v>
      </c>
      <c r="AQM56" t="n">
        <v>137.8173177618754</v>
      </c>
      <c r="AQN56" t="n">
        <v>137.9298049500643</v>
      </c>
      <c r="AQO56" t="n">
        <v>137.9298049500643</v>
      </c>
      <c r="AQP56" t="n">
        <v>137.9858260906483</v>
      </c>
      <c r="AQQ56" t="n">
        <v>137.9858260906483</v>
      </c>
      <c r="AQR56" t="n">
        <v>138.4218316889031</v>
      </c>
      <c r="AQS56" t="n">
        <v>138.4218316889031</v>
      </c>
      <c r="AQT56" t="n">
        <v>138.0099009379896</v>
      </c>
      <c r="AQU56" t="n">
        <v>138.0099009379896</v>
      </c>
      <c r="AQV56" t="n">
        <v>138.5998413683577</v>
      </c>
      <c r="AQW56" t="n">
        <v>138.5998413683577</v>
      </c>
      <c r="AQX56" t="n">
        <v>138.6174161690401</v>
      </c>
      <c r="AQY56" t="n">
        <v>138.6174161690401</v>
      </c>
      <c r="AQZ56" t="n">
        <v>138.0199687779423</v>
      </c>
      <c r="ARA56" t="n">
        <v>138.0199687779423</v>
      </c>
      <c r="ARB56" t="n">
        <v>137.7375112479068</v>
      </c>
      <c r="ARC56" t="n">
        <v>137.7375112479068</v>
      </c>
      <c r="ARD56" t="n">
        <v>136.4000481886997</v>
      </c>
      <c r="ARE56" t="n">
        <v>136.4000481886997</v>
      </c>
      <c r="ARF56" t="n">
        <v>135.9176726231891</v>
      </c>
      <c r="ARG56" t="n">
        <v>135.9176726231891</v>
      </c>
      <c r="ARH56" t="n">
        <v>134.7754699381256</v>
      </c>
      <c r="ARI56" t="n">
        <v>134.7754699381256</v>
      </c>
      <c r="ARJ56" t="n">
        <v>135.2688392788591</v>
      </c>
      <c r="ARK56" t="n">
        <v>135.2688392788591</v>
      </c>
      <c r="ARL56" t="n">
        <v>137.0884030172434</v>
      </c>
      <c r="ARM56" t="n">
        <v>137.0884030172434</v>
      </c>
      <c r="ARN56" t="n">
        <v>136.7725802895764</v>
      </c>
      <c r="ARO56" t="n">
        <v>136.7725802895764</v>
      </c>
      <c r="ARP56" t="n">
        <v>137.2306533976181</v>
      </c>
      <c r="ARQ56" t="n">
        <v>137.2306533976181</v>
      </c>
      <c r="ARR56" t="n">
        <v>137.7841454854806</v>
      </c>
      <c r="ARS56" t="n">
        <v>137.7841454854806</v>
      </c>
      <c r="ART56" t="n">
        <v>138.3777328685156</v>
      </c>
      <c r="ARU56" t="n">
        <v>138.3777328685156</v>
      </c>
      <c r="ARV56" t="n">
        <v>137.8163786044369</v>
      </c>
      <c r="ARW56" t="n">
        <v>137.8163786044369</v>
      </c>
      <c r="ARX56" t="n">
        <v>138.9406953318935</v>
      </c>
      <c r="ARY56" t="n">
        <v>138.9406953318935</v>
      </c>
      <c r="ARZ56" t="n">
        <v>138.7883375268232</v>
      </c>
      <c r="ASA56" t="n">
        <v>138.7883375268232</v>
      </c>
      <c r="ASB56" t="n">
        <v>139.1537865863006</v>
      </c>
      <c r="ASC56" t="n">
        <v>139.1537865863006</v>
      </c>
      <c r="ASD56" t="n">
        <v>137.4799319711174</v>
      </c>
      <c r="ASE56" t="n">
        <v>137.4799319711174</v>
      </c>
      <c r="ASF56" t="n">
        <v>138.3584355522322</v>
      </c>
      <c r="ASG56" t="n">
        <v>138.3584355522322</v>
      </c>
      <c r="ASH56" t="n">
        <v>139.5995848757805</v>
      </c>
      <c r="ASI56" t="n">
        <v>139.5995848757805</v>
      </c>
      <c r="ASJ56" t="n">
        <v>138.4580920792439</v>
      </c>
      <c r="ASK56" t="n">
        <v>138.4580920792439</v>
      </c>
      <c r="ASL56" t="n">
        <v>138.5674684156417</v>
      </c>
      <c r="ASM56" t="n">
        <v>138.5674684156417</v>
      </c>
      <c r="ASN56" t="n">
        <v>139.0652741741718</v>
      </c>
      <c r="ASO56" t="n">
        <v>139.0652741741718</v>
      </c>
      <c r="ASP56" t="n">
        <v>138.4157861696285</v>
      </c>
      <c r="ASQ56" t="n">
        <v>138.4157861696285</v>
      </c>
      <c r="ASR56" t="n">
        <v>138.7256104462728</v>
      </c>
      <c r="ASS56" t="n">
        <v>138.7256104462728</v>
      </c>
      <c r="AST56" t="n">
        <v>139.7172114325949</v>
      </c>
      <c r="ASU56" t="n">
        <v>139.7172114325949</v>
      </c>
      <c r="ASV56" t="n">
        <v>138.2894139427974</v>
      </c>
      <c r="ASW56" t="n">
        <v>138.2894139427974</v>
      </c>
      <c r="ASX56" t="n">
        <v>137.7154703342389</v>
      </c>
      <c r="ASY56" t="n">
        <v>137.7154703342389</v>
      </c>
      <c r="ASZ56" t="n">
        <v>138.3672285852671</v>
      </c>
      <c r="ATA56" t="n">
        <v>138.3672285852671</v>
      </c>
      <c r="ATB56" t="n">
        <v>138.587492923158</v>
      </c>
      <c r="ATC56" t="n">
        <v>138.587492923158</v>
      </c>
      <c r="ATD56" t="n">
        <v>137.9211580132528</v>
      </c>
      <c r="ATE56" t="n">
        <v>137.9211580132528</v>
      </c>
      <c r="ATF56" t="n">
        <v>136.7938970752151</v>
      </c>
      <c r="ATG56" t="n">
        <v>136.7938970752151</v>
      </c>
      <c r="ATH56" t="n">
        <v>138.1139604653181</v>
      </c>
      <c r="ATI56" t="n">
        <v>138.1139604653181</v>
      </c>
      <c r="ATJ56" t="n">
        <v>138.9440311691502</v>
      </c>
      <c r="ATK56" t="n">
        <v>138.9440311691502</v>
      </c>
      <c r="ATL56" t="n">
        <v>138.5229509485986</v>
      </c>
      <c r="ATM56" t="n">
        <v>138.5229509485986</v>
      </c>
      <c r="ATN56" t="n">
        <v>138.1761098256819</v>
      </c>
      <c r="ATO56" t="n">
        <v>138.1761098256819</v>
      </c>
      <c r="ATP56" t="n">
        <v>137.6120203488356</v>
      </c>
      <c r="ATQ56" t="n">
        <v>137.6120203488356</v>
      </c>
      <c r="ATR56" t="n">
        <v>138.0115605905884</v>
      </c>
      <c r="ATS56" t="n">
        <v>138.0115605905884</v>
      </c>
      <c r="ATT56" t="n">
        <v>138.2101025772652</v>
      </c>
      <c r="ATU56" t="n">
        <v>138.2101025772652</v>
      </c>
      <c r="ATV56" t="n">
        <v>138.3182608855477</v>
      </c>
      <c r="ATW56" t="n">
        <v>138.3182608855477</v>
      </c>
      <c r="ATX56" t="n">
        <v>137.7136918589748</v>
      </c>
      <c r="ATY56" t="n">
        <v>137.7136918589748</v>
      </c>
      <c r="ATZ56" t="n">
        <v>137.7140963723577</v>
      </c>
      <c r="AUA56" t="n">
        <v>137.7140963723577</v>
      </c>
      <c r="AUB56" t="n">
        <v>137.0938561707341</v>
      </c>
      <c r="AUC56" t="n">
        <v>137.0938561707341</v>
      </c>
      <c r="AUD56" t="n">
        <v>137.6651789941867</v>
      </c>
      <c r="AUE56" t="n">
        <v>137.6651789941867</v>
      </c>
      <c r="AUF56" t="n">
        <v>136.8848796122939</v>
      </c>
      <c r="AUG56" t="n">
        <v>136.8848796122939</v>
      </c>
      <c r="AUH56" t="n">
        <v>137.493290010627</v>
      </c>
      <c r="AUI56" t="n">
        <v>137.493290010627</v>
      </c>
      <c r="AUJ56" t="n">
        <v>137.0130915088769</v>
      </c>
      <c r="AUK56" t="n">
        <v>137.0130915088769</v>
      </c>
      <c r="AUL56" t="n">
        <v>137.5444009902716</v>
      </c>
      <c r="AUM56" t="n">
        <v>137.5444009902716</v>
      </c>
      <c r="AUN56" t="n">
        <v>137.5436287588119</v>
      </c>
      <c r="AUO56" t="n">
        <v>137.5436287588119</v>
      </c>
      <c r="AUP56" t="n">
        <v>137.8886442556215</v>
      </c>
      <c r="AUQ56" t="n">
        <v>137.8886442556215</v>
      </c>
      <c r="AUR56" t="n">
        <v>137.4613379286518</v>
      </c>
      <c r="AUS56" t="n">
        <v>137.4613379286518</v>
      </c>
      <c r="AUT56" t="n">
        <v>138.3490742355734</v>
      </c>
      <c r="AUU56" t="n">
        <v>138.3490742355734</v>
      </c>
      <c r="AUV56" t="n">
        <v>137.5672405260067</v>
      </c>
      <c r="AUW56" t="n">
        <v>137.5672405260067</v>
      </c>
      <c r="AUX56" t="n">
        <v>136.0464271680163</v>
      </c>
      <c r="AUY56" t="n">
        <v>136.0464271680163</v>
      </c>
      <c r="AUZ56" t="n">
        <v>136.3621698069188</v>
      </c>
      <c r="AVA56" t="n">
        <v>136.3621698069188</v>
      </c>
      <c r="AVB56" t="n">
        <v>136.3753182530964</v>
      </c>
      <c r="AVC56" t="n">
        <v>136.3753182530964</v>
      </c>
      <c r="AVD56" t="n">
        <v>137.1249059648267</v>
      </c>
      <c r="AVE56" t="n">
        <v>137.1249059648267</v>
      </c>
      <c r="AVF56" t="n">
        <v>137.370072669892</v>
      </c>
      <c r="AVG56" t="n">
        <v>137.370072669892</v>
      </c>
      <c r="AVH56" t="n">
        <v>137.2071033890093</v>
      </c>
      <c r="AVI56" t="n">
        <v>137.2071033890093</v>
      </c>
      <c r="AVJ56" t="n">
        <v>134.9371123660808</v>
      </c>
      <c r="AVK56" t="n">
        <v>134.9371123660808</v>
      </c>
      <c r="AVL56" t="n">
        <v>134.6179447405702</v>
      </c>
      <c r="AVM56" t="n">
        <v>134.6179447405702</v>
      </c>
      <c r="AVN56" t="n">
        <v>135.9978342470426</v>
      </c>
      <c r="AVO56" t="n">
        <v>135.9978342470426</v>
      </c>
      <c r="AVP56" t="n">
        <v>136.7944726406496</v>
      </c>
      <c r="AVQ56" t="n">
        <v>136.7944726406496</v>
      </c>
      <c r="AVR56" t="n">
        <v>136.9891634519325</v>
      </c>
      <c r="AVS56" t="n">
        <v>136.9891634519325</v>
      </c>
      <c r="AVT56" t="n">
        <v>136.9968051173126</v>
      </c>
      <c r="AVU56" t="n">
        <v>136.9968051173126</v>
      </c>
      <c r="AVV56" t="n">
        <v>137.5528237781802</v>
      </c>
      <c r="AVW56" t="n">
        <v>137.5528237781802</v>
      </c>
      <c r="AVX56" t="n">
        <v>137.1573634227586</v>
      </c>
      <c r="AVY56" t="n">
        <v>137.1573634227586</v>
      </c>
      <c r="AVZ56" t="n">
        <v>137.6055256476789</v>
      </c>
      <c r="AWA56" t="n">
        <v>137.6055256476789</v>
      </c>
      <c r="AWB56" t="n">
        <v>136.5289652849283</v>
      </c>
      <c r="AWC56" t="n">
        <v>136.5289652849283</v>
      </c>
      <c r="AWD56" t="n">
        <v>137.2674185239775</v>
      </c>
      <c r="AWE56" t="n">
        <v>137.2674185239775</v>
      </c>
      <c r="AWF56" t="n">
        <v>137.3141436336307</v>
      </c>
      <c r="AWG56" t="n">
        <v>137.3141436336307</v>
      </c>
      <c r="AWH56" t="n">
        <v>136.9388802832177</v>
      </c>
      <c r="AWI56" t="n">
        <v>136.9388802832177</v>
      </c>
      <c r="AWJ56" t="n">
        <v>136.9629784687254</v>
      </c>
      <c r="AWK56" t="n">
        <v>136.9629784687254</v>
      </c>
      <c r="AWL56" t="n">
        <v>137.5238343227063</v>
      </c>
      <c r="AWM56" t="n">
        <v>137.5238343227063</v>
      </c>
      <c r="AWN56" t="n">
        <v>137.2686382944003</v>
      </c>
      <c r="AWO56" t="n">
        <v>137.2686382944003</v>
      </c>
      <c r="AWP56" t="n">
        <v>137.4265918121156</v>
      </c>
      <c r="AWQ56" t="n">
        <v>137.4265918121156</v>
      </c>
      <c r="AWR56" t="n">
        <v>137.3190296798593</v>
      </c>
      <c r="AWS56" t="n">
        <v>137.3190296798593</v>
      </c>
      <c r="AWT56" t="n">
        <v>137.0068978718437</v>
      </c>
      <c r="AWU56" t="n">
        <v>137.0068978718437</v>
      </c>
      <c r="AWV56" t="n">
        <v>138.3266926835844</v>
      </c>
      <c r="AWW56" t="n">
        <v>138.3266926835844</v>
      </c>
      <c r="AWX56" t="n">
        <v>137.3894087582831</v>
      </c>
      <c r="AWY56" t="n">
        <v>137.3894087582831</v>
      </c>
      <c r="AWZ56" t="n">
        <v>136.7927312018221</v>
      </c>
      <c r="AXA56" t="n">
        <v>136.7927312018221</v>
      </c>
      <c r="AXB56" t="n">
        <v>137.2419878725839</v>
      </c>
      <c r="AXC56" t="n">
        <v>137.2419878725839</v>
      </c>
      <c r="AXD56" t="n">
        <v>136.9933441232396</v>
      </c>
      <c r="AXE56" t="n">
        <v>136.9933441232396</v>
      </c>
      <c r="AXF56" t="n">
        <v>137.2247882457008</v>
      </c>
      <c r="AXG56" t="n">
        <v>137.2247882457008</v>
      </c>
      <c r="AXH56" t="n">
        <v>137.0438666617188</v>
      </c>
      <c r="AXI56" t="n">
        <v>137.0438666617188</v>
      </c>
      <c r="AXJ56" t="n">
        <v>136.9200784288615</v>
      </c>
      <c r="AXK56" t="n">
        <v>136.9200784288615</v>
      </c>
      <c r="AXL56" t="n">
        <v>136.9304939534271</v>
      </c>
      <c r="AXM56" t="n">
        <v>136.9304939534271</v>
      </c>
      <c r="AXN56" t="n">
        <v>136.9498794850737</v>
      </c>
      <c r="AXO56" t="n">
        <v>136.9498794850737</v>
      </c>
      <c r="AXP56" t="n">
        <v>136.1852688820395</v>
      </c>
      <c r="AXQ56" t="n">
        <v>136.1852688820395</v>
      </c>
      <c r="AXR56" t="n">
        <v>135.8388479198676</v>
      </c>
      <c r="AXS56" t="n">
        <v>135.8388479198676</v>
      </c>
      <c r="AXT56" t="n">
        <v>136.5637141188612</v>
      </c>
      <c r="AXU56" t="n">
        <v>136.5637141188612</v>
      </c>
      <c r="AXV56" t="n">
        <v>136.8737905533402</v>
      </c>
      <c r="AXW56" t="n">
        <v>136.8737905533402</v>
      </c>
      <c r="AXX56" t="n">
        <v>137.2697629816174</v>
      </c>
      <c r="AXY56" t="n">
        <v>137.2697629816174</v>
      </c>
      <c r="AXZ56" t="n">
        <v>136.3876400494249</v>
      </c>
      <c r="AYA56" t="n">
        <v>136.3876400494249</v>
      </c>
      <c r="AYB56" t="n">
        <v>137.1774508675967</v>
      </c>
      <c r="AYC56" t="n">
        <v>137.1774508675967</v>
      </c>
      <c r="AYD56" t="n">
        <v>136.4290615073793</v>
      </c>
      <c r="AYE56" t="n">
        <v>136.4290615073793</v>
      </c>
      <c r="AYF56" t="n">
        <v>136.522578229671</v>
      </c>
      <c r="AYG56" t="n">
        <v>136.522578229671</v>
      </c>
      <c r="AYH56" t="n">
        <v>136.5968012192395</v>
      </c>
      <c r="AYI56" t="n">
        <v>136.5968012192395</v>
      </c>
      <c r="AYJ56" t="n">
        <v>136.6444117096144</v>
      </c>
      <c r="AYK56" t="n">
        <v>136.6444117096144</v>
      </c>
      <c r="AYL56" t="n">
        <v>137.0463468142127</v>
      </c>
      <c r="AYM56" t="n">
        <v>137.0463468142127</v>
      </c>
      <c r="AYN56" t="n">
        <v>136.6558238401751</v>
      </c>
      <c r="AYO56" t="n">
        <v>136.6558238401751</v>
      </c>
      <c r="AYP56" t="n">
        <v>136.9690180324941</v>
      </c>
      <c r="AYQ56" t="n">
        <v>136.9690180324941</v>
      </c>
      <c r="AYR56" t="n">
        <v>136.7757025664735</v>
      </c>
      <c r="AYS56" t="n">
        <v>136.7757025664735</v>
      </c>
      <c r="AYT56" t="n">
        <v>136.4866700463937</v>
      </c>
      <c r="AYU56" t="n">
        <v>136.4866700463937</v>
      </c>
      <c r="AYV56" t="n">
        <v>137.4519126936722</v>
      </c>
      <c r="AYW56" t="n">
        <v>137.4519126936722</v>
      </c>
      <c r="AYX56" t="n">
        <v>135.5140825658362</v>
      </c>
      <c r="AYY56" t="n">
        <v>135.5140825658362</v>
      </c>
      <c r="AYZ56" t="n">
        <v>135.7684378737273</v>
      </c>
      <c r="AZA56" t="n">
        <v>135.7684378737273</v>
      </c>
      <c r="AZB56" t="n">
        <v>135.8732291734879</v>
      </c>
      <c r="AZC56" t="n">
        <v>135.8732291734879</v>
      </c>
      <c r="AZD56" t="n">
        <v>136.5320538757713</v>
      </c>
      <c r="AZE56" t="n">
        <v>136.5320538757713</v>
      </c>
      <c r="AZF56" t="n">
        <v>136.6391948746438</v>
      </c>
      <c r="AZG56" t="n">
        <v>136.6391948746438</v>
      </c>
      <c r="AZH56" t="n">
        <v>136.404814743321</v>
      </c>
      <c r="AZI56" t="n">
        <v>136.404814743321</v>
      </c>
      <c r="AZJ56" t="n">
        <v>136.7004098256166</v>
      </c>
      <c r="AZK56" t="n">
        <v>136.7004098256166</v>
      </c>
      <c r="AZL56" t="n">
        <v>135.0638941574382</v>
      </c>
      <c r="AZM56" t="n">
        <v>135.0638941574382</v>
      </c>
      <c r="AZN56" t="n">
        <v>135.3468020045584</v>
      </c>
      <c r="AZO56" t="n">
        <v>135.3468020045584</v>
      </c>
      <c r="AZP56" t="n">
        <v>135.7620870335552</v>
      </c>
      <c r="AZQ56" t="n">
        <v>135.7620870335552</v>
      </c>
      <c r="AZR56" t="n">
        <v>135.7139529474079</v>
      </c>
      <c r="AZS56" t="n">
        <v>135.7139529474079</v>
      </c>
      <c r="AZT56" t="n">
        <v>135.8360824260721</v>
      </c>
      <c r="AZU56" t="n">
        <v>135.8360824260721</v>
      </c>
      <c r="AZV56" t="n">
        <v>135.154414089914</v>
      </c>
      <c r="AZW56" t="n">
        <v>135.154414089914</v>
      </c>
      <c r="AZX56" t="n">
        <v>135.7678115216339</v>
      </c>
      <c r="AZY56" t="n">
        <v>135.7678115216339</v>
      </c>
      <c r="AZZ56" t="n">
        <v>135.7865451760742</v>
      </c>
      <c r="BAA56" t="n">
        <v>135.7865451760742</v>
      </c>
      <c r="BAB56" t="n">
        <v>136.3374533100719</v>
      </c>
      <c r="BAC56" t="n">
        <v>136.3374533100719</v>
      </c>
      <c r="BAD56" t="n">
        <v>137.7256705781348</v>
      </c>
      <c r="BAE56" t="n">
        <v>137.7256705781348</v>
      </c>
      <c r="BAF56" t="n">
        <v>137.6552574001475</v>
      </c>
      <c r="BAG56" t="n">
        <v>137.6552574001475</v>
      </c>
      <c r="BAH56" t="n">
        <v>138.2953707846263</v>
      </c>
      <c r="BAI56" t="n">
        <v>138.2953707846263</v>
      </c>
      <c r="BAJ56" t="n">
        <v>138.8339514340275</v>
      </c>
      <c r="BAK56" t="n">
        <v>138.8339514340275</v>
      </c>
      <c r="BAL56" t="n">
        <v>138.8845935320657</v>
      </c>
      <c r="BAM56" t="n">
        <v>138.8845935320657</v>
      </c>
      <c r="BAN56" t="n">
        <v>139.0514298500097</v>
      </c>
      <c r="BAO56" t="n">
        <v>139.0514298500097</v>
      </c>
      <c r="BAP56" t="n">
        <v>139.6152740786202</v>
      </c>
      <c r="BAQ56" t="n">
        <v>139.6152740786202</v>
      </c>
      <c r="BAR56" t="n">
        <v>138.7437015423359</v>
      </c>
      <c r="BAS56" t="n">
        <v>138.7437015423359</v>
      </c>
      <c r="BAT56" t="n">
        <v>139.8483779062223</v>
      </c>
      <c r="BAU56" t="n">
        <v>139.8483779062223</v>
      </c>
      <c r="BAV56" t="n">
        <v>138.9534209570978</v>
      </c>
      <c r="BAW56" t="n">
        <v>138.9534209570978</v>
      </c>
      <c r="BAX56" t="n">
        <v>139.3678511211773</v>
      </c>
      <c r="BAY56" t="n">
        <v>139.3678511211773</v>
      </c>
      <c r="BAZ56" t="n">
        <v>139.2445057853027</v>
      </c>
      <c r="BBA56" t="n">
        <v>139.2445057853027</v>
      </c>
      <c r="BBB56" t="n">
        <v>139.3456619388888</v>
      </c>
      <c r="BBC56" t="n">
        <v>139.3456619388888</v>
      </c>
      <c r="BBD56" t="n">
        <v>139.3426301221976</v>
      </c>
      <c r="BBE56" t="n">
        <v>139.3426301221976</v>
      </c>
      <c r="BBF56" t="n">
        <v>138.7923037371135</v>
      </c>
      <c r="BBG56" t="n">
        <v>138.7923037371135</v>
      </c>
      <c r="BBH56" t="n">
        <v>139.2779370334078</v>
      </c>
      <c r="BBI56" t="n">
        <v>139.2779370334078</v>
      </c>
      <c r="BBJ56" t="n">
        <v>138.4577541899699</v>
      </c>
      <c r="BBK56" t="n">
        <v>138.4577541899699</v>
      </c>
      <c r="BBL56" t="n">
        <v>138.0475755628783</v>
      </c>
      <c r="BBM56" t="n">
        <v>138.0475755628783</v>
      </c>
      <c r="BBN56" t="n">
        <v>138.4325302250696</v>
      </c>
      <c r="BBO56" t="n">
        <v>138.4325302250696</v>
      </c>
      <c r="BBP56" t="n">
        <v>138.1094679552116</v>
      </c>
      <c r="BBQ56" t="n">
        <v>138.1094679552116</v>
      </c>
      <c r="BBR56" t="n">
        <v>138.2800152711153</v>
      </c>
      <c r="BBS56" t="n">
        <v>138.2800152711153</v>
      </c>
      <c r="BBT56" t="n">
        <v>138.5633372971371</v>
      </c>
      <c r="BBU56" t="n">
        <v>138.5633372971371</v>
      </c>
      <c r="BBV56" t="n">
        <v>137.6572867264483</v>
      </c>
      <c r="BBW56" t="n">
        <v>137.6572867264483</v>
      </c>
      <c r="BBX56" t="n">
        <v>137.4318694418179</v>
      </c>
      <c r="BBY56" t="n">
        <v>137.4318694418179</v>
      </c>
      <c r="BBZ56" t="n">
        <v>137.0141841806898</v>
      </c>
      <c r="BCA56" t="n">
        <v>137.0141841806898</v>
      </c>
      <c r="BCB56" t="n">
        <v>137.8502671527982</v>
      </c>
      <c r="BCC56" t="n">
        <v>137.8502671527982</v>
      </c>
      <c r="BCD56" t="n">
        <v>137.479543756571</v>
      </c>
      <c r="BCE56" t="n">
        <v>137.479543756571</v>
      </c>
      <c r="BCF56" t="n">
        <v>136.6889140308678</v>
      </c>
      <c r="BCG56" t="n">
        <v>136.6889140308678</v>
      </c>
      <c r="BCH56" t="n">
        <v>136.7100238922597</v>
      </c>
      <c r="BCI56" t="n">
        <v>136.7100238922597</v>
      </c>
      <c r="BCJ56" t="n">
        <v>136.5788309635554</v>
      </c>
      <c r="BCK56" t="n">
        <v>136.5788309635554</v>
      </c>
      <c r="BCL56" t="n">
        <v>136.2107615973292</v>
      </c>
      <c r="BCM56" t="n">
        <v>136.2107615973292</v>
      </c>
      <c r="BCN56" t="n">
        <v>136.4971050280033</v>
      </c>
      <c r="BCO56" t="n">
        <v>136.4971050280033</v>
      </c>
      <c r="BCP56" t="n">
        <v>136.7225244330089</v>
      </c>
      <c r="BCQ56" t="n">
        <v>136.7225244330089</v>
      </c>
      <c r="BCR56" t="n">
        <v>137.1651623316172</v>
      </c>
      <c r="BCS56" t="n">
        <v>137.1651623316172</v>
      </c>
      <c r="BCT56" t="n">
        <v>137.0415953498199</v>
      </c>
      <c r="BCU56" t="n">
        <v>137.0415953498199</v>
      </c>
      <c r="BCV56" t="n">
        <v>137.039781837848</v>
      </c>
      <c r="BCW56" t="n">
        <v>137.039781837848</v>
      </c>
      <c r="BCX56" t="n">
        <v>136.438205671056</v>
      </c>
      <c r="BCY56" t="n">
        <v>136.438205671056</v>
      </c>
      <c r="BCZ56" t="n">
        <v>136.2625967603279</v>
      </c>
      <c r="BDA56" t="n">
        <v>136.2625967603279</v>
      </c>
      <c r="BDB56" t="n">
        <v>136.2381542701838</v>
      </c>
      <c r="BDC56" t="n">
        <v>136.2381542701838</v>
      </c>
      <c r="BDD56" t="n">
        <v>136.3188401431751</v>
      </c>
      <c r="BDE56" t="n">
        <v>136.3188401431751</v>
      </c>
      <c r="BDF56" t="n">
        <v>135.4350525698592</v>
      </c>
      <c r="BDG56" t="n">
        <v>135.4350525698592</v>
      </c>
      <c r="BDH56" t="n">
        <v>135.6921686979499</v>
      </c>
      <c r="BDI56" t="n">
        <v>135.6921686979499</v>
      </c>
      <c r="BDJ56" t="n">
        <v>135.1381357993921</v>
      </c>
      <c r="BDK56" t="n">
        <v>135.1381357993921</v>
      </c>
      <c r="BDL56" t="n">
        <v>134.8832791381674</v>
      </c>
      <c r="BDM56" t="n">
        <v>134.8832791381674</v>
      </c>
      <c r="BDN56" t="n">
        <v>134.9072263600115</v>
      </c>
      <c r="BDO56" t="n">
        <v>134.9072263600115</v>
      </c>
      <c r="BDP56" t="n">
        <v>135.2580108899018</v>
      </c>
      <c r="BDQ56" t="n">
        <v>135.2580108899018</v>
      </c>
      <c r="BDR56" t="n">
        <v>134.6432450580616</v>
      </c>
      <c r="BDS56" t="n">
        <v>134.6432450580616</v>
      </c>
      <c r="BDT56" t="n">
        <v>135.6535557586616</v>
      </c>
      <c r="BDU56" t="n">
        <v>135.6535557586616</v>
      </c>
      <c r="BDV56" t="n">
        <v>135.550911357021</v>
      </c>
      <c r="BDW56" t="n">
        <v>135.550911357021</v>
      </c>
      <c r="BDX56" t="n">
        <v>135.7872732332976</v>
      </c>
      <c r="BDY56" t="n">
        <v>135.7872732332976</v>
      </c>
      <c r="BDZ56" t="n">
        <v>135.5924832771899</v>
      </c>
      <c r="BEA56" t="n">
        <v>135.5924832771899</v>
      </c>
      <c r="BEB56" t="n">
        <v>136.1363360229105</v>
      </c>
      <c r="BEC56" t="n">
        <v>136.1363360229105</v>
      </c>
      <c r="BED56" t="n">
        <v>135.8058953296574</v>
      </c>
      <c r="BEE56" t="n">
        <v>135.8058953296574</v>
      </c>
      <c r="BEF56" t="n">
        <v>136.4197923395974</v>
      </c>
      <c r="BEG56" t="n">
        <v>136.4197923395974</v>
      </c>
      <c r="BEH56" t="n">
        <v>135.7471981913761</v>
      </c>
      <c r="BEI56" t="n">
        <v>135.7471981913761</v>
      </c>
      <c r="BEJ56" t="n">
        <v>136.0129629209177</v>
      </c>
      <c r="BEK56" t="n">
        <v>136.0129629209177</v>
      </c>
      <c r="BEL56" t="n">
        <v>135.3091684561024</v>
      </c>
      <c r="BEM56" t="n">
        <v>135.3091684561024</v>
      </c>
      <c r="BEN56" t="n">
        <v>135.925136660814</v>
      </c>
      <c r="BEO56" t="n">
        <v>135.925136660814</v>
      </c>
      <c r="BEP56" t="n">
        <v>135.2981974885803</v>
      </c>
      <c r="BEQ56" t="n">
        <v>135.2981974885803</v>
      </c>
      <c r="BER56" t="n">
        <v>135.3520055578674</v>
      </c>
      <c r="BES56" t="n">
        <v>135.3520055578674</v>
      </c>
      <c r="BET56" t="n">
        <v>135.8643202064468</v>
      </c>
      <c r="BEU56" t="n">
        <v>135.8643202064468</v>
      </c>
      <c r="BEV56" t="n">
        <v>134.6560511258795</v>
      </c>
      <c r="BEW56" t="n">
        <v>134.6560511258795</v>
      </c>
      <c r="BEX56" t="n">
        <v>133.6259727691935</v>
      </c>
      <c r="BEY56" t="n">
        <v>133.6259727691935</v>
      </c>
      <c r="BEZ56" t="n">
        <v>134.2156159333868</v>
      </c>
      <c r="BFA56" t="n">
        <v>134.2156159333868</v>
      </c>
      <c r="BFB56" t="n">
        <v>133.4032880409867</v>
      </c>
      <c r="BFC56" t="n">
        <v>133.4032880409867</v>
      </c>
      <c r="BFD56" t="n">
        <v>133.857024336659</v>
      </c>
      <c r="BFE56" t="n">
        <v>133.857024336659</v>
      </c>
      <c r="BFF56" t="n">
        <v>143.084013474589</v>
      </c>
      <c r="BFG56" t="n">
        <v>143.084013474589</v>
      </c>
      <c r="BFH56" t="n">
        <v>134.7321608756892</v>
      </c>
      <c r="BFI56" t="n">
        <v>134.7321608756892</v>
      </c>
      <c r="BFJ56" t="n">
        <v>133.4319252570881</v>
      </c>
      <c r="BFK56" t="n">
        <v>133.4319252570881</v>
      </c>
      <c r="BFL56" t="n">
        <v>133.6881822798075</v>
      </c>
      <c r="BFM56" t="n">
        <v>133.6881822798075</v>
      </c>
      <c r="BFN56" t="n">
        <v>133.8143220559571</v>
      </c>
      <c r="BFO56" t="n">
        <v>133.8143220559571</v>
      </c>
      <c r="BFP56" t="n">
        <v>133.833400417026</v>
      </c>
      <c r="BFQ56" t="n">
        <v>133.833400417026</v>
      </c>
      <c r="BFR56" t="n">
        <v>133.489234731107</v>
      </c>
      <c r="BFS56" t="n">
        <v>133.489234731107</v>
      </c>
      <c r="BFT56" t="n">
        <v>133.5425396511251</v>
      </c>
      <c r="BFU56" t="n">
        <v>133.5425396511251</v>
      </c>
      <c r="BFV56" t="n">
        <v>133.9606585343829</v>
      </c>
      <c r="BFW56" t="n">
        <v>133.9606585343829</v>
      </c>
      <c r="BFX56" t="n">
        <v>133.6508191607516</v>
      </c>
      <c r="BFY56" t="n">
        <v>133.6508191607516</v>
      </c>
      <c r="BFZ56" t="n">
        <v>134.1302667308051</v>
      </c>
      <c r="BGA56" t="n">
        <v>134.1302667308051</v>
      </c>
      <c r="BGB56" t="n">
        <v>133.6857236704517</v>
      </c>
      <c r="BGC56" t="n">
        <v>133.6857236704517</v>
      </c>
      <c r="BGD56" t="n">
        <v>133.765405514259</v>
      </c>
      <c r="BGE56" t="n">
        <v>133.765405514259</v>
      </c>
      <c r="BGF56" t="n">
        <v>133.9700286893918</v>
      </c>
      <c r="BGG56" t="n">
        <v>133.9700286893918</v>
      </c>
      <c r="BGH56" t="n">
        <v>133.1614193084744</v>
      </c>
      <c r="BGI56" t="n">
        <v>133.1614193084744</v>
      </c>
      <c r="BGJ56" t="n">
        <v>132.4152664387319</v>
      </c>
      <c r="BGK56" t="n">
        <v>132.4152664387319</v>
      </c>
      <c r="BGL56" t="n">
        <v>132.1756768748794</v>
      </c>
      <c r="BGM56" t="n">
        <v>132.1756768748794</v>
      </c>
      <c r="BGN56" t="n">
        <v>132.9185158850711</v>
      </c>
      <c r="BGO56" t="n">
        <v>132.9185158850711</v>
      </c>
      <c r="BGP56" t="n">
        <v>132.7727958422363</v>
      </c>
      <c r="BGQ56" t="n">
        <v>132.7727958422363</v>
      </c>
      <c r="BGR56" t="n">
        <v>132.744136700643</v>
      </c>
      <c r="BGS56" t="n">
        <v>132.744136700643</v>
      </c>
      <c r="BGT56" t="n">
        <v>132.9954299065664</v>
      </c>
      <c r="BGU56" t="n">
        <v>132.9954299065664</v>
      </c>
      <c r="BGV56" t="n">
        <v>132.1162958156066</v>
      </c>
      <c r="BGW56" t="n">
        <v>132.1162958156066</v>
      </c>
      <c r="BGX56" t="n">
        <v>132.5635718021466</v>
      </c>
      <c r="BGY56" t="n">
        <v>132.5635718021466</v>
      </c>
      <c r="BGZ56" t="n">
        <v>132.3453511010347</v>
      </c>
      <c r="BHA56" t="n">
        <v>132.3453511010347</v>
      </c>
      <c r="BHB56" t="n">
        <v>131.7467205105485</v>
      </c>
      <c r="BHC56" t="n">
        <v>131.7467205105485</v>
      </c>
      <c r="BHD56" t="n">
        <v>131.8407602563509</v>
      </c>
      <c r="BHE56" t="n">
        <v>131.8407602563509</v>
      </c>
      <c r="BHF56" t="n">
        <v>132.8130965861547</v>
      </c>
      <c r="BHG56" t="n">
        <v>132.8130965861547</v>
      </c>
      <c r="BHH56" t="n">
        <v>132.9897737335682</v>
      </c>
      <c r="BHI56" t="n">
        <v>132.9897737335682</v>
      </c>
      <c r="BHJ56" t="n">
        <v>133.7321954414492</v>
      </c>
      <c r="BHK56" t="n">
        <v>133.7321954414492</v>
      </c>
      <c r="BHL56" t="n">
        <v>133.8669798107164</v>
      </c>
      <c r="BHM56" t="n">
        <v>133.8669798107164</v>
      </c>
      <c r="BHN56" t="n">
        <v>133.3533522695527</v>
      </c>
      <c r="BHO56" t="n">
        <v>133.3533522695527</v>
      </c>
      <c r="BHP56" t="n">
        <v>133.7225835035687</v>
      </c>
      <c r="BHQ56" t="n">
        <v>133.7225835035687</v>
      </c>
      <c r="BHR56" t="n">
        <v>133.3007733787285</v>
      </c>
      <c r="BHS56" t="n">
        <v>133.3007733787285</v>
      </c>
      <c r="BHT56" t="n">
        <v>133.53184354687</v>
      </c>
      <c r="BHU56" t="n">
        <v>133.53184354687</v>
      </c>
      <c r="BHV56" t="n">
        <v>134.7729882571923</v>
      </c>
      <c r="BHW56" t="n">
        <v>134.7729882571923</v>
      </c>
      <c r="BHX56" t="n">
        <v>134.9514755821046</v>
      </c>
      <c r="BHY56" t="n">
        <v>134.9514755821046</v>
      </c>
      <c r="BHZ56" t="n">
        <v>134.8914174003272</v>
      </c>
      <c r="BIA56" t="n">
        <v>134.8914174003272</v>
      </c>
      <c r="BIB56" t="n">
        <v>134.7340344703946</v>
      </c>
      <c r="BIC56" t="n">
        <v>134.7340344703946</v>
      </c>
      <c r="BID56" t="n">
        <v>134.6872822567367</v>
      </c>
      <c r="BIE56" t="n">
        <v>134.6872822567367</v>
      </c>
      <c r="BIF56" t="n">
        <v>134.3080665199629</v>
      </c>
      <c r="BIG56" t="n">
        <v>134.3080665199629</v>
      </c>
      <c r="BIH56" t="n">
        <v>134.3409792268687</v>
      </c>
      <c r="BII56" t="n">
        <v>134.3409792268687</v>
      </c>
      <c r="BIJ56" t="n">
        <v>134.7318500478081</v>
      </c>
      <c r="BIK56" t="n">
        <v>134.7318500478081</v>
      </c>
      <c r="BIL56" t="n">
        <v>133.9227640054649</v>
      </c>
      <c r="BIM56" t="n">
        <v>133.9227640054649</v>
      </c>
      <c r="BIN56" t="n">
        <v>134.5892876897258</v>
      </c>
      <c r="BIO56" t="n">
        <v>134.5892876897258</v>
      </c>
      <c r="BIP56" t="n">
        <v>134.8767140052225</v>
      </c>
      <c r="BIQ56" t="n">
        <v>134.8767140052225</v>
      </c>
      <c r="BIR56" t="n">
        <v>134.6875933979125</v>
      </c>
      <c r="BIS56" t="n">
        <v>134.6875933979125</v>
      </c>
      <c r="BIT56" t="n">
        <v>135.5905811327065</v>
      </c>
      <c r="BIU56" t="n">
        <v>135.5905811327065</v>
      </c>
      <c r="BIV56" t="n">
        <v>135.6080167093088</v>
      </c>
      <c r="BIW56" t="n">
        <v>135.6080167093088</v>
      </c>
      <c r="BIX56" t="n">
        <v>136.1649541454138</v>
      </c>
      <c r="BIY56" t="n">
        <v>136.1649541454138</v>
      </c>
      <c r="BIZ56" t="n">
        <v>135.7090398923448</v>
      </c>
      <c r="BJA56" t="n">
        <v>135.7090398923448</v>
      </c>
      <c r="BJB56" t="n">
        <v>135.8045136034501</v>
      </c>
      <c r="BJC56" t="n">
        <v>135.8045136034501</v>
      </c>
      <c r="BJD56" t="n">
        <v>135.6473774281449</v>
      </c>
      <c r="BJE56" t="n">
        <v>135.6473774281449</v>
      </c>
      <c r="BJF56" t="n">
        <v>135.9838450349895</v>
      </c>
      <c r="BJG56" t="n">
        <v>135.9838450349895</v>
      </c>
      <c r="BJH56" t="n">
        <v>136.5741284490737</v>
      </c>
      <c r="BJI56" t="n">
        <v>136.5741284490737</v>
      </c>
      <c r="BJJ56" t="n">
        <v>136.772955538461</v>
      </c>
      <c r="BJK56" t="n">
        <v>136.772955538461</v>
      </c>
      <c r="BJL56" t="n">
        <v>136.1117565634969</v>
      </c>
      <c r="BJM56" t="n">
        <v>136.1117565634969</v>
      </c>
      <c r="BJN56" t="n">
        <v>135.9586609855172</v>
      </c>
      <c r="BJO56" t="n">
        <v>135.9586609855172</v>
      </c>
      <c r="BJP56" t="n">
        <v>136.4239457709929</v>
      </c>
      <c r="BJQ56" t="n">
        <v>136.4239457709929</v>
      </c>
      <c r="BJR56" t="n">
        <v>135.9078237464393</v>
      </c>
      <c r="BJS56" t="n">
        <v>135.9078237464393</v>
      </c>
      <c r="BJT56" t="n">
        <v>136.0339818216795</v>
      </c>
      <c r="BJU56" t="n">
        <v>136.0339818216795</v>
      </c>
      <c r="BJV56" t="n">
        <v>135.855864395847</v>
      </c>
      <c r="BJW56" t="n">
        <v>135.855864395847</v>
      </c>
      <c r="BJX56" t="n">
        <v>136.2479175164976</v>
      </c>
      <c r="BJY56" t="n">
        <v>136.2479175164976</v>
      </c>
      <c r="BJZ56" t="n">
        <v>137.3080241765713</v>
      </c>
      <c r="BKA56" t="n">
        <v>137.3080241765713</v>
      </c>
      <c r="BKB56" t="n">
        <v>137.6315007748628</v>
      </c>
      <c r="BKC56" t="n">
        <v>137.6315007748628</v>
      </c>
      <c r="BKD56" t="n">
        <v>137.9212216504001</v>
      </c>
      <c r="BKE56" t="n">
        <v>137.9212216504001</v>
      </c>
      <c r="BKF56" t="n">
        <v>137.7060697860476</v>
      </c>
      <c r="BKG56" t="n">
        <v>137.7060697860476</v>
      </c>
      <c r="BKH56" t="n">
        <v>138.8101356747416</v>
      </c>
      <c r="BKI56" t="n">
        <v>138.8101356747416</v>
      </c>
      <c r="BKJ56" t="n">
        <v>138.7527183273852</v>
      </c>
      <c r="BKK56" t="n">
        <v>138.7527183273852</v>
      </c>
      <c r="BKL56" t="n">
        <v>138.8191702522854</v>
      </c>
      <c r="BKM56" t="n">
        <v>138.8191702522854</v>
      </c>
      <c r="BKN56" t="n">
        <v>138.6761729463521</v>
      </c>
      <c r="BKO56" t="n">
        <v>138.6761729463521</v>
      </c>
      <c r="BKP56" t="n">
        <v>138.8285719818861</v>
      </c>
      <c r="BKQ56" t="n">
        <v>138.8285719818861</v>
      </c>
      <c r="BKR56" t="n">
        <v>139.3687844147362</v>
      </c>
      <c r="BKS56" t="n">
        <v>139.3687844147362</v>
      </c>
      <c r="BKT56" t="n">
        <v>139.7136540817209</v>
      </c>
      <c r="BKU56" t="n">
        <v>139.7136540817209</v>
      </c>
      <c r="BKV56" t="n">
        <v>140.0641945650904</v>
      </c>
      <c r="BKW56" t="n">
        <v>140.0641945650904</v>
      </c>
      <c r="BKX56" t="n">
        <v>139.756378863975</v>
      </c>
      <c r="BKY56" t="n">
        <v>139.756378863975</v>
      </c>
      <c r="BKZ56" t="n">
        <v>140.3173119212209</v>
      </c>
      <c r="BLA56" t="n">
        <v>140.3173119212209</v>
      </c>
      <c r="BLB56" t="n">
        <v>140.2434058066921</v>
      </c>
      <c r="BLC56" t="n">
        <v>140.2434058066921</v>
      </c>
      <c r="BLD56" t="n">
        <v>141.0446879652407</v>
      </c>
      <c r="BLE56" t="n">
        <v>141.0446879652407</v>
      </c>
      <c r="BLF56" t="n">
        <v>140.3344347266639</v>
      </c>
      <c r="BLG56" t="n">
        <v>140.3344347266639</v>
      </c>
      <c r="BLH56" t="n">
        <v>140.3090358199045</v>
      </c>
      <c r="BLI56" t="n">
        <v>140.3090358199045</v>
      </c>
      <c r="BLJ56" t="n">
        <v>140.1252043289544</v>
      </c>
      <c r="BLK56" t="n">
        <v>140.1252043289544</v>
      </c>
      <c r="BLL56" t="n">
        <v>139.6913853272433</v>
      </c>
      <c r="BLM56" t="n">
        <v>139.6913853272433</v>
      </c>
      <c r="BLN56" t="n">
        <v>139.201611535427</v>
      </c>
      <c r="BLO56" t="n">
        <v>139.201611535427</v>
      </c>
      <c r="BLP56" t="n">
        <v>140.0609878347684</v>
      </c>
      <c r="BLQ56" t="n">
        <v>140.0609878347684</v>
      </c>
      <c r="BLR56" t="n">
        <v>140.0800334501579</v>
      </c>
      <c r="BLS56" t="n">
        <v>140.0800334501579</v>
      </c>
      <c r="BLT56" t="n">
        <v>140.560723293088</v>
      </c>
      <c r="BLU56" t="n">
        <v>140.560723293088</v>
      </c>
      <c r="BLV56" t="n">
        <v>140.7461464783145</v>
      </c>
      <c r="BLW56" t="n">
        <v>140.7461464783145</v>
      </c>
      <c r="BLX56" t="n">
        <v>140.5942713524648</v>
      </c>
      <c r="BLY56" t="n">
        <v>140.5942713524648</v>
      </c>
      <c r="BLZ56" t="n">
        <v>140.3686517185615</v>
      </c>
      <c r="BMA56" t="n">
        <v>140.3686517185615</v>
      </c>
      <c r="BMB56" t="n">
        <v>140.3891123570525</v>
      </c>
      <c r="BMC56" t="n">
        <v>140.3891123570525</v>
      </c>
      <c r="BMD56" t="n">
        <v>140.2834852335587</v>
      </c>
      <c r="BME56" t="n">
        <v>140.2834852335587</v>
      </c>
      <c r="BMF56" t="n">
        <v>140.3422332056319</v>
      </c>
      <c r="BMG56" t="n">
        <v>140.3422332056319</v>
      </c>
      <c r="BMH56" t="n">
        <v>140.4129079655969</v>
      </c>
      <c r="BMI56" t="n">
        <v>140.4129079655969</v>
      </c>
      <c r="BMJ56" t="n">
        <v>141.0056577382276</v>
      </c>
      <c r="BMK56" t="n">
        <v>141.0056577382276</v>
      </c>
      <c r="BML56" t="n">
        <v>141.1882014364493</v>
      </c>
      <c r="BMM56" t="n">
        <v>141.1882014364493</v>
      </c>
      <c r="BMN56" t="n">
        <v>141.3574025018549</v>
      </c>
      <c r="BMO56" t="n">
        <v>141.3574025018549</v>
      </c>
      <c r="BMP56" t="n">
        <v>140.8474817328764</v>
      </c>
      <c r="BMQ56" t="n">
        <v>140.8474817328764</v>
      </c>
      <c r="BMR56" t="n">
        <v>139.9112402177259</v>
      </c>
      <c r="BMS56" t="n">
        <v>139.9112402177259</v>
      </c>
      <c r="BMT56" t="n">
        <v>141.3429173086182</v>
      </c>
      <c r="BMU56" t="n">
        <v>141.3429173086182</v>
      </c>
      <c r="BMV56" t="n">
        <v>140.4478583012978</v>
      </c>
      <c r="BMW56" t="n">
        <v>140.4478583012978</v>
      </c>
      <c r="BMX56" t="n">
        <v>140.3104310650217</v>
      </c>
      <c r="BMY56" t="n">
        <v>140.3104310650217</v>
      </c>
      <c r="BMZ56" t="n">
        <v>140.8631820545019</v>
      </c>
      <c r="BNA56" t="n">
        <v>140.8631820545019</v>
      </c>
      <c r="BNB56" t="n">
        <v>140.7433334113305</v>
      </c>
      <c r="BNC56" t="n">
        <v>140.7433334113305</v>
      </c>
      <c r="BND56" t="n">
        <v>140.7106017664568</v>
      </c>
      <c r="BNE56" t="n">
        <v>140.7106017664568</v>
      </c>
      <c r="BNF56" t="n">
        <v>140.5036980532179</v>
      </c>
      <c r="BNG56" t="n">
        <v>140.5036980532179</v>
      </c>
      <c r="BNH56" t="n">
        <v>140.03866573476</v>
      </c>
      <c r="BNI56" t="n">
        <v>140.03866573476</v>
      </c>
      <c r="BNJ56" t="n">
        <v>141.0084905599278</v>
      </c>
      <c r="BNK56" t="n">
        <v>141.0084905599278</v>
      </c>
      <c r="BNL56" t="n">
        <v>140.7225110911007</v>
      </c>
      <c r="BNM56" t="n">
        <v>140.7225110911007</v>
      </c>
      <c r="BNN56" t="n">
        <v>140.7109327904377</v>
      </c>
      <c r="BNO56" t="n">
        <v>140.7109327904377</v>
      </c>
      <c r="BNP56" t="n">
        <v>140.5734643652328</v>
      </c>
      <c r="BNQ56" t="n">
        <v>140.5734643652328</v>
      </c>
      <c r="BNR56" t="n">
        <v>140.0906773359653</v>
      </c>
      <c r="BNS56" t="n">
        <v>140.0906773359653</v>
      </c>
      <c r="BNT56" t="n">
        <v>140.4594338212727</v>
      </c>
      <c r="BNU56" t="n">
        <v>140.4594338212727</v>
      </c>
      <c r="BNV56" t="n">
        <v>139.8109790684905</v>
      </c>
      <c r="BNW56" t="n">
        <v>139.8109790684905</v>
      </c>
      <c r="BNX56" t="n">
        <v>140.4702391049368</v>
      </c>
      <c r="BNY56" t="n">
        <v>140.4702391049368</v>
      </c>
      <c r="BNZ56" t="n">
        <v>140.0089071493706</v>
      </c>
      <c r="BOA56" t="n">
        <v>140.0089071493706</v>
      </c>
      <c r="BOB56" t="n">
        <v>139.7827978105544</v>
      </c>
      <c r="BOC56" t="n">
        <v>139.7827978105544</v>
      </c>
      <c r="BOD56" t="n">
        <v>140.0335967063755</v>
      </c>
      <c r="BOE56" t="n">
        <v>140.0335967063755</v>
      </c>
      <c r="BOF56" t="n">
        <v>140.1789254263106</v>
      </c>
      <c r="BOG56" t="n">
        <v>140.1789254263106</v>
      </c>
      <c r="BOH56" t="n">
        <v>140.2038382402612</v>
      </c>
      <c r="BOI56" t="n">
        <v>140.2038382402612</v>
      </c>
      <c r="BOJ56" t="n">
        <v>141.2142309646068</v>
      </c>
      <c r="BOK56" t="n">
        <v>141.2142309646068</v>
      </c>
      <c r="BOL56" t="n">
        <v>141.252879357979</v>
      </c>
      <c r="BOM56" t="n">
        <v>141.252879357979</v>
      </c>
      <c r="BON56" t="n">
        <v>141.8344649802544</v>
      </c>
      <c r="BOO56" t="n">
        <v>141.8344649802544</v>
      </c>
      <c r="BOP56" t="n">
        <v>141.4388603157631</v>
      </c>
      <c r="BOQ56" t="n">
        <v>141.4388603157631</v>
      </c>
      <c r="BOR56" t="n">
        <v>140.293302995503</v>
      </c>
      <c r="BOS56" t="n">
        <v>140.293302995503</v>
      </c>
      <c r="BOT56" t="n">
        <v>140.6828728018878</v>
      </c>
      <c r="BOU56" t="n">
        <v>140.6828728018878</v>
      </c>
      <c r="BOV56" t="n">
        <v>140.8852071743277</v>
      </c>
      <c r="BOW56" t="n">
        <v>140.8852071743277</v>
      </c>
    </row>
    <row r="57">
      <c r="A57" s="6" t="inlineStr">
        <is>
          <t>Model Score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</row>
    <row r="58">
      <c r="A58" s="4" t="inlineStr">
        <is>
          <t>Gross Loss Adjustments (Dealer level, high PTI, etc.)</t>
        </is>
      </c>
      <c r="B58" t="n">
        <v>0.9673087414905694</v>
      </c>
      <c r="C58" t="n">
        <v>1.341636137293534</v>
      </c>
      <c r="D58" t="n">
        <v>1.145930182806069</v>
      </c>
      <c r="E58" t="n">
        <v>1.373144489208045</v>
      </c>
      <c r="F58" t="n">
        <v>1.170877463949182</v>
      </c>
      <c r="G58" t="n">
        <v>1.366546606500208</v>
      </c>
      <c r="H58" t="n">
        <v>1.620839287420779</v>
      </c>
      <c r="I58" t="n">
        <v>1.310842862661872</v>
      </c>
      <c r="J58" t="n">
        <v>1.459448312594645</v>
      </c>
      <c r="K58" t="n">
        <v>1.818613684660335</v>
      </c>
      <c r="L58" t="n">
        <v>1.740852689946934</v>
      </c>
      <c r="M58" t="n">
        <v>1.774021530464751</v>
      </c>
      <c r="N58" t="n">
        <v>1.91685858601852</v>
      </c>
      <c r="O58" t="n">
        <v>1.92474469641715</v>
      </c>
      <c r="P58" t="n">
        <v>1.868950821666175</v>
      </c>
      <c r="Q58" t="n">
        <v>1.988301390815138</v>
      </c>
      <c r="R58" t="n">
        <v>2.031408202136475</v>
      </c>
      <c r="S58" t="n">
        <v>1.934907616163997</v>
      </c>
      <c r="T58" t="n">
        <v>2.131560308869183</v>
      </c>
      <c r="U58" t="n">
        <v>1.98049769375217</v>
      </c>
      <c r="V58" t="n">
        <v>1.933065267824702</v>
      </c>
      <c r="W58" t="n">
        <v>1.952834193943147</v>
      </c>
      <c r="QD58" t="n">
        <v>1.251108693162422</v>
      </c>
      <c r="QE58" t="n">
        <v>1.182759657253769</v>
      </c>
      <c r="QF58" t="n">
        <v>1.299914874034073</v>
      </c>
      <c r="QG58" t="n">
        <v>1.273054115963419</v>
      </c>
      <c r="QH58" t="n">
        <v>1.564587767898416</v>
      </c>
      <c r="QI58" t="n">
        <v>1.352327769811609</v>
      </c>
      <c r="QJ58" t="n">
        <v>1.377475184592498</v>
      </c>
      <c r="QK58" t="n">
        <v>1.577854022156004</v>
      </c>
      <c r="QL58" t="n">
        <v>1.756486045021973</v>
      </c>
      <c r="QM58" t="n">
        <v>1.794182843185041</v>
      </c>
      <c r="QN58" t="n">
        <v>1.928185103974272</v>
      </c>
      <c r="QO58" t="n">
        <v>1.879969833149914</v>
      </c>
      <c r="QP58" t="n">
        <v>1.809095770916031</v>
      </c>
      <c r="QQ58" t="n">
        <v>2.01778412665314</v>
      </c>
      <c r="QR58" t="n">
        <v>2.014613581691805</v>
      </c>
      <c r="QS58" t="n">
        <v>1.956605451623801</v>
      </c>
      <c r="QT58" t="n">
        <v>2.020701916878011</v>
      </c>
      <c r="QU58" t="n">
        <v>2.053850704998439</v>
      </c>
      <c r="QV58" t="n">
        <v>2.081466086720638</v>
      </c>
      <c r="QW58" t="n">
        <v>1.803225250847277</v>
      </c>
      <c r="AHB58" t="n">
        <v>1.275136232451132</v>
      </c>
      <c r="AHC58" t="n">
        <v>1.275136232451132</v>
      </c>
      <c r="AHD58" t="n">
        <v>1.251108693162422</v>
      </c>
      <c r="AHE58" t="n">
        <v>1.251108693162422</v>
      </c>
      <c r="AHF58" t="n">
        <v>1.182759657253769</v>
      </c>
      <c r="AHG58" t="n">
        <v>1.182759657253769</v>
      </c>
      <c r="AHH58" t="n">
        <v>1.299914874034073</v>
      </c>
      <c r="AHI58" t="n">
        <v>1.299914874034073</v>
      </c>
      <c r="AHJ58" t="n">
        <v>1.27305411596339</v>
      </c>
      <c r="AHK58" t="n">
        <v>1.27305411596339</v>
      </c>
      <c r="AHL58" t="n">
        <v>1.564587767898416</v>
      </c>
      <c r="AHM58" t="n">
        <v>1.564587767898416</v>
      </c>
      <c r="AHN58" t="n">
        <v>1.352327769811609</v>
      </c>
      <c r="AHO58" t="n">
        <v>1.352327769811609</v>
      </c>
      <c r="AHP58" t="n">
        <v>1.377475184592498</v>
      </c>
      <c r="AHQ58" t="n">
        <v>1.377475184592498</v>
      </c>
      <c r="AHR58" t="n">
        <v>1.577854022156004</v>
      </c>
      <c r="AHS58" t="n">
        <v>1.577854022156004</v>
      </c>
      <c r="AHT58" t="n">
        <v>1.756486045021973</v>
      </c>
      <c r="AHU58" t="n">
        <v>1.756486045021973</v>
      </c>
      <c r="AHV58" t="n">
        <v>1.794182843185041</v>
      </c>
      <c r="AHW58" t="n">
        <v>1.794182843185041</v>
      </c>
      <c r="AHX58" t="n">
        <v>1.928185103974272</v>
      </c>
      <c r="AHY58" t="n">
        <v>1.928185103974272</v>
      </c>
      <c r="AHZ58" t="n">
        <v>1.879969833149914</v>
      </c>
      <c r="AIA58" t="n">
        <v>1.879969833149914</v>
      </c>
      <c r="AIB58" t="n">
        <v>1.809095770916031</v>
      </c>
      <c r="AIC58" t="n">
        <v>1.809095770916031</v>
      </c>
      <c r="AID58" t="n">
        <v>2.01778412665314</v>
      </c>
      <c r="AIE58" t="n">
        <v>2.01778412665314</v>
      </c>
      <c r="AIF58" t="n">
        <v>2.014613581691805</v>
      </c>
      <c r="AIG58" t="n">
        <v>2.014613581691805</v>
      </c>
      <c r="AIH58" t="n">
        <v>1.956522146793503</v>
      </c>
      <c r="AII58" t="n">
        <v>1.956522146793503</v>
      </c>
      <c r="AIJ58" t="n">
        <v>2.020701916878011</v>
      </c>
      <c r="AIK58" t="n">
        <v>2.020701916878011</v>
      </c>
      <c r="AIL58" t="n">
        <v>2.053850704998439</v>
      </c>
      <c r="AIM58" t="n">
        <v>2.053850704998439</v>
      </c>
      <c r="AIN58" t="n">
        <v>2.081466086720638</v>
      </c>
      <c r="AIO58" t="n">
        <v>2.081466086720638</v>
      </c>
      <c r="AIP58" t="n">
        <v>1.82447645809944</v>
      </c>
      <c r="AIQ58" t="n">
        <v>1.82447645809944</v>
      </c>
    </row>
    <row r="59" ht="24" customHeight="1" s="115">
      <c r="A59" s="3" t="inlineStr">
        <is>
          <t>Recovery Adjustments excluding LTV (Mileage, vehicle type, etc.)</t>
        </is>
      </c>
      <c r="B59" t="n">
        <v>-0.1258904233071121</v>
      </c>
      <c r="C59" t="n">
        <v>0.008121661268262415</v>
      </c>
      <c r="D59" t="n">
        <v>-0.02539417613880346</v>
      </c>
      <c r="E59" t="n">
        <v>-0.09185869563239635</v>
      </c>
      <c r="F59" t="n">
        <v>-0.2614788288957755</v>
      </c>
      <c r="G59" t="n">
        <v>-0.3764669296081138</v>
      </c>
      <c r="H59" t="n">
        <v>-0.3946263276166064</v>
      </c>
      <c r="I59" t="n">
        <v>-0.5647014497732528</v>
      </c>
      <c r="J59" t="n">
        <v>-0.00213283177808421</v>
      </c>
      <c r="K59" t="n">
        <v>0.4007004728381673</v>
      </c>
      <c r="L59" t="n">
        <v>0.4538039695163718</v>
      </c>
      <c r="M59" t="n">
        <v>0.5128539494677966</v>
      </c>
      <c r="N59" t="n">
        <v>0.9252008058810191</v>
      </c>
      <c r="O59" t="n">
        <v>1.0322058281198</v>
      </c>
      <c r="P59" t="n">
        <v>1.285430383801099</v>
      </c>
      <c r="Q59" t="n">
        <v>1.451922261381554</v>
      </c>
      <c r="R59" t="n">
        <v>1.462914783750591</v>
      </c>
      <c r="S59" t="n">
        <v>1.326826084938176</v>
      </c>
      <c r="T59" t="n">
        <v>1.429057578707329</v>
      </c>
      <c r="U59" t="n">
        <v>1.305666597970855</v>
      </c>
      <c r="V59" t="n">
        <v>1.039283202916948</v>
      </c>
      <c r="W59" t="n">
        <v>1.22925988472025</v>
      </c>
      <c r="QD59" t="n">
        <v>0.1302211229792647</v>
      </c>
      <c r="QE59" t="n">
        <v>-0.17271865870228</v>
      </c>
      <c r="QF59" t="n">
        <v>-0.1760787773550874</v>
      </c>
      <c r="QG59" t="n">
        <v>-0.2723659080090215</v>
      </c>
      <c r="QH59" t="n">
        <v>-0.3294604416298341</v>
      </c>
      <c r="QI59" t="n">
        <v>-0.6628939131368554</v>
      </c>
      <c r="QJ59" t="n">
        <v>-0.2990048414232831</v>
      </c>
      <c r="QK59" t="n">
        <v>0.1448275465224924</v>
      </c>
      <c r="QL59" t="n">
        <v>0.3806962848401554</v>
      </c>
      <c r="QM59" t="n">
        <v>0.4663580851991753</v>
      </c>
      <c r="QN59" t="n">
        <v>0.8787856857870224</v>
      </c>
      <c r="QO59" t="n">
        <v>0.9862840885164701</v>
      </c>
      <c r="QP59" t="n">
        <v>1.139349663190615</v>
      </c>
      <c r="QQ59" t="n">
        <v>1.330257782315613</v>
      </c>
      <c r="QR59" t="n">
        <v>1.478865102409458</v>
      </c>
      <c r="QS59" t="n">
        <v>1.474546611098219</v>
      </c>
      <c r="QT59" t="n">
        <v>1.348826801987514</v>
      </c>
      <c r="QU59" t="n">
        <v>1.433062195240268</v>
      </c>
      <c r="QV59" t="n">
        <v>1.17689098767687</v>
      </c>
      <c r="QW59" t="n">
        <v>1.067851448279811</v>
      </c>
      <c r="AHB59" t="n">
        <v>-0.007129945853023401</v>
      </c>
      <c r="AHC59" t="n">
        <v>-0.007129945853023401</v>
      </c>
      <c r="AHD59" t="n">
        <v>0.1302211229792647</v>
      </c>
      <c r="AHE59" t="n">
        <v>0.1302211229792647</v>
      </c>
      <c r="AHF59" t="n">
        <v>-0.17271865870228</v>
      </c>
      <c r="AHG59" t="n">
        <v>-0.17271865870228</v>
      </c>
      <c r="AHH59" t="n">
        <v>-0.1760787773550874</v>
      </c>
      <c r="AHI59" t="n">
        <v>-0.1760787773550874</v>
      </c>
      <c r="AHJ59" t="n">
        <v>-0.2723659080089931</v>
      </c>
      <c r="AHK59" t="n">
        <v>-0.2723659080089931</v>
      </c>
      <c r="AHL59" t="n">
        <v>-0.3294604416298341</v>
      </c>
      <c r="AHM59" t="n">
        <v>-0.3294604416298341</v>
      </c>
      <c r="AHN59" t="n">
        <v>-0.6628939131368554</v>
      </c>
      <c r="AHO59" t="n">
        <v>-0.6628939131368554</v>
      </c>
      <c r="AHP59" t="n">
        <v>-0.2990048414232831</v>
      </c>
      <c r="AHQ59" t="n">
        <v>-0.2990048414232831</v>
      </c>
      <c r="AHR59" t="n">
        <v>0.1448275465224924</v>
      </c>
      <c r="AHS59" t="n">
        <v>0.1448275465224924</v>
      </c>
      <c r="AHT59" t="n">
        <v>0.380696284840127</v>
      </c>
      <c r="AHU59" t="n">
        <v>0.380696284840127</v>
      </c>
      <c r="AHV59" t="n">
        <v>0.4663580851991753</v>
      </c>
      <c r="AHW59" t="n">
        <v>0.4663580851991753</v>
      </c>
      <c r="AHX59" t="n">
        <v>0.8787856857870224</v>
      </c>
      <c r="AHY59" t="n">
        <v>0.8787856857870224</v>
      </c>
      <c r="AHZ59" t="n">
        <v>0.9862840885164701</v>
      </c>
      <c r="AIA59" t="n">
        <v>0.9862840885164701</v>
      </c>
      <c r="AIB59" t="n">
        <v>1.139349663190615</v>
      </c>
      <c r="AIC59" t="n">
        <v>1.139349663190615</v>
      </c>
      <c r="AID59" t="n">
        <v>1.330257782315613</v>
      </c>
      <c r="AIE59" t="n">
        <v>1.330257782315613</v>
      </c>
      <c r="AIF59" t="n">
        <v>1.478865102409458</v>
      </c>
      <c r="AIG59" t="n">
        <v>1.478865102409458</v>
      </c>
      <c r="AIH59" t="n">
        <v>1.475074128819955</v>
      </c>
      <c r="AII59" t="n">
        <v>1.475074128819955</v>
      </c>
      <c r="AIJ59" t="n">
        <v>1.348826801987514</v>
      </c>
      <c r="AIK59" t="n">
        <v>1.348826801987514</v>
      </c>
      <c r="AIL59" t="n">
        <v>1.433062195240268</v>
      </c>
      <c r="AIM59" t="n">
        <v>1.433062195240268</v>
      </c>
      <c r="AIN59" t="n">
        <v>1.17689098767687</v>
      </c>
      <c r="AIO59" t="n">
        <v>1.17689098767687</v>
      </c>
      <c r="AIP59" t="n">
        <v>1.097553439977105</v>
      </c>
      <c r="AIQ59" t="n">
        <v>1.097553439977105</v>
      </c>
    </row>
    <row r="60">
      <c r="A60" s="4" t="inlineStr">
        <is>
          <t>LTV Adjustments</t>
        </is>
      </c>
      <c r="B60" t="n">
        <v>0.1258904233071121</v>
      </c>
      <c r="C60" t="n">
        <v>-0.008121661268262415</v>
      </c>
      <c r="D60" t="n">
        <v>0.02539417613880346</v>
      </c>
      <c r="E60" t="n">
        <v>0.09185869563239635</v>
      </c>
      <c r="F60" t="n">
        <v>0.2614788288957755</v>
      </c>
      <c r="G60" t="n">
        <v>0.3764669296081138</v>
      </c>
      <c r="H60" t="n">
        <v>0.3946263276166064</v>
      </c>
      <c r="I60" t="n">
        <v>0.5647014497732528</v>
      </c>
      <c r="J60" t="n">
        <v>0.00213283177808421</v>
      </c>
      <c r="K60" t="n">
        <v>-0.4007004728381673</v>
      </c>
      <c r="L60" t="n">
        <v>-0.4538039695163718</v>
      </c>
      <c r="M60" t="n">
        <v>-0.5128539494677966</v>
      </c>
      <c r="N60" t="n">
        <v>-0.9252008058810191</v>
      </c>
      <c r="O60" t="n">
        <v>-1.0322058281198</v>
      </c>
      <c r="P60" t="n">
        <v>-1.285430383801099</v>
      </c>
      <c r="Q60" t="n">
        <v>-1.451922261381554</v>
      </c>
      <c r="R60" t="n">
        <v>-1.462914783750591</v>
      </c>
      <c r="S60" t="n">
        <v>-1.326826084938176</v>
      </c>
      <c r="T60" t="n">
        <v>-1.429057578707329</v>
      </c>
      <c r="U60" t="n">
        <v>-1.305666597970855</v>
      </c>
      <c r="V60" t="n">
        <v>-1.039283202916948</v>
      </c>
      <c r="W60" t="n">
        <v>-1.22925988472025</v>
      </c>
      <c r="QD60" t="n">
        <v>-0.1302211229792647</v>
      </c>
      <c r="QE60" t="n">
        <v>0.17271865870228</v>
      </c>
      <c r="QF60" t="n">
        <v>0.1760787773550874</v>
      </c>
      <c r="QG60" t="n">
        <v>0.2723659080090215</v>
      </c>
      <c r="QH60" t="n">
        <v>0.3294604416298341</v>
      </c>
      <c r="QI60" t="n">
        <v>0.6628939131368554</v>
      </c>
      <c r="QJ60" t="n">
        <v>0.2990048414232831</v>
      </c>
      <c r="QK60" t="n">
        <v>-0.1448275465224924</v>
      </c>
      <c r="QL60" t="n">
        <v>-0.3806962848401554</v>
      </c>
      <c r="QM60" t="n">
        <v>-0.4663580851991753</v>
      </c>
      <c r="QN60" t="n">
        <v>-0.8787856857870224</v>
      </c>
      <c r="QO60" t="n">
        <v>-0.9862840885164701</v>
      </c>
      <c r="QP60" t="n">
        <v>-1.139349663190615</v>
      </c>
      <c r="QQ60" t="n">
        <v>-1.330257782315613</v>
      </c>
      <c r="QR60" t="n">
        <v>-1.478865102409458</v>
      </c>
      <c r="QS60" t="n">
        <v>-1.474546611098219</v>
      </c>
      <c r="QT60" t="n">
        <v>-1.348826801987514</v>
      </c>
      <c r="QU60" t="n">
        <v>-1.433062195240268</v>
      </c>
      <c r="QV60" t="n">
        <v>-1.17689098767687</v>
      </c>
      <c r="QW60" t="n">
        <v>-1.067851448279811</v>
      </c>
      <c r="AHB60" t="n">
        <v>0.007129945853023401</v>
      </c>
      <c r="AHC60" t="n">
        <v>0.007129945853023401</v>
      </c>
      <c r="AHD60" t="n">
        <v>-0.1302211229792647</v>
      </c>
      <c r="AHE60" t="n">
        <v>-0.1302211229792647</v>
      </c>
      <c r="AHF60" t="n">
        <v>0.17271865870228</v>
      </c>
      <c r="AHG60" t="n">
        <v>0.17271865870228</v>
      </c>
      <c r="AHH60" t="n">
        <v>0.1760787773550874</v>
      </c>
      <c r="AHI60" t="n">
        <v>0.1760787773550874</v>
      </c>
      <c r="AHJ60" t="n">
        <v>0.2723659080089931</v>
      </c>
      <c r="AHK60" t="n">
        <v>0.2723659080089931</v>
      </c>
      <c r="AHL60" t="n">
        <v>0.3294604416298341</v>
      </c>
      <c r="AHM60" t="n">
        <v>0.3294604416298341</v>
      </c>
      <c r="AHN60" t="n">
        <v>0.6628939131368554</v>
      </c>
      <c r="AHO60" t="n">
        <v>0.6628939131368554</v>
      </c>
      <c r="AHP60" t="n">
        <v>0.2990048414232831</v>
      </c>
      <c r="AHQ60" t="n">
        <v>0.2990048414232831</v>
      </c>
      <c r="AHR60" t="n">
        <v>-0.1448275465224924</v>
      </c>
      <c r="AHS60" t="n">
        <v>-0.1448275465224924</v>
      </c>
      <c r="AHT60" t="n">
        <v>-0.380696284840127</v>
      </c>
      <c r="AHU60" t="n">
        <v>-0.380696284840127</v>
      </c>
      <c r="AHV60" t="n">
        <v>-0.4663580851991753</v>
      </c>
      <c r="AHW60" t="n">
        <v>-0.4663580851991753</v>
      </c>
      <c r="AHX60" t="n">
        <v>-0.8787856857870224</v>
      </c>
      <c r="AHY60" t="n">
        <v>-0.8787856857870224</v>
      </c>
      <c r="AHZ60" t="n">
        <v>-0.9862840885164701</v>
      </c>
      <c r="AIA60" t="n">
        <v>-0.9862840885164701</v>
      </c>
      <c r="AIB60" t="n">
        <v>-1.139349663190615</v>
      </c>
      <c r="AIC60" t="n">
        <v>-1.139349663190615</v>
      </c>
      <c r="AID60" t="n">
        <v>-1.330257782315613</v>
      </c>
      <c r="AIE60" t="n">
        <v>-1.330257782315613</v>
      </c>
      <c r="AIF60" t="n">
        <v>-1.478865102409458</v>
      </c>
      <c r="AIG60" t="n">
        <v>-1.478865102409458</v>
      </c>
      <c r="AIH60" t="n">
        <v>-1.475074128819955</v>
      </c>
      <c r="AII60" t="n">
        <v>-1.475074128819955</v>
      </c>
      <c r="AIJ60" t="n">
        <v>-1.348826801987514</v>
      </c>
      <c r="AIK60" t="n">
        <v>-1.348826801987514</v>
      </c>
      <c r="AIL60" t="n">
        <v>-1.433062195240268</v>
      </c>
      <c r="AIM60" t="n">
        <v>-1.433062195240268</v>
      </c>
      <c r="AIN60" t="n">
        <v>-1.17689098767687</v>
      </c>
      <c r="AIO60" t="n">
        <v>-1.17689098767687</v>
      </c>
      <c r="AIP60" t="n">
        <v>-1.097553439977105</v>
      </c>
      <c r="AIQ60" t="n">
        <v>-1.097553439977105</v>
      </c>
    </row>
    <row r="61">
      <c r="A61" s="3" t="inlineStr">
        <is>
          <t>RAGU Score</t>
        </is>
      </c>
      <c r="B61" t="n">
        <v>142.9317237789436</v>
      </c>
      <c r="C61" t="n">
        <v>141.7635929726208</v>
      </c>
      <c r="D61" t="n">
        <v>140.7711128943295</v>
      </c>
      <c r="E61" t="n">
        <v>140.479920042354</v>
      </c>
      <c r="F61" t="n">
        <v>140.5777261466236</v>
      </c>
      <c r="G61" t="n">
        <v>140.8391858466971</v>
      </c>
      <c r="H61" t="n">
        <v>139.9609186104215</v>
      </c>
      <c r="I61" t="n">
        <v>139.1762473968875</v>
      </c>
      <c r="J61" t="n">
        <v>140.5568480212375</v>
      </c>
      <c r="K61" t="n">
        <v>141.6373743802934</v>
      </c>
      <c r="L61" t="n">
        <v>142.2614806527692</v>
      </c>
      <c r="M61" t="n">
        <v>143.1612303458531</v>
      </c>
      <c r="N61" t="n">
        <v>142.5283087684757</v>
      </c>
      <c r="O61" t="n">
        <v>142.6141850451638</v>
      </c>
      <c r="P61" t="n">
        <v>142.3256889087885</v>
      </c>
      <c r="Q61" t="n">
        <v>142.5524137916892</v>
      </c>
      <c r="R61" t="n">
        <v>142.4104481417944</v>
      </c>
      <c r="S61" t="n">
        <v>142.6676377462401</v>
      </c>
      <c r="T61" t="n">
        <v>142.8505750636702</v>
      </c>
      <c r="U61" t="n">
        <v>142.5769992960061</v>
      </c>
      <c r="V61" t="n">
        <v>142.2495275268748</v>
      </c>
      <c r="W61" t="n">
        <v>142.7567107515028</v>
      </c>
      <c r="QD61" t="n">
        <v>141.259064372342</v>
      </c>
      <c r="QE61" t="n">
        <v>140.3826179008585</v>
      </c>
      <c r="QF61" t="n">
        <v>140.4851940779803</v>
      </c>
      <c r="QG61" t="n">
        <v>141.2932617355194</v>
      </c>
      <c r="QH61" t="n">
        <v>139.947123117085</v>
      </c>
      <c r="QI61" t="n">
        <v>139.5974696311519</v>
      </c>
      <c r="QJ61" t="n">
        <v>139.6184706140124</v>
      </c>
      <c r="QK61" t="n">
        <v>141.1033052615169</v>
      </c>
      <c r="QL61" t="n">
        <v>141.9808635926448</v>
      </c>
      <c r="QM61" t="n">
        <v>142.4768005241949</v>
      </c>
      <c r="QN61" t="n">
        <v>142.9109935351531</v>
      </c>
      <c r="QO61" t="n">
        <v>142.7770285074321</v>
      </c>
      <c r="QP61" t="n">
        <v>142.4939589557431</v>
      </c>
      <c r="QQ61" t="n">
        <v>142.1520602601578</v>
      </c>
      <c r="QR61" t="n">
        <v>142.4695282791177</v>
      </c>
      <c r="QS61" t="n">
        <v>142.6683839539084</v>
      </c>
      <c r="QT61" t="n">
        <v>142.6847624135634</v>
      </c>
      <c r="QU61" t="n">
        <v>142.6740607203402</v>
      </c>
      <c r="QV61" t="n">
        <v>142.6099429110685</v>
      </c>
      <c r="QW61" t="n">
        <v>142.3086389404451</v>
      </c>
      <c r="AHB61" t="n">
        <v>142.5612015519261</v>
      </c>
      <c r="AHC61" t="n">
        <v>142.5612015519261</v>
      </c>
      <c r="AHD61" t="n">
        <v>141.2590643723419</v>
      </c>
      <c r="AHE61" t="n">
        <v>141.2590643723419</v>
      </c>
      <c r="AHF61" t="n">
        <v>140.3826179008585</v>
      </c>
      <c r="AHG61" t="n">
        <v>140.3826179008585</v>
      </c>
      <c r="AHH61" t="n">
        <v>140.4851940779803</v>
      </c>
      <c r="AHI61" t="n">
        <v>140.4851940779803</v>
      </c>
      <c r="AHJ61" t="n">
        <v>141.2932617355194</v>
      </c>
      <c r="AHK61" t="n">
        <v>141.2932617355194</v>
      </c>
      <c r="AHL61" t="n">
        <v>139.9471231170851</v>
      </c>
      <c r="AHM61" t="n">
        <v>139.9471231170851</v>
      </c>
      <c r="AHN61" t="n">
        <v>139.597469631152</v>
      </c>
      <c r="AHO61" t="n">
        <v>139.597469631152</v>
      </c>
      <c r="AHP61" t="n">
        <v>139.6184706140124</v>
      </c>
      <c r="AHQ61" t="n">
        <v>139.6184706140124</v>
      </c>
      <c r="AHR61" t="n">
        <v>141.1033052615169</v>
      </c>
      <c r="AHS61" t="n">
        <v>141.1033052615169</v>
      </c>
      <c r="AHT61" t="n">
        <v>141.9808635926447</v>
      </c>
      <c r="AHU61" t="n">
        <v>141.9808635926447</v>
      </c>
      <c r="AHV61" t="n">
        <v>142.4768005241949</v>
      </c>
      <c r="AHW61" t="n">
        <v>142.4768005241949</v>
      </c>
      <c r="AHX61" t="n">
        <v>142.9109935351531</v>
      </c>
      <c r="AHY61" t="n">
        <v>142.9109935351531</v>
      </c>
      <c r="AHZ61" t="n">
        <v>142.7770285074321</v>
      </c>
      <c r="AIA61" t="n">
        <v>142.7770285074321</v>
      </c>
      <c r="AIB61" t="n">
        <v>142.4939589557431</v>
      </c>
      <c r="AIC61" t="n">
        <v>142.4939589557431</v>
      </c>
      <c r="AID61" t="n">
        <v>142.1520602601578</v>
      </c>
      <c r="AIE61" t="n">
        <v>142.1520602601578</v>
      </c>
      <c r="AIF61" t="n">
        <v>142.4695282791176</v>
      </c>
      <c r="AIG61" t="n">
        <v>142.4695282791176</v>
      </c>
      <c r="AIH61" t="n">
        <v>142.6683006490781</v>
      </c>
      <c r="AII61" t="n">
        <v>142.6683006490781</v>
      </c>
      <c r="AIJ61" t="n">
        <v>142.6847624135635</v>
      </c>
      <c r="AIK61" t="n">
        <v>142.6847624135635</v>
      </c>
      <c r="AIL61" t="n">
        <v>142.6740607203402</v>
      </c>
      <c r="AIM61" t="n">
        <v>142.6740607203402</v>
      </c>
      <c r="AIN61" t="n">
        <v>142.6099429110685</v>
      </c>
      <c r="AIO61" t="n">
        <v>142.6099429110685</v>
      </c>
      <c r="AIP61" t="n">
        <v>142.3298901476972</v>
      </c>
      <c r="AIQ61" t="n">
        <v>142.3298901476972</v>
      </c>
    </row>
    <row r="62">
      <c r="A62" s="5" t="inlineStr">
        <is>
          <t>LTV</t>
        </is>
      </c>
      <c r="B62" t="n">
        <v>2.012397905484287</v>
      </c>
      <c r="C62" t="n">
        <v>1.910666903158368</v>
      </c>
      <c r="D62" t="n">
        <v>1.906761836730372</v>
      </c>
      <c r="E62" t="n">
        <v>1.896760663614032</v>
      </c>
      <c r="F62" t="n">
        <v>1.865304438323977</v>
      </c>
      <c r="G62" t="n">
        <v>1.928163458007845</v>
      </c>
      <c r="H62" t="n">
        <v>1.884340597110496</v>
      </c>
      <c r="I62" t="n">
        <v>1.856047690407192</v>
      </c>
      <c r="J62" t="n">
        <v>1.779166428541504</v>
      </c>
      <c r="K62" t="n">
        <v>1.752949739645469</v>
      </c>
      <c r="L62" t="n">
        <v>1.760083029331784</v>
      </c>
      <c r="M62" t="n">
        <v>1.743269250889344</v>
      </c>
      <c r="N62" t="n">
        <v>1.721971487735829</v>
      </c>
      <c r="O62" t="n">
        <v>1.697378989380395</v>
      </c>
      <c r="P62" t="n">
        <v>1.687096214995387</v>
      </c>
      <c r="Q62" t="n">
        <v>1.645591528651377</v>
      </c>
      <c r="R62" t="n">
        <v>1.640035690592812</v>
      </c>
      <c r="S62" t="n">
        <v>1.653378765268969</v>
      </c>
      <c r="T62" t="n">
        <v>1.628418323707299</v>
      </c>
      <c r="U62" t="n">
        <v>1.622559781612924</v>
      </c>
      <c r="V62" t="n">
        <v>1.635271398315473</v>
      </c>
      <c r="W62" t="n">
        <v>1.632327450855909</v>
      </c>
      <c r="QD62" t="n">
        <v>1.900811887454591</v>
      </c>
      <c r="QE62" t="n">
        <v>1.916389706932113</v>
      </c>
      <c r="QF62" t="n">
        <v>1.861108928674095</v>
      </c>
      <c r="QG62" t="n">
        <v>1.925267545392649</v>
      </c>
      <c r="QH62" t="n">
        <v>1.897617231193097</v>
      </c>
      <c r="QI62" t="n">
        <v>1.886750172901549</v>
      </c>
      <c r="QJ62" t="n">
        <v>1.818982951593363</v>
      </c>
      <c r="QK62" t="n">
        <v>1.756518519813808</v>
      </c>
      <c r="QL62" t="n">
        <v>1.776269164453157</v>
      </c>
      <c r="QM62" t="n">
        <v>1.755286577673402</v>
      </c>
      <c r="QN62" t="n">
        <v>1.71378793965447</v>
      </c>
      <c r="QO62" t="n">
        <v>1.711342757743369</v>
      </c>
      <c r="QP62" t="n">
        <v>1.699990746417477</v>
      </c>
      <c r="QQ62" t="n">
        <v>1.659260846811991</v>
      </c>
      <c r="QR62" t="n">
        <v>1.651876286033213</v>
      </c>
      <c r="QS62" t="n">
        <v>1.626753142452835</v>
      </c>
      <c r="QT62" t="n">
        <v>1.668659989347058</v>
      </c>
      <c r="QU62" t="n">
        <v>1.618290905760353</v>
      </c>
      <c r="QV62" t="n">
        <v>1.619114428829654</v>
      </c>
      <c r="QW62" t="n">
        <v>1.621821191594407</v>
      </c>
      <c r="AHB62" t="n">
        <v>1.951192058579138</v>
      </c>
      <c r="AHC62" t="n">
        <v>1.951192058579138</v>
      </c>
      <c r="AHD62" t="n">
        <v>1.900811887454591</v>
      </c>
      <c r="AHE62" t="n">
        <v>1.900811887454591</v>
      </c>
      <c r="AHF62" t="n">
        <v>1.916389706932113</v>
      </c>
      <c r="AHG62" t="n">
        <v>1.916389706932113</v>
      </c>
      <c r="AHH62" t="n">
        <v>1.861108928674095</v>
      </c>
      <c r="AHI62" t="n">
        <v>1.861108928674095</v>
      </c>
      <c r="AHJ62" t="n">
        <v>1.925267545392649</v>
      </c>
      <c r="AHK62" t="n">
        <v>1.925267545392649</v>
      </c>
      <c r="AHL62" t="n">
        <v>1.897617231193098</v>
      </c>
      <c r="AHM62" t="n">
        <v>1.897617231193098</v>
      </c>
      <c r="AHN62" t="n">
        <v>1.886750172901549</v>
      </c>
      <c r="AHO62" t="n">
        <v>1.886750172901549</v>
      </c>
      <c r="AHP62" t="n">
        <v>1.818982951593363</v>
      </c>
      <c r="AHQ62" t="n">
        <v>1.818982951593363</v>
      </c>
      <c r="AHR62" t="n">
        <v>1.756518519813808</v>
      </c>
      <c r="AHS62" t="n">
        <v>1.756518519813808</v>
      </c>
      <c r="AHT62" t="n">
        <v>1.776269164453157</v>
      </c>
      <c r="AHU62" t="n">
        <v>1.776269164453157</v>
      </c>
      <c r="AHV62" t="n">
        <v>1.755286577673402</v>
      </c>
      <c r="AHW62" t="n">
        <v>1.755286577673402</v>
      </c>
      <c r="AHX62" t="n">
        <v>1.71378793965447</v>
      </c>
      <c r="AHY62" t="n">
        <v>1.71378793965447</v>
      </c>
      <c r="AHZ62" t="n">
        <v>1.711342757743369</v>
      </c>
      <c r="AIA62" t="n">
        <v>1.711342757743369</v>
      </c>
      <c r="AIB62" t="n">
        <v>1.699990746417477</v>
      </c>
      <c r="AIC62" t="n">
        <v>1.699990746417477</v>
      </c>
      <c r="AID62" t="n">
        <v>1.659260846811991</v>
      </c>
      <c r="AIE62" t="n">
        <v>1.659260846811991</v>
      </c>
      <c r="AIF62" t="n">
        <v>1.651876286033213</v>
      </c>
      <c r="AIG62" t="n">
        <v>1.651876286033213</v>
      </c>
      <c r="AIH62" t="n">
        <v>1.626910108316666</v>
      </c>
      <c r="AII62" t="n">
        <v>1.626910108316666</v>
      </c>
      <c r="AIJ62" t="n">
        <v>1.668659989347058</v>
      </c>
      <c r="AIK62" t="n">
        <v>1.668659989347058</v>
      </c>
      <c r="AIL62" t="n">
        <v>1.618290905760353</v>
      </c>
      <c r="AIM62" t="n">
        <v>1.618290905760353</v>
      </c>
      <c r="AIN62" t="n">
        <v>1.619114428829654</v>
      </c>
      <c r="AIO62" t="n">
        <v>1.619114428829654</v>
      </c>
      <c r="AIP62" t="n">
        <v>1.622293892675196</v>
      </c>
      <c r="AIQ62" t="n">
        <v>1.622293892675196</v>
      </c>
    </row>
    <row r="64">
      <c r="A64" s="1" t="inlineStr">
        <is>
          <t>POS</t>
        </is>
      </c>
      <c r="B64" s="119">
        <f>B55</f>
        <v/>
      </c>
      <c r="C64" s="119">
        <f>C55</f>
        <v/>
      </c>
      <c r="D64" s="119">
        <f>D55</f>
        <v/>
      </c>
      <c r="E64" s="119">
        <f>E55</f>
        <v/>
      </c>
      <c r="F64" s="119">
        <f>F55</f>
        <v/>
      </c>
      <c r="G64" s="119">
        <f>G55</f>
        <v/>
      </c>
      <c r="H64" s="119">
        <f>H55</f>
        <v/>
      </c>
      <c r="I64" s="119">
        <f>I55</f>
        <v/>
      </c>
      <c r="J64" s="119">
        <f>J55</f>
        <v/>
      </c>
      <c r="K64" s="119">
        <f>K55</f>
        <v/>
      </c>
      <c r="L64" s="119">
        <f>L55</f>
        <v/>
      </c>
      <c r="M64" s="119">
        <f>M55</f>
        <v/>
      </c>
      <c r="N64" s="119">
        <f>N55</f>
        <v/>
      </c>
      <c r="O64" s="119">
        <f>O55</f>
        <v/>
      </c>
      <c r="P64" s="119">
        <f>P55</f>
        <v/>
      </c>
      <c r="Q64" s="119">
        <f>Q55</f>
        <v/>
      </c>
      <c r="R64" s="119">
        <f>R55</f>
        <v/>
      </c>
      <c r="S64" s="119">
        <f>S55</f>
        <v/>
      </c>
      <c r="T64" s="119">
        <f>T55</f>
        <v/>
      </c>
      <c r="U64" s="119">
        <f>U55</f>
        <v/>
      </c>
      <c r="V64" s="119">
        <f>V55</f>
        <v/>
      </c>
      <c r="W64" s="119">
        <f>W55</f>
        <v/>
      </c>
    </row>
    <row r="65">
      <c r="A65" s="101" t="inlineStr">
        <is>
          <t>Contract Model Score</t>
        </is>
      </c>
      <c r="B65" t="n">
        <v>139.6109575582094</v>
      </c>
      <c r="C65" t="n">
        <v>138.9987322493651</v>
      </c>
      <c r="D65" t="n">
        <v>138.5031678863627</v>
      </c>
      <c r="E65" t="n">
        <v>138.4290754056145</v>
      </c>
      <c r="F65" t="n">
        <v>138.4476551038265</v>
      </c>
      <c r="G65" t="n">
        <v>138.4936052913631</v>
      </c>
      <c r="H65" t="n">
        <v>137.8173736367278</v>
      </c>
      <c r="I65" t="n">
        <v>137.0305565761845</v>
      </c>
      <c r="J65" t="n">
        <v>137.8949889204972</v>
      </c>
      <c r="K65" t="n">
        <v>138.485724124072</v>
      </c>
      <c r="L65" t="n">
        <v>138.7870011576896</v>
      </c>
      <c r="M65" t="n">
        <v>138.9886931023443</v>
      </c>
      <c r="N65" t="n">
        <v>138.7737007230371</v>
      </c>
      <c r="O65" t="n">
        <v>138.827651080055</v>
      </c>
      <c r="P65" t="n">
        <v>139.1362479480179</v>
      </c>
      <c r="Q65" t="n">
        <v>139.2449248492023</v>
      </c>
      <c r="R65" t="n">
        <v>139.4870110845827</v>
      </c>
      <c r="S65" t="n">
        <v>139.5162865798588</v>
      </c>
      <c r="T65" t="n">
        <v>139.5525264818982</v>
      </c>
      <c r="U65" t="n">
        <v>139.3426001993927</v>
      </c>
      <c r="V65" t="n">
        <v>139.5837430553021</v>
      </c>
      <c r="W65" t="n">
        <v>140.0231139321292</v>
      </c>
      <c r="X65" t="n">
        <v>129.4366755669926</v>
      </c>
      <c r="Y65" t="n">
        <v>128.5449211659614</v>
      </c>
      <c r="Z65" t="n">
        <v>128.3523362883148</v>
      </c>
      <c r="AA65" t="n">
        <v>129.1050499914074</v>
      </c>
      <c r="AB65" t="n">
        <v>129.4513996614075</v>
      </c>
      <c r="AC65" t="n">
        <v>130.3855074989762</v>
      </c>
      <c r="AD65" t="n">
        <v>129.5617162627529</v>
      </c>
      <c r="AE65" t="n">
        <v>129.6552513140437</v>
      </c>
      <c r="AF65" t="n">
        <v>130.537398370913</v>
      </c>
      <c r="AG65" t="n">
        <v>130.9328078804758</v>
      </c>
      <c r="AH65" t="n">
        <v>131.3596956418595</v>
      </c>
      <c r="AI65" t="n">
        <v>131.3404345836591</v>
      </c>
      <c r="AJ65" t="n">
        <v>131.4718601518755</v>
      </c>
      <c r="AK65" t="n">
        <v>133.1582380427875</v>
      </c>
      <c r="AL65" t="n">
        <v>133.2469986469271</v>
      </c>
      <c r="AM65" t="n">
        <v>133.7776432493077</v>
      </c>
      <c r="AN65" t="n">
        <v>133.0988268324982</v>
      </c>
      <c r="AO65" t="n">
        <v>133.0102502833891</v>
      </c>
      <c r="AP65" t="n">
        <v>133.8733859208253</v>
      </c>
      <c r="AQ65" t="n">
        <v>133.9041715450971</v>
      </c>
      <c r="AR65" t="n">
        <v>134.5461031277994</v>
      </c>
      <c r="AS65" t="n">
        <v>133.8063246086481</v>
      </c>
      <c r="AT65" t="n">
        <v>133.6098075763798</v>
      </c>
      <c r="AU65" t="n">
        <v>133.9630390313791</v>
      </c>
      <c r="AV65" t="n">
        <v>133.9380818856995</v>
      </c>
      <c r="AW65" t="n">
        <v>134.7923533810538</v>
      </c>
      <c r="AX65" t="n">
        <v>134.1106788811599</v>
      </c>
      <c r="AY65" t="n">
        <v>134.824381509584</v>
      </c>
      <c r="AZ65" t="n">
        <v>134.3897156215029</v>
      </c>
      <c r="BA65" t="n">
        <v>134.5186351560023</v>
      </c>
      <c r="BB65" t="n">
        <v>134.4098170039868</v>
      </c>
      <c r="BC65" t="n">
        <v>134.5427316276965</v>
      </c>
      <c r="BD65" t="n">
        <v>134.9151996851135</v>
      </c>
      <c r="BE65" t="n">
        <v>135.0023318177817</v>
      </c>
      <c r="BF65" t="n">
        <v>135.5215810047393</v>
      </c>
      <c r="BG65" t="n">
        <v>134.5100628194307</v>
      </c>
      <c r="BH65" t="n">
        <v>134.9942888319184</v>
      </c>
      <c r="BI65" t="n">
        <v>134.6314286417507</v>
      </c>
      <c r="BJ65" t="n">
        <v>134.3183708503709</v>
      </c>
      <c r="BK65" t="n">
        <v>134.5090463474291</v>
      </c>
      <c r="BL65" t="n">
        <v>134.4174309901547</v>
      </c>
      <c r="BM65" t="n">
        <v>135.2196977676703</v>
      </c>
      <c r="BN65" t="n">
        <v>135.7646388101391</v>
      </c>
      <c r="BO65" t="n">
        <v>135.244777063086</v>
      </c>
      <c r="BP65" t="n">
        <v>135.2561881997669</v>
      </c>
      <c r="BQ65" t="n">
        <v>136.1527820998844</v>
      </c>
      <c r="BR65" t="n">
        <v>136.4219719608371</v>
      </c>
      <c r="BS65" t="n">
        <v>135.9214610686461</v>
      </c>
      <c r="BT65" t="n">
        <v>135.7121055588565</v>
      </c>
      <c r="BU65" t="n">
        <v>136.9188068901896</v>
      </c>
      <c r="BV65" t="n">
        <v>136.5794190446231</v>
      </c>
      <c r="BW65" t="n">
        <v>137.1264312323555</v>
      </c>
      <c r="BX65" t="n">
        <v>137.680275958483</v>
      </c>
      <c r="BY65" t="n">
        <v>137.8190129560755</v>
      </c>
      <c r="BZ65" t="n">
        <v>136.8498153618716</v>
      </c>
      <c r="CA65" t="n">
        <v>136.8791736656488</v>
      </c>
      <c r="CB65" t="n">
        <v>135.8127107473897</v>
      </c>
      <c r="CC65" t="n">
        <v>136.8104853456228</v>
      </c>
      <c r="CD65" t="n">
        <v>136.7425270183109</v>
      </c>
      <c r="CE65" t="n">
        <v>136.6787818914144</v>
      </c>
      <c r="CF65" t="n">
        <v>134.4595672008394</v>
      </c>
      <c r="CG65" t="n">
        <v>134.8221266740387</v>
      </c>
      <c r="CH65" t="n">
        <v>136.0303422094322</v>
      </c>
      <c r="CI65" t="n">
        <v>136.0854187057694</v>
      </c>
      <c r="CJ65" t="n">
        <v>136.3466043435984</v>
      </c>
      <c r="CK65" t="n">
        <v>136.3718458095894</v>
      </c>
      <c r="CL65" t="n">
        <v>137.5726789753476</v>
      </c>
      <c r="CM65" t="n">
        <v>137.8267223776349</v>
      </c>
      <c r="CN65" t="n">
        <v>137.8366238903151</v>
      </c>
      <c r="CO65" t="n">
        <v>137.1988574911352</v>
      </c>
      <c r="CP65" t="n">
        <v>137.6986199338116</v>
      </c>
      <c r="CQ65" t="n">
        <v>136.6048862610606</v>
      </c>
      <c r="CR65" t="n">
        <v>138.5139724633939</v>
      </c>
      <c r="CS65" t="n">
        <v>137.3213821017988</v>
      </c>
      <c r="CT65" t="n">
        <v>137.4780608522707</v>
      </c>
      <c r="CU65" t="n">
        <v>138.2304562243074</v>
      </c>
      <c r="CV65" t="n">
        <v>137.9566772123064</v>
      </c>
      <c r="CW65" t="n">
        <v>138.0067913562254</v>
      </c>
      <c r="CX65" t="n">
        <v>137.8140397422952</v>
      </c>
      <c r="CY65" t="n">
        <v>137.6708441539723</v>
      </c>
      <c r="CZ65" t="n">
        <v>137.0538889989159</v>
      </c>
      <c r="DA65" t="n">
        <v>137.8650183778431</v>
      </c>
      <c r="DB65" t="n">
        <v>137.3407050261699</v>
      </c>
      <c r="DC65" t="n">
        <v>137.8730492891169</v>
      </c>
      <c r="DD65" t="n">
        <v>137.5024936419374</v>
      </c>
      <c r="DE65" t="n">
        <v>137.2454021629821</v>
      </c>
      <c r="DF65" t="n">
        <v>137.0205829918195</v>
      </c>
      <c r="DG65" t="n">
        <v>137.3639316357005</v>
      </c>
      <c r="DH65" t="n">
        <v>137.1778340866599</v>
      </c>
      <c r="DI65" t="n">
        <v>137.2526208613193</v>
      </c>
      <c r="DJ65" t="n">
        <v>137.5796590248502</v>
      </c>
      <c r="DK65" t="n">
        <v>137.9920809478063</v>
      </c>
      <c r="DL65" t="n">
        <v>137.3543240267483</v>
      </c>
      <c r="DM65" t="n">
        <v>137.6583318582811</v>
      </c>
      <c r="DN65" t="n">
        <v>137.6920294948695</v>
      </c>
      <c r="DO65" t="n">
        <v>137.0428117140748</v>
      </c>
      <c r="DP65" t="n">
        <v>136.4368462761599</v>
      </c>
      <c r="DQ65" t="n">
        <v>136.5298420129454</v>
      </c>
      <c r="DR65" t="n">
        <v>137.8129948090925</v>
      </c>
      <c r="DS65" t="n">
        <v>136.9904898449894</v>
      </c>
      <c r="DT65" t="n">
        <v>136.7013976803829</v>
      </c>
      <c r="DU65" t="n">
        <v>135.6158022265243</v>
      </c>
      <c r="DV65" t="n">
        <v>136.0795474220606</v>
      </c>
      <c r="DW65" t="n">
        <v>136.1755443010489</v>
      </c>
      <c r="DX65" t="n">
        <v>135.7592590659598</v>
      </c>
      <c r="DY65" t="n">
        <v>137.1367780903158</v>
      </c>
      <c r="DZ65" t="n">
        <v>136.4854681321696</v>
      </c>
      <c r="EA65" t="n">
        <v>136.1644964156585</v>
      </c>
      <c r="EB65" t="n">
        <v>136.6565496190384</v>
      </c>
      <c r="EC65" t="n">
        <v>136.3918089468499</v>
      </c>
      <c r="ED65" t="n">
        <v>135.693906125111</v>
      </c>
      <c r="EE65" t="n">
        <v>134.9696372602948</v>
      </c>
      <c r="EF65" t="n">
        <v>135.4486054558494</v>
      </c>
      <c r="EG65" t="n">
        <v>133.7356870492584</v>
      </c>
      <c r="EH65" t="n">
        <v>134.2101913860066</v>
      </c>
      <c r="EI65" t="n">
        <v>135.0904948750549</v>
      </c>
      <c r="EJ65" t="n">
        <v>135.296554744499</v>
      </c>
      <c r="EK65" t="n">
        <v>135.6916320607417</v>
      </c>
      <c r="EL65" t="n">
        <v>136.3718739763034</v>
      </c>
      <c r="EM65" t="n">
        <v>136.5135414408144</v>
      </c>
      <c r="EN65" t="n">
        <v>136.1473302536573</v>
      </c>
      <c r="EO65" t="n">
        <v>136.392529867014</v>
      </c>
      <c r="EP65" t="n">
        <v>136.8111244178161</v>
      </c>
      <c r="EQ65" t="n">
        <v>136.3577121547833</v>
      </c>
      <c r="ER65" t="n">
        <v>136.6328361840675</v>
      </c>
      <c r="ES65" t="n">
        <v>136.4027673782374</v>
      </c>
      <c r="ET65" t="n">
        <v>136.359727075967</v>
      </c>
      <c r="EU65" t="n">
        <v>137.0617228253885</v>
      </c>
      <c r="EV65" t="n">
        <v>136.2360363891168</v>
      </c>
      <c r="EW65" t="n">
        <v>136.9373113390187</v>
      </c>
      <c r="EX65" t="n">
        <v>136.7689355278097</v>
      </c>
      <c r="EY65" t="n">
        <v>136.4226063106776</v>
      </c>
      <c r="EZ65" t="n">
        <v>136.8724898415656</v>
      </c>
      <c r="FA65" t="n">
        <v>136.9823659719304</v>
      </c>
      <c r="FB65" t="n">
        <v>136.3203741017271</v>
      </c>
      <c r="FC65" t="n">
        <v>136.2034994956798</v>
      </c>
      <c r="FD65" t="n">
        <v>135.9610287561657</v>
      </c>
      <c r="FE65" t="n">
        <v>136.6466367435015</v>
      </c>
      <c r="FF65" t="n">
        <v>135.5203459322006</v>
      </c>
      <c r="FG65" t="n">
        <v>135.5851364897285</v>
      </c>
      <c r="FH65" t="n">
        <v>136.7689790151703</v>
      </c>
      <c r="FI65" t="n">
        <v>136.5359069911524</v>
      </c>
      <c r="FJ65" t="n">
        <v>136.5560015237402</v>
      </c>
      <c r="FK65" t="n">
        <v>136.2373885411708</v>
      </c>
      <c r="FL65" t="n">
        <v>135.380176257184</v>
      </c>
      <c r="FM65" t="n">
        <v>136.8620859963791</v>
      </c>
      <c r="FN65" t="n">
        <v>137.3116135795437</v>
      </c>
      <c r="FO65" t="n">
        <v>136.4123438693022</v>
      </c>
      <c r="FP65" t="n">
        <v>136.9685183624358</v>
      </c>
      <c r="FQ65" t="n">
        <v>135.6878477992711</v>
      </c>
      <c r="FR65" t="n">
        <v>136.2743403077518</v>
      </c>
      <c r="FS65" t="n">
        <v>135.9477558212732</v>
      </c>
      <c r="FT65" t="n">
        <v>136.7595502832123</v>
      </c>
      <c r="FU65" t="n">
        <v>136.1069156906673</v>
      </c>
      <c r="FV65" t="n">
        <v>136.1129739053335</v>
      </c>
      <c r="FW65" t="n">
        <v>136.1591437883295</v>
      </c>
      <c r="FX65" t="n">
        <v>136.4109597507902</v>
      </c>
      <c r="FY65" t="n">
        <v>136.4793008747994</v>
      </c>
      <c r="FZ65" t="n">
        <v>137.6881741144454</v>
      </c>
      <c r="GA65" t="n">
        <v>136.9056447366611</v>
      </c>
      <c r="GB65" t="n">
        <v>135.4620729245236</v>
      </c>
      <c r="GC65" t="n">
        <v>135.2357329762514</v>
      </c>
      <c r="GD65" t="n">
        <v>134.9213417487083</v>
      </c>
      <c r="GE65" t="n">
        <v>135.8325646572598</v>
      </c>
      <c r="GF65" t="n">
        <v>136.2184808233486</v>
      </c>
      <c r="GG65" t="n">
        <v>136.032383822039</v>
      </c>
      <c r="GH65" t="n">
        <v>135.2586553900667</v>
      </c>
      <c r="GI65" t="n">
        <v>133.7040643285612</v>
      </c>
      <c r="GJ65" t="n">
        <v>134.4805662420235</v>
      </c>
      <c r="GK65" t="n">
        <v>135.3825707789355</v>
      </c>
      <c r="GL65" t="n">
        <v>135.7501803660754</v>
      </c>
      <c r="GM65" t="n">
        <v>136.0386824227343</v>
      </c>
      <c r="GN65" t="n">
        <v>135.6411777134028</v>
      </c>
      <c r="GO65" t="n">
        <v>135.9277615406264</v>
      </c>
      <c r="GP65" t="n">
        <v>136.0612946819941</v>
      </c>
      <c r="GQ65" t="n">
        <v>135.5559920977178</v>
      </c>
      <c r="GR65" t="n">
        <v>135.3399169971445</v>
      </c>
      <c r="GS65" t="n">
        <v>135.8729401787187</v>
      </c>
      <c r="GT65" t="n">
        <v>135.703987836471</v>
      </c>
      <c r="GU65" t="n">
        <v>134.9556958831704</v>
      </c>
      <c r="GV65" t="n">
        <v>135.3404414097513</v>
      </c>
      <c r="GW65" t="n">
        <v>135.8470068847574</v>
      </c>
      <c r="GX65" t="n">
        <v>135.1534831106345</v>
      </c>
      <c r="GY65" t="n">
        <v>135.603101361065</v>
      </c>
      <c r="GZ65" t="n">
        <v>135.9173775656359</v>
      </c>
      <c r="HA65" t="n">
        <v>135.8309529468384</v>
      </c>
      <c r="HB65" t="n">
        <v>135.7839540147278</v>
      </c>
      <c r="HC65" t="n">
        <v>135.1685939119716</v>
      </c>
      <c r="HD65" t="n">
        <v>135.0821525539382</v>
      </c>
      <c r="HE65" t="n">
        <v>135.550700513945</v>
      </c>
      <c r="HF65" t="n">
        <v>135.7527802042033</v>
      </c>
      <c r="HG65" t="n">
        <v>135.372063355903</v>
      </c>
      <c r="HH65" t="n">
        <v>135.4325790023888</v>
      </c>
      <c r="HI65" t="n">
        <v>134.8881154022474</v>
      </c>
      <c r="HJ65" t="n">
        <v>135.0001474903374</v>
      </c>
      <c r="HK65" t="n">
        <v>134.7686849791682</v>
      </c>
      <c r="HL65" t="n">
        <v>134.7476785206803</v>
      </c>
      <c r="HM65" t="n">
        <v>134.5780389904691</v>
      </c>
      <c r="HN65" t="n">
        <v>134.6925410619234</v>
      </c>
      <c r="HO65" t="n">
        <v>134.8156842865799</v>
      </c>
      <c r="HP65" t="n">
        <v>135.0717305014555</v>
      </c>
      <c r="HQ65" t="n">
        <v>134.5103721661032</v>
      </c>
      <c r="HR65" t="n">
        <v>134.1138632099192</v>
      </c>
      <c r="HS65" t="n">
        <v>134.2481015313174</v>
      </c>
      <c r="HT65" t="n">
        <v>133.9368845703868</v>
      </c>
      <c r="HU65" t="n">
        <v>134.2699041631525</v>
      </c>
      <c r="HV65" t="n">
        <v>134.3939518646284</v>
      </c>
      <c r="HW65" t="n">
        <v>134.0417644886757</v>
      </c>
      <c r="HX65" t="n">
        <v>133.8408920604039</v>
      </c>
      <c r="HY65" t="n">
        <v>134.2597572975819</v>
      </c>
      <c r="HZ65" t="n">
        <v>134.7784382516401</v>
      </c>
      <c r="IA65" t="n">
        <v>134.619312979392</v>
      </c>
      <c r="IB65" t="n">
        <v>133.6428146969967</v>
      </c>
      <c r="IC65" t="n">
        <v>133.7813283004539</v>
      </c>
      <c r="ID65" t="n">
        <v>134.1186799559731</v>
      </c>
      <c r="IE65" t="n">
        <v>134.4309709848591</v>
      </c>
      <c r="IF65" t="n">
        <v>135.0337260162508</v>
      </c>
      <c r="IG65" t="n">
        <v>134.4812499866792</v>
      </c>
      <c r="IH65" t="n">
        <v>134.9401428722338</v>
      </c>
      <c r="II65" t="n">
        <v>135.0624863692807</v>
      </c>
      <c r="IJ65" t="n">
        <v>133.4787311712793</v>
      </c>
      <c r="IK65" t="n">
        <v>134.2306924269103</v>
      </c>
      <c r="IL65" t="n">
        <v>134.643651157263</v>
      </c>
      <c r="IM65" t="n">
        <v>134.0039392000884</v>
      </c>
      <c r="IN65" t="n">
        <v>133.5466224670309</v>
      </c>
      <c r="IO65" t="n">
        <v>133.186818412707</v>
      </c>
      <c r="IP65" t="n">
        <v>132.7471049953651</v>
      </c>
      <c r="IQ65" t="n">
        <v>133.6278855150877</v>
      </c>
      <c r="IR65" t="n">
        <v>135.3296571459328</v>
      </c>
      <c r="IS65" t="n">
        <v>136.2997930356753</v>
      </c>
      <c r="IT65" t="n">
        <v>136.5299077604065</v>
      </c>
      <c r="IU65" t="n">
        <v>136.9252968362525</v>
      </c>
      <c r="IV65" t="n">
        <v>137.7263896713751</v>
      </c>
      <c r="IW65" t="n">
        <v>137.377171637714</v>
      </c>
      <c r="IX65" t="n">
        <v>138.0572916600512</v>
      </c>
      <c r="IY65" t="n">
        <v>137.7549773861241</v>
      </c>
      <c r="IZ65" t="n">
        <v>138.0995509322493</v>
      </c>
      <c r="JA65" t="n">
        <v>137.9749357016554</v>
      </c>
      <c r="JB65" t="n">
        <v>138.0133715641977</v>
      </c>
      <c r="JC65" t="n">
        <v>137.9102975687479</v>
      </c>
      <c r="JD65" t="n">
        <v>138.1679474347021</v>
      </c>
      <c r="JE65" t="n">
        <v>137.8626268441573</v>
      </c>
      <c r="JF65" t="n">
        <v>137.8722300066738</v>
      </c>
      <c r="JG65" t="n">
        <v>138.0969945342318</v>
      </c>
      <c r="JH65" t="n">
        <v>137.9601003437941</v>
      </c>
      <c r="JI65" t="n">
        <v>137.4963972186176</v>
      </c>
      <c r="JJ65" t="n">
        <v>137.193744130403</v>
      </c>
      <c r="JK65" t="n">
        <v>137.3977372782178</v>
      </c>
      <c r="JL65" t="n">
        <v>137.1686340018759</v>
      </c>
      <c r="JM65" t="n">
        <v>137.4040007522636</v>
      </c>
      <c r="JN65" t="n">
        <v>137.2434938429411</v>
      </c>
      <c r="JO65" t="n">
        <v>136.638714622507</v>
      </c>
      <c r="JP65" t="n">
        <v>136.8974960480469</v>
      </c>
      <c r="JQ65" t="n">
        <v>136.3042808447714</v>
      </c>
      <c r="JR65" t="n">
        <v>136.9822792213534</v>
      </c>
      <c r="JS65" t="n">
        <v>136.3936911981862</v>
      </c>
      <c r="JT65" t="n">
        <v>135.76245268507</v>
      </c>
      <c r="JU65" t="n">
        <v>136.1163941621349</v>
      </c>
      <c r="JV65" t="n">
        <v>135.9986695400598</v>
      </c>
      <c r="JW65" t="n">
        <v>135.8860268691209</v>
      </c>
      <c r="JX65" t="n">
        <v>136.1752372360254</v>
      </c>
      <c r="JY65" t="n">
        <v>136.5259329572704</v>
      </c>
      <c r="JZ65" t="n">
        <v>136.2567053723778</v>
      </c>
      <c r="KA65" t="n">
        <v>136.8473878800895</v>
      </c>
      <c r="KB65" t="n">
        <v>136.1237140154159</v>
      </c>
      <c r="KC65" t="n">
        <v>136.559799857582</v>
      </c>
      <c r="KD65" t="n">
        <v>135.9474420327513</v>
      </c>
      <c r="KE65" t="n">
        <v>135.965801726133</v>
      </c>
      <c r="KF65" t="n">
        <v>135.7130311383207</v>
      </c>
      <c r="KG65" t="n">
        <v>135.6846825323219</v>
      </c>
      <c r="KH65" t="n">
        <v>135.0329980670261</v>
      </c>
      <c r="KI65" t="n">
        <v>135.3825372891064</v>
      </c>
      <c r="KJ65" t="n">
        <v>135.0823261923746</v>
      </c>
      <c r="KK65" t="n">
        <v>134.6908198075394</v>
      </c>
      <c r="KL65" t="n">
        <v>134.7056987210742</v>
      </c>
      <c r="KM65" t="n">
        <v>134.9083261352361</v>
      </c>
      <c r="KN65" t="n">
        <v>134.7352731214426</v>
      </c>
      <c r="KO65" t="n">
        <v>135.2837535222057</v>
      </c>
      <c r="KP65" t="n">
        <v>135.0941915530681</v>
      </c>
      <c r="KQ65" t="n">
        <v>134.8553117659822</v>
      </c>
      <c r="KR65" t="n">
        <v>135.1043816432012</v>
      </c>
      <c r="KS65" t="n">
        <v>135.1812197199178</v>
      </c>
      <c r="KT65" t="n">
        <v>135.4082311822002</v>
      </c>
      <c r="KU65" t="n">
        <v>135.3246010771977</v>
      </c>
      <c r="KV65" t="n">
        <v>134.7972423646603</v>
      </c>
      <c r="KW65" t="n">
        <v>134.8582324659616</v>
      </c>
      <c r="KX65" t="n">
        <v>134.8280877672098</v>
      </c>
      <c r="KY65" t="n">
        <v>135.0256600664045</v>
      </c>
      <c r="KZ65" t="n">
        <v>134.8117835804598</v>
      </c>
      <c r="LA65" t="n">
        <v>134.7676875745339</v>
      </c>
      <c r="LB65" t="n">
        <v>134.3438639535466</v>
      </c>
      <c r="LC65" t="n">
        <v>133.5773598608909</v>
      </c>
      <c r="LD65" t="n">
        <v>133.5819084746308</v>
      </c>
      <c r="LE65" t="n">
        <v>133.6098537723609</v>
      </c>
      <c r="LF65" t="n">
        <v>134.2459517667595</v>
      </c>
      <c r="LG65" t="n">
        <v>136.8763231208091</v>
      </c>
      <c r="LH65" t="n">
        <v>136.9972489226706</v>
      </c>
      <c r="LI65" t="n">
        <v>134.1590090706478</v>
      </c>
      <c r="LJ65" t="n">
        <v>133.358018186945</v>
      </c>
      <c r="LK65" t="n">
        <v>133.5474284355116</v>
      </c>
      <c r="LL65" t="n">
        <v>133.5876548806713</v>
      </c>
      <c r="LM65" t="n">
        <v>133.6969826451768</v>
      </c>
      <c r="LN65" t="n">
        <v>133.6074298816133</v>
      </c>
      <c r="LO65" t="n">
        <v>133.4539797864414</v>
      </c>
      <c r="LP65" t="n">
        <v>133.4748500888312</v>
      </c>
      <c r="LQ65" t="n">
        <v>133.7580497428854</v>
      </c>
      <c r="LR65" t="n">
        <v>133.4705709430841</v>
      </c>
      <c r="LS65" t="n">
        <v>133.4319024280397</v>
      </c>
      <c r="LT65" t="n">
        <v>133.3289713515468</v>
      </c>
      <c r="LU65" t="n">
        <v>133.4789067800533</v>
      </c>
      <c r="LV65" t="n">
        <v>132.0686926154402</v>
      </c>
      <c r="LW65" t="n">
        <v>131.3407556701773</v>
      </c>
      <c r="LX65" t="n">
        <v>132.196536187433</v>
      </c>
      <c r="LY65" t="n">
        <v>132.1356392783116</v>
      </c>
      <c r="LZ65" t="n">
        <v>132.4990830993633</v>
      </c>
      <c r="MA65" t="n">
        <v>132.6851173171133</v>
      </c>
      <c r="MB65" t="n">
        <v>132.4077922818342</v>
      </c>
      <c r="MC65" t="n">
        <v>132.8898458611154</v>
      </c>
      <c r="MD65" t="n">
        <v>132.1437294931666</v>
      </c>
      <c r="ME65" t="n">
        <v>132.3749185962822</v>
      </c>
      <c r="MF65" t="n">
        <v>131.9681336958165</v>
      </c>
      <c r="MG65" t="n">
        <v>131.893483456797</v>
      </c>
      <c r="MH65" t="n">
        <v>132.0704861903252</v>
      </c>
      <c r="MI65" t="n">
        <v>132.6569732521712</v>
      </c>
      <c r="MJ65" t="n">
        <v>133.150059392503</v>
      </c>
      <c r="MK65" t="n">
        <v>133.6051174143873</v>
      </c>
      <c r="ML65" t="n">
        <v>132.9986210480364</v>
      </c>
      <c r="MM65" t="n">
        <v>133.2862263514295</v>
      </c>
      <c r="MN65" t="n">
        <v>133.4557397832885</v>
      </c>
      <c r="MO65" t="n">
        <v>133.5508882590354</v>
      </c>
      <c r="MP65" t="n">
        <v>133.9001167613858</v>
      </c>
      <c r="MQ65" t="n">
        <v>134.6502774503649</v>
      </c>
      <c r="MR65" t="n">
        <v>134.5572704132299</v>
      </c>
      <c r="MS65" t="n">
        <v>134.7597386268776</v>
      </c>
      <c r="MT65" t="n">
        <v>134.968830081333</v>
      </c>
      <c r="MU65" t="n">
        <v>134.6086072677037</v>
      </c>
      <c r="MV65" t="n">
        <v>134.6807762484409</v>
      </c>
      <c r="MW65" t="n">
        <v>134.6100677850968</v>
      </c>
      <c r="MX65" t="n">
        <v>134.7717923539945</v>
      </c>
      <c r="MY65" t="n">
        <v>134.8934605755476</v>
      </c>
      <c r="MZ65" t="n">
        <v>134.9664687970141</v>
      </c>
      <c r="NA65" t="n">
        <v>134.9885737685906</v>
      </c>
      <c r="NB65" t="n">
        <v>135.2507379367452</v>
      </c>
      <c r="NC65" t="n">
        <v>135.7800396669045</v>
      </c>
      <c r="ND65" t="n">
        <v>135.8616126550121</v>
      </c>
      <c r="NE65" t="n">
        <v>135.9526384866564</v>
      </c>
      <c r="NF65" t="n">
        <v>135.7595194007397</v>
      </c>
      <c r="NG65" t="n">
        <v>135.6739077835815</v>
      </c>
      <c r="NH65" t="n">
        <v>135.9328691522122</v>
      </c>
      <c r="NI65" t="n">
        <v>136.1333344307537</v>
      </c>
      <c r="NJ65" t="n">
        <v>136.5238805157395</v>
      </c>
      <c r="NK65" t="n">
        <v>136.2231876772202</v>
      </c>
      <c r="NL65" t="n">
        <v>135.6831098635411</v>
      </c>
      <c r="NM65" t="n">
        <v>135.7880741872241</v>
      </c>
      <c r="NN65" t="n">
        <v>135.9641199656311</v>
      </c>
      <c r="NO65" t="n">
        <v>135.4598788701267</v>
      </c>
      <c r="NP65" t="n">
        <v>135.5960416442539</v>
      </c>
      <c r="NQ65" t="n">
        <v>135.2364589407788</v>
      </c>
      <c r="NR65" t="n">
        <v>136.1377963629313</v>
      </c>
      <c r="NS65" t="n">
        <v>136.4627230475592</v>
      </c>
      <c r="NT65" t="n">
        <v>137.0815299585179</v>
      </c>
      <c r="NU65" t="n">
        <v>136.9866334691073</v>
      </c>
      <c r="NV65" t="n">
        <v>137.5972877309108</v>
      </c>
      <c r="NW65" t="n">
        <v>137.8562382764153</v>
      </c>
      <c r="NX65" t="n">
        <v>137.3188487865424</v>
      </c>
      <c r="NY65" t="n">
        <v>137.355719898694</v>
      </c>
      <c r="NZ65" t="n">
        <v>137.2735938524824</v>
      </c>
      <c r="OA65" t="n">
        <v>137.9781322568076</v>
      </c>
      <c r="OB65" t="n">
        <v>138.3823327043868</v>
      </c>
      <c r="OC65" t="n">
        <v>138.2617119084563</v>
      </c>
      <c r="OD65" t="n">
        <v>137.754596640628</v>
      </c>
      <c r="OE65" t="n">
        <v>138.3393944876602</v>
      </c>
      <c r="OF65" t="n">
        <v>138.6759417347008</v>
      </c>
      <c r="OG65" t="n">
        <v>139.0526335639603</v>
      </c>
      <c r="OH65" t="n">
        <v>138.8088029694806</v>
      </c>
      <c r="OI65" t="n">
        <v>138.4974675002148</v>
      </c>
      <c r="OJ65" t="n">
        <v>139.1202088331025</v>
      </c>
      <c r="OK65" t="n">
        <v>138.8253593969227</v>
      </c>
      <c r="OL65" t="n">
        <v>137.5918297222291</v>
      </c>
      <c r="OM65" t="n">
        <v>138.362756758195</v>
      </c>
      <c r="ON65" t="n">
        <v>138.6659724021839</v>
      </c>
      <c r="OO65" t="n">
        <v>138.5692565942733</v>
      </c>
      <c r="OP65" t="n">
        <v>139.1458827376704</v>
      </c>
      <c r="OQ65" t="n">
        <v>138.7723659413693</v>
      </c>
      <c r="OR65" t="n">
        <v>139.078907023429</v>
      </c>
      <c r="OS65" t="n">
        <v>138.957609900123</v>
      </c>
      <c r="OT65" t="n">
        <v>139.1361065890327</v>
      </c>
      <c r="OU65" t="n">
        <v>139.2299958053621</v>
      </c>
      <c r="OV65" t="n">
        <v>139.2830329878101</v>
      </c>
      <c r="OW65" t="n">
        <v>139.376244364466</v>
      </c>
      <c r="OX65" t="n">
        <v>139.5777107722009</v>
      </c>
      <c r="OY65" t="n">
        <v>139.2444333877403</v>
      </c>
      <c r="OZ65" t="n">
        <v>138.9056376055889</v>
      </c>
      <c r="PA65" t="n">
        <v>138.5588954126422</v>
      </c>
      <c r="PB65" t="n">
        <v>138.1039863927981</v>
      </c>
      <c r="PC65" t="n">
        <v>138.6248777299295</v>
      </c>
      <c r="PD65" t="n">
        <v>138.0720632925861</v>
      </c>
      <c r="PE65" t="n">
        <v>138.85186923001</v>
      </c>
      <c r="PF65" t="n">
        <v>138.5334167887476</v>
      </c>
      <c r="PG65" t="n">
        <v>138.471645030277</v>
      </c>
      <c r="PH65" t="n">
        <v>138.9448528275125</v>
      </c>
      <c r="PI65" t="n">
        <v>139.2433539703063</v>
      </c>
      <c r="PJ65" t="n">
        <v>139.3824356420076</v>
      </c>
      <c r="PK65" t="n">
        <v>139.5743265237551</v>
      </c>
      <c r="PL65" t="n">
        <v>139.5073249561619</v>
      </c>
      <c r="PM65" t="n">
        <v>139.4157523507252</v>
      </c>
      <c r="PN65" t="n">
        <v>139.4613708107695</v>
      </c>
      <c r="PO65" t="n">
        <v>139.438477619678</v>
      </c>
      <c r="PP65" t="n">
        <v>139.3626298661428</v>
      </c>
      <c r="PQ65" t="n">
        <v>139.4361186169932</v>
      </c>
      <c r="PR65" t="n">
        <v>139.2391746420415</v>
      </c>
      <c r="PS65" t="n">
        <v>138.849225107809</v>
      </c>
      <c r="PT65" t="n">
        <v>138.4804159554195</v>
      </c>
      <c r="PU65" t="n">
        <v>138.6693449713149</v>
      </c>
      <c r="PV65" t="n">
        <v>138.7638953856529</v>
      </c>
      <c r="PW65" t="n">
        <v>138.5991737261624</v>
      </c>
      <c r="PX65" t="n">
        <v>139.0694412276206</v>
      </c>
      <c r="PY65" t="n">
        <v>138.8188728633379</v>
      </c>
      <c r="PZ65" t="n">
        <v>139.2317681222996</v>
      </c>
      <c r="QA65" t="n">
        <v>139.1316115919452</v>
      </c>
      <c r="QB65" t="n">
        <v>138.7030041111941</v>
      </c>
      <c r="QC65" t="n">
        <v>139.073946287631</v>
      </c>
      <c r="QD65" t="n">
        <v>139.2151930969265</v>
      </c>
      <c r="QE65" t="n">
        <v>141.0330591747318</v>
      </c>
      <c r="QF65" t="n">
        <v>140.6077751666641</v>
      </c>
      <c r="AGZ65" t="n">
        <v>138.8281324099516</v>
      </c>
      <c r="AHA65" t="n">
        <v>138.9928063519141</v>
      </c>
    </row>
    <row r="66">
      <c r="A66" s="6" t="inlineStr">
        <is>
          <t>Model Score</t>
        </is>
      </c>
      <c r="B66" t="n">
        <v>0.005128218249581096</v>
      </c>
      <c r="C66" t="n">
        <v>0.003649259695720275</v>
      </c>
      <c r="D66" t="n">
        <v>-0.00025542706964643</v>
      </c>
      <c r="E66" t="n">
        <v>-0.0009643375584289515</v>
      </c>
      <c r="F66" t="n">
        <v>0.0008027058871391546</v>
      </c>
      <c r="G66" t="n">
        <v>0.0001185652451454189</v>
      </c>
      <c r="H66" t="n">
        <v>-2.412529974549216e-05</v>
      </c>
      <c r="I66" t="n">
        <v>-0.002778789166171691</v>
      </c>
      <c r="J66" t="n">
        <v>0.0110515627251857</v>
      </c>
      <c r="K66" t="n">
        <v>-0.004346014329343006</v>
      </c>
      <c r="L66" t="n">
        <v>-0.006279214391440746</v>
      </c>
      <c r="M66" t="n">
        <v>-0.007142723792611605</v>
      </c>
      <c r="N66" t="n">
        <v>0.0001877553661699949</v>
      </c>
      <c r="O66" t="n">
        <v>-0.0004942837762769159</v>
      </c>
      <c r="P66" t="n">
        <v>-0.001851788549629418</v>
      </c>
      <c r="Q66" t="n">
        <v>-0.004439609939169031</v>
      </c>
      <c r="R66" t="n">
        <v>-0.01049137462240424</v>
      </c>
      <c r="S66" t="n">
        <v>-0.006004145808788053</v>
      </c>
      <c r="T66" t="n">
        <v>-0.004180648078147442</v>
      </c>
      <c r="U66" t="n">
        <v>0.002482304716778572</v>
      </c>
      <c r="V66" t="n">
        <v>0.002095590072940468</v>
      </c>
      <c r="W66" t="n">
        <v>0.01510499649793928</v>
      </c>
    </row>
    <row r="67">
      <c r="A67" s="4" t="inlineStr">
        <is>
          <t>Gross Loss Adjustments (Dealer level, high PTI, etc.)</t>
        </is>
      </c>
      <c r="B67" t="n">
        <v>0.8180537539657848</v>
      </c>
      <c r="C67" t="n">
        <v>0.9078966786046863</v>
      </c>
      <c r="D67" t="n">
        <v>0.7745143246628743</v>
      </c>
      <c r="E67" t="n">
        <v>1.000345792573427</v>
      </c>
      <c r="F67" t="n">
        <v>0.8038142216385893</v>
      </c>
      <c r="G67" t="n">
        <v>0.941234814812276</v>
      </c>
      <c r="H67" t="n">
        <v>1.144767724644481</v>
      </c>
      <c r="I67" t="n">
        <v>0.7493319306974797</v>
      </c>
      <c r="J67" t="n">
        <v>0.8406561082128405</v>
      </c>
      <c r="K67" t="n">
        <v>1.083144362206582</v>
      </c>
      <c r="L67" t="n">
        <v>0.9679529143241439</v>
      </c>
      <c r="M67" t="n">
        <v>0.9995876959796419</v>
      </c>
      <c r="N67" t="n">
        <v>1.098594877220336</v>
      </c>
      <c r="O67" t="n">
        <v>1.04924647131449</v>
      </c>
      <c r="P67" t="n">
        <v>1.167034946003383</v>
      </c>
      <c r="Q67" t="n">
        <v>1.35081642384597</v>
      </c>
      <c r="R67" t="n">
        <v>1.348862387527191</v>
      </c>
      <c r="S67" t="n">
        <v>1.465440913248472</v>
      </c>
      <c r="T67" t="n">
        <v>1.517220468212173</v>
      </c>
      <c r="U67" t="n">
        <v>1.412728562421364</v>
      </c>
      <c r="V67" t="n">
        <v>1.351031478690032</v>
      </c>
      <c r="W67" t="n">
        <v>1.408259364896708</v>
      </c>
    </row>
    <row r="68" ht="24" customHeight="1" s="115">
      <c r="A68" s="3" t="inlineStr">
        <is>
          <t>Recovery Adjustments excluding LTV (Mileage, vehicle type, etc.)</t>
        </is>
      </c>
      <c r="B68" t="n">
        <v>-0.5731865639371847</v>
      </c>
      <c r="C68" t="n">
        <v>-0.4386485458720699</v>
      </c>
      <c r="D68" t="n">
        <v>-0.5328163989040888</v>
      </c>
      <c r="E68" t="n">
        <v>-0.5289487817545648</v>
      </c>
      <c r="F68" t="n">
        <v>-0.7030902166692101</v>
      </c>
      <c r="G68" t="n">
        <v>-0.5938375045517432</v>
      </c>
      <c r="H68" t="n">
        <v>-0.7174372496942851</v>
      </c>
      <c r="I68" t="n">
        <v>-0.8412462353942942</v>
      </c>
      <c r="J68" t="n">
        <v>-0.4988313249993155</v>
      </c>
      <c r="K68" t="n">
        <v>-0.3827410614919984</v>
      </c>
      <c r="L68" t="n">
        <v>-0.3632359685155961</v>
      </c>
      <c r="M68" t="n">
        <v>-0.2532734045867073</v>
      </c>
      <c r="N68" t="n">
        <v>-0.1475375528861775</v>
      </c>
      <c r="O68" t="n">
        <v>-0.2301572500518319</v>
      </c>
      <c r="P68" t="n">
        <v>0.08998899644490166</v>
      </c>
      <c r="Q68" t="n">
        <v>0.105168839820692</v>
      </c>
      <c r="R68" t="n">
        <v>0.3774831058464656</v>
      </c>
      <c r="S68" t="n">
        <v>0.4448189254419788</v>
      </c>
      <c r="T68" t="n">
        <v>0.3596525994968829</v>
      </c>
      <c r="U68" t="n">
        <v>0.5557917317503041</v>
      </c>
      <c r="V68" t="n">
        <v>0.4303595758585743</v>
      </c>
      <c r="W68" t="n">
        <v>0.7120584375939245</v>
      </c>
    </row>
    <row r="69">
      <c r="A69" s="4" t="inlineStr">
        <is>
          <t>LTV Adjustments</t>
        </is>
      </c>
      <c r="B69" t="n">
        <v>0.5731865639371847</v>
      </c>
      <c r="C69" t="n">
        <v>0.4386485458720699</v>
      </c>
      <c r="D69" t="n">
        <v>0.5328163989040888</v>
      </c>
      <c r="E69" t="n">
        <v>0.5289487817545648</v>
      </c>
      <c r="F69" t="n">
        <v>0.7030902166692101</v>
      </c>
      <c r="G69" t="n">
        <v>0.5938375045517432</v>
      </c>
      <c r="H69" t="n">
        <v>0.7174372496942851</v>
      </c>
      <c r="I69" t="n">
        <v>0.8412462353942942</v>
      </c>
      <c r="J69" t="n">
        <v>0.4988313249993155</v>
      </c>
      <c r="K69" t="n">
        <v>0.3827410614919984</v>
      </c>
      <c r="L69" t="n">
        <v>0.3632359685155961</v>
      </c>
      <c r="M69" t="n">
        <v>0.2532734045867073</v>
      </c>
      <c r="N69" t="n">
        <v>0.1475375528861775</v>
      </c>
      <c r="O69" t="n">
        <v>0.2301572500518319</v>
      </c>
      <c r="P69" t="n">
        <v>-0.08998899644490166</v>
      </c>
      <c r="Q69" t="n">
        <v>-0.105168839820692</v>
      </c>
      <c r="R69" t="n">
        <v>-0.3774831058464656</v>
      </c>
      <c r="S69" t="n">
        <v>-0.4448189254419788</v>
      </c>
      <c r="T69" t="n">
        <v>-0.3596525994968829</v>
      </c>
      <c r="U69" t="n">
        <v>-0.5557917317503041</v>
      </c>
      <c r="V69" t="n">
        <v>-0.4303595758585743</v>
      </c>
      <c r="W69" t="n">
        <v>-0.7120584375939245</v>
      </c>
    </row>
    <row r="70">
      <c r="A70" s="3" t="inlineStr">
        <is>
          <t>RAGU Score</t>
        </is>
      </c>
      <c r="B70" t="n">
        <v>140.4341395304248</v>
      </c>
      <c r="C70" t="n">
        <v>139.9102781876655</v>
      </c>
      <c r="D70" t="n">
        <v>139.277426783956</v>
      </c>
      <c r="E70" t="n">
        <v>139.4284568606295</v>
      </c>
      <c r="F70" t="n">
        <v>139.2522720313522</v>
      </c>
      <c r="G70" t="n">
        <v>139.4349586714205</v>
      </c>
      <c r="H70" t="n">
        <v>138.9621172360725</v>
      </c>
      <c r="I70" t="n">
        <v>137.7771097177158</v>
      </c>
      <c r="J70" t="n">
        <v>138.7466965914352</v>
      </c>
      <c r="K70" t="n">
        <v>139.5645224719493</v>
      </c>
      <c r="L70" t="n">
        <v>139.7486748576223</v>
      </c>
      <c r="M70" t="n">
        <v>139.9811380745313</v>
      </c>
      <c r="N70" t="n">
        <v>139.8724833556236</v>
      </c>
      <c r="O70" t="n">
        <v>139.8764032675932</v>
      </c>
      <c r="P70" t="n">
        <v>140.3014311054717</v>
      </c>
      <c r="Q70" t="n">
        <v>140.5913016631091</v>
      </c>
      <c r="R70" t="n">
        <v>140.8253820974875</v>
      </c>
      <c r="S70" t="n">
        <v>140.9757233472985</v>
      </c>
      <c r="T70" t="n">
        <v>141.0655663020323</v>
      </c>
      <c r="U70" t="n">
        <v>140.7578110665309</v>
      </c>
      <c r="V70" t="n">
        <v>140.9368701240651</v>
      </c>
      <c r="W70" t="n">
        <v>141.4464782935239</v>
      </c>
    </row>
    <row r="71">
      <c r="A71" s="5" t="inlineStr">
        <is>
          <t>LTV</t>
        </is>
      </c>
      <c r="B71" t="n">
        <v>1.737071791944454</v>
      </c>
      <c r="C71" t="n">
        <v>1.67412499642897</v>
      </c>
      <c r="D71" t="n">
        <v>1.689702551429464</v>
      </c>
      <c r="E71" t="n">
        <v>1.679400409544065</v>
      </c>
      <c r="F71" t="n">
        <v>1.675544738162454</v>
      </c>
      <c r="G71" t="n">
        <v>1.693074352511738</v>
      </c>
      <c r="H71" t="n">
        <v>1.684148996943643</v>
      </c>
      <c r="I71" t="n">
        <v>1.655240703272916</v>
      </c>
      <c r="J71" t="n">
        <v>1.6160323173552</v>
      </c>
      <c r="K71" t="n">
        <v>1.608782080803559</v>
      </c>
      <c r="L71" t="n">
        <v>1.595475486228779</v>
      </c>
      <c r="M71" t="n">
        <v>1.58292918459079</v>
      </c>
      <c r="N71" t="n">
        <v>1.581035395381668</v>
      </c>
      <c r="O71" t="n">
        <v>1.557757180959341</v>
      </c>
      <c r="P71" t="n">
        <v>1.557340045960694</v>
      </c>
      <c r="Q71" t="n">
        <v>1.545464830639239</v>
      </c>
      <c r="R71" t="n">
        <v>1.526022238102568</v>
      </c>
      <c r="S71" t="n">
        <v>1.554446789527257</v>
      </c>
      <c r="T71" t="n">
        <v>1.545359941143161</v>
      </c>
      <c r="U71" t="n">
        <v>1.526353288979082</v>
      </c>
      <c r="V71" t="n">
        <v>1.528198362645491</v>
      </c>
      <c r="W71" t="n">
        <v>1.54994598075086</v>
      </c>
    </row>
    <row r="74">
      <c r="B74">
        <f>B65-I65</f>
        <v/>
      </c>
    </row>
    <row r="75">
      <c r="B75">
        <f>B70-I70</f>
        <v/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27"/>
  <sheetViews>
    <sheetView topLeftCell="B1" zoomScale="160" zoomScaleNormal="160" workbookViewId="0">
      <selection activeCell="E18" sqref="E18"/>
    </sheetView>
  </sheetViews>
  <sheetFormatPr baseColWidth="8" defaultColWidth="9.1796875" defaultRowHeight="15" customHeight="1"/>
  <cols>
    <col width="25" customWidth="1" style="41" min="1" max="1"/>
    <col width="5.81640625" customWidth="1" style="41" min="2" max="2"/>
    <col width="5.26953125" customWidth="1" style="41" min="3" max="3"/>
    <col width="6.54296875" customWidth="1" style="41" min="4" max="4"/>
    <col width="6.81640625" customWidth="1" style="41" min="5" max="5"/>
    <col width="6.1796875" customWidth="1" style="41" min="6" max="6"/>
    <col width="5.26953125" customWidth="1" style="41" min="7" max="7"/>
    <col width="6.7265625" customWidth="1" style="41" min="8" max="8"/>
    <col width="5.81640625" customWidth="1" style="41" min="9" max="10"/>
    <col width="6.453125" customWidth="1" style="41" min="11" max="11"/>
    <col width="6.54296875" customWidth="1" style="41" min="12" max="13"/>
    <col width="7.1796875" customWidth="1" style="41" min="14" max="15"/>
    <col width="5.26953125" customWidth="1" style="41" min="16" max="16"/>
    <col width="6.54296875" customWidth="1" style="41" min="17" max="17"/>
    <col width="5.81640625" customWidth="1" style="41" min="18" max="18"/>
    <col width="7.26953125" customWidth="1" style="41" min="19" max="19"/>
    <col width="5.81640625" customWidth="1" style="41" min="20" max="20"/>
    <col width="6.54296875" customWidth="1" style="41" min="21" max="21"/>
    <col width="6.81640625" customWidth="1" style="41" min="22" max="22"/>
    <col width="9.1796875" customWidth="1" style="41" min="23" max="75"/>
    <col width="9.1796875" customWidth="1" style="41" min="76" max="16384"/>
  </cols>
  <sheetData>
    <row r="1" ht="14.25" customHeight="1" s="115">
      <c r="A1" s="35" t="inlineStr">
        <is>
          <t>AN</t>
        </is>
      </c>
      <c r="B1" s="120" t="n">
        <v>45291</v>
      </c>
      <c r="C1" s="120" t="n">
        <v>45298</v>
      </c>
      <c r="D1" s="120" t="n">
        <v>45305</v>
      </c>
      <c r="E1" s="120" t="n">
        <v>45312</v>
      </c>
      <c r="F1" s="120" t="n">
        <v>45319</v>
      </c>
      <c r="G1" s="120" t="n">
        <v>45326</v>
      </c>
      <c r="H1" s="120" t="n">
        <v>45333</v>
      </c>
      <c r="I1" s="120" t="n">
        <v>45340</v>
      </c>
      <c r="J1" s="120" t="n">
        <v>45347</v>
      </c>
      <c r="K1" s="120" t="n">
        <v>45354</v>
      </c>
      <c r="L1" s="120" t="n">
        <v>45361</v>
      </c>
      <c r="M1" s="120" t="n">
        <v>45368</v>
      </c>
      <c r="N1" s="120" t="n">
        <v>45375</v>
      </c>
      <c r="O1" s="120" t="n">
        <v>45382</v>
      </c>
      <c r="P1" s="120" t="n">
        <v>45389</v>
      </c>
      <c r="Q1" s="120" t="n">
        <v>45396</v>
      </c>
      <c r="R1" s="120" t="n">
        <v>45403</v>
      </c>
      <c r="S1" s="120" t="n">
        <v>45410</v>
      </c>
      <c r="T1" s="120" t="n">
        <v>45417</v>
      </c>
      <c r="U1" s="120" t="n">
        <v>45424</v>
      </c>
      <c r="V1" s="120" t="n">
        <v>45431</v>
      </c>
      <c r="W1" s="120" t="n">
        <v>45438</v>
      </c>
      <c r="X1" s="120" t="n">
        <v>45445</v>
      </c>
      <c r="Y1" s="120" t="n">
        <v>45452</v>
      </c>
      <c r="Z1" s="134" t="n"/>
      <c r="AA1" s="135" t="n"/>
    </row>
    <row r="2" ht="15" customHeight="1" s="115" thickBot="1">
      <c r="A2" s="38" t="inlineStr">
        <is>
          <t>Contract Model Score¹</t>
        </is>
      </c>
      <c r="B2" s="83">
        <f>'Data Tables (W)'!B2</f>
        <v/>
      </c>
      <c r="C2" s="83">
        <f>'Data Tables (W)'!C2</f>
        <v/>
      </c>
      <c r="D2" s="83">
        <f>'Data Tables (W)'!D2</f>
        <v/>
      </c>
      <c r="E2" s="83">
        <f>'Data Tables (W)'!E2</f>
        <v/>
      </c>
      <c r="F2" s="83">
        <f>'Data Tables (W)'!F2</f>
        <v/>
      </c>
      <c r="G2" s="83">
        <f>'Data Tables (W)'!G2</f>
        <v/>
      </c>
      <c r="H2" s="83">
        <f>'Data Tables (W)'!H2</f>
        <v/>
      </c>
      <c r="I2" s="83">
        <f>'Data Tables (W)'!I2</f>
        <v/>
      </c>
      <c r="J2" s="83">
        <f>'Data Tables (W)'!J2</f>
        <v/>
      </c>
      <c r="K2" s="83">
        <f>'Data Tables (W)'!K2</f>
        <v/>
      </c>
      <c r="L2" s="83">
        <f>'Data Tables (W)'!L2</f>
        <v/>
      </c>
      <c r="M2" s="83">
        <f>'Data Tables (W)'!M2</f>
        <v/>
      </c>
      <c r="N2" s="83">
        <f>'Data Tables (W)'!N2</f>
        <v/>
      </c>
      <c r="O2" s="83">
        <f>'Data Tables (W)'!O2</f>
        <v/>
      </c>
      <c r="P2" s="83">
        <f>'Data Tables (W)'!P2</f>
        <v/>
      </c>
      <c r="Q2" s="83">
        <f>'Data Tables (W)'!Q2</f>
        <v/>
      </c>
      <c r="R2" s="83">
        <f>'Data Tables (W)'!R2</f>
        <v/>
      </c>
      <c r="S2" s="83">
        <f>'Data Tables (W)'!S2</f>
        <v/>
      </c>
      <c r="T2" s="83">
        <f>'Data Tables (W)'!T2</f>
        <v/>
      </c>
      <c r="U2" s="83">
        <f>'Data Tables (W)'!U2</f>
        <v/>
      </c>
      <c r="V2" s="83">
        <f>'Data Tables (W)'!V2</f>
        <v/>
      </c>
      <c r="W2" s="83">
        <f>'Data Tables (W)'!W2</f>
        <v/>
      </c>
      <c r="X2" s="61" t="n"/>
      <c r="Y2" s="75" t="n"/>
      <c r="Z2" s="132" t="n"/>
      <c r="AA2" s="133" t="n"/>
    </row>
    <row r="3" hidden="1" ht="15" customHeight="1" s="115">
      <c r="A3" s="43" t="inlineStr">
        <is>
          <t>Shift to FRN 3.1 Score²</t>
        </is>
      </c>
      <c r="B3" s="11">
        <f>'Data Tables (W)'!B3*Z2</f>
        <v/>
      </c>
      <c r="C3" s="11">
        <f>'Data Tables (W)'!C3*AA2</f>
        <v/>
      </c>
      <c r="D3" s="11">
        <f>'Data Tables (W)'!D3*AB2</f>
        <v/>
      </c>
      <c r="E3" s="11">
        <f>'Data Tables (W)'!E3*AC2</f>
        <v/>
      </c>
      <c r="F3" s="11">
        <f>'Data Tables (W)'!F3*AD2</f>
        <v/>
      </c>
      <c r="G3" s="11">
        <f>'Data Tables (W)'!G3*AE2</f>
        <v/>
      </c>
      <c r="H3" s="11">
        <f>'Data Tables (W)'!H3*AF2</f>
        <v/>
      </c>
      <c r="I3" s="11">
        <f>'Data Tables (W)'!I3*AG2</f>
        <v/>
      </c>
      <c r="J3" s="11">
        <f>'Data Tables (W)'!J3*AH2</f>
        <v/>
      </c>
      <c r="K3" s="11">
        <f>'Data Tables (W)'!K3*AI2</f>
        <v/>
      </c>
      <c r="L3" s="11">
        <f>'Data Tables (W)'!L3*AJ2</f>
        <v/>
      </c>
      <c r="M3" s="11">
        <f>'Data Tables (W)'!M3*AK2</f>
        <v/>
      </c>
      <c r="N3" s="11">
        <f>'Data Tables (W)'!N3*AL2</f>
        <v/>
      </c>
      <c r="O3" s="11">
        <f>'Data Tables (W)'!O3*AM2</f>
        <v/>
      </c>
      <c r="P3" s="11">
        <f>'Data Tables (W)'!P3*AN2</f>
        <v/>
      </c>
      <c r="Q3" s="11">
        <f>'Data Tables (W)'!Q3*AO2</f>
        <v/>
      </c>
      <c r="R3" s="11">
        <f>'Data Tables (W)'!R3*AP2</f>
        <v/>
      </c>
      <c r="S3" s="11">
        <f>'Data Tables (W)'!S3*AQ2</f>
        <v/>
      </c>
      <c r="T3" s="11">
        <f>'Data Tables (W)'!T3*AR2</f>
        <v/>
      </c>
      <c r="U3" s="11">
        <f>'Data Tables (W)'!U3*AS2</f>
        <v/>
      </c>
      <c r="V3" s="11">
        <f>'Data Tables (W)'!V3*AT2</f>
        <v/>
      </c>
      <c r="W3" s="11">
        <f>'Data Tables (W)'!W3*AU2</f>
        <v/>
      </c>
      <c r="X3" s="44" t="n"/>
      <c r="Y3" s="17" t="n"/>
    </row>
    <row r="4" ht="30" customHeight="1" s="115">
      <c r="A4" s="36" t="inlineStr">
        <is>
          <t>Gross Loss Adjustments (Dealer Level, vehicle age, etc.)²</t>
        </is>
      </c>
      <c r="B4" s="11">
        <f>'Data Tables (W)'!B4</f>
        <v/>
      </c>
      <c r="C4" s="11">
        <f>'Data Tables (W)'!C4</f>
        <v/>
      </c>
      <c r="D4" s="11">
        <f>'Data Tables (W)'!D4</f>
        <v/>
      </c>
      <c r="E4" s="11">
        <f>'Data Tables (W)'!E4</f>
        <v/>
      </c>
      <c r="F4" s="11">
        <f>'Data Tables (W)'!F4</f>
        <v/>
      </c>
      <c r="G4" s="11">
        <f>'Data Tables (W)'!G4</f>
        <v/>
      </c>
      <c r="H4" s="11">
        <f>'Data Tables (W)'!H4</f>
        <v/>
      </c>
      <c r="I4" s="11">
        <f>'Data Tables (W)'!I4</f>
        <v/>
      </c>
      <c r="J4" s="11">
        <f>'Data Tables (W)'!J4</f>
        <v/>
      </c>
      <c r="K4" s="11">
        <f>'Data Tables (W)'!K4</f>
        <v/>
      </c>
      <c r="L4" s="11">
        <f>'Data Tables (W)'!L4</f>
        <v/>
      </c>
      <c r="M4" s="11">
        <f>'Data Tables (W)'!M4</f>
        <v/>
      </c>
      <c r="N4" s="11">
        <f>'Data Tables (W)'!N4</f>
        <v/>
      </c>
      <c r="O4" s="11">
        <f>'Data Tables (W)'!O4</f>
        <v/>
      </c>
      <c r="P4" s="11">
        <f>'Data Tables (W)'!P4</f>
        <v/>
      </c>
      <c r="Q4" s="11">
        <f>'Data Tables (W)'!Q4</f>
        <v/>
      </c>
      <c r="R4" s="11">
        <f>'Data Tables (W)'!R4</f>
        <v/>
      </c>
      <c r="S4" s="11">
        <f>'Data Tables (W)'!S4</f>
        <v/>
      </c>
      <c r="T4" s="11">
        <f>'Data Tables (W)'!T4</f>
        <v/>
      </c>
      <c r="U4" s="11">
        <f>'Data Tables (W)'!U4</f>
        <v/>
      </c>
      <c r="V4" s="11">
        <f>'Data Tables (W)'!V4</f>
        <v/>
      </c>
      <c r="W4" s="11">
        <f>'Data Tables (W)'!W4</f>
        <v/>
      </c>
      <c r="X4" s="44" t="n"/>
      <c r="Y4" s="17" t="n"/>
    </row>
    <row r="5" ht="30" customHeight="1" s="115">
      <c r="A5" s="38" t="inlineStr">
        <is>
          <t>Recovery Adjustments excluding LTV (Mileage, LOB, etc.)³</t>
        </is>
      </c>
      <c r="B5" s="83">
        <f>'Data Tables (W)'!B5</f>
        <v/>
      </c>
      <c r="C5" s="83">
        <f>'Data Tables (W)'!C5</f>
        <v/>
      </c>
      <c r="D5" s="83">
        <f>'Data Tables (W)'!D5</f>
        <v/>
      </c>
      <c r="E5" s="83">
        <f>'Data Tables (W)'!E5</f>
        <v/>
      </c>
      <c r="F5" s="83">
        <f>'Data Tables (W)'!F5</f>
        <v/>
      </c>
      <c r="G5" s="83">
        <f>'Data Tables (W)'!G5</f>
        <v/>
      </c>
      <c r="H5" s="83">
        <f>'Data Tables (W)'!H5</f>
        <v/>
      </c>
      <c r="I5" s="83">
        <f>'Data Tables (W)'!I5</f>
        <v/>
      </c>
      <c r="J5" s="83">
        <f>'Data Tables (W)'!J5</f>
        <v/>
      </c>
      <c r="K5" s="83">
        <f>'Data Tables (W)'!K5</f>
        <v/>
      </c>
      <c r="L5" s="83">
        <f>'Data Tables (W)'!L5</f>
        <v/>
      </c>
      <c r="M5" s="83">
        <f>'Data Tables (W)'!M5</f>
        <v/>
      </c>
      <c r="N5" s="83">
        <f>'Data Tables (W)'!N5</f>
        <v/>
      </c>
      <c r="O5" s="83">
        <f>'Data Tables (W)'!O5</f>
        <v/>
      </c>
      <c r="P5" s="83">
        <f>'Data Tables (W)'!P5</f>
        <v/>
      </c>
      <c r="Q5" s="83">
        <f>'Data Tables (W)'!Q5</f>
        <v/>
      </c>
      <c r="R5" s="83">
        <f>'Data Tables (W)'!R5</f>
        <v/>
      </c>
      <c r="S5" s="83">
        <f>'Data Tables (W)'!S5</f>
        <v/>
      </c>
      <c r="T5" s="83">
        <f>'Data Tables (W)'!T5</f>
        <v/>
      </c>
      <c r="U5" s="83">
        <f>'Data Tables (W)'!U5</f>
        <v/>
      </c>
      <c r="V5" s="83">
        <f>'Data Tables (W)'!V5</f>
        <v/>
      </c>
      <c r="W5" s="83">
        <f>'Data Tables (W)'!W5</f>
        <v/>
      </c>
      <c r="X5" s="44" t="n"/>
      <c r="Y5" s="17" t="n"/>
    </row>
    <row r="6" ht="15" customHeight="1" s="115">
      <c r="A6" s="36" t="inlineStr">
        <is>
          <t>BBLTV Adjustments⁴</t>
        </is>
      </c>
      <c r="B6" s="11">
        <f>(194%/B10-1)/10%*1.7</f>
        <v/>
      </c>
      <c r="C6" s="11">
        <f>(194%/C10-1)/10%*1.7</f>
        <v/>
      </c>
      <c r="D6" s="11">
        <f>(194%/D10-1)/10%*1.7</f>
        <v/>
      </c>
      <c r="E6" s="11">
        <f>(194%/E10-1)/10%*1.7</f>
        <v/>
      </c>
      <c r="F6" s="11">
        <f>(194%/F10-1)/10%*1.7</f>
        <v/>
      </c>
      <c r="G6" s="11">
        <f>(194%/G10-1)/10%*1.7</f>
        <v/>
      </c>
      <c r="H6" s="11">
        <f>(194%/H10-1)/10%*1.7</f>
        <v/>
      </c>
      <c r="I6" s="11">
        <f>(194%/I10-1)/10%*1.7</f>
        <v/>
      </c>
      <c r="J6" s="11">
        <f>(194%/J10-1)/10%*1.7</f>
        <v/>
      </c>
      <c r="K6" s="11">
        <f>(194%/K10-1)/10%*1.7</f>
        <v/>
      </c>
      <c r="L6" s="11">
        <f>(194%/L10-1)/10%*1.7</f>
        <v/>
      </c>
      <c r="M6" s="11">
        <f>(194%/M10-1)/10%*1.7</f>
        <v/>
      </c>
      <c r="N6" s="11">
        <f>(194%/N10-1)/10%*1.7</f>
        <v/>
      </c>
      <c r="O6" s="11">
        <f>(194%/O10-1)/10%*1.7</f>
        <v/>
      </c>
      <c r="P6" s="11">
        <f>(194%/P10-1)/10%*1.7</f>
        <v/>
      </c>
      <c r="Q6" s="11">
        <f>(194%/Q10-1)/10%*1.7</f>
        <v/>
      </c>
      <c r="R6" s="11">
        <f>(194%/R10-1)/10%*1.7</f>
        <v/>
      </c>
      <c r="S6" s="11">
        <f>(194%/S10-1)/10%*1.7</f>
        <v/>
      </c>
      <c r="T6" s="11">
        <f>(194%/T10-1)/10%*1.7</f>
        <v/>
      </c>
      <c r="U6" s="11">
        <f>(194%/U10-1)/10%*1.7</f>
        <v/>
      </c>
      <c r="V6" s="11">
        <f>(194%/V10-1)/10%*1.7</f>
        <v/>
      </c>
      <c r="W6" s="11">
        <f>(194%/W10-1)/10%*1.7</f>
        <v/>
      </c>
      <c r="Y6" s="16" t="n"/>
    </row>
    <row r="7" ht="15" customHeight="1" s="115">
      <c r="A7" s="38" t="inlineStr">
        <is>
          <t>RAGU Score</t>
        </is>
      </c>
      <c r="B7" s="83">
        <f>SUM(B2:B6)</f>
        <v/>
      </c>
      <c r="C7" s="83">
        <f>SUM(C2:C6)</f>
        <v/>
      </c>
      <c r="D7" s="83">
        <f>SUM(D2:D6)</f>
        <v/>
      </c>
      <c r="E7" s="83">
        <f>SUM(E2:E6)</f>
        <v/>
      </c>
      <c r="F7" s="83">
        <f>SUM(F2:F6)</f>
        <v/>
      </c>
      <c r="G7" s="83">
        <f>SUM(G2:G6)</f>
        <v/>
      </c>
      <c r="H7" s="83">
        <f>SUM(H2:H6)</f>
        <v/>
      </c>
      <c r="I7" s="83">
        <f>SUM(I2:I6)</f>
        <v/>
      </c>
      <c r="J7" s="83">
        <f>SUM(J2:J6)</f>
        <v/>
      </c>
      <c r="K7" s="83">
        <f>SUM(K2:K6)</f>
        <v/>
      </c>
      <c r="L7" s="83">
        <f>SUM(L2:L6)</f>
        <v/>
      </c>
      <c r="M7" s="83">
        <f>SUM(M2:M6)</f>
        <v/>
      </c>
      <c r="N7" s="83">
        <f>SUM(N2:N6)</f>
        <v/>
      </c>
      <c r="O7" s="83">
        <f>SUM(O2:O6)</f>
        <v/>
      </c>
      <c r="P7" s="83">
        <f>SUM(P2:P6)</f>
        <v/>
      </c>
      <c r="Q7" s="83">
        <f>SUM(Q2:Q6)</f>
        <v/>
      </c>
      <c r="R7" s="83">
        <f>SUM(R2:R6)</f>
        <v/>
      </c>
      <c r="S7" s="83">
        <f>SUM(S2:S6)</f>
        <v/>
      </c>
      <c r="T7" s="83">
        <f>SUM(T2:T6)</f>
        <v/>
      </c>
      <c r="U7" s="83">
        <f>SUM(U2:U6)</f>
        <v/>
      </c>
      <c r="V7" s="83">
        <f>SUM(V2:V6)</f>
        <v/>
      </c>
      <c r="W7" s="83">
        <f>SUM(W2:W6)</f>
        <v/>
      </c>
      <c r="Y7" s="16" t="n"/>
    </row>
    <row r="8" ht="15" customHeight="1" s="115">
      <c r="A8" s="40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Y8" s="16" t="n"/>
    </row>
    <row r="9" ht="15" customHeight="1" s="115">
      <c r="A9" s="42" t="inlineStr">
        <is>
          <t>Context info</t>
        </is>
      </c>
      <c r="B9" s="102" t="n"/>
      <c r="C9" s="102" t="n"/>
      <c r="D9" s="102" t="n"/>
      <c r="E9" s="102" t="n"/>
      <c r="F9" s="102" t="n"/>
      <c r="G9" s="102" t="n"/>
      <c r="H9" s="102" t="n"/>
      <c r="I9" s="102" t="n"/>
      <c r="J9" s="102" t="n"/>
      <c r="K9" s="102" t="n"/>
      <c r="L9" s="102" t="n"/>
      <c r="M9" s="102" t="n"/>
      <c r="N9" s="102" t="n"/>
      <c r="O9" s="102" t="n"/>
      <c r="P9" s="102" t="n"/>
      <c r="Q9" s="102" t="n"/>
      <c r="R9" s="102" t="n"/>
      <c r="S9" s="102" t="n"/>
      <c r="T9" s="102" t="n"/>
      <c r="U9" s="102" t="n"/>
      <c r="V9" s="102" t="n"/>
      <c r="Y9" s="16" t="n"/>
    </row>
    <row r="10" ht="15" customHeight="1" s="115">
      <c r="A10" s="36" t="inlineStr">
        <is>
          <t>BlackBook LTV (Baseline 194%)</t>
        </is>
      </c>
      <c r="B10" s="81">
        <f>'Data Tables (W)'!B8</f>
        <v/>
      </c>
      <c r="C10" s="81">
        <f>'Data Tables (W)'!C8</f>
        <v/>
      </c>
      <c r="D10" s="81">
        <f>'Data Tables (W)'!D8</f>
        <v/>
      </c>
      <c r="E10" s="81">
        <f>'Data Tables (W)'!E8</f>
        <v/>
      </c>
      <c r="F10" s="81">
        <f>'Data Tables (W)'!F8</f>
        <v/>
      </c>
      <c r="G10" s="81">
        <f>'Data Tables (W)'!G8</f>
        <v/>
      </c>
      <c r="H10" s="81">
        <f>'Data Tables (W)'!H8</f>
        <v/>
      </c>
      <c r="I10" s="81">
        <f>'Data Tables (W)'!I8</f>
        <v/>
      </c>
      <c r="J10" s="81">
        <f>'Data Tables (W)'!J8</f>
        <v/>
      </c>
      <c r="K10" s="81">
        <f>'Data Tables (W)'!K8</f>
        <v/>
      </c>
      <c r="L10" s="81">
        <f>'Data Tables (W)'!L8</f>
        <v/>
      </c>
      <c r="M10" s="81">
        <f>'Data Tables (W)'!M8</f>
        <v/>
      </c>
      <c r="N10" s="81">
        <f>'Data Tables (W)'!N8</f>
        <v/>
      </c>
      <c r="O10" s="81">
        <f>'Data Tables (W)'!O8</f>
        <v/>
      </c>
      <c r="P10" s="81">
        <f>'Data Tables (W)'!P8</f>
        <v/>
      </c>
      <c r="Q10" s="81">
        <f>'Data Tables (W)'!Q8</f>
        <v/>
      </c>
      <c r="R10" s="81">
        <f>'Data Tables (W)'!R8</f>
        <v/>
      </c>
      <c r="S10" s="81">
        <f>'Data Tables (W)'!S8</f>
        <v/>
      </c>
      <c r="T10" s="81">
        <f>'Data Tables (W)'!T8</f>
        <v/>
      </c>
      <c r="U10" s="81">
        <f>'Data Tables (W)'!U8</f>
        <v/>
      </c>
      <c r="V10" s="81">
        <f>'Data Tables (W)'!V8</f>
        <v/>
      </c>
      <c r="W10" s="81">
        <f>'Data Tables (W)'!W8</f>
        <v/>
      </c>
      <c r="X10" s="44" t="n"/>
      <c r="Y10" s="17" t="n"/>
    </row>
    <row r="11" ht="15" customHeight="1" s="115">
      <c r="A11" s="37" t="inlineStr">
        <is>
          <t>Origination MMI</t>
        </is>
      </c>
      <c r="B11" s="83" t="n"/>
      <c r="C11" s="83" t="n"/>
      <c r="D11" s="83" t="n"/>
      <c r="E11" s="83" t="n"/>
      <c r="F11" s="83" t="n"/>
      <c r="G11" s="83" t="n"/>
      <c r="H11" s="83" t="n"/>
      <c r="I11" s="83" t="n"/>
      <c r="J11" s="83" t="n"/>
      <c r="K11" s="83" t="n"/>
      <c r="L11" s="83" t="n"/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  <c r="V11" s="84" t="n"/>
    </row>
    <row r="12" ht="15" customHeight="1" s="115">
      <c r="A12" s="43" t="inlineStr">
        <is>
          <t>MMI Impact⁵</t>
        </is>
      </c>
      <c r="B12" s="82" t="n"/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</row>
    <row r="13" ht="15" customHeight="1" s="115">
      <c r="A13" s="38" t="inlineStr">
        <is>
          <t>Adjustment to RAGU Score from MMI</t>
        </is>
      </c>
      <c r="B13" s="103">
        <f>B12/10%*1.7</f>
        <v/>
      </c>
      <c r="C13" s="103">
        <f>C12/10%*1.7</f>
        <v/>
      </c>
      <c r="D13" s="103">
        <f>D12/10%*1.7</f>
        <v/>
      </c>
      <c r="E13" s="103">
        <f>E12/10%*1.7</f>
        <v/>
      </c>
      <c r="F13" s="103">
        <f>F12/10%*1.7</f>
        <v/>
      </c>
      <c r="G13" s="103">
        <f>G12/10%*1.7</f>
        <v/>
      </c>
      <c r="H13" s="103">
        <f>H12/10%*1.7</f>
        <v/>
      </c>
      <c r="I13" s="103">
        <f>I12/10%*1.7</f>
        <v/>
      </c>
      <c r="J13" s="103">
        <f>J12/10%*1.7</f>
        <v/>
      </c>
      <c r="K13" s="103">
        <f>K12/10%*1.7</f>
        <v/>
      </c>
      <c r="L13" s="103">
        <f>L12/10%*1.7</f>
        <v/>
      </c>
      <c r="M13" s="103">
        <f>M12/10%*1.7</f>
        <v/>
      </c>
      <c r="N13" s="103">
        <f>N12/10%*1.7</f>
        <v/>
      </c>
      <c r="O13" s="103">
        <f>O12/10%*1.7</f>
        <v/>
      </c>
      <c r="P13" s="103">
        <f>P12/10%*1.7</f>
        <v/>
      </c>
      <c r="Q13" s="103">
        <f>Q12/10%*1.7</f>
        <v/>
      </c>
      <c r="R13" s="103">
        <f>R12/10%*1.7</f>
        <v/>
      </c>
      <c r="S13" s="103">
        <f>S12/10%*1.7</f>
        <v/>
      </c>
      <c r="T13" s="103">
        <f>T12/10%*1.7</f>
        <v/>
      </c>
      <c r="U13" s="103">
        <f>U12/10%*1.7</f>
        <v/>
      </c>
      <c r="V13" s="103">
        <f>V12/10%*1.7</f>
        <v/>
      </c>
    </row>
    <row r="14" ht="15" customHeight="1" s="115">
      <c r="A14" s="36" t="inlineStr">
        <is>
          <t>RAGU Score (adjusted for MMI)</t>
        </is>
      </c>
      <c r="B14" s="11">
        <f>B7+B13</f>
        <v/>
      </c>
      <c r="C14" s="11">
        <f>C7+C13</f>
        <v/>
      </c>
      <c r="D14" s="11">
        <f>D7+D13</f>
        <v/>
      </c>
      <c r="E14" s="11">
        <f>E7+E13</f>
        <v/>
      </c>
      <c r="F14" s="11">
        <f>F7+F13</f>
        <v/>
      </c>
      <c r="G14" s="11">
        <f>G7+G13</f>
        <v/>
      </c>
      <c r="H14" s="11">
        <f>H7+H13</f>
        <v/>
      </c>
      <c r="I14" s="11">
        <f>I7+I13</f>
        <v/>
      </c>
      <c r="J14" s="11">
        <f>J7+J13</f>
        <v/>
      </c>
      <c r="K14" s="11">
        <f>K7+K13</f>
        <v/>
      </c>
      <c r="L14" s="11">
        <f>L7+L13</f>
        <v/>
      </c>
      <c r="M14" s="11">
        <f>M7+M13</f>
        <v/>
      </c>
      <c r="N14" s="11">
        <f>N7+N13</f>
        <v/>
      </c>
      <c r="O14" s="11">
        <f>O7+O13</f>
        <v/>
      </c>
      <c r="P14" s="11">
        <f>P7+P13</f>
        <v/>
      </c>
      <c r="Q14" s="11">
        <f>Q7+Q13</f>
        <v/>
      </c>
      <c r="R14" s="11">
        <f>R7+R13</f>
        <v/>
      </c>
      <c r="S14" s="11">
        <f>S7+S13</f>
        <v/>
      </c>
      <c r="T14" s="11">
        <f>T7+T13</f>
        <v/>
      </c>
      <c r="U14" s="11">
        <f>U7+U13</f>
        <v/>
      </c>
      <c r="V14" s="11">
        <f>V7+V13</f>
        <v/>
      </c>
      <c r="W14" s="11">
        <f>W7+W13</f>
        <v/>
      </c>
    </row>
    <row r="15" ht="15" customHeight="1" s="115">
      <c r="A15" s="38" t="inlineStr">
        <is>
          <t>t_c CNL⁶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</row>
    <row r="16" ht="15" customHeight="1" s="115">
      <c r="A16" s="36" t="inlineStr">
        <is>
          <t>Implied t-1 CNL</t>
        </is>
      </c>
      <c r="B16" s="19">
        <f>B15-($V$14-B14)*1%</f>
        <v/>
      </c>
      <c r="C16" s="19">
        <f>C15-($V$14-C14)*1%</f>
        <v/>
      </c>
      <c r="D16" s="19">
        <f>D15-($V$14-D14)*1%</f>
        <v/>
      </c>
      <c r="E16" s="19">
        <f>E15-($V$14-E14)*1%</f>
        <v/>
      </c>
      <c r="F16" s="19">
        <f>F15-($V$14-F14)*1%</f>
        <v/>
      </c>
      <c r="G16" s="19">
        <f>G15-($V$14-G14)*1%</f>
        <v/>
      </c>
      <c r="H16" s="19">
        <f>H15-($V$14-H14)*1%</f>
        <v/>
      </c>
      <c r="I16" s="19">
        <f>I15-($V$14-I14)*1%</f>
        <v/>
      </c>
      <c r="J16" s="19">
        <f>J15-($V$14-J14)*1%</f>
        <v/>
      </c>
      <c r="K16" s="19">
        <f>K15-($V$14-K14)*1%</f>
        <v/>
      </c>
      <c r="L16" s="19">
        <f>L15-($V$14-L14)*1%</f>
        <v/>
      </c>
      <c r="M16" s="19">
        <f>M15-($V$14-M14)*1%</f>
        <v/>
      </c>
      <c r="N16" s="19">
        <f>N15-($V$14-N14)*1%</f>
        <v/>
      </c>
      <c r="O16" s="19">
        <f>O15-($V$14-O14)*1%</f>
        <v/>
      </c>
      <c r="P16" s="19">
        <f>P15-($V$14-P14)*1%</f>
        <v/>
      </c>
      <c r="Q16" s="19">
        <f>Q15-($V$14-Q14)*1%</f>
        <v/>
      </c>
      <c r="R16" s="19">
        <f>R15-($V$14-R14)*1%</f>
        <v/>
      </c>
      <c r="S16" s="19" t="n"/>
      <c r="T16" s="19" t="n"/>
      <c r="U16" s="17" t="n"/>
      <c r="V16" s="19" t="n"/>
    </row>
    <row r="18" ht="15" customHeight="1" s="115">
      <c r="B18" s="55" t="n"/>
      <c r="C18" s="55" t="n"/>
      <c r="D18" s="55" t="n"/>
      <c r="E18" s="55" t="n"/>
      <c r="F18" s="55" t="n"/>
      <c r="G18" s="55" t="n"/>
      <c r="H18" s="55" t="n"/>
    </row>
    <row r="19" ht="15" customHeight="1" s="115">
      <c r="A19" s="50" t="inlineStr">
        <is>
          <t>1:</t>
        </is>
      </c>
      <c r="B19" s="51" t="inlineStr">
        <is>
          <t>Model Score excludes buybacks and high amount financed.</t>
        </is>
      </c>
    </row>
    <row r="20" ht="15" customHeight="1" s="115">
      <c r="A20" s="50" t="inlineStr">
        <is>
          <t>2:</t>
        </is>
      </c>
      <c r="B20" s="51" t="inlineStr">
        <is>
          <t>We are currently working with Pricing to determine how to use FRN3.1 scores, there are large discrepancies between model scores as booked and FRN3.1 due to what might be centering issues.</t>
        </is>
      </c>
    </row>
    <row r="21" ht="15" customHeight="1" s="115">
      <c r="A21" s="50" t="inlineStr">
        <is>
          <t>3:</t>
        </is>
      </c>
      <c r="B21" s="51" t="inlineStr">
        <is>
          <t>Biggest impacts to Gross Loss Adjustments are Dealer Level, weekday/weekend decision, and high mileage classification.</t>
        </is>
      </c>
    </row>
    <row r="22" ht="15" customHeight="1" s="115">
      <c r="A22" s="50" t="n"/>
      <c r="B22" s="51" t="inlineStr">
        <is>
          <t>See Appendix for details on other factors</t>
        </is>
      </c>
    </row>
    <row r="23" ht="15" customHeight="1" s="115">
      <c r="A23" s="50" t="inlineStr">
        <is>
          <t>4:</t>
        </is>
      </c>
      <c r="B23" s="51" t="inlineStr">
        <is>
          <t>Biggest impacts to Recovery Adjustments are mileage/age, impound probability, and vehicle class.</t>
        </is>
      </c>
    </row>
    <row r="24" ht="15" customHeight="1" s="115">
      <c r="A24" s="50" t="inlineStr">
        <is>
          <t>5:</t>
        </is>
      </c>
      <c r="B24" s="51" t="inlineStr">
        <is>
          <t>LTV adjustments are made using the 10% LTV improvement-&gt;170bps to CNL heuristic, based on BlackBook LTV values.</t>
        </is>
      </c>
    </row>
    <row r="25" ht="15" customHeight="1" s="115">
      <c r="A25" s="50" t="inlineStr">
        <is>
          <t>6:</t>
        </is>
      </c>
      <c r="B25" s="51" t="inlineStr">
        <is>
          <t>MMI uses adjusted index (2019 seasonality). The MMI Impact compares the actual MMI to a 3% annual growth.</t>
        </is>
      </c>
    </row>
    <row r="26" ht="15" customHeight="1" s="115">
      <c r="A26" s="50" t="n"/>
      <c r="B26" s="51" t="inlineStr">
        <is>
          <t>A positive impact of X% means sold recovery will be X% better.</t>
        </is>
      </c>
    </row>
    <row r="27" ht="15" customHeight="1" s="115">
      <c r="A27" s="50" t="inlineStr">
        <is>
          <t>7:</t>
        </is>
      </c>
      <c r="B27" s="51" t="inlineStr">
        <is>
          <t>tc CNL uses UGLY Model projections, and 2023 Q1 blends 75% UGLY Model with 25% Loss Committee.</t>
        </is>
      </c>
    </row>
  </sheetData>
  <mergeCells count="2">
    <mergeCell ref="Z2:AA2"/>
    <mergeCell ref="Z1:AA1"/>
  </mergeCells>
  <pageMargins left="0.7" right="0.7" top="0.75" bottom="0.75" header="0.3" footer="0.3"/>
  <pageSetup orientation="portrait" horizontalDpi="204" verticalDpi="192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28"/>
  <sheetViews>
    <sheetView topLeftCell="B1" zoomScale="160" zoomScaleNormal="160" workbookViewId="0">
      <selection activeCell="B1" sqref="B1:D1"/>
    </sheetView>
  </sheetViews>
  <sheetFormatPr baseColWidth="8" defaultColWidth="9.1796875" defaultRowHeight="15" customHeight="1"/>
  <cols>
    <col width="25" customWidth="1" style="41" min="1" max="1"/>
    <col width="6" customWidth="1" style="41" min="2" max="2"/>
    <col width="5.54296875" customWidth="1" style="41" min="3" max="3"/>
    <col width="6.26953125" customWidth="1" style="41" min="4" max="4"/>
    <col width="6.1796875" customWidth="1" style="41" min="5" max="5"/>
    <col width="5.81640625" customWidth="1" style="41" min="6" max="6"/>
    <col width="5.26953125" customWidth="1" style="41" min="7" max="7"/>
    <col width="6.26953125" customWidth="1" style="41" min="8" max="8"/>
    <col width="7.81640625" customWidth="1" style="41" min="9" max="9"/>
    <col width="6" customWidth="1" style="41" min="10" max="10"/>
    <col width="6.453125" customWidth="1" style="41" min="11" max="11"/>
    <col width="7" customWidth="1" style="41" min="12" max="12"/>
    <col width="6.1796875" customWidth="1" style="41" min="13" max="13"/>
    <col width="6.54296875" customWidth="1" style="41" min="14" max="14"/>
    <col width="6.1796875" customWidth="1" style="41" min="15" max="15"/>
    <col width="5.26953125" customWidth="1" style="41" min="16" max="16"/>
    <col width="6.453125" customWidth="1" style="41" min="17" max="17"/>
    <col width="6.1796875" customWidth="1" style="41" min="18" max="18"/>
    <col width="6.7265625" customWidth="1" style="41" min="19" max="19"/>
    <col width="5.81640625" customWidth="1" style="41" min="20" max="20"/>
    <col width="6.26953125" customWidth="1" style="41" min="21" max="21"/>
    <col width="7" customWidth="1" style="41" min="22" max="22"/>
    <col width="9.1796875" customWidth="1" style="41" min="23" max="75"/>
    <col width="9.1796875" customWidth="1" style="41" min="76" max="16384"/>
  </cols>
  <sheetData>
    <row r="1" ht="18.75" customHeight="1" s="115">
      <c r="A1" s="35" t="inlineStr">
        <is>
          <t>FRN</t>
        </is>
      </c>
      <c r="B1" s="120" t="n">
        <v>45291</v>
      </c>
      <c r="C1" s="120" t="n">
        <v>45298</v>
      </c>
      <c r="D1" s="120" t="n">
        <v>45305</v>
      </c>
      <c r="E1" s="120" t="n">
        <v>45312</v>
      </c>
      <c r="F1" s="120" t="n">
        <v>45319</v>
      </c>
      <c r="G1" s="120" t="n">
        <v>45326</v>
      </c>
      <c r="H1" s="120" t="n">
        <v>45333</v>
      </c>
      <c r="I1" s="120" t="n">
        <v>45340</v>
      </c>
      <c r="J1" s="120" t="n">
        <v>45347</v>
      </c>
      <c r="K1" s="120" t="n">
        <v>45354</v>
      </c>
      <c r="L1" s="120" t="n">
        <v>45361</v>
      </c>
      <c r="M1" s="120" t="n">
        <v>45368</v>
      </c>
      <c r="N1" s="120" t="n">
        <v>45375</v>
      </c>
      <c r="O1" s="120" t="n">
        <v>45382</v>
      </c>
      <c r="P1" s="120" t="n">
        <v>45389</v>
      </c>
      <c r="Q1" s="120" t="n">
        <v>45396</v>
      </c>
      <c r="R1" s="120" t="n">
        <v>45403</v>
      </c>
      <c r="S1" s="120" t="n">
        <v>45410</v>
      </c>
      <c r="T1" s="120" t="n">
        <v>45417</v>
      </c>
      <c r="U1" s="120" t="n">
        <v>45424</v>
      </c>
      <c r="V1" s="120" t="n">
        <v>45431</v>
      </c>
      <c r="W1" s="120" t="n">
        <v>45438</v>
      </c>
      <c r="X1" s="120" t="n">
        <v>45445</v>
      </c>
      <c r="Y1" s="120" t="n">
        <v>45452</v>
      </c>
      <c r="Z1" s="120" t="n">
        <v>45459</v>
      </c>
      <c r="AA1" s="120" t="n">
        <v>45466</v>
      </c>
    </row>
    <row r="2" ht="15" customHeight="1" s="115" thickBot="1">
      <c r="A2" s="38" t="inlineStr">
        <is>
          <t>Contract Model Score¹</t>
        </is>
      </c>
      <c r="B2" s="12">
        <f>'Data Tables (W)'!B20</f>
        <v/>
      </c>
      <c r="C2" s="12">
        <f>'Data Tables (W)'!C20</f>
        <v/>
      </c>
      <c r="D2" s="12">
        <f>'Data Tables (W)'!D20</f>
        <v/>
      </c>
      <c r="E2" s="12">
        <f>'Data Tables (W)'!E20</f>
        <v/>
      </c>
      <c r="F2" s="12">
        <f>'Data Tables (W)'!F20</f>
        <v/>
      </c>
      <c r="G2" s="12">
        <f>'Data Tables (W)'!G20</f>
        <v/>
      </c>
      <c r="H2" s="12">
        <f>'Data Tables (W)'!H20</f>
        <v/>
      </c>
      <c r="I2" s="12">
        <f>'Data Tables (W)'!I20</f>
        <v/>
      </c>
      <c r="J2" s="12">
        <f>'Data Tables (W)'!J20</f>
        <v/>
      </c>
      <c r="K2" s="12">
        <f>'Data Tables (W)'!K20</f>
        <v/>
      </c>
      <c r="L2" s="12">
        <f>'Data Tables (W)'!L20</f>
        <v/>
      </c>
      <c r="M2" s="12">
        <f>'Data Tables (W)'!M20</f>
        <v/>
      </c>
      <c r="N2" s="12">
        <f>'Data Tables (W)'!N20</f>
        <v/>
      </c>
      <c r="O2" s="12">
        <f>'Data Tables (W)'!O20</f>
        <v/>
      </c>
      <c r="P2" s="12">
        <f>'Data Tables (W)'!P20</f>
        <v/>
      </c>
      <c r="Q2" s="12">
        <f>'Data Tables (W)'!Q20</f>
        <v/>
      </c>
      <c r="R2" s="12">
        <f>'Data Tables (W)'!R20</f>
        <v/>
      </c>
      <c r="S2" s="12">
        <f>'Data Tables (W)'!S20</f>
        <v/>
      </c>
      <c r="T2" s="12">
        <f>'Data Tables (W)'!T20</f>
        <v/>
      </c>
      <c r="U2" s="12">
        <f>'Data Tables (W)'!U20</f>
        <v/>
      </c>
      <c r="V2" s="12">
        <f>'Data Tables (W)'!V20</f>
        <v/>
      </c>
      <c r="W2" s="12">
        <f>'Data Tables (W)'!W20</f>
        <v/>
      </c>
      <c r="X2" s="12">
        <f>'Data Tables (W)'!X20</f>
        <v/>
      </c>
      <c r="Y2" s="12">
        <f>'Data Tables (W)'!Y20</f>
        <v/>
      </c>
      <c r="Z2" s="104" t="n"/>
      <c r="AA2" s="105" t="n"/>
    </row>
    <row r="3" hidden="1" ht="15" customHeight="1" s="115">
      <c r="A3" s="43" t="inlineStr">
        <is>
          <t>Shift to FRN 3.1 Score²</t>
        </is>
      </c>
      <c r="B3" s="13">
        <f>'Data Tables (W)'!B21*Z2</f>
        <v/>
      </c>
      <c r="C3" s="13">
        <f>'Data Tables (W)'!C21*AA2</f>
        <v/>
      </c>
      <c r="D3" s="13">
        <f>'Data Tables (W)'!D21*AB2</f>
        <v/>
      </c>
      <c r="E3" s="13">
        <f>'Data Tables (W)'!E21*AC2</f>
        <v/>
      </c>
      <c r="F3" s="13">
        <f>'Data Tables (W)'!F21*AD2</f>
        <v/>
      </c>
      <c r="G3" s="13">
        <f>'Data Tables (W)'!G21*AE2</f>
        <v/>
      </c>
      <c r="H3" s="13">
        <f>'Data Tables (W)'!H21*AF2</f>
        <v/>
      </c>
      <c r="I3" s="13">
        <f>'Data Tables (W)'!I21*AG2</f>
        <v/>
      </c>
      <c r="J3" s="13">
        <f>'Data Tables (W)'!J21*AH2</f>
        <v/>
      </c>
      <c r="K3" s="13">
        <f>'Data Tables (W)'!K21*AI2</f>
        <v/>
      </c>
      <c r="L3" s="13">
        <f>'Data Tables (W)'!L21*AJ2</f>
        <v/>
      </c>
      <c r="M3" s="13">
        <f>'Data Tables (W)'!M21*AK2</f>
        <v/>
      </c>
      <c r="N3" s="13">
        <f>'Data Tables (W)'!N21*AL2</f>
        <v/>
      </c>
      <c r="O3" s="13">
        <f>'Data Tables (W)'!O21*AM2</f>
        <v/>
      </c>
      <c r="P3" s="13">
        <f>'Data Tables (W)'!P21*AN2</f>
        <v/>
      </c>
      <c r="Q3" s="13">
        <f>'Data Tables (W)'!Q21*AO2</f>
        <v/>
      </c>
      <c r="R3" s="13">
        <f>'Data Tables (W)'!R21*AP2</f>
        <v/>
      </c>
      <c r="S3" s="13">
        <f>'Data Tables (W)'!S21*AQ2</f>
        <v/>
      </c>
      <c r="T3" s="13">
        <f>'Data Tables (W)'!T21*AR2</f>
        <v/>
      </c>
      <c r="U3" s="13">
        <f>'Data Tables (W)'!U21*AS2</f>
        <v/>
      </c>
      <c r="V3" s="13">
        <f>'Data Tables (W)'!V21*AT2</f>
        <v/>
      </c>
      <c r="W3" s="13">
        <f>'Data Tables (W)'!W21*AU2</f>
        <v/>
      </c>
      <c r="X3" s="13">
        <f>'Data Tables (W)'!X21*AV2</f>
        <v/>
      </c>
      <c r="Y3" s="13">
        <f>'Data Tables (W)'!Y21*AW2</f>
        <v/>
      </c>
    </row>
    <row r="4" ht="30" customHeight="1" s="115">
      <c r="A4" s="36" t="inlineStr">
        <is>
          <t>Gross Loss Adjustments (Dealer Level, vehicle age, etc.)²</t>
        </is>
      </c>
      <c r="B4" s="13">
        <f>'Data Tables (W)'!B22</f>
        <v/>
      </c>
      <c r="C4" s="13">
        <f>'Data Tables (W)'!C22</f>
        <v/>
      </c>
      <c r="D4" s="13">
        <f>'Data Tables (W)'!D22</f>
        <v/>
      </c>
      <c r="E4" s="13">
        <f>'Data Tables (W)'!E22</f>
        <v/>
      </c>
      <c r="F4" s="13">
        <f>'Data Tables (W)'!F22</f>
        <v/>
      </c>
      <c r="G4" s="13">
        <f>'Data Tables (W)'!G22</f>
        <v/>
      </c>
      <c r="H4" s="13">
        <f>'Data Tables (W)'!H22</f>
        <v/>
      </c>
      <c r="I4" s="13">
        <f>'Data Tables (W)'!I22</f>
        <v/>
      </c>
      <c r="J4" s="13">
        <f>'Data Tables (W)'!J22</f>
        <v/>
      </c>
      <c r="K4" s="13">
        <f>'Data Tables (W)'!K22</f>
        <v/>
      </c>
      <c r="L4" s="13">
        <f>'Data Tables (W)'!L22</f>
        <v/>
      </c>
      <c r="M4" s="13">
        <f>'Data Tables (W)'!M22</f>
        <v/>
      </c>
      <c r="N4" s="13">
        <f>'Data Tables (W)'!N22</f>
        <v/>
      </c>
      <c r="O4" s="13">
        <f>'Data Tables (W)'!O22</f>
        <v/>
      </c>
      <c r="P4" s="13">
        <f>'Data Tables (W)'!P22</f>
        <v/>
      </c>
      <c r="Q4" s="13">
        <f>'Data Tables (W)'!Q22</f>
        <v/>
      </c>
      <c r="R4" s="13">
        <f>'Data Tables (W)'!R22</f>
        <v/>
      </c>
      <c r="S4" s="13">
        <f>'Data Tables (W)'!S22</f>
        <v/>
      </c>
      <c r="T4" s="13">
        <f>'Data Tables (W)'!T22</f>
        <v/>
      </c>
      <c r="U4" s="13">
        <f>'Data Tables (W)'!U22</f>
        <v/>
      </c>
      <c r="V4" s="13">
        <f>'Data Tables (W)'!V22</f>
        <v/>
      </c>
      <c r="W4" s="13">
        <f>'Data Tables (W)'!W22</f>
        <v/>
      </c>
      <c r="X4" s="13">
        <f>'Data Tables (W)'!X22</f>
        <v/>
      </c>
      <c r="Y4" s="13">
        <f>'Data Tables (W)'!Y22</f>
        <v/>
      </c>
    </row>
    <row r="5" ht="30" customHeight="1" s="115">
      <c r="A5" s="38" t="inlineStr">
        <is>
          <t>Recovery Adjustments excluding LTV (Mileage, LOB, etc.)³</t>
        </is>
      </c>
      <c r="B5" s="12">
        <f>'Data Tables (W)'!B23</f>
        <v/>
      </c>
      <c r="C5" s="12">
        <f>'Data Tables (W)'!C23</f>
        <v/>
      </c>
      <c r="D5" s="12">
        <f>'Data Tables (W)'!D23</f>
        <v/>
      </c>
      <c r="E5" s="12">
        <f>'Data Tables (W)'!E23</f>
        <v/>
      </c>
      <c r="F5" s="12">
        <f>'Data Tables (W)'!F23</f>
        <v/>
      </c>
      <c r="G5" s="12">
        <f>'Data Tables (W)'!G23</f>
        <v/>
      </c>
      <c r="H5" s="12">
        <f>'Data Tables (W)'!H23</f>
        <v/>
      </c>
      <c r="I5" s="12">
        <f>'Data Tables (W)'!I23</f>
        <v/>
      </c>
      <c r="J5" s="12">
        <f>'Data Tables (W)'!J23</f>
        <v/>
      </c>
      <c r="K5" s="12">
        <f>'Data Tables (W)'!K23</f>
        <v/>
      </c>
      <c r="L5" s="12">
        <f>'Data Tables (W)'!L23</f>
        <v/>
      </c>
      <c r="M5" s="12">
        <f>'Data Tables (W)'!M23</f>
        <v/>
      </c>
      <c r="N5" s="12">
        <f>'Data Tables (W)'!N23</f>
        <v/>
      </c>
      <c r="O5" s="12">
        <f>'Data Tables (W)'!O23</f>
        <v/>
      </c>
      <c r="P5" s="12">
        <f>'Data Tables (W)'!P23</f>
        <v/>
      </c>
      <c r="Q5" s="12">
        <f>'Data Tables (W)'!Q23</f>
        <v/>
      </c>
      <c r="R5" s="12">
        <f>'Data Tables (W)'!R23</f>
        <v/>
      </c>
      <c r="S5" s="12">
        <f>'Data Tables (W)'!S23</f>
        <v/>
      </c>
      <c r="T5" s="12">
        <f>'Data Tables (W)'!T23</f>
        <v/>
      </c>
      <c r="U5" s="12">
        <f>'Data Tables (W)'!U23</f>
        <v/>
      </c>
      <c r="V5" s="12">
        <f>'Data Tables (W)'!V23</f>
        <v/>
      </c>
      <c r="W5" s="12">
        <f>'Data Tables (W)'!W23</f>
        <v/>
      </c>
      <c r="X5" s="12">
        <f>'Data Tables (W)'!X23</f>
        <v/>
      </c>
      <c r="Y5" s="12">
        <f>'Data Tables (W)'!Y23</f>
        <v/>
      </c>
    </row>
    <row r="6" ht="15" customHeight="1" s="115">
      <c r="A6" s="36" t="inlineStr">
        <is>
          <t>BBLTV Adjustments⁴</t>
        </is>
      </c>
      <c r="B6" s="13">
        <f>(194%/B10-1)/10%*1.7</f>
        <v/>
      </c>
      <c r="C6" s="13">
        <f>(194%/C10-1)/10%*1.7</f>
        <v/>
      </c>
      <c r="D6" s="13">
        <f>(194%/D10-1)/10%*1.7</f>
        <v/>
      </c>
      <c r="E6" s="13">
        <f>(194%/E10-1)/10%*1.7</f>
        <v/>
      </c>
      <c r="F6" s="13">
        <f>(194%/F10-1)/10%*1.7</f>
        <v/>
      </c>
      <c r="G6" s="13">
        <f>(194%/G10-1)/10%*1.7</f>
        <v/>
      </c>
      <c r="H6" s="13">
        <f>(194%/H10-1)/10%*1.7</f>
        <v/>
      </c>
      <c r="I6" s="13">
        <f>(194%/I10-1)/10%*1.7</f>
        <v/>
      </c>
      <c r="J6" s="13">
        <f>(194%/J10-1)/10%*1.7</f>
        <v/>
      </c>
      <c r="K6" s="13">
        <f>(194%/K10-1)/10%*1.7</f>
        <v/>
      </c>
      <c r="L6" s="13">
        <f>(194%/L10-1)/10%*1.7</f>
        <v/>
      </c>
      <c r="M6" s="13">
        <f>(194%/M10-1)/10%*1.7</f>
        <v/>
      </c>
      <c r="N6" s="13">
        <f>(194%/N10-1)/10%*1.7</f>
        <v/>
      </c>
      <c r="O6" s="13">
        <f>(194%/O10-1)/10%*1.7</f>
        <v/>
      </c>
      <c r="P6" s="13">
        <f>(194%/P10-1)/10%*1.7</f>
        <v/>
      </c>
      <c r="Q6" s="13">
        <f>(194%/Q10-1)/10%*1.7</f>
        <v/>
      </c>
      <c r="R6" s="13">
        <f>(194%/R10-1)/10%*1.7</f>
        <v/>
      </c>
      <c r="S6" s="13">
        <f>(194%/S10-1)/10%*1.7</f>
        <v/>
      </c>
      <c r="T6" s="13">
        <f>(194%/T10-1)/10%*1.7</f>
        <v/>
      </c>
      <c r="U6" s="13">
        <f>(194%/U10-1)/10%*1.7</f>
        <v/>
      </c>
      <c r="V6" s="13">
        <f>(194%/V10-1)/10%*1.7</f>
        <v/>
      </c>
      <c r="W6" s="13">
        <f>(194%/W10-1)/10%*1.7</f>
        <v/>
      </c>
      <c r="X6" s="13">
        <f>(194%/X10-1)/10%*1.7</f>
        <v/>
      </c>
      <c r="Y6" s="13">
        <f>(194%/Y10-1)/10%*1.7</f>
        <v/>
      </c>
    </row>
    <row r="7" ht="15" customHeight="1" s="115">
      <c r="A7" s="38" t="inlineStr">
        <is>
          <t>RAGU Score</t>
        </is>
      </c>
      <c r="B7" s="12">
        <f>SUM(B2:B6)</f>
        <v/>
      </c>
      <c r="C7" s="12">
        <f>SUM(C2:C6)</f>
        <v/>
      </c>
      <c r="D7" s="12">
        <f>SUM(D2:D6)</f>
        <v/>
      </c>
      <c r="E7" s="12">
        <f>SUM(E2:E6)</f>
        <v/>
      </c>
      <c r="F7" s="12">
        <f>SUM(F2:F6)</f>
        <v/>
      </c>
      <c r="G7" s="12">
        <f>SUM(G2:G6)</f>
        <v/>
      </c>
      <c r="H7" s="12">
        <f>SUM(H2:H6)</f>
        <v/>
      </c>
      <c r="I7" s="12">
        <f>SUM(I2:I6)</f>
        <v/>
      </c>
      <c r="J7" s="12">
        <f>SUM(J2:J6)</f>
        <v/>
      </c>
      <c r="K7" s="12">
        <f>SUM(K2:K6)</f>
        <v/>
      </c>
      <c r="L7" s="12">
        <f>SUM(L2:L6)</f>
        <v/>
      </c>
      <c r="M7" s="12">
        <f>SUM(M2:M6)</f>
        <v/>
      </c>
      <c r="N7" s="12">
        <f>SUM(N2:N6)</f>
        <v/>
      </c>
      <c r="O7" s="12">
        <f>SUM(O2:O6)</f>
        <v/>
      </c>
      <c r="P7" s="12">
        <f>SUM(P2:P6)</f>
        <v/>
      </c>
      <c r="Q7" s="12">
        <f>SUM(Q2:Q6)</f>
        <v/>
      </c>
      <c r="R7" s="12">
        <f>SUM(R2:R6)</f>
        <v/>
      </c>
      <c r="S7" s="12">
        <f>SUM(S2:S6)</f>
        <v/>
      </c>
      <c r="T7" s="12">
        <f>SUM(T2:T6)</f>
        <v/>
      </c>
      <c r="U7" s="12">
        <f>SUM(U2:U6)</f>
        <v/>
      </c>
      <c r="V7" s="12">
        <f>SUM(V2:V6)</f>
        <v/>
      </c>
      <c r="W7" s="12">
        <f>SUM(W2:W6)</f>
        <v/>
      </c>
      <c r="X7" s="12">
        <f>SUM(X2:X6)</f>
        <v/>
      </c>
      <c r="Y7" s="12">
        <f>SUM(Y2:Y6)</f>
        <v/>
      </c>
    </row>
    <row r="8" ht="15" customHeight="1" s="115">
      <c r="A8" s="40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X8" s="46" t="n"/>
      <c r="Y8" s="46" t="n"/>
    </row>
    <row r="9" ht="15" customHeight="1" s="115">
      <c r="A9" s="42" t="inlineStr">
        <is>
          <t>Context info</t>
        </is>
      </c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</row>
    <row r="10" ht="15" customHeight="1" s="115">
      <c r="A10" s="36" t="inlineStr">
        <is>
          <t>BlackBook LTV (Baseline 194%)</t>
        </is>
      </c>
      <c r="B10" s="81">
        <f>'Data Tables (W)'!B26</f>
        <v/>
      </c>
      <c r="C10" s="81">
        <f>'Data Tables (W)'!C26</f>
        <v/>
      </c>
      <c r="D10" s="81">
        <f>'Data Tables (W)'!D26</f>
        <v/>
      </c>
      <c r="E10" s="81">
        <f>'Data Tables (W)'!E26</f>
        <v/>
      </c>
      <c r="F10" s="81">
        <f>'Data Tables (W)'!F26</f>
        <v/>
      </c>
      <c r="G10" s="81">
        <f>'Data Tables (W)'!G26</f>
        <v/>
      </c>
      <c r="H10" s="81">
        <f>'Data Tables (W)'!H26</f>
        <v/>
      </c>
      <c r="I10" s="81">
        <f>'Data Tables (W)'!I26</f>
        <v/>
      </c>
      <c r="J10" s="81">
        <f>'Data Tables (W)'!J26</f>
        <v/>
      </c>
      <c r="K10" s="81">
        <f>'Data Tables (W)'!K26</f>
        <v/>
      </c>
      <c r="L10" s="81">
        <f>'Data Tables (W)'!L26</f>
        <v/>
      </c>
      <c r="M10" s="81">
        <f>'Data Tables (W)'!M26</f>
        <v/>
      </c>
      <c r="N10" s="81">
        <f>'Data Tables (W)'!N26</f>
        <v/>
      </c>
      <c r="O10" s="81">
        <f>'Data Tables (W)'!O26</f>
        <v/>
      </c>
      <c r="P10" s="81">
        <f>'Data Tables (W)'!P26</f>
        <v/>
      </c>
      <c r="Q10" s="81">
        <f>'Data Tables (W)'!Q26</f>
        <v/>
      </c>
      <c r="R10" s="81">
        <f>'Data Tables (W)'!R26</f>
        <v/>
      </c>
      <c r="S10" s="81">
        <f>'Data Tables (W)'!S26</f>
        <v/>
      </c>
      <c r="T10" s="81">
        <f>'Data Tables (W)'!T26</f>
        <v/>
      </c>
      <c r="U10" s="81">
        <f>'Data Tables (W)'!U26</f>
        <v/>
      </c>
      <c r="V10" s="81">
        <f>'Data Tables (W)'!V26</f>
        <v/>
      </c>
      <c r="W10" s="81">
        <f>'Data Tables (W)'!W26</f>
        <v/>
      </c>
      <c r="X10" s="81">
        <f>'Data Tables (W)'!X26</f>
        <v/>
      </c>
      <c r="Y10" s="81">
        <f>'Data Tables (W)'!Y26</f>
        <v/>
      </c>
    </row>
    <row r="11" ht="15" customHeight="1" s="115">
      <c r="A11" s="37" t="inlineStr">
        <is>
          <t>Origination MMI</t>
        </is>
      </c>
      <c r="B11" s="83" t="n"/>
      <c r="C11" s="83" t="n"/>
      <c r="D11" s="83" t="n"/>
      <c r="E11" s="83" t="n"/>
      <c r="F11" s="83" t="n"/>
      <c r="G11" s="83" t="n"/>
      <c r="H11" s="83" t="n"/>
      <c r="I11" s="83" t="n"/>
      <c r="J11" s="83" t="n"/>
      <c r="K11" s="83" t="n"/>
      <c r="L11" s="83" t="n"/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  <c r="V11" s="84" t="n"/>
      <c r="W11" s="84" t="n"/>
      <c r="X11" s="84" t="n"/>
      <c r="Y11" s="84" t="n"/>
    </row>
    <row r="12" ht="15" customHeight="1" s="115">
      <c r="A12" s="43" t="inlineStr">
        <is>
          <t>MMI Impact⁵</t>
        </is>
      </c>
      <c r="B12" s="82" t="n"/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  <c r="W12" s="82" t="n"/>
      <c r="X12" s="82" t="n"/>
      <c r="Y12" s="82" t="n"/>
    </row>
    <row r="13" ht="15" customHeight="1" s="115">
      <c r="A13" s="38" t="inlineStr">
        <is>
          <t>Adjustment to RAGU Score from MMI</t>
        </is>
      </c>
      <c r="B13" s="85">
        <f>B12/10%*1.7</f>
        <v/>
      </c>
      <c r="C13" s="85">
        <f>C12/10%*1.7</f>
        <v/>
      </c>
      <c r="D13" s="85">
        <f>D12/10%*1.7</f>
        <v/>
      </c>
      <c r="E13" s="85">
        <f>E12/10%*1.7</f>
        <v/>
      </c>
      <c r="F13" s="85">
        <f>F12/10%*1.7</f>
        <v/>
      </c>
      <c r="G13" s="85">
        <f>G12/10%*1.7</f>
        <v/>
      </c>
      <c r="H13" s="85">
        <f>H12/10%*1.7</f>
        <v/>
      </c>
      <c r="I13" s="85">
        <f>I12/10%*1.7</f>
        <v/>
      </c>
      <c r="J13" s="85">
        <f>J12/10%*1.7</f>
        <v/>
      </c>
      <c r="K13" s="85">
        <f>K12/10%*1.7</f>
        <v/>
      </c>
      <c r="L13" s="85">
        <f>L12/10%*1.7</f>
        <v/>
      </c>
      <c r="M13" s="85">
        <f>M12/10%*1.7</f>
        <v/>
      </c>
      <c r="N13" s="85">
        <f>N12/10%*1.7</f>
        <v/>
      </c>
      <c r="O13" s="85">
        <f>O12/10%*1.7</f>
        <v/>
      </c>
      <c r="P13" s="85">
        <f>P12/10%*1.7</f>
        <v/>
      </c>
      <c r="Q13" s="85">
        <f>Q12/10%*1.7</f>
        <v/>
      </c>
      <c r="R13" s="85">
        <f>R12/10%*1.7</f>
        <v/>
      </c>
      <c r="S13" s="85">
        <f>S12/10%*1.7</f>
        <v/>
      </c>
      <c r="T13" s="85">
        <f>T12/10%*1.7</f>
        <v/>
      </c>
      <c r="U13" s="85">
        <f>U12/10%*1.7</f>
        <v/>
      </c>
      <c r="V13" s="85">
        <f>V12/10%*1.7</f>
        <v/>
      </c>
      <c r="W13" s="85">
        <f>W12/10%*1.7</f>
        <v/>
      </c>
      <c r="X13" s="85">
        <f>X12/10%*1.7</f>
        <v/>
      </c>
      <c r="Y13" s="85">
        <f>Y12/10%*1.7</f>
        <v/>
      </c>
    </row>
    <row r="14" ht="15" customHeight="1" s="115">
      <c r="A14" s="36" t="inlineStr">
        <is>
          <t>RAGU Score (adjusted for MMI)</t>
        </is>
      </c>
      <c r="B14" s="13">
        <f>B7+B13</f>
        <v/>
      </c>
      <c r="C14" s="13">
        <f>C7+C13</f>
        <v/>
      </c>
      <c r="D14" s="13">
        <f>D7+D13</f>
        <v/>
      </c>
      <c r="E14" s="13">
        <f>E7+E13</f>
        <v/>
      </c>
      <c r="F14" s="13">
        <f>F7+F13</f>
        <v/>
      </c>
      <c r="G14" s="13">
        <f>G7+G13</f>
        <v/>
      </c>
      <c r="H14" s="13">
        <f>H7+H13</f>
        <v/>
      </c>
      <c r="I14" s="13">
        <f>I7+I13</f>
        <v/>
      </c>
      <c r="J14" s="13">
        <f>J7+J13</f>
        <v/>
      </c>
      <c r="K14" s="13">
        <f>K7+K13</f>
        <v/>
      </c>
      <c r="L14" s="13">
        <f>L7+L13</f>
        <v/>
      </c>
      <c r="M14" s="13">
        <f>M7+M13</f>
        <v/>
      </c>
      <c r="N14" s="13">
        <f>N7+N13</f>
        <v/>
      </c>
      <c r="O14" s="13">
        <f>O7+O13</f>
        <v/>
      </c>
      <c r="P14" s="13">
        <f>P7+P13</f>
        <v/>
      </c>
      <c r="Q14" s="13">
        <f>Q7+Q13</f>
        <v/>
      </c>
      <c r="R14" s="13">
        <f>R7+R13</f>
        <v/>
      </c>
      <c r="S14" s="13">
        <f>S7+S13</f>
        <v/>
      </c>
      <c r="T14" s="13">
        <f>T7+T13</f>
        <v/>
      </c>
      <c r="U14" s="13">
        <f>U7+U13</f>
        <v/>
      </c>
      <c r="V14" s="13">
        <f>V7+V13</f>
        <v/>
      </c>
      <c r="W14" s="13">
        <f>W7+W13</f>
        <v/>
      </c>
      <c r="X14" s="13">
        <f>X7+X13</f>
        <v/>
      </c>
      <c r="Y14" s="13">
        <f>Y7+Y13</f>
        <v/>
      </c>
    </row>
    <row r="15" ht="15" customHeight="1" s="115">
      <c r="A15" s="38" t="inlineStr">
        <is>
          <t>t_c CNL⁶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</row>
    <row r="16" ht="15" customHeight="1" s="115">
      <c r="A16" s="36" t="inlineStr">
        <is>
          <t>Implied t-1 CNL</t>
        </is>
      </c>
      <c r="B16" s="19">
        <f>B15-($V$14-B14)*1%</f>
        <v/>
      </c>
      <c r="C16" s="19">
        <f>C15-($V$14-C14)*1%</f>
        <v/>
      </c>
      <c r="D16" s="19">
        <f>D15-($V$14-D14)*1%</f>
        <v/>
      </c>
      <c r="E16" s="19">
        <f>E15-($V$14-E14)*1%</f>
        <v/>
      </c>
      <c r="F16" s="19">
        <f>F15-($V$14-F14)*1%</f>
        <v/>
      </c>
      <c r="G16" s="19">
        <f>G15-($V$14-G14)*1%</f>
        <v/>
      </c>
      <c r="H16" s="19">
        <f>H15-($V$14-H14)*1%</f>
        <v/>
      </c>
      <c r="I16" s="19">
        <f>I15-($V$14-I14)*1%</f>
        <v/>
      </c>
      <c r="J16" s="19">
        <f>J15-($V$14-J14)*1%</f>
        <v/>
      </c>
      <c r="K16" s="19">
        <f>K15-($V$14-K14)*1%</f>
        <v/>
      </c>
      <c r="L16" s="19">
        <f>L15-($V$14-L14)*1%</f>
        <v/>
      </c>
      <c r="M16" s="19">
        <f>M15-($V$14-M14)*1%</f>
        <v/>
      </c>
      <c r="N16" s="19">
        <f>N15-($V$14-N14)*1%</f>
        <v/>
      </c>
      <c r="O16" s="19">
        <f>O15-($V$14-O14)*1%</f>
        <v/>
      </c>
      <c r="P16" s="19">
        <f>P15-($V$14-P14)*1%</f>
        <v/>
      </c>
      <c r="Q16" s="19">
        <f>Q15-($V$14-Q14)*1%</f>
        <v/>
      </c>
      <c r="R16" s="19">
        <f>R15-($V$14-R14)*1%</f>
        <v/>
      </c>
      <c r="S16" s="19" t="n"/>
      <c r="T16" s="19" t="n"/>
      <c r="U16" s="17" t="n"/>
      <c r="V16" s="19" t="n"/>
      <c r="W16" s="19" t="n"/>
      <c r="X16" s="19" t="n"/>
      <c r="Y16" s="19" t="n"/>
    </row>
    <row r="18" ht="15" customHeight="1" s="115">
      <c r="B18" s="55" t="n"/>
      <c r="C18" s="55" t="n"/>
      <c r="D18" s="55" t="n"/>
      <c r="E18" s="55" t="n"/>
      <c r="F18" s="55" t="n"/>
      <c r="G18" s="55" t="n"/>
      <c r="H18" s="55" t="n"/>
    </row>
    <row r="19" ht="15" customHeight="1" s="115">
      <c r="A19" s="50" t="inlineStr">
        <is>
          <t>1:</t>
        </is>
      </c>
      <c r="B19" s="51" t="inlineStr">
        <is>
          <t>Model Score excludes buybacks and high amount financed.</t>
        </is>
      </c>
    </row>
    <row r="20" ht="15" customHeight="1" s="115">
      <c r="A20" s="50" t="inlineStr">
        <is>
          <t>2:</t>
        </is>
      </c>
      <c r="B20" s="51" t="inlineStr">
        <is>
          <t>We are currently working with Pricing to determine how to use FRN3.1 scores, there are large discrepancies between model scores as booked and FRN3.1 due to what might be centering issues.</t>
        </is>
      </c>
    </row>
    <row r="21" ht="15" customHeight="1" s="115">
      <c r="A21" s="50" t="inlineStr">
        <is>
          <t>3:</t>
        </is>
      </c>
      <c r="B21" s="51" t="inlineStr">
        <is>
          <t>Biggest impacts to Gross Loss Adjustments are Dealer Level, weekday/weekend decision, and high mileage classification.</t>
        </is>
      </c>
    </row>
    <row r="22" ht="15" customHeight="1" s="115">
      <c r="A22" s="50" t="n"/>
      <c r="B22" s="51" t="inlineStr">
        <is>
          <t>Not accounting for potential differences in Gross Loss for test loans.</t>
        </is>
      </c>
    </row>
    <row r="23" ht="15" customHeight="1" s="115">
      <c r="A23" s="50" t="n"/>
      <c r="B23" s="51" t="inlineStr">
        <is>
          <t>See Appendix for details on other factors</t>
        </is>
      </c>
    </row>
    <row r="24" ht="15" customHeight="1" s="115">
      <c r="A24" s="50" t="inlineStr">
        <is>
          <t>4:</t>
        </is>
      </c>
      <c r="B24" s="51" t="inlineStr">
        <is>
          <t>Biggest impacts to Recovery Adjustments are mileage/age, impound probability, and vehicle class.</t>
        </is>
      </c>
    </row>
    <row r="25" ht="15" customHeight="1" s="115">
      <c r="A25" s="50" t="inlineStr">
        <is>
          <t>5:</t>
        </is>
      </c>
      <c r="B25" s="51" t="inlineStr">
        <is>
          <t>LTV adjustments are made using the 10% LTV improvement-&gt;170bps to CNL heuristic, based on BlackBook LTV values.</t>
        </is>
      </c>
    </row>
    <row r="26" ht="15" customHeight="1" s="115">
      <c r="A26" s="50" t="inlineStr">
        <is>
          <t>6:</t>
        </is>
      </c>
      <c r="B26" s="51" t="inlineStr">
        <is>
          <t>MMI uses adjusted index (2019 seasonality). The MMI Impact compares the actual MMI to a 3% annual growth.</t>
        </is>
      </c>
    </row>
    <row r="27" ht="15" customHeight="1" s="115">
      <c r="A27" s="50" t="n"/>
      <c r="B27" s="51" t="inlineStr">
        <is>
          <t>A positive impact of X% means sold recovery will be X% better.</t>
        </is>
      </c>
    </row>
    <row r="28" ht="15" customHeight="1" s="115">
      <c r="A28" s="50" t="inlineStr">
        <is>
          <t>7:</t>
        </is>
      </c>
      <c r="B28" s="51" t="inlineStr">
        <is>
          <t>tc CNL uses UGLY Model projections, and 2023 Q1 blends 75% UGLY Model with 25% Loss Committee.</t>
        </is>
      </c>
    </row>
  </sheetData>
  <pageMargins left="0.7" right="0.7" top="0.75" bottom="0.75" header="0.3" footer="0.3"/>
  <pageSetup orientation="portrait" horizontalDpi="204" verticalDpi="192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28"/>
  <sheetViews>
    <sheetView zoomScale="160" zoomScaleNormal="160" workbookViewId="0">
      <selection activeCell="B1" sqref="B1:D1"/>
    </sheetView>
  </sheetViews>
  <sheetFormatPr baseColWidth="8" defaultColWidth="9.1796875" defaultRowHeight="15" customHeight="1"/>
  <cols>
    <col width="25" customWidth="1" style="41" min="1" max="1"/>
    <col width="7" customWidth="1" style="41" min="2" max="2"/>
    <col width="6.54296875" customWidth="1" style="41" min="3" max="3"/>
    <col width="6.1796875" customWidth="1" style="41" min="4" max="4"/>
    <col width="5.81640625" customWidth="1" style="41" min="5" max="5"/>
    <col width="6.1796875" customWidth="1" style="41" min="6" max="6"/>
    <col width="5.26953125" customWidth="1" style="41" min="7" max="7"/>
    <col width="6.453125" customWidth="1" style="41" min="8" max="8"/>
    <col width="6" customWidth="1" style="41" min="9" max="9"/>
    <col width="6.453125" customWidth="1" style="41" min="10" max="11"/>
    <col width="6.1796875" customWidth="1" style="41" min="12" max="13"/>
    <col width="6.453125" customWidth="1" style="41" min="14" max="14"/>
    <col width="6.26953125" customWidth="1" style="41" min="15" max="15"/>
    <col width="5.26953125" customWidth="1" style="41" min="16" max="16"/>
    <col width="6" customWidth="1" style="41" min="17" max="17"/>
    <col width="6.453125" customWidth="1" style="41" min="18" max="19"/>
    <col width="6.1796875" customWidth="1" style="41" min="20" max="20"/>
    <col width="6.26953125" customWidth="1" style="41" min="21" max="21"/>
    <col width="6.54296875" customWidth="1" style="41" min="22" max="22"/>
    <col width="9.1796875" customWidth="1" style="41" min="23" max="75"/>
    <col width="9.1796875" customWidth="1" style="41" min="76" max="16384"/>
  </cols>
  <sheetData>
    <row r="1" ht="30" customHeight="1" s="115">
      <c r="A1" s="35" t="inlineStr">
        <is>
          <t>STG</t>
        </is>
      </c>
      <c r="B1" s="120" t="n">
        <v>45291</v>
      </c>
      <c r="C1" s="120" t="n">
        <v>45298</v>
      </c>
      <c r="D1" s="120" t="n">
        <v>45305</v>
      </c>
      <c r="E1" s="120" t="n">
        <v>45312</v>
      </c>
      <c r="F1" s="120" t="n">
        <v>45319</v>
      </c>
      <c r="G1" s="120" t="n">
        <v>45326</v>
      </c>
      <c r="H1" s="120" t="n">
        <v>45333</v>
      </c>
      <c r="I1" s="120" t="n">
        <v>45340</v>
      </c>
      <c r="J1" s="120" t="n">
        <v>45347</v>
      </c>
      <c r="K1" s="120" t="n">
        <v>45354</v>
      </c>
      <c r="L1" s="120" t="n">
        <v>45361</v>
      </c>
      <c r="M1" s="120" t="n">
        <v>45368</v>
      </c>
      <c r="N1" s="120" t="n">
        <v>45375</v>
      </c>
      <c r="O1" s="120" t="n">
        <v>45382</v>
      </c>
      <c r="P1" s="120" t="n">
        <v>45389</v>
      </c>
      <c r="Q1" s="120" t="n">
        <v>45396</v>
      </c>
      <c r="R1" s="120" t="n">
        <v>45403</v>
      </c>
      <c r="S1" s="120" t="n">
        <v>45410</v>
      </c>
      <c r="T1" s="120" t="n">
        <v>45417</v>
      </c>
      <c r="U1" s="120" t="n">
        <v>45424</v>
      </c>
      <c r="V1" s="120" t="n">
        <v>45431</v>
      </c>
      <c r="W1" s="120" t="n">
        <v>45438</v>
      </c>
      <c r="X1" s="120" t="n">
        <v>45445</v>
      </c>
      <c r="Y1" s="120" t="n">
        <v>45452</v>
      </c>
      <c r="Z1" s="106" t="n"/>
      <c r="AA1" s="135" t="n"/>
    </row>
    <row r="2" ht="15" customHeight="1" s="115" thickBot="1">
      <c r="A2" s="38" t="inlineStr">
        <is>
          <t>Contract Model Score¹</t>
        </is>
      </c>
      <c r="B2" s="12">
        <f>'Data Tables (W)'!B29</f>
        <v/>
      </c>
      <c r="C2" s="12">
        <f>'Data Tables (W)'!C29</f>
        <v/>
      </c>
      <c r="D2" s="12">
        <f>'Data Tables (W)'!D29</f>
        <v/>
      </c>
      <c r="E2" s="12">
        <f>'Data Tables (W)'!E29</f>
        <v/>
      </c>
      <c r="F2" s="12">
        <f>'Data Tables (W)'!F29</f>
        <v/>
      </c>
      <c r="G2" s="12">
        <f>'Data Tables (W)'!G29</f>
        <v/>
      </c>
      <c r="H2" s="12">
        <f>'Data Tables (W)'!H29</f>
        <v/>
      </c>
      <c r="I2" s="12">
        <f>'Data Tables (W)'!I29</f>
        <v/>
      </c>
      <c r="J2" s="12">
        <f>'Data Tables (W)'!J29</f>
        <v/>
      </c>
      <c r="K2" s="12">
        <f>'Data Tables (W)'!K29</f>
        <v/>
      </c>
      <c r="L2" s="12">
        <f>'Data Tables (W)'!L29</f>
        <v/>
      </c>
      <c r="M2" s="12">
        <f>'Data Tables (W)'!M29</f>
        <v/>
      </c>
      <c r="N2" s="12">
        <f>'Data Tables (W)'!N29</f>
        <v/>
      </c>
      <c r="O2" s="12">
        <f>'Data Tables (W)'!O29</f>
        <v/>
      </c>
      <c r="P2" s="12">
        <f>'Data Tables (W)'!P29</f>
        <v/>
      </c>
      <c r="Q2" s="12">
        <f>'Data Tables (W)'!Q29</f>
        <v/>
      </c>
      <c r="R2" s="12">
        <f>'Data Tables (W)'!R29</f>
        <v/>
      </c>
      <c r="S2" s="12">
        <f>'Data Tables (W)'!S29</f>
        <v/>
      </c>
      <c r="T2" s="12">
        <f>'Data Tables (W)'!T29</f>
        <v/>
      </c>
      <c r="U2" s="12">
        <f>'Data Tables (W)'!U29</f>
        <v/>
      </c>
      <c r="V2" s="12">
        <f>'Data Tables (W)'!V29</f>
        <v/>
      </c>
      <c r="W2" s="12">
        <f>'Data Tables (W)'!W29</f>
        <v/>
      </c>
      <c r="X2" s="61" t="n"/>
      <c r="Y2" s="75" t="n"/>
      <c r="Z2" s="107" t="n"/>
      <c r="AA2" s="133" t="n"/>
    </row>
    <row r="3" hidden="1" ht="15" customHeight="1" s="115">
      <c r="A3" s="43" t="inlineStr">
        <is>
          <t>Shift to FRN 3.1 Score²</t>
        </is>
      </c>
      <c r="B3" s="13">
        <f>'Data Tables (W)'!B30*Z2</f>
        <v/>
      </c>
      <c r="C3" s="13">
        <f>'Data Tables (W)'!C30*AA2</f>
        <v/>
      </c>
      <c r="D3" s="13">
        <f>'Data Tables (W)'!D30*AB2</f>
        <v/>
      </c>
      <c r="E3" s="13">
        <f>'Data Tables (W)'!E30*AC2</f>
        <v/>
      </c>
      <c r="F3" s="13">
        <f>'Data Tables (W)'!F30*AD2</f>
        <v/>
      </c>
      <c r="G3" s="13">
        <f>'Data Tables (W)'!G30*AE2</f>
        <v/>
      </c>
      <c r="H3" s="13">
        <f>'Data Tables (W)'!H30*AF2</f>
        <v/>
      </c>
      <c r="I3" s="13">
        <f>'Data Tables (W)'!I30*AG2</f>
        <v/>
      </c>
      <c r="J3" s="13">
        <f>'Data Tables (W)'!J30*AH2</f>
        <v/>
      </c>
      <c r="K3" s="13">
        <f>'Data Tables (W)'!K30*AI2</f>
        <v/>
      </c>
      <c r="L3" s="13">
        <f>'Data Tables (W)'!L30*AJ2</f>
        <v/>
      </c>
      <c r="M3" s="13">
        <f>'Data Tables (W)'!M30*AK2</f>
        <v/>
      </c>
      <c r="N3" s="13">
        <f>'Data Tables (W)'!N30*AL2</f>
        <v/>
      </c>
      <c r="O3" s="13">
        <f>'Data Tables (W)'!O30*AM2</f>
        <v/>
      </c>
      <c r="P3" s="13">
        <f>'Data Tables (W)'!P30*AN2</f>
        <v/>
      </c>
      <c r="Q3" s="13">
        <f>'Data Tables (W)'!Q30*AO2</f>
        <v/>
      </c>
      <c r="R3" s="13">
        <f>'Data Tables (W)'!R30*AP2</f>
        <v/>
      </c>
      <c r="S3" s="13">
        <f>'Data Tables (W)'!S30*AQ2</f>
        <v/>
      </c>
      <c r="T3" s="13">
        <f>'Data Tables (W)'!T30*AR2</f>
        <v/>
      </c>
      <c r="U3" s="13">
        <f>'Data Tables (W)'!U30*AS2</f>
        <v/>
      </c>
      <c r="V3" s="13">
        <f>'Data Tables (W)'!V30*AT2</f>
        <v/>
      </c>
      <c r="W3" s="13">
        <f>'Data Tables (W)'!W30*AU2</f>
        <v/>
      </c>
      <c r="X3" s="44" t="n"/>
      <c r="Y3" s="17" t="n"/>
    </row>
    <row r="4" ht="30" customHeight="1" s="115">
      <c r="A4" s="36" t="inlineStr">
        <is>
          <t>Gross Loss Adjustments (Dealer Level, vehicle age, etc.)²</t>
        </is>
      </c>
      <c r="B4" s="13">
        <f>'Data Tables (W)'!B31</f>
        <v/>
      </c>
      <c r="C4" s="13">
        <f>'Data Tables (W)'!C31</f>
        <v/>
      </c>
      <c r="D4" s="13">
        <f>'Data Tables (W)'!D31</f>
        <v/>
      </c>
      <c r="E4" s="13">
        <f>'Data Tables (W)'!E31</f>
        <v/>
      </c>
      <c r="F4" s="13">
        <f>'Data Tables (W)'!F31</f>
        <v/>
      </c>
      <c r="G4" s="13">
        <f>'Data Tables (W)'!G31</f>
        <v/>
      </c>
      <c r="H4" s="13">
        <f>'Data Tables (W)'!H31</f>
        <v/>
      </c>
      <c r="I4" s="13">
        <f>'Data Tables (W)'!I31</f>
        <v/>
      </c>
      <c r="J4" s="13">
        <f>'Data Tables (W)'!J31</f>
        <v/>
      </c>
      <c r="K4" s="13">
        <f>'Data Tables (W)'!K31</f>
        <v/>
      </c>
      <c r="L4" s="13">
        <f>'Data Tables (W)'!L31</f>
        <v/>
      </c>
      <c r="M4" s="13">
        <f>'Data Tables (W)'!M31</f>
        <v/>
      </c>
      <c r="N4" s="13">
        <f>'Data Tables (W)'!N31</f>
        <v/>
      </c>
      <c r="O4" s="13">
        <f>'Data Tables (W)'!O31</f>
        <v/>
      </c>
      <c r="P4" s="13">
        <f>'Data Tables (W)'!P31</f>
        <v/>
      </c>
      <c r="Q4" s="13">
        <f>'Data Tables (W)'!Q31</f>
        <v/>
      </c>
      <c r="R4" s="13">
        <f>'Data Tables (W)'!R31</f>
        <v/>
      </c>
      <c r="S4" s="13">
        <f>'Data Tables (W)'!S31</f>
        <v/>
      </c>
      <c r="T4" s="13">
        <f>'Data Tables (W)'!T31</f>
        <v/>
      </c>
      <c r="U4" s="13">
        <f>'Data Tables (W)'!U31</f>
        <v/>
      </c>
      <c r="V4" s="13">
        <f>'Data Tables (W)'!V31</f>
        <v/>
      </c>
      <c r="W4" s="13">
        <f>'Data Tables (W)'!W31</f>
        <v/>
      </c>
      <c r="X4" s="44" t="n"/>
      <c r="Y4" s="17" t="n"/>
    </row>
    <row r="5" ht="30" customHeight="1" s="115">
      <c r="A5" s="38" t="inlineStr">
        <is>
          <t>Recovery Adjustments excluding LTV (Mileage, LOB, etc.)³</t>
        </is>
      </c>
      <c r="B5" s="12">
        <f>'Data Tables (W)'!B32</f>
        <v/>
      </c>
      <c r="C5" s="12">
        <f>'Data Tables (W)'!C32</f>
        <v/>
      </c>
      <c r="D5" s="12">
        <f>'Data Tables (W)'!D32</f>
        <v/>
      </c>
      <c r="E5" s="12">
        <f>'Data Tables (W)'!E32</f>
        <v/>
      </c>
      <c r="F5" s="12">
        <f>'Data Tables (W)'!F32</f>
        <v/>
      </c>
      <c r="G5" s="12">
        <f>'Data Tables (W)'!G32</f>
        <v/>
      </c>
      <c r="H5" s="12">
        <f>'Data Tables (W)'!H32</f>
        <v/>
      </c>
      <c r="I5" s="12">
        <f>'Data Tables (W)'!I32</f>
        <v/>
      </c>
      <c r="J5" s="12">
        <f>'Data Tables (W)'!J32</f>
        <v/>
      </c>
      <c r="K5" s="12">
        <f>'Data Tables (W)'!K32</f>
        <v/>
      </c>
      <c r="L5" s="12">
        <f>'Data Tables (W)'!L32</f>
        <v/>
      </c>
      <c r="M5" s="12">
        <f>'Data Tables (W)'!M32</f>
        <v/>
      </c>
      <c r="N5" s="12">
        <f>'Data Tables (W)'!N32</f>
        <v/>
      </c>
      <c r="O5" s="12">
        <f>'Data Tables (W)'!O32</f>
        <v/>
      </c>
      <c r="P5" s="12">
        <f>'Data Tables (W)'!P32</f>
        <v/>
      </c>
      <c r="Q5" s="12">
        <f>'Data Tables (W)'!Q32</f>
        <v/>
      </c>
      <c r="R5" s="12">
        <f>'Data Tables (W)'!R32</f>
        <v/>
      </c>
      <c r="S5" s="12">
        <f>'Data Tables (W)'!S32</f>
        <v/>
      </c>
      <c r="T5" s="12">
        <f>'Data Tables (W)'!T32</f>
        <v/>
      </c>
      <c r="U5" s="12">
        <f>'Data Tables (W)'!U32</f>
        <v/>
      </c>
      <c r="V5" s="12">
        <f>'Data Tables (W)'!V32</f>
        <v/>
      </c>
      <c r="W5" s="12">
        <f>'Data Tables (W)'!W32</f>
        <v/>
      </c>
      <c r="X5" s="44" t="n"/>
      <c r="Y5" s="17" t="n"/>
    </row>
    <row r="6" ht="15" customHeight="1" s="115">
      <c r="A6" s="36" t="inlineStr">
        <is>
          <t>BBLTV Adjustments⁴</t>
        </is>
      </c>
      <c r="B6" s="13">
        <f>(194%/B10-1)/10%*1.7</f>
        <v/>
      </c>
      <c r="C6" s="13">
        <f>(194%/C10-1)/10%*1.7</f>
        <v/>
      </c>
      <c r="D6" s="13">
        <f>(194%/D10-1)/10%*1.7</f>
        <v/>
      </c>
      <c r="E6" s="13">
        <f>(194%/E10-1)/10%*1.7</f>
        <v/>
      </c>
      <c r="F6" s="13">
        <f>(194%/F10-1)/10%*1.7</f>
        <v/>
      </c>
      <c r="G6" s="13">
        <f>(194%/G10-1)/10%*1.7</f>
        <v/>
      </c>
      <c r="H6" s="13">
        <f>(194%/H10-1)/10%*1.7</f>
        <v/>
      </c>
      <c r="I6" s="13">
        <f>(194%/I10-1)/10%*1.7</f>
        <v/>
      </c>
      <c r="J6" s="13">
        <f>(194%/J10-1)/10%*1.7</f>
        <v/>
      </c>
      <c r="K6" s="13">
        <f>(194%/K10-1)/10%*1.7</f>
        <v/>
      </c>
      <c r="L6" s="13">
        <f>(194%/L10-1)/10%*1.7</f>
        <v/>
      </c>
      <c r="M6" s="13">
        <f>(194%/M10-1)/10%*1.7</f>
        <v/>
      </c>
      <c r="N6" s="13">
        <f>(194%/N10-1)/10%*1.7</f>
        <v/>
      </c>
      <c r="O6" s="13">
        <f>(194%/O10-1)/10%*1.7</f>
        <v/>
      </c>
      <c r="P6" s="13">
        <f>(194%/P10-1)/10%*1.7</f>
        <v/>
      </c>
      <c r="Q6" s="13">
        <f>(194%/Q10-1)/10%*1.7</f>
        <v/>
      </c>
      <c r="R6" s="13">
        <f>(194%/R10-1)/10%*1.7</f>
        <v/>
      </c>
      <c r="S6" s="13">
        <f>(194%/S10-1)/10%*1.7</f>
        <v/>
      </c>
      <c r="T6" s="13">
        <f>(194%/T10-1)/10%*1.7</f>
        <v/>
      </c>
      <c r="U6" s="13">
        <f>(194%/U10-1)/10%*1.7</f>
        <v/>
      </c>
      <c r="V6" s="13">
        <f>(194%/V10-1)/10%*1.7</f>
        <v/>
      </c>
      <c r="W6" s="13">
        <f>(194%/W10-1)/10%*1.7</f>
        <v/>
      </c>
      <c r="Y6" s="16" t="n"/>
    </row>
    <row r="7" ht="15" customHeight="1" s="115">
      <c r="A7" s="38" t="inlineStr">
        <is>
          <t>RAGU Score</t>
        </is>
      </c>
      <c r="B7" s="12">
        <f>SUM(B2:B6)</f>
        <v/>
      </c>
      <c r="C7" s="12">
        <f>SUM(C2:C6)</f>
        <v/>
      </c>
      <c r="D7" s="12">
        <f>SUM(D2:D6)</f>
        <v/>
      </c>
      <c r="E7" s="12">
        <f>SUM(E2:E6)</f>
        <v/>
      </c>
      <c r="F7" s="12">
        <f>SUM(F2:F6)</f>
        <v/>
      </c>
      <c r="G7" s="12">
        <f>SUM(G2:G6)</f>
        <v/>
      </c>
      <c r="H7" s="12">
        <f>SUM(H2:H6)</f>
        <v/>
      </c>
      <c r="I7" s="12">
        <f>SUM(I2:I6)</f>
        <v/>
      </c>
      <c r="J7" s="12">
        <f>SUM(J2:J6)</f>
        <v/>
      </c>
      <c r="K7" s="12">
        <f>SUM(K2:K6)</f>
        <v/>
      </c>
      <c r="L7" s="12">
        <f>SUM(L2:L6)</f>
        <v/>
      </c>
      <c r="M7" s="12">
        <f>SUM(M2:M6)</f>
        <v/>
      </c>
      <c r="N7" s="12">
        <f>SUM(N2:N6)</f>
        <v/>
      </c>
      <c r="O7" s="12">
        <f>SUM(O2:O6)</f>
        <v/>
      </c>
      <c r="P7" s="12">
        <f>SUM(P2:P6)</f>
        <v/>
      </c>
      <c r="Q7" s="12">
        <f>SUM(Q2:Q6)</f>
        <v/>
      </c>
      <c r="R7" s="12">
        <f>SUM(R2:R6)</f>
        <v/>
      </c>
      <c r="S7" s="12">
        <f>SUM(S2:S6)</f>
        <v/>
      </c>
      <c r="T7" s="12">
        <f>SUM(T2:T6)</f>
        <v/>
      </c>
      <c r="U7" s="12">
        <f>SUM(U2:U6)</f>
        <v/>
      </c>
      <c r="V7" s="12">
        <f>SUM(V2:V6)</f>
        <v/>
      </c>
      <c r="W7" s="12">
        <f>SUM(W2:W6)</f>
        <v/>
      </c>
      <c r="Y7" s="16" t="n"/>
    </row>
    <row r="8" ht="15" customHeight="1" s="115">
      <c r="A8" s="40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S8" s="46" t="n"/>
      <c r="T8" s="46" t="n"/>
      <c r="U8" s="46" t="n"/>
      <c r="V8" s="46" t="n"/>
      <c r="W8" s="46" t="n"/>
      <c r="Y8" s="16" t="n"/>
    </row>
    <row r="9" ht="15" customHeight="1" s="115">
      <c r="A9" s="42" t="inlineStr">
        <is>
          <t>Context info</t>
        </is>
      </c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Y9" s="16" t="n"/>
    </row>
    <row r="10" ht="15" customHeight="1" s="115">
      <c r="A10" s="36" t="inlineStr">
        <is>
          <t>BlackBook LTV (Baseline 194%)</t>
        </is>
      </c>
      <c r="B10" s="81">
        <f>'Data Tables (W)'!B35</f>
        <v/>
      </c>
      <c r="C10" s="81">
        <f>'Data Tables (W)'!C35</f>
        <v/>
      </c>
      <c r="D10" s="81">
        <f>'Data Tables (W)'!D35</f>
        <v/>
      </c>
      <c r="E10" s="81">
        <f>'Data Tables (W)'!E35</f>
        <v/>
      </c>
      <c r="F10" s="81">
        <f>'Data Tables (W)'!F35</f>
        <v/>
      </c>
      <c r="G10" s="81">
        <f>'Data Tables (W)'!G35</f>
        <v/>
      </c>
      <c r="H10" s="81">
        <f>'Data Tables (W)'!H35</f>
        <v/>
      </c>
      <c r="I10" s="81">
        <f>'Data Tables (W)'!I35</f>
        <v/>
      </c>
      <c r="J10" s="81">
        <f>'Data Tables (W)'!J35</f>
        <v/>
      </c>
      <c r="K10" s="81">
        <f>'Data Tables (W)'!K35</f>
        <v/>
      </c>
      <c r="L10" s="81">
        <f>'Data Tables (W)'!L35</f>
        <v/>
      </c>
      <c r="M10" s="81">
        <f>'Data Tables (W)'!M35</f>
        <v/>
      </c>
      <c r="N10" s="81">
        <f>'Data Tables (W)'!N35</f>
        <v/>
      </c>
      <c r="O10" s="81">
        <f>'Data Tables (W)'!O35</f>
        <v/>
      </c>
      <c r="P10" s="81">
        <f>'Data Tables (W)'!P35</f>
        <v/>
      </c>
      <c r="Q10" s="81">
        <f>'Data Tables (W)'!Q35</f>
        <v/>
      </c>
      <c r="R10" s="81">
        <f>'Data Tables (W)'!R35</f>
        <v/>
      </c>
      <c r="S10" s="81">
        <f>'Data Tables (W)'!S35</f>
        <v/>
      </c>
      <c r="T10" s="81">
        <f>'Data Tables (W)'!T35</f>
        <v/>
      </c>
      <c r="U10" s="81">
        <f>'Data Tables (W)'!U35</f>
        <v/>
      </c>
      <c r="V10" s="81">
        <f>'Data Tables (W)'!V35</f>
        <v/>
      </c>
      <c r="W10" s="81">
        <f>'Data Tables (W)'!W35</f>
        <v/>
      </c>
      <c r="X10" s="44" t="n"/>
      <c r="Y10" s="17" t="n"/>
    </row>
    <row r="11" ht="15" customHeight="1" s="115">
      <c r="A11" s="37" t="inlineStr">
        <is>
          <t>Origination MMI</t>
        </is>
      </c>
      <c r="B11" s="83" t="n"/>
      <c r="C11" s="83" t="n"/>
      <c r="D11" s="83" t="n"/>
      <c r="E11" s="83" t="n"/>
      <c r="F11" s="83" t="n"/>
      <c r="G11" s="83" t="n"/>
      <c r="H11" s="83" t="n"/>
      <c r="I11" s="83" t="n"/>
      <c r="J11" s="83" t="n"/>
      <c r="K11" s="83" t="n"/>
      <c r="L11" s="83" t="n"/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  <c r="V11" s="84" t="n"/>
      <c r="W11" s="84" t="n"/>
    </row>
    <row r="12" ht="15" customHeight="1" s="115">
      <c r="A12" s="43" t="inlineStr">
        <is>
          <t>MMI Impact⁵</t>
        </is>
      </c>
      <c r="B12" s="82" t="n"/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  <c r="W12" s="82" t="n"/>
    </row>
    <row r="13" ht="15" customHeight="1" s="115">
      <c r="A13" s="38" t="inlineStr">
        <is>
          <t>Adjustment to RAGU Score from MMI</t>
        </is>
      </c>
      <c r="B13" s="85">
        <f>B12/10%*1.7</f>
        <v/>
      </c>
      <c r="C13" s="85">
        <f>C12/10%*1.7</f>
        <v/>
      </c>
      <c r="D13" s="85">
        <f>D12/10%*1.7</f>
        <v/>
      </c>
      <c r="E13" s="85">
        <f>E12/10%*1.7</f>
        <v/>
      </c>
      <c r="F13" s="85">
        <f>F12/10%*1.7</f>
        <v/>
      </c>
      <c r="G13" s="85">
        <f>G12/10%*1.7</f>
        <v/>
      </c>
      <c r="H13" s="85">
        <f>H12/10%*1.7</f>
        <v/>
      </c>
      <c r="I13" s="85">
        <f>I12/10%*1.7</f>
        <v/>
      </c>
      <c r="J13" s="85">
        <f>J12/10%*1.7</f>
        <v/>
      </c>
      <c r="K13" s="85">
        <f>K12/10%*1.7</f>
        <v/>
      </c>
      <c r="L13" s="85">
        <f>L12/10%*1.7</f>
        <v/>
      </c>
      <c r="M13" s="85">
        <f>M12/10%*1.7</f>
        <v/>
      </c>
      <c r="N13" s="85">
        <f>N12/10%*1.7</f>
        <v/>
      </c>
      <c r="O13" s="85">
        <f>O12/10%*1.7</f>
        <v/>
      </c>
      <c r="P13" s="85">
        <f>P12/10%*1.7</f>
        <v/>
      </c>
      <c r="Q13" s="85">
        <f>Q12/10%*1.7</f>
        <v/>
      </c>
      <c r="R13" s="85">
        <f>R12/10%*1.7</f>
        <v/>
      </c>
      <c r="S13" s="85">
        <f>S12/10%*1.7</f>
        <v/>
      </c>
      <c r="T13" s="85">
        <f>T12/10%*1.7</f>
        <v/>
      </c>
      <c r="U13" s="85">
        <f>U12/10%*1.7</f>
        <v/>
      </c>
      <c r="V13" s="85">
        <f>V12/10%*1.7</f>
        <v/>
      </c>
      <c r="W13" s="85">
        <f>W12/10%*1.7</f>
        <v/>
      </c>
    </row>
    <row r="14" ht="15" customHeight="1" s="115">
      <c r="A14" s="36" t="inlineStr">
        <is>
          <t>RAGU Score (adjusted for MMI)</t>
        </is>
      </c>
      <c r="B14" s="13">
        <f>B7+B13</f>
        <v/>
      </c>
      <c r="C14" s="13">
        <f>C7+C13</f>
        <v/>
      </c>
      <c r="D14" s="13">
        <f>D7+D13</f>
        <v/>
      </c>
      <c r="E14" s="13">
        <f>E7+E13</f>
        <v/>
      </c>
      <c r="F14" s="13">
        <f>F7+F13</f>
        <v/>
      </c>
      <c r="G14" s="13">
        <f>G7+G13</f>
        <v/>
      </c>
      <c r="H14" s="13">
        <f>H7+H13</f>
        <v/>
      </c>
      <c r="I14" s="13">
        <f>I7+I13</f>
        <v/>
      </c>
      <c r="J14" s="13">
        <f>J7+J13</f>
        <v/>
      </c>
      <c r="K14" s="13">
        <f>K7+K13</f>
        <v/>
      </c>
      <c r="L14" s="13">
        <f>L7+L13</f>
        <v/>
      </c>
      <c r="M14" s="13">
        <f>M7+M13</f>
        <v/>
      </c>
      <c r="N14" s="13">
        <f>N7+N13</f>
        <v/>
      </c>
      <c r="O14" s="13">
        <f>O7+O13</f>
        <v/>
      </c>
      <c r="P14" s="13">
        <f>P7+P13</f>
        <v/>
      </c>
      <c r="Q14" s="13">
        <f>Q7+Q13</f>
        <v/>
      </c>
      <c r="R14" s="13">
        <f>R7+R13</f>
        <v/>
      </c>
      <c r="S14" s="13">
        <f>S7+S13</f>
        <v/>
      </c>
      <c r="T14" s="13">
        <f>T7+T13</f>
        <v/>
      </c>
      <c r="U14" s="13">
        <f>U7+U13</f>
        <v/>
      </c>
      <c r="V14" s="13">
        <f>V7+V13</f>
        <v/>
      </c>
      <c r="W14" s="13">
        <f>W7+W13</f>
        <v/>
      </c>
    </row>
    <row r="15" ht="15" customHeight="1" s="115">
      <c r="A15" s="38" t="inlineStr">
        <is>
          <t>t_c CNL⁶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1" t="n"/>
      <c r="W15" s="21" t="n"/>
    </row>
    <row r="16" ht="15" customHeight="1" s="115">
      <c r="A16" s="36" t="inlineStr">
        <is>
          <t>Implied t-1 CNL</t>
        </is>
      </c>
      <c r="B16" s="19">
        <f>B15-($V$14-B14)*1%</f>
        <v/>
      </c>
      <c r="C16" s="19">
        <f>C15-($V$14-C14)*1%</f>
        <v/>
      </c>
      <c r="D16" s="19">
        <f>D15-($V$14-D14)*1%</f>
        <v/>
      </c>
      <c r="E16" s="19">
        <f>E15-($V$14-E14)*1%</f>
        <v/>
      </c>
      <c r="F16" s="19">
        <f>F15-($V$14-F14)*1%</f>
        <v/>
      </c>
      <c r="G16" s="19">
        <f>G15-($V$14-G14)*1%</f>
        <v/>
      </c>
      <c r="H16" s="19">
        <f>H15-($V$14-H14)*1%</f>
        <v/>
      </c>
      <c r="I16" s="19">
        <f>I15-($V$14-I14)*1%</f>
        <v/>
      </c>
      <c r="J16" s="19">
        <f>J15-($V$14-J14)*1%</f>
        <v/>
      </c>
      <c r="K16" s="19">
        <f>K15-($V$14-K14)*1%</f>
        <v/>
      </c>
      <c r="L16" s="19">
        <f>L15-($V$14-L14)*1%</f>
        <v/>
      </c>
      <c r="M16" s="19">
        <f>M15-($V$14-M14)*1%</f>
        <v/>
      </c>
      <c r="N16" s="19">
        <f>N15-($V$14-N14)*1%</f>
        <v/>
      </c>
      <c r="O16" s="19">
        <f>O15-($V$14-O14)*1%</f>
        <v/>
      </c>
      <c r="P16" s="19">
        <f>P15-($V$14-P14)*1%</f>
        <v/>
      </c>
      <c r="Q16" s="19">
        <f>Q15-($V$14-Q14)*1%</f>
        <v/>
      </c>
      <c r="R16" s="19">
        <f>R15-($V$14-R14)*1%</f>
        <v/>
      </c>
      <c r="S16" s="19" t="n"/>
      <c r="T16" s="19" t="n"/>
      <c r="U16" s="19" t="n"/>
      <c r="V16" s="19" t="n"/>
      <c r="W16" s="19" t="n"/>
    </row>
    <row r="18" ht="15" customHeight="1" s="115">
      <c r="B18" s="55" t="n"/>
      <c r="C18" s="55" t="n"/>
      <c r="D18" s="55" t="n"/>
      <c r="E18" s="55" t="n"/>
      <c r="F18" s="55" t="n"/>
      <c r="G18" s="55" t="n"/>
      <c r="H18" s="55" t="n"/>
    </row>
    <row r="19" ht="15" customHeight="1" s="115">
      <c r="A19" s="50" t="inlineStr">
        <is>
          <t>1:</t>
        </is>
      </c>
      <c r="B19" s="51" t="inlineStr">
        <is>
          <t>Model Score excludes buybacks and high amount financed.</t>
        </is>
      </c>
    </row>
    <row r="20" ht="15" customHeight="1" s="115">
      <c r="A20" s="50" t="inlineStr">
        <is>
          <t>2:</t>
        </is>
      </c>
      <c r="B20" s="51" t="inlineStr">
        <is>
          <t>We are currently working with Pricing to determine how to use FRN3.1 scores, there are large discrepancies between model scores as booked and FRN3.1 due to what might be centering issues.</t>
        </is>
      </c>
    </row>
    <row r="21" ht="15" customHeight="1" s="115">
      <c r="A21" s="50" t="inlineStr">
        <is>
          <t>3:</t>
        </is>
      </c>
      <c r="B21" s="51" t="inlineStr">
        <is>
          <t>Biggest impacts to Gross Loss Adjustments are Dealer Level, weekday/weekend decision, and high mileage classification.</t>
        </is>
      </c>
    </row>
    <row r="22" ht="15" customHeight="1" s="115">
      <c r="A22" s="50" t="n"/>
      <c r="B22" s="51" t="inlineStr">
        <is>
          <t>Not accounting for potential differences in Gross Loss for test loans.</t>
        </is>
      </c>
    </row>
    <row r="23" ht="15" customHeight="1" s="115">
      <c r="A23" s="50" t="n"/>
      <c r="B23" s="51" t="inlineStr">
        <is>
          <t>See Appendix for details on other factors</t>
        </is>
      </c>
    </row>
    <row r="24" ht="15" customHeight="1" s="115">
      <c r="A24" s="50" t="inlineStr">
        <is>
          <t>4:</t>
        </is>
      </c>
      <c r="B24" s="51" t="inlineStr">
        <is>
          <t>Biggest impacts to Recovery Adjustments are mileage/age, impound probability, and vehicle class.</t>
        </is>
      </c>
    </row>
    <row r="25" ht="15" customHeight="1" s="115">
      <c r="A25" s="50" t="inlineStr">
        <is>
          <t>5:</t>
        </is>
      </c>
      <c r="B25" s="51" t="inlineStr">
        <is>
          <t>LTV adjustments are made using the 10% LTV improvement-&gt;170bps to CNL heuristic, based on BlackBook LTV values.</t>
        </is>
      </c>
    </row>
    <row r="26" ht="15" customHeight="1" s="115">
      <c r="A26" s="50" t="inlineStr">
        <is>
          <t>6:</t>
        </is>
      </c>
      <c r="B26" s="51" t="inlineStr">
        <is>
          <t>MMI uses adjusted index (2019 seasonality). The MMI Impact compares the actual MMI to a 3% annual growth.</t>
        </is>
      </c>
    </row>
    <row r="27" ht="15" customHeight="1" s="115">
      <c r="A27" s="50" t="n"/>
      <c r="B27" s="51" t="inlineStr">
        <is>
          <t>A positive impact of X% means sold recovery will be X% better.</t>
        </is>
      </c>
    </row>
    <row r="28" ht="15" customHeight="1" s="115">
      <c r="A28" s="50" t="inlineStr">
        <is>
          <t>7:</t>
        </is>
      </c>
      <c r="B28" s="51" t="inlineStr">
        <is>
          <t>tc CNL uses UGLY Model projections, and 2023 Q1 blends 75% UGLY Model with 25% Loss Committee.</t>
        </is>
      </c>
    </row>
  </sheetData>
  <pageMargins left="0.7" right="0.7" top="0.75" bottom="0.75" header="0.3" footer="0.3"/>
  <pageSetup orientation="portrait" horizontalDpi="204" verticalDpi="192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27"/>
  <sheetViews>
    <sheetView topLeftCell="F1" zoomScale="160" zoomScaleNormal="160" workbookViewId="0">
      <selection activeCell="B1" sqref="B1:D1"/>
    </sheetView>
  </sheetViews>
  <sheetFormatPr baseColWidth="8" defaultColWidth="9.1796875" defaultRowHeight="15" customHeight="1"/>
  <cols>
    <col width="25" customWidth="1" style="41" min="1" max="1"/>
    <col width="6.1796875" customWidth="1" style="41" min="2" max="2"/>
    <col width="5.26953125" customWidth="1" style="41" min="3" max="3"/>
    <col width="6.1796875" customWidth="1" style="41" min="4" max="4"/>
    <col width="6" customWidth="1" style="41" min="5" max="6"/>
    <col width="5.26953125" customWidth="1" style="41" min="7" max="7"/>
    <col width="6.54296875" customWidth="1" style="41" min="8" max="8"/>
    <col width="7.1796875" customWidth="1" style="41" min="9" max="9"/>
    <col width="6.1796875" customWidth="1" style="41" min="10" max="10"/>
    <col width="5.81640625" customWidth="1" style="41" min="11" max="11"/>
    <col width="6.1796875" customWidth="1" style="41" min="12" max="12"/>
    <col width="6.453125" customWidth="1" style="41" min="13" max="14"/>
    <col width="6.54296875" customWidth="1" style="41" min="15" max="15"/>
    <col width="5.81640625" customWidth="1" style="41" min="16" max="16"/>
    <col width="6.1796875" customWidth="1" style="41" min="17" max="17"/>
    <col width="6" customWidth="1" style="41" min="18" max="18"/>
    <col width="7.26953125" customWidth="1" style="41" min="19" max="19"/>
    <col width="6.1796875" customWidth="1" style="41" min="20" max="20"/>
    <col width="6.7265625" customWidth="1" style="41" min="21" max="21"/>
    <col width="7.54296875" customWidth="1" style="41" min="22" max="22"/>
    <col width="9.1796875" customWidth="1" style="41" min="23" max="72"/>
    <col width="9.1796875" customWidth="1" style="41" min="73" max="16384"/>
  </cols>
  <sheetData>
    <row r="1" ht="22.5" customHeight="1" s="115">
      <c r="A1" s="35" t="inlineStr">
        <is>
          <t>FLD</t>
        </is>
      </c>
      <c r="B1" s="120" t="n">
        <v>45291</v>
      </c>
      <c r="C1" s="120" t="n">
        <v>45298</v>
      </c>
      <c r="D1" s="120" t="n">
        <v>45305</v>
      </c>
      <c r="E1" s="120" t="n">
        <v>45312</v>
      </c>
      <c r="F1" s="120" t="n">
        <v>45319</v>
      </c>
      <c r="G1" s="120" t="n">
        <v>45326</v>
      </c>
      <c r="H1" s="120" t="n">
        <v>45333</v>
      </c>
      <c r="I1" s="120" t="n">
        <v>45340</v>
      </c>
      <c r="J1" s="120" t="n">
        <v>45347</v>
      </c>
      <c r="K1" s="120" t="n">
        <v>45354</v>
      </c>
      <c r="L1" s="120" t="n">
        <v>45361</v>
      </c>
      <c r="M1" s="120" t="n">
        <v>45368</v>
      </c>
      <c r="N1" s="120" t="n">
        <v>45375</v>
      </c>
      <c r="O1" s="120" t="n">
        <v>45382</v>
      </c>
      <c r="P1" s="120" t="n">
        <v>45389</v>
      </c>
      <c r="Q1" s="120" t="n">
        <v>45396</v>
      </c>
      <c r="R1" s="120" t="n">
        <v>45403</v>
      </c>
      <c r="S1" s="120" t="n">
        <v>45410</v>
      </c>
      <c r="T1" s="121" t="n">
        <v>45417</v>
      </c>
      <c r="U1" s="121" t="n">
        <v>45424</v>
      </c>
      <c r="V1" s="122" t="n">
        <v>45431</v>
      </c>
      <c r="W1" s="121" t="n">
        <v>45438</v>
      </c>
      <c r="X1" s="122" t="n">
        <v>45445</v>
      </c>
      <c r="Y1" s="121" t="n">
        <v>45452</v>
      </c>
      <c r="Z1" s="122" t="n">
        <v>45459</v>
      </c>
      <c r="AA1" s="121" t="n">
        <v>45466</v>
      </c>
    </row>
    <row r="2" ht="15" customHeight="1" s="115">
      <c r="A2" s="38" t="inlineStr">
        <is>
          <t>Contract Model Score¹</t>
        </is>
      </c>
      <c r="B2" s="12">
        <f>'Data Tables (W)'!B11</f>
        <v/>
      </c>
      <c r="C2" s="12">
        <f>'Data Tables (W)'!C11</f>
        <v/>
      </c>
      <c r="D2" s="12">
        <f>'Data Tables (W)'!D11</f>
        <v/>
      </c>
      <c r="E2" s="12">
        <f>'Data Tables (W)'!E11</f>
        <v/>
      </c>
      <c r="F2" s="12">
        <f>'Data Tables (W)'!F11</f>
        <v/>
      </c>
      <c r="G2" s="12">
        <f>'Data Tables (W)'!G11</f>
        <v/>
      </c>
      <c r="H2" s="12">
        <f>'Data Tables (W)'!H11</f>
        <v/>
      </c>
      <c r="I2" s="12">
        <f>'Data Tables (W)'!I11</f>
        <v/>
      </c>
      <c r="J2" s="12">
        <f>'Data Tables (W)'!J11</f>
        <v/>
      </c>
      <c r="K2" s="12">
        <f>'Data Tables (W)'!K11</f>
        <v/>
      </c>
      <c r="L2" s="12">
        <f>'Data Tables (W)'!L11</f>
        <v/>
      </c>
      <c r="M2" s="12">
        <f>'Data Tables (W)'!M11</f>
        <v/>
      </c>
      <c r="N2" s="12">
        <f>'Data Tables (W)'!N11</f>
        <v/>
      </c>
      <c r="O2" s="12">
        <f>'Data Tables (W)'!O11</f>
        <v/>
      </c>
      <c r="P2" s="12">
        <f>'Data Tables (W)'!P11</f>
        <v/>
      </c>
      <c r="Q2" s="12">
        <f>'Data Tables (W)'!Q11</f>
        <v/>
      </c>
      <c r="R2" s="12">
        <f>'Data Tables (W)'!R11</f>
        <v/>
      </c>
      <c r="S2" s="12">
        <f>'Data Tables (W)'!S11</f>
        <v/>
      </c>
      <c r="T2" s="12">
        <f>'Data Tables (W)'!T11</f>
        <v/>
      </c>
      <c r="U2" s="12">
        <f>'Data Tables (W)'!U11</f>
        <v/>
      </c>
      <c r="V2" s="12">
        <f>'Data Tables (W)'!V11</f>
        <v/>
      </c>
      <c r="W2" s="12">
        <f>'Data Tables (W)'!W11</f>
        <v/>
      </c>
    </row>
    <row r="3" hidden="1" ht="15" customHeight="1" s="115">
      <c r="A3" s="43" t="inlineStr">
        <is>
          <t>Shift to FRN 3.1 Score²</t>
        </is>
      </c>
      <c r="B3" s="13">
        <f>'Data Tables (W)'!F12*V2</f>
        <v/>
      </c>
      <c r="C3" s="13">
        <f>'Data Tables (W)'!G12*W2</f>
        <v/>
      </c>
      <c r="D3" s="13">
        <f>'Data Tables (W)'!H12*X2</f>
        <v/>
      </c>
      <c r="E3" s="13">
        <f>'Data Tables (W)'!I12*Y2</f>
        <v/>
      </c>
      <c r="F3" s="13">
        <f>'Data Tables (W)'!J12*Z2</f>
        <v/>
      </c>
      <c r="G3" s="13">
        <f>'Data Tables (W)'!K12*AA2</f>
        <v/>
      </c>
      <c r="H3" s="13">
        <f>'Data Tables (W)'!L12*AB2</f>
        <v/>
      </c>
      <c r="I3" s="13">
        <f>'Data Tables (W)'!M12*AC2</f>
        <v/>
      </c>
      <c r="J3" s="13">
        <f>'Data Tables (W)'!N12*AD2</f>
        <v/>
      </c>
      <c r="K3" s="13">
        <f>'Data Tables (W)'!O12*AE2</f>
        <v/>
      </c>
      <c r="L3" s="13">
        <f>'Data Tables (W)'!P12*AF2</f>
        <v/>
      </c>
      <c r="M3" s="13">
        <f>'Data Tables (W)'!Q12*AG2</f>
        <v/>
      </c>
      <c r="N3" s="13">
        <f>'Data Tables (W)'!R12*AH2</f>
        <v/>
      </c>
      <c r="O3" s="13">
        <f>'Data Tables (W)'!S12*AI2</f>
        <v/>
      </c>
      <c r="P3" s="13">
        <f>'Data Tables (W)'!T12*AJ2</f>
        <v/>
      </c>
      <c r="Q3" s="13">
        <f>'Data Tables (W)'!U12*AK2</f>
        <v/>
      </c>
      <c r="R3" s="13" t="n">
        <v>0</v>
      </c>
      <c r="U3" s="16" t="n"/>
    </row>
    <row r="4" ht="30" customHeight="1" s="115">
      <c r="A4" s="36" t="inlineStr">
        <is>
          <t>Gross Loss Adjustments (Dealer Level, vehicle age, etc.)²</t>
        </is>
      </c>
      <c r="B4" s="13">
        <f>'Data Tables (W)'!B13</f>
        <v/>
      </c>
      <c r="C4" s="13">
        <f>'Data Tables (W)'!C13</f>
        <v/>
      </c>
      <c r="D4" s="13">
        <f>'Data Tables (W)'!D13</f>
        <v/>
      </c>
      <c r="E4" s="13">
        <f>'Data Tables (W)'!E13</f>
        <v/>
      </c>
      <c r="F4" s="13">
        <f>'Data Tables (W)'!F13</f>
        <v/>
      </c>
      <c r="G4" s="13">
        <f>'Data Tables (W)'!G13</f>
        <v/>
      </c>
      <c r="H4" s="13">
        <f>'Data Tables (W)'!H13</f>
        <v/>
      </c>
      <c r="I4" s="13">
        <f>'Data Tables (W)'!I13</f>
        <v/>
      </c>
      <c r="J4" s="13">
        <f>'Data Tables (W)'!J13</f>
        <v/>
      </c>
      <c r="K4" s="13">
        <f>'Data Tables (W)'!K13</f>
        <v/>
      </c>
      <c r="L4" s="13">
        <f>'Data Tables (W)'!L13</f>
        <v/>
      </c>
      <c r="M4" s="13">
        <f>'Data Tables (W)'!M13</f>
        <v/>
      </c>
      <c r="N4" s="13">
        <f>'Data Tables (W)'!N13</f>
        <v/>
      </c>
      <c r="O4" s="13">
        <f>'Data Tables (W)'!O13</f>
        <v/>
      </c>
      <c r="P4" s="13">
        <f>'Data Tables (W)'!P13</f>
        <v/>
      </c>
      <c r="Q4" s="13">
        <f>'Data Tables (W)'!Q13</f>
        <v/>
      </c>
      <c r="R4" s="13">
        <f>'Data Tables (W)'!R13</f>
        <v/>
      </c>
      <c r="S4" s="13">
        <f>'Data Tables (W)'!S13</f>
        <v/>
      </c>
      <c r="T4" s="13">
        <f>'Data Tables (W)'!T13</f>
        <v/>
      </c>
      <c r="U4" s="13">
        <f>'Data Tables (W)'!U13</f>
        <v/>
      </c>
      <c r="V4" s="13">
        <f>'Data Tables (W)'!V13</f>
        <v/>
      </c>
      <c r="W4" s="13">
        <f>'Data Tables (W)'!W13</f>
        <v/>
      </c>
    </row>
    <row r="5" ht="30" customHeight="1" s="115">
      <c r="A5" s="38" t="inlineStr">
        <is>
          <t>Recovery Adjustments excluding LTV (Mileage, LOB, etc.)³</t>
        </is>
      </c>
      <c r="B5" s="12">
        <f>'Data Tables (W)'!B14</f>
        <v/>
      </c>
      <c r="C5" s="12">
        <f>'Data Tables (W)'!C14</f>
        <v/>
      </c>
      <c r="D5" s="12">
        <f>'Data Tables (W)'!D14</f>
        <v/>
      </c>
      <c r="E5" s="12">
        <f>'Data Tables (W)'!E14</f>
        <v/>
      </c>
      <c r="F5" s="12">
        <f>'Data Tables (W)'!F14</f>
        <v/>
      </c>
      <c r="G5" s="12">
        <f>'Data Tables (W)'!G14</f>
        <v/>
      </c>
      <c r="H5" s="12">
        <f>'Data Tables (W)'!H14</f>
        <v/>
      </c>
      <c r="I5" s="12">
        <f>'Data Tables (W)'!I14</f>
        <v/>
      </c>
      <c r="J5" s="12">
        <f>'Data Tables (W)'!J14</f>
        <v/>
      </c>
      <c r="K5" s="12">
        <f>'Data Tables (W)'!K14</f>
        <v/>
      </c>
      <c r="L5" s="12">
        <f>'Data Tables (W)'!L14</f>
        <v/>
      </c>
      <c r="M5" s="12">
        <f>'Data Tables (W)'!M14</f>
        <v/>
      </c>
      <c r="N5" s="12">
        <f>'Data Tables (W)'!N14</f>
        <v/>
      </c>
      <c r="O5" s="12">
        <f>'Data Tables (W)'!O14</f>
        <v/>
      </c>
      <c r="P5" s="12">
        <f>'Data Tables (W)'!P14</f>
        <v/>
      </c>
      <c r="Q5" s="12">
        <f>'Data Tables (W)'!Q14</f>
        <v/>
      </c>
      <c r="R5" s="12">
        <f>'Data Tables (W)'!R14</f>
        <v/>
      </c>
      <c r="S5" s="12">
        <f>'Data Tables (W)'!S14</f>
        <v/>
      </c>
      <c r="T5" s="12">
        <f>'Data Tables (W)'!T14</f>
        <v/>
      </c>
      <c r="U5" s="12">
        <f>'Data Tables (W)'!U14</f>
        <v/>
      </c>
      <c r="V5" s="12">
        <f>'Data Tables (W)'!V14</f>
        <v/>
      </c>
      <c r="W5" s="12">
        <f>'Data Tables (W)'!W14</f>
        <v/>
      </c>
    </row>
    <row r="6" ht="15" customHeight="1" s="115">
      <c r="A6" s="36" t="inlineStr">
        <is>
          <t>BBLTV Adjustments⁴</t>
        </is>
      </c>
      <c r="B6" s="13">
        <f>(145%/B10-1)/10%*1.7</f>
        <v/>
      </c>
      <c r="C6" s="13">
        <f>(145%/C10-1)/10%*1.7</f>
        <v/>
      </c>
      <c r="D6" s="13">
        <f>(145%/D10-1)/10%*1.7</f>
        <v/>
      </c>
      <c r="E6" s="13">
        <f>(145%/E10-1)/10%*1.7</f>
        <v/>
      </c>
      <c r="F6" s="13">
        <f>(145%/F10-1)/10%*1.7</f>
        <v/>
      </c>
      <c r="G6" s="13">
        <f>(145%/G10-1)/10%*1.7</f>
        <v/>
      </c>
      <c r="H6" s="13">
        <f>(145%/H10-1)/10%*1.7</f>
        <v/>
      </c>
      <c r="I6" s="13">
        <f>(145%/I10-1)/10%*1.7</f>
        <v/>
      </c>
      <c r="J6" s="13">
        <f>(145%/J10-1)/10%*1.7</f>
        <v/>
      </c>
      <c r="K6" s="13">
        <f>(145%/K10-1)/10%*1.7</f>
        <v/>
      </c>
      <c r="L6" s="13">
        <f>(145%/L10-1)/10%*1.7</f>
        <v/>
      </c>
      <c r="M6" s="13">
        <f>(145%/M10-1)/10%*1.7</f>
        <v/>
      </c>
      <c r="N6" s="13">
        <f>(145%/N10-1)/10%*1.7</f>
        <v/>
      </c>
      <c r="O6" s="13">
        <f>(145%/O10-1)/10%*1.7</f>
        <v/>
      </c>
      <c r="P6" s="13">
        <f>(145%/P10-1)/10%*1.7</f>
        <v/>
      </c>
      <c r="Q6" s="13">
        <f>(145%/Q10-1)/10%*1.7</f>
        <v/>
      </c>
      <c r="R6" s="13">
        <f>(145%/R10-1)/10%*1.7</f>
        <v/>
      </c>
      <c r="S6" s="13">
        <f>(145%/S10-1)/10%*1.7</f>
        <v/>
      </c>
      <c r="T6" s="13">
        <f>(145%/T10-1)/10%*1.7</f>
        <v/>
      </c>
      <c r="U6" s="13">
        <f>(145%/U10-1)/10%*1.7</f>
        <v/>
      </c>
      <c r="V6" s="13">
        <f>(145%/V10-1)/10%*1.7</f>
        <v/>
      </c>
      <c r="W6" s="13">
        <f>(145%/W10-1)/10%*1.7</f>
        <v/>
      </c>
    </row>
    <row r="7" ht="15" customHeight="1" s="115">
      <c r="A7" s="38" t="inlineStr">
        <is>
          <t>RAGU Score</t>
        </is>
      </c>
      <c r="B7" s="12">
        <f>SUM(B2:B6)</f>
        <v/>
      </c>
      <c r="C7" s="12">
        <f>SUM(C2:C6)</f>
        <v/>
      </c>
      <c r="D7" s="12">
        <f>SUM(D2:D6)</f>
        <v/>
      </c>
      <c r="E7" s="12">
        <f>SUM(E2:E6)</f>
        <v/>
      </c>
      <c r="F7" s="12">
        <f>SUM(F2:F6)</f>
        <v/>
      </c>
      <c r="G7" s="12">
        <f>SUM(G2:G6)</f>
        <v/>
      </c>
      <c r="H7" s="12">
        <f>SUM(H2:H6)</f>
        <v/>
      </c>
      <c r="I7" s="12">
        <f>SUM(I2:I6)</f>
        <v/>
      </c>
      <c r="J7" s="12">
        <f>SUM(J2:J6)</f>
        <v/>
      </c>
      <c r="K7" s="12">
        <f>SUM(K2:K6)</f>
        <v/>
      </c>
      <c r="L7" s="12">
        <f>SUM(L2:L6)</f>
        <v/>
      </c>
      <c r="M7" s="12">
        <f>SUM(M2:M6)</f>
        <v/>
      </c>
      <c r="N7" s="12">
        <f>SUM(N2:N6)</f>
        <v/>
      </c>
      <c r="O7" s="12">
        <f>SUM(O2:O6)</f>
        <v/>
      </c>
      <c r="P7" s="12">
        <f>SUM(P2:P6)</f>
        <v/>
      </c>
      <c r="Q7" s="12">
        <f>SUM(Q2:Q6)</f>
        <v/>
      </c>
      <c r="R7" s="12">
        <f>SUM(R2:R6)</f>
        <v/>
      </c>
      <c r="S7" s="12">
        <f>SUM(S2:S6)</f>
        <v/>
      </c>
      <c r="T7" s="12">
        <f>SUM(T2:T6)</f>
        <v/>
      </c>
      <c r="U7" s="12">
        <f>SUM(U2:U6)</f>
        <v/>
      </c>
      <c r="V7" s="12">
        <f>SUM(V2:V6)</f>
        <v/>
      </c>
      <c r="W7" s="12">
        <f>SUM(W2:W6)</f>
        <v/>
      </c>
    </row>
    <row r="8" ht="15" customHeight="1" s="115">
      <c r="A8" s="40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U8" s="16" t="n"/>
    </row>
    <row r="9" ht="15" customHeight="1" s="115">
      <c r="A9" s="42" t="inlineStr">
        <is>
          <t>Context info</t>
        </is>
      </c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U9" s="16" t="n"/>
    </row>
    <row r="10" ht="15" customHeight="1" s="115">
      <c r="A10" s="36" t="inlineStr">
        <is>
          <t>BlackBook LTV (Baseline 145%)</t>
        </is>
      </c>
      <c r="B10" s="81">
        <f>'Data Tables (W)'!B17</f>
        <v/>
      </c>
      <c r="C10" s="81">
        <f>'Data Tables (W)'!C17</f>
        <v/>
      </c>
      <c r="D10" s="81">
        <f>'Data Tables (W)'!D17</f>
        <v/>
      </c>
      <c r="E10" s="81">
        <f>'Data Tables (W)'!E17</f>
        <v/>
      </c>
      <c r="F10" s="81">
        <f>'Data Tables (W)'!F17</f>
        <v/>
      </c>
      <c r="G10" s="81">
        <f>'Data Tables (W)'!G17</f>
        <v/>
      </c>
      <c r="H10" s="81">
        <f>'Data Tables (W)'!H17</f>
        <v/>
      </c>
      <c r="I10" s="81">
        <f>'Data Tables (W)'!I17</f>
        <v/>
      </c>
      <c r="J10" s="81">
        <f>'Data Tables (W)'!J17</f>
        <v/>
      </c>
      <c r="K10" s="81">
        <f>'Data Tables (W)'!K17</f>
        <v/>
      </c>
      <c r="L10" s="81">
        <f>'Data Tables (W)'!L17</f>
        <v/>
      </c>
      <c r="M10" s="81">
        <f>'Data Tables (W)'!M17</f>
        <v/>
      </c>
      <c r="N10" s="81">
        <f>'Data Tables (W)'!N17</f>
        <v/>
      </c>
      <c r="O10" s="81">
        <f>'Data Tables (W)'!O17</f>
        <v/>
      </c>
      <c r="P10" s="81">
        <f>'Data Tables (W)'!P17</f>
        <v/>
      </c>
      <c r="Q10" s="81">
        <f>'Data Tables (W)'!Q17</f>
        <v/>
      </c>
      <c r="R10" s="81">
        <f>'Data Tables (W)'!R17</f>
        <v/>
      </c>
      <c r="S10" s="81">
        <f>'Data Tables (W)'!S17</f>
        <v/>
      </c>
      <c r="T10" s="81">
        <f>'Data Tables (W)'!T17</f>
        <v/>
      </c>
      <c r="U10" s="81">
        <f>'Data Tables (W)'!U17</f>
        <v/>
      </c>
      <c r="V10" s="81">
        <f>'Data Tables (W)'!V17</f>
        <v/>
      </c>
      <c r="W10" s="81">
        <f>'Data Tables (W)'!W17</f>
        <v/>
      </c>
    </row>
    <row r="11" ht="15" customHeight="1" s="115">
      <c r="A11" s="37" t="inlineStr">
        <is>
          <t>Origination MMI</t>
        </is>
      </c>
      <c r="B11" s="83" t="n"/>
      <c r="C11" s="83" t="n"/>
      <c r="D11" s="83" t="n"/>
      <c r="E11" s="83" t="n"/>
      <c r="F11" s="83" t="n"/>
      <c r="G11" s="83" t="n"/>
      <c r="H11" s="83" t="n"/>
      <c r="I11" s="83" t="n"/>
      <c r="J11" s="83" t="n"/>
      <c r="K11" s="83" t="n"/>
      <c r="L11" s="83" t="n"/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  <c r="V11" s="83" t="n"/>
      <c r="W11" s="83" t="n"/>
    </row>
    <row r="12" ht="15" customHeight="1" s="115">
      <c r="A12" s="43" t="inlineStr">
        <is>
          <t>MMI Impact⁵</t>
        </is>
      </c>
      <c r="B12" s="82" t="n"/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  <c r="W12" s="82" t="n"/>
    </row>
    <row r="13" ht="15" customHeight="1" s="115">
      <c r="A13" s="38" t="inlineStr">
        <is>
          <t>Adjustment to RAGU Score from MMI</t>
        </is>
      </c>
      <c r="B13" s="85">
        <f>B12/10%*1.7</f>
        <v/>
      </c>
      <c r="C13" s="85">
        <f>C12/10%*1.7</f>
        <v/>
      </c>
      <c r="D13" s="85">
        <f>D12/10%*1.7</f>
        <v/>
      </c>
      <c r="E13" s="85">
        <f>E12/10%*1.7</f>
        <v/>
      </c>
      <c r="F13" s="85">
        <f>F12/10%*1.7</f>
        <v/>
      </c>
      <c r="G13" s="85">
        <f>G12/10%*1.7</f>
        <v/>
      </c>
      <c r="H13" s="85">
        <f>H12/10%*1.7</f>
        <v/>
      </c>
      <c r="I13" s="85">
        <f>I12/10%*1.7</f>
        <v/>
      </c>
      <c r="J13" s="85">
        <f>J12/10%*1.7</f>
        <v/>
      </c>
      <c r="K13" s="85">
        <f>K12/10%*1.7</f>
        <v/>
      </c>
      <c r="L13" s="85">
        <f>L12/10%*1.7</f>
        <v/>
      </c>
      <c r="M13" s="85">
        <f>M12/10%*1.7</f>
        <v/>
      </c>
      <c r="N13" s="85">
        <f>N12/10%*1.7</f>
        <v/>
      </c>
      <c r="O13" s="85">
        <f>O12/10%*1.7</f>
        <v/>
      </c>
      <c r="P13" s="85">
        <f>P12/10%*1.7</f>
        <v/>
      </c>
      <c r="Q13" s="85">
        <f>Q12/10%*1.7</f>
        <v/>
      </c>
      <c r="R13" s="85">
        <f>R12/10%*1.7</f>
        <v/>
      </c>
      <c r="S13" s="85">
        <f>S12/10%*1.7</f>
        <v/>
      </c>
      <c r="T13" s="85">
        <f>T12/10%*1.7</f>
        <v/>
      </c>
      <c r="U13" s="85">
        <f>U12/10%*1.7</f>
        <v/>
      </c>
      <c r="V13" s="85">
        <f>V12/10%*1.7</f>
        <v/>
      </c>
      <c r="W13" s="85">
        <f>W12/10%*1.7</f>
        <v/>
      </c>
    </row>
    <row r="14" ht="15" customHeight="1" s="115">
      <c r="A14" s="36" t="inlineStr">
        <is>
          <t>RAGU Score (adjusted for MMI)</t>
        </is>
      </c>
      <c r="B14" s="87">
        <f>B7+B13</f>
        <v/>
      </c>
      <c r="C14" s="87">
        <f>C7+C13</f>
        <v/>
      </c>
      <c r="D14" s="87">
        <f>D7+D13</f>
        <v/>
      </c>
      <c r="E14" s="87">
        <f>E7+E13</f>
        <v/>
      </c>
      <c r="F14" s="87">
        <f>F7+F13</f>
        <v/>
      </c>
      <c r="G14" s="87">
        <f>G7+G13</f>
        <v/>
      </c>
      <c r="H14" s="87">
        <f>H7+H13</f>
        <v/>
      </c>
      <c r="I14" s="87">
        <f>I7+I13</f>
        <v/>
      </c>
      <c r="J14" s="87">
        <f>J7+J13</f>
        <v/>
      </c>
      <c r="K14" s="87">
        <f>K7+K13</f>
        <v/>
      </c>
      <c r="L14" s="87">
        <f>L7+L13</f>
        <v/>
      </c>
      <c r="M14" s="87">
        <f>M7+M13</f>
        <v/>
      </c>
      <c r="N14" s="87">
        <f>N7+N13</f>
        <v/>
      </c>
      <c r="O14" s="87">
        <f>O7+O13</f>
        <v/>
      </c>
      <c r="P14" s="87">
        <f>P7+P13</f>
        <v/>
      </c>
      <c r="Q14" s="87">
        <f>Q7+Q13</f>
        <v/>
      </c>
      <c r="R14" s="87">
        <f>R7+R13</f>
        <v/>
      </c>
      <c r="S14" s="87">
        <f>S7+S13</f>
        <v/>
      </c>
      <c r="T14" s="87">
        <f>T7+T13</f>
        <v/>
      </c>
      <c r="U14" s="87">
        <f>U7+U13</f>
        <v/>
      </c>
      <c r="V14" s="87">
        <f>V7+V13</f>
        <v/>
      </c>
      <c r="W14" s="87">
        <f>W7+W13</f>
        <v/>
      </c>
    </row>
    <row r="15" ht="15" customHeight="1" s="115">
      <c r="A15" s="38" t="inlineStr">
        <is>
          <t>t_c CNL⁶</t>
        </is>
      </c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54" t="n"/>
      <c r="R15" s="95" t="n"/>
      <c r="S15" s="20" t="n"/>
      <c r="T15" s="20" t="n"/>
      <c r="U15" s="20" t="n"/>
      <c r="V15" s="20" t="n"/>
      <c r="W15" s="20" t="n"/>
    </row>
    <row r="16" ht="15" customHeight="1" s="115">
      <c r="A16" s="36" t="inlineStr">
        <is>
          <t>Implied t-1 CNL</t>
        </is>
      </c>
      <c r="B16" s="19">
        <f>B15-($R$14-B14)*1%</f>
        <v/>
      </c>
      <c r="C16" s="19">
        <f>C15-($R$14-C14)*1%</f>
        <v/>
      </c>
      <c r="D16" s="19">
        <f>D15-($R$14-D14)*1%</f>
        <v/>
      </c>
      <c r="E16" s="19">
        <f>E15-($R$14-E14)*1%</f>
        <v/>
      </c>
      <c r="F16" s="19">
        <f>F15-($R$14-F14)*1%</f>
        <v/>
      </c>
      <c r="G16" s="19">
        <f>G15-($R$14-G14)*1%</f>
        <v/>
      </c>
      <c r="H16" s="19">
        <f>H15-($R$14-H14)*1%</f>
        <v/>
      </c>
      <c r="I16" s="19">
        <f>I15-($R$14-I14)*1%</f>
        <v/>
      </c>
      <c r="J16" s="19">
        <f>J15-($R$14-J14)*1%</f>
        <v/>
      </c>
      <c r="K16" s="19">
        <f>K15-($R$14-K14)*1%</f>
        <v/>
      </c>
      <c r="L16" s="19">
        <f>L15-($R$14-L14)*1%</f>
        <v/>
      </c>
      <c r="M16" s="19">
        <f>M15-($R$14-M14)*1%</f>
        <v/>
      </c>
      <c r="N16" s="19">
        <f>N15-($R$14-N14)*1%</f>
        <v/>
      </c>
      <c r="O16" s="19">
        <f>O15-($R$14-O14)*1%</f>
        <v/>
      </c>
      <c r="P16" s="19">
        <f>P15-($R$14-P14)*1%</f>
        <v/>
      </c>
      <c r="Q16" s="19">
        <f>Q15-($R$14-Q14)*1%</f>
        <v/>
      </c>
      <c r="R16" s="19">
        <f>R15-($R$14-R14)*1%</f>
        <v/>
      </c>
      <c r="S16" s="19">
        <f>S15-($R$14-S14)*1%</f>
        <v/>
      </c>
      <c r="T16" s="19">
        <f>T15-($R$14-T14)*1%</f>
        <v/>
      </c>
      <c r="U16" s="19">
        <f>U15-($R$14-U14)*1%</f>
        <v/>
      </c>
      <c r="V16" s="19">
        <f>V15-($R$14-V14)*1%</f>
        <v/>
      </c>
      <c r="W16" s="19">
        <f>W15-($R$14-W14)*1%</f>
        <v/>
      </c>
    </row>
    <row r="17" ht="15" customHeight="1" s="115">
      <c r="R17" s="96" t="n"/>
      <c r="S17" s="96" t="n"/>
      <c r="T17" s="96" t="n"/>
    </row>
    <row r="19" ht="15" customHeight="1" s="115">
      <c r="A19" s="50" t="inlineStr">
        <is>
          <t>1:</t>
        </is>
      </c>
      <c r="B19" s="51" t="inlineStr">
        <is>
          <t>Model Score excludes buybacks and high amount financed.</t>
        </is>
      </c>
    </row>
    <row r="20" ht="15" customHeight="1" s="115">
      <c r="A20" s="50" t="inlineStr">
        <is>
          <t>2:</t>
        </is>
      </c>
      <c r="B20" s="51" t="inlineStr">
        <is>
          <t>We are currently working with Pricing to determine how to use FRN3.1 scores, there are large discrepancies between model scores as booked and FRN3.1 due to what might be centering issues.</t>
        </is>
      </c>
    </row>
    <row r="21" ht="15" customHeight="1" s="115">
      <c r="A21" s="50" t="inlineStr">
        <is>
          <t>3:</t>
        </is>
      </c>
      <c r="B21" s="51" t="inlineStr">
        <is>
          <t>Biggest impacts to Gross Loss Adjustments are Dealer Level, weekday/weekend decision, and high mileage classification.</t>
        </is>
      </c>
    </row>
    <row r="22" ht="15" customHeight="1" s="115">
      <c r="A22" s="50" t="n"/>
      <c r="B22" s="51" t="inlineStr">
        <is>
          <t>See Appendix for details on other factors</t>
        </is>
      </c>
    </row>
    <row r="23" ht="15" customHeight="1" s="115">
      <c r="A23" s="50" t="inlineStr">
        <is>
          <t>4:</t>
        </is>
      </c>
      <c r="B23" s="51" t="inlineStr">
        <is>
          <t>Biggest impacts to Recovery Adjustments are mileage/age, impound probability, and vehicle class.</t>
        </is>
      </c>
    </row>
    <row r="24" ht="15" customHeight="1" s="115">
      <c r="A24" s="50" t="inlineStr">
        <is>
          <t>5:</t>
        </is>
      </c>
      <c r="B24" s="51" t="inlineStr">
        <is>
          <t>LTV adjustments are made using the 10% LTV improvement-&gt;170bps to CNL heuristic, based on BlackBook LTV values.</t>
        </is>
      </c>
    </row>
    <row r="25" ht="15" customHeight="1" s="115">
      <c r="A25" s="50" t="inlineStr">
        <is>
          <t>6:</t>
        </is>
      </c>
      <c r="B25" s="51" t="inlineStr">
        <is>
          <t>MMI uses adjusted index (2019 seasonality). The MMI Impact compares the actual MMI to a 3% annual growth.</t>
        </is>
      </c>
    </row>
    <row r="26" ht="15" customHeight="1" s="115">
      <c r="A26" s="50" t="n"/>
      <c r="B26" s="51" t="inlineStr">
        <is>
          <t>A positive impact of X% means sold recovery will be X% better.</t>
        </is>
      </c>
    </row>
    <row r="27" ht="15" customHeight="1" s="115">
      <c r="A27" s="50" t="inlineStr">
        <is>
          <t>7:</t>
        </is>
      </c>
      <c r="B27" s="51" t="inlineStr">
        <is>
          <t>tc CNL uses UGLY Model projections, and 2023 Q1 blends 75% UGLY Model with 25% Loss Committee.</t>
        </is>
      </c>
    </row>
  </sheetData>
  <pageMargins left="0.7" right="0.7" top="0.75" bottom="0.75" header="0.3" footer="0.3"/>
  <pageSetup orientation="portrait" horizontalDpi="204" verticalDpi="192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31"/>
  <sheetViews>
    <sheetView zoomScale="160" zoomScaleNormal="160" workbookViewId="0">
      <selection activeCell="B1" sqref="B1:D1"/>
    </sheetView>
  </sheetViews>
  <sheetFormatPr baseColWidth="8" defaultColWidth="9.1796875" defaultRowHeight="15" customHeight="1"/>
  <cols>
    <col width="25" customWidth="1" style="41" min="1" max="1"/>
    <col width="6.1796875" customWidth="1" style="41" min="2" max="2"/>
    <col width="5.26953125" customWidth="1" style="41" min="3" max="3"/>
    <col width="6.453125" customWidth="1" style="41" min="4" max="5"/>
    <col width="5.7265625" customWidth="1" style="41" min="6" max="6"/>
    <col width="5.26953125" customWidth="1" style="41" min="7" max="7"/>
    <col width="6.1796875" customWidth="1" style="41" min="8" max="10"/>
    <col width="6.81640625" customWidth="1" style="41" min="11" max="13"/>
    <col width="7" customWidth="1" style="41" min="14" max="14"/>
    <col width="6.453125" customWidth="1" style="41" min="15" max="15"/>
    <col width="5.26953125" customWidth="1" style="41" min="16" max="16"/>
    <col width="6.54296875" customWidth="1" style="41" min="17" max="17"/>
    <col width="6.26953125" customWidth="1" style="41" min="18" max="18"/>
    <col width="6" customWidth="1" style="41" min="19" max="19"/>
    <col width="6.453125" customWidth="1" style="41" min="20" max="20"/>
    <col width="6.54296875" customWidth="1" style="41" min="21" max="21"/>
    <col width="7.54296875" customWidth="1" style="41" min="22" max="22"/>
    <col width="9.1796875" customWidth="1" style="41" min="23" max="72"/>
    <col width="9.1796875" customWidth="1" style="41" min="73" max="16384"/>
  </cols>
  <sheetData>
    <row r="1" ht="30" customHeight="1" s="115">
      <c r="A1" s="35" t="inlineStr">
        <is>
          <t>ENT</t>
        </is>
      </c>
      <c r="B1" s="120" t="n">
        <v>45291</v>
      </c>
      <c r="C1" s="120" t="n">
        <v>45298</v>
      </c>
      <c r="D1" s="120" t="n">
        <v>45305</v>
      </c>
      <c r="E1" s="120" t="n">
        <v>45312</v>
      </c>
      <c r="F1" s="120" t="n">
        <v>45319</v>
      </c>
      <c r="G1" s="120" t="n">
        <v>45326</v>
      </c>
      <c r="H1" s="120" t="n">
        <v>45333</v>
      </c>
      <c r="I1" s="120" t="n">
        <v>45340</v>
      </c>
      <c r="J1" s="120" t="n">
        <v>45347</v>
      </c>
      <c r="K1" s="120" t="n">
        <v>45354</v>
      </c>
      <c r="L1" s="120" t="n">
        <v>45361</v>
      </c>
      <c r="M1" s="120" t="n">
        <v>45368</v>
      </c>
      <c r="N1" s="120" t="n">
        <v>45375</v>
      </c>
      <c r="O1" s="120" t="n">
        <v>45382</v>
      </c>
      <c r="P1" s="120" t="n">
        <v>45389</v>
      </c>
      <c r="Q1" s="120" t="n">
        <v>45396</v>
      </c>
      <c r="R1" s="120" t="n">
        <v>45403</v>
      </c>
      <c r="S1" s="120" t="n">
        <v>45410</v>
      </c>
      <c r="T1" s="121" t="n">
        <v>45417</v>
      </c>
      <c r="U1" s="121" t="n">
        <v>45424</v>
      </c>
      <c r="V1" s="122" t="n">
        <v>45431</v>
      </c>
      <c r="W1" s="121" t="n">
        <v>45438</v>
      </c>
      <c r="X1" s="121" t="n">
        <v>45445</v>
      </c>
      <c r="Y1" s="122" t="n">
        <v>45452</v>
      </c>
      <c r="Z1" s="121" t="n">
        <v>45459</v>
      </c>
    </row>
    <row r="2" ht="15" customHeight="1" s="115">
      <c r="A2" s="38" t="inlineStr">
        <is>
          <t>Contract Model Score¹</t>
        </is>
      </c>
      <c r="B2" s="12">
        <f>'Data Tables (W)'!B38</f>
        <v/>
      </c>
      <c r="C2" s="12">
        <f>'Data Tables (W)'!C38</f>
        <v/>
      </c>
      <c r="D2" s="12">
        <f>'Data Tables (W)'!D38</f>
        <v/>
      </c>
      <c r="E2" s="12">
        <f>'Data Tables (W)'!E38</f>
        <v/>
      </c>
      <c r="F2" s="12">
        <f>'Data Tables (W)'!F38</f>
        <v/>
      </c>
      <c r="G2" s="12">
        <f>'Data Tables (W)'!G38</f>
        <v/>
      </c>
      <c r="H2" s="12">
        <f>'Data Tables (W)'!H38</f>
        <v/>
      </c>
      <c r="I2" s="12">
        <f>'Data Tables (W)'!I38</f>
        <v/>
      </c>
      <c r="J2" s="12">
        <f>'Data Tables (W)'!J38</f>
        <v/>
      </c>
      <c r="K2" s="12">
        <f>'Data Tables (W)'!K38</f>
        <v/>
      </c>
      <c r="L2" s="12">
        <f>'Data Tables (W)'!L38</f>
        <v/>
      </c>
      <c r="M2" s="12">
        <f>'Data Tables (W)'!M38</f>
        <v/>
      </c>
      <c r="N2" s="12">
        <f>'Data Tables (W)'!N38</f>
        <v/>
      </c>
      <c r="O2" s="12">
        <f>'Data Tables (W)'!O38</f>
        <v/>
      </c>
      <c r="P2" s="12">
        <f>'Data Tables (W)'!P38</f>
        <v/>
      </c>
      <c r="Q2" s="12">
        <f>'Data Tables (W)'!Q38</f>
        <v/>
      </c>
      <c r="R2" s="12">
        <f>'Data Tables (W)'!R38</f>
        <v/>
      </c>
      <c r="S2" s="12">
        <f>'Data Tables (W)'!S38</f>
        <v/>
      </c>
      <c r="T2" s="12">
        <f>'Data Tables (W)'!T38</f>
        <v/>
      </c>
      <c r="U2" s="12">
        <f>'Data Tables (W)'!U38</f>
        <v/>
      </c>
      <c r="V2" s="12">
        <f>'Data Tables (W)'!V38</f>
        <v/>
      </c>
      <c r="W2" s="12">
        <f>'Data Tables (W)'!W38</f>
        <v/>
      </c>
    </row>
    <row r="3" hidden="1" ht="15" customHeight="1" s="115">
      <c r="A3" s="43" t="inlineStr">
        <is>
          <t>Shift to FRN 3.1 Score²</t>
        </is>
      </c>
      <c r="B3" s="13">
        <f>'Data Tables (W)'!F39*V2</f>
        <v/>
      </c>
      <c r="C3" s="13">
        <f>'Data Tables (W)'!G39*W2</f>
        <v/>
      </c>
      <c r="D3" s="13">
        <f>'Data Tables (W)'!H39*X2</f>
        <v/>
      </c>
      <c r="E3" s="13">
        <f>'Data Tables (W)'!I39*Y2</f>
        <v/>
      </c>
      <c r="F3" s="13">
        <f>'Data Tables (W)'!J39*Z2</f>
        <v/>
      </c>
      <c r="G3" s="13">
        <f>'Data Tables (W)'!K39*AA2</f>
        <v/>
      </c>
      <c r="H3" s="13">
        <f>'Data Tables (W)'!L39*AB2</f>
        <v/>
      </c>
      <c r="I3" s="13">
        <f>'Data Tables (W)'!M39*AC2</f>
        <v/>
      </c>
      <c r="J3" s="13">
        <f>'Data Tables (W)'!N39*AD2</f>
        <v/>
      </c>
      <c r="K3" s="13">
        <f>'Data Tables (W)'!O39*AE2</f>
        <v/>
      </c>
      <c r="L3" s="13">
        <f>'Data Tables (W)'!P39*AF2</f>
        <v/>
      </c>
      <c r="M3" s="13">
        <f>'Data Tables (W)'!Q39*AG2</f>
        <v/>
      </c>
      <c r="N3" s="13">
        <f>'Data Tables (W)'!R39*AH2</f>
        <v/>
      </c>
      <c r="O3" s="13">
        <f>'Data Tables (W)'!S39*AI2</f>
        <v/>
      </c>
      <c r="P3" s="13">
        <f>'Data Tables (W)'!T39*AJ2</f>
        <v/>
      </c>
      <c r="Q3" s="13">
        <f>'Data Tables (W)'!U39*AK2</f>
        <v/>
      </c>
      <c r="R3" s="13">
        <f>'Data Tables (W)'!V39*AL2</f>
        <v/>
      </c>
      <c r="S3" s="13">
        <f>'Data Tables (W)'!W39*AM2</f>
        <v/>
      </c>
      <c r="T3" s="13">
        <f>'Data Tables (W)'!X39*AN2</f>
        <v/>
      </c>
      <c r="U3" s="13">
        <f>'Data Tables (W)'!Y39*AO2</f>
        <v/>
      </c>
      <c r="V3" s="13">
        <f>'Data Tables (W)'!Z39*AP2</f>
        <v/>
      </c>
      <c r="W3" s="13">
        <f>'Data Tables (W)'!AA39*AQ2</f>
        <v/>
      </c>
    </row>
    <row r="4" ht="30" customHeight="1" s="115">
      <c r="A4" s="36" t="inlineStr">
        <is>
          <t>Gross Loss Adjustments (Dealer Level, vehicle age, etc.)²</t>
        </is>
      </c>
      <c r="B4" s="13">
        <f>'Data Tables (W)'!B40</f>
        <v/>
      </c>
      <c r="C4" s="13">
        <f>'Data Tables (W)'!C40</f>
        <v/>
      </c>
      <c r="D4" s="13">
        <f>'Data Tables (W)'!D40</f>
        <v/>
      </c>
      <c r="E4" s="13">
        <f>'Data Tables (W)'!E40</f>
        <v/>
      </c>
      <c r="F4" s="13">
        <f>'Data Tables (W)'!F40</f>
        <v/>
      </c>
      <c r="G4" s="13">
        <f>'Data Tables (W)'!G40</f>
        <v/>
      </c>
      <c r="H4" s="13">
        <f>'Data Tables (W)'!H40</f>
        <v/>
      </c>
      <c r="I4" s="13">
        <f>'Data Tables (W)'!I40</f>
        <v/>
      </c>
      <c r="J4" s="13">
        <f>'Data Tables (W)'!J40</f>
        <v/>
      </c>
      <c r="K4" s="13">
        <f>'Data Tables (W)'!K40</f>
        <v/>
      </c>
      <c r="L4" s="13">
        <f>'Data Tables (W)'!L40</f>
        <v/>
      </c>
      <c r="M4" s="13">
        <f>'Data Tables (W)'!M40</f>
        <v/>
      </c>
      <c r="N4" s="13">
        <f>'Data Tables (W)'!N40</f>
        <v/>
      </c>
      <c r="O4" s="13">
        <f>'Data Tables (W)'!O40</f>
        <v/>
      </c>
      <c r="P4" s="13">
        <f>'Data Tables (W)'!P40</f>
        <v/>
      </c>
      <c r="Q4" s="13">
        <f>'Data Tables (W)'!Q40</f>
        <v/>
      </c>
      <c r="R4" s="13">
        <f>'Data Tables (W)'!R40</f>
        <v/>
      </c>
      <c r="S4" s="13">
        <f>'Data Tables (W)'!S40</f>
        <v/>
      </c>
      <c r="T4" s="13">
        <f>'Data Tables (W)'!T40</f>
        <v/>
      </c>
      <c r="U4" s="13">
        <f>'Data Tables (W)'!U40</f>
        <v/>
      </c>
      <c r="V4" s="13">
        <f>'Data Tables (W)'!V40</f>
        <v/>
      </c>
      <c r="W4" s="13">
        <f>'Data Tables (W)'!W40</f>
        <v/>
      </c>
    </row>
    <row r="5" ht="30" customHeight="1" s="115">
      <c r="A5" s="38" t="inlineStr">
        <is>
          <t>Recovery Adjustments excluding LTV (Mileage, LOB, etc.)³</t>
        </is>
      </c>
      <c r="B5" s="12">
        <f>'Data Tables (W)'!B41</f>
        <v/>
      </c>
      <c r="C5" s="12">
        <f>'Data Tables (W)'!C41</f>
        <v/>
      </c>
      <c r="D5" s="12">
        <f>'Data Tables (W)'!D41</f>
        <v/>
      </c>
      <c r="E5" s="12">
        <f>'Data Tables (W)'!E41</f>
        <v/>
      </c>
      <c r="F5" s="12">
        <f>'Data Tables (W)'!F41</f>
        <v/>
      </c>
      <c r="G5" s="12">
        <f>'Data Tables (W)'!G41</f>
        <v/>
      </c>
      <c r="H5" s="12">
        <f>'Data Tables (W)'!H41</f>
        <v/>
      </c>
      <c r="I5" s="12">
        <f>'Data Tables (W)'!I41</f>
        <v/>
      </c>
      <c r="J5" s="12">
        <f>'Data Tables (W)'!J41</f>
        <v/>
      </c>
      <c r="K5" s="12">
        <f>'Data Tables (W)'!K41</f>
        <v/>
      </c>
      <c r="L5" s="12">
        <f>'Data Tables (W)'!L41</f>
        <v/>
      </c>
      <c r="M5" s="12">
        <f>'Data Tables (W)'!M41</f>
        <v/>
      </c>
      <c r="N5" s="12">
        <f>'Data Tables (W)'!N41</f>
        <v/>
      </c>
      <c r="O5" s="12">
        <f>'Data Tables (W)'!O41</f>
        <v/>
      </c>
      <c r="P5" s="12">
        <f>'Data Tables (W)'!P41</f>
        <v/>
      </c>
      <c r="Q5" s="12">
        <f>'Data Tables (W)'!Q41</f>
        <v/>
      </c>
      <c r="R5" s="12">
        <f>'Data Tables (W)'!R41</f>
        <v/>
      </c>
      <c r="S5" s="12">
        <f>'Data Tables (W)'!S41</f>
        <v/>
      </c>
      <c r="T5" s="12">
        <f>'Data Tables (W)'!T41</f>
        <v/>
      </c>
      <c r="U5" s="12">
        <f>'Data Tables (W)'!U41</f>
        <v/>
      </c>
      <c r="V5" s="12">
        <f>'Data Tables (W)'!V41</f>
        <v/>
      </c>
      <c r="W5" s="12">
        <f>'Data Tables (W)'!W41</f>
        <v/>
      </c>
    </row>
    <row r="6" ht="15" customHeight="1" s="115">
      <c r="A6" s="36" t="inlineStr">
        <is>
          <t>BBLTV Adjustments⁴</t>
        </is>
      </c>
      <c r="B6" s="13">
        <f>(145%/B10-1)/10%*1.7</f>
        <v/>
      </c>
      <c r="C6" s="13">
        <f>(145%/C10-1)/10%*1.7</f>
        <v/>
      </c>
      <c r="D6" s="13">
        <f>(145%/D10-1)/10%*1.7</f>
        <v/>
      </c>
      <c r="E6" s="13">
        <f>(145%/E10-1)/10%*1.7</f>
        <v/>
      </c>
      <c r="F6" s="13">
        <f>(145%/F10-1)/10%*1.7</f>
        <v/>
      </c>
      <c r="G6" s="13">
        <f>(145%/G10-1)/10%*1.7</f>
        <v/>
      </c>
      <c r="H6" s="13">
        <f>(145%/H10-1)/10%*1.7</f>
        <v/>
      </c>
      <c r="I6" s="13">
        <f>(145%/I10-1)/10%*1.7</f>
        <v/>
      </c>
      <c r="J6" s="13">
        <f>(145%/J10-1)/10%*1.7</f>
        <v/>
      </c>
      <c r="K6" s="13">
        <f>(145%/K10-1)/10%*1.7</f>
        <v/>
      </c>
      <c r="L6" s="13">
        <f>(145%/L10-1)/10%*1.7</f>
        <v/>
      </c>
      <c r="M6" s="13">
        <f>(145%/M10-1)/10%*1.7</f>
        <v/>
      </c>
      <c r="N6" s="13">
        <f>(145%/N10-1)/10%*1.7</f>
        <v/>
      </c>
      <c r="O6" s="13">
        <f>(145%/O10-1)/10%*1.7</f>
        <v/>
      </c>
      <c r="P6" s="13">
        <f>(145%/P10-1)/10%*1.7</f>
        <v/>
      </c>
      <c r="Q6" s="13">
        <f>(145%/Q10-1)/10%*1.7</f>
        <v/>
      </c>
      <c r="R6" s="13">
        <f>(145%/R10-1)/10%*1.7</f>
        <v/>
      </c>
      <c r="S6" s="13">
        <f>(145%/S10-1)/10%*1.7</f>
        <v/>
      </c>
      <c r="T6" s="13">
        <f>(145%/T10-1)/10%*1.7</f>
        <v/>
      </c>
      <c r="U6" s="13">
        <f>(145%/U10-1)/10%*1.7</f>
        <v/>
      </c>
      <c r="V6" s="13">
        <f>(145%/V10-1)/10%*1.7</f>
        <v/>
      </c>
      <c r="W6" s="13">
        <f>(145%/W10-1)/10%*1.7</f>
        <v/>
      </c>
    </row>
    <row r="7" ht="15" customHeight="1" s="115">
      <c r="A7" s="38" t="inlineStr">
        <is>
          <t>RAGU Score</t>
        </is>
      </c>
      <c r="B7" s="12">
        <f>SUM(B2:B6)</f>
        <v/>
      </c>
      <c r="C7" s="12">
        <f>SUM(C2:C6)</f>
        <v/>
      </c>
      <c r="D7" s="12">
        <f>SUM(D2:D6)</f>
        <v/>
      </c>
      <c r="E7" s="12">
        <f>SUM(E2:E6)</f>
        <v/>
      </c>
      <c r="F7" s="12">
        <f>SUM(F2:F6)</f>
        <v/>
      </c>
      <c r="G7" s="12">
        <f>SUM(G2:G6)</f>
        <v/>
      </c>
      <c r="H7" s="12">
        <f>SUM(H2:H6)</f>
        <v/>
      </c>
      <c r="I7" s="12">
        <f>SUM(I2:I6)</f>
        <v/>
      </c>
      <c r="J7" s="12">
        <f>SUM(J2:J6)</f>
        <v/>
      </c>
      <c r="K7" s="12">
        <f>SUM(K2:K6)</f>
        <v/>
      </c>
      <c r="L7" s="12">
        <f>SUM(L2:L6)</f>
        <v/>
      </c>
      <c r="M7" s="12">
        <f>SUM(M2:M6)</f>
        <v/>
      </c>
      <c r="N7" s="12">
        <f>SUM(N2:N6)</f>
        <v/>
      </c>
      <c r="O7" s="12">
        <f>SUM(O2:O6)</f>
        <v/>
      </c>
      <c r="P7" s="12">
        <f>SUM(P2:P6)</f>
        <v/>
      </c>
      <c r="Q7" s="12">
        <f>SUM(Q2:Q6)</f>
        <v/>
      </c>
      <c r="R7" s="12">
        <f>SUM(R2:R6)</f>
        <v/>
      </c>
      <c r="S7" s="12">
        <f>SUM(S2:S6)</f>
        <v/>
      </c>
      <c r="T7" s="12">
        <f>SUM(T2:T6)</f>
        <v/>
      </c>
      <c r="U7" s="12">
        <f>SUM(U2:U6)</f>
        <v/>
      </c>
      <c r="V7" s="12">
        <f>SUM(V2:V6)</f>
        <v/>
      </c>
      <c r="W7" s="12">
        <f>SUM(W2:W6)</f>
        <v/>
      </c>
    </row>
    <row r="8" ht="15" customHeight="1" s="115">
      <c r="A8" s="40" t="n"/>
      <c r="B8" s="46" t="n"/>
      <c r="C8" s="46" t="n"/>
      <c r="D8" s="46" t="n"/>
      <c r="E8" s="46" t="n"/>
      <c r="F8" s="46" t="n"/>
      <c r="G8" s="46" t="n"/>
      <c r="H8" s="46" t="n"/>
      <c r="I8" s="46" t="n"/>
      <c r="J8" s="46" t="n"/>
      <c r="K8" s="46" t="n"/>
      <c r="L8" s="46" t="n"/>
      <c r="M8" s="46" t="n"/>
      <c r="N8" s="46" t="n"/>
      <c r="O8" s="46" t="n"/>
      <c r="P8" s="46" t="n"/>
      <c r="Q8" s="46" t="n"/>
      <c r="R8" s="46" t="n"/>
      <c r="U8" s="16" t="n"/>
    </row>
    <row r="9" ht="15" customHeight="1" s="115">
      <c r="A9" s="42" t="inlineStr">
        <is>
          <t>Context info</t>
        </is>
      </c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U9" s="16" t="n"/>
    </row>
    <row r="10" ht="15" customHeight="1" s="115">
      <c r="A10" s="36" t="inlineStr">
        <is>
          <t>BlackBook LTV (Baseline 145%)</t>
        </is>
      </c>
      <c r="B10" s="81">
        <f>'Data Tables (W)'!B44</f>
        <v/>
      </c>
      <c r="C10" s="81">
        <f>'Data Tables (W)'!C44</f>
        <v/>
      </c>
      <c r="D10" s="81">
        <f>'Data Tables (W)'!D44</f>
        <v/>
      </c>
      <c r="E10" s="81">
        <f>'Data Tables (W)'!E44</f>
        <v/>
      </c>
      <c r="F10" s="81">
        <f>'Data Tables (W)'!F44</f>
        <v/>
      </c>
      <c r="G10" s="81">
        <f>'Data Tables (W)'!G44</f>
        <v/>
      </c>
      <c r="H10" s="81">
        <f>'Data Tables (W)'!H44</f>
        <v/>
      </c>
      <c r="I10" s="81">
        <f>'Data Tables (W)'!I44</f>
        <v/>
      </c>
      <c r="J10" s="81">
        <f>'Data Tables (W)'!J44</f>
        <v/>
      </c>
      <c r="K10" s="81">
        <f>'Data Tables (W)'!K44</f>
        <v/>
      </c>
      <c r="L10" s="81">
        <f>'Data Tables (W)'!L44</f>
        <v/>
      </c>
      <c r="M10" s="81">
        <f>'Data Tables (W)'!M44</f>
        <v/>
      </c>
      <c r="N10" s="81">
        <f>'Data Tables (W)'!N44</f>
        <v/>
      </c>
      <c r="O10" s="81">
        <f>'Data Tables (W)'!O44</f>
        <v/>
      </c>
      <c r="P10" s="81">
        <f>'Data Tables (W)'!P44</f>
        <v/>
      </c>
      <c r="Q10" s="81">
        <f>'Data Tables (W)'!Q44</f>
        <v/>
      </c>
      <c r="R10" s="81">
        <f>'Data Tables (W)'!R44</f>
        <v/>
      </c>
      <c r="S10" s="81">
        <f>'Data Tables (W)'!S44</f>
        <v/>
      </c>
      <c r="T10" s="81">
        <f>'Data Tables (W)'!T44</f>
        <v/>
      </c>
      <c r="U10" s="81">
        <f>'Data Tables (W)'!U44</f>
        <v/>
      </c>
      <c r="V10" s="81">
        <f>'Data Tables (W)'!V44</f>
        <v/>
      </c>
      <c r="W10" s="81">
        <f>'Data Tables (W)'!W44</f>
        <v/>
      </c>
    </row>
    <row r="11" ht="15" customHeight="1" s="115">
      <c r="A11" s="37" t="inlineStr">
        <is>
          <t>Origination MMI</t>
        </is>
      </c>
      <c r="B11" s="83" t="n"/>
      <c r="C11" s="83" t="n"/>
      <c r="D11" s="83" t="n"/>
      <c r="E11" s="83" t="n"/>
      <c r="F11" s="83" t="n"/>
      <c r="G11" s="83" t="n"/>
      <c r="H11" s="83" t="n"/>
      <c r="I11" s="83" t="n"/>
      <c r="J11" s="83" t="n"/>
      <c r="K11" s="83" t="n"/>
      <c r="L11" s="83" t="n"/>
      <c r="M11" s="83" t="n"/>
      <c r="N11" s="83" t="n"/>
      <c r="O11" s="83" t="n"/>
      <c r="P11" s="83" t="n"/>
      <c r="Q11" s="83" t="n"/>
      <c r="R11" s="83" t="n"/>
      <c r="S11" s="83" t="n"/>
      <c r="T11" s="83" t="n"/>
      <c r="U11" s="83" t="n"/>
      <c r="V11" s="83" t="n"/>
      <c r="W11" s="83" t="n"/>
    </row>
    <row r="12" ht="15" customHeight="1" s="115">
      <c r="A12" s="43" t="inlineStr">
        <is>
          <t>MMI Impact⁵</t>
        </is>
      </c>
      <c r="B12" s="82" t="n"/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  <c r="W12" s="82" t="n"/>
    </row>
    <row r="13" ht="15" customHeight="1" s="115">
      <c r="A13" s="38" t="inlineStr">
        <is>
          <t>Adjustment to RAGU Score from MMI</t>
        </is>
      </c>
      <c r="B13" s="85">
        <f>B12/10%*1.7</f>
        <v/>
      </c>
      <c r="C13" s="85">
        <f>C12/10%*1.7</f>
        <v/>
      </c>
      <c r="D13" s="85">
        <f>D12/10%*1.7</f>
        <v/>
      </c>
      <c r="E13" s="85">
        <f>E12/10%*1.7</f>
        <v/>
      </c>
      <c r="F13" s="85">
        <f>F12/10%*1.7</f>
        <v/>
      </c>
      <c r="G13" s="85">
        <f>G12/10%*1.7</f>
        <v/>
      </c>
      <c r="H13" s="85">
        <f>H12/10%*1.7</f>
        <v/>
      </c>
      <c r="I13" s="85">
        <f>I12/10%*1.7</f>
        <v/>
      </c>
      <c r="J13" s="85">
        <f>J12/10%*1.7</f>
        <v/>
      </c>
      <c r="K13" s="85">
        <f>K12/10%*1.7</f>
        <v/>
      </c>
      <c r="L13" s="85">
        <f>L12/10%*1.7</f>
        <v/>
      </c>
      <c r="M13" s="85">
        <f>M12/10%*1.7</f>
        <v/>
      </c>
      <c r="N13" s="85">
        <f>N12/10%*1.7</f>
        <v/>
      </c>
      <c r="O13" s="85">
        <f>O12/10%*1.7</f>
        <v/>
      </c>
      <c r="P13" s="85">
        <f>P12/10%*1.7</f>
        <v/>
      </c>
      <c r="Q13" s="85">
        <f>Q12/10%*1.7</f>
        <v/>
      </c>
      <c r="R13" s="85">
        <f>R12/10%*1.7</f>
        <v/>
      </c>
      <c r="S13" s="85">
        <f>S12/10%*1.7</f>
        <v/>
      </c>
      <c r="T13" s="85">
        <f>T12/10%*1.7</f>
        <v/>
      </c>
      <c r="U13" s="85">
        <f>U12/10%*1.7</f>
        <v/>
      </c>
      <c r="V13" s="85">
        <f>V12/10%*1.7</f>
        <v/>
      </c>
      <c r="W13" s="85">
        <f>W12/10%*1.7</f>
        <v/>
      </c>
    </row>
    <row r="14" ht="15" customHeight="1" s="115">
      <c r="A14" s="36" t="inlineStr">
        <is>
          <t>RAGU Score (adjusted for MMI)</t>
        </is>
      </c>
      <c r="B14" s="87">
        <f>B7+B13</f>
        <v/>
      </c>
      <c r="C14" s="87">
        <f>C7+C13</f>
        <v/>
      </c>
      <c r="D14" s="87">
        <f>D7+D13</f>
        <v/>
      </c>
      <c r="E14" s="87">
        <f>E7+E13</f>
        <v/>
      </c>
      <c r="F14" s="87">
        <f>F7+F13</f>
        <v/>
      </c>
      <c r="G14" s="87">
        <f>G7+G13</f>
        <v/>
      </c>
      <c r="H14" s="87">
        <f>H7+H13</f>
        <v/>
      </c>
      <c r="I14" s="87">
        <f>I7+I13</f>
        <v/>
      </c>
      <c r="J14" s="87">
        <f>J7+J13</f>
        <v/>
      </c>
      <c r="K14" s="87">
        <f>K7+K13</f>
        <v/>
      </c>
      <c r="L14" s="87">
        <f>L7+L13</f>
        <v/>
      </c>
      <c r="M14" s="87">
        <f>M7+M13</f>
        <v/>
      </c>
      <c r="N14" s="87">
        <f>N7+N13</f>
        <v/>
      </c>
      <c r="O14" s="87">
        <f>O7+O13</f>
        <v/>
      </c>
      <c r="P14" s="87">
        <f>P7+P13</f>
        <v/>
      </c>
      <c r="Q14" s="87">
        <f>Q7+Q13</f>
        <v/>
      </c>
      <c r="R14" s="87">
        <f>R7+R13</f>
        <v/>
      </c>
      <c r="S14" s="87">
        <f>S7+S13</f>
        <v/>
      </c>
      <c r="T14" s="87">
        <f>T7+T13</f>
        <v/>
      </c>
      <c r="U14" s="87">
        <f>U7+U13</f>
        <v/>
      </c>
      <c r="V14" s="87">
        <f>V7+V13</f>
        <v/>
      </c>
      <c r="W14" s="87">
        <f>W7+W13</f>
        <v/>
      </c>
    </row>
    <row r="15" ht="15" customHeight="1" s="115">
      <c r="A15" s="38" t="inlineStr">
        <is>
          <t>t_c CNL⁶</t>
        </is>
      </c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P15" s="90" t="n"/>
      <c r="Q15" s="90" t="n"/>
      <c r="R15" s="90" t="n"/>
      <c r="S15" s="90" t="n"/>
      <c r="T15" s="90" t="n"/>
      <c r="U15" s="90" t="n"/>
      <c r="V15" s="90" t="n"/>
      <c r="W15" s="90" t="n"/>
    </row>
    <row r="16" ht="15" customHeight="1" s="115">
      <c r="A16" s="36" t="inlineStr">
        <is>
          <t>Implied t-1 CNL</t>
        </is>
      </c>
      <c r="B16" s="19">
        <f>B15-($R$14-B14)*1%</f>
        <v/>
      </c>
      <c r="C16" s="19">
        <f>C15-($R$14-C14)*1%</f>
        <v/>
      </c>
      <c r="D16" s="19">
        <f>D15-($R$14-D14)*1%</f>
        <v/>
      </c>
      <c r="E16" s="19">
        <f>E15-($R$14-E14)*1%</f>
        <v/>
      </c>
      <c r="F16" s="19">
        <f>F15-($R$14-F14)*1%</f>
        <v/>
      </c>
      <c r="G16" s="19">
        <f>G15-($R$14-G14)*1%</f>
        <v/>
      </c>
      <c r="H16" s="19">
        <f>H15-($R$14-H14)*1%</f>
        <v/>
      </c>
      <c r="I16" s="19">
        <f>I15-($R$14-I14)*1%</f>
        <v/>
      </c>
      <c r="J16" s="19">
        <f>J15-($R$14-J14)*1%</f>
        <v/>
      </c>
      <c r="K16" s="19">
        <f>K15-($R$14-K14)*1%</f>
        <v/>
      </c>
      <c r="L16" s="19">
        <f>L15-($R$14-L14)*1%</f>
        <v/>
      </c>
      <c r="M16" s="19">
        <f>M15-($R$14-M14)*1%</f>
        <v/>
      </c>
      <c r="N16" s="19">
        <f>N15-($R$14-N14)*1%</f>
        <v/>
      </c>
      <c r="O16" s="19">
        <f>O15-($R$14-O14)*1%</f>
        <v/>
      </c>
      <c r="P16" s="19">
        <f>P15-($R$14-P14)*1%</f>
        <v/>
      </c>
      <c r="Q16" s="19">
        <f>Q15-($R$14-Q14)*1%</f>
        <v/>
      </c>
      <c r="R16" s="19">
        <f>R15-($R$14-R14)*1%</f>
        <v/>
      </c>
      <c r="S16" s="19">
        <f>S15-($R$14-S14)*1%</f>
        <v/>
      </c>
      <c r="T16" s="19">
        <f>T15-($R$14-T14)*1%</f>
        <v/>
      </c>
      <c r="U16" s="19">
        <f>U15-($R$14-U14)*1%</f>
        <v/>
      </c>
      <c r="V16" s="19">
        <f>V15-($R$14-V14)*1%</f>
        <v/>
      </c>
      <c r="W16" s="19">
        <f>W15-($R$14-W14)*1%</f>
        <v/>
      </c>
    </row>
    <row r="19" ht="15" customHeight="1" s="115">
      <c r="A19" s="50" t="inlineStr">
        <is>
          <t>1:</t>
        </is>
      </c>
      <c r="B19" s="51" t="inlineStr">
        <is>
          <t>Model Score excludes buybacks and high amount financed.</t>
        </is>
      </c>
    </row>
    <row r="20" ht="15" customHeight="1" s="115">
      <c r="A20" s="50" t="inlineStr">
        <is>
          <t>2:</t>
        </is>
      </c>
      <c r="B20" s="51" t="inlineStr">
        <is>
          <t>We are currently working with Pricing to determine how to use FRN3.1 scores, there are large discrepancies between model scores as booked and FRN3.1 due to what might be centering issues.</t>
        </is>
      </c>
    </row>
    <row r="21" ht="15" customHeight="1" s="115">
      <c r="A21" s="50" t="inlineStr">
        <is>
          <t>3:</t>
        </is>
      </c>
      <c r="B21" s="51" t="inlineStr">
        <is>
          <t>Biggest impacts to Gross Loss Adjustments are Dealer Level, weekday/weekend decision, and high mileage classification.</t>
        </is>
      </c>
    </row>
    <row r="22" ht="15" customHeight="1" s="115">
      <c r="A22" s="50" t="n"/>
      <c r="B22" s="51" t="inlineStr">
        <is>
          <t>See Appendix for details on other factors</t>
        </is>
      </c>
    </row>
    <row r="23" ht="15" customHeight="1" s="115">
      <c r="A23" s="50" t="inlineStr">
        <is>
          <t>4:</t>
        </is>
      </c>
      <c r="B23" s="51" t="inlineStr">
        <is>
          <t>Biggest impacts to Recovery Adjustments are mileage/age, impound probability, and vehicle class.</t>
        </is>
      </c>
    </row>
    <row r="24" ht="15" customHeight="1" s="115">
      <c r="A24" s="50" t="inlineStr">
        <is>
          <t>5:</t>
        </is>
      </c>
      <c r="B24" s="51" t="inlineStr">
        <is>
          <t>LTV adjustments are made using the 10% LTV improvement-&gt;170bps to CNL heuristic, based on BlackBook LTV values.</t>
        </is>
      </c>
    </row>
    <row r="25" ht="15" customHeight="1" s="115">
      <c r="A25" s="50" t="inlineStr">
        <is>
          <t>6:</t>
        </is>
      </c>
      <c r="B25" s="51" t="inlineStr">
        <is>
          <t>MMI uses adjusted index (2019 seasonality). The MMI Impact compares the actual MMI to a 3% annual growth.</t>
        </is>
      </c>
    </row>
    <row r="26" ht="15" customHeight="1" s="115">
      <c r="A26" s="50" t="n"/>
      <c r="B26" s="51" t="inlineStr">
        <is>
          <t>A positive impact of X% means sold recovery will be X% better.</t>
        </is>
      </c>
    </row>
    <row r="27" ht="15" customHeight="1" s="115">
      <c r="A27" s="50" t="inlineStr">
        <is>
          <t>7:</t>
        </is>
      </c>
      <c r="B27" s="51" t="inlineStr">
        <is>
          <t>tc CNL uses UGLY Model projections, and 2023 Q1 blends 75% UGLY Model with 25% Loss Committee.</t>
        </is>
      </c>
    </row>
    <row r="28" ht="15" customHeight="1" s="115">
      <c r="A28" s="50" t="n"/>
      <c r="B28" s="51" t="n"/>
    </row>
    <row r="29" ht="15" customHeight="1" s="115">
      <c r="A29" s="50" t="n"/>
      <c r="B29" s="51" t="n"/>
    </row>
    <row r="30" ht="15" customHeight="1" s="115">
      <c r="A30" s="50" t="n"/>
      <c r="B30" s="51" t="n"/>
    </row>
    <row r="31" ht="15" customHeight="1" s="115">
      <c r="A31" s="50" t="n"/>
      <c r="B31" s="51" t="n"/>
    </row>
  </sheetData>
  <pageMargins left="0.7" right="0.7" top="0.75" bottom="0.75" header="0.3" footer="0.3"/>
  <pageSetup orientation="portrait" horizontalDpi="204" verticalDpi="192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30"/>
  <sheetViews>
    <sheetView zoomScale="160" zoomScaleNormal="160" workbookViewId="0">
      <selection activeCell="B23" sqref="B23"/>
    </sheetView>
  </sheetViews>
  <sheetFormatPr baseColWidth="8" defaultColWidth="9.1796875" defaultRowHeight="15" customHeight="1"/>
  <cols>
    <col width="28.54296875" customWidth="1" style="41" min="1" max="1"/>
    <col width="6.54296875" customWidth="1" style="41" min="2" max="2"/>
    <col width="5.81640625" customWidth="1" style="41" min="3" max="3"/>
    <col width="5.7265625" customWidth="1" style="41" min="4" max="4"/>
    <col width="6.1796875" customWidth="1" style="41" min="5" max="5"/>
    <col width="6" customWidth="1" style="41" min="6" max="6"/>
    <col width="5.26953125" customWidth="1" style="41" min="7" max="7"/>
    <col width="6.1796875" customWidth="1" style="41" min="8" max="8"/>
    <col width="6.54296875" customWidth="1" style="41" min="9" max="9"/>
    <col width="5.81640625" customWidth="1" style="41" min="10" max="10"/>
    <col width="6.26953125" customWidth="1" style="41" min="11" max="11"/>
    <col width="7.1796875" customWidth="1" style="41" min="12" max="12"/>
    <col width="6.26953125" customWidth="1" style="41" min="13" max="14"/>
    <col width="7.1796875" customWidth="1" style="41" min="15" max="15"/>
    <col width="5.26953125" customWidth="1" style="41" min="16" max="16"/>
    <col width="5.81640625" customWidth="1" style="41" min="17" max="17"/>
    <col width="7" customWidth="1" style="41" min="18" max="18"/>
    <col width="6" customWidth="1" style="41" min="19" max="19"/>
    <col width="6.26953125" customWidth="1" style="41" min="20" max="20"/>
    <col width="7.453125" customWidth="1" style="41" min="21" max="22"/>
    <col width="9.1796875" customWidth="1" style="41" min="23" max="75"/>
    <col width="9.1796875" customWidth="1" style="41" min="76" max="16384"/>
  </cols>
  <sheetData>
    <row r="1" ht="30" customHeight="1" s="115">
      <c r="A1" s="71" t="inlineStr">
        <is>
          <t>KMX¹</t>
        </is>
      </c>
      <c r="B1" s="120" t="n">
        <v>45291</v>
      </c>
      <c r="C1" s="120" t="n">
        <v>45298</v>
      </c>
      <c r="D1" s="120" t="n">
        <v>45305</v>
      </c>
      <c r="E1" s="120" t="n">
        <v>45312</v>
      </c>
      <c r="F1" s="120" t="n">
        <v>45319</v>
      </c>
      <c r="G1" s="120" t="n">
        <v>45326</v>
      </c>
      <c r="H1" s="120" t="n">
        <v>45333</v>
      </c>
      <c r="I1" s="120" t="n">
        <v>45340</v>
      </c>
      <c r="J1" s="120" t="n">
        <v>45347</v>
      </c>
      <c r="K1" s="120" t="n">
        <v>45354</v>
      </c>
      <c r="L1" s="120" t="n">
        <v>45361</v>
      </c>
      <c r="M1" s="120" t="n">
        <v>45368</v>
      </c>
      <c r="N1" s="120" t="n">
        <v>45375</v>
      </c>
      <c r="O1" s="120" t="n">
        <v>45382</v>
      </c>
      <c r="P1" s="120" t="n">
        <v>45389</v>
      </c>
      <c r="Q1" s="120" t="n">
        <v>45396</v>
      </c>
      <c r="R1" s="120" t="n">
        <v>45403</v>
      </c>
      <c r="S1" s="120" t="n">
        <v>45410</v>
      </c>
      <c r="T1" s="121" t="n">
        <v>45417</v>
      </c>
      <c r="U1" s="121" t="n">
        <v>45424</v>
      </c>
      <c r="V1" s="122" t="n">
        <v>45431</v>
      </c>
      <c r="W1" s="121" t="n">
        <v>45438</v>
      </c>
      <c r="X1" s="121" t="n">
        <v>45445</v>
      </c>
      <c r="Y1" s="122" t="n">
        <v>45452</v>
      </c>
      <c r="Z1" s="121" t="n">
        <v>45459</v>
      </c>
      <c r="AA1" s="121" t="n">
        <v>45466</v>
      </c>
    </row>
    <row r="2" ht="15" customHeight="1" s="115">
      <c r="A2" s="72" t="inlineStr">
        <is>
          <t>Contract Model Score²</t>
        </is>
      </c>
      <c r="B2" s="12">
        <f>'Data Tables (W)'!B56</f>
        <v/>
      </c>
      <c r="C2" s="12">
        <f>'Data Tables (W)'!C56</f>
        <v/>
      </c>
      <c r="D2" s="12">
        <f>'Data Tables (W)'!D56</f>
        <v/>
      </c>
      <c r="E2" s="12">
        <f>'Data Tables (W)'!E56</f>
        <v/>
      </c>
      <c r="F2" s="12">
        <f>'Data Tables (W)'!F56</f>
        <v/>
      </c>
      <c r="G2" s="12">
        <f>'Data Tables (W)'!G56</f>
        <v/>
      </c>
      <c r="H2" s="12">
        <f>'Data Tables (W)'!H56</f>
        <v/>
      </c>
      <c r="I2" s="12">
        <f>'Data Tables (W)'!I56</f>
        <v/>
      </c>
      <c r="J2" s="12">
        <f>'Data Tables (W)'!J56</f>
        <v/>
      </c>
      <c r="K2" s="12">
        <f>'Data Tables (W)'!K56</f>
        <v/>
      </c>
      <c r="L2" s="12">
        <f>'Data Tables (W)'!L56</f>
        <v/>
      </c>
      <c r="M2" s="12">
        <f>'Data Tables (W)'!M56</f>
        <v/>
      </c>
      <c r="N2" s="12">
        <f>'Data Tables (W)'!N56</f>
        <v/>
      </c>
      <c r="O2" s="12">
        <f>'Data Tables (W)'!O56</f>
        <v/>
      </c>
      <c r="P2" s="12">
        <f>'Data Tables (W)'!P56</f>
        <v/>
      </c>
      <c r="Q2" s="12">
        <f>'Data Tables (W)'!Q56</f>
        <v/>
      </c>
      <c r="R2" s="12">
        <f>'Data Tables (W)'!R56</f>
        <v/>
      </c>
      <c r="S2" s="12">
        <f>'Data Tables (W)'!S56</f>
        <v/>
      </c>
      <c r="T2" s="12">
        <f>'Data Tables (W)'!T56</f>
        <v/>
      </c>
      <c r="U2" s="12">
        <f>'Data Tables (W)'!U56</f>
        <v/>
      </c>
      <c r="V2" s="12">
        <f>'Data Tables (W)'!V56</f>
        <v/>
      </c>
      <c r="W2" s="12">
        <f>'Data Tables (W)'!W56</f>
        <v/>
      </c>
      <c r="X2" s="108" t="n"/>
      <c r="Y2" s="108" t="n"/>
      <c r="Z2" s="46" t="n"/>
    </row>
    <row r="3" hidden="1" ht="15" customHeight="1" s="115">
      <c r="A3" s="73" t="inlineStr">
        <is>
          <t>Shift to Mountain3 Score³</t>
        </is>
      </c>
      <c r="B3" s="13">
        <f>'Data Tables (W)'!B57*$Z$2</f>
        <v/>
      </c>
      <c r="C3" s="13">
        <f>'Data Tables (W)'!C57*$Z$2</f>
        <v/>
      </c>
      <c r="D3" s="13">
        <f>'Data Tables (W)'!D57*$Z$2</f>
        <v/>
      </c>
      <c r="E3" s="13">
        <f>'Data Tables (W)'!E57*$Z$2</f>
        <v/>
      </c>
      <c r="F3" s="13">
        <f>'Data Tables (W)'!F57*$Z$2</f>
        <v/>
      </c>
      <c r="G3" s="13">
        <f>'Data Tables (W)'!G57*$Z$2</f>
        <v/>
      </c>
      <c r="H3" s="13">
        <f>'Data Tables (W)'!H57*$Z$2</f>
        <v/>
      </c>
      <c r="I3" s="13">
        <f>'Data Tables (W)'!I57*$Z$2</f>
        <v/>
      </c>
      <c r="J3" s="13">
        <f>'Data Tables (W)'!J57*$Z$2</f>
        <v/>
      </c>
      <c r="K3" s="13">
        <f>'Data Tables (W)'!K57*$Z$2</f>
        <v/>
      </c>
      <c r="L3" s="13">
        <f>'Data Tables (W)'!L57*$Z$2</f>
        <v/>
      </c>
      <c r="M3" s="13">
        <f>'Data Tables (W)'!M57*$Z$2</f>
        <v/>
      </c>
      <c r="N3" s="13">
        <f>'Data Tables (W)'!N57*$Z$2</f>
        <v/>
      </c>
      <c r="O3" s="13">
        <f>'Data Tables (W)'!O57*$Z$2</f>
        <v/>
      </c>
      <c r="P3" s="13">
        <f>'Data Tables (W)'!P57*$Z$2</f>
        <v/>
      </c>
      <c r="Q3" s="13">
        <f>'Data Tables (W)'!Q57*$Z$2</f>
        <v/>
      </c>
      <c r="R3" s="13">
        <f>'Data Tables (W)'!R57*$Z$2</f>
        <v/>
      </c>
      <c r="S3" s="13">
        <f>'Data Tables (W)'!S57*$Z$2</f>
        <v/>
      </c>
      <c r="T3" s="13">
        <f>'Data Tables (W)'!T57*$Z$2</f>
        <v/>
      </c>
      <c r="U3" s="13">
        <f>'Data Tables (W)'!U57*$Z$2</f>
        <v/>
      </c>
      <c r="V3" s="13">
        <f>'Data Tables (W)'!V57*$Z$2</f>
        <v/>
      </c>
      <c r="W3" s="13">
        <f>'Data Tables (W)'!W57*$Z$2</f>
        <v/>
      </c>
      <c r="X3" s="16" t="n"/>
      <c r="Y3" s="16" t="n"/>
    </row>
    <row r="4" ht="30" customHeight="1" s="115">
      <c r="A4" s="73" t="inlineStr">
        <is>
          <t>Gross Loss Adjustments (vehicle age, weekday/weekend, etc.³)</t>
        </is>
      </c>
      <c r="B4" s="13">
        <f>'Data Tables (W)'!B58</f>
        <v/>
      </c>
      <c r="C4" s="13">
        <f>'Data Tables (W)'!C58</f>
        <v/>
      </c>
      <c r="D4" s="13">
        <f>'Data Tables (W)'!D58</f>
        <v/>
      </c>
      <c r="E4" s="13">
        <f>'Data Tables (W)'!E58</f>
        <v/>
      </c>
      <c r="F4" s="13">
        <f>'Data Tables (W)'!F58</f>
        <v/>
      </c>
      <c r="G4" s="13">
        <f>'Data Tables (W)'!G58</f>
        <v/>
      </c>
      <c r="H4" s="13">
        <f>'Data Tables (W)'!H58</f>
        <v/>
      </c>
      <c r="I4" s="13">
        <f>'Data Tables (W)'!I58</f>
        <v/>
      </c>
      <c r="J4" s="13">
        <f>'Data Tables (W)'!J58</f>
        <v/>
      </c>
      <c r="K4" s="13">
        <f>'Data Tables (W)'!K58</f>
        <v/>
      </c>
      <c r="L4" s="13">
        <f>'Data Tables (W)'!L58</f>
        <v/>
      </c>
      <c r="M4" s="13">
        <f>'Data Tables (W)'!M58</f>
        <v/>
      </c>
      <c r="N4" s="13">
        <f>'Data Tables (W)'!N58</f>
        <v/>
      </c>
      <c r="O4" s="13">
        <f>'Data Tables (W)'!O58</f>
        <v/>
      </c>
      <c r="P4" s="13">
        <f>'Data Tables (W)'!P58</f>
        <v/>
      </c>
      <c r="Q4" s="13">
        <f>'Data Tables (W)'!Q58</f>
        <v/>
      </c>
      <c r="R4" s="13">
        <f>'Data Tables (W)'!R58</f>
        <v/>
      </c>
      <c r="S4" s="13">
        <f>'Data Tables (W)'!S58</f>
        <v/>
      </c>
      <c r="T4" s="13">
        <f>'Data Tables (W)'!T58</f>
        <v/>
      </c>
      <c r="U4" s="13">
        <f>'Data Tables (W)'!U58</f>
        <v/>
      </c>
      <c r="V4" s="13">
        <f>'Data Tables (W)'!V58</f>
        <v/>
      </c>
      <c r="W4" s="13">
        <f>'Data Tables (W)'!W58</f>
        <v/>
      </c>
      <c r="X4" s="16" t="n"/>
      <c r="Y4" s="16" t="n"/>
    </row>
    <row r="5" ht="30" customHeight="1" s="115">
      <c r="A5" s="72" t="inlineStr">
        <is>
          <t>BBLTV Adjustment to Recovery⁴ (Accounts for mileage/age and wholesale/retail gap⁵)</t>
        </is>
      </c>
      <c r="B5" s="12">
        <f>(159%/B11-1)/10%*1.7/0.65</f>
        <v/>
      </c>
      <c r="C5" s="12">
        <f>(159%/C11-1)/10%*1.7/0.65</f>
        <v/>
      </c>
      <c r="D5" s="12">
        <f>(159%/D11-1)/10%*1.7/0.65</f>
        <v/>
      </c>
      <c r="E5" s="12">
        <f>(159%/E11-1)/10%*1.7/0.65</f>
        <v/>
      </c>
      <c r="F5" s="12">
        <f>(159%/F11-1)/10%*1.7/0.65</f>
        <v/>
      </c>
      <c r="G5" s="12">
        <f>(159%/G11-1)/10%*1.7/0.65</f>
        <v/>
      </c>
      <c r="H5" s="12">
        <f>(159%/H11-1)/10%*1.7/0.65</f>
        <v/>
      </c>
      <c r="I5" s="12">
        <f>(159%/I11-1)/10%*1.7/0.65</f>
        <v/>
      </c>
      <c r="J5" s="12">
        <f>(159%/J11-1)/10%*1.7/0.65</f>
        <v/>
      </c>
      <c r="K5" s="12">
        <f>(159%/K11-1)/10%*1.7/0.65</f>
        <v/>
      </c>
      <c r="L5" s="12">
        <f>(159%/L11-1)/10%*1.7/0.65</f>
        <v/>
      </c>
      <c r="M5" s="12">
        <f>(159%/M11-1)/10%*1.7/0.65</f>
        <v/>
      </c>
      <c r="N5" s="12">
        <f>(159%/N11-1)/10%*1.7/0.65</f>
        <v/>
      </c>
      <c r="O5" s="12">
        <f>(159%/O11-1)/10%*1.7/0.65</f>
        <v/>
      </c>
      <c r="P5" s="12">
        <f>(159%/P11-1)/10%*1.7/0.65</f>
        <v/>
      </c>
      <c r="Q5" s="12">
        <f>(159%/Q11-1)/10%*1.7/0.65</f>
        <v/>
      </c>
      <c r="R5" s="12">
        <f>(159%/R11-1)/10%*1.7/0.65</f>
        <v/>
      </c>
      <c r="S5" s="12">
        <f>(159%/S11-1)/10%*1.7/0.65</f>
        <v/>
      </c>
      <c r="T5" s="12">
        <f>(159%/T11-1)/10%*1.7/0.65</f>
        <v/>
      </c>
      <c r="U5" s="12">
        <f>(159%/U11-1)/10%*1.7/0.65</f>
        <v/>
      </c>
      <c r="V5" s="12">
        <f>(159%/V11-1)/10%*1.7/0.65</f>
        <v/>
      </c>
      <c r="W5" s="12">
        <f>(159%/W11-1)/10%*1.7/0.65</f>
        <v/>
      </c>
      <c r="X5" s="16" t="n"/>
      <c r="Y5" s="16" t="n"/>
    </row>
    <row r="6" ht="15" customHeight="1" s="115">
      <c r="A6" s="73" t="inlineStr">
        <is>
          <t>RAGU Score</t>
        </is>
      </c>
      <c r="B6" s="13">
        <f>SUM(B2:B5)</f>
        <v/>
      </c>
      <c r="C6" s="13">
        <f>SUM(C2:C5)</f>
        <v/>
      </c>
      <c r="D6" s="13">
        <f>SUM(D2:D5)</f>
        <v/>
      </c>
      <c r="E6" s="13">
        <f>SUM(E2:E5)</f>
        <v/>
      </c>
      <c r="F6" s="13">
        <f>SUM(F2:F5)</f>
        <v/>
      </c>
      <c r="G6" s="13">
        <f>SUM(G2:G5)</f>
        <v/>
      </c>
      <c r="H6" s="13">
        <f>SUM(H2:H5)</f>
        <v/>
      </c>
      <c r="I6" s="13">
        <f>SUM(I2:I5)</f>
        <v/>
      </c>
      <c r="J6" s="13">
        <f>SUM(J2:J5)</f>
        <v/>
      </c>
      <c r="K6" s="13">
        <f>SUM(K2:K5)</f>
        <v/>
      </c>
      <c r="L6" s="13">
        <f>SUM(L2:L5)</f>
        <v/>
      </c>
      <c r="M6" s="13">
        <f>SUM(M2:M5)</f>
        <v/>
      </c>
      <c r="N6" s="13">
        <f>SUM(N2:N5)</f>
        <v/>
      </c>
      <c r="O6" s="13">
        <f>SUM(O2:O5)</f>
        <v/>
      </c>
      <c r="P6" s="13">
        <f>SUM(P2:P5)</f>
        <v/>
      </c>
      <c r="Q6" s="13">
        <f>SUM(Q2:Q5)</f>
        <v/>
      </c>
      <c r="R6" s="13">
        <f>SUM(R2:R5)</f>
        <v/>
      </c>
      <c r="S6" s="13">
        <f>SUM(S2:S5)</f>
        <v/>
      </c>
      <c r="T6" s="13">
        <f>SUM(T2:T5)</f>
        <v/>
      </c>
      <c r="U6" s="13">
        <f>SUM(U2:U5)</f>
        <v/>
      </c>
      <c r="V6" s="13">
        <f>SUM(V2:V5)</f>
        <v/>
      </c>
      <c r="W6" s="13">
        <f>SUM(W2:W5)</f>
        <v/>
      </c>
      <c r="X6" s="16" t="n"/>
      <c r="Y6" s="16" t="n"/>
    </row>
    <row r="7" hidden="1" ht="15" customHeight="1" s="115">
      <c r="A7" s="73" t="inlineStr">
        <is>
          <t>Haircut to Recovery ($1200, 2022 Q3+)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3">
        <f>-0.5*0.75*1200/22000*65</f>
        <v/>
      </c>
      <c r="Q7" s="13">
        <f>-0.5*0.75*1200/22000*65</f>
        <v/>
      </c>
      <c r="R7" s="13">
        <f>-0.5*0.75*1200/22000*65</f>
        <v/>
      </c>
      <c r="S7" s="13">
        <f>-0.5*0.75*1200/22000*65</f>
        <v/>
      </c>
      <c r="T7" s="13">
        <f>-0.5*0.75*1200/22000*65</f>
        <v/>
      </c>
      <c r="U7" s="13">
        <f>-0.5*0.75*1200/22000*65</f>
        <v/>
      </c>
      <c r="V7" s="13" t="n"/>
      <c r="W7" s="13" t="n"/>
      <c r="X7" s="16" t="n"/>
      <c r="Y7" s="16" t="n"/>
    </row>
    <row r="8" hidden="1" ht="15" customHeight="1" s="115">
      <c r="A8" s="73" t="inlineStr">
        <is>
          <t>RAGU Score with Haircut</t>
        </is>
      </c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3">
        <f>P6+P7</f>
        <v/>
      </c>
      <c r="Q8" s="13">
        <f>Q6+Q7</f>
        <v/>
      </c>
      <c r="R8" s="13">
        <f>R6+R7</f>
        <v/>
      </c>
      <c r="S8" s="13">
        <f>S6+S7</f>
        <v/>
      </c>
      <c r="T8" s="13">
        <f>T6+T7</f>
        <v/>
      </c>
      <c r="U8" s="13">
        <f>U6+U7</f>
        <v/>
      </c>
      <c r="V8" s="13" t="n"/>
      <c r="W8" s="13" t="n"/>
      <c r="X8" s="16" t="n"/>
      <c r="Y8" s="16" t="n"/>
    </row>
    <row r="9" ht="15" customHeight="1" s="115">
      <c r="A9" s="92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</row>
    <row r="10" ht="15" customHeight="1" s="115">
      <c r="A10" s="93" t="inlineStr">
        <is>
          <t>Context info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</row>
    <row r="11" ht="15" customHeight="1" s="115">
      <c r="A11" s="72" t="inlineStr">
        <is>
          <t>BlackBook LTV (Baseline 159%)</t>
        </is>
      </c>
      <c r="B11" s="14">
        <f>'Data Tables (W)'!B62</f>
        <v/>
      </c>
      <c r="C11" s="14">
        <f>'Data Tables (W)'!C62</f>
        <v/>
      </c>
      <c r="D11" s="14">
        <f>'Data Tables (W)'!D62</f>
        <v/>
      </c>
      <c r="E11" s="14">
        <f>'Data Tables (W)'!E62</f>
        <v/>
      </c>
      <c r="F11" s="14">
        <f>'Data Tables (W)'!F62</f>
        <v/>
      </c>
      <c r="G11" s="14">
        <f>'Data Tables (W)'!G62</f>
        <v/>
      </c>
      <c r="H11" s="14">
        <f>'Data Tables (W)'!H62</f>
        <v/>
      </c>
      <c r="I11" s="14">
        <f>'Data Tables (W)'!I62</f>
        <v/>
      </c>
      <c r="J11" s="14">
        <f>'Data Tables (W)'!J62</f>
        <v/>
      </c>
      <c r="K11" s="14">
        <f>'Data Tables (W)'!K62</f>
        <v/>
      </c>
      <c r="L11" s="14">
        <f>'Data Tables (W)'!L62</f>
        <v/>
      </c>
      <c r="M11" s="14">
        <f>'Data Tables (W)'!M62</f>
        <v/>
      </c>
      <c r="N11" s="14">
        <f>'Data Tables (W)'!N62</f>
        <v/>
      </c>
      <c r="O11" s="14">
        <f>'Data Tables (W)'!O62</f>
        <v/>
      </c>
      <c r="P11" s="14">
        <f>'Data Tables (W)'!P62</f>
        <v/>
      </c>
      <c r="Q11" s="14">
        <f>'Data Tables (W)'!Q62</f>
        <v/>
      </c>
      <c r="R11" s="14">
        <f>'Data Tables (W)'!R62</f>
        <v/>
      </c>
      <c r="S11" s="14">
        <f>'Data Tables (W)'!S62</f>
        <v/>
      </c>
      <c r="T11" s="14">
        <f>'Data Tables (W)'!T62</f>
        <v/>
      </c>
      <c r="U11" s="14">
        <f>'Data Tables (W)'!U62</f>
        <v/>
      </c>
      <c r="V11" s="14">
        <f>'Data Tables (W)'!V62</f>
        <v/>
      </c>
      <c r="W11" s="14">
        <f>'Data Tables (W)'!W62</f>
        <v/>
      </c>
      <c r="X11" s="109" t="n"/>
      <c r="Y11" s="16" t="n"/>
    </row>
    <row r="12" ht="15" customHeight="1" s="115">
      <c r="A12" s="73" t="inlineStr">
        <is>
          <t>Origination MMI</t>
        </is>
      </c>
      <c r="B12" s="17" t="n"/>
      <c r="C12" s="17" t="n"/>
      <c r="D12" s="11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1" t="n"/>
      <c r="P12" s="11" t="n"/>
      <c r="Q12" s="17" t="n"/>
      <c r="R12" s="17" t="n"/>
      <c r="S12" s="17" t="n"/>
      <c r="T12" s="17" t="n"/>
      <c r="U12" s="18" t="n"/>
      <c r="V12" s="18" t="n"/>
      <c r="W12" s="18" t="n"/>
    </row>
    <row r="13" ht="15" customHeight="1" s="115">
      <c r="A13" s="72" t="inlineStr">
        <is>
          <t>MMI Impact⁶</t>
        </is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</row>
    <row r="14" ht="15" customHeight="1" s="115">
      <c r="A14" s="94" t="inlineStr">
        <is>
          <t>Adjustment to RAGU Score from MMI</t>
        </is>
      </c>
      <c r="B14" s="13">
        <f>B13/10%*1.7/0.65</f>
        <v/>
      </c>
      <c r="C14" s="13">
        <f>C13/10%*1.7/0.65</f>
        <v/>
      </c>
      <c r="D14" s="13">
        <f>D13/10%*1.7/0.65</f>
        <v/>
      </c>
      <c r="E14" s="13">
        <f>E13/10%*1.7/0.65</f>
        <v/>
      </c>
      <c r="F14" s="13">
        <f>F13/10%*1.7/0.65</f>
        <v/>
      </c>
      <c r="G14" s="13">
        <f>G13/10%*1.7/0.65</f>
        <v/>
      </c>
      <c r="H14" s="13">
        <f>H13/10%*1.7/0.65</f>
        <v/>
      </c>
      <c r="I14" s="13">
        <f>I13/10%*1.7/0.65</f>
        <v/>
      </c>
      <c r="J14" s="13">
        <f>J13/10%*1.7/0.65</f>
        <v/>
      </c>
      <c r="K14" s="13">
        <f>K13/10%*1.7/0.65</f>
        <v/>
      </c>
      <c r="L14" s="13">
        <f>L13/10%*1.7/0.65</f>
        <v/>
      </c>
      <c r="M14" s="13">
        <f>M13/10%*1.7/0.65</f>
        <v/>
      </c>
      <c r="N14" s="13">
        <f>N13/10%*1.7/0.65</f>
        <v/>
      </c>
      <c r="O14" s="13">
        <f>O13/10%*1.7/0.65</f>
        <v/>
      </c>
      <c r="P14" s="13">
        <f>P13/10%*1.7/0.65</f>
        <v/>
      </c>
      <c r="Q14" s="13">
        <f>Q13/10%*1.7/0.65</f>
        <v/>
      </c>
      <c r="R14" s="13">
        <f>R13/10%*1.7/0.65</f>
        <v/>
      </c>
      <c r="S14" s="13">
        <f>S13/10%*1.7/0.65</f>
        <v/>
      </c>
      <c r="T14" s="13">
        <f>T13/10%*1.7/0.65</f>
        <v/>
      </c>
      <c r="U14" s="13">
        <f>U13/10%*1.7/0.65</f>
        <v/>
      </c>
      <c r="V14" s="13">
        <f>V13/10%*1.7/0.65</f>
        <v/>
      </c>
      <c r="W14" s="13">
        <f>W13/10%*1.7/0.65</f>
        <v/>
      </c>
    </row>
    <row r="15" ht="15" customHeight="1" s="115">
      <c r="A15" s="72" t="inlineStr">
        <is>
          <t>RAGU Score (adjusted for MMI)</t>
        </is>
      </c>
      <c r="B15" s="12">
        <f>B14+B6</f>
        <v/>
      </c>
      <c r="C15" s="12">
        <f>C14+C6</f>
        <v/>
      </c>
      <c r="D15" s="12">
        <f>D14+D6</f>
        <v/>
      </c>
      <c r="E15" s="12">
        <f>E14+E6</f>
        <v/>
      </c>
      <c r="F15" s="12">
        <f>F14+F6</f>
        <v/>
      </c>
      <c r="G15" s="12">
        <f>G14+G6</f>
        <v/>
      </c>
      <c r="H15" s="12">
        <f>H14+H6</f>
        <v/>
      </c>
      <c r="I15" s="12">
        <f>I14+I6</f>
        <v/>
      </c>
      <c r="J15" s="12">
        <f>J14+J6</f>
        <v/>
      </c>
      <c r="K15" s="12">
        <f>K14+K6</f>
        <v/>
      </c>
      <c r="L15" s="12">
        <f>L14+L6</f>
        <v/>
      </c>
      <c r="M15" s="12">
        <f>M14+M6</f>
        <v/>
      </c>
      <c r="N15" s="12">
        <f>N14+N6</f>
        <v/>
      </c>
      <c r="O15" s="12">
        <f>O14+O6</f>
        <v/>
      </c>
      <c r="P15" s="12">
        <f>P14+P6</f>
        <v/>
      </c>
      <c r="Q15" s="12">
        <f>Q14+Q6</f>
        <v/>
      </c>
      <c r="R15" s="12">
        <f>R14+R6</f>
        <v/>
      </c>
      <c r="S15" s="12">
        <f>S14+S6</f>
        <v/>
      </c>
      <c r="T15" s="12">
        <f>T14+T6</f>
        <v/>
      </c>
      <c r="U15" s="12">
        <f>U14+U6</f>
        <v/>
      </c>
      <c r="V15" s="12">
        <f>V14+V6</f>
        <v/>
      </c>
      <c r="W15" s="12">
        <f>W14+W6</f>
        <v/>
      </c>
    </row>
    <row r="16" ht="15" customHeight="1" s="115">
      <c r="A16" s="73" t="inlineStr">
        <is>
          <t>t_c CNL⁷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</row>
    <row r="17" ht="15" customHeight="1" s="115">
      <c r="A17" s="74" t="inlineStr">
        <is>
          <t>Implied t-1 CNL</t>
        </is>
      </c>
      <c r="B17" s="20">
        <f>B16-($V$15-B15)*0.65%</f>
        <v/>
      </c>
      <c r="C17" s="20">
        <f>C16-($V$15-C15)*0.65%</f>
        <v/>
      </c>
      <c r="D17" s="20">
        <f>D16-($V$15-D15)*0.65%</f>
        <v/>
      </c>
      <c r="E17" s="20">
        <f>E16-($V$15-E15)*0.65%</f>
        <v/>
      </c>
      <c r="F17" s="20">
        <f>F16-($V$15-F15)*0.65%</f>
        <v/>
      </c>
      <c r="G17" s="20">
        <f>G16-($V$15-G15)*0.65%</f>
        <v/>
      </c>
      <c r="H17" s="20">
        <f>H16-($V$15-H15)*0.65%</f>
        <v/>
      </c>
      <c r="I17" s="20">
        <f>I16-($V$15-I15)*0.65%</f>
        <v/>
      </c>
      <c r="J17" s="20">
        <f>J16-($V$15-J15)*0.65%</f>
        <v/>
      </c>
      <c r="K17" s="20">
        <f>K16-($V$15-K15)*0.65%</f>
        <v/>
      </c>
      <c r="L17" s="20">
        <f>L16-($V$15-L15)*0.65%</f>
        <v/>
      </c>
      <c r="M17" s="20">
        <f>M16-($V$15-M15)*0.65%</f>
        <v/>
      </c>
      <c r="N17" s="20">
        <f>N16-($V$15-N15)*0.65%</f>
        <v/>
      </c>
      <c r="O17" s="20">
        <f>O16-($V$15-O15)*0.65%</f>
        <v/>
      </c>
      <c r="P17" s="20">
        <f>P16-($V$15-P15)*0.65%</f>
        <v/>
      </c>
      <c r="Q17" s="20">
        <f>Q16-($V$15-Q15)*0.65%</f>
        <v/>
      </c>
      <c r="R17" s="20">
        <f>R16-($V$15-R15)*0.65%</f>
        <v/>
      </c>
      <c r="S17" s="20" t="n"/>
      <c r="T17" s="20" t="n"/>
      <c r="U17" s="21" t="n"/>
      <c r="V17" s="20" t="n"/>
      <c r="W17" s="20" t="n"/>
    </row>
    <row r="20" ht="15" customHeight="1" s="115">
      <c r="A20" s="49" t="inlineStr">
        <is>
          <t>1:</t>
        </is>
      </c>
      <c r="B20" s="48" t="inlineStr">
        <is>
          <t>Data includes only KMX accounts with BlackBook data, which ranges from 60-100% of loans, depending on vintage</t>
        </is>
      </c>
    </row>
    <row r="21" ht="15" customHeight="1" s="115">
      <c r="A21" s="49" t="inlineStr">
        <is>
          <t>2:</t>
        </is>
      </c>
      <c r="B21" s="48" t="inlineStr">
        <is>
          <t>Model Score excludes buybacks and high amount financed.</t>
        </is>
      </c>
    </row>
    <row r="22" ht="15" customHeight="1" s="115">
      <c r="A22" s="49" t="inlineStr">
        <is>
          <t>3:</t>
        </is>
      </c>
      <c r="B22" s="48" t="inlineStr">
        <is>
          <t>We are currently working with Pricing to determine how to use Mountain3 scores, there are large discrepancies between model scores as booked and Mountain3 due to what might be centering issues.</t>
        </is>
      </c>
    </row>
    <row r="23" ht="15" customHeight="1" s="115">
      <c r="A23" s="49" t="inlineStr">
        <is>
          <t>4:</t>
        </is>
      </c>
      <c r="B23" s="48" t="inlineStr">
        <is>
          <t>Biggest impacts to Gross Loss Adjustments are Dealer Level, weekday/weekend decision, and high mileage classification.</t>
        </is>
      </c>
    </row>
    <row r="24" ht="15" customHeight="1" s="115">
      <c r="B24" s="48" t="inlineStr">
        <is>
          <t>See Appendix for details on other factors</t>
        </is>
      </c>
    </row>
    <row r="25" ht="15" customHeight="1" s="115">
      <c r="A25" s="49" t="inlineStr">
        <is>
          <t>5:</t>
        </is>
      </c>
      <c r="B25" s="48" t="inlineStr">
        <is>
          <t>LTV adjustments are made using the 10% LTV improvement-&gt;170bps to CNL heuristic, based on BlackBook LTV values.</t>
        </is>
      </c>
    </row>
    <row r="26" ht="15" customHeight="1" s="115">
      <c r="B26" s="48" t="inlineStr">
        <is>
          <t>We removed Recovery Adjustments in KMX to prevent double counting due to BlackBook LTV.</t>
        </is>
      </c>
    </row>
    <row r="27" ht="15" customHeight="1" s="115">
      <c r="A27" s="49" t="inlineStr">
        <is>
          <t>6:</t>
        </is>
      </c>
      <c r="B27" s="48" t="inlineStr">
        <is>
          <t>We expect to replace the LTV adjustment with an updated recovery model coming May 2024 that will account for LTV changes.</t>
        </is>
      </c>
    </row>
    <row r="28" ht="15" customHeight="1" s="115">
      <c r="A28" s="49" t="inlineStr">
        <is>
          <t>7:</t>
        </is>
      </c>
      <c r="B28" s="48" t="inlineStr">
        <is>
          <t>MMI uses adjusted index (2019 seasonality). The MMI Impact compares the actual MMI to a 3% annual growth.</t>
        </is>
      </c>
    </row>
    <row r="29" ht="15" customHeight="1" s="115">
      <c r="B29" s="48" t="inlineStr">
        <is>
          <t>A positive impact of X% means sold recovery will be X% better.</t>
        </is>
      </c>
    </row>
    <row r="30" ht="15" customHeight="1" s="115">
      <c r="A30" s="49" t="inlineStr">
        <is>
          <t>8:</t>
        </is>
      </c>
      <c r="B30" s="48" t="inlineStr">
        <is>
          <t>tc CNL uses UGLY Model projections, and 2023 Q1 blends 75% UGLY Model with 25% Loss Committee.</t>
        </is>
      </c>
    </row>
  </sheetData>
  <pageMargins left="0.7" right="0.7" top="0.75" bottom="0.75" header="0.3" footer="0.3"/>
  <pageSetup orientation="portrait" horizontalDpi="204" verticalDpi="19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7055BF62EA51469C2F194260F7319E" ma:contentTypeVersion="18" ma:contentTypeDescription="Create a new document." ma:contentTypeScope="" ma:versionID="18df2f67ff85675faaa7949590c44638">
  <xsd:schema xmlns:xsd="http://www.w3.org/2001/XMLSchema" xmlns:xs="http://www.w3.org/2001/XMLSchema" xmlns:p="http://schemas.microsoft.com/office/2006/metadata/properties" xmlns:ns1="http://schemas.microsoft.com/sharepoint/v3" xmlns:ns2="1656b474-bc9c-41b0-a7dd-8c5877b9b3ae" xmlns:ns3="a679ee5a-1808-44ed-a317-05ab7d0badb3" targetNamespace="http://schemas.microsoft.com/office/2006/metadata/properties" ma:root="true" ma:fieldsID="b298bae2beaf776934d715f6b2c9e9e4" ns1:_="" ns2:_="" ns3:_="">
    <xsd:import namespace="http://schemas.microsoft.com/sharepoint/v3"/>
    <xsd:import namespace="1656b474-bc9c-41b0-a7dd-8c5877b9b3ae"/>
    <xsd:import namespace="a679ee5a-1808-44ed-a317-05ab7d0badb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6b474-bc9c-41b0-a7dd-8c5877b9b3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267c62a-3843-4132-824a-87649e672d87}" ma:internalName="TaxCatchAll" ma:showField="CatchAllData" ma:web="1656b474-bc9c-41b0-a7dd-8c5877b9b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9ee5a-1808-44ed-a317-05ab7d0bad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5b5ec89-0457-47a0-a80b-1c0e379d74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79ee5a-1808-44ed-a317-05ab7d0badb3">
      <Terms xmlns="http://schemas.microsoft.com/office/infopath/2007/PartnerControls"/>
    </lcf76f155ced4ddcb4097134ff3c332f>
    <TaxCatchAll xmlns="1656b474-bc9c-41b0-a7dd-8c5877b9b3a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AC27726-4CF7-49EC-A924-6F7F7A21E640}"/>
</file>

<file path=customXml/itemProps2.xml><?xml version="1.0" encoding="utf-8"?>
<ds:datastoreItem xmlns:ds="http://schemas.openxmlformats.org/officeDocument/2006/customXml" ds:itemID="{FF9E2612-863B-4768-87E4-0612F0A8402E}"/>
</file>

<file path=customXml/itemProps3.xml><?xml version="1.0" encoding="utf-8"?>
<ds:datastoreItem xmlns:ds="http://schemas.openxmlformats.org/officeDocument/2006/customXml" ds:itemID="{1BF47D0B-188E-4965-9D3A-354ABBAE864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Summers</dc:creator>
  <cp:lastModifiedBy>Ahmed Ali</cp:lastModifiedBy>
  <dcterms:created xsi:type="dcterms:W3CDTF">2015-06-05T18:17:20Z</dcterms:created>
  <dcterms:modified xsi:type="dcterms:W3CDTF">2026-01-22T15:10:18Z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0x0101002F7055BF62EA51469C2F194260F7319E</vt:lpwstr>
  </property>
  <property fmtid="{D5CDD505-2E9C-101B-9397-08002B2CF9AE}" pid="3" name="MediaServiceImageTags">
    <vt:lpwstr/>
  </property>
</Properties>
</file>