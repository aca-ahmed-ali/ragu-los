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0" documentId="8_{FE21DC2A-FEF9-48CE-BAE4-DF9993A7991D}" xr6:coauthVersionLast="47" xr6:coauthVersionMax="47" xr10:uidLastSave="{00000000-0000-0000-0000-000000000000}"/>
  <bookViews>
    <workbookView xWindow="-110" yWindow="-110" windowWidth="19420" windowHeight="11500" firstSheet="7" activeTab="18" xr2:uid="{00000000-000D-0000-FFFF-FFFF00000000}"/>
  </bookViews>
  <sheets>
    <sheet name="Data Tables (Q) 3pm" sheetId="1" r:id="rId1"/>
    <sheet name="Friday" sheetId="2" r:id="rId2"/>
    <sheet name="Monday pre-lunch" sheetId="3" r:id="rId3"/>
    <sheet name="post lunch 1" sheetId="4" r:id="rId4"/>
    <sheet name="post lucnh 2" sheetId="5" r:id="rId5"/>
    <sheet name="Data Tables (Q) 3.14" sheetId="6" r:id="rId6"/>
    <sheet name="Data Tables 4.11 w 2026.03" sheetId="7" r:id="rId7"/>
    <sheet name="Sheet1" sheetId="8" r:id="rId8"/>
    <sheet name="Tuesday pre update" sheetId="9" r:id="rId9"/>
    <sheet name="AN STG update" sheetId="10" r:id="rId10"/>
    <sheet name="all update draft 1" sheetId="11" r:id="rId11"/>
    <sheet name="graphs" sheetId="12" r:id="rId12"/>
    <sheet name="Wednesday fixed 20q1 w RRA" sheetId="13" r:id="rId13"/>
    <sheet name="no RRA" sheetId="14" r:id="rId14"/>
    <sheet name="no RRA rebaselined" sheetId="15" r:id="rId15"/>
    <sheet name="LTV" sheetId="16" r:id="rId16"/>
    <sheet name="Data Tables (W)" sheetId="17" r:id="rId17"/>
    <sheet name="Data Tables (M)" sheetId="18" r:id="rId18"/>
    <sheet name="Data Tables (Q)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17" l="1"/>
  <c r="I55" i="17"/>
  <c r="H55" i="17"/>
  <c r="F55" i="17"/>
  <c r="D55" i="17"/>
  <c r="L54" i="17"/>
  <c r="I54" i="17"/>
  <c r="H54" i="17"/>
  <c r="F54" i="17"/>
  <c r="D54" i="17"/>
  <c r="C54" i="17"/>
  <c r="B54" i="17"/>
  <c r="L53" i="17"/>
  <c r="J53" i="17"/>
  <c r="D53" i="17"/>
  <c r="C53" i="17"/>
  <c r="L52" i="17"/>
  <c r="J52" i="17"/>
  <c r="H52" i="17"/>
  <c r="B52" i="17"/>
  <c r="L49" i="17"/>
  <c r="L55" i="17" s="1"/>
  <c r="K49" i="17"/>
  <c r="K53" i="17" s="1"/>
  <c r="J49" i="17"/>
  <c r="J54" i="17" s="1"/>
  <c r="I49" i="17"/>
  <c r="I53" i="17" s="1"/>
  <c r="H49" i="17"/>
  <c r="H53" i="17" s="1"/>
  <c r="G49" i="17"/>
  <c r="G55" i="17" s="1"/>
  <c r="F49" i="17"/>
  <c r="F52" i="17" s="1"/>
  <c r="E49" i="17"/>
  <c r="E52" i="17" s="1"/>
  <c r="D49" i="17"/>
  <c r="D52" i="17" s="1"/>
  <c r="D57" i="17" s="1"/>
  <c r="C49" i="17"/>
  <c r="C55" i="17" s="1"/>
  <c r="B49" i="17"/>
  <c r="B55" i="17" s="1"/>
  <c r="AB7" i="16"/>
  <c r="AB6" i="16"/>
  <c r="AB5" i="16"/>
  <c r="AB4" i="16"/>
  <c r="AB3" i="16"/>
  <c r="AB2" i="16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B44" i="15"/>
  <c r="AB36" i="15"/>
  <c r="AB28" i="15"/>
  <c r="AB20" i="15"/>
  <c r="AB12" i="15"/>
  <c r="AB4" i="15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Z81" i="14"/>
  <c r="Y81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Z68" i="14"/>
  <c r="Y68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Z61" i="14"/>
  <c r="Y61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B44" i="14"/>
  <c r="AB36" i="14"/>
  <c r="AB28" i="14"/>
  <c r="AB20" i="14"/>
  <c r="AB12" i="14"/>
  <c r="AB4" i="14"/>
  <c r="AD44" i="12"/>
  <c r="AC44" i="12"/>
  <c r="AB44" i="12"/>
  <c r="AD36" i="12"/>
  <c r="AC36" i="12"/>
  <c r="AB36" i="12"/>
  <c r="AD28" i="12"/>
  <c r="AC28" i="12"/>
  <c r="AB28" i="12"/>
  <c r="AD20" i="12"/>
  <c r="AC20" i="12"/>
  <c r="AB20" i="12"/>
  <c r="AD12" i="12"/>
  <c r="AC12" i="12"/>
  <c r="AB12" i="12"/>
  <c r="AD4" i="12"/>
  <c r="AC4" i="12"/>
  <c r="AB4" i="12"/>
  <c r="AB44" i="11"/>
  <c r="AB36" i="11"/>
  <c r="AB28" i="11"/>
  <c r="AB20" i="11"/>
  <c r="AB12" i="11"/>
  <c r="AB4" i="11"/>
  <c r="AB28" i="10"/>
  <c r="AB20" i="10"/>
  <c r="AB12" i="10"/>
  <c r="AB4" i="10"/>
  <c r="AB44" i="9"/>
  <c r="AB36" i="9"/>
  <c r="AB28" i="9"/>
  <c r="AB20" i="9"/>
  <c r="AD12" i="9"/>
  <c r="AB12" i="9"/>
  <c r="AB4" i="9"/>
  <c r="R44" i="7"/>
  <c r="Q44" i="7"/>
  <c r="P44" i="7"/>
  <c r="R36" i="7"/>
  <c r="Q36" i="7"/>
  <c r="P36" i="7"/>
  <c r="R28" i="7"/>
  <c r="Q28" i="7"/>
  <c r="P28" i="7"/>
  <c r="R20" i="7"/>
  <c r="Q20" i="7"/>
  <c r="P20" i="7"/>
  <c r="R12" i="7"/>
  <c r="Q12" i="7"/>
  <c r="P12" i="7"/>
  <c r="R4" i="7"/>
  <c r="Q4" i="7"/>
  <c r="P4" i="7"/>
  <c r="H57" i="17" l="1"/>
  <c r="L57" i="17"/>
  <c r="I52" i="17"/>
  <c r="I57" i="17" s="1"/>
  <c r="K52" i="17"/>
  <c r="K57" i="17" s="1"/>
  <c r="E54" i="17"/>
  <c r="J55" i="17"/>
  <c r="J57" i="17" s="1"/>
  <c r="B53" i="17"/>
  <c r="B57" i="17" s="1"/>
  <c r="G54" i="17"/>
  <c r="E53" i="17"/>
  <c r="E57" i="17" s="1"/>
  <c r="F53" i="17"/>
  <c r="F57" i="17" s="1"/>
  <c r="K54" i="17"/>
  <c r="G53" i="17"/>
  <c r="C52" i="17"/>
  <c r="C57" i="17" s="1"/>
  <c r="E55" i="17"/>
  <c r="G52" i="17"/>
  <c r="G57" i="17" l="1"/>
</calcChain>
</file>

<file path=xl/sharedStrings.xml><?xml version="1.0" encoding="utf-8"?>
<sst xmlns="http://schemas.openxmlformats.org/spreadsheetml/2006/main" count="2888" uniqueCount="104">
  <si>
    <t>AN</t>
  </si>
  <si>
    <t>2025Q1</t>
  </si>
  <si>
    <t>2025Q2</t>
  </si>
  <si>
    <t>2025Q3</t>
  </si>
  <si>
    <t>2025Q4</t>
  </si>
  <si>
    <t>2026Q1</t>
  </si>
  <si>
    <t>Model Score</t>
  </si>
  <si>
    <t>Gross Loss Impact</t>
  </si>
  <si>
    <t>Recovery Impact</t>
  </si>
  <si>
    <t>LTV Impact</t>
  </si>
  <si>
    <t>RAGU Score</t>
  </si>
  <si>
    <t>Amount Financed</t>
  </si>
  <si>
    <t>FRN</t>
  </si>
  <si>
    <t>STG</t>
  </si>
  <si>
    <t>FLD</t>
  </si>
  <si>
    <t>ENT</t>
  </si>
  <si>
    <t>KMX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</si>
  <si>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</si>
  <si>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</si>
  <si>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</si>
  <si>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</si>
  <si>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</si>
  <si>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</si>
  <si>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</si>
  <si>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</si>
  <si>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</si>
  <si>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</si>
  <si>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</si>
  <si>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</si>
  <si>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</si>
  <si>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</si>
  <si>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</si>
  <si>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</si>
  <si>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</si>
  <si>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</si>
  <si>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</si>
  <si>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</si>
  <si>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</si>
  <si>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</si>
  <si>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</si>
  <si>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</si>
  <si>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Contract Model Score</t>
  </si>
  <si>
    <t>Gross Loss Adjustments (Dealer level, high PTI, etc.)</t>
  </si>
  <si>
    <t>Recovery Adjustments excluding LTV (Mileage, vehicle type, etc.)</t>
  </si>
  <si>
    <t>LTV Adjustments</t>
  </si>
  <si>
    <t>LTV</t>
  </si>
  <si>
    <t>nonKMXENT</t>
  </si>
  <si>
    <t>POS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</si>
  <si>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</si>
  <si>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</si>
  <si>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</si>
  <si>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</si>
  <si>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</si>
  <si>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</si>
  <si>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</si>
  <si>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</si>
  <si>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min</t>
  </si>
  <si>
    <t>max</t>
  </si>
  <si>
    <t>median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</si>
  <si>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</si>
  <si>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</si>
  <si>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</si>
  <si>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</si>
  <si>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</si>
  <si>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</si>
  <si>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</si>
  <si>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</si>
  <si>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</si>
  <si>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</si>
  <si>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</si>
  <si>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</si>
  <si>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an 0.58</t>
  </si>
  <si>
    <t>stg 0.59</t>
  </si>
  <si>
    <t>2025-12-28/2026-01-03</t>
  </si>
  <si>
    <t>2026-01-04/2026-01-10</t>
  </si>
  <si>
    <t>2026-01-11/2026-01-17</t>
  </si>
  <si>
    <t>2026-01-18/2026-01-24</t>
  </si>
  <si>
    <t>2026-01-25/2026-01-31</t>
  </si>
  <si>
    <t>2026-02-01/2026-02-07</t>
  </si>
  <si>
    <t>2026-02-08/2026-02-14</t>
  </si>
  <si>
    <t>2026-02-15/2026-02-21</t>
  </si>
  <si>
    <t>2026-02-22/2026-02-28</t>
  </si>
  <si>
    <t>2026-03-01/2026-03-07</t>
  </si>
  <si>
    <t>2026-03-08/2026-03-14</t>
  </si>
  <si>
    <t>an</t>
  </si>
  <si>
    <t>ragu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</si>
  <si>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</si>
  <si>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</si>
  <si>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</si>
  <si>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</si>
  <si>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</si>
  <si>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</si>
  <si>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</si>
  <si>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</si>
  <si>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</si>
  <si>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</si>
  <si>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</si>
  <si>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</si>
  <si>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</si>
  <si>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</si>
  <si>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</si>
  <si>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APR Impact</t>
  </si>
  <si>
    <t>Weighted LTV</t>
  </si>
  <si>
    <t>Weighted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</si>
</sst>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wrapText="1" readingOrder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right" vertical="center" wrapText="1" readingOrder="1"/>
    </xf>
    <xf numFmtId="0" fontId="2" fillId="0" borderId="1" xfId="0" applyFont="1" applyBorder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</a:t>
            </a:r>
            <a:r>
              <a:rPr lang="en-US" baseline="0"/>
              <a:t> Recovery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graphs!$AF$4</c:f>
              <c:strCache>
                <c:ptCount val="1"/>
                <c:pt idx="0">
                  <c:v>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graphs!$AG$3:$BD$3</c:f>
              <c:strCache>
                <c:ptCount val="24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</c:strCache>
            </c:strRef>
          </c:cat>
          <c:val>
            <c:numRef>
              <c:f>graphs!$AG$4:$BD$4</c:f>
              <c:numCache>
                <c:formatCode>General</c:formatCode>
                <c:ptCount val="24"/>
                <c:pt idx="0">
                  <c:v>-3.558075471476271</c:v>
                </c:pt>
                <c:pt idx="1">
                  <c:v>-0.38459490006573221</c:v>
                </c:pt>
                <c:pt idx="2">
                  <c:v>0.3735807109484871</c:v>
                </c:pt>
                <c:pt idx="3">
                  <c:v>1.275308310880114</c:v>
                </c:pt>
                <c:pt idx="4">
                  <c:v>0.98653365628622824</c:v>
                </c:pt>
                <c:pt idx="5">
                  <c:v>0.84046231898258639</c:v>
                </c:pt>
                <c:pt idx="6">
                  <c:v>0.64235995268797119</c:v>
                </c:pt>
                <c:pt idx="7">
                  <c:v>-0.1306032308652002</c:v>
                </c:pt>
                <c:pt idx="8">
                  <c:v>-0.90468111701203757</c:v>
                </c:pt>
                <c:pt idx="9">
                  <c:v>-0.92586757292852861</c:v>
                </c:pt>
                <c:pt idx="10">
                  <c:v>-1.4087981209462961</c:v>
                </c:pt>
                <c:pt idx="11">
                  <c:v>-0.75982070950176683</c:v>
                </c:pt>
                <c:pt idx="12">
                  <c:v>-0.84526036767019574</c:v>
                </c:pt>
                <c:pt idx="13">
                  <c:v>-0.65286151063235975</c:v>
                </c:pt>
                <c:pt idx="14">
                  <c:v>-0.85209717385104944</c:v>
                </c:pt>
                <c:pt idx="15">
                  <c:v>-0.67736349704846177</c:v>
                </c:pt>
                <c:pt idx="16">
                  <c:v>-0.31240509190904209</c:v>
                </c:pt>
                <c:pt idx="17">
                  <c:v>0.27378841260072162</c:v>
                </c:pt>
                <c:pt idx="18">
                  <c:v>1.062730526264863</c:v>
                </c:pt>
                <c:pt idx="19">
                  <c:v>1.7592183349930961</c:v>
                </c:pt>
                <c:pt idx="20">
                  <c:v>1.4609402828864131</c:v>
                </c:pt>
                <c:pt idx="21">
                  <c:v>2.1439510142666962</c:v>
                </c:pt>
                <c:pt idx="22">
                  <c:v>3.3310760683020382</c:v>
                </c:pt>
                <c:pt idx="23">
                  <c:v>3.4679348575739848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A-43BA-BA25-4F665D477964}"/>
            </c:ext>
          </c:extLst>
        </c:ser>
        <c:ser>
          <c:idx val="1"/>
          <c:order val="1"/>
          <c:tx>
            <c:strRef>
              <c:f>graphs!$AF$5</c:f>
              <c:strCache>
                <c:ptCount val="1"/>
                <c:pt idx="0">
                  <c:v>FRN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graphs!$AG$3:$BD$3</c:f>
              <c:strCache>
                <c:ptCount val="24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</c:strCache>
            </c:strRef>
          </c:cat>
          <c:val>
            <c:numRef>
              <c:f>graphs!$AG$5:$BD$5</c:f>
              <c:numCache>
                <c:formatCode>General</c:formatCode>
                <c:ptCount val="24"/>
                <c:pt idx="0">
                  <c:v>-3.0722338527885822</c:v>
                </c:pt>
                <c:pt idx="1">
                  <c:v>-0.1346895247899792</c:v>
                </c:pt>
                <c:pt idx="2">
                  <c:v>-0.122749339202541</c:v>
                </c:pt>
                <c:pt idx="3">
                  <c:v>0.76398400202375905</c:v>
                </c:pt>
                <c:pt idx="4">
                  <c:v>0.61385889556798767</c:v>
                </c:pt>
                <c:pt idx="5">
                  <c:v>0.30096432371068838</c:v>
                </c:pt>
                <c:pt idx="6">
                  <c:v>5.3666595860003916E-3</c:v>
                </c:pt>
                <c:pt idx="7">
                  <c:v>-0.79299957215503469</c:v>
                </c:pt>
                <c:pt idx="8">
                  <c:v>-1.46585634671371</c:v>
                </c:pt>
                <c:pt idx="9">
                  <c:v>-1.424098001661799</c:v>
                </c:pt>
                <c:pt idx="10">
                  <c:v>-1.4695331622187671</c:v>
                </c:pt>
                <c:pt idx="11">
                  <c:v>-1.2842031073866069</c:v>
                </c:pt>
                <c:pt idx="12">
                  <c:v>-1.6655077418438939</c:v>
                </c:pt>
                <c:pt idx="13">
                  <c:v>-1.185220809057191</c:v>
                </c:pt>
                <c:pt idx="14">
                  <c:v>-1.3485539932771511</c:v>
                </c:pt>
                <c:pt idx="15">
                  <c:v>-1.3759554304278121</c:v>
                </c:pt>
                <c:pt idx="16">
                  <c:v>-1.4665719100727781</c:v>
                </c:pt>
                <c:pt idx="17">
                  <c:v>-0.98079633915545583</c:v>
                </c:pt>
                <c:pt idx="18">
                  <c:v>-0.38346405151570773</c:v>
                </c:pt>
                <c:pt idx="19">
                  <c:v>1.1751351351999479</c:v>
                </c:pt>
                <c:pt idx="20">
                  <c:v>1.353033670452896</c:v>
                </c:pt>
                <c:pt idx="21">
                  <c:v>1.654544665323425</c:v>
                </c:pt>
                <c:pt idx="22">
                  <c:v>2.2670958571222481</c:v>
                </c:pt>
                <c:pt idx="23">
                  <c:v>3.6650482040664372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AA-43BA-BA25-4F665D477964}"/>
            </c:ext>
          </c:extLst>
        </c:ser>
        <c:ser>
          <c:idx val="2"/>
          <c:order val="2"/>
          <c:tx>
            <c:strRef>
              <c:f>graphs!$AF$6</c:f>
              <c:strCache>
                <c:ptCount val="1"/>
                <c:pt idx="0">
                  <c:v>STG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graphs!$AG$3:$BD$3</c:f>
              <c:strCache>
                <c:ptCount val="24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</c:strCache>
            </c:strRef>
          </c:cat>
          <c:val>
            <c:numRef>
              <c:f>graphs!$AG$6:$BD$6</c:f>
              <c:numCache>
                <c:formatCode>General</c:formatCode>
                <c:ptCount val="24"/>
                <c:pt idx="0">
                  <c:v>-4.7074247628526829</c:v>
                </c:pt>
                <c:pt idx="1">
                  <c:v>-0.66064178245918759</c:v>
                </c:pt>
                <c:pt idx="2">
                  <c:v>-0.29796557597972012</c:v>
                </c:pt>
                <c:pt idx="3">
                  <c:v>0.173057476942136</c:v>
                </c:pt>
                <c:pt idx="4">
                  <c:v>-7.7399957958591642E-2</c:v>
                </c:pt>
                <c:pt idx="5">
                  <c:v>0.10988362406707911</c:v>
                </c:pt>
                <c:pt idx="6">
                  <c:v>-6.9239853309938745E-2</c:v>
                </c:pt>
                <c:pt idx="7">
                  <c:v>-0.1813287351135775</c:v>
                </c:pt>
                <c:pt idx="8">
                  <c:v>-0.53658395994732844</c:v>
                </c:pt>
                <c:pt idx="9">
                  <c:v>-0.51944562236935066</c:v>
                </c:pt>
                <c:pt idx="10">
                  <c:v>-0.72305819774848368</c:v>
                </c:pt>
                <c:pt idx="11">
                  <c:v>-0.46721172907635289</c:v>
                </c:pt>
                <c:pt idx="12">
                  <c:v>-0.38699895194756723</c:v>
                </c:pt>
                <c:pt idx="13">
                  <c:v>-0.69160541090889549</c:v>
                </c:pt>
                <c:pt idx="14">
                  <c:v>-0.77016993012624102</c:v>
                </c:pt>
                <c:pt idx="15">
                  <c:v>-7.3902762453473672E-2</c:v>
                </c:pt>
                <c:pt idx="16">
                  <c:v>-0.46378406652820858</c:v>
                </c:pt>
                <c:pt idx="17">
                  <c:v>0.78371787542575466</c:v>
                </c:pt>
                <c:pt idx="18">
                  <c:v>1.667235881964847</c:v>
                </c:pt>
                <c:pt idx="19">
                  <c:v>2.9007669340685229</c:v>
                </c:pt>
                <c:pt idx="20">
                  <c:v>2.6827980302526191</c:v>
                </c:pt>
                <c:pt idx="21">
                  <c:v>3.4454111868036899</c:v>
                </c:pt>
                <c:pt idx="22">
                  <c:v>3.4926550487815939</c:v>
                </c:pt>
                <c:pt idx="23">
                  <c:v>4.6856205462648681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AA-43BA-BA25-4F665D477964}"/>
            </c:ext>
          </c:extLst>
        </c:ser>
        <c:ser>
          <c:idx val="3"/>
          <c:order val="3"/>
          <c:tx>
            <c:strRef>
              <c:f>graphs!$AF$7</c:f>
              <c:strCache>
                <c:ptCount val="1"/>
                <c:pt idx="0">
                  <c:v>FLD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graphs!$AG$3:$BD$3</c:f>
              <c:strCache>
                <c:ptCount val="24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</c:strCache>
            </c:strRef>
          </c:cat>
          <c:val>
            <c:numRef>
              <c:f>graphs!$AG$7:$BD$7</c:f>
              <c:numCache>
                <c:formatCode>General</c:formatCode>
                <c:ptCount val="24"/>
                <c:pt idx="0">
                  <c:v>-3.3028649697639221</c:v>
                </c:pt>
                <c:pt idx="1">
                  <c:v>-0.28665041662040452</c:v>
                </c:pt>
                <c:pt idx="2">
                  <c:v>0.33893198814192671</c:v>
                </c:pt>
                <c:pt idx="3">
                  <c:v>0.91143427805544219</c:v>
                </c:pt>
                <c:pt idx="4">
                  <c:v>1.2323420446414031</c:v>
                </c:pt>
                <c:pt idx="5">
                  <c:v>0.69584355606480164</c:v>
                </c:pt>
                <c:pt idx="6">
                  <c:v>0.51690829252672632</c:v>
                </c:pt>
                <c:pt idx="7">
                  <c:v>0.46686242121176541</c:v>
                </c:pt>
                <c:pt idx="8">
                  <c:v>-1.0466750414126961E-2</c:v>
                </c:pt>
                <c:pt idx="9">
                  <c:v>-1.1050641606760589</c:v>
                </c:pt>
                <c:pt idx="10">
                  <c:v>-0.64441284546206501</c:v>
                </c:pt>
                <c:pt idx="11">
                  <c:v>-0.45750844911379862</c:v>
                </c:pt>
                <c:pt idx="12">
                  <c:v>0.35391149712147768</c:v>
                </c:pt>
                <c:pt idx="13">
                  <c:v>-0.19699146876853871</c:v>
                </c:pt>
                <c:pt idx="14">
                  <c:v>0.12864630878744721</c:v>
                </c:pt>
                <c:pt idx="15">
                  <c:v>0.9853978127234021</c:v>
                </c:pt>
                <c:pt idx="16">
                  <c:v>0.2436093369190358</c:v>
                </c:pt>
                <c:pt idx="17">
                  <c:v>0.32588548308016752</c:v>
                </c:pt>
                <c:pt idx="18">
                  <c:v>0.46628827087031061</c:v>
                </c:pt>
                <c:pt idx="19">
                  <c:v>2.728726398586053</c:v>
                </c:pt>
                <c:pt idx="20">
                  <c:v>3.0252141514701218</c:v>
                </c:pt>
                <c:pt idx="21">
                  <c:v>2.2531776443075322</c:v>
                </c:pt>
                <c:pt idx="22">
                  <c:v>2.9918316002262961</c:v>
                </c:pt>
                <c:pt idx="23">
                  <c:v>3.3751583043569582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AA-43BA-BA25-4F665D477964}"/>
            </c:ext>
          </c:extLst>
        </c:ser>
        <c:ser>
          <c:idx val="4"/>
          <c:order val="4"/>
          <c:tx>
            <c:strRef>
              <c:f>graphs!$AF$8</c:f>
              <c:strCache>
                <c:ptCount val="1"/>
                <c:pt idx="0">
                  <c:v>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graphs!$AG$3:$BD$3</c:f>
              <c:strCache>
                <c:ptCount val="24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</c:strCache>
            </c:strRef>
          </c:cat>
          <c:val>
            <c:numRef>
              <c:f>graphs!$AG$8:$BD$8</c:f>
              <c:numCache>
                <c:formatCode>General</c:formatCode>
                <c:ptCount val="24"/>
                <c:pt idx="0">
                  <c:v>-3.930762883659205</c:v>
                </c:pt>
                <c:pt idx="1">
                  <c:v>-0.25069820832043882</c:v>
                </c:pt>
                <c:pt idx="2">
                  <c:v>0.14289628509978999</c:v>
                </c:pt>
                <c:pt idx="3">
                  <c:v>-2.7361975040254609E-2</c:v>
                </c:pt>
                <c:pt idx="4">
                  <c:v>1.7026104280143211E-2</c:v>
                </c:pt>
                <c:pt idx="5">
                  <c:v>0.51253643213502109</c:v>
                </c:pt>
                <c:pt idx="6">
                  <c:v>-0.116442369925592</c:v>
                </c:pt>
                <c:pt idx="7">
                  <c:v>-0.11122887042664779</c:v>
                </c:pt>
                <c:pt idx="8">
                  <c:v>-1.022898723483924</c:v>
                </c:pt>
                <c:pt idx="9">
                  <c:v>-1.306708350882867</c:v>
                </c:pt>
                <c:pt idx="10">
                  <c:v>-2.057985007747035</c:v>
                </c:pt>
                <c:pt idx="11">
                  <c:v>-2.2321860276680661</c:v>
                </c:pt>
                <c:pt idx="12">
                  <c:v>-1.984543517888123</c:v>
                </c:pt>
                <c:pt idx="13">
                  <c:v>-1.4900515379555339</c:v>
                </c:pt>
                <c:pt idx="14">
                  <c:v>-1.2755417002800891</c:v>
                </c:pt>
                <c:pt idx="15">
                  <c:v>-0.6155811555019739</c:v>
                </c:pt>
                <c:pt idx="16">
                  <c:v>-1.20886261526213</c:v>
                </c:pt>
                <c:pt idx="17">
                  <c:v>-0.70766037366255741</c:v>
                </c:pt>
                <c:pt idx="18">
                  <c:v>0.25203212537693659</c:v>
                </c:pt>
                <c:pt idx="19">
                  <c:v>3.1488127626799072</c:v>
                </c:pt>
                <c:pt idx="20">
                  <c:v>4.774438181309864</c:v>
                </c:pt>
                <c:pt idx="21">
                  <c:v>3.6984810529589001</c:v>
                </c:pt>
                <c:pt idx="22">
                  <c:v>3.7671271517580061</c:v>
                </c:pt>
                <c:pt idx="23">
                  <c:v>4.7206981670882318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AA-43BA-BA25-4F665D477964}"/>
            </c:ext>
          </c:extLst>
        </c:ser>
        <c:ser>
          <c:idx val="5"/>
          <c:order val="5"/>
          <c:tx>
            <c:strRef>
              <c:f>graphs!$AF$9</c:f>
              <c:strCache>
                <c:ptCount val="1"/>
                <c:pt idx="0">
                  <c:v>KMX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graphs!$AG$3:$BD$3</c:f>
              <c:strCache>
                <c:ptCount val="24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</c:strCache>
            </c:strRef>
          </c:cat>
          <c:val>
            <c:numRef>
              <c:f>graphs!$AG$9:$BD$9</c:f>
              <c:numCache>
                <c:formatCode>General</c:formatCode>
                <c:ptCount val="24"/>
                <c:pt idx="0">
                  <c:v>-0.4960159549206582</c:v>
                </c:pt>
                <c:pt idx="1">
                  <c:v>0.43110716236045549</c:v>
                </c:pt>
                <c:pt idx="2">
                  <c:v>2.4526482980816791E-2</c:v>
                </c:pt>
                <c:pt idx="3">
                  <c:v>0.40477748094964072</c:v>
                </c:pt>
                <c:pt idx="4">
                  <c:v>0.49499963135422309</c:v>
                </c:pt>
                <c:pt idx="5">
                  <c:v>0.85579212000959226</c:v>
                </c:pt>
                <c:pt idx="6">
                  <c:v>1.7071870021484039</c:v>
                </c:pt>
                <c:pt idx="7">
                  <c:v>0.80482787756819441</c:v>
                </c:pt>
                <c:pt idx="8">
                  <c:v>0.66107033623268185</c:v>
                </c:pt>
                <c:pt idx="9">
                  <c:v>-2.0183634801495699E-2</c:v>
                </c:pt>
                <c:pt idx="10">
                  <c:v>-0.44628346717111139</c:v>
                </c:pt>
                <c:pt idx="11">
                  <c:v>-0.57549411857194799</c:v>
                </c:pt>
                <c:pt idx="12">
                  <c:v>-1.050842905124616</c:v>
                </c:pt>
                <c:pt idx="13">
                  <c:v>-0.96755337423858356</c:v>
                </c:pt>
                <c:pt idx="14">
                  <c:v>-1.0146126473737129</c:v>
                </c:pt>
                <c:pt idx="15">
                  <c:v>-0.1132398898289869</c:v>
                </c:pt>
                <c:pt idx="16">
                  <c:v>-0.23559879028365041</c:v>
                </c:pt>
                <c:pt idx="17">
                  <c:v>9.0456386109099882E-2</c:v>
                </c:pt>
                <c:pt idx="18">
                  <c:v>-0.54232293136719378</c:v>
                </c:pt>
                <c:pt idx="19">
                  <c:v>-0.68396124727796337</c:v>
                </c:pt>
                <c:pt idx="20">
                  <c:v>-0.69812196046537944</c:v>
                </c:pt>
                <c:pt idx="21">
                  <c:v>-3.9833427111439383E-2</c:v>
                </c:pt>
                <c:pt idx="22">
                  <c:v>0.39669237239810973</c:v>
                </c:pt>
                <c:pt idx="23">
                  <c:v>0.69322783880797911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AA-43BA-BA25-4F665D477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900287"/>
        <c:axId val="1405906527"/>
      </c:lineChart>
      <c:catAx>
        <c:axId val="14059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06527"/>
        <c:crosses val="autoZero"/>
        <c:auto val="1"/>
        <c:lblAlgn val="ctr"/>
        <c:lblOffset val="100"/>
        <c:noMultiLvlLbl val="0"/>
      </c:catAx>
      <c:valAx>
        <c:axId val="1405906527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0028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Recovery with Bug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graphs!$AF$31</c:f>
              <c:strCache>
                <c:ptCount val="1"/>
                <c:pt idx="0">
                  <c:v>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graphs!$AH$31:$BE$31</c:f>
              <c:numCache>
                <c:formatCode>General</c:formatCode>
                <c:ptCount val="24"/>
                <c:pt idx="0">
                  <c:v>-0.56943613520371628</c:v>
                </c:pt>
                <c:pt idx="1">
                  <c:v>-0.21425416070690059</c:v>
                </c:pt>
                <c:pt idx="2">
                  <c:v>0.68058865356454135</c:v>
                </c:pt>
                <c:pt idx="3">
                  <c:v>0.22441001536151359</c:v>
                </c:pt>
                <c:pt idx="4">
                  <c:v>0.2090721983110484</c:v>
                </c:pt>
                <c:pt idx="5">
                  <c:v>-7.5968090308322189E-2</c:v>
                </c:pt>
                <c:pt idx="6">
                  <c:v>-0.50481626028823712</c:v>
                </c:pt>
                <c:pt idx="7">
                  <c:v>-1.1464984056197809</c:v>
                </c:pt>
                <c:pt idx="8">
                  <c:v>-0.9927257775551368</c:v>
                </c:pt>
                <c:pt idx="9">
                  <c:v>-1.33743621817689</c:v>
                </c:pt>
                <c:pt idx="10">
                  <c:v>-1.1137921203458061</c:v>
                </c:pt>
                <c:pt idx="11">
                  <c:v>-1.274267180726611</c:v>
                </c:pt>
                <c:pt idx="12">
                  <c:v>-1.3069658270490829</c:v>
                </c:pt>
                <c:pt idx="13">
                  <c:v>-1.559538230277099</c:v>
                </c:pt>
                <c:pt idx="14">
                  <c:v>-1.084618521230539</c:v>
                </c:pt>
                <c:pt idx="15">
                  <c:v>-1.74173108555982</c:v>
                </c:pt>
                <c:pt idx="16">
                  <c:v>-1.102763874125571</c:v>
                </c:pt>
                <c:pt idx="17">
                  <c:v>-0.63328551879868655</c:v>
                </c:pt>
                <c:pt idx="18">
                  <c:v>0.18345642570133691</c:v>
                </c:pt>
                <c:pt idx="19">
                  <c:v>8.0554239014418272E-2</c:v>
                </c:pt>
                <c:pt idx="20">
                  <c:v>0.55716861083507752</c:v>
                </c:pt>
                <c:pt idx="21">
                  <c:v>0.84213839098492826</c:v>
                </c:pt>
                <c:pt idx="22">
                  <c:v>1.313870033344557</c:v>
                </c:pt>
                <c:pt idx="23">
                  <c:v>1.823497888359412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C-4CD7-89A5-9A604D2695FA}"/>
            </c:ext>
          </c:extLst>
        </c:ser>
        <c:ser>
          <c:idx val="1"/>
          <c:order val="1"/>
          <c:tx>
            <c:strRef>
              <c:f>graphs!$AF$32</c:f>
              <c:strCache>
                <c:ptCount val="1"/>
                <c:pt idx="0">
                  <c:v>FRN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graphs!$AH$32:$BE$32</c:f>
              <c:numCache>
                <c:formatCode>General</c:formatCode>
                <c:ptCount val="24"/>
                <c:pt idx="0">
                  <c:v>-0.39916325691257271</c:v>
                </c:pt>
                <c:pt idx="1">
                  <c:v>1.5803735301147981E-2</c:v>
                </c:pt>
                <c:pt idx="2">
                  <c:v>0.29142925755874671</c:v>
                </c:pt>
                <c:pt idx="3">
                  <c:v>0.22685780712737369</c:v>
                </c:pt>
                <c:pt idx="4">
                  <c:v>0.15910037670965951</c:v>
                </c:pt>
                <c:pt idx="5">
                  <c:v>-0.16651054569609869</c:v>
                </c:pt>
                <c:pt idx="6">
                  <c:v>-0.64123410559412264</c:v>
                </c:pt>
                <c:pt idx="7">
                  <c:v>-1.406421035983783</c:v>
                </c:pt>
                <c:pt idx="8">
                  <c:v>-1.3721178227969519</c:v>
                </c:pt>
                <c:pt idx="9">
                  <c:v>-1.355936225063999</c:v>
                </c:pt>
                <c:pt idx="10">
                  <c:v>-1.298567162626824</c:v>
                </c:pt>
                <c:pt idx="11">
                  <c:v>-1.229673203613459</c:v>
                </c:pt>
                <c:pt idx="12">
                  <c:v>-1.4790927891037879</c:v>
                </c:pt>
                <c:pt idx="13">
                  <c:v>-1.4399127203864741</c:v>
                </c:pt>
                <c:pt idx="14">
                  <c:v>-1.435633622756711</c:v>
                </c:pt>
                <c:pt idx="15">
                  <c:v>-1.463722377214111</c:v>
                </c:pt>
                <c:pt idx="16">
                  <c:v>-1.1069719894153141</c:v>
                </c:pt>
                <c:pt idx="17">
                  <c:v>-0.6383671688126924</c:v>
                </c:pt>
                <c:pt idx="18">
                  <c:v>0.44202526274585813</c:v>
                </c:pt>
                <c:pt idx="19">
                  <c:v>0.22940979528780761</c:v>
                </c:pt>
                <c:pt idx="20">
                  <c:v>0.23943624345429271</c:v>
                </c:pt>
                <c:pt idx="21">
                  <c:v>0.95567212066643492</c:v>
                </c:pt>
                <c:pt idx="22">
                  <c:v>1.511380659816695</c:v>
                </c:pt>
                <c:pt idx="23">
                  <c:v>1.511298575462575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C-4CD7-89A5-9A604D2695FA}"/>
            </c:ext>
          </c:extLst>
        </c:ser>
        <c:ser>
          <c:idx val="2"/>
          <c:order val="2"/>
          <c:tx>
            <c:strRef>
              <c:f>graphs!$AF$33</c:f>
              <c:strCache>
                <c:ptCount val="1"/>
                <c:pt idx="0">
                  <c:v>STG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graphs!$AH$33:$BE$33</c:f>
              <c:numCache>
                <c:formatCode>General</c:formatCode>
                <c:ptCount val="24"/>
                <c:pt idx="0">
                  <c:v>-0.23514923277392091</c:v>
                </c:pt>
                <c:pt idx="1">
                  <c:v>-0.17763245810604639</c:v>
                </c:pt>
                <c:pt idx="2">
                  <c:v>0.39104338510543363</c:v>
                </c:pt>
                <c:pt idx="3">
                  <c:v>0.16365720842696871</c:v>
                </c:pt>
                <c:pt idx="4">
                  <c:v>0.14110014452674591</c:v>
                </c:pt>
                <c:pt idx="5">
                  <c:v>-0.19682374508499831</c:v>
                </c:pt>
                <c:pt idx="6">
                  <c:v>-0.69220439175350634</c:v>
                </c:pt>
                <c:pt idx="7">
                  <c:v>-1.015716689774081</c:v>
                </c:pt>
                <c:pt idx="8">
                  <c:v>-1.5663498716684501</c:v>
                </c:pt>
                <c:pt idx="9">
                  <c:v>-1.584362709364967</c:v>
                </c:pt>
                <c:pt idx="10">
                  <c:v>-1.308348837421931</c:v>
                </c:pt>
                <c:pt idx="11">
                  <c:v>-1.0537593670993031</c:v>
                </c:pt>
                <c:pt idx="12">
                  <c:v>-0.95726796015017612</c:v>
                </c:pt>
                <c:pt idx="13">
                  <c:v>-1.3703764248640771</c:v>
                </c:pt>
                <c:pt idx="14">
                  <c:v>-1.3584951647645771</c:v>
                </c:pt>
                <c:pt idx="15">
                  <c:v>-1.6674838521355471</c:v>
                </c:pt>
                <c:pt idx="16">
                  <c:v>-1.1614307655167411</c:v>
                </c:pt>
                <c:pt idx="17">
                  <c:v>-0.66741053516162197</c:v>
                </c:pt>
                <c:pt idx="18">
                  <c:v>0.10374512414423979</c:v>
                </c:pt>
                <c:pt idx="19">
                  <c:v>0.33099156580945532</c:v>
                </c:pt>
                <c:pt idx="20">
                  <c:v>0.40683462418954258</c:v>
                </c:pt>
                <c:pt idx="21">
                  <c:v>0.67784690711440021</c:v>
                </c:pt>
                <c:pt idx="22">
                  <c:v>1.6772276675288249</c:v>
                </c:pt>
                <c:pt idx="23">
                  <c:v>0.91825423237821724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C-4CD7-89A5-9A604D2695FA}"/>
            </c:ext>
          </c:extLst>
        </c:ser>
        <c:ser>
          <c:idx val="3"/>
          <c:order val="3"/>
          <c:tx>
            <c:strRef>
              <c:f>graphs!$AF$34</c:f>
              <c:strCache>
                <c:ptCount val="1"/>
                <c:pt idx="0">
                  <c:v>FLD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graphs!$AH$34:$BE$34</c:f>
              <c:numCache>
                <c:formatCode>General</c:formatCode>
                <c:ptCount val="24"/>
                <c:pt idx="0">
                  <c:v>-0.2049295454415585</c:v>
                </c:pt>
                <c:pt idx="1">
                  <c:v>3.2451687125956141E-3</c:v>
                </c:pt>
                <c:pt idx="2">
                  <c:v>0.18043504936153451</c:v>
                </c:pt>
                <c:pt idx="3">
                  <c:v>-0.25831758705473362</c:v>
                </c:pt>
                <c:pt idx="4">
                  <c:v>-0.28531197529588331</c:v>
                </c:pt>
                <c:pt idx="5">
                  <c:v>-9.3966231446529491E-2</c:v>
                </c:pt>
                <c:pt idx="6">
                  <c:v>-0.57675672633951081</c:v>
                </c:pt>
                <c:pt idx="7">
                  <c:v>-1.287629269088967</c:v>
                </c:pt>
                <c:pt idx="8">
                  <c:v>-1.300891046213138</c:v>
                </c:pt>
                <c:pt idx="9">
                  <c:v>-1.6502647722361701</c:v>
                </c:pt>
                <c:pt idx="10">
                  <c:v>-0.83079472718941361</c:v>
                </c:pt>
                <c:pt idx="11">
                  <c:v>-1.3825719734120701</c:v>
                </c:pt>
                <c:pt idx="12">
                  <c:v>-1.5799359499551431</c:v>
                </c:pt>
                <c:pt idx="13">
                  <c:v>-1.0542949079360819</c:v>
                </c:pt>
                <c:pt idx="14">
                  <c:v>-1.3557993728754809</c:v>
                </c:pt>
                <c:pt idx="15">
                  <c:v>-1.497081244480825</c:v>
                </c:pt>
                <c:pt idx="16">
                  <c:v>-0.65776890033589552</c:v>
                </c:pt>
                <c:pt idx="17">
                  <c:v>-0.46079243140653148</c:v>
                </c:pt>
                <c:pt idx="18">
                  <c:v>0.78463273445555615</c:v>
                </c:pt>
                <c:pt idx="19">
                  <c:v>4.7183501459358013E-2</c:v>
                </c:pt>
                <c:pt idx="20">
                  <c:v>0.56322649620975085</c:v>
                </c:pt>
                <c:pt idx="21">
                  <c:v>0.93591851189495401</c:v>
                </c:pt>
                <c:pt idx="22">
                  <c:v>1.709978486433215</c:v>
                </c:pt>
                <c:pt idx="23">
                  <c:v>0.85639536321343712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2C-4CD7-89A5-9A604D2695FA}"/>
            </c:ext>
          </c:extLst>
        </c:ser>
        <c:ser>
          <c:idx val="4"/>
          <c:order val="4"/>
          <c:tx>
            <c:strRef>
              <c:f>graphs!$AF$35</c:f>
              <c:strCache>
                <c:ptCount val="1"/>
                <c:pt idx="0">
                  <c:v>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graphs!$AH$35:$BE$35</c:f>
              <c:numCache>
                <c:formatCode>General</c:formatCode>
                <c:ptCount val="24"/>
                <c:pt idx="0">
                  <c:v>-2.6973233187425478</c:v>
                </c:pt>
                <c:pt idx="1">
                  <c:v>-2.4473200439196598</c:v>
                </c:pt>
                <c:pt idx="2">
                  <c:v>-2.4631078797537209</c:v>
                </c:pt>
                <c:pt idx="3">
                  <c:v>-2.410187290977404</c:v>
                </c:pt>
                <c:pt idx="4">
                  <c:v>-1.8217150481629569</c:v>
                </c:pt>
                <c:pt idx="5">
                  <c:v>-2.3608023007637509</c:v>
                </c:pt>
                <c:pt idx="6">
                  <c:v>-2.236469694987107</c:v>
                </c:pt>
                <c:pt idx="7">
                  <c:v>-3.0902908582119148</c:v>
                </c:pt>
                <c:pt idx="8">
                  <c:v>-3.4354069590460061</c:v>
                </c:pt>
                <c:pt idx="9">
                  <c:v>-4.1052263540127569</c:v>
                </c:pt>
                <c:pt idx="10">
                  <c:v>-4.2753205234818381</c:v>
                </c:pt>
                <c:pt idx="11">
                  <c:v>-4.0226523104324201</c:v>
                </c:pt>
                <c:pt idx="12">
                  <c:v>-3.8170759454709331</c:v>
                </c:pt>
                <c:pt idx="13">
                  <c:v>-3.539562069974608</c:v>
                </c:pt>
                <c:pt idx="14">
                  <c:v>-2.996507507201045</c:v>
                </c:pt>
                <c:pt idx="15">
                  <c:v>-3.5568879299021599</c:v>
                </c:pt>
                <c:pt idx="16">
                  <c:v>-3.230175276117222</c:v>
                </c:pt>
                <c:pt idx="17">
                  <c:v>-2.3887580914386888</c:v>
                </c:pt>
                <c:pt idx="18">
                  <c:v>9.6156653656350954E-2</c:v>
                </c:pt>
                <c:pt idx="19">
                  <c:v>1.154854594004348</c:v>
                </c:pt>
                <c:pt idx="20">
                  <c:v>0.118861277414311</c:v>
                </c:pt>
                <c:pt idx="21">
                  <c:v>0.38105410143546692</c:v>
                </c:pt>
                <c:pt idx="22">
                  <c:v>1.1634511364398461</c:v>
                </c:pt>
                <c:pt idx="23">
                  <c:v>0.67722626118228391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2C-4CD7-89A5-9A604D2695FA}"/>
            </c:ext>
          </c:extLst>
        </c:ser>
        <c:ser>
          <c:idx val="5"/>
          <c:order val="5"/>
          <c:tx>
            <c:strRef>
              <c:f>graphs!$AF$36</c:f>
              <c:strCache>
                <c:ptCount val="1"/>
                <c:pt idx="0">
                  <c:v>KMX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graphs!$AH$36:$BE$36</c:f>
              <c:numCache>
                <c:formatCode>General</c:formatCode>
                <c:ptCount val="24"/>
                <c:pt idx="0">
                  <c:v>-2.8341240100760392</c:v>
                </c:pt>
                <c:pt idx="1">
                  <c:v>-3.136439264554383</c:v>
                </c:pt>
                <c:pt idx="2">
                  <c:v>-2.8396895913731162</c:v>
                </c:pt>
                <c:pt idx="3">
                  <c:v>-2.6834108281304339</c:v>
                </c:pt>
                <c:pt idx="4">
                  <c:v>-2.4553767766743988</c:v>
                </c:pt>
                <c:pt idx="5">
                  <c:v>-1.7564128548314391</c:v>
                </c:pt>
                <c:pt idx="6">
                  <c:v>-2.419833659137026</c:v>
                </c:pt>
                <c:pt idx="7">
                  <c:v>-2.6255544249020488</c:v>
                </c:pt>
                <c:pt idx="8">
                  <c:v>-3.116632006353484</c:v>
                </c:pt>
                <c:pt idx="9">
                  <c:v>-3.603167892329822</c:v>
                </c:pt>
                <c:pt idx="10">
                  <c:v>-3.7513147710083961</c:v>
                </c:pt>
                <c:pt idx="11">
                  <c:v>-4.1776837425923929</c:v>
                </c:pt>
                <c:pt idx="12">
                  <c:v>-4.0828996300354277</c:v>
                </c:pt>
                <c:pt idx="13">
                  <c:v>-4.0688291055965644</c:v>
                </c:pt>
                <c:pt idx="14">
                  <c:v>-3.2955658446450968</c:v>
                </c:pt>
                <c:pt idx="15">
                  <c:v>-3.51705058531843</c:v>
                </c:pt>
                <c:pt idx="16">
                  <c:v>-3.3558261179401541</c:v>
                </c:pt>
                <c:pt idx="17">
                  <c:v>-3.861787211880682</c:v>
                </c:pt>
                <c:pt idx="18">
                  <c:v>-3.9820936541420342</c:v>
                </c:pt>
                <c:pt idx="19">
                  <c:v>-4.1579064778551924</c:v>
                </c:pt>
                <c:pt idx="20">
                  <c:v>-3.614343533836518</c:v>
                </c:pt>
                <c:pt idx="21">
                  <c:v>-3.1649618145426639</c:v>
                </c:pt>
                <c:pt idx="22">
                  <c:v>-2.754448107127843</c:v>
                </c:pt>
                <c:pt idx="23">
                  <c:v>-2.898264955456284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2C-4CD7-89A5-9A604D269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516496"/>
        <c:axId val="891515536"/>
      </c:lineChart>
      <c:catAx>
        <c:axId val="89151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515536"/>
        <c:crosses val="autoZero"/>
        <c:auto val="1"/>
        <c:lblAlgn val="ctr"/>
        <c:lblOffset val="100"/>
        <c:noMultiLvlLbl val="0"/>
      </c:catAx>
      <c:valAx>
        <c:axId val="89151553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5164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</a:t>
            </a:r>
            <a:r>
              <a:rPr lang="en-US" baseline="0"/>
              <a:t> Recovery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RRA rebaselined'!$A$51</c:f>
              <c:strCache>
                <c:ptCount val="1"/>
                <c:pt idx="0">
                  <c:v>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'no RRA rebaselined'!$B$50:$Z$50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'no RRA rebaselined'!$B$51:$Z$51</c:f>
              <c:numCache>
                <c:formatCode>General</c:formatCode>
                <c:ptCount val="25"/>
                <c:pt idx="0">
                  <c:v>-0.61305923052299949</c:v>
                </c:pt>
                <c:pt idx="1">
                  <c:v>-1.0347206722157489</c:v>
                </c:pt>
                <c:pt idx="2">
                  <c:v>-0.30686663647136803</c:v>
                </c:pt>
                <c:pt idx="3">
                  <c:v>0.55941586967605339</c:v>
                </c:pt>
                <c:pt idx="4">
                  <c:v>0.28503309544824712</c:v>
                </c:pt>
                <c:pt idx="5">
                  <c:v>0.141055570900149</c:v>
                </c:pt>
                <c:pt idx="6">
                  <c:v>-5.1200749376002427E-2</c:v>
                </c:pt>
                <c:pt idx="7">
                  <c:v>-0.79254575157834317</c:v>
                </c:pt>
                <c:pt idx="8">
                  <c:v>-1.539916170376882</c:v>
                </c:pt>
                <c:pt idx="9">
                  <c:v>-1.568154520791436</c:v>
                </c:pt>
                <c:pt idx="10">
                  <c:v>-2.034498188821495</c:v>
                </c:pt>
                <c:pt idx="11">
                  <c:v>-1.4114226887479411</c:v>
                </c:pt>
                <c:pt idx="12">
                  <c:v>-1.491221657857609</c:v>
                </c:pt>
                <c:pt idx="13">
                  <c:v>-1.3089075135197401</c:v>
                </c:pt>
                <c:pt idx="14">
                  <c:v>-1.1866422804332299</c:v>
                </c:pt>
                <c:pt idx="15">
                  <c:v>-1.235129759087205</c:v>
                </c:pt>
                <c:pt idx="16">
                  <c:v>-0.85114868861108872</c:v>
                </c:pt>
                <c:pt idx="17">
                  <c:v>-0.30358144801441028</c:v>
                </c:pt>
                <c:pt idx="18">
                  <c:v>0.62611644939496414</c:v>
                </c:pt>
                <c:pt idx="19">
                  <c:v>1.199617108191654</c:v>
                </c:pt>
                <c:pt idx="20">
                  <c:v>0.73187389993782914</c:v>
                </c:pt>
                <c:pt idx="21">
                  <c:v>1.3988725116844909</c:v>
                </c:pt>
                <c:pt idx="22">
                  <c:v>2.52507692976081</c:v>
                </c:pt>
                <c:pt idx="23">
                  <c:v>2.6535290564958691</c:v>
                </c:pt>
                <c:pt idx="24">
                  <c:v>2.160427144791754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1-471D-BA6F-4AA36ABD5089}"/>
            </c:ext>
          </c:extLst>
        </c:ser>
        <c:ser>
          <c:idx val="1"/>
          <c:order val="1"/>
          <c:tx>
            <c:strRef>
              <c:f>'no RRA rebaselined'!$A$53</c:f>
              <c:strCache>
                <c:ptCount val="1"/>
                <c:pt idx="0">
                  <c:v>FRN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'no RRA rebaselined'!$B$50:$Z$50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'no RRA rebaselined'!$B$53:$Z$53</c:f>
              <c:numCache>
                <c:formatCode>General</c:formatCode>
                <c:ptCount val="25"/>
                <c:pt idx="0">
                  <c:v>-0.3803432524996373</c:v>
                </c:pt>
                <c:pt idx="1">
                  <c:v>-0.13468952478997931</c:v>
                </c:pt>
                <c:pt idx="2">
                  <c:v>-0.1127742011987635</c:v>
                </c:pt>
                <c:pt idx="3">
                  <c:v>0.8039426885602251</c:v>
                </c:pt>
                <c:pt idx="4">
                  <c:v>0.61385889556798767</c:v>
                </c:pt>
                <c:pt idx="5">
                  <c:v>0.30096432371068838</c:v>
                </c:pt>
                <c:pt idx="6">
                  <c:v>5.3666595860003916E-3</c:v>
                </c:pt>
                <c:pt idx="7">
                  <c:v>-0.79299957215503469</c:v>
                </c:pt>
                <c:pt idx="8">
                  <c:v>-1.4658563467137029</c:v>
                </c:pt>
                <c:pt idx="9">
                  <c:v>-1.424098001661799</c:v>
                </c:pt>
                <c:pt idx="10">
                  <c:v>-1.4695331622187591</c:v>
                </c:pt>
                <c:pt idx="11">
                  <c:v>-1.2842031073866069</c:v>
                </c:pt>
                <c:pt idx="12">
                  <c:v>-1.649418746247199</c:v>
                </c:pt>
                <c:pt idx="13">
                  <c:v>-1.1144507105367649</c:v>
                </c:pt>
                <c:pt idx="14">
                  <c:v>-1.1727670673875039</c:v>
                </c:pt>
                <c:pt idx="15">
                  <c:v>-1.288238096192827</c:v>
                </c:pt>
                <c:pt idx="16">
                  <c:v>-1.4217419405102729</c:v>
                </c:pt>
                <c:pt idx="17">
                  <c:v>-0.88174349309911804</c:v>
                </c:pt>
                <c:pt idx="18">
                  <c:v>-0.34232580233803922</c:v>
                </c:pt>
                <c:pt idx="19">
                  <c:v>1.214543810683461</c:v>
                </c:pt>
                <c:pt idx="20">
                  <c:v>1.3644553022160431</c:v>
                </c:pt>
                <c:pt idx="21">
                  <c:v>1.686167890486838</c:v>
                </c:pt>
                <c:pt idx="22">
                  <c:v>2.2696451478678341</c:v>
                </c:pt>
                <c:pt idx="23">
                  <c:v>3.6760504039490778</c:v>
                </c:pt>
                <c:pt idx="24">
                  <c:v>2.583207765217816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1-471D-BA6F-4AA36ABD5089}"/>
            </c:ext>
          </c:extLst>
        </c:ser>
        <c:ser>
          <c:idx val="2"/>
          <c:order val="2"/>
          <c:tx>
            <c:strRef>
              <c:f>'no RRA rebaselined'!$A$55</c:f>
              <c:strCache>
                <c:ptCount val="1"/>
                <c:pt idx="0">
                  <c:v>STG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'no RRA rebaselined'!$B$50:$Z$50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'no RRA rebaselined'!$B$55:$Z$55</c:f>
              <c:numCache>
                <c:formatCode>General</c:formatCode>
                <c:ptCount val="25"/>
                <c:pt idx="0">
                  <c:v>-1.316800414474</c:v>
                </c:pt>
                <c:pt idx="1">
                  <c:v>-1.2957724377436111</c:v>
                </c:pt>
                <c:pt idx="2">
                  <c:v>-0.95222984507205277</c:v>
                </c:pt>
                <c:pt idx="3">
                  <c:v>-0.48391775487744471</c:v>
                </c:pt>
                <c:pt idx="4">
                  <c:v>-0.72616838526293526</c:v>
                </c:pt>
                <c:pt idx="5">
                  <c:v>-0.56890560604284923</c:v>
                </c:pt>
                <c:pt idx="6">
                  <c:v>-0.73834100119044344</c:v>
                </c:pt>
                <c:pt idx="7">
                  <c:v>-0.83821841089343219</c:v>
                </c:pt>
                <c:pt idx="8">
                  <c:v>-1.1828947744170251</c:v>
                </c:pt>
                <c:pt idx="9">
                  <c:v>-1.1773227075089041</c:v>
                </c:pt>
                <c:pt idx="10">
                  <c:v>-1.373579518042678</c:v>
                </c:pt>
                <c:pt idx="11">
                  <c:v>-1.134525019411476</c:v>
                </c:pt>
                <c:pt idx="12">
                  <c:v>-1.059867899375641</c:v>
                </c:pt>
                <c:pt idx="13">
                  <c:v>-1.1394506128990189</c:v>
                </c:pt>
                <c:pt idx="14">
                  <c:v>-1.123970594349738</c:v>
                </c:pt>
                <c:pt idx="15">
                  <c:v>-0.60737432245737555</c:v>
                </c:pt>
                <c:pt idx="16">
                  <c:v>-0.96284546779990887</c:v>
                </c:pt>
                <c:pt idx="17">
                  <c:v>0.2134615993244523</c:v>
                </c:pt>
                <c:pt idx="18">
                  <c:v>1.170221395570584</c:v>
                </c:pt>
                <c:pt idx="19">
                  <c:v>2.2623707857809809</c:v>
                </c:pt>
                <c:pt idx="20">
                  <c:v>1.968545863987563</c:v>
                </c:pt>
                <c:pt idx="21">
                  <c:v>2.6665771033365662</c:v>
                </c:pt>
                <c:pt idx="22">
                  <c:v>2.6876562053644339</c:v>
                </c:pt>
                <c:pt idx="23">
                  <c:v>3.8502087927848341</c:v>
                </c:pt>
                <c:pt idx="24">
                  <c:v>3.0685260407563368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61-471D-BA6F-4AA36ABD5089}"/>
            </c:ext>
          </c:extLst>
        </c:ser>
        <c:ser>
          <c:idx val="3"/>
          <c:order val="3"/>
          <c:tx>
            <c:strRef>
              <c:f>'no RRA rebaselined'!$A$57</c:f>
              <c:strCache>
                <c:ptCount val="1"/>
                <c:pt idx="0">
                  <c:v>FLD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'no RRA rebaselined'!$B$50:$Z$50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'no RRA rebaselined'!$B$57:$Z$57</c:f>
              <c:numCache>
                <c:formatCode>General</c:formatCode>
                <c:ptCount val="25"/>
                <c:pt idx="0">
                  <c:v>-0.80668522285964439</c:v>
                </c:pt>
                <c:pt idx="1">
                  <c:v>-0.93507212397332296</c:v>
                </c:pt>
                <c:pt idx="2">
                  <c:v>-0.3456729902473481</c:v>
                </c:pt>
                <c:pt idx="3">
                  <c:v>0.18585267399725591</c:v>
                </c:pt>
                <c:pt idx="4">
                  <c:v>0.50736115724610131</c:v>
                </c:pt>
                <c:pt idx="5">
                  <c:v>3.1012017508574279E-3</c:v>
                </c:pt>
                <c:pt idx="6">
                  <c:v>-0.16601729973525611</c:v>
                </c:pt>
                <c:pt idx="7">
                  <c:v>-0.2147015913501758</c:v>
                </c:pt>
                <c:pt idx="8">
                  <c:v>-0.67093555423624684</c:v>
                </c:pt>
                <c:pt idx="9">
                  <c:v>-1.7328993021204759</c:v>
                </c:pt>
                <c:pt idx="10">
                  <c:v>-1.2970777309101009</c:v>
                </c:pt>
                <c:pt idx="11">
                  <c:v>-1.1262864357836351</c:v>
                </c:pt>
                <c:pt idx="12">
                  <c:v>-0.35837746156388522</c:v>
                </c:pt>
                <c:pt idx="13">
                  <c:v>-0.8748957005007576</c:v>
                </c:pt>
                <c:pt idx="14">
                  <c:v>-0.55827843037034974</c:v>
                </c:pt>
                <c:pt idx="15">
                  <c:v>0.49839904685286479</c:v>
                </c:pt>
                <c:pt idx="16">
                  <c:v>-0.38462213709576598</c:v>
                </c:pt>
                <c:pt idx="17">
                  <c:v>-0.37735754253214249</c:v>
                </c:pt>
                <c:pt idx="18">
                  <c:v>-0.16276269188548659</c:v>
                </c:pt>
                <c:pt idx="19">
                  <c:v>1.937170770602834</c:v>
                </c:pt>
                <c:pt idx="20">
                  <c:v>2.2344425658007729</c:v>
                </c:pt>
                <c:pt idx="21">
                  <c:v>1.5261134260071769</c:v>
                </c:pt>
                <c:pt idx="22">
                  <c:v>2.1923701715341921</c:v>
                </c:pt>
                <c:pt idx="23">
                  <c:v>2.5979302089097338</c:v>
                </c:pt>
                <c:pt idx="24">
                  <c:v>0.94734766324229369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61-471D-BA6F-4AA36ABD5089}"/>
            </c:ext>
          </c:extLst>
        </c:ser>
        <c:ser>
          <c:idx val="4"/>
          <c:order val="4"/>
          <c:tx>
            <c:strRef>
              <c:f>'no RRA rebaselined'!$A$59</c:f>
              <c:strCache>
                <c:ptCount val="1"/>
                <c:pt idx="0">
                  <c:v>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'no RRA rebaselined'!$B$50:$Z$50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'no RRA rebaselined'!$B$59:$Z$59</c:f>
              <c:numCache>
                <c:formatCode>General</c:formatCode>
                <c:ptCount val="25"/>
                <c:pt idx="0">
                  <c:v>-1.2084230530138691</c:v>
                </c:pt>
                <c:pt idx="1">
                  <c:v>-0.88622384139504284</c:v>
                </c:pt>
                <c:pt idx="2">
                  <c:v>-0.51821331508603508</c:v>
                </c:pt>
                <c:pt idx="3">
                  <c:v>-0.68656412979768433</c:v>
                </c:pt>
                <c:pt idx="4">
                  <c:v>-0.63044309894958361</c:v>
                </c:pt>
                <c:pt idx="5">
                  <c:v>-0.15045226992745681</c:v>
                </c:pt>
                <c:pt idx="6">
                  <c:v>-0.74379700886390154</c:v>
                </c:pt>
                <c:pt idx="7">
                  <c:v>-0.7399240474233455</c:v>
                </c:pt>
                <c:pt idx="8">
                  <c:v>-1.6194893523540239</c:v>
                </c:pt>
                <c:pt idx="9">
                  <c:v>-1.90072709692672</c:v>
                </c:pt>
                <c:pt idx="10">
                  <c:v>-2.619585983285496</c:v>
                </c:pt>
                <c:pt idx="11">
                  <c:v>-2.78556127172555</c:v>
                </c:pt>
                <c:pt idx="12">
                  <c:v>-2.5379249890632671</c:v>
                </c:pt>
                <c:pt idx="13">
                  <c:v>-2.056753306211383</c:v>
                </c:pt>
                <c:pt idx="14">
                  <c:v>-1.8814632224964241</c:v>
                </c:pt>
                <c:pt idx="15">
                  <c:v>-1.219247900789572</c:v>
                </c:pt>
                <c:pt idx="16">
                  <c:v>-1.8182027576408679</c:v>
                </c:pt>
                <c:pt idx="17">
                  <c:v>-1.34646024099739</c:v>
                </c:pt>
                <c:pt idx="18">
                  <c:v>-0.38120993110638551</c:v>
                </c:pt>
                <c:pt idx="19">
                  <c:v>2.4129424376819029</c:v>
                </c:pt>
                <c:pt idx="20">
                  <c:v>3.9541767305471871</c:v>
                </c:pt>
                <c:pt idx="21">
                  <c:v>2.9054987418774081</c:v>
                </c:pt>
                <c:pt idx="22">
                  <c:v>2.9625130484290749</c:v>
                </c:pt>
                <c:pt idx="23">
                  <c:v>3.8789981871489991</c:v>
                </c:pt>
                <c:pt idx="24">
                  <c:v>2.939509952149709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61-471D-BA6F-4AA36ABD5089}"/>
            </c:ext>
          </c:extLst>
        </c:ser>
        <c:ser>
          <c:idx val="5"/>
          <c:order val="5"/>
          <c:tx>
            <c:strRef>
              <c:f>'no RRA rebaselined'!$A$61</c:f>
              <c:strCache>
                <c:ptCount val="1"/>
                <c:pt idx="0">
                  <c:v>KMX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'no RRA rebaselined'!$B$50:$Z$50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'no RRA rebaselined'!$B$61:$Z$61</c:f>
              <c:numCache>
                <c:formatCode>General</c:formatCode>
                <c:ptCount val="25"/>
                <c:pt idx="0">
                  <c:v>5.4258197052347149E-2</c:v>
                </c:pt>
                <c:pt idx="1">
                  <c:v>0.43110716236044611</c:v>
                </c:pt>
                <c:pt idx="2">
                  <c:v>2.452648298079833E-2</c:v>
                </c:pt>
                <c:pt idx="3">
                  <c:v>0.40477748094964999</c:v>
                </c:pt>
                <c:pt idx="4">
                  <c:v>0.49499963135422348</c:v>
                </c:pt>
                <c:pt idx="5">
                  <c:v>0.93081355548104694</c:v>
                </c:pt>
                <c:pt idx="6">
                  <c:v>1.7071870021484039</c:v>
                </c:pt>
                <c:pt idx="7">
                  <c:v>0.80482787756820351</c:v>
                </c:pt>
                <c:pt idx="8">
                  <c:v>0.66107033623268197</c:v>
                </c:pt>
                <c:pt idx="9">
                  <c:v>-2.0183634801491299E-2</c:v>
                </c:pt>
                <c:pt idx="10">
                  <c:v>-0.44628346717111977</c:v>
                </c:pt>
                <c:pt idx="11">
                  <c:v>-0.57549411857196553</c:v>
                </c:pt>
                <c:pt idx="12">
                  <c:v>-0.9781821605213411</c:v>
                </c:pt>
                <c:pt idx="13">
                  <c:v>-0.34839807795046301</c:v>
                </c:pt>
                <c:pt idx="14">
                  <c:v>-0.38931540741708109</c:v>
                </c:pt>
                <c:pt idx="15">
                  <c:v>0.2122453843758168</c:v>
                </c:pt>
                <c:pt idx="16">
                  <c:v>-0.23559879028366379</c:v>
                </c:pt>
                <c:pt idx="17">
                  <c:v>9.0456386109090653E-2</c:v>
                </c:pt>
                <c:pt idx="18">
                  <c:v>-0.54232293136719834</c:v>
                </c:pt>
                <c:pt idx="19">
                  <c:v>-0.68396124727796337</c:v>
                </c:pt>
                <c:pt idx="20">
                  <c:v>-0.69812196046537944</c:v>
                </c:pt>
                <c:pt idx="21">
                  <c:v>-3.9833427111439362E-2</c:v>
                </c:pt>
                <c:pt idx="22">
                  <c:v>0.39669237239811889</c:v>
                </c:pt>
                <c:pt idx="23">
                  <c:v>0.69863396050410365</c:v>
                </c:pt>
                <c:pt idx="24">
                  <c:v>0.49570846122702822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61-471D-BA6F-4AA36ABD5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253968"/>
        <c:axId val="893252048"/>
      </c:lineChart>
      <c:catAx>
        <c:axId val="89325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52048"/>
        <c:crosses val="autoZero"/>
        <c:auto val="1"/>
        <c:lblAlgn val="ctr"/>
        <c:lblOffset val="100"/>
        <c:noMultiLvlLbl val="0"/>
      </c:catAx>
      <c:valAx>
        <c:axId val="8932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253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Recovery with Bug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graphs!$AF$31</c:f>
              <c:strCache>
                <c:ptCount val="1"/>
                <c:pt idx="0">
                  <c:v>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graphs!$AH$31:$BE$31</c:f>
              <c:numCache>
                <c:formatCode>General</c:formatCode>
                <c:ptCount val="24"/>
                <c:pt idx="0">
                  <c:v>-0.56943613520371628</c:v>
                </c:pt>
                <c:pt idx="1">
                  <c:v>-0.21425416070690059</c:v>
                </c:pt>
                <c:pt idx="2">
                  <c:v>0.68058865356454135</c:v>
                </c:pt>
                <c:pt idx="3">
                  <c:v>0.22441001536151359</c:v>
                </c:pt>
                <c:pt idx="4">
                  <c:v>0.2090721983110484</c:v>
                </c:pt>
                <c:pt idx="5">
                  <c:v>-7.5968090308322189E-2</c:v>
                </c:pt>
                <c:pt idx="6">
                  <c:v>-0.50481626028823712</c:v>
                </c:pt>
                <c:pt idx="7">
                  <c:v>-1.1464984056197809</c:v>
                </c:pt>
                <c:pt idx="8">
                  <c:v>-0.9927257775551368</c:v>
                </c:pt>
                <c:pt idx="9">
                  <c:v>-1.33743621817689</c:v>
                </c:pt>
                <c:pt idx="10">
                  <c:v>-1.1137921203458061</c:v>
                </c:pt>
                <c:pt idx="11">
                  <c:v>-1.274267180726611</c:v>
                </c:pt>
                <c:pt idx="12">
                  <c:v>-1.3069658270490829</c:v>
                </c:pt>
                <c:pt idx="13">
                  <c:v>-1.559538230277099</c:v>
                </c:pt>
                <c:pt idx="14">
                  <c:v>-1.084618521230539</c:v>
                </c:pt>
                <c:pt idx="15">
                  <c:v>-1.74173108555982</c:v>
                </c:pt>
                <c:pt idx="16">
                  <c:v>-1.102763874125571</c:v>
                </c:pt>
                <c:pt idx="17">
                  <c:v>-0.63328551879868655</c:v>
                </c:pt>
                <c:pt idx="18">
                  <c:v>0.18345642570133691</c:v>
                </c:pt>
                <c:pt idx="19">
                  <c:v>8.0554239014418272E-2</c:v>
                </c:pt>
                <c:pt idx="20">
                  <c:v>0.55716861083507752</c:v>
                </c:pt>
                <c:pt idx="21">
                  <c:v>0.84213839098492826</c:v>
                </c:pt>
                <c:pt idx="22">
                  <c:v>1.313870033344557</c:v>
                </c:pt>
                <c:pt idx="23">
                  <c:v>1.823497888359412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A-43F1-B344-615459942FB6}"/>
            </c:ext>
          </c:extLst>
        </c:ser>
        <c:ser>
          <c:idx val="1"/>
          <c:order val="1"/>
          <c:tx>
            <c:strRef>
              <c:f>graphs!$AF$32</c:f>
              <c:strCache>
                <c:ptCount val="1"/>
                <c:pt idx="0">
                  <c:v>FRN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graphs!$AH$32:$BE$32</c:f>
              <c:numCache>
                <c:formatCode>General</c:formatCode>
                <c:ptCount val="24"/>
                <c:pt idx="0">
                  <c:v>-0.39916325691257271</c:v>
                </c:pt>
                <c:pt idx="1">
                  <c:v>1.5803735301147981E-2</c:v>
                </c:pt>
                <c:pt idx="2">
                  <c:v>0.29142925755874671</c:v>
                </c:pt>
                <c:pt idx="3">
                  <c:v>0.22685780712737369</c:v>
                </c:pt>
                <c:pt idx="4">
                  <c:v>0.15910037670965951</c:v>
                </c:pt>
                <c:pt idx="5">
                  <c:v>-0.16651054569609869</c:v>
                </c:pt>
                <c:pt idx="6">
                  <c:v>-0.64123410559412264</c:v>
                </c:pt>
                <c:pt idx="7">
                  <c:v>-1.406421035983783</c:v>
                </c:pt>
                <c:pt idx="8">
                  <c:v>-1.3721178227969519</c:v>
                </c:pt>
                <c:pt idx="9">
                  <c:v>-1.355936225063999</c:v>
                </c:pt>
                <c:pt idx="10">
                  <c:v>-1.298567162626824</c:v>
                </c:pt>
                <c:pt idx="11">
                  <c:v>-1.229673203613459</c:v>
                </c:pt>
                <c:pt idx="12">
                  <c:v>-1.4790927891037879</c:v>
                </c:pt>
                <c:pt idx="13">
                  <c:v>-1.4399127203864741</c:v>
                </c:pt>
                <c:pt idx="14">
                  <c:v>-1.435633622756711</c:v>
                </c:pt>
                <c:pt idx="15">
                  <c:v>-1.463722377214111</c:v>
                </c:pt>
                <c:pt idx="16">
                  <c:v>-1.1069719894153141</c:v>
                </c:pt>
                <c:pt idx="17">
                  <c:v>-0.6383671688126924</c:v>
                </c:pt>
                <c:pt idx="18">
                  <c:v>0.44202526274585813</c:v>
                </c:pt>
                <c:pt idx="19">
                  <c:v>0.22940979528780761</c:v>
                </c:pt>
                <c:pt idx="20">
                  <c:v>0.23943624345429271</c:v>
                </c:pt>
                <c:pt idx="21">
                  <c:v>0.95567212066643492</c:v>
                </c:pt>
                <c:pt idx="22">
                  <c:v>1.511380659816695</c:v>
                </c:pt>
                <c:pt idx="23">
                  <c:v>1.511298575462575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A-43F1-B344-615459942FB6}"/>
            </c:ext>
          </c:extLst>
        </c:ser>
        <c:ser>
          <c:idx val="2"/>
          <c:order val="2"/>
          <c:tx>
            <c:strRef>
              <c:f>graphs!$AF$33</c:f>
              <c:strCache>
                <c:ptCount val="1"/>
                <c:pt idx="0">
                  <c:v>STG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graphs!$AH$33:$BE$33</c:f>
              <c:numCache>
                <c:formatCode>General</c:formatCode>
                <c:ptCount val="24"/>
                <c:pt idx="0">
                  <c:v>-0.23514923277392091</c:v>
                </c:pt>
                <c:pt idx="1">
                  <c:v>-0.17763245810604639</c:v>
                </c:pt>
                <c:pt idx="2">
                  <c:v>0.39104338510543363</c:v>
                </c:pt>
                <c:pt idx="3">
                  <c:v>0.16365720842696871</c:v>
                </c:pt>
                <c:pt idx="4">
                  <c:v>0.14110014452674591</c:v>
                </c:pt>
                <c:pt idx="5">
                  <c:v>-0.19682374508499831</c:v>
                </c:pt>
                <c:pt idx="6">
                  <c:v>-0.69220439175350634</c:v>
                </c:pt>
                <c:pt idx="7">
                  <c:v>-1.015716689774081</c:v>
                </c:pt>
                <c:pt idx="8">
                  <c:v>-1.5663498716684501</c:v>
                </c:pt>
                <c:pt idx="9">
                  <c:v>-1.584362709364967</c:v>
                </c:pt>
                <c:pt idx="10">
                  <c:v>-1.308348837421931</c:v>
                </c:pt>
                <c:pt idx="11">
                  <c:v>-1.0537593670993031</c:v>
                </c:pt>
                <c:pt idx="12">
                  <c:v>-0.95726796015017612</c:v>
                </c:pt>
                <c:pt idx="13">
                  <c:v>-1.3703764248640771</c:v>
                </c:pt>
                <c:pt idx="14">
                  <c:v>-1.3584951647645771</c:v>
                </c:pt>
                <c:pt idx="15">
                  <c:v>-1.6674838521355471</c:v>
                </c:pt>
                <c:pt idx="16">
                  <c:v>-1.1614307655167411</c:v>
                </c:pt>
                <c:pt idx="17">
                  <c:v>-0.66741053516162197</c:v>
                </c:pt>
                <c:pt idx="18">
                  <c:v>0.10374512414423979</c:v>
                </c:pt>
                <c:pt idx="19">
                  <c:v>0.33099156580945532</c:v>
                </c:pt>
                <c:pt idx="20">
                  <c:v>0.40683462418954258</c:v>
                </c:pt>
                <c:pt idx="21">
                  <c:v>0.67784690711440021</c:v>
                </c:pt>
                <c:pt idx="22">
                  <c:v>1.6772276675288249</c:v>
                </c:pt>
                <c:pt idx="23">
                  <c:v>0.91825423237821724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7A-43F1-B344-615459942FB6}"/>
            </c:ext>
          </c:extLst>
        </c:ser>
        <c:ser>
          <c:idx val="3"/>
          <c:order val="3"/>
          <c:tx>
            <c:strRef>
              <c:f>graphs!$AF$34</c:f>
              <c:strCache>
                <c:ptCount val="1"/>
                <c:pt idx="0">
                  <c:v>FLD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graphs!$AH$34:$BE$34</c:f>
              <c:numCache>
                <c:formatCode>General</c:formatCode>
                <c:ptCount val="24"/>
                <c:pt idx="0">
                  <c:v>-0.2049295454415585</c:v>
                </c:pt>
                <c:pt idx="1">
                  <c:v>3.2451687125956141E-3</c:v>
                </c:pt>
                <c:pt idx="2">
                  <c:v>0.18043504936153451</c:v>
                </c:pt>
                <c:pt idx="3">
                  <c:v>-0.25831758705473362</c:v>
                </c:pt>
                <c:pt idx="4">
                  <c:v>-0.28531197529588331</c:v>
                </c:pt>
                <c:pt idx="5">
                  <c:v>-9.3966231446529491E-2</c:v>
                </c:pt>
                <c:pt idx="6">
                  <c:v>-0.57675672633951081</c:v>
                </c:pt>
                <c:pt idx="7">
                  <c:v>-1.287629269088967</c:v>
                </c:pt>
                <c:pt idx="8">
                  <c:v>-1.300891046213138</c:v>
                </c:pt>
                <c:pt idx="9">
                  <c:v>-1.6502647722361701</c:v>
                </c:pt>
                <c:pt idx="10">
                  <c:v>-0.83079472718941361</c:v>
                </c:pt>
                <c:pt idx="11">
                  <c:v>-1.3825719734120701</c:v>
                </c:pt>
                <c:pt idx="12">
                  <c:v>-1.5799359499551431</c:v>
                </c:pt>
                <c:pt idx="13">
                  <c:v>-1.0542949079360819</c:v>
                </c:pt>
                <c:pt idx="14">
                  <c:v>-1.3557993728754809</c:v>
                </c:pt>
                <c:pt idx="15">
                  <c:v>-1.497081244480825</c:v>
                </c:pt>
                <c:pt idx="16">
                  <c:v>-0.65776890033589552</c:v>
                </c:pt>
                <c:pt idx="17">
                  <c:v>-0.46079243140653148</c:v>
                </c:pt>
                <c:pt idx="18">
                  <c:v>0.78463273445555615</c:v>
                </c:pt>
                <c:pt idx="19">
                  <c:v>4.7183501459358013E-2</c:v>
                </c:pt>
                <c:pt idx="20">
                  <c:v>0.56322649620975085</c:v>
                </c:pt>
                <c:pt idx="21">
                  <c:v>0.93591851189495401</c:v>
                </c:pt>
                <c:pt idx="22">
                  <c:v>1.709978486433215</c:v>
                </c:pt>
                <c:pt idx="23">
                  <c:v>0.85639536321343712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7A-43F1-B344-615459942FB6}"/>
            </c:ext>
          </c:extLst>
        </c:ser>
        <c:ser>
          <c:idx val="4"/>
          <c:order val="4"/>
          <c:tx>
            <c:strRef>
              <c:f>graphs!$AF$35</c:f>
              <c:strCache>
                <c:ptCount val="1"/>
                <c:pt idx="0">
                  <c:v>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graphs!$AH$35:$BE$35</c:f>
              <c:numCache>
                <c:formatCode>General</c:formatCode>
                <c:ptCount val="24"/>
                <c:pt idx="0">
                  <c:v>-2.6973233187425478</c:v>
                </c:pt>
                <c:pt idx="1">
                  <c:v>-2.4473200439196598</c:v>
                </c:pt>
                <c:pt idx="2">
                  <c:v>-2.4631078797537209</c:v>
                </c:pt>
                <c:pt idx="3">
                  <c:v>-2.410187290977404</c:v>
                </c:pt>
                <c:pt idx="4">
                  <c:v>-1.8217150481629569</c:v>
                </c:pt>
                <c:pt idx="5">
                  <c:v>-2.3608023007637509</c:v>
                </c:pt>
                <c:pt idx="6">
                  <c:v>-2.236469694987107</c:v>
                </c:pt>
                <c:pt idx="7">
                  <c:v>-3.0902908582119148</c:v>
                </c:pt>
                <c:pt idx="8">
                  <c:v>-3.4354069590460061</c:v>
                </c:pt>
                <c:pt idx="9">
                  <c:v>-4.1052263540127569</c:v>
                </c:pt>
                <c:pt idx="10">
                  <c:v>-4.2753205234818381</c:v>
                </c:pt>
                <c:pt idx="11">
                  <c:v>-4.0226523104324201</c:v>
                </c:pt>
                <c:pt idx="12">
                  <c:v>-3.8170759454709331</c:v>
                </c:pt>
                <c:pt idx="13">
                  <c:v>-3.539562069974608</c:v>
                </c:pt>
                <c:pt idx="14">
                  <c:v>-2.996507507201045</c:v>
                </c:pt>
                <c:pt idx="15">
                  <c:v>-3.5568879299021599</c:v>
                </c:pt>
                <c:pt idx="16">
                  <c:v>-3.230175276117222</c:v>
                </c:pt>
                <c:pt idx="17">
                  <c:v>-2.3887580914386888</c:v>
                </c:pt>
                <c:pt idx="18">
                  <c:v>9.6156653656350954E-2</c:v>
                </c:pt>
                <c:pt idx="19">
                  <c:v>1.154854594004348</c:v>
                </c:pt>
                <c:pt idx="20">
                  <c:v>0.118861277414311</c:v>
                </c:pt>
                <c:pt idx="21">
                  <c:v>0.38105410143546692</c:v>
                </c:pt>
                <c:pt idx="22">
                  <c:v>1.1634511364398461</c:v>
                </c:pt>
                <c:pt idx="23">
                  <c:v>0.67722626118228391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7A-43F1-B344-615459942FB6}"/>
            </c:ext>
          </c:extLst>
        </c:ser>
        <c:ser>
          <c:idx val="5"/>
          <c:order val="5"/>
          <c:tx>
            <c:strRef>
              <c:f>graphs!$AF$36</c:f>
              <c:strCache>
                <c:ptCount val="1"/>
                <c:pt idx="0">
                  <c:v>KMX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graphs!$AH$30:$BE$30</c:f>
              <c:strCache>
                <c:ptCount val="24"/>
                <c:pt idx="0">
                  <c:v>2020Q2</c:v>
                </c:pt>
                <c:pt idx="1">
                  <c:v>2020Q3</c:v>
                </c:pt>
                <c:pt idx="2">
                  <c:v>2020Q4</c:v>
                </c:pt>
                <c:pt idx="3">
                  <c:v>2021Q1</c:v>
                </c:pt>
                <c:pt idx="4">
                  <c:v>2021Q2</c:v>
                </c:pt>
                <c:pt idx="5">
                  <c:v>2021Q3</c:v>
                </c:pt>
                <c:pt idx="6">
                  <c:v>2021Q4</c:v>
                </c:pt>
                <c:pt idx="7">
                  <c:v>2022Q1</c:v>
                </c:pt>
                <c:pt idx="8">
                  <c:v>2022Q2</c:v>
                </c:pt>
                <c:pt idx="9">
                  <c:v>2022Q3</c:v>
                </c:pt>
                <c:pt idx="10">
                  <c:v>2022Q4</c:v>
                </c:pt>
                <c:pt idx="11">
                  <c:v>2023Q1</c:v>
                </c:pt>
                <c:pt idx="12">
                  <c:v>2023Q2</c:v>
                </c:pt>
                <c:pt idx="13">
                  <c:v>2023Q3</c:v>
                </c:pt>
                <c:pt idx="14">
                  <c:v>2023Q4</c:v>
                </c:pt>
                <c:pt idx="15">
                  <c:v>2024Q1</c:v>
                </c:pt>
                <c:pt idx="16">
                  <c:v>2024Q2</c:v>
                </c:pt>
                <c:pt idx="17">
                  <c:v>2024Q3</c:v>
                </c:pt>
                <c:pt idx="18">
                  <c:v>2024Q4</c:v>
                </c:pt>
                <c:pt idx="19">
                  <c:v>2025Q1</c:v>
                </c:pt>
                <c:pt idx="20">
                  <c:v>2025Q2</c:v>
                </c:pt>
                <c:pt idx="21">
                  <c:v>2025Q3</c:v>
                </c:pt>
                <c:pt idx="22">
                  <c:v>2025Q4</c:v>
                </c:pt>
                <c:pt idx="23">
                  <c:v>2026Q1</c:v>
                </c:pt>
              </c:strCache>
            </c:strRef>
          </c:cat>
          <c:val>
            <c:numRef>
              <c:f>graphs!$AH$36:$BE$36</c:f>
              <c:numCache>
                <c:formatCode>General</c:formatCode>
                <c:ptCount val="24"/>
                <c:pt idx="0">
                  <c:v>-2.8341240100760392</c:v>
                </c:pt>
                <c:pt idx="1">
                  <c:v>-3.136439264554383</c:v>
                </c:pt>
                <c:pt idx="2">
                  <c:v>-2.8396895913731162</c:v>
                </c:pt>
                <c:pt idx="3">
                  <c:v>-2.6834108281304339</c:v>
                </c:pt>
                <c:pt idx="4">
                  <c:v>-2.4553767766743988</c:v>
                </c:pt>
                <c:pt idx="5">
                  <c:v>-1.7564128548314391</c:v>
                </c:pt>
                <c:pt idx="6">
                  <c:v>-2.419833659137026</c:v>
                </c:pt>
                <c:pt idx="7">
                  <c:v>-2.6255544249020488</c:v>
                </c:pt>
                <c:pt idx="8">
                  <c:v>-3.116632006353484</c:v>
                </c:pt>
                <c:pt idx="9">
                  <c:v>-3.603167892329822</c:v>
                </c:pt>
                <c:pt idx="10">
                  <c:v>-3.7513147710083961</c:v>
                </c:pt>
                <c:pt idx="11">
                  <c:v>-4.1776837425923929</c:v>
                </c:pt>
                <c:pt idx="12">
                  <c:v>-4.0828996300354277</c:v>
                </c:pt>
                <c:pt idx="13">
                  <c:v>-4.0688291055965644</c:v>
                </c:pt>
                <c:pt idx="14">
                  <c:v>-3.2955658446450968</c:v>
                </c:pt>
                <c:pt idx="15">
                  <c:v>-3.51705058531843</c:v>
                </c:pt>
                <c:pt idx="16">
                  <c:v>-3.3558261179401541</c:v>
                </c:pt>
                <c:pt idx="17">
                  <c:v>-3.861787211880682</c:v>
                </c:pt>
                <c:pt idx="18">
                  <c:v>-3.9820936541420342</c:v>
                </c:pt>
                <c:pt idx="19">
                  <c:v>-4.1579064778551924</c:v>
                </c:pt>
                <c:pt idx="20">
                  <c:v>-3.614343533836518</c:v>
                </c:pt>
                <c:pt idx="21">
                  <c:v>-3.1649618145426639</c:v>
                </c:pt>
                <c:pt idx="22">
                  <c:v>-2.754448107127843</c:v>
                </c:pt>
                <c:pt idx="23">
                  <c:v>-2.898264955456284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7A-43F1-B344-615459942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516496"/>
        <c:axId val="891515536"/>
      </c:lineChart>
      <c:catAx>
        <c:axId val="89151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515536"/>
        <c:crosses val="autoZero"/>
        <c:auto val="1"/>
        <c:lblAlgn val="ctr"/>
        <c:lblOffset val="100"/>
        <c:noMultiLvlLbl val="0"/>
      </c:catAx>
      <c:valAx>
        <c:axId val="89151553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5164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LTV!$A$2</c:f>
              <c:strCache>
                <c:ptCount val="1"/>
                <c:pt idx="0">
                  <c:v>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LTV!$B$1:$Z$1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LTV!$B$2:$Z$2</c:f>
              <c:numCache>
                <c:formatCode>General</c:formatCode>
                <c:ptCount val="25"/>
                <c:pt idx="0">
                  <c:v>0.31699383207393272</c:v>
                </c:pt>
                <c:pt idx="1">
                  <c:v>-7.4520435280669983E-2</c:v>
                </c:pt>
                <c:pt idx="2">
                  <c:v>2.6730438931927849</c:v>
                </c:pt>
                <c:pt idx="3">
                  <c:v>2.8146745143584848</c:v>
                </c:pt>
                <c:pt idx="4">
                  <c:v>2.4860691974896092</c:v>
                </c:pt>
                <c:pt idx="5">
                  <c:v>4.7442205538929709</c:v>
                </c:pt>
                <c:pt idx="6">
                  <c:v>3.767862259420677</c:v>
                </c:pt>
                <c:pt idx="7">
                  <c:v>3.8101148848800568</c:v>
                </c:pt>
                <c:pt idx="8">
                  <c:v>3.3632739395382241</c:v>
                </c:pt>
                <c:pt idx="9">
                  <c:v>2.1960055910404259</c:v>
                </c:pt>
                <c:pt idx="10">
                  <c:v>1.813766331452717</c:v>
                </c:pt>
                <c:pt idx="11">
                  <c:v>1.171882167126244</c:v>
                </c:pt>
                <c:pt idx="12">
                  <c:v>1.0276651406364501</c:v>
                </c:pt>
                <c:pt idx="13">
                  <c:v>2.1915036915182018</c:v>
                </c:pt>
                <c:pt idx="14">
                  <c:v>2.6725161856971229</c:v>
                </c:pt>
                <c:pt idx="15">
                  <c:v>2.2645484197272538</c:v>
                </c:pt>
                <c:pt idx="16">
                  <c:v>1.982051927501814</c:v>
                </c:pt>
                <c:pt idx="17">
                  <c:v>2.59136769572113</c:v>
                </c:pt>
                <c:pt idx="18">
                  <c:v>3.6900856036747798</c:v>
                </c:pt>
                <c:pt idx="19">
                  <c:v>3.3601489070453039</c:v>
                </c:pt>
                <c:pt idx="20">
                  <c:v>3.5152575010923348</c:v>
                </c:pt>
                <c:pt idx="21">
                  <c:v>4.0364834910412739</c:v>
                </c:pt>
                <c:pt idx="22">
                  <c:v>3.9658857175716609</c:v>
                </c:pt>
                <c:pt idx="23">
                  <c:v>4.2472755924749057</c:v>
                </c:pt>
                <c:pt idx="24">
                  <c:v>4.2417601228001001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6-42A4-8201-4738B52E8B63}"/>
            </c:ext>
          </c:extLst>
        </c:ser>
        <c:ser>
          <c:idx val="1"/>
          <c:order val="1"/>
          <c:tx>
            <c:strRef>
              <c:f>LTV!$A$3</c:f>
              <c:strCache>
                <c:ptCount val="1"/>
                <c:pt idx="0">
                  <c:v>FRN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LTV!$B$1:$Z$1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LTV!$B$3:$Z$3</c:f>
              <c:numCache>
                <c:formatCode>General</c:formatCode>
                <c:ptCount val="25"/>
                <c:pt idx="0">
                  <c:v>-1.228160784054644E-2</c:v>
                </c:pt>
                <c:pt idx="1">
                  <c:v>-2.8597338441211151E-2</c:v>
                </c:pt>
                <c:pt idx="2">
                  <c:v>0.35362420328638883</c:v>
                </c:pt>
                <c:pt idx="3">
                  <c:v>-0.77522591979143807</c:v>
                </c:pt>
                <c:pt idx="4">
                  <c:v>2.0088205384702031</c:v>
                </c:pt>
                <c:pt idx="5">
                  <c:v>4.8028389298719958</c:v>
                </c:pt>
                <c:pt idx="6">
                  <c:v>3.3953505552110168</c:v>
                </c:pt>
                <c:pt idx="7">
                  <c:v>2.567761705391753</c:v>
                </c:pt>
                <c:pt idx="8">
                  <c:v>2.8649826435503272</c:v>
                </c:pt>
                <c:pt idx="9">
                  <c:v>2.7921408431181698</c:v>
                </c:pt>
                <c:pt idx="10">
                  <c:v>2.5924089223275728</c:v>
                </c:pt>
                <c:pt idx="11">
                  <c:v>2.5719861764621919</c:v>
                </c:pt>
                <c:pt idx="12">
                  <c:v>2.0132311198160342</c:v>
                </c:pt>
                <c:pt idx="13">
                  <c:v>4.3751394957598402</c:v>
                </c:pt>
                <c:pt idx="14">
                  <c:v>4.9401089237040479</c:v>
                </c:pt>
                <c:pt idx="15">
                  <c:v>5.5575777140865847</c:v>
                </c:pt>
                <c:pt idx="16">
                  <c:v>5.2441452141879363</c:v>
                </c:pt>
                <c:pt idx="17">
                  <c:v>5.3075909101234569</c:v>
                </c:pt>
                <c:pt idx="18">
                  <c:v>5.1119080696318822</c:v>
                </c:pt>
                <c:pt idx="19">
                  <c:v>5.193016913279541</c:v>
                </c:pt>
                <c:pt idx="20">
                  <c:v>5.1668346473815312</c:v>
                </c:pt>
                <c:pt idx="21">
                  <c:v>6.0899588121677688</c:v>
                </c:pt>
                <c:pt idx="22">
                  <c:v>6.1408423731614006</c:v>
                </c:pt>
                <c:pt idx="23">
                  <c:v>6.2156601343157272</c:v>
                </c:pt>
                <c:pt idx="24">
                  <c:v>5.1884366267600752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6-42A4-8201-4738B52E8B63}"/>
            </c:ext>
          </c:extLst>
        </c:ser>
        <c:ser>
          <c:idx val="2"/>
          <c:order val="2"/>
          <c:tx>
            <c:strRef>
              <c:f>LTV!$A$4</c:f>
              <c:strCache>
                <c:ptCount val="1"/>
                <c:pt idx="0">
                  <c:v>STG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LTV!$B$1:$Z$1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LTV!$B$4:$Z$4</c:f>
              <c:numCache>
                <c:formatCode>General</c:formatCode>
                <c:ptCount val="25"/>
                <c:pt idx="0">
                  <c:v>-1.3069432824041869</c:v>
                </c:pt>
                <c:pt idx="1">
                  <c:v>-1.3579553879237309</c:v>
                </c:pt>
                <c:pt idx="2">
                  <c:v>1.108272625673363</c:v>
                </c:pt>
                <c:pt idx="3">
                  <c:v>1.2777113786230601</c:v>
                </c:pt>
                <c:pt idx="4">
                  <c:v>2.400015841521479</c:v>
                </c:pt>
                <c:pt idx="5">
                  <c:v>3.9967841920438878</c:v>
                </c:pt>
                <c:pt idx="6">
                  <c:v>3.6919824179509182</c:v>
                </c:pt>
                <c:pt idx="7">
                  <c:v>3.4039244624081859</c:v>
                </c:pt>
                <c:pt idx="8">
                  <c:v>3.981843339306903</c:v>
                </c:pt>
                <c:pt idx="9">
                  <c:v>4.7025897295652879</c:v>
                </c:pt>
                <c:pt idx="10">
                  <c:v>4.4588752414614437</c:v>
                </c:pt>
                <c:pt idx="11">
                  <c:v>5.2540634299369753</c:v>
                </c:pt>
                <c:pt idx="12">
                  <c:v>5.2899300523753681</c:v>
                </c:pt>
                <c:pt idx="13">
                  <c:v>4.7024711295367574</c:v>
                </c:pt>
                <c:pt idx="14">
                  <c:v>6.083668385605784</c:v>
                </c:pt>
                <c:pt idx="15">
                  <c:v>6.0297061058927657</c:v>
                </c:pt>
                <c:pt idx="16">
                  <c:v>4.5434634067266906</c:v>
                </c:pt>
                <c:pt idx="17">
                  <c:v>5.1010106634249013</c:v>
                </c:pt>
                <c:pt idx="18">
                  <c:v>5.6551283326322608</c:v>
                </c:pt>
                <c:pt idx="19">
                  <c:v>5.5283557744099694</c:v>
                </c:pt>
                <c:pt idx="20">
                  <c:v>5.1975168082451724</c:v>
                </c:pt>
                <c:pt idx="21">
                  <c:v>6.1198453650728446</c:v>
                </c:pt>
                <c:pt idx="22">
                  <c:v>6.0068421913942052</c:v>
                </c:pt>
                <c:pt idx="23">
                  <c:v>6.2343713165554888</c:v>
                </c:pt>
                <c:pt idx="24">
                  <c:v>5.283094545830906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56-42A4-8201-4738B52E8B63}"/>
            </c:ext>
          </c:extLst>
        </c:ser>
        <c:ser>
          <c:idx val="3"/>
          <c:order val="3"/>
          <c:tx>
            <c:strRef>
              <c:f>LTV!$A$5</c:f>
              <c:strCache>
                <c:ptCount val="1"/>
                <c:pt idx="0">
                  <c:v>FLD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LTV!$B$1:$Z$1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LTV!$B$5:$Z$5</c:f>
              <c:numCache>
                <c:formatCode>General</c:formatCode>
                <c:ptCount val="25"/>
                <c:pt idx="0">
                  <c:v>6.3426570914819456</c:v>
                </c:pt>
                <c:pt idx="1">
                  <c:v>7.0333880851271058</c:v>
                </c:pt>
                <c:pt idx="2">
                  <c:v>9.9537765716153928</c:v>
                </c:pt>
                <c:pt idx="3">
                  <c:v>8.9849480344015067</c:v>
                </c:pt>
                <c:pt idx="4">
                  <c:v>7.7462434614231146</c:v>
                </c:pt>
                <c:pt idx="5">
                  <c:v>9.7432048331490044</c:v>
                </c:pt>
                <c:pt idx="6">
                  <c:v>8.8309165448175548</c:v>
                </c:pt>
                <c:pt idx="7">
                  <c:v>7.7046525899058018</c:v>
                </c:pt>
                <c:pt idx="8">
                  <c:v>7.5704854591293067</c:v>
                </c:pt>
                <c:pt idx="9">
                  <c:v>7.7050467100869868</c:v>
                </c:pt>
                <c:pt idx="10">
                  <c:v>7.9561856710891554</c:v>
                </c:pt>
                <c:pt idx="11">
                  <c:v>7.9120134266747906</c:v>
                </c:pt>
                <c:pt idx="12">
                  <c:v>8.8983727385145759</c:v>
                </c:pt>
                <c:pt idx="13">
                  <c:v>8.2305730397635379</c:v>
                </c:pt>
                <c:pt idx="14">
                  <c:v>9.0487813037711646</c:v>
                </c:pt>
                <c:pt idx="15">
                  <c:v>8.6485665344135061</c:v>
                </c:pt>
                <c:pt idx="16">
                  <c:v>6.8367603559067636</c:v>
                </c:pt>
                <c:pt idx="17">
                  <c:v>7.1576069726865228</c:v>
                </c:pt>
                <c:pt idx="18">
                  <c:v>7.5045594240247366</c:v>
                </c:pt>
                <c:pt idx="19">
                  <c:v>7.6050231770427601</c:v>
                </c:pt>
                <c:pt idx="20">
                  <c:v>6.8894838548698747</c:v>
                </c:pt>
                <c:pt idx="21">
                  <c:v>6.3790932543306891</c:v>
                </c:pt>
                <c:pt idx="22">
                  <c:v>6.3491273489049087</c:v>
                </c:pt>
                <c:pt idx="23">
                  <c:v>6.3831045499089116</c:v>
                </c:pt>
                <c:pt idx="24">
                  <c:v>5.5145900700513391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56-42A4-8201-4738B52E8B63}"/>
            </c:ext>
          </c:extLst>
        </c:ser>
        <c:ser>
          <c:idx val="4"/>
          <c:order val="4"/>
          <c:tx>
            <c:strRef>
              <c:f>LTV!$A$6</c:f>
              <c:strCache>
                <c:ptCount val="1"/>
                <c:pt idx="0">
                  <c:v>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LTV!$B$1:$Z$1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LTV!$B$6:$Z$6</c:f>
              <c:numCache>
                <c:formatCode>General</c:formatCode>
                <c:ptCount val="25"/>
                <c:pt idx="0">
                  <c:v>-0.13322006933246949</c:v>
                </c:pt>
                <c:pt idx="1">
                  <c:v>2.2739712643691231E-2</c:v>
                </c:pt>
                <c:pt idx="2">
                  <c:v>2.4235000105167441</c:v>
                </c:pt>
                <c:pt idx="3">
                  <c:v>0.99755289967728</c:v>
                </c:pt>
                <c:pt idx="4">
                  <c:v>1.1370353945400939</c:v>
                </c:pt>
                <c:pt idx="5">
                  <c:v>2.537237232881064</c:v>
                </c:pt>
                <c:pt idx="6">
                  <c:v>1.3834919559757659</c:v>
                </c:pt>
                <c:pt idx="7">
                  <c:v>0.93204516977582275</c:v>
                </c:pt>
                <c:pt idx="8">
                  <c:v>0.67656734074078617</c:v>
                </c:pt>
                <c:pt idx="9">
                  <c:v>1.3204474194771429</c:v>
                </c:pt>
                <c:pt idx="10">
                  <c:v>2.0682453530808531</c:v>
                </c:pt>
                <c:pt idx="11">
                  <c:v>1.292601212550635</c:v>
                </c:pt>
                <c:pt idx="12">
                  <c:v>0.83227949280315028</c:v>
                </c:pt>
                <c:pt idx="13">
                  <c:v>1.506183872508597</c:v>
                </c:pt>
                <c:pt idx="14">
                  <c:v>2.6040978578958311</c:v>
                </c:pt>
                <c:pt idx="15">
                  <c:v>1.8467104813411941</c:v>
                </c:pt>
                <c:pt idx="16">
                  <c:v>1.7185195498860411</c:v>
                </c:pt>
                <c:pt idx="17">
                  <c:v>1.9603957376782599</c:v>
                </c:pt>
                <c:pt idx="18">
                  <c:v>1.7480707649946601</c:v>
                </c:pt>
                <c:pt idx="19">
                  <c:v>1.3236842535445581</c:v>
                </c:pt>
                <c:pt idx="20">
                  <c:v>1.5179816932472769</c:v>
                </c:pt>
                <c:pt idx="21">
                  <c:v>1.9254512574853271</c:v>
                </c:pt>
                <c:pt idx="22">
                  <c:v>1.84749611180465</c:v>
                </c:pt>
                <c:pt idx="23">
                  <c:v>1.6998582374033711</c:v>
                </c:pt>
                <c:pt idx="24">
                  <c:v>1.493844292120428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56-42A4-8201-4738B52E8B63}"/>
            </c:ext>
          </c:extLst>
        </c:ser>
        <c:ser>
          <c:idx val="5"/>
          <c:order val="5"/>
          <c:tx>
            <c:strRef>
              <c:f>LTV!$A$7</c:f>
              <c:strCache>
                <c:ptCount val="1"/>
                <c:pt idx="0">
                  <c:v>KMX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LTV!$B$1:$Z$1</c:f>
              <c:strCache>
                <c:ptCount val="25"/>
                <c:pt idx="0">
                  <c:v>2020Q1</c:v>
                </c:pt>
                <c:pt idx="1">
                  <c:v>2020Q2</c:v>
                </c:pt>
                <c:pt idx="2">
                  <c:v>2020Q3</c:v>
                </c:pt>
                <c:pt idx="3">
                  <c:v>2020Q4</c:v>
                </c:pt>
                <c:pt idx="4">
                  <c:v>2021Q1</c:v>
                </c:pt>
                <c:pt idx="5">
                  <c:v>2021Q2</c:v>
                </c:pt>
                <c:pt idx="6">
                  <c:v>2021Q3</c:v>
                </c:pt>
                <c:pt idx="7">
                  <c:v>2021Q4</c:v>
                </c:pt>
                <c:pt idx="8">
                  <c:v>2022Q1</c:v>
                </c:pt>
                <c:pt idx="9">
                  <c:v>2022Q2</c:v>
                </c:pt>
                <c:pt idx="10">
                  <c:v>2022Q3</c:v>
                </c:pt>
                <c:pt idx="11">
                  <c:v>2022Q4</c:v>
                </c:pt>
                <c:pt idx="12">
                  <c:v>2023Q1</c:v>
                </c:pt>
                <c:pt idx="13">
                  <c:v>2023Q2</c:v>
                </c:pt>
                <c:pt idx="14">
                  <c:v>2023Q3</c:v>
                </c:pt>
                <c:pt idx="15">
                  <c:v>2023Q4</c:v>
                </c:pt>
                <c:pt idx="16">
                  <c:v>2024Q1</c:v>
                </c:pt>
                <c:pt idx="17">
                  <c:v>2024Q2</c:v>
                </c:pt>
                <c:pt idx="18">
                  <c:v>2024Q3</c:v>
                </c:pt>
                <c:pt idx="19">
                  <c:v>2024Q4</c:v>
                </c:pt>
                <c:pt idx="20">
                  <c:v>2025Q1</c:v>
                </c:pt>
                <c:pt idx="21">
                  <c:v>2025Q2</c:v>
                </c:pt>
                <c:pt idx="22">
                  <c:v>2025Q3</c:v>
                </c:pt>
                <c:pt idx="23">
                  <c:v>2025Q4</c:v>
                </c:pt>
                <c:pt idx="24">
                  <c:v>2026Q1</c:v>
                </c:pt>
              </c:strCache>
            </c:strRef>
          </c:cat>
          <c:val>
            <c:numRef>
              <c:f>LTV!$B$7:$Z$7</c:f>
              <c:numCache>
                <c:formatCode>General</c:formatCode>
                <c:ptCount val="25"/>
                <c:pt idx="0">
                  <c:v>-1.8679577337729509</c:v>
                </c:pt>
                <c:pt idx="1">
                  <c:v>-2.2934700304173141</c:v>
                </c:pt>
                <c:pt idx="2">
                  <c:v>-1.90599548482373E-2</c:v>
                </c:pt>
                <c:pt idx="3">
                  <c:v>-2.102065688983779</c:v>
                </c:pt>
                <c:pt idx="4">
                  <c:v>0.12072478597422311</c:v>
                </c:pt>
                <c:pt idx="5">
                  <c:v>2.7880241469830191</c:v>
                </c:pt>
                <c:pt idx="6">
                  <c:v>1.806428919350769</c:v>
                </c:pt>
                <c:pt idx="7">
                  <c:v>1.6186275026710031</c:v>
                </c:pt>
                <c:pt idx="8">
                  <c:v>-0.68305506480578748</c:v>
                </c:pt>
                <c:pt idx="9">
                  <c:v>0.54282025768139242</c:v>
                </c:pt>
                <c:pt idx="10">
                  <c:v>-0.67404899043559141</c:v>
                </c:pt>
                <c:pt idx="11">
                  <c:v>-2.4034512234684819</c:v>
                </c:pt>
                <c:pt idx="12">
                  <c:v>-2.738318159686385</c:v>
                </c:pt>
                <c:pt idx="13">
                  <c:v>-1.43429580022272</c:v>
                </c:pt>
                <c:pt idx="14">
                  <c:v>-3.8284856000617902</c:v>
                </c:pt>
                <c:pt idx="15">
                  <c:v>-4.9859273123596699</c:v>
                </c:pt>
                <c:pt idx="16">
                  <c:v>-4.1535780349148572</c:v>
                </c:pt>
                <c:pt idx="17">
                  <c:v>-1.014621285372507</c:v>
                </c:pt>
                <c:pt idx="18">
                  <c:v>-1.6180761042652789</c:v>
                </c:pt>
                <c:pt idx="19">
                  <c:v>-1.560276997846936</c:v>
                </c:pt>
                <c:pt idx="20">
                  <c:v>-0.78475247095689693</c:v>
                </c:pt>
                <c:pt idx="21">
                  <c:v>-0.38922450159549088</c:v>
                </c:pt>
                <c:pt idx="22">
                  <c:v>-0.57494631824503539</c:v>
                </c:pt>
                <c:pt idx="23">
                  <c:v>-0.30343741260103579</c:v>
                </c:pt>
                <c:pt idx="24">
                  <c:v>0.36619045969935132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56-42A4-8201-4738B52E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404031"/>
        <c:axId val="1669393951"/>
      </c:lineChart>
      <c:catAx>
        <c:axId val="166940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393951"/>
        <c:crosses val="autoZero"/>
        <c:auto val="1"/>
        <c:lblAlgn val="ctr"/>
        <c:lblOffset val="100"/>
        <c:noMultiLvlLbl val="0"/>
      </c:catAx>
      <c:valAx>
        <c:axId val="166939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040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505559</xdr:colOff>
      <xdr:row>11</xdr:row>
      <xdr:rowOff>159894</xdr:rowOff>
    </xdr:from>
    <xdr:to>
      <xdr:col>53</xdr:col>
      <xdr:colOff>215718</xdr:colOff>
      <xdr:row>27</xdr:row>
      <xdr:rowOff>29719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322292</xdr:colOff>
      <xdr:row>11</xdr:row>
      <xdr:rowOff>163483</xdr:rowOff>
    </xdr:from>
    <xdr:to>
      <xdr:col>45</xdr:col>
      <xdr:colOff>456435</xdr:colOff>
      <xdr:row>27</xdr:row>
      <xdr:rowOff>30286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533399</xdr:colOff>
      <xdr:row>66</xdr:row>
      <xdr:rowOff>152400</xdr:rowOff>
    </xdr:from>
    <xdr:to>
      <xdr:col>25</xdr:col>
      <xdr:colOff>466724</xdr:colOff>
      <xdr:row>89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390281</xdr:colOff>
      <xdr:row>66</xdr:row>
      <xdr:rowOff>145561</xdr:rowOff>
    </xdr:from>
    <xdr:to>
      <xdr:col>15</xdr:col>
      <xdr:colOff>392479</xdr:colOff>
      <xdr:row>89</xdr:row>
      <xdr:rowOff>69118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10</xdr:row>
      <xdr:rowOff>44449</xdr:rowOff>
    </xdr:from>
    <xdr:to>
      <xdr:col>21</xdr:col>
      <xdr:colOff>83736</xdr:colOff>
      <xdr:row>32</xdr:row>
      <xdr:rowOff>153516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zoomScale="205" zoomScaleNormal="205" workbookViewId="0">
      <selection activeCell="H7" sqref="H7"/>
    </sheetView>
  </sheetViews>
  <sheetFormatPr defaultRowHeight="14.5" x14ac:dyDescent="0.35"/>
  <cols>
    <col min="2" max="2" width="13.81640625" customWidth="1"/>
    <col min="3" max="6" width="11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136.83702494495719</v>
      </c>
      <c r="C2">
        <v>138.03381902691669</v>
      </c>
      <c r="D2">
        <v>138.55808093396249</v>
      </c>
      <c r="E2">
        <v>139.3761012547063</v>
      </c>
      <c r="F2">
        <v>140.3241991224603</v>
      </c>
    </row>
    <row r="3" spans="1:6" x14ac:dyDescent="0.35">
      <c r="A3" t="s">
        <v>7</v>
      </c>
      <c r="B3">
        <v>1.4592694189433639</v>
      </c>
      <c r="C3">
        <v>2.4660669161444559</v>
      </c>
      <c r="D3">
        <v>2.9266816981485699</v>
      </c>
      <c r="E3">
        <v>2.919601597291575</v>
      </c>
      <c r="F3">
        <v>3.1264617490047328</v>
      </c>
    </row>
    <row r="4" spans="1:6" x14ac:dyDescent="0.35">
      <c r="A4" t="s">
        <v>8</v>
      </c>
      <c r="B4">
        <v>-0.27746483971030972</v>
      </c>
      <c r="C4">
        <v>3.7521851192994218</v>
      </c>
      <c r="D4">
        <v>5.0310015241344521</v>
      </c>
      <c r="E4">
        <v>5.1855907289387124</v>
      </c>
      <c r="F4">
        <v>4.6061337731125684</v>
      </c>
    </row>
    <row r="5" spans="1:6" x14ac:dyDescent="0.35">
      <c r="A5" t="s">
        <v>9</v>
      </c>
      <c r="B5">
        <v>3.4856685362631308</v>
      </c>
      <c r="C5">
        <v>4.0041969072698009</v>
      </c>
      <c r="D5">
        <v>3.9673790673171818</v>
      </c>
      <c r="E5">
        <v>4.2368848942507649</v>
      </c>
      <c r="F5">
        <v>4.2899933379854556</v>
      </c>
    </row>
    <row r="6" spans="1:6" x14ac:dyDescent="0.35">
      <c r="A6" t="s">
        <v>10</v>
      </c>
      <c r="B6">
        <v>141.50449806045339</v>
      </c>
      <c r="C6">
        <v>148.25626796963039</v>
      </c>
      <c r="D6">
        <v>150.48314322356271</v>
      </c>
      <c r="E6">
        <v>151.71817847518739</v>
      </c>
      <c r="F6">
        <v>152.34678798256309</v>
      </c>
    </row>
    <row r="7" spans="1:6" x14ac:dyDescent="0.35">
      <c r="A7" t="s">
        <v>11</v>
      </c>
      <c r="B7">
        <v>56035846.899999999</v>
      </c>
      <c r="C7">
        <v>58135223.549999997</v>
      </c>
      <c r="D7">
        <v>51413758.530000001</v>
      </c>
      <c r="E7">
        <v>39424319.840000004</v>
      </c>
      <c r="F7">
        <v>44425980.789999992</v>
      </c>
    </row>
    <row r="9" spans="1:6" x14ac:dyDescent="0.35">
      <c r="A9" t="s">
        <v>12</v>
      </c>
      <c r="B9" t="s">
        <v>1</v>
      </c>
      <c r="C9" t="s">
        <v>2</v>
      </c>
      <c r="D9" t="s">
        <v>3</v>
      </c>
      <c r="E9" t="s">
        <v>4</v>
      </c>
      <c r="F9" t="s">
        <v>5</v>
      </c>
    </row>
    <row r="10" spans="1:6" x14ac:dyDescent="0.35">
      <c r="A10" t="s">
        <v>6</v>
      </c>
      <c r="B10">
        <v>139.83315040104489</v>
      </c>
      <c r="C10">
        <v>140.6343356036856</v>
      </c>
      <c r="D10">
        <v>140.9638839291236</v>
      </c>
      <c r="E10">
        <v>141.85748818430829</v>
      </c>
      <c r="F10">
        <v>142.7702831763032</v>
      </c>
    </row>
    <row r="11" spans="1:6" x14ac:dyDescent="0.35">
      <c r="A11" t="s">
        <v>7</v>
      </c>
      <c r="B11">
        <v>0.66791062198333861</v>
      </c>
      <c r="C11">
        <v>1.278142353031853</v>
      </c>
      <c r="D11">
        <v>1.796535868201431</v>
      </c>
      <c r="E11">
        <v>2.7808560725822251</v>
      </c>
      <c r="F11">
        <v>2.8644589843305539</v>
      </c>
    </row>
    <row r="12" spans="1:6" x14ac:dyDescent="0.35">
      <c r="A12" t="s">
        <v>8</v>
      </c>
      <c r="B12">
        <v>-2.4759445481615221</v>
      </c>
      <c r="C12">
        <v>0.89891578043157572</v>
      </c>
      <c r="D12">
        <v>1.4860074037734929</v>
      </c>
      <c r="E12">
        <v>2.8270297784991558</v>
      </c>
      <c r="F12">
        <v>1.680766807069795</v>
      </c>
    </row>
    <row r="13" spans="1:6" x14ac:dyDescent="0.35">
      <c r="A13" t="s">
        <v>9</v>
      </c>
      <c r="B13">
        <v>5.1640303774121099</v>
      </c>
      <c r="C13">
        <v>6.0914913125405779</v>
      </c>
      <c r="D13">
        <v>6.1324359149825627</v>
      </c>
      <c r="E13">
        <v>6.21750658311759</v>
      </c>
      <c r="F13">
        <v>5.17966763940177</v>
      </c>
    </row>
    <row r="14" spans="1:6" x14ac:dyDescent="0.35">
      <c r="A14" t="s">
        <v>10</v>
      </c>
      <c r="B14">
        <v>143.18914685227881</v>
      </c>
      <c r="C14">
        <v>148.90288504968959</v>
      </c>
      <c r="D14">
        <v>150.37886311608111</v>
      </c>
      <c r="E14">
        <v>153.68288061850731</v>
      </c>
      <c r="F14">
        <v>152.49517660710529</v>
      </c>
    </row>
    <row r="15" spans="1:6" x14ac:dyDescent="0.35">
      <c r="A15" t="s">
        <v>11</v>
      </c>
      <c r="B15">
        <v>174895090.5</v>
      </c>
      <c r="C15">
        <v>177803912.80000001</v>
      </c>
      <c r="D15">
        <v>151109412.00999999</v>
      </c>
      <c r="E15">
        <v>117985513.70999999</v>
      </c>
      <c r="F15">
        <v>133585605.31</v>
      </c>
    </row>
    <row r="17" spans="1:6" x14ac:dyDescent="0.35">
      <c r="A17" t="s">
        <v>13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</row>
    <row r="18" spans="1:6" x14ac:dyDescent="0.35">
      <c r="A18" t="s">
        <v>6</v>
      </c>
      <c r="B18">
        <v>136.66839841462689</v>
      </c>
      <c r="C18">
        <v>137.94719223853701</v>
      </c>
      <c r="D18">
        <v>138.6605471792443</v>
      </c>
      <c r="E18">
        <v>140.0375169754368</v>
      </c>
      <c r="F18">
        <v>141.0524639643925</v>
      </c>
    </row>
    <row r="19" spans="1:6" x14ac:dyDescent="0.35">
      <c r="A19" t="s">
        <v>7</v>
      </c>
      <c r="B19">
        <v>1.8384507384756721</v>
      </c>
      <c r="C19">
        <v>2.0356618749904101</v>
      </c>
      <c r="D19">
        <v>2.2451500749805011</v>
      </c>
      <c r="E19">
        <v>2.7851197376810428</v>
      </c>
      <c r="F19">
        <v>3.125019135781685</v>
      </c>
    </row>
    <row r="20" spans="1:6" x14ac:dyDescent="0.35">
      <c r="A20" t="s">
        <v>8</v>
      </c>
      <c r="B20">
        <v>0.96038629347786364</v>
      </c>
      <c r="C20">
        <v>6.9318210512620864</v>
      </c>
      <c r="D20">
        <v>7.0053772746019609</v>
      </c>
      <c r="E20">
        <v>8.4000970634976699</v>
      </c>
      <c r="F20">
        <v>7.3704562293151001</v>
      </c>
    </row>
    <row r="21" spans="1:6" x14ac:dyDescent="0.35">
      <c r="A21" t="s">
        <v>9</v>
      </c>
      <c r="B21">
        <v>5.1854859907936248</v>
      </c>
      <c r="C21">
        <v>6.1161461162981317</v>
      </c>
      <c r="D21">
        <v>6.0276231308539003</v>
      </c>
      <c r="E21">
        <v>6.2563255760769598</v>
      </c>
      <c r="F21">
        <v>5.2715924000099283</v>
      </c>
    </row>
    <row r="22" spans="1:6" x14ac:dyDescent="0.35">
      <c r="A22" t="s">
        <v>10</v>
      </c>
      <c r="B22">
        <v>144.65272143737411</v>
      </c>
      <c r="C22">
        <v>153.03082128108761</v>
      </c>
      <c r="D22">
        <v>153.93869765968071</v>
      </c>
      <c r="E22">
        <v>157.47905935269239</v>
      </c>
      <c r="F22">
        <v>156.8195317294992</v>
      </c>
    </row>
    <row r="23" spans="1:6" x14ac:dyDescent="0.35">
      <c r="A23" t="s">
        <v>11</v>
      </c>
      <c r="B23">
        <v>109778122.69</v>
      </c>
      <c r="C23">
        <v>117997640.45999999</v>
      </c>
      <c r="D23">
        <v>91351164.769999996</v>
      </c>
      <c r="E23">
        <v>72109323.439999998</v>
      </c>
      <c r="F23">
        <v>88330639.230000004</v>
      </c>
    </row>
    <row r="25" spans="1:6" x14ac:dyDescent="0.35">
      <c r="A25" t="s">
        <v>14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6" x14ac:dyDescent="0.35">
      <c r="A26" t="s">
        <v>6</v>
      </c>
      <c r="B26">
        <v>136.70742932031769</v>
      </c>
      <c r="C26">
        <v>138.34779673954839</v>
      </c>
      <c r="D26">
        <v>138.10209621539431</v>
      </c>
      <c r="E26">
        <v>138.94555151202141</v>
      </c>
      <c r="F26">
        <v>140.96244125553889</v>
      </c>
    </row>
    <row r="27" spans="1:6" x14ac:dyDescent="0.35">
      <c r="A27" t="s">
        <v>7</v>
      </c>
      <c r="B27">
        <v>2.4078901425605181</v>
      </c>
      <c r="C27">
        <v>2.491006820245985</v>
      </c>
      <c r="D27">
        <v>3.009578920406597</v>
      </c>
      <c r="E27">
        <v>1.8551298377325911</v>
      </c>
      <c r="F27">
        <v>2.36301409599352</v>
      </c>
    </row>
    <row r="28" spans="1:6" x14ac:dyDescent="0.35">
      <c r="A28" t="s">
        <v>8</v>
      </c>
      <c r="B28">
        <v>-0.9512769345310732</v>
      </c>
      <c r="C28">
        <v>0.73656264871900268</v>
      </c>
      <c r="D28">
        <v>1.4219800675217931</v>
      </c>
      <c r="E28">
        <v>1.78234276798205</v>
      </c>
      <c r="F28">
        <v>0.15573718803147399</v>
      </c>
    </row>
    <row r="29" spans="1:6" x14ac:dyDescent="0.35">
      <c r="A29" t="s">
        <v>9</v>
      </c>
      <c r="B29">
        <v>6.8963129384766626</v>
      </c>
      <c r="C29">
        <v>6.3926311242037723</v>
      </c>
      <c r="D29">
        <v>6.3479797409250809</v>
      </c>
      <c r="E29">
        <v>6.398675897059162</v>
      </c>
      <c r="F29">
        <v>5.5219226866755502</v>
      </c>
    </row>
    <row r="30" spans="1:6" x14ac:dyDescent="0.35">
      <c r="A30" t="s">
        <v>10</v>
      </c>
      <c r="B30">
        <v>145.06035546682381</v>
      </c>
      <c r="C30">
        <v>147.9679973327172</v>
      </c>
      <c r="D30">
        <v>148.88163494424771</v>
      </c>
      <c r="E30">
        <v>148.98170001479519</v>
      </c>
      <c r="F30">
        <v>149.00311522623949</v>
      </c>
    </row>
    <row r="31" spans="1:6" x14ac:dyDescent="0.35">
      <c r="A31" t="s">
        <v>11</v>
      </c>
      <c r="B31">
        <v>43623019.229999997</v>
      </c>
      <c r="C31">
        <v>40763731</v>
      </c>
      <c r="D31">
        <v>43230820.040000007</v>
      </c>
      <c r="E31">
        <v>43342018.539999999</v>
      </c>
      <c r="F31">
        <v>51820831.549999997</v>
      </c>
    </row>
    <row r="33" spans="1:6" x14ac:dyDescent="0.35">
      <c r="A33" t="s">
        <v>15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</row>
    <row r="34" spans="1:6" x14ac:dyDescent="0.35">
      <c r="A34" t="s">
        <v>6</v>
      </c>
      <c r="B34">
        <v>134.57147996843619</v>
      </c>
      <c r="C34">
        <v>136.41792232868141</v>
      </c>
      <c r="D34">
        <v>137.00629562165429</v>
      </c>
      <c r="E34">
        <v>137.20721483911191</v>
      </c>
      <c r="F34">
        <v>139.7952419830344</v>
      </c>
    </row>
    <row r="35" spans="1:6" x14ac:dyDescent="0.35">
      <c r="A35" t="s">
        <v>7</v>
      </c>
      <c r="B35">
        <v>-0.97599677625345294</v>
      </c>
      <c r="C35">
        <v>0.2051806703973682</v>
      </c>
      <c r="D35">
        <v>0.17963091044521209</v>
      </c>
      <c r="E35">
        <v>1.0649609356779881</v>
      </c>
      <c r="F35">
        <v>1.2538169690974139</v>
      </c>
    </row>
    <row r="36" spans="1:6" x14ac:dyDescent="0.35">
      <c r="A36" t="s">
        <v>8</v>
      </c>
      <c r="B36">
        <v>1.264732049265535</v>
      </c>
      <c r="C36">
        <v>3.6984810529589001</v>
      </c>
      <c r="D36">
        <v>3.7671271517580061</v>
      </c>
      <c r="E36">
        <v>4.7206981670882318</v>
      </c>
      <c r="F36">
        <v>3.7286384170766609</v>
      </c>
    </row>
    <row r="37" spans="1:6" x14ac:dyDescent="0.35">
      <c r="A37" t="s">
        <v>9</v>
      </c>
      <c r="B37">
        <v>1.5163974132393949</v>
      </c>
      <c r="C37">
        <v>1.9250701066548379</v>
      </c>
      <c r="D37">
        <v>1.8505381585836129</v>
      </c>
      <c r="E37">
        <v>1.693921301083142</v>
      </c>
      <c r="F37">
        <v>1.503008365446346</v>
      </c>
    </row>
    <row r="38" spans="1:6" x14ac:dyDescent="0.35">
      <c r="A38" t="s">
        <v>10</v>
      </c>
      <c r="B38">
        <v>136.3766126546877</v>
      </c>
      <c r="C38">
        <v>142.24665415869251</v>
      </c>
      <c r="D38">
        <v>142.80359184244119</v>
      </c>
      <c r="E38">
        <v>144.68679524296121</v>
      </c>
      <c r="F38">
        <v>146.28070573465479</v>
      </c>
    </row>
    <row r="39" spans="1:6" x14ac:dyDescent="0.35">
      <c r="A39" t="s">
        <v>11</v>
      </c>
      <c r="B39">
        <v>151182270.44999999</v>
      </c>
      <c r="C39">
        <v>130251017.45999999</v>
      </c>
      <c r="D39">
        <v>108684678.34999999</v>
      </c>
      <c r="E39">
        <v>91451649.270000011</v>
      </c>
      <c r="F39">
        <v>85452588.810000002</v>
      </c>
    </row>
    <row r="41" spans="1:6" x14ac:dyDescent="0.35">
      <c r="A41" t="s">
        <v>16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</row>
    <row r="42" spans="1:6" x14ac:dyDescent="0.35">
      <c r="A42" t="s">
        <v>6</v>
      </c>
      <c r="B42">
        <v>139.70876763492191</v>
      </c>
      <c r="C42">
        <v>139.8667228088469</v>
      </c>
      <c r="D42">
        <v>139.91790875779989</v>
      </c>
      <c r="E42">
        <v>140.94205426095121</v>
      </c>
      <c r="F42">
        <v>142.02678222006759</v>
      </c>
    </row>
    <row r="43" spans="1:6" x14ac:dyDescent="0.35">
      <c r="A43" t="s">
        <v>7</v>
      </c>
      <c r="B43">
        <v>-0.59293676979766019</v>
      </c>
      <c r="C43">
        <v>1.0908331834159239</v>
      </c>
      <c r="D43">
        <v>0.95995221674948539</v>
      </c>
      <c r="E43">
        <v>0.99951175759755984</v>
      </c>
      <c r="F43">
        <v>0.492245220877777</v>
      </c>
    </row>
    <row r="44" spans="1:6" x14ac:dyDescent="0.35">
      <c r="A44" t="s">
        <v>8</v>
      </c>
      <c r="B44">
        <v>-1.0379860081867121</v>
      </c>
      <c r="C44">
        <v>-3.9833427111439383E-2</v>
      </c>
      <c r="D44">
        <v>0.39669237239810973</v>
      </c>
      <c r="E44">
        <v>0.69322783880797911</v>
      </c>
      <c r="F44">
        <v>0.47530717991041821</v>
      </c>
    </row>
    <row r="45" spans="1:6" x14ac:dyDescent="0.35">
      <c r="A45" t="s">
        <v>9</v>
      </c>
      <c r="B45">
        <v>-0.78475247095689105</v>
      </c>
      <c r="C45">
        <v>-0.38922450159549088</v>
      </c>
      <c r="D45">
        <v>-0.57494631824502662</v>
      </c>
      <c r="E45">
        <v>-0.30261364429095577</v>
      </c>
      <c r="F45">
        <v>0.37818018805495041</v>
      </c>
    </row>
    <row r="46" spans="1:6" x14ac:dyDescent="0.35">
      <c r="A46" t="s">
        <v>10</v>
      </c>
      <c r="B46">
        <v>137.2930923859806</v>
      </c>
      <c r="C46">
        <v>140.52849806355579</v>
      </c>
      <c r="D46">
        <v>140.6996070287025</v>
      </c>
      <c r="E46">
        <v>142.33218021306581</v>
      </c>
      <c r="F46">
        <v>143.37251480891081</v>
      </c>
    </row>
    <row r="47" spans="1:6" x14ac:dyDescent="0.35">
      <c r="A47" t="s">
        <v>11</v>
      </c>
      <c r="B47">
        <v>442875681.85000002</v>
      </c>
      <c r="C47">
        <v>386473804.48000002</v>
      </c>
      <c r="D47">
        <v>379394062.72000003</v>
      </c>
      <c r="E47">
        <v>341881846.13999999</v>
      </c>
      <c r="F47">
        <v>493726991.83999997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1"/>
  <sheetViews>
    <sheetView zoomScale="145" zoomScaleNormal="145" workbookViewId="0">
      <pane xSplit="1" topLeftCell="L1" activePane="topRight" state="frozen"/>
      <selection pane="topRight" activeCell="AC17" sqref="AC17"/>
    </sheetView>
  </sheetViews>
  <sheetFormatPr defaultRowHeight="14.5" x14ac:dyDescent="0.35"/>
  <cols>
    <col min="1" max="1" width="57.54296875" customWidth="1"/>
  </cols>
  <sheetData>
    <row r="1" spans="1:30" x14ac:dyDescent="0.3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3" t="s">
        <v>37</v>
      </c>
      <c r="AA1" s="3" t="s">
        <v>38</v>
      </c>
      <c r="AB1" s="3" t="s">
        <v>39</v>
      </c>
      <c r="AC1" s="3" t="s">
        <v>40</v>
      </c>
    </row>
    <row r="2" spans="1:30" x14ac:dyDescent="0.35">
      <c r="A2" s="4" t="s">
        <v>41</v>
      </c>
      <c r="B2">
        <v>130.07861133105141</v>
      </c>
      <c r="C2">
        <v>132.830385666805</v>
      </c>
      <c r="D2">
        <v>132.99374914625909</v>
      </c>
      <c r="E2">
        <v>132.11029118029279</v>
      </c>
      <c r="F2">
        <v>131.7976352184192</v>
      </c>
      <c r="G2">
        <v>133.71059314411579</v>
      </c>
      <c r="H2">
        <v>135.28557431522441</v>
      </c>
      <c r="I2">
        <v>135.79608377329961</v>
      </c>
      <c r="J2">
        <v>134.60178841838771</v>
      </c>
      <c r="K2">
        <v>135.14257269364111</v>
      </c>
      <c r="L2">
        <v>135.3626526730819</v>
      </c>
      <c r="M2">
        <v>134.41537942859119</v>
      </c>
      <c r="N2">
        <v>134.06859534274361</v>
      </c>
      <c r="O2">
        <v>135.89246002160661</v>
      </c>
      <c r="P2">
        <v>136.14780523104511</v>
      </c>
      <c r="Q2">
        <v>136.75155352499851</v>
      </c>
      <c r="R2">
        <v>136.66304693064629</v>
      </c>
      <c r="S2">
        <v>136.90906982764889</v>
      </c>
      <c r="T2">
        <v>136.43849356660581</v>
      </c>
      <c r="U2">
        <v>137.02135091300229</v>
      </c>
      <c r="V2">
        <v>136.3721183056237</v>
      </c>
      <c r="W2">
        <v>137.12198326493359</v>
      </c>
      <c r="X2">
        <v>138.09052083542991</v>
      </c>
      <c r="Y2">
        <v>136.8013556580203</v>
      </c>
      <c r="Z2">
        <v>136.83702494495719</v>
      </c>
      <c r="AA2">
        <v>138.03381902691669</v>
      </c>
      <c r="AB2">
        <v>138.55808093396249</v>
      </c>
      <c r="AC2">
        <v>139.3761012547063</v>
      </c>
      <c r="AD2">
        <v>140.35810543883349</v>
      </c>
    </row>
    <row r="3" spans="1:30" x14ac:dyDescent="0.35">
      <c r="A3" s="5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s="6" t="s">
        <v>42</v>
      </c>
      <c r="B4" s="7">
        <v>0.66100206387866933</v>
      </c>
      <c r="C4" s="7">
        <v>1.038363404609868</v>
      </c>
      <c r="D4" s="7">
        <v>1.133541603465005</v>
      </c>
      <c r="E4" s="7">
        <v>1.057243039694356</v>
      </c>
      <c r="F4" s="7">
        <v>1.412334077725234</v>
      </c>
      <c r="G4" s="7">
        <v>1.3083796764262841</v>
      </c>
      <c r="H4" s="7">
        <v>0.5822186890319756</v>
      </c>
      <c r="I4" s="7">
        <v>1.082214688707722</v>
      </c>
      <c r="J4" s="7">
        <v>1.320617127890017</v>
      </c>
      <c r="K4" s="7">
        <v>1.3559534628639081</v>
      </c>
      <c r="L4" s="7">
        <v>1.3112363909802129</v>
      </c>
      <c r="M4" s="7">
        <v>1.2138028379415571</v>
      </c>
      <c r="N4" s="7">
        <v>1.633893860899889</v>
      </c>
      <c r="O4" s="7">
        <v>1.3966255769194329</v>
      </c>
      <c r="P4" s="7">
        <v>1.265842489798644</v>
      </c>
      <c r="Q4" s="7">
        <v>1.240840486174505</v>
      </c>
      <c r="R4" s="7">
        <v>0.79430529121580662</v>
      </c>
      <c r="S4" s="7">
        <v>1.222834674629752</v>
      </c>
      <c r="T4" s="7">
        <v>0.7012159871240442</v>
      </c>
      <c r="U4" s="7">
        <v>0.83461732938272348</v>
      </c>
      <c r="V4">
        <v>0.66242897832651693</v>
      </c>
      <c r="W4">
        <v>1.1867832362002559</v>
      </c>
      <c r="X4">
        <v>0.97810535034986401</v>
      </c>
      <c r="Y4">
        <v>1.174889336186169</v>
      </c>
      <c r="Z4">
        <v>1.4592694189433639</v>
      </c>
      <c r="AA4">
        <v>2.4660669161444559</v>
      </c>
      <c r="AB4">
        <v>2.9266816981485699</v>
      </c>
      <c r="AC4">
        <v>2.919601597291575</v>
      </c>
      <c r="AD4">
        <v>3.1024219261555288</v>
      </c>
    </row>
    <row r="5" spans="1:30" x14ac:dyDescent="0.35">
      <c r="A5" s="8" t="s">
        <v>43</v>
      </c>
      <c r="B5">
        <v>-5.4409066961170538E-2</v>
      </c>
      <c r="C5">
        <v>0.70005236100462298</v>
      </c>
      <c r="D5">
        <v>0.67202736126833429</v>
      </c>
      <c r="E5">
        <v>0.47448414877405298</v>
      </c>
      <c r="F5">
        <v>0.30912708929483301</v>
      </c>
      <c r="G5">
        <v>0.2172411226640065</v>
      </c>
      <c r="H5">
        <v>0.74289438406535169</v>
      </c>
      <c r="I5">
        <v>0.70952244460522707</v>
      </c>
      <c r="J5">
        <v>0.67145041714871923</v>
      </c>
      <c r="K5">
        <v>0.50632617032024996</v>
      </c>
      <c r="L5">
        <v>0.26596726394333808</v>
      </c>
      <c r="M5">
        <v>-0.28347851119156081</v>
      </c>
      <c r="N5">
        <v>-0.67418373787455721</v>
      </c>
      <c r="O5">
        <v>-1.004592531897998</v>
      </c>
      <c r="P5">
        <v>-1.1216422361688101</v>
      </c>
      <c r="Q5">
        <v>-0.74577293726559901</v>
      </c>
      <c r="R5">
        <v>-0.85024308642624646</v>
      </c>
      <c r="S5">
        <v>-0.68592821437647444</v>
      </c>
      <c r="T5">
        <v>-1.2611827023296771</v>
      </c>
      <c r="U5">
        <v>-0.66822787380692716</v>
      </c>
      <c r="V5">
        <v>-1.453255839275869</v>
      </c>
      <c r="W5">
        <v>-0.49934090896582012</v>
      </c>
      <c r="X5">
        <v>-0.60058586535120639</v>
      </c>
      <c r="Y5">
        <v>0.4683539286809264</v>
      </c>
      <c r="Z5">
        <v>0.39957502188042332</v>
      </c>
      <c r="AA5">
        <v>0.30291109888889878</v>
      </c>
      <c r="AB5">
        <v>1.1079275512490201</v>
      </c>
      <c r="AC5">
        <v>2.0640683304070251</v>
      </c>
      <c r="AD5">
        <v>0.69046435008888807</v>
      </c>
    </row>
    <row r="6" spans="1:30" x14ac:dyDescent="0.35">
      <c r="A6" s="6" t="s">
        <v>44</v>
      </c>
      <c r="B6">
        <v>5.4409066961170538E-2</v>
      </c>
      <c r="C6">
        <v>-0.70005236100462298</v>
      </c>
      <c r="D6">
        <v>-0.67202736126833429</v>
      </c>
      <c r="E6">
        <v>-0.47448414877405298</v>
      </c>
      <c r="F6">
        <v>-0.30912708929483301</v>
      </c>
      <c r="G6">
        <v>-0.2172411226640065</v>
      </c>
      <c r="H6">
        <v>-0.74289438406535169</v>
      </c>
      <c r="I6">
        <v>-0.70952244460522707</v>
      </c>
      <c r="J6">
        <v>-0.67145041714871923</v>
      </c>
      <c r="K6">
        <v>-0.50632617032024996</v>
      </c>
      <c r="L6">
        <v>-0.26596726394333808</v>
      </c>
      <c r="M6">
        <v>0.28347851119156081</v>
      </c>
      <c r="N6">
        <v>0.67418373787455721</v>
      </c>
      <c r="O6">
        <v>1.004592531897998</v>
      </c>
      <c r="P6">
        <v>1.1216422361688101</v>
      </c>
      <c r="Q6">
        <v>0.74577293726559901</v>
      </c>
      <c r="R6">
        <v>0.85024308642624646</v>
      </c>
      <c r="S6">
        <v>0.68592821437647444</v>
      </c>
      <c r="T6">
        <v>1.2611827023296771</v>
      </c>
      <c r="U6">
        <v>0.66822787380692716</v>
      </c>
      <c r="V6">
        <v>1.453255839275869</v>
      </c>
      <c r="W6">
        <v>0.49934090896582012</v>
      </c>
      <c r="X6">
        <v>0.60058586535120639</v>
      </c>
      <c r="Y6">
        <v>-0.4683539286809264</v>
      </c>
      <c r="Z6">
        <v>-0.39957502188042332</v>
      </c>
      <c r="AA6">
        <v>-0.30291109888889878</v>
      </c>
      <c r="AB6">
        <v>-1.1079275512490201</v>
      </c>
      <c r="AC6">
        <v>-2.0640683304070251</v>
      </c>
      <c r="AD6">
        <v>-0.69046435008888807</v>
      </c>
    </row>
    <row r="7" spans="1:30" x14ac:dyDescent="0.35">
      <c r="A7" s="8" t="s">
        <v>10</v>
      </c>
      <c r="B7">
        <v>130.7396133949301</v>
      </c>
      <c r="C7">
        <v>133.86874907141481</v>
      </c>
      <c r="D7">
        <v>134.1272907497241</v>
      </c>
      <c r="E7">
        <v>133.16753421998709</v>
      </c>
      <c r="F7">
        <v>133.20996929614449</v>
      </c>
      <c r="G7">
        <v>135.0189728205421</v>
      </c>
      <c r="H7">
        <v>135.86779300425641</v>
      </c>
      <c r="I7">
        <v>136.87829846200739</v>
      </c>
      <c r="J7">
        <v>135.92240554627779</v>
      </c>
      <c r="K7">
        <v>136.49852615650499</v>
      </c>
      <c r="L7">
        <v>136.67388906406211</v>
      </c>
      <c r="M7">
        <v>135.62918226653281</v>
      </c>
      <c r="N7">
        <v>135.70248920364349</v>
      </c>
      <c r="O7">
        <v>137.28908559852599</v>
      </c>
      <c r="P7">
        <v>137.4136477208437</v>
      </c>
      <c r="Q7">
        <v>137.99239401117299</v>
      </c>
      <c r="R7">
        <v>137.4573522218621</v>
      </c>
      <c r="S7">
        <v>138.13190450227859</v>
      </c>
      <c r="T7">
        <v>137.1397095537298</v>
      </c>
      <c r="U7">
        <v>137.85596824238499</v>
      </c>
      <c r="V7">
        <v>137.03454728395019</v>
      </c>
      <c r="W7">
        <v>138.3087665011339</v>
      </c>
      <c r="X7">
        <v>139.06862618577969</v>
      </c>
      <c r="Y7">
        <v>137.9762449942065</v>
      </c>
      <c r="Z7">
        <v>138.29629436390061</v>
      </c>
      <c r="AA7">
        <v>140.4998859430612</v>
      </c>
      <c r="AB7">
        <v>141.48476263211111</v>
      </c>
      <c r="AC7">
        <v>142.29570285199779</v>
      </c>
      <c r="AD7">
        <v>143.46052736498899</v>
      </c>
    </row>
    <row r="8" spans="1:30" x14ac:dyDescent="0.35">
      <c r="A8" s="4" t="s">
        <v>45</v>
      </c>
      <c r="B8">
        <v>1.910192708147211</v>
      </c>
      <c r="C8">
        <v>1.9033588383292119</v>
      </c>
      <c r="D8">
        <v>1.912315199849431</v>
      </c>
      <c r="E8">
        <v>1.952889158649646</v>
      </c>
      <c r="F8">
        <v>1.9038188565974219</v>
      </c>
      <c r="G8">
        <v>1.949493564562375</v>
      </c>
      <c r="H8">
        <v>1.677080768236346</v>
      </c>
      <c r="I8">
        <v>1.6644230000397631</v>
      </c>
      <c r="J8">
        <v>1.69249116718978</v>
      </c>
      <c r="K8">
        <v>1.5180062095022191</v>
      </c>
      <c r="L8">
        <v>1.5882536574857999</v>
      </c>
      <c r="M8">
        <v>1.584806243619644</v>
      </c>
      <c r="N8">
        <v>1.619020557389367</v>
      </c>
      <c r="O8">
        <v>1.7180657633999199</v>
      </c>
      <c r="P8">
        <v>1.7532609628894511</v>
      </c>
      <c r="Q8">
        <v>1.8148918035393331</v>
      </c>
      <c r="R8">
        <v>1.829082661038919</v>
      </c>
      <c r="S8">
        <v>1.7198072586323421</v>
      </c>
      <c r="T8">
        <v>1.6761532643195201</v>
      </c>
      <c r="U8">
        <v>1.7123718730687769</v>
      </c>
      <c r="V8">
        <v>1.7359702954660761</v>
      </c>
      <c r="W8">
        <v>1.6835907385657169</v>
      </c>
      <c r="X8">
        <v>1.5949825231384731</v>
      </c>
      <c r="Y8">
        <v>1.6188285061036169</v>
      </c>
      <c r="Z8">
        <v>1.608888479846309</v>
      </c>
      <c r="AA8">
        <v>1.569466244731226</v>
      </c>
      <c r="AB8">
        <v>1.573297986574802</v>
      </c>
      <c r="AC8">
        <v>1.5514636311593191</v>
      </c>
      <c r="AD8">
        <v>1.549669459014742</v>
      </c>
    </row>
    <row r="10" spans="1:30" x14ac:dyDescent="0.35">
      <c r="A10" s="9" t="s">
        <v>14</v>
      </c>
      <c r="B10" s="10"/>
      <c r="C10" s="10"/>
      <c r="D10" s="10"/>
      <c r="E10" s="10"/>
      <c r="F10" s="11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22</v>
      </c>
      <c r="L10" s="2" t="s">
        <v>23</v>
      </c>
      <c r="M10" s="2" t="s">
        <v>24</v>
      </c>
      <c r="N10" s="2" t="s">
        <v>25</v>
      </c>
      <c r="O10" s="2" t="s">
        <v>26</v>
      </c>
      <c r="P10" s="2" t="s">
        <v>27</v>
      </c>
      <c r="Q10" s="2" t="s">
        <v>28</v>
      </c>
      <c r="R10" s="2" t="s">
        <v>29</v>
      </c>
      <c r="S10" s="2" t="s">
        <v>30</v>
      </c>
      <c r="T10" s="2" t="s">
        <v>31</v>
      </c>
      <c r="U10" s="2" t="s">
        <v>32</v>
      </c>
      <c r="V10" s="2" t="s">
        <v>33</v>
      </c>
      <c r="W10" s="2" t="s">
        <v>34</v>
      </c>
      <c r="X10" s="2" t="s">
        <v>35</v>
      </c>
      <c r="Y10" s="2" t="s">
        <v>36</v>
      </c>
      <c r="Z10" s="3" t="s">
        <v>37</v>
      </c>
      <c r="AA10" s="3" t="s">
        <v>38</v>
      </c>
      <c r="AB10" s="3" t="s">
        <v>39</v>
      </c>
      <c r="AC10" s="3" t="s">
        <v>40</v>
      </c>
    </row>
    <row r="11" spans="1:30" x14ac:dyDescent="0.35">
      <c r="A11" s="4" t="s">
        <v>41</v>
      </c>
      <c r="B11" s="12"/>
      <c r="C11" s="12"/>
      <c r="D11" s="12"/>
      <c r="E11" s="12"/>
      <c r="F11">
        <v>131.95038796688411</v>
      </c>
      <c r="G11">
        <v>135.66547179577421</v>
      </c>
      <c r="H11">
        <v>137.78085993452939</v>
      </c>
      <c r="I11">
        <v>140.37624797824719</v>
      </c>
      <c r="J11">
        <v>136.7568472127295</v>
      </c>
      <c r="K11">
        <v>136.1826116248541</v>
      </c>
      <c r="L11">
        <v>135.6310489829672</v>
      </c>
      <c r="M11">
        <v>134.6293495160532</v>
      </c>
      <c r="N11">
        <v>134.1739245565968</v>
      </c>
      <c r="O11">
        <v>135.83717961712421</v>
      </c>
      <c r="P11">
        <v>136.9637513036931</v>
      </c>
      <c r="Q11">
        <v>138.7722798213712</v>
      </c>
      <c r="R11">
        <v>141.3231605158098</v>
      </c>
      <c r="S11">
        <v>138.8631915017576</v>
      </c>
      <c r="T11">
        <v>137.9566586474825</v>
      </c>
      <c r="U11">
        <v>139.56619914782399</v>
      </c>
      <c r="V11">
        <v>138.52439991139249</v>
      </c>
      <c r="W11">
        <v>138.4097814248108</v>
      </c>
      <c r="X11">
        <v>140.36330737362081</v>
      </c>
      <c r="Y11">
        <v>138.38768592238731</v>
      </c>
      <c r="Z11">
        <v>136.70742932031769</v>
      </c>
      <c r="AA11">
        <v>138.34779673954839</v>
      </c>
      <c r="AB11">
        <v>138.10209621539431</v>
      </c>
      <c r="AC11">
        <v>138.9455515120215</v>
      </c>
      <c r="AD11">
        <v>140.97176591513781</v>
      </c>
    </row>
    <row r="12" spans="1:30" x14ac:dyDescent="0.35">
      <c r="A12" s="5" t="s">
        <v>6</v>
      </c>
      <c r="B12" s="12"/>
      <c r="C12" s="12"/>
      <c r="D12" s="12"/>
      <c r="E12" s="12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s="6" t="s">
        <v>42</v>
      </c>
      <c r="B13" s="12"/>
      <c r="C13" s="12"/>
      <c r="D13" s="12"/>
      <c r="E13" s="12"/>
      <c r="F13">
        <v>-1.7103216132117891</v>
      </c>
      <c r="G13">
        <v>-1.362001191333434</v>
      </c>
      <c r="H13">
        <v>-0.82270063325532305</v>
      </c>
      <c r="I13">
        <v>0.67937377043395486</v>
      </c>
      <c r="J13">
        <v>1.82079744362008</v>
      </c>
      <c r="K13">
        <v>-0.22282408009877491</v>
      </c>
      <c r="L13">
        <v>-0.34270651080376519</v>
      </c>
      <c r="M13">
        <v>0.75425032903180522</v>
      </c>
      <c r="N13">
        <v>0.49117725062757239</v>
      </c>
      <c r="O13">
        <v>0.57506675081188519</v>
      </c>
      <c r="P13">
        <v>0.94006829221265775</v>
      </c>
      <c r="Q13">
        <v>0.98133634088566168</v>
      </c>
      <c r="R13">
        <v>1.163772265119974</v>
      </c>
      <c r="S13">
        <v>0.76651233466805024</v>
      </c>
      <c r="T13">
        <v>1.051226100014617</v>
      </c>
      <c r="U13">
        <v>1.3906266452335669</v>
      </c>
      <c r="V13">
        <v>1.553697558330924</v>
      </c>
      <c r="W13">
        <v>2.4436111035358858</v>
      </c>
      <c r="X13">
        <v>3.2853415839857969</v>
      </c>
      <c r="Y13">
        <v>2.9736339398277489</v>
      </c>
      <c r="Z13">
        <v>2.4078901425605181</v>
      </c>
      <c r="AA13">
        <v>2.491006820245985</v>
      </c>
      <c r="AB13">
        <v>3.009578920406597</v>
      </c>
      <c r="AC13">
        <v>1.8551298377325911</v>
      </c>
      <c r="AD13">
        <v>2.3319266875908231</v>
      </c>
    </row>
    <row r="14" spans="1:30" x14ac:dyDescent="0.35">
      <c r="A14" s="8" t="s">
        <v>43</v>
      </c>
      <c r="B14" s="12"/>
      <c r="C14" s="12"/>
      <c r="D14" s="12"/>
      <c r="E14" s="12"/>
      <c r="F14">
        <v>2.312410072744342E-2</v>
      </c>
      <c r="G14">
        <v>-9.9685800718162909E-2</v>
      </c>
      <c r="H14">
        <v>0.22494839350460441</v>
      </c>
      <c r="I14">
        <v>0.80838437425808252</v>
      </c>
      <c r="J14">
        <v>0.6900801643591592</v>
      </c>
      <c r="K14">
        <v>0.44701898389945433</v>
      </c>
      <c r="L14">
        <v>0.39655896248538619</v>
      </c>
      <c r="M14">
        <v>-1.2107260314564879E-2</v>
      </c>
      <c r="N14">
        <v>-0.55783536471494699</v>
      </c>
      <c r="O14">
        <v>-1.042264076926358</v>
      </c>
      <c r="P14">
        <v>-1.1424867786499251</v>
      </c>
      <c r="Q14">
        <v>-0.1763870717567784</v>
      </c>
      <c r="R14">
        <v>-0.62023186447325429</v>
      </c>
      <c r="S14">
        <v>-1.2375384078791849</v>
      </c>
      <c r="T14">
        <v>-0.97157632555007467</v>
      </c>
      <c r="U14">
        <v>-1.714312596888163</v>
      </c>
      <c r="V14">
        <v>-1.325569653642418</v>
      </c>
      <c r="W14">
        <v>-0.79912119381995694</v>
      </c>
      <c r="X14">
        <v>-0.1185283053123385</v>
      </c>
      <c r="Y14">
        <v>0.32035448937830319</v>
      </c>
      <c r="Z14">
        <v>0.43211964260382268</v>
      </c>
      <c r="AA14">
        <v>0.76100217591081787</v>
      </c>
      <c r="AB14">
        <v>0.82991687286985893</v>
      </c>
      <c r="AC14">
        <v>1.4964658466701619</v>
      </c>
      <c r="AD14">
        <v>0.16371332427024751</v>
      </c>
    </row>
    <row r="15" spans="1:30" x14ac:dyDescent="0.35">
      <c r="A15" s="6" t="s">
        <v>44</v>
      </c>
      <c r="B15" s="12"/>
      <c r="C15" s="12"/>
      <c r="D15" s="12"/>
      <c r="E15" s="12"/>
      <c r="F15">
        <v>-2.312410072744342E-2</v>
      </c>
      <c r="G15">
        <v>9.9685800718162909E-2</v>
      </c>
      <c r="H15">
        <v>-0.22494839350460441</v>
      </c>
      <c r="I15">
        <v>-0.80838437425808252</v>
      </c>
      <c r="J15">
        <v>-0.6900801643591592</v>
      </c>
      <c r="K15">
        <v>-0.44701898389945433</v>
      </c>
      <c r="L15">
        <v>-0.39655896248538619</v>
      </c>
      <c r="M15">
        <v>1.2107260314564879E-2</v>
      </c>
      <c r="N15">
        <v>0.55783536471494699</v>
      </c>
      <c r="O15">
        <v>1.042264076926358</v>
      </c>
      <c r="P15">
        <v>1.1424867786499251</v>
      </c>
      <c r="Q15">
        <v>0.1763870717567784</v>
      </c>
      <c r="R15">
        <v>0.62023186447325429</v>
      </c>
      <c r="S15">
        <v>1.2375384078791849</v>
      </c>
      <c r="T15">
        <v>0.97157632555007467</v>
      </c>
      <c r="U15">
        <v>1.714312596888163</v>
      </c>
      <c r="V15">
        <v>1.325569653642418</v>
      </c>
      <c r="W15">
        <v>0.79912119381995694</v>
      </c>
      <c r="X15">
        <v>0.1185283053123385</v>
      </c>
      <c r="Y15">
        <v>-0.32035448937830319</v>
      </c>
      <c r="Z15">
        <v>-0.43211964260382268</v>
      </c>
      <c r="AA15">
        <v>-0.76100217591081787</v>
      </c>
      <c r="AB15">
        <v>-0.82991687286985893</v>
      </c>
      <c r="AC15">
        <v>-1.4964658466701619</v>
      </c>
      <c r="AD15">
        <v>-0.16371332427024751</v>
      </c>
    </row>
    <row r="16" spans="1:30" x14ac:dyDescent="0.35">
      <c r="A16" s="8" t="s">
        <v>10</v>
      </c>
      <c r="B16" s="12"/>
      <c r="C16" s="12"/>
      <c r="D16" s="12"/>
      <c r="E16" s="12"/>
      <c r="F16">
        <v>130.24006635367229</v>
      </c>
      <c r="G16">
        <v>134.30347060444069</v>
      </c>
      <c r="H16">
        <v>136.95815930127409</v>
      </c>
      <c r="I16">
        <v>141.0556217486812</v>
      </c>
      <c r="J16">
        <v>138.57764465634961</v>
      </c>
      <c r="K16">
        <v>135.9597875447553</v>
      </c>
      <c r="L16">
        <v>135.28834247216341</v>
      </c>
      <c r="M16">
        <v>135.383599845085</v>
      </c>
      <c r="N16">
        <v>134.66510180722429</v>
      </c>
      <c r="O16">
        <v>136.41224636793609</v>
      </c>
      <c r="P16">
        <v>137.9038195959057</v>
      </c>
      <c r="Q16">
        <v>139.7536161622568</v>
      </c>
      <c r="R16">
        <v>142.48693278092981</v>
      </c>
      <c r="S16">
        <v>139.6297038364257</v>
      </c>
      <c r="T16">
        <v>139.00788474749709</v>
      </c>
      <c r="U16">
        <v>140.95682579305759</v>
      </c>
      <c r="V16">
        <v>140.07809746972339</v>
      </c>
      <c r="W16">
        <v>140.85339252834669</v>
      </c>
      <c r="X16">
        <v>143.64864895760661</v>
      </c>
      <c r="Y16">
        <v>141.361319862215</v>
      </c>
      <c r="Z16">
        <v>139.1153194628782</v>
      </c>
      <c r="AA16">
        <v>140.8388035597944</v>
      </c>
      <c r="AB16">
        <v>141.11167513580091</v>
      </c>
      <c r="AC16">
        <v>140.80068134975409</v>
      </c>
      <c r="AD16">
        <v>143.3036926027286</v>
      </c>
    </row>
    <row r="17" spans="1:30" x14ac:dyDescent="0.35">
      <c r="A17" s="4" t="s">
        <v>45</v>
      </c>
      <c r="B17" s="12"/>
      <c r="C17" s="12"/>
      <c r="D17" s="12"/>
      <c r="E17" s="12"/>
      <c r="F17">
        <v>1.422139864784463</v>
      </c>
      <c r="G17">
        <v>1.372228173157763</v>
      </c>
      <c r="H17">
        <v>1.2228556929977941</v>
      </c>
      <c r="I17">
        <v>1.2691963038116429</v>
      </c>
      <c r="J17">
        <v>1.3327275330258701</v>
      </c>
      <c r="K17">
        <v>1.232663538398604</v>
      </c>
      <c r="L17">
        <v>1.2757827554792021</v>
      </c>
      <c r="M17">
        <v>1.334971211595805</v>
      </c>
      <c r="N17">
        <v>1.342282199576347</v>
      </c>
      <c r="O17">
        <v>1.3349194106730311</v>
      </c>
      <c r="P17">
        <v>1.321516053561268</v>
      </c>
      <c r="Q17">
        <v>1.3238592736421031</v>
      </c>
      <c r="R17">
        <v>1.273439081790418</v>
      </c>
      <c r="S17">
        <v>1.307144310516583</v>
      </c>
      <c r="T17">
        <v>1.2660861026625221</v>
      </c>
      <c r="U17">
        <v>1.2843421983733561</v>
      </c>
      <c r="V17">
        <v>1.3825942304496091</v>
      </c>
      <c r="W17">
        <v>1.3651666082233369</v>
      </c>
      <c r="X17">
        <v>1.3457688922506961</v>
      </c>
      <c r="Y17">
        <v>1.340246603995727</v>
      </c>
      <c r="Z17">
        <v>1.380865790343476</v>
      </c>
      <c r="AA17">
        <v>1.4104061277074591</v>
      </c>
      <c r="AB17">
        <v>1.4124082800555029</v>
      </c>
      <c r="AC17">
        <v>1.4092602522902791</v>
      </c>
      <c r="AD17">
        <v>1.462925932726358</v>
      </c>
    </row>
    <row r="19" spans="1:30" x14ac:dyDescent="0.35">
      <c r="A19" s="1" t="s">
        <v>12</v>
      </c>
      <c r="B19" s="2">
        <v>2016</v>
      </c>
      <c r="C19" s="2">
        <v>2017</v>
      </c>
      <c r="D19" s="2">
        <v>2018</v>
      </c>
      <c r="E19" s="2">
        <v>2019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K19" s="2" t="s">
        <v>22</v>
      </c>
      <c r="L19" s="2" t="s">
        <v>23</v>
      </c>
      <c r="M19" s="2" t="s">
        <v>24</v>
      </c>
      <c r="N19" s="2" t="s">
        <v>25</v>
      </c>
      <c r="O19" s="2" t="s">
        <v>26</v>
      </c>
      <c r="P19" s="2" t="s">
        <v>27</v>
      </c>
      <c r="Q19" s="2" t="s">
        <v>28</v>
      </c>
      <c r="R19" s="2" t="s">
        <v>29</v>
      </c>
      <c r="S19" s="2" t="s">
        <v>30</v>
      </c>
      <c r="T19" s="2" t="s">
        <v>31</v>
      </c>
      <c r="U19" s="2" t="s">
        <v>32</v>
      </c>
      <c r="V19" s="2" t="s">
        <v>33</v>
      </c>
      <c r="W19" s="2" t="s">
        <v>34</v>
      </c>
      <c r="X19" s="2" t="s">
        <v>35</v>
      </c>
      <c r="Y19" s="2" t="s">
        <v>36</v>
      </c>
      <c r="Z19" s="3" t="s">
        <v>37</v>
      </c>
      <c r="AA19" s="3" t="s">
        <v>38</v>
      </c>
      <c r="AB19" s="3" t="s">
        <v>39</v>
      </c>
      <c r="AC19" s="3" t="s">
        <v>40</v>
      </c>
    </row>
    <row r="20" spans="1:30" x14ac:dyDescent="0.35">
      <c r="A20" s="4" t="s">
        <v>41</v>
      </c>
      <c r="B20">
        <v>131.1674704044573</v>
      </c>
      <c r="C20">
        <v>136.7382347074298</v>
      </c>
      <c r="D20">
        <v>136.80259194091829</v>
      </c>
      <c r="E20">
        <v>132.54766874373311</v>
      </c>
      <c r="F20">
        <v>131.13303029419251</v>
      </c>
      <c r="G20">
        <v>132.90504284604401</v>
      </c>
      <c r="H20">
        <v>133.9304786690208</v>
      </c>
      <c r="I20">
        <v>132.80380951624201</v>
      </c>
      <c r="J20">
        <v>135.4481125583965</v>
      </c>
      <c r="K20">
        <v>135.1873517847032</v>
      </c>
      <c r="L20">
        <v>134.94601738902409</v>
      </c>
      <c r="M20">
        <v>132.89927866287411</v>
      </c>
      <c r="N20">
        <v>134.06325322076779</v>
      </c>
      <c r="O20">
        <v>136.81720801029189</v>
      </c>
      <c r="P20">
        <v>138.00243272817349</v>
      </c>
      <c r="Q20">
        <v>139.77793163612839</v>
      </c>
      <c r="R20">
        <v>141.27719036447311</v>
      </c>
      <c r="S20">
        <v>140.587337420209</v>
      </c>
      <c r="T20">
        <v>140.72102580751559</v>
      </c>
      <c r="U20">
        <v>139.0251422865112</v>
      </c>
      <c r="V20">
        <v>138.131634820861</v>
      </c>
      <c r="W20">
        <v>140.1735622972094</v>
      </c>
      <c r="X20">
        <v>141.55375224123719</v>
      </c>
      <c r="Y20">
        <v>139.97097369283409</v>
      </c>
      <c r="Z20">
        <v>139.83315040104489</v>
      </c>
      <c r="AA20">
        <v>140.6343356036856</v>
      </c>
      <c r="AB20">
        <v>140.9638839291236</v>
      </c>
      <c r="AC20">
        <v>141.85748818430841</v>
      </c>
      <c r="AD20">
        <v>142.77900254279669</v>
      </c>
    </row>
    <row r="21" spans="1:30" x14ac:dyDescent="0.35">
      <c r="A21" s="5" t="s">
        <v>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s="6" t="s">
        <v>42</v>
      </c>
      <c r="B22">
        <v>-8.6531737211771542E-2</v>
      </c>
      <c r="C22">
        <v>0.56457951809235851</v>
      </c>
      <c r="D22">
        <v>9.7990972414663702E-2</v>
      </c>
      <c r="E22">
        <v>0.6511772460157772</v>
      </c>
      <c r="F22">
        <v>1.3091096453114519</v>
      </c>
      <c r="G22">
        <v>1.5067007457573709</v>
      </c>
      <c r="H22">
        <v>0.54845206108646494</v>
      </c>
      <c r="I22">
        <v>3.989095038917867E-3</v>
      </c>
      <c r="J22">
        <v>0.52413775543899987</v>
      </c>
      <c r="K22">
        <v>0.89828530507452342</v>
      </c>
      <c r="L22">
        <v>0.69221703585537853</v>
      </c>
      <c r="M22">
        <v>-0.39544920563756142</v>
      </c>
      <c r="N22">
        <v>-0.23544013982765929</v>
      </c>
      <c r="O22">
        <v>0.72599632061417196</v>
      </c>
      <c r="P22">
        <v>0.5826234577808691</v>
      </c>
      <c r="Q22">
        <v>0.31311591216902462</v>
      </c>
      <c r="R22">
        <v>0.93723354981591456</v>
      </c>
      <c r="S22">
        <v>1.56454087947526</v>
      </c>
      <c r="T22">
        <v>1.6212334276677041</v>
      </c>
      <c r="U22">
        <v>0.8929302351183992</v>
      </c>
      <c r="V22">
        <v>-0.197179663992614</v>
      </c>
      <c r="W22">
        <v>0.30351543626872513</v>
      </c>
      <c r="X22">
        <v>0.75919792713105494</v>
      </c>
      <c r="Y22">
        <v>0.53146184690936593</v>
      </c>
      <c r="Z22">
        <v>0.66791062198333861</v>
      </c>
      <c r="AA22">
        <v>1.278142353031853</v>
      </c>
      <c r="AB22">
        <v>1.796535868201431</v>
      </c>
      <c r="AC22">
        <v>2.7808560725822251</v>
      </c>
      <c r="AD22">
        <v>2.8426224802480529</v>
      </c>
    </row>
    <row r="23" spans="1:30" x14ac:dyDescent="0.35">
      <c r="A23" s="8" t="s">
        <v>43</v>
      </c>
      <c r="B23">
        <v>-0.34957322848296712</v>
      </c>
      <c r="C23">
        <v>0.53915685852558681</v>
      </c>
      <c r="D23">
        <v>0.94571540361496886</v>
      </c>
      <c r="E23">
        <v>0.17382503793331239</v>
      </c>
      <c r="F23">
        <v>0.52242076584664687</v>
      </c>
      <c r="G23">
        <v>0.37549312538951091</v>
      </c>
      <c r="H23">
        <v>0.22327722183649709</v>
      </c>
      <c r="I23">
        <v>0.97254445209770779</v>
      </c>
      <c r="J23">
        <v>0.63940264969872374</v>
      </c>
      <c r="K23">
        <v>0.40699230595106428</v>
      </c>
      <c r="L23">
        <v>0.31059880787037741</v>
      </c>
      <c r="M23">
        <v>-0.2177240372005258</v>
      </c>
      <c r="N23">
        <v>-0.84848183012911704</v>
      </c>
      <c r="O23">
        <v>-0.91051985750573294</v>
      </c>
      <c r="P23">
        <v>-1.1274986521769681</v>
      </c>
      <c r="Q23">
        <v>-0.88900088537985766</v>
      </c>
      <c r="R23">
        <v>-0.73527944780553867</v>
      </c>
      <c r="S23">
        <v>-1.1082916266714451</v>
      </c>
      <c r="T23">
        <v>-1.395144844623331</v>
      </c>
      <c r="U23">
        <v>-1.024119523282621</v>
      </c>
      <c r="V23">
        <v>-1.4697280296518329</v>
      </c>
      <c r="W23">
        <v>-0.89756939268986002</v>
      </c>
      <c r="X23">
        <v>-0.4288830828131438</v>
      </c>
      <c r="Y23">
        <v>0.51363052001596543</v>
      </c>
      <c r="Z23">
        <v>0.29524400663225953</v>
      </c>
      <c r="AA23">
        <v>0.76044824567233604</v>
      </c>
      <c r="AB23">
        <v>1.1323437708427659</v>
      </c>
      <c r="AC23">
        <v>1.664845060187645</v>
      </c>
      <c r="AD23">
        <v>0.93089781532148663</v>
      </c>
    </row>
    <row r="24" spans="1:30" x14ac:dyDescent="0.35">
      <c r="A24" s="6" t="s">
        <v>44</v>
      </c>
      <c r="B24">
        <v>0.34957322848296712</v>
      </c>
      <c r="C24">
        <v>-0.53915685852558681</v>
      </c>
      <c r="D24">
        <v>-0.94571540361496886</v>
      </c>
      <c r="E24">
        <v>-0.17382503793331239</v>
      </c>
      <c r="F24">
        <v>-0.52242076584664687</v>
      </c>
      <c r="G24">
        <v>-0.37549312538951091</v>
      </c>
      <c r="H24">
        <v>-0.22327722183649709</v>
      </c>
      <c r="I24">
        <v>-0.97254445209770779</v>
      </c>
      <c r="J24">
        <v>-0.63940264969872374</v>
      </c>
      <c r="K24">
        <v>-0.40699230595106428</v>
      </c>
      <c r="L24">
        <v>-0.31059880787037741</v>
      </c>
      <c r="M24">
        <v>0.2177240372005258</v>
      </c>
      <c r="N24">
        <v>0.84848183012911704</v>
      </c>
      <c r="O24">
        <v>0.91051985750573294</v>
      </c>
      <c r="P24">
        <v>1.1274986521769681</v>
      </c>
      <c r="Q24">
        <v>0.88900088537985766</v>
      </c>
      <c r="R24">
        <v>0.73527944780553867</v>
      </c>
      <c r="S24">
        <v>1.1082916266714451</v>
      </c>
      <c r="T24">
        <v>1.395144844623331</v>
      </c>
      <c r="U24">
        <v>1.024119523282621</v>
      </c>
      <c r="V24">
        <v>1.4697280296518329</v>
      </c>
      <c r="W24">
        <v>0.89756939268986002</v>
      </c>
      <c r="X24">
        <v>0.4288830828131438</v>
      </c>
      <c r="Y24">
        <v>-0.51363052001596543</v>
      </c>
      <c r="Z24">
        <v>-0.29524400663225953</v>
      </c>
      <c r="AA24">
        <v>-0.76044824567233604</v>
      </c>
      <c r="AB24">
        <v>-1.1323437708427659</v>
      </c>
      <c r="AC24">
        <v>-1.664845060187645</v>
      </c>
      <c r="AD24">
        <v>-0.93089781532148663</v>
      </c>
    </row>
    <row r="25" spans="1:30" x14ac:dyDescent="0.35">
      <c r="A25" s="8" t="s">
        <v>10</v>
      </c>
      <c r="B25">
        <v>131.0809386672455</v>
      </c>
      <c r="C25">
        <v>137.3028142255221</v>
      </c>
      <c r="D25">
        <v>136.90058291333301</v>
      </c>
      <c r="E25">
        <v>133.19884598974889</v>
      </c>
      <c r="F25">
        <v>132.44213993950399</v>
      </c>
      <c r="G25">
        <v>134.41174359180141</v>
      </c>
      <c r="H25">
        <v>134.47893073010729</v>
      </c>
      <c r="I25">
        <v>132.80779861128099</v>
      </c>
      <c r="J25">
        <v>135.9722503138355</v>
      </c>
      <c r="K25">
        <v>136.08563708977769</v>
      </c>
      <c r="L25">
        <v>135.6382344248795</v>
      </c>
      <c r="M25">
        <v>132.50382945723649</v>
      </c>
      <c r="N25">
        <v>133.8278130809401</v>
      </c>
      <c r="O25">
        <v>137.54320433090609</v>
      </c>
      <c r="P25">
        <v>138.58505618595439</v>
      </c>
      <c r="Q25">
        <v>140.09104754829741</v>
      </c>
      <c r="R25">
        <v>142.214423914289</v>
      </c>
      <c r="S25">
        <v>142.15187829968431</v>
      </c>
      <c r="T25">
        <v>142.34225923518329</v>
      </c>
      <c r="U25">
        <v>139.9180725216296</v>
      </c>
      <c r="V25">
        <v>137.93445515686841</v>
      </c>
      <c r="W25">
        <v>140.4770777334781</v>
      </c>
      <c r="X25">
        <v>142.3129501683683</v>
      </c>
      <c r="Y25">
        <v>140.5024355397434</v>
      </c>
      <c r="Z25">
        <v>140.50106102302831</v>
      </c>
      <c r="AA25">
        <v>141.9124779567174</v>
      </c>
      <c r="AB25">
        <v>142.760419797325</v>
      </c>
      <c r="AC25">
        <v>144.6383442568906</v>
      </c>
      <c r="AD25">
        <v>145.6216250230448</v>
      </c>
    </row>
    <row r="26" spans="1:30" x14ac:dyDescent="0.35">
      <c r="A26" s="4" t="s">
        <v>45</v>
      </c>
      <c r="B26">
        <v>2.1588362072978291</v>
      </c>
      <c r="C26">
        <v>2.2065357011977351</v>
      </c>
      <c r="D26">
        <v>2.115873414132011</v>
      </c>
      <c r="E26">
        <v>2.0924300369690858</v>
      </c>
      <c r="F26">
        <v>1.9393233352966579</v>
      </c>
      <c r="G26">
        <v>1.9441554483581509</v>
      </c>
      <c r="H26">
        <v>1.9016888269040699</v>
      </c>
      <c r="I26">
        <v>2.0320510064674071</v>
      </c>
      <c r="J26">
        <v>1.7355408763524851</v>
      </c>
      <c r="K26">
        <v>1.513010661267757</v>
      </c>
      <c r="L26">
        <v>1.6177634705127191</v>
      </c>
      <c r="M26">
        <v>1.6852641652943849</v>
      </c>
      <c r="N26">
        <v>1.660943596310237</v>
      </c>
      <c r="O26">
        <v>1.6670625791464551</v>
      </c>
      <c r="P26">
        <v>1.683335581405305</v>
      </c>
      <c r="Q26">
        <v>1.685394060992232</v>
      </c>
      <c r="R26">
        <v>1.7304846004635761</v>
      </c>
      <c r="S26">
        <v>1.5415357654368571</v>
      </c>
      <c r="T26">
        <v>1.500537728717511</v>
      </c>
      <c r="U26">
        <v>1.4615654387188699</v>
      </c>
      <c r="V26">
        <v>1.4841216639685459</v>
      </c>
      <c r="W26">
        <v>1.4772980053747771</v>
      </c>
      <c r="X26">
        <v>1.4908119396139841</v>
      </c>
      <c r="Y26">
        <v>1.4856955212085039</v>
      </c>
      <c r="Z26">
        <v>1.4883672605395071</v>
      </c>
      <c r="AA26">
        <v>1.4290011960123989</v>
      </c>
      <c r="AB26">
        <v>1.4255040113217949</v>
      </c>
      <c r="AC26">
        <v>1.420381256298946</v>
      </c>
      <c r="AD26">
        <v>1.4858584629630951</v>
      </c>
    </row>
    <row r="28" spans="1:30" x14ac:dyDescent="0.35">
      <c r="A28" s="1" t="s">
        <v>13</v>
      </c>
      <c r="B28" s="2">
        <v>2016</v>
      </c>
      <c r="C28" s="2">
        <v>2017</v>
      </c>
      <c r="D28" s="2">
        <v>2018</v>
      </c>
      <c r="E28" s="2">
        <v>2019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K28" s="2" t="s">
        <v>22</v>
      </c>
      <c r="L28" s="2" t="s">
        <v>23</v>
      </c>
      <c r="M28" s="2" t="s">
        <v>24</v>
      </c>
      <c r="N28" s="2" t="s">
        <v>25</v>
      </c>
      <c r="O28" s="2" t="s">
        <v>26</v>
      </c>
      <c r="P28" s="2" t="s">
        <v>27</v>
      </c>
      <c r="Q28" s="2" t="s">
        <v>28</v>
      </c>
      <c r="R28" s="2" t="s">
        <v>29</v>
      </c>
      <c r="S28" s="2" t="s">
        <v>30</v>
      </c>
      <c r="T28" s="2" t="s">
        <v>31</v>
      </c>
      <c r="U28" s="2" t="s">
        <v>32</v>
      </c>
      <c r="V28" s="2" t="s">
        <v>33</v>
      </c>
      <c r="W28" s="2" t="s">
        <v>34</v>
      </c>
      <c r="X28" s="2" t="s">
        <v>35</v>
      </c>
      <c r="Y28" s="2" t="s">
        <v>36</v>
      </c>
      <c r="Z28" s="3" t="s">
        <v>37</v>
      </c>
      <c r="AA28" s="3" t="s">
        <v>38</v>
      </c>
      <c r="AB28" s="3" t="s">
        <v>39</v>
      </c>
      <c r="AC28" s="3" t="s">
        <v>40</v>
      </c>
    </row>
    <row r="29" spans="1:30" x14ac:dyDescent="0.35">
      <c r="A29" s="4" t="s">
        <v>41</v>
      </c>
      <c r="B29">
        <v>129.64153783953199</v>
      </c>
      <c r="C29">
        <v>131.65562857994581</v>
      </c>
      <c r="D29">
        <v>131.56832363473589</v>
      </c>
      <c r="E29">
        <v>129.50597295299329</v>
      </c>
      <c r="F29">
        <v>130.03039565128549</v>
      </c>
      <c r="G29">
        <v>133.13561972496839</v>
      </c>
      <c r="H29">
        <v>135.524196498951</v>
      </c>
      <c r="I29">
        <v>135.28732548834151</v>
      </c>
      <c r="J29">
        <v>135.2877143968831</v>
      </c>
      <c r="K29">
        <v>135.4990065961002</v>
      </c>
      <c r="L29">
        <v>135.05653202064309</v>
      </c>
      <c r="M29">
        <v>133.6533590478692</v>
      </c>
      <c r="N29">
        <v>134.54999962165849</v>
      </c>
      <c r="O29">
        <v>136.72731168449579</v>
      </c>
      <c r="P29">
        <v>137.2711437909899</v>
      </c>
      <c r="Q29">
        <v>138.3019509586567</v>
      </c>
      <c r="R29">
        <v>139.23034679005499</v>
      </c>
      <c r="S29">
        <v>137.7158392394139</v>
      </c>
      <c r="T29">
        <v>138.53983622019501</v>
      </c>
      <c r="U29">
        <v>137.48747271961969</v>
      </c>
      <c r="V29">
        <v>136.7602328443264</v>
      </c>
      <c r="W29">
        <v>137.47802427838079</v>
      </c>
      <c r="X29">
        <v>138.54353569478641</v>
      </c>
      <c r="Y29">
        <v>137.20904828299791</v>
      </c>
      <c r="Z29">
        <v>136.66839841462689</v>
      </c>
      <c r="AA29">
        <v>137.94719223853701</v>
      </c>
      <c r="AB29">
        <v>138.66054717924419</v>
      </c>
      <c r="AC29">
        <v>140.03751697543669</v>
      </c>
      <c r="AD29">
        <v>141.0725340916224</v>
      </c>
    </row>
    <row r="30" spans="1:30" x14ac:dyDescent="0.35">
      <c r="A30" s="5" t="s">
        <v>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s="6" t="s">
        <v>42</v>
      </c>
      <c r="B31">
        <v>0.80451042320075317</v>
      </c>
      <c r="C31">
        <v>0.93531318918846296</v>
      </c>
      <c r="D31">
        <v>0.87019854655096651</v>
      </c>
      <c r="E31">
        <v>0.78525766916115458</v>
      </c>
      <c r="F31">
        <v>0.62627010783492665</v>
      </c>
      <c r="G31">
        <v>0.5612475364693239</v>
      </c>
      <c r="H31">
        <v>0.90101304711950547</v>
      </c>
      <c r="I31">
        <v>0.84283260286281347</v>
      </c>
      <c r="J31">
        <v>1.6574384290710209</v>
      </c>
      <c r="K31">
        <v>1.815851125188999</v>
      </c>
      <c r="L31">
        <v>1.5016645803773661</v>
      </c>
      <c r="M31">
        <v>1.1834960513425301</v>
      </c>
      <c r="N31">
        <v>0.5660734388493438</v>
      </c>
      <c r="O31">
        <v>0.62303432104519629</v>
      </c>
      <c r="P31">
        <v>-1.4227398664814929E-2</v>
      </c>
      <c r="Q31">
        <v>0.60880416093954182</v>
      </c>
      <c r="R31">
        <v>0.26065131663582969</v>
      </c>
      <c r="S31">
        <v>0.32381303156259378</v>
      </c>
      <c r="T31">
        <v>1.474295442786399</v>
      </c>
      <c r="U31">
        <v>1.264705079320009</v>
      </c>
      <c r="V31">
        <v>1.013927862906201</v>
      </c>
      <c r="W31">
        <v>2.022800071092405</v>
      </c>
      <c r="X31">
        <v>2.2786497559132499</v>
      </c>
      <c r="Y31">
        <v>2.0632355429099789</v>
      </c>
      <c r="Z31">
        <v>1.8384507384756721</v>
      </c>
      <c r="AA31">
        <v>2.0356618749904101</v>
      </c>
      <c r="AB31">
        <v>2.2451500749805291</v>
      </c>
      <c r="AC31">
        <v>2.7851197376810428</v>
      </c>
      <c r="AD31">
        <v>3.1128336687326339</v>
      </c>
    </row>
    <row r="32" spans="1:30" x14ac:dyDescent="0.35">
      <c r="A32" s="8" t="s">
        <v>43</v>
      </c>
      <c r="B32">
        <v>3.8871781174151472E-2</v>
      </c>
      <c r="C32">
        <v>0.7361339522110768</v>
      </c>
      <c r="D32">
        <v>0.58170062684359891</v>
      </c>
      <c r="E32">
        <v>0.46287386153753118</v>
      </c>
      <c r="F32">
        <v>0.22331470853939089</v>
      </c>
      <c r="G32">
        <v>0.100758952641371</v>
      </c>
      <c r="H32">
        <v>0.41100915969596491</v>
      </c>
      <c r="I32">
        <v>0.85848502946228678</v>
      </c>
      <c r="J32">
        <v>0.62447164546509271</v>
      </c>
      <c r="K32">
        <v>0.63147984817140923</v>
      </c>
      <c r="L32">
        <v>0.28314242557823383</v>
      </c>
      <c r="M32">
        <v>-0.41238527335192998</v>
      </c>
      <c r="N32">
        <v>-1.0433666755218951</v>
      </c>
      <c r="O32">
        <v>-0.60440351634949252</v>
      </c>
      <c r="P32">
        <v>-1.104225436865647</v>
      </c>
      <c r="Q32">
        <v>-0.73889840970980458</v>
      </c>
      <c r="R32">
        <v>-0.44086226792737188</v>
      </c>
      <c r="S32">
        <v>-0.97274042446264275</v>
      </c>
      <c r="T32">
        <v>-1.045422905712257</v>
      </c>
      <c r="U32">
        <v>-1.207961800777213</v>
      </c>
      <c r="V32">
        <v>-1.4540588928514639</v>
      </c>
      <c r="W32">
        <v>-1.137462044101142</v>
      </c>
      <c r="X32">
        <v>-3.5229792692263118E-2</v>
      </c>
      <c r="Y32">
        <v>0.57001009979299511</v>
      </c>
      <c r="Z32">
        <v>0.50656546583914519</v>
      </c>
      <c r="AA32">
        <v>0.65025191062045451</v>
      </c>
      <c r="AB32">
        <v>1.087656899633515</v>
      </c>
      <c r="AC32">
        <v>1.91942782169059</v>
      </c>
      <c r="AD32">
        <v>0.64487393631077339</v>
      </c>
    </row>
    <row r="33" spans="1:30" x14ac:dyDescent="0.35">
      <c r="A33" s="6" t="s">
        <v>44</v>
      </c>
      <c r="B33">
        <v>-3.8871781174151472E-2</v>
      </c>
      <c r="C33">
        <v>-0.7361339522110768</v>
      </c>
      <c r="D33">
        <v>-0.58170062684359891</v>
      </c>
      <c r="E33">
        <v>-0.46287386153753118</v>
      </c>
      <c r="F33">
        <v>-0.22331470853939089</v>
      </c>
      <c r="G33">
        <v>-0.100758952641371</v>
      </c>
      <c r="H33">
        <v>-0.41100915969596491</v>
      </c>
      <c r="I33">
        <v>-0.85848502946228678</v>
      </c>
      <c r="J33">
        <v>-0.62447164546509271</v>
      </c>
      <c r="K33">
        <v>-0.63147984817140923</v>
      </c>
      <c r="L33">
        <v>-0.28314242557823383</v>
      </c>
      <c r="M33">
        <v>0.41238527335192998</v>
      </c>
      <c r="N33">
        <v>1.0433666755218951</v>
      </c>
      <c r="O33">
        <v>0.60440351634949252</v>
      </c>
      <c r="P33">
        <v>1.104225436865647</v>
      </c>
      <c r="Q33">
        <v>0.73889840970980458</v>
      </c>
      <c r="R33">
        <v>0.44086226792737188</v>
      </c>
      <c r="S33">
        <v>0.97274042446264275</v>
      </c>
      <c r="T33">
        <v>1.045422905712257</v>
      </c>
      <c r="U33">
        <v>1.207961800777213</v>
      </c>
      <c r="V33">
        <v>1.4540588928514639</v>
      </c>
      <c r="W33">
        <v>1.137462044101142</v>
      </c>
      <c r="X33">
        <v>3.5229792692263118E-2</v>
      </c>
      <c r="Y33">
        <v>-0.57001009979299511</v>
      </c>
      <c r="Z33">
        <v>-0.50656546583914519</v>
      </c>
      <c r="AA33">
        <v>-0.65025191062045451</v>
      </c>
      <c r="AB33">
        <v>-1.087656899633515</v>
      </c>
      <c r="AC33">
        <v>-1.91942782169059</v>
      </c>
      <c r="AD33">
        <v>-0.64487393631077339</v>
      </c>
    </row>
    <row r="34" spans="1:30" x14ac:dyDescent="0.35">
      <c r="A34" s="8" t="s">
        <v>10</v>
      </c>
      <c r="B34">
        <v>130.4460482627328</v>
      </c>
      <c r="C34">
        <v>132.5909417691343</v>
      </c>
      <c r="D34">
        <v>132.43852218128691</v>
      </c>
      <c r="E34">
        <v>130.29123062215439</v>
      </c>
      <c r="F34">
        <v>130.65666575912039</v>
      </c>
      <c r="G34">
        <v>133.6968672614378</v>
      </c>
      <c r="H34">
        <v>136.4252095460705</v>
      </c>
      <c r="I34">
        <v>136.13015809120429</v>
      </c>
      <c r="J34">
        <v>136.94515282595421</v>
      </c>
      <c r="K34">
        <v>137.3148577212892</v>
      </c>
      <c r="L34">
        <v>136.5581966010204</v>
      </c>
      <c r="M34">
        <v>134.83685509921179</v>
      </c>
      <c r="N34">
        <v>135.1160730605078</v>
      </c>
      <c r="O34">
        <v>137.35034600554101</v>
      </c>
      <c r="P34">
        <v>137.25691639232511</v>
      </c>
      <c r="Q34">
        <v>138.91075511959619</v>
      </c>
      <c r="R34">
        <v>139.49099810669091</v>
      </c>
      <c r="S34">
        <v>138.03965227097649</v>
      </c>
      <c r="T34">
        <v>140.01413166298141</v>
      </c>
      <c r="U34">
        <v>138.7521777989397</v>
      </c>
      <c r="V34">
        <v>137.7741607072326</v>
      </c>
      <c r="W34">
        <v>139.50082434947319</v>
      </c>
      <c r="X34">
        <v>140.82218545069961</v>
      </c>
      <c r="Y34">
        <v>139.27228382590789</v>
      </c>
      <c r="Z34">
        <v>138.50684915310259</v>
      </c>
      <c r="AA34">
        <v>139.9828541135274</v>
      </c>
      <c r="AB34">
        <v>140.9056972542248</v>
      </c>
      <c r="AC34">
        <v>142.82263671311779</v>
      </c>
      <c r="AD34">
        <v>144.18536776035501</v>
      </c>
    </row>
    <row r="35" spans="1:30" x14ac:dyDescent="0.35">
      <c r="A35" s="4" t="s">
        <v>45</v>
      </c>
      <c r="B35">
        <v>1.9506243099169469</v>
      </c>
      <c r="C35">
        <v>1.939859582871037</v>
      </c>
      <c r="D35">
        <v>1.989373806466558</v>
      </c>
      <c r="E35">
        <v>2.0866594557411209</v>
      </c>
      <c r="F35">
        <v>2.089483603756733</v>
      </c>
      <c r="G35">
        <v>2.1082302636549608</v>
      </c>
      <c r="H35">
        <v>1.8230660879967491</v>
      </c>
      <c r="I35">
        <v>1.8044766623907329</v>
      </c>
      <c r="J35">
        <v>1.7000350812363501</v>
      </c>
      <c r="K35">
        <v>1.5707098314544869</v>
      </c>
      <c r="L35">
        <v>1.593944074594928</v>
      </c>
      <c r="M35">
        <v>1.6156902191791229</v>
      </c>
      <c r="N35">
        <v>1.571835203736176</v>
      </c>
      <c r="O35">
        <v>1.519652018530631</v>
      </c>
      <c r="P35">
        <v>1.536805999996858</v>
      </c>
      <c r="Q35">
        <v>1.482145759650789</v>
      </c>
      <c r="R35">
        <v>1.4795919019263779</v>
      </c>
      <c r="S35">
        <v>1.516386061367702</v>
      </c>
      <c r="T35">
        <v>1.4273242603825811</v>
      </c>
      <c r="U35">
        <v>1.431397785553906</v>
      </c>
      <c r="V35">
        <v>1.530243195759478</v>
      </c>
      <c r="W35">
        <v>1.491012602017973</v>
      </c>
      <c r="X35">
        <v>1.453009978309965</v>
      </c>
      <c r="Y35">
        <v>1.4632664776863491</v>
      </c>
      <c r="Z35">
        <v>1.4858925048828711</v>
      </c>
      <c r="AA35">
        <v>1.4269815021036221</v>
      </c>
      <c r="AB35">
        <v>1.4322615717443661</v>
      </c>
      <c r="AC35">
        <v>1.4179011744699921</v>
      </c>
      <c r="AD35">
        <v>1.4831894928012681</v>
      </c>
    </row>
    <row r="37" spans="1:30" x14ac:dyDescent="0.35">
      <c r="A37" s="1" t="s">
        <v>15</v>
      </c>
      <c r="B37" s="10"/>
      <c r="C37" s="10"/>
      <c r="D37" s="10"/>
      <c r="E37" s="10"/>
      <c r="F37" s="2" t="s">
        <v>17</v>
      </c>
      <c r="G37" s="2" t="s">
        <v>18</v>
      </c>
      <c r="H37" s="2" t="s">
        <v>19</v>
      </c>
      <c r="I37" s="2" t="s">
        <v>20</v>
      </c>
      <c r="J37" s="2" t="s">
        <v>21</v>
      </c>
      <c r="K37" s="2" t="s">
        <v>22</v>
      </c>
      <c r="L37" s="2" t="s">
        <v>23</v>
      </c>
      <c r="M37" s="2" t="s">
        <v>24</v>
      </c>
      <c r="N37" s="2" t="s">
        <v>25</v>
      </c>
      <c r="O37" s="2" t="s">
        <v>26</v>
      </c>
      <c r="P37" s="2" t="s">
        <v>27</v>
      </c>
      <c r="Q37" s="2" t="s">
        <v>28</v>
      </c>
      <c r="R37" s="2" t="s">
        <v>29</v>
      </c>
      <c r="S37" s="2" t="s">
        <v>30</v>
      </c>
      <c r="T37" s="2" t="s">
        <v>31</v>
      </c>
      <c r="U37" s="2" t="s">
        <v>32</v>
      </c>
      <c r="V37" s="2" t="s">
        <v>33</v>
      </c>
      <c r="W37" s="2" t="s">
        <v>34</v>
      </c>
      <c r="X37" s="2" t="s">
        <v>35</v>
      </c>
      <c r="Y37" s="2" t="s">
        <v>36</v>
      </c>
      <c r="Z37" s="3" t="s">
        <v>37</v>
      </c>
      <c r="AA37" s="3" t="s">
        <v>38</v>
      </c>
      <c r="AB37" s="3" t="s">
        <v>39</v>
      </c>
      <c r="AC37" s="3" t="s">
        <v>40</v>
      </c>
    </row>
    <row r="38" spans="1:30" x14ac:dyDescent="0.35">
      <c r="A38" s="4" t="s">
        <v>41</v>
      </c>
      <c r="B38" s="12"/>
      <c r="C38" s="12"/>
      <c r="D38" s="12"/>
      <c r="E38" s="12"/>
      <c r="F38">
        <v>132.3830679174151</v>
      </c>
      <c r="G38">
        <v>133.22864053407059</v>
      </c>
      <c r="H38">
        <v>136.30165783621021</v>
      </c>
      <c r="I38">
        <v>135.3824245085064</v>
      </c>
      <c r="J38">
        <v>133.83570351401411</v>
      </c>
      <c r="K38">
        <v>131.87489783492529</v>
      </c>
      <c r="L38">
        <v>131.1356915650193</v>
      </c>
      <c r="M38">
        <v>129.47230286810949</v>
      </c>
      <c r="N38">
        <v>129.34472841048469</v>
      </c>
      <c r="O38">
        <v>131.4534857039441</v>
      </c>
      <c r="P38">
        <v>131.7155339764507</v>
      </c>
      <c r="Q38">
        <v>131.25851429906621</v>
      </c>
      <c r="R38">
        <v>132.73384871823549</v>
      </c>
      <c r="S38">
        <v>133.44219538041571</v>
      </c>
      <c r="T38">
        <v>133.76755452848761</v>
      </c>
      <c r="U38">
        <v>135.3136659257851</v>
      </c>
      <c r="V38">
        <v>136.174564953763</v>
      </c>
      <c r="W38">
        <v>136.81709999339159</v>
      </c>
      <c r="X38">
        <v>136.69241262670499</v>
      </c>
      <c r="Y38">
        <v>134.948750294055</v>
      </c>
      <c r="Z38">
        <v>134.57147996843619</v>
      </c>
      <c r="AA38">
        <v>136.41792232868141</v>
      </c>
      <c r="AB38">
        <v>137.00629562165429</v>
      </c>
      <c r="AC38">
        <v>137.20721483911191</v>
      </c>
      <c r="AD38">
        <v>139.78392031902081</v>
      </c>
    </row>
    <row r="39" spans="1:30" x14ac:dyDescent="0.35">
      <c r="A39" s="5" t="s">
        <v>6</v>
      </c>
      <c r="B39" s="12"/>
      <c r="C39" s="12"/>
      <c r="D39" s="12"/>
      <c r="E39" s="12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s="6" t="s">
        <v>42</v>
      </c>
      <c r="B40" s="12"/>
      <c r="C40" s="12"/>
      <c r="D40" s="12"/>
      <c r="E40" s="12"/>
      <c r="F40">
        <v>0.53733727491581362</v>
      </c>
      <c r="G40">
        <v>0.61144890440334621</v>
      </c>
      <c r="H40">
        <v>0.32319333564112179</v>
      </c>
      <c r="I40">
        <v>-0.89774631802086446</v>
      </c>
      <c r="J40">
        <v>-0.38175502107574738</v>
      </c>
      <c r="K40">
        <v>-0.59152796588301726</v>
      </c>
      <c r="L40">
        <v>-0.80097814863870553</v>
      </c>
      <c r="M40">
        <v>-0.57952409404390437</v>
      </c>
      <c r="N40">
        <v>-0.1218767355521209</v>
      </c>
      <c r="O40">
        <v>-0.57677921084459172</v>
      </c>
      <c r="P40">
        <v>-1.563158121816997</v>
      </c>
      <c r="Q40">
        <v>-1.3928785047271219</v>
      </c>
      <c r="R40">
        <v>-1.751634827333447</v>
      </c>
      <c r="S40">
        <v>-1.055753827058538</v>
      </c>
      <c r="T40">
        <v>-0.70981924968504018</v>
      </c>
      <c r="U40">
        <v>0.45637312284415538</v>
      </c>
      <c r="V40">
        <v>-0.59196154705890081</v>
      </c>
      <c r="W40">
        <v>-0.32963785050176853</v>
      </c>
      <c r="X40">
        <v>-0.49424107346195001</v>
      </c>
      <c r="Y40">
        <v>-0.28560818312433872</v>
      </c>
      <c r="Z40">
        <v>-0.97599677625345294</v>
      </c>
      <c r="AA40">
        <v>0.20518067039733981</v>
      </c>
      <c r="AB40">
        <v>0.17963091044521209</v>
      </c>
      <c r="AC40">
        <v>1.0649609356779881</v>
      </c>
      <c r="AD40">
        <v>1.2329039532214101</v>
      </c>
    </row>
    <row r="41" spans="1:30" x14ac:dyDescent="0.35">
      <c r="A41" s="8" t="s">
        <v>43</v>
      </c>
      <c r="B41" s="12"/>
      <c r="C41" s="12"/>
      <c r="D41" s="12"/>
      <c r="E41" s="12"/>
      <c r="F41">
        <v>-1.141524355874139</v>
      </c>
      <c r="G41">
        <v>-0.85144280260718119</v>
      </c>
      <c r="H41">
        <v>-0.43661837355853089</v>
      </c>
      <c r="I41">
        <v>-0.55641526374409978</v>
      </c>
      <c r="J41">
        <v>-0.49662091596900382</v>
      </c>
      <c r="K41">
        <v>0.1171802675428069</v>
      </c>
      <c r="L41">
        <v>-0.43774499675095058</v>
      </c>
      <c r="M41">
        <v>-0.36445296281766559</v>
      </c>
      <c r="N41">
        <v>-1.307513225985758</v>
      </c>
      <c r="O41">
        <v>-1.6113287837553401</v>
      </c>
      <c r="P41">
        <v>-2.3543304576393349</v>
      </c>
      <c r="Q41">
        <v>-2.5707845208629578</v>
      </c>
      <c r="R41">
        <v>-2.285649748372975</v>
      </c>
      <c r="S41">
        <v>-2.2622104742169138</v>
      </c>
      <c r="T41">
        <v>-1.798999721236811</v>
      </c>
      <c r="U41">
        <v>-1.156741647118821</v>
      </c>
      <c r="V41">
        <v>-1.8790409195883631</v>
      </c>
      <c r="W41">
        <v>-1.411241519880718</v>
      </c>
      <c r="X41">
        <v>-0.4897308860362557</v>
      </c>
      <c r="Y41">
        <v>2.2143246111852761</v>
      </c>
      <c r="Z41">
        <v>3.238486662019028</v>
      </c>
      <c r="AA41">
        <v>2.1064981606447759</v>
      </c>
      <c r="AB41">
        <v>2.420683982650957</v>
      </c>
      <c r="AC41">
        <v>3.3393899206184021</v>
      </c>
      <c r="AD41">
        <v>2.638090007903287</v>
      </c>
    </row>
    <row r="42" spans="1:30" x14ac:dyDescent="0.35">
      <c r="A42" s="6" t="s">
        <v>44</v>
      </c>
      <c r="B42" s="12"/>
      <c r="C42" s="12"/>
      <c r="D42" s="12"/>
      <c r="E42" s="12"/>
      <c r="F42">
        <v>1.141524355874139</v>
      </c>
      <c r="G42">
        <v>0.85144280260718119</v>
      </c>
      <c r="H42">
        <v>0.43661837355853089</v>
      </c>
      <c r="I42">
        <v>0.55641526374409978</v>
      </c>
      <c r="J42">
        <v>0.49662091596900382</v>
      </c>
      <c r="K42">
        <v>-0.1171802675428069</v>
      </c>
      <c r="L42">
        <v>0.43774499675095058</v>
      </c>
      <c r="M42">
        <v>0.36445296281766559</v>
      </c>
      <c r="N42">
        <v>1.307513225985758</v>
      </c>
      <c r="O42">
        <v>1.6113287837553401</v>
      </c>
      <c r="P42">
        <v>2.3543304576393349</v>
      </c>
      <c r="Q42">
        <v>2.5707845208629578</v>
      </c>
      <c r="R42">
        <v>2.285649748372975</v>
      </c>
      <c r="S42">
        <v>2.2622104742169138</v>
      </c>
      <c r="T42">
        <v>1.798999721236811</v>
      </c>
      <c r="U42">
        <v>1.156741647118821</v>
      </c>
      <c r="V42">
        <v>1.8790409195883631</v>
      </c>
      <c r="W42">
        <v>1.411241519880718</v>
      </c>
      <c r="X42">
        <v>0.4897308860362557</v>
      </c>
      <c r="Y42">
        <v>-2.2143246111852761</v>
      </c>
      <c r="Z42">
        <v>-3.238486662019028</v>
      </c>
      <c r="AA42">
        <v>-2.1064981606447759</v>
      </c>
      <c r="AB42">
        <v>-2.420683982650957</v>
      </c>
      <c r="AC42">
        <v>-3.3393899206184021</v>
      </c>
      <c r="AD42">
        <v>-2.638090007903287</v>
      </c>
    </row>
    <row r="43" spans="1:30" x14ac:dyDescent="0.35">
      <c r="A43" s="8" t="s">
        <v>10</v>
      </c>
      <c r="B43" s="12"/>
      <c r="C43" s="12"/>
      <c r="D43" s="12"/>
      <c r="E43" s="12"/>
      <c r="F43">
        <v>132.92040519233089</v>
      </c>
      <c r="G43">
        <v>133.84008943847391</v>
      </c>
      <c r="H43">
        <v>136.6248511718513</v>
      </c>
      <c r="I43">
        <v>134.48467819048551</v>
      </c>
      <c r="J43">
        <v>133.45394849293839</v>
      </c>
      <c r="K43">
        <v>131.2833698690423</v>
      </c>
      <c r="L43">
        <v>130.33471341638059</v>
      </c>
      <c r="M43">
        <v>128.89277877406559</v>
      </c>
      <c r="N43">
        <v>129.22285167493251</v>
      </c>
      <c r="O43">
        <v>130.8767064930995</v>
      </c>
      <c r="P43">
        <v>130.1523758546337</v>
      </c>
      <c r="Q43">
        <v>129.86563579433911</v>
      </c>
      <c r="R43">
        <v>130.9822138909021</v>
      </c>
      <c r="S43">
        <v>132.38644155335709</v>
      </c>
      <c r="T43">
        <v>133.05773527880251</v>
      </c>
      <c r="U43">
        <v>135.77003904862929</v>
      </c>
      <c r="V43">
        <v>135.5826034067041</v>
      </c>
      <c r="W43">
        <v>136.48746214288991</v>
      </c>
      <c r="X43">
        <v>136.19817155324299</v>
      </c>
      <c r="Y43">
        <v>134.66314211093061</v>
      </c>
      <c r="Z43">
        <v>133.59548319218271</v>
      </c>
      <c r="AA43">
        <v>136.6231029990787</v>
      </c>
      <c r="AB43">
        <v>137.18592653209959</v>
      </c>
      <c r="AC43">
        <v>138.2721757747899</v>
      </c>
      <c r="AD43">
        <v>141.01682427224219</v>
      </c>
    </row>
    <row r="44" spans="1:30" x14ac:dyDescent="0.35">
      <c r="A44" s="4" t="s">
        <v>45</v>
      </c>
      <c r="B44" s="12"/>
      <c r="C44" s="12"/>
      <c r="D44" s="12"/>
      <c r="E44" s="12"/>
      <c r="F44">
        <v>1.47133945685862</v>
      </c>
      <c r="G44">
        <v>1.448437870448267</v>
      </c>
      <c r="H44">
        <v>1.268505406210694</v>
      </c>
      <c r="I44">
        <v>1.3692403700870379</v>
      </c>
      <c r="J44">
        <v>1.358985565296158</v>
      </c>
      <c r="K44">
        <v>1.26160751013934</v>
      </c>
      <c r="L44">
        <v>1.3410244306027621</v>
      </c>
      <c r="M44">
        <v>1.37404282728483</v>
      </c>
      <c r="N44">
        <v>1.394642609279223</v>
      </c>
      <c r="O44">
        <v>1.3463624033576129</v>
      </c>
      <c r="P44">
        <v>1.292712851949672</v>
      </c>
      <c r="Q44">
        <v>1.347509717041365</v>
      </c>
      <c r="R44">
        <v>1.3825699453356239</v>
      </c>
      <c r="S44">
        <v>1.332583150594469</v>
      </c>
      <c r="T44">
        <v>1.2570081324565929</v>
      </c>
      <c r="U44">
        <v>1.3077674998375779</v>
      </c>
      <c r="V44">
        <v>1.3170153033941281</v>
      </c>
      <c r="W44">
        <v>1.300039516937556</v>
      </c>
      <c r="X44">
        <v>1.314467217951788</v>
      </c>
      <c r="Y44">
        <v>1.3452338497235781</v>
      </c>
      <c r="Z44">
        <v>1.330970474158055</v>
      </c>
      <c r="AA44">
        <v>1.302622256394282</v>
      </c>
      <c r="AB44">
        <v>1.307922024644498</v>
      </c>
      <c r="AC44">
        <v>1.318212622752438</v>
      </c>
      <c r="AD44">
        <v>1.332228750180473</v>
      </c>
    </row>
    <row r="46" spans="1:30" x14ac:dyDescent="0.35">
      <c r="A46" s="1" t="s">
        <v>46</v>
      </c>
      <c r="B46" s="2">
        <v>2016</v>
      </c>
      <c r="C46" s="2">
        <v>2017</v>
      </c>
      <c r="D46" s="2">
        <v>2018</v>
      </c>
      <c r="E46" s="2">
        <v>2019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K46" s="2" t="s">
        <v>22</v>
      </c>
      <c r="L46" s="2" t="s">
        <v>23</v>
      </c>
      <c r="M46" s="2" t="s">
        <v>24</v>
      </c>
      <c r="N46" s="2" t="s">
        <v>25</v>
      </c>
      <c r="O46" s="2" t="s">
        <v>26</v>
      </c>
      <c r="P46" s="2" t="s">
        <v>27</v>
      </c>
      <c r="Q46" s="2" t="s">
        <v>28</v>
      </c>
      <c r="R46" s="2" t="s">
        <v>29</v>
      </c>
      <c r="S46" s="2" t="s">
        <v>30</v>
      </c>
      <c r="T46" s="2" t="s">
        <v>31</v>
      </c>
      <c r="U46" s="2" t="s">
        <v>32</v>
      </c>
      <c r="V46" s="2" t="s">
        <v>33</v>
      </c>
      <c r="W46" s="2" t="s">
        <v>34</v>
      </c>
      <c r="X46" s="2" t="s">
        <v>35</v>
      </c>
      <c r="Y46" s="2" t="s">
        <v>36</v>
      </c>
      <c r="Z46" s="3" t="s">
        <v>37</v>
      </c>
      <c r="AA46" s="3" t="s">
        <v>38</v>
      </c>
      <c r="AB46" s="3" t="s">
        <v>39</v>
      </c>
      <c r="AC46" s="3" t="s">
        <v>40</v>
      </c>
    </row>
    <row r="47" spans="1:30" x14ac:dyDescent="0.35">
      <c r="A47" s="4" t="s">
        <v>41</v>
      </c>
      <c r="B47">
        <v>130.11007291353741</v>
      </c>
      <c r="C47">
        <v>132.58768423165381</v>
      </c>
      <c r="D47">
        <v>132.5187601758179</v>
      </c>
      <c r="E47">
        <v>130.52654322632679</v>
      </c>
      <c r="F47">
        <v>130.91150494744431</v>
      </c>
      <c r="G47">
        <v>133.5681795151722</v>
      </c>
      <c r="H47">
        <v>135.3287156077005</v>
      </c>
      <c r="I47">
        <v>135.00451746431631</v>
      </c>
      <c r="J47">
        <v>135.3346609884608</v>
      </c>
      <c r="K47">
        <v>135.42705044425381</v>
      </c>
      <c r="L47">
        <v>135.1424920223651</v>
      </c>
      <c r="M47">
        <v>133.5823735198444</v>
      </c>
      <c r="N47">
        <v>134.24542394347671</v>
      </c>
      <c r="O47">
        <v>136.54105153034561</v>
      </c>
      <c r="P47">
        <v>137.3492500651486</v>
      </c>
      <c r="Q47">
        <v>138.63773781249441</v>
      </c>
      <c r="R47">
        <v>139.45712911470301</v>
      </c>
      <c r="S47">
        <v>138.75195256416711</v>
      </c>
      <c r="T47">
        <v>138.87581195365919</v>
      </c>
      <c r="U47">
        <v>138.31101426344071</v>
      </c>
      <c r="V47">
        <v>137.53277694910449</v>
      </c>
      <c r="W47">
        <v>138.76369128276681</v>
      </c>
      <c r="X47">
        <v>140.07469561588391</v>
      </c>
      <c r="Y47">
        <v>138.61956570479541</v>
      </c>
      <c r="Z47">
        <v>138.1377774999921</v>
      </c>
      <c r="AA47">
        <v>139.22050276176489</v>
      </c>
      <c r="AB47">
        <v>139.6100380592523</v>
      </c>
      <c r="AC47">
        <v>140.56262399932459</v>
      </c>
      <c r="AD47">
        <v>141.67263467985191</v>
      </c>
    </row>
    <row r="48" spans="1:30" x14ac:dyDescent="0.35">
      <c r="A48" s="5" t="s">
        <v>6</v>
      </c>
      <c r="B48">
        <v>0.1572520016262331</v>
      </c>
      <c r="C48">
        <v>9.8662384488108046E-2</v>
      </c>
      <c r="D48">
        <v>3.1447292337418283E-2</v>
      </c>
      <c r="E48">
        <v>7.931196901694193E-3</v>
      </c>
      <c r="F48">
        <v>1.600884007189052E-4</v>
      </c>
      <c r="G48">
        <v>5.4589378956393375E-4</v>
      </c>
      <c r="H48">
        <v>9.2920138649787987E-4</v>
      </c>
      <c r="I48">
        <v>-1.4430358646961849E-3</v>
      </c>
      <c r="J48">
        <v>3.2879285197395802E-4</v>
      </c>
      <c r="K48">
        <v>2.9449277164417248E-4</v>
      </c>
      <c r="L48">
        <v>3.9904695560721848E-4</v>
      </c>
      <c r="M48">
        <v>-1.102902682532658E-3</v>
      </c>
      <c r="N48">
        <v>-1.072890216477163E-3</v>
      </c>
      <c r="O48">
        <v>-3.8523387575253309E-3</v>
      </c>
      <c r="P48">
        <v>-1.024643662077551E-3</v>
      </c>
      <c r="Q48">
        <v>3.3984759759846379E-3</v>
      </c>
      <c r="R48">
        <v>-1.7858751838019771E-2</v>
      </c>
      <c r="S48">
        <v>8.8215096548651672E-3</v>
      </c>
      <c r="T48">
        <v>-8.1867538263225015E-3</v>
      </c>
      <c r="U48">
        <v>7.4372030159679534E-3</v>
      </c>
      <c r="V48">
        <v>1.412851735267395E-4</v>
      </c>
      <c r="W48">
        <v>2.214971122441511E-3</v>
      </c>
      <c r="X48">
        <v>-1.75401551857135E-3</v>
      </c>
      <c r="Y48">
        <v>-7.0410598930266133E-3</v>
      </c>
      <c r="Z48">
        <v>-2.0335988301667379E-4</v>
      </c>
      <c r="AA48">
        <v>-8.678741596781947E-3</v>
      </c>
      <c r="AB48">
        <v>-4.2505329931827873E-3</v>
      </c>
      <c r="AC48">
        <v>-7.1645739957375554E-3</v>
      </c>
      <c r="AD48">
        <v>-9.2268730577416136E-4</v>
      </c>
    </row>
    <row r="49" spans="1:30" x14ac:dyDescent="0.35">
      <c r="A49" s="6" t="s">
        <v>42</v>
      </c>
      <c r="B49">
        <v>0.51854456034359941</v>
      </c>
      <c r="C49">
        <v>0.94898376741480206</v>
      </c>
      <c r="D49">
        <v>0.95230876119501318</v>
      </c>
      <c r="E49">
        <v>0.84259456010602207</v>
      </c>
      <c r="F49">
        <v>0.463048473902262</v>
      </c>
      <c r="G49">
        <v>0.64365508084401313</v>
      </c>
      <c r="H49">
        <v>0.52209715594676709</v>
      </c>
      <c r="I49">
        <v>0.60813820479248193</v>
      </c>
      <c r="J49">
        <v>1.261096685861901</v>
      </c>
      <c r="K49">
        <v>1.1570358849313891</v>
      </c>
      <c r="L49">
        <v>0.92621472479876843</v>
      </c>
      <c r="M49">
        <v>0.52836128374764257</v>
      </c>
      <c r="N49">
        <v>0.40492693036051719</v>
      </c>
      <c r="O49">
        <v>0.77317487594146428</v>
      </c>
      <c r="P49">
        <v>0.57645117085374409</v>
      </c>
      <c r="Q49">
        <v>0.66510351443088211</v>
      </c>
      <c r="R49">
        <v>0.76689537483369463</v>
      </c>
      <c r="S49">
        <v>1.07276401894373</v>
      </c>
      <c r="T49">
        <v>1.3097788075278061</v>
      </c>
      <c r="U49">
        <v>1.0316059629070931</v>
      </c>
      <c r="V49">
        <v>0.42542712303153962</v>
      </c>
      <c r="W49">
        <v>1.1694034204824959</v>
      </c>
      <c r="X49">
        <v>1.483996917309071</v>
      </c>
      <c r="Y49">
        <v>1.2745257212127969</v>
      </c>
      <c r="Z49">
        <v>1.315130384219515</v>
      </c>
      <c r="AA49">
        <v>1.804837031650379</v>
      </c>
      <c r="AB49">
        <v>2.2460315778103852</v>
      </c>
      <c r="AC49">
        <v>2.6549845717395608</v>
      </c>
      <c r="AD49">
        <v>2.8701253038320829</v>
      </c>
    </row>
    <row r="50" spans="1:30" x14ac:dyDescent="0.35">
      <c r="A50" s="8" t="s">
        <v>43</v>
      </c>
      <c r="B50">
        <v>-0.101437196998063</v>
      </c>
      <c r="C50">
        <v>0.71313187032765768</v>
      </c>
      <c r="D50">
        <v>0.65304261802091901</v>
      </c>
      <c r="E50">
        <v>0.43739225554909922</v>
      </c>
      <c r="F50">
        <v>0.24966255191151279</v>
      </c>
      <c r="G50">
        <v>0.15626569170689211</v>
      </c>
      <c r="H50">
        <v>0.39542016346672432</v>
      </c>
      <c r="I50">
        <v>0.86245282604656381</v>
      </c>
      <c r="J50">
        <v>0.6448929668697474</v>
      </c>
      <c r="K50">
        <v>0.51016007698009957</v>
      </c>
      <c r="L50">
        <v>0.3065664642221293</v>
      </c>
      <c r="M50">
        <v>-0.27328638194242671</v>
      </c>
      <c r="N50">
        <v>-0.85404632980274187</v>
      </c>
      <c r="O50">
        <v>-0.83574420203672162</v>
      </c>
      <c r="P50">
        <v>-1.12167414185086</v>
      </c>
      <c r="Q50">
        <v>-0.73144787651790466</v>
      </c>
      <c r="R50">
        <v>-0.68972094604626477</v>
      </c>
      <c r="S50">
        <v>-0.98977693345048579</v>
      </c>
      <c r="T50">
        <v>-1.217017656891642</v>
      </c>
      <c r="U50">
        <v>-1.0803200610198189</v>
      </c>
      <c r="V50">
        <v>-1.448964346863193</v>
      </c>
      <c r="W50">
        <v>-0.90400533849847875</v>
      </c>
      <c r="X50">
        <v>-0.3055666417240559</v>
      </c>
      <c r="Y50">
        <v>0.50723581999670841</v>
      </c>
      <c r="Z50">
        <v>0.38672774089747008</v>
      </c>
      <c r="AA50">
        <v>0.65912438406741103</v>
      </c>
      <c r="AB50">
        <v>1.0772655239200051</v>
      </c>
      <c r="AC50">
        <v>1.762541170361857</v>
      </c>
      <c r="AD50">
        <v>0.68936310538290968</v>
      </c>
    </row>
    <row r="51" spans="1:30" x14ac:dyDescent="0.35">
      <c r="A51" s="6" t="s">
        <v>44</v>
      </c>
      <c r="B51">
        <v>0.101437196998063</v>
      </c>
      <c r="C51">
        <v>-0.71313187032765768</v>
      </c>
      <c r="D51">
        <v>-0.65304261802091901</v>
      </c>
      <c r="E51">
        <v>-0.43739225554909922</v>
      </c>
      <c r="F51">
        <v>-0.24966255191151279</v>
      </c>
      <c r="G51">
        <v>-0.15626569170689211</v>
      </c>
      <c r="H51">
        <v>-0.39542016346672432</v>
      </c>
      <c r="I51">
        <v>-0.86245282604656381</v>
      </c>
      <c r="J51">
        <v>-0.6448929668697474</v>
      </c>
      <c r="K51">
        <v>-0.51016007698009957</v>
      </c>
      <c r="L51">
        <v>-0.3065664642221293</v>
      </c>
      <c r="M51">
        <v>0.27328638194242671</v>
      </c>
      <c r="N51">
        <v>0.85404632980274187</v>
      </c>
      <c r="O51">
        <v>0.83574420203672162</v>
      </c>
      <c r="P51">
        <v>1.12167414185086</v>
      </c>
      <c r="Q51">
        <v>0.73144787651790466</v>
      </c>
      <c r="R51">
        <v>0.68972094604626477</v>
      </c>
      <c r="S51">
        <v>0.98977693345048579</v>
      </c>
      <c r="T51">
        <v>1.217017656891642</v>
      </c>
      <c r="U51">
        <v>1.0803200610198189</v>
      </c>
      <c r="V51">
        <v>1.448964346863193</v>
      </c>
      <c r="W51">
        <v>0.90400533849847875</v>
      </c>
      <c r="X51">
        <v>0.3055666417240559</v>
      </c>
      <c r="Y51">
        <v>-0.50723581999670841</v>
      </c>
      <c r="Z51">
        <v>-0.38672774089747008</v>
      </c>
      <c r="AA51">
        <v>-0.65912438406741103</v>
      </c>
      <c r="AB51">
        <v>-1.0772655239200051</v>
      </c>
      <c r="AC51">
        <v>-1.762541170361857</v>
      </c>
      <c r="AD51">
        <v>-0.68936310538290968</v>
      </c>
    </row>
    <row r="52" spans="1:30" x14ac:dyDescent="0.35">
      <c r="A52" s="8" t="s">
        <v>10</v>
      </c>
      <c r="B52">
        <v>130.7858694755073</v>
      </c>
      <c r="C52">
        <v>133.63533038355669</v>
      </c>
      <c r="D52">
        <v>133.50251622935031</v>
      </c>
      <c r="E52">
        <v>131.37706898333451</v>
      </c>
      <c r="F52">
        <v>131.37471350974729</v>
      </c>
      <c r="G52">
        <v>134.21238048980581</v>
      </c>
      <c r="H52">
        <v>135.8517419650338</v>
      </c>
      <c r="I52">
        <v>135.61121263324409</v>
      </c>
      <c r="J52">
        <v>136.5960864671747</v>
      </c>
      <c r="K52">
        <v>136.58438082195681</v>
      </c>
      <c r="L52">
        <v>136.06910579411951</v>
      </c>
      <c r="M52">
        <v>134.10963190090951</v>
      </c>
      <c r="N52">
        <v>134.64927798362069</v>
      </c>
      <c r="O52">
        <v>137.31037406752949</v>
      </c>
      <c r="P52">
        <v>137.92467659234029</v>
      </c>
      <c r="Q52">
        <v>139.30623980290119</v>
      </c>
      <c r="R52">
        <v>140.20616573769871</v>
      </c>
      <c r="S52">
        <v>139.83353809276571</v>
      </c>
      <c r="T52">
        <v>140.17740400736071</v>
      </c>
      <c r="U52">
        <v>139.35005742936369</v>
      </c>
      <c r="V52">
        <v>137.95834535730961</v>
      </c>
      <c r="W52">
        <v>139.93530967437181</v>
      </c>
      <c r="X52">
        <v>141.55693851767441</v>
      </c>
      <c r="Y52">
        <v>139.8870503661152</v>
      </c>
      <c r="Z52">
        <v>139.4527045243286</v>
      </c>
      <c r="AA52">
        <v>141.01666105181849</v>
      </c>
      <c r="AB52">
        <v>141.85181910406951</v>
      </c>
      <c r="AC52">
        <v>143.21044399706841</v>
      </c>
      <c r="AD52">
        <v>144.54183729637819</v>
      </c>
    </row>
    <row r="53" spans="1:30" x14ac:dyDescent="0.35">
      <c r="A53" s="4" t="s">
        <v>45</v>
      </c>
      <c r="B53">
        <v>1.9921044860004951</v>
      </c>
      <c r="C53">
        <v>1.9352154596879909</v>
      </c>
      <c r="D53">
        <v>1.9544424858399341</v>
      </c>
      <c r="E53">
        <v>1.949596519297573</v>
      </c>
      <c r="F53">
        <v>1.9059813721139309</v>
      </c>
      <c r="G53">
        <v>1.931451545223581</v>
      </c>
      <c r="H53">
        <v>1.7403846399848191</v>
      </c>
      <c r="I53">
        <v>1.8062675016084799</v>
      </c>
      <c r="J53">
        <v>1.674220906658777</v>
      </c>
      <c r="K53">
        <v>1.496675683758548</v>
      </c>
      <c r="L53">
        <v>1.556455051823336</v>
      </c>
      <c r="M53">
        <v>1.606034414684977</v>
      </c>
      <c r="N53">
        <v>1.584558450430916</v>
      </c>
      <c r="O53">
        <v>1.5862790821010679</v>
      </c>
      <c r="P53">
        <v>1.611458079722744</v>
      </c>
      <c r="Q53">
        <v>1.612190312666999</v>
      </c>
      <c r="R53">
        <v>1.647584119707806</v>
      </c>
      <c r="S53">
        <v>1.5467978447939059</v>
      </c>
      <c r="T53">
        <v>1.4858754371517791</v>
      </c>
      <c r="U53">
        <v>1.478680380774589</v>
      </c>
      <c r="V53">
        <v>1.527505172415681</v>
      </c>
      <c r="W53">
        <v>1.4969820685143209</v>
      </c>
      <c r="X53">
        <v>1.479673395563722</v>
      </c>
      <c r="Y53">
        <v>1.4840307193415341</v>
      </c>
      <c r="Z53">
        <v>1.493030664814091</v>
      </c>
      <c r="AA53">
        <v>1.447165964965992</v>
      </c>
      <c r="AB53">
        <v>1.4481966799101611</v>
      </c>
      <c r="AC53">
        <v>1.436898775430933</v>
      </c>
      <c r="AD53">
        <v>1.4903248887933771</v>
      </c>
    </row>
    <row r="55" spans="1:30" x14ac:dyDescent="0.35">
      <c r="A55" s="1" t="s">
        <v>16</v>
      </c>
      <c r="B55" s="2">
        <v>2016</v>
      </c>
      <c r="C55" s="2">
        <v>2017</v>
      </c>
      <c r="D55" s="2">
        <v>2018</v>
      </c>
      <c r="E55" s="2">
        <v>2019</v>
      </c>
      <c r="F55" s="2" t="s">
        <v>17</v>
      </c>
      <c r="G55" s="2" t="s">
        <v>18</v>
      </c>
      <c r="H55" s="2" t="s">
        <v>19</v>
      </c>
      <c r="I55" s="2" t="s">
        <v>20</v>
      </c>
      <c r="J55" s="2" t="s">
        <v>21</v>
      </c>
      <c r="K55" s="2" t="s">
        <v>22</v>
      </c>
      <c r="L55" s="2" t="s">
        <v>23</v>
      </c>
      <c r="M55" s="2" t="s">
        <v>24</v>
      </c>
      <c r="N55" s="2" t="s">
        <v>25</v>
      </c>
      <c r="O55" s="2" t="s">
        <v>26</v>
      </c>
      <c r="P55" s="2" t="s">
        <v>27</v>
      </c>
      <c r="Q55" s="2" t="s">
        <v>28</v>
      </c>
      <c r="R55" s="2" t="s">
        <v>29</v>
      </c>
      <c r="S55" s="2" t="s">
        <v>30</v>
      </c>
      <c r="T55" s="2" t="s">
        <v>31</v>
      </c>
      <c r="U55" s="2" t="s">
        <v>32</v>
      </c>
      <c r="V55" s="2" t="s">
        <v>33</v>
      </c>
      <c r="W55" s="2" t="s">
        <v>34</v>
      </c>
      <c r="X55" s="2" t="s">
        <v>35</v>
      </c>
      <c r="Y55" s="2" t="s">
        <v>36</v>
      </c>
      <c r="Z55" s="3" t="s">
        <v>37</v>
      </c>
      <c r="AA55" s="3" t="s">
        <v>38</v>
      </c>
      <c r="AB55" s="3" t="s">
        <v>39</v>
      </c>
      <c r="AC55" s="3" t="s">
        <v>40</v>
      </c>
    </row>
    <row r="56" spans="1:30" x14ac:dyDescent="0.35">
      <c r="A56" s="4" t="s">
        <v>41</v>
      </c>
      <c r="B56">
        <v>136.55967984794</v>
      </c>
      <c r="C56">
        <v>139.10083206241461</v>
      </c>
      <c r="D56">
        <v>137.77797859461779</v>
      </c>
      <c r="E56">
        <v>136.8745567737196</v>
      </c>
      <c r="F56">
        <v>135.86332249445411</v>
      </c>
      <c r="G56">
        <v>138.37204193247351</v>
      </c>
      <c r="H56">
        <v>138.78949632186041</v>
      </c>
      <c r="I56">
        <v>136.95890436813559</v>
      </c>
      <c r="J56">
        <v>135.464326976926</v>
      </c>
      <c r="K56">
        <v>135.73800874777231</v>
      </c>
      <c r="L56">
        <v>134.5037235232796</v>
      </c>
      <c r="M56">
        <v>133.19297164592061</v>
      </c>
      <c r="N56">
        <v>133.26474125481579</v>
      </c>
      <c r="O56">
        <v>134.70114979213409</v>
      </c>
      <c r="P56">
        <v>136.05826795641721</v>
      </c>
      <c r="Q56">
        <v>138.33369756523109</v>
      </c>
      <c r="R56">
        <v>140.09671657848929</v>
      </c>
      <c r="S56">
        <v>140.6586391183844</v>
      </c>
      <c r="T56">
        <v>140.5045947179388</v>
      </c>
      <c r="U56">
        <v>140.56078051519651</v>
      </c>
      <c r="V56">
        <v>139.56825037479669</v>
      </c>
      <c r="W56">
        <v>140.43211833884561</v>
      </c>
      <c r="X56">
        <v>139.88511483115639</v>
      </c>
      <c r="Y56">
        <v>139.76781802522791</v>
      </c>
      <c r="Z56">
        <v>139.70876763492191</v>
      </c>
      <c r="AA56">
        <v>139.8667228088469</v>
      </c>
      <c r="AB56">
        <v>139.91790875779989</v>
      </c>
      <c r="AC56">
        <v>140.94205426095121</v>
      </c>
      <c r="AD56">
        <v>142.00120948928509</v>
      </c>
    </row>
    <row r="57" spans="1:30" x14ac:dyDescent="0.35">
      <c r="A57" s="5" t="s">
        <v>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s="6" t="s">
        <v>42</v>
      </c>
      <c r="B58">
        <v>3.5320244991528682</v>
      </c>
      <c r="C58">
        <v>3.8005326647321742</v>
      </c>
      <c r="D58">
        <v>3.371559874422644</v>
      </c>
      <c r="E58">
        <v>3.2957348762664371</v>
      </c>
      <c r="F58">
        <v>3.1855793752729942</v>
      </c>
      <c r="G58">
        <v>3.6084789501834962</v>
      </c>
      <c r="H58">
        <v>3.4625739204016099</v>
      </c>
      <c r="I58">
        <v>2.7842586361165331</v>
      </c>
      <c r="J58">
        <v>2.3455915014334319</v>
      </c>
      <c r="K58">
        <v>2.1523610045976511</v>
      </c>
      <c r="L58">
        <v>1.736087294448083</v>
      </c>
      <c r="M58">
        <v>1.1657481283057509</v>
      </c>
      <c r="N58">
        <v>0.95117970069210855</v>
      </c>
      <c r="O58">
        <v>0.29800482536774098</v>
      </c>
      <c r="P58">
        <v>-0.1612440095163663</v>
      </c>
      <c r="Q58">
        <v>0.7664811025425422</v>
      </c>
      <c r="R58">
        <v>0.75855075187274679</v>
      </c>
      <c r="S58">
        <v>1.162112032812445</v>
      </c>
      <c r="T58">
        <v>1.3570653200331999</v>
      </c>
      <c r="U58">
        <v>1.5373659245053659</v>
      </c>
      <c r="V58">
        <v>0.82586144572721309</v>
      </c>
      <c r="W58">
        <v>1.6373940255210471</v>
      </c>
      <c r="X58">
        <v>1.493147318017066</v>
      </c>
      <c r="Y58">
        <v>7.418484635232403E-2</v>
      </c>
      <c r="Z58">
        <v>-1.360803771450009</v>
      </c>
      <c r="AA58">
        <v>0.33959514828251258</v>
      </c>
      <c r="AB58">
        <v>0.34432056148114037</v>
      </c>
      <c r="AC58">
        <v>0.76377712878343118</v>
      </c>
      <c r="AD58">
        <v>0.30103972991631173</v>
      </c>
    </row>
    <row r="59" spans="1:30" x14ac:dyDescent="0.35">
      <c r="A59" s="8" t="s">
        <v>43</v>
      </c>
      <c r="B59">
        <v>1.6929428869122769</v>
      </c>
      <c r="C59">
        <v>0.52065631115098654</v>
      </c>
      <c r="D59">
        <v>0.51369483360406321</v>
      </c>
      <c r="E59">
        <v>0.44507486915969707</v>
      </c>
      <c r="F59">
        <v>-0.11503385154986739</v>
      </c>
      <c r="G59">
        <v>0.2591494696839618</v>
      </c>
      <c r="H59">
        <v>-0.1180931386892894</v>
      </c>
      <c r="I59">
        <v>0.1847078616274018</v>
      </c>
      <c r="J59">
        <v>0.32173198417399362</v>
      </c>
      <c r="K59">
        <v>0.59548126633561083</v>
      </c>
      <c r="L59">
        <v>1.4076525256943739</v>
      </c>
      <c r="M59">
        <v>0.50297320198063744</v>
      </c>
      <c r="N59">
        <v>0.35869736158767301</v>
      </c>
      <c r="O59">
        <v>-0.24831502811559861</v>
      </c>
      <c r="P59">
        <v>-0.78589967048097265</v>
      </c>
      <c r="Q59">
        <v>-0.85799000680069071</v>
      </c>
      <c r="R59">
        <v>-1.320269027331733</v>
      </c>
      <c r="S59">
        <v>-1.1022226151589509</v>
      </c>
      <c r="T59">
        <v>-1.154862753856946</v>
      </c>
      <c r="U59">
        <v>-0.25421934201827412</v>
      </c>
      <c r="V59">
        <v>-0.52312797233747688</v>
      </c>
      <c r="W59">
        <v>-0.29370088768652641</v>
      </c>
      <c r="X59">
        <v>-0.90527713633449025</v>
      </c>
      <c r="Y59">
        <v>-1.050204309995536</v>
      </c>
      <c r="Z59">
        <v>-1.3720840104666929</v>
      </c>
      <c r="AA59">
        <v>-0.62997499492396969</v>
      </c>
      <c r="AB59">
        <v>-0.18307285498318041</v>
      </c>
      <c r="AC59">
        <v>0.31454375719272321</v>
      </c>
      <c r="AD59">
        <v>-6.5043969532894153E-2</v>
      </c>
    </row>
    <row r="60" spans="1:30" x14ac:dyDescent="0.35">
      <c r="A60" s="6" t="s">
        <v>44</v>
      </c>
      <c r="B60">
        <v>-1.6929428869122769</v>
      </c>
      <c r="C60">
        <v>-0.52065631115098654</v>
      </c>
      <c r="D60">
        <v>-0.51369483360406321</v>
      </c>
      <c r="E60">
        <v>-0.44507486915969707</v>
      </c>
      <c r="F60">
        <v>0.11503385154986739</v>
      </c>
      <c r="G60">
        <v>-0.2591494696839618</v>
      </c>
      <c r="H60">
        <v>0.1180931386892894</v>
      </c>
      <c r="I60">
        <v>-0.1847078616274018</v>
      </c>
      <c r="J60">
        <v>-0.32173198417399362</v>
      </c>
      <c r="K60">
        <v>-0.59548126633561083</v>
      </c>
      <c r="L60">
        <v>-1.4076525256943739</v>
      </c>
      <c r="M60">
        <v>-0.50297320198063744</v>
      </c>
      <c r="N60">
        <v>-0.35869736158767301</v>
      </c>
      <c r="O60">
        <v>0.24831502811559861</v>
      </c>
      <c r="P60">
        <v>0.78589967048097265</v>
      </c>
      <c r="Q60">
        <v>0.85799000680069071</v>
      </c>
      <c r="R60">
        <v>1.320269027331733</v>
      </c>
      <c r="S60">
        <v>1.1022226151589509</v>
      </c>
      <c r="T60">
        <v>1.154862753856946</v>
      </c>
      <c r="U60">
        <v>0.25421934201827412</v>
      </c>
      <c r="V60">
        <v>0.52312797233747688</v>
      </c>
      <c r="W60">
        <v>0.29370088768652641</v>
      </c>
      <c r="X60">
        <v>0.90527713633449025</v>
      </c>
      <c r="Y60">
        <v>1.050204309995536</v>
      </c>
      <c r="Z60">
        <v>1.3720840104666929</v>
      </c>
      <c r="AA60">
        <v>0.62997499492396969</v>
      </c>
      <c r="AB60">
        <v>0.18307285498318041</v>
      </c>
      <c r="AC60">
        <v>-0.31454375719272321</v>
      </c>
      <c r="AD60">
        <v>6.5043969532894153E-2</v>
      </c>
    </row>
    <row r="61" spans="1:30" x14ac:dyDescent="0.35">
      <c r="A61" s="8" t="s">
        <v>10</v>
      </c>
      <c r="B61">
        <v>140.0917043470929</v>
      </c>
      <c r="C61">
        <v>142.90136472714681</v>
      </c>
      <c r="D61">
        <v>141.14953846904041</v>
      </c>
      <c r="E61">
        <v>140.17029164998601</v>
      </c>
      <c r="F61">
        <v>139.04890186972699</v>
      </c>
      <c r="G61">
        <v>141.98052088265689</v>
      </c>
      <c r="H61">
        <v>142.25207024226199</v>
      </c>
      <c r="I61">
        <v>139.7431630042521</v>
      </c>
      <c r="J61">
        <v>137.80991847835941</v>
      </c>
      <c r="K61">
        <v>137.89036975236999</v>
      </c>
      <c r="L61">
        <v>136.23981081772769</v>
      </c>
      <c r="M61">
        <v>134.3587197742263</v>
      </c>
      <c r="N61">
        <v>134.2159209555079</v>
      </c>
      <c r="O61">
        <v>134.99915461750189</v>
      </c>
      <c r="P61">
        <v>135.8970239469009</v>
      </c>
      <c r="Q61">
        <v>139.10017866777369</v>
      </c>
      <c r="R61">
        <v>140.85526733036201</v>
      </c>
      <c r="S61">
        <v>141.8207511511969</v>
      </c>
      <c r="T61">
        <v>141.861660037972</v>
      </c>
      <c r="U61">
        <v>142.09814643970191</v>
      </c>
      <c r="V61">
        <v>140.3941118205239</v>
      </c>
      <c r="W61">
        <v>142.06951236436669</v>
      </c>
      <c r="X61">
        <v>141.37826214917351</v>
      </c>
      <c r="Y61">
        <v>139.84200287158021</v>
      </c>
      <c r="Z61">
        <v>138.3479638634719</v>
      </c>
      <c r="AA61">
        <v>140.20631795712939</v>
      </c>
      <c r="AB61">
        <v>140.26222931928109</v>
      </c>
      <c r="AC61">
        <v>141.7058313897347</v>
      </c>
      <c r="AD61">
        <v>142.3022492192014</v>
      </c>
    </row>
    <row r="62" spans="1:30" x14ac:dyDescent="0.35">
      <c r="A62" s="4" t="s">
        <v>45</v>
      </c>
      <c r="B62">
        <v>1.676498611836778</v>
      </c>
      <c r="C62">
        <v>1.5853429896305531</v>
      </c>
      <c r="D62">
        <v>1.592162328491036</v>
      </c>
      <c r="E62">
        <v>1.617389305149882</v>
      </c>
      <c r="F62">
        <v>1.7088596061159529</v>
      </c>
      <c r="G62">
        <v>1.7387758658635999</v>
      </c>
      <c r="H62">
        <v>1.587456879805542</v>
      </c>
      <c r="I62">
        <v>1.724938667823632</v>
      </c>
      <c r="J62">
        <v>1.5790113661178511</v>
      </c>
      <c r="K62">
        <v>1.4332580120420819</v>
      </c>
      <c r="L62">
        <v>1.48381394836909</v>
      </c>
      <c r="M62">
        <v>1.493847709316686</v>
      </c>
      <c r="N62">
        <v>1.628260673169418</v>
      </c>
      <c r="O62">
        <v>1.5540459439509571</v>
      </c>
      <c r="P62">
        <v>1.6282643809042341</v>
      </c>
      <c r="Q62">
        <v>1.7468276327810279</v>
      </c>
      <c r="R62">
        <v>1.771781833155321</v>
      </c>
      <c r="S62">
        <v>1.6794053404899261</v>
      </c>
      <c r="T62">
        <v>1.8541271287878089</v>
      </c>
      <c r="U62">
        <v>1.9564478820233751</v>
      </c>
      <c r="V62">
        <v>1.8857882062876199</v>
      </c>
      <c r="W62">
        <v>1.650323204908152</v>
      </c>
      <c r="X62">
        <v>1.690912739645392</v>
      </c>
      <c r="Y62">
        <v>1.686938804639742</v>
      </c>
      <c r="Z62">
        <v>1.6353696617009441</v>
      </c>
      <c r="AA62">
        <v>1.6102641332682639</v>
      </c>
      <c r="AB62">
        <v>1.6219558472214941</v>
      </c>
      <c r="AC62">
        <v>1.6048691735881959</v>
      </c>
      <c r="AD62">
        <v>1.5637774940403659</v>
      </c>
    </row>
    <row r="64" spans="1:30" x14ac:dyDescent="0.35">
      <c r="A64" s="1" t="s">
        <v>47</v>
      </c>
      <c r="B64" s="2">
        <v>2016</v>
      </c>
      <c r="C64" s="2">
        <v>2017</v>
      </c>
      <c r="D64" s="2">
        <v>2018</v>
      </c>
      <c r="E64" s="2">
        <v>2019</v>
      </c>
      <c r="F64" s="2" t="s">
        <v>17</v>
      </c>
      <c r="G64" s="2" t="s">
        <v>18</v>
      </c>
      <c r="H64" s="2" t="s">
        <v>19</v>
      </c>
      <c r="I64" s="2" t="s">
        <v>20</v>
      </c>
      <c r="J64" s="2" t="s">
        <v>21</v>
      </c>
      <c r="K64" s="2" t="s">
        <v>22</v>
      </c>
      <c r="L64" s="2" t="s">
        <v>23</v>
      </c>
      <c r="M64" s="2" t="s">
        <v>24</v>
      </c>
      <c r="N64" s="2" t="s">
        <v>25</v>
      </c>
      <c r="O64" s="2" t="s">
        <v>26</v>
      </c>
      <c r="P64" s="2" t="s">
        <v>27</v>
      </c>
      <c r="Q64" s="2" t="s">
        <v>28</v>
      </c>
      <c r="R64" s="2" t="s">
        <v>29</v>
      </c>
      <c r="S64" s="2" t="s">
        <v>30</v>
      </c>
      <c r="T64" s="2" t="s">
        <v>31</v>
      </c>
      <c r="U64" s="2" t="s">
        <v>32</v>
      </c>
      <c r="V64" s="2" t="s">
        <v>33</v>
      </c>
      <c r="W64" s="2" t="s">
        <v>34</v>
      </c>
      <c r="X64" s="2" t="s">
        <v>35</v>
      </c>
      <c r="Y64" s="2" t="s">
        <v>36</v>
      </c>
      <c r="Z64" s="3" t="s">
        <v>37</v>
      </c>
      <c r="AA64" s="3" t="s">
        <v>38</v>
      </c>
      <c r="AB64" s="3" t="s">
        <v>39</v>
      </c>
      <c r="AC64" s="3" t="s">
        <v>40</v>
      </c>
    </row>
    <row r="65" spans="1:30" x14ac:dyDescent="0.35">
      <c r="A65" s="4" t="s">
        <v>41</v>
      </c>
      <c r="B65">
        <v>134.01309658622409</v>
      </c>
      <c r="C65">
        <v>137.09031276894561</v>
      </c>
      <c r="D65">
        <v>136.17853674495399</v>
      </c>
      <c r="E65">
        <v>135.22618829560011</v>
      </c>
      <c r="F65">
        <v>134.2283638661647</v>
      </c>
      <c r="G65">
        <v>136.51598414821001</v>
      </c>
      <c r="H65">
        <v>137.702766480094</v>
      </c>
      <c r="I65">
        <v>136.3202207907392</v>
      </c>
      <c r="J65">
        <v>135.22490560554391</v>
      </c>
      <c r="K65">
        <v>134.98868886095971</v>
      </c>
      <c r="L65">
        <v>134.18994004813629</v>
      </c>
      <c r="M65">
        <v>132.81075298367691</v>
      </c>
      <c r="N65">
        <v>133.03763035149481</v>
      </c>
      <c r="O65">
        <v>134.8219541411176</v>
      </c>
      <c r="P65">
        <v>135.90569142555219</v>
      </c>
      <c r="Q65">
        <v>137.1422610159288</v>
      </c>
      <c r="R65">
        <v>138.5553085984987</v>
      </c>
      <c r="S65">
        <v>138.9905181827319</v>
      </c>
      <c r="T65">
        <v>139.0741242161609</v>
      </c>
      <c r="U65">
        <v>138.94609919008701</v>
      </c>
      <c r="V65">
        <v>138.3496798172151</v>
      </c>
      <c r="W65">
        <v>139.22435957276821</v>
      </c>
      <c r="X65">
        <v>139.53563273517111</v>
      </c>
      <c r="Y65">
        <v>138.6091958511158</v>
      </c>
      <c r="Z65">
        <v>138.29935729461579</v>
      </c>
      <c r="AA65">
        <v>139.1018874982006</v>
      </c>
      <c r="AB65">
        <v>139.4159554086358</v>
      </c>
      <c r="AC65">
        <v>140.31999546557549</v>
      </c>
      <c r="AD65">
        <v>141.67463868655969</v>
      </c>
    </row>
    <row r="66" spans="1:30" x14ac:dyDescent="0.35">
      <c r="A66" s="5" t="s">
        <v>6</v>
      </c>
      <c r="B66">
        <v>-2.3467868023048202</v>
      </c>
      <c r="C66">
        <v>-0.82044379958395552</v>
      </c>
      <c r="D66">
        <v>-0.36542787268132321</v>
      </c>
      <c r="E66">
        <v>-0.54539191899641537</v>
      </c>
      <c r="F66">
        <v>-0.49486246784968563</v>
      </c>
      <c r="G66">
        <v>-0.44452896228452232</v>
      </c>
      <c r="H66">
        <v>-0.24258415853299201</v>
      </c>
      <c r="I66">
        <v>-0.11476055618055631</v>
      </c>
      <c r="J66">
        <v>-3.3463368372252937E-2</v>
      </c>
      <c r="K66">
        <v>-2.8537078086287689E-2</v>
      </c>
      <c r="L66">
        <v>-2.126075771391811E-2</v>
      </c>
      <c r="M66">
        <v>-1.935152088870495E-2</v>
      </c>
      <c r="N66">
        <v>-8.0893364216734653E-2</v>
      </c>
      <c r="O66">
        <v>3.2336752735773189E-4</v>
      </c>
      <c r="P66">
        <v>4.7312266949006698E-4</v>
      </c>
      <c r="Q66">
        <v>2.3879060035767452E-3</v>
      </c>
      <c r="R66">
        <v>0.12889116538440251</v>
      </c>
      <c r="S66">
        <v>0.20174624557947141</v>
      </c>
      <c r="T66">
        <v>-0.62722009446360971</v>
      </c>
      <c r="U66">
        <v>-0.50011592683355843</v>
      </c>
      <c r="V66">
        <v>1.717754172972263E-3</v>
      </c>
      <c r="W66">
        <v>1.3735203989426741E-3</v>
      </c>
      <c r="X66">
        <v>-2.136859674152447E-3</v>
      </c>
      <c r="Y66">
        <v>-3.6869091064488661E-3</v>
      </c>
      <c r="Z66">
        <v>-1.608610861836723E-3</v>
      </c>
      <c r="AA66">
        <v>-1.1639330680480949E-2</v>
      </c>
      <c r="AB66">
        <v>-9.042339503025687E-3</v>
      </c>
      <c r="AC66">
        <v>-1.097337632350559E-2</v>
      </c>
      <c r="AD66">
        <v>-2.967390111223267E-3</v>
      </c>
    </row>
    <row r="67" spans="1:30" x14ac:dyDescent="0.35">
      <c r="A67" s="6" t="s">
        <v>42</v>
      </c>
      <c r="B67">
        <v>1.1885342353909041</v>
      </c>
      <c r="C67">
        <v>2.542032703362366</v>
      </c>
      <c r="D67">
        <v>2.4622788159866791</v>
      </c>
      <c r="E67">
        <v>2.4469067360138301</v>
      </c>
      <c r="F67">
        <v>1.943457917540286</v>
      </c>
      <c r="G67">
        <v>2.2096373664755329</v>
      </c>
      <c r="H67">
        <v>2.2272515639069468</v>
      </c>
      <c r="I67">
        <v>1.699997633737468</v>
      </c>
      <c r="J67">
        <v>1.665107954866329</v>
      </c>
      <c r="K67">
        <v>1.3574737935670951</v>
      </c>
      <c r="L67">
        <v>1.100180018748006</v>
      </c>
      <c r="M67">
        <v>0.72070395475267901</v>
      </c>
      <c r="N67">
        <v>0.58151846169553778</v>
      </c>
      <c r="O67">
        <v>0.32532332851562268</v>
      </c>
      <c r="P67">
        <v>-0.1206488397897658</v>
      </c>
      <c r="Q67">
        <v>0.36137953555811458</v>
      </c>
      <c r="R67">
        <v>0.31044858856532193</v>
      </c>
      <c r="S67">
        <v>0.79769157840621574</v>
      </c>
      <c r="T67">
        <v>0.87858572711832039</v>
      </c>
      <c r="U67">
        <v>1.082276128702887</v>
      </c>
      <c r="V67">
        <v>0.47510426419384538</v>
      </c>
      <c r="W67">
        <v>1.1692188259512479</v>
      </c>
      <c r="X67">
        <v>1.226800164949168</v>
      </c>
      <c r="Y67">
        <v>0.48919612378719529</v>
      </c>
      <c r="Z67">
        <v>-0.25017989112333788</v>
      </c>
      <c r="AA67">
        <v>0.95492157669951894</v>
      </c>
      <c r="AB67">
        <v>1.0995187040329599</v>
      </c>
      <c r="AC67">
        <v>1.533509419748583</v>
      </c>
      <c r="AD67">
        <v>1.3032175027347821</v>
      </c>
    </row>
    <row r="68" spans="1:30" x14ac:dyDescent="0.35">
      <c r="A68" s="8" t="s">
        <v>43</v>
      </c>
      <c r="B68">
        <v>0.29790481667916419</v>
      </c>
      <c r="C68">
        <v>0.60605902928097066</v>
      </c>
      <c r="D68">
        <v>0.56694331808310494</v>
      </c>
      <c r="E68">
        <v>0.43597743938747158</v>
      </c>
      <c r="F68">
        <v>-8.1761777701871097E-2</v>
      </c>
      <c r="G68">
        <v>9.0897799694971582E-2</v>
      </c>
      <c r="H68">
        <v>8.7474056902578923E-3</v>
      </c>
      <c r="I68">
        <v>0.28122448350444529</v>
      </c>
      <c r="J68">
        <v>0.28457190669089982</v>
      </c>
      <c r="K68">
        <v>0.48470367073861098</v>
      </c>
      <c r="L68">
        <v>0.79301697181196573</v>
      </c>
      <c r="M68">
        <v>0.13793507771248409</v>
      </c>
      <c r="N68">
        <v>-0.34273960276681242</v>
      </c>
      <c r="O68">
        <v>-0.56907844365059645</v>
      </c>
      <c r="P68">
        <v>-1.0646534252341839</v>
      </c>
      <c r="Q68">
        <v>-1.134301192256203</v>
      </c>
      <c r="R68">
        <v>-1.402110798969233</v>
      </c>
      <c r="S68">
        <v>-1.26511444841401</v>
      </c>
      <c r="T68">
        <v>-1.3199647866883311</v>
      </c>
      <c r="U68">
        <v>-0.81267593159788021</v>
      </c>
      <c r="V68">
        <v>-1.0486643971616161</v>
      </c>
      <c r="W68">
        <v>-0.70715517626146607</v>
      </c>
      <c r="X68">
        <v>-0.62393985794682294</v>
      </c>
      <c r="Y68">
        <v>3.9326786359680448E-2</v>
      </c>
      <c r="Z68">
        <v>3.1098585493396062E-2</v>
      </c>
      <c r="AA68">
        <v>0.31980091328514959</v>
      </c>
      <c r="AB68">
        <v>0.67493044987497797</v>
      </c>
      <c r="AC68">
        <v>1.2659400230184019</v>
      </c>
      <c r="AD68">
        <v>0.46314420625074598</v>
      </c>
    </row>
    <row r="69" spans="1:30" x14ac:dyDescent="0.35">
      <c r="A69" s="6" t="s">
        <v>44</v>
      </c>
      <c r="B69">
        <v>-0.29790481667916419</v>
      </c>
      <c r="C69">
        <v>-0.60605902928097066</v>
      </c>
      <c r="D69">
        <v>-0.56694331808310494</v>
      </c>
      <c r="E69">
        <v>-0.43597743938747158</v>
      </c>
      <c r="F69">
        <v>8.1761777701871097E-2</v>
      </c>
      <c r="G69">
        <v>-9.0897799694971582E-2</v>
      </c>
      <c r="H69">
        <v>-8.7474056902578923E-3</v>
      </c>
      <c r="I69">
        <v>-0.28122448350444529</v>
      </c>
      <c r="J69">
        <v>-0.28457190669089982</v>
      </c>
      <c r="K69">
        <v>-0.48470367073861098</v>
      </c>
      <c r="L69">
        <v>-0.79301697181196573</v>
      </c>
      <c r="M69">
        <v>-0.13793507771248409</v>
      </c>
      <c r="N69">
        <v>0.34273960276681242</v>
      </c>
      <c r="O69">
        <v>0.56907844365059645</v>
      </c>
      <c r="P69">
        <v>1.0646534252341839</v>
      </c>
      <c r="Q69">
        <v>1.134301192256203</v>
      </c>
      <c r="R69">
        <v>1.402110798969233</v>
      </c>
      <c r="S69">
        <v>1.26511444841401</v>
      </c>
      <c r="T69">
        <v>1.3199647866883311</v>
      </c>
      <c r="U69">
        <v>0.81267593159788021</v>
      </c>
      <c r="V69">
        <v>1.0486643971616161</v>
      </c>
      <c r="W69">
        <v>0.70715517626146607</v>
      </c>
      <c r="X69">
        <v>0.62393985794682294</v>
      </c>
      <c r="Y69">
        <v>-3.9326786359680448E-2</v>
      </c>
      <c r="Z69">
        <v>-3.1098585493396062E-2</v>
      </c>
      <c r="AA69">
        <v>-0.31980091328514959</v>
      </c>
      <c r="AB69">
        <v>-0.67493044987497797</v>
      </c>
      <c r="AC69">
        <v>-1.2659400230184019</v>
      </c>
      <c r="AD69">
        <v>-0.46314420625074598</v>
      </c>
    </row>
    <row r="70" spans="1:30" x14ac:dyDescent="0.35">
      <c r="A70" s="8" t="s">
        <v>10</v>
      </c>
      <c r="B70">
        <v>132.85484401931021</v>
      </c>
      <c r="C70">
        <v>138.81190167272399</v>
      </c>
      <c r="D70">
        <v>138.27538768825929</v>
      </c>
      <c r="E70">
        <v>137.1277031126175</v>
      </c>
      <c r="F70">
        <v>135.6769593158553</v>
      </c>
      <c r="G70">
        <v>138.28109255240099</v>
      </c>
      <c r="H70">
        <v>139.68743388546801</v>
      </c>
      <c r="I70">
        <v>137.90545786829611</v>
      </c>
      <c r="J70">
        <v>136.85655019203799</v>
      </c>
      <c r="K70">
        <v>136.31762557644049</v>
      </c>
      <c r="L70">
        <v>135.26885930917041</v>
      </c>
      <c r="M70">
        <v>133.51210541754091</v>
      </c>
      <c r="N70">
        <v>133.53825544897359</v>
      </c>
      <c r="O70">
        <v>135.14760083716061</v>
      </c>
      <c r="P70">
        <v>135.785515708432</v>
      </c>
      <c r="Q70">
        <v>137.50602845749049</v>
      </c>
      <c r="R70">
        <v>138.99464835244839</v>
      </c>
      <c r="S70">
        <v>139.98995600671759</v>
      </c>
      <c r="T70">
        <v>139.32548984881561</v>
      </c>
      <c r="U70">
        <v>139.5282593919564</v>
      </c>
      <c r="V70">
        <v>138.82650183558189</v>
      </c>
      <c r="W70">
        <v>140.39495191911831</v>
      </c>
      <c r="X70">
        <v>140.76029604044609</v>
      </c>
      <c r="Y70">
        <v>139.0947050657966</v>
      </c>
      <c r="Z70">
        <v>138.04756879263061</v>
      </c>
      <c r="AA70">
        <v>140.04516974421969</v>
      </c>
      <c r="AB70">
        <v>140.5064317731657</v>
      </c>
      <c r="AC70">
        <v>141.84253150900059</v>
      </c>
      <c r="AD70">
        <v>142.97488879918319</v>
      </c>
    </row>
    <row r="71" spans="1:30" x14ac:dyDescent="0.35">
      <c r="A71" s="4" t="s">
        <v>45</v>
      </c>
      <c r="B71">
        <v>1.9219355512912411</v>
      </c>
      <c r="C71">
        <v>1.739755383002404</v>
      </c>
      <c r="D71">
        <v>1.7283261533719749</v>
      </c>
      <c r="E71">
        <v>1.729648766824804</v>
      </c>
      <c r="F71">
        <v>1.7572543833326599</v>
      </c>
      <c r="G71">
        <v>1.7718539805385189</v>
      </c>
      <c r="H71">
        <v>1.6020424037045831</v>
      </c>
      <c r="I71">
        <v>1.7025288185835199</v>
      </c>
      <c r="J71">
        <v>1.571162881342258</v>
      </c>
      <c r="K71">
        <v>1.422857708658247</v>
      </c>
      <c r="L71">
        <v>1.483135797318538</v>
      </c>
      <c r="M71">
        <v>1.5121382867526389</v>
      </c>
      <c r="N71">
        <v>1.5741373213382059</v>
      </c>
      <c r="O71">
        <v>1.5384663689445981</v>
      </c>
      <c r="P71">
        <v>1.583992055236356</v>
      </c>
      <c r="Q71">
        <v>1.6468605418018329</v>
      </c>
      <c r="R71">
        <v>1.6842409790184409</v>
      </c>
      <c r="S71">
        <v>1.6017030215508239</v>
      </c>
      <c r="T71">
        <v>1.5967897060355649</v>
      </c>
      <c r="U71">
        <v>1.6061490248281469</v>
      </c>
      <c r="V71">
        <v>1.6758323750416599</v>
      </c>
      <c r="W71">
        <v>1.536908697133418</v>
      </c>
      <c r="X71">
        <v>1.561571124039228</v>
      </c>
      <c r="Y71">
        <v>1.557335436255241</v>
      </c>
      <c r="Z71">
        <v>1.532419713640927</v>
      </c>
      <c r="AA71">
        <v>1.4956682427233119</v>
      </c>
      <c r="AB71">
        <v>1.5096102519063499</v>
      </c>
      <c r="AC71">
        <v>1.502846576125783</v>
      </c>
      <c r="AD71">
        <v>1.515490638072724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1"/>
  <sheetViews>
    <sheetView topLeftCell="H4" zoomScale="160" zoomScaleNormal="160" workbookViewId="0">
      <selection activeCell="AB23" sqref="AB23"/>
    </sheetView>
  </sheetViews>
  <sheetFormatPr defaultRowHeight="14.5" x14ac:dyDescent="0.35"/>
  <cols>
    <col min="1" max="1" width="31.81640625" bestFit="1" customWidth="1"/>
  </cols>
  <sheetData>
    <row r="1" spans="1:30" x14ac:dyDescent="0.3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3" t="s">
        <v>37</v>
      </c>
      <c r="AA1" s="3" t="s">
        <v>38</v>
      </c>
      <c r="AB1" s="3" t="s">
        <v>39</v>
      </c>
      <c r="AC1" s="3" t="s">
        <v>40</v>
      </c>
    </row>
    <row r="2" spans="1:30" x14ac:dyDescent="0.35">
      <c r="A2" s="4" t="s">
        <v>41</v>
      </c>
      <c r="B2">
        <v>130.07861133105141</v>
      </c>
      <c r="C2">
        <v>132.830385666805</v>
      </c>
      <c r="D2">
        <v>132.99374914625909</v>
      </c>
      <c r="E2">
        <v>132.11029118029279</v>
      </c>
      <c r="F2">
        <v>131.7976352184192</v>
      </c>
      <c r="G2">
        <v>133.71059314411579</v>
      </c>
      <c r="H2">
        <v>135.28557431522441</v>
      </c>
      <c r="I2">
        <v>135.79608377329961</v>
      </c>
      <c r="J2">
        <v>134.60178841838771</v>
      </c>
      <c r="K2">
        <v>135.14257269364111</v>
      </c>
      <c r="L2">
        <v>135.3626526730819</v>
      </c>
      <c r="M2">
        <v>134.41537942859119</v>
      </c>
      <c r="N2">
        <v>134.06859534274361</v>
      </c>
      <c r="O2">
        <v>135.89246002160661</v>
      </c>
      <c r="P2">
        <v>136.14780523104511</v>
      </c>
      <c r="Q2">
        <v>136.75155352499851</v>
      </c>
      <c r="R2">
        <v>136.66304693064629</v>
      </c>
      <c r="S2">
        <v>136.90906982764889</v>
      </c>
      <c r="T2">
        <v>136.43849356660581</v>
      </c>
      <c r="U2">
        <v>137.02135091300229</v>
      </c>
      <c r="V2">
        <v>136.3721183056237</v>
      </c>
      <c r="W2">
        <v>137.12198326493359</v>
      </c>
      <c r="X2">
        <v>138.09052083542991</v>
      </c>
      <c r="Y2">
        <v>136.80135565802021</v>
      </c>
      <c r="Z2">
        <v>136.83702494495719</v>
      </c>
      <c r="AA2">
        <v>138.03381902691669</v>
      </c>
      <c r="AB2">
        <v>138.55808093396249</v>
      </c>
      <c r="AC2">
        <v>139.3761012547063</v>
      </c>
      <c r="AD2">
        <v>140.321548767465</v>
      </c>
    </row>
    <row r="3" spans="1:30" x14ac:dyDescent="0.35">
      <c r="A3" s="5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t="23" customHeight="1" x14ac:dyDescent="0.35">
      <c r="A4" s="6" t="s">
        <v>42</v>
      </c>
      <c r="B4" s="7">
        <v>0.66100206387864091</v>
      </c>
      <c r="C4" s="7">
        <v>1.038363404609868</v>
      </c>
      <c r="D4" s="7">
        <v>1.133541603465005</v>
      </c>
      <c r="E4" s="7">
        <v>1.057243039694356</v>
      </c>
      <c r="F4" s="7">
        <v>1.412334077725234</v>
      </c>
      <c r="G4" s="7">
        <v>1.3083796764262841</v>
      </c>
      <c r="H4" s="7">
        <v>0.5822186890319756</v>
      </c>
      <c r="I4" s="7">
        <v>1.082214688707722</v>
      </c>
      <c r="J4" s="7">
        <v>1.320617127890017</v>
      </c>
      <c r="K4" s="7">
        <v>1.3559534628639081</v>
      </c>
      <c r="L4" s="7">
        <v>1.3112363909802129</v>
      </c>
      <c r="M4" s="7">
        <v>1.2138028379415571</v>
      </c>
      <c r="N4" s="7">
        <v>1.633893860899889</v>
      </c>
      <c r="O4" s="7">
        <v>1.3966255769194329</v>
      </c>
      <c r="P4" s="7">
        <v>1.265842489798644</v>
      </c>
      <c r="Q4" s="7">
        <v>1.240840486174505</v>
      </c>
      <c r="R4" s="7">
        <v>0.79430529121580662</v>
      </c>
      <c r="S4" s="7">
        <v>1.222834674629752</v>
      </c>
      <c r="T4" s="7">
        <v>0.7012159871240442</v>
      </c>
      <c r="U4" s="7">
        <v>0.83461732938272348</v>
      </c>
      <c r="V4">
        <v>0.66242897832651693</v>
      </c>
      <c r="W4">
        <v>1.1867832362002559</v>
      </c>
      <c r="X4">
        <v>0.97810535034986401</v>
      </c>
      <c r="Y4">
        <v>1.174889336186169</v>
      </c>
      <c r="Z4">
        <v>1.4592694189433639</v>
      </c>
      <c r="AA4">
        <v>2.4660669161444559</v>
      </c>
      <c r="AB4">
        <v>2.9266816981485699</v>
      </c>
      <c r="AC4">
        <v>2.919601597291575</v>
      </c>
      <c r="AD4">
        <v>3.1264617490047328</v>
      </c>
    </row>
    <row r="5" spans="1:30" ht="23" customHeight="1" x14ac:dyDescent="0.35">
      <c r="A5" s="8" t="s">
        <v>43</v>
      </c>
      <c r="B5">
        <v>4.0639159435016843E-2</v>
      </c>
      <c r="C5">
        <v>0.69500045502726948</v>
      </c>
      <c r="D5">
        <v>0.6775536756663314</v>
      </c>
      <c r="E5">
        <v>0.42086808767524531</v>
      </c>
      <c r="F5">
        <v>0.21389965088653179</v>
      </c>
      <c r="G5">
        <v>-6.396146258691715E-2</v>
      </c>
      <c r="H5">
        <v>0.12674062466714989</v>
      </c>
      <c r="I5">
        <v>1.1083248717179119</v>
      </c>
      <c r="J5">
        <v>0.73789404541892623</v>
      </c>
      <c r="K5">
        <v>0.66345890586077871</v>
      </c>
      <c r="L5">
        <v>0.1364500119150307</v>
      </c>
      <c r="M5">
        <v>-0.31345210124590039</v>
      </c>
      <c r="N5">
        <v>-0.84207442518092535</v>
      </c>
      <c r="O5">
        <v>-0.59712741451946272</v>
      </c>
      <c r="P5">
        <v>-1.0204759750485271</v>
      </c>
      <c r="Q5">
        <v>-0.81505755811474501</v>
      </c>
      <c r="R5">
        <v>-1.081968427881463</v>
      </c>
      <c r="S5">
        <v>-0.86060121708791826</v>
      </c>
      <c r="T5">
        <v>-0.82434927598268359</v>
      </c>
      <c r="U5">
        <v>-0.96054829009028708</v>
      </c>
      <c r="V5">
        <v>-1.5450463745833929</v>
      </c>
      <c r="W5">
        <v>-0.95315995192478908</v>
      </c>
      <c r="X5">
        <v>-0.1647010005967218</v>
      </c>
      <c r="Y5">
        <v>0.35238249720254089</v>
      </c>
      <c r="Z5">
        <v>0.4368203003681117</v>
      </c>
      <c r="AA5">
        <v>0.72033178682943344</v>
      </c>
      <c r="AB5">
        <v>1.1804900383922929</v>
      </c>
      <c r="AC5">
        <v>1.152534290276463</v>
      </c>
      <c r="AD5">
        <v>0.52158060416147123</v>
      </c>
    </row>
    <row r="6" spans="1:30" x14ac:dyDescent="0.35">
      <c r="A6" s="6" t="s">
        <v>44</v>
      </c>
      <c r="B6">
        <v>-4.0639159435016843E-2</v>
      </c>
      <c r="C6">
        <v>-0.69500045502726948</v>
      </c>
      <c r="D6">
        <v>-0.6775536756663314</v>
      </c>
      <c r="E6">
        <v>-0.42086808767524531</v>
      </c>
      <c r="F6">
        <v>-0.21389965088653179</v>
      </c>
      <c r="G6">
        <v>6.396146258691715E-2</v>
      </c>
      <c r="H6">
        <v>-0.12674062466714989</v>
      </c>
      <c r="I6">
        <v>-1.1083248717179119</v>
      </c>
      <c r="J6">
        <v>-0.73789404541892623</v>
      </c>
      <c r="K6">
        <v>-0.66345890586077871</v>
      </c>
      <c r="L6">
        <v>-0.1364500119150307</v>
      </c>
      <c r="M6">
        <v>0.31345210124590039</v>
      </c>
      <c r="N6">
        <v>0.84207442518092535</v>
      </c>
      <c r="O6">
        <v>0.59712741451946272</v>
      </c>
      <c r="P6">
        <v>1.0204759750485271</v>
      </c>
      <c r="Q6">
        <v>0.81505755811474501</v>
      </c>
      <c r="R6">
        <v>1.081968427881463</v>
      </c>
      <c r="S6">
        <v>0.86060121708791826</v>
      </c>
      <c r="T6">
        <v>0.82434927598268359</v>
      </c>
      <c r="U6">
        <v>0.96054829009028708</v>
      </c>
      <c r="V6">
        <v>1.5450463745833929</v>
      </c>
      <c r="W6">
        <v>0.95315995192478908</v>
      </c>
      <c r="X6">
        <v>0.1647010005967218</v>
      </c>
      <c r="Y6">
        <v>-0.35238249720254089</v>
      </c>
      <c r="Z6">
        <v>-0.4368203003681117</v>
      </c>
      <c r="AA6">
        <v>-0.72033178682943344</v>
      </c>
      <c r="AB6">
        <v>-1.1804900383922929</v>
      </c>
      <c r="AC6">
        <v>-1.152534290276463</v>
      </c>
      <c r="AD6">
        <v>-0.52158060416147123</v>
      </c>
    </row>
    <row r="7" spans="1:30" x14ac:dyDescent="0.35">
      <c r="A7" s="8" t="s">
        <v>10</v>
      </c>
      <c r="B7">
        <v>130.73961339492999</v>
      </c>
      <c r="C7">
        <v>133.8687490714149</v>
      </c>
      <c r="D7">
        <v>134.1272907497241</v>
      </c>
      <c r="E7">
        <v>133.16753421998709</v>
      </c>
      <c r="F7">
        <v>133.20996929614449</v>
      </c>
      <c r="G7">
        <v>135.0189728205421</v>
      </c>
      <c r="H7">
        <v>135.86779300425641</v>
      </c>
      <c r="I7">
        <v>136.87829846200739</v>
      </c>
      <c r="J7">
        <v>135.92240554627779</v>
      </c>
      <c r="K7">
        <v>136.49852615650499</v>
      </c>
      <c r="L7">
        <v>136.67388906406211</v>
      </c>
      <c r="M7">
        <v>135.62918226653281</v>
      </c>
      <c r="N7">
        <v>135.70248920364349</v>
      </c>
      <c r="O7">
        <v>137.28908559852599</v>
      </c>
      <c r="P7">
        <v>137.4136477208437</v>
      </c>
      <c r="Q7">
        <v>137.99239401117299</v>
      </c>
      <c r="R7">
        <v>137.4573522218621</v>
      </c>
      <c r="S7">
        <v>138.13190450227859</v>
      </c>
      <c r="T7">
        <v>137.13970955372989</v>
      </c>
      <c r="U7">
        <v>137.85596824238499</v>
      </c>
      <c r="V7">
        <v>137.03454728395019</v>
      </c>
      <c r="W7">
        <v>138.3087665011339</v>
      </c>
      <c r="X7">
        <v>139.06862618577969</v>
      </c>
      <c r="Y7">
        <v>137.97624499420641</v>
      </c>
      <c r="Z7">
        <v>138.29629436390061</v>
      </c>
      <c r="AA7">
        <v>140.4998859430612</v>
      </c>
      <c r="AB7">
        <v>141.48476263211111</v>
      </c>
      <c r="AC7">
        <v>142.29570285199779</v>
      </c>
      <c r="AD7">
        <v>143.44801051646971</v>
      </c>
    </row>
    <row r="8" spans="1:30" x14ac:dyDescent="0.35">
      <c r="A8" s="4" t="s">
        <v>45</v>
      </c>
      <c r="B8">
        <v>1.9096240038621</v>
      </c>
      <c r="C8">
        <v>1.903663811097003</v>
      </c>
      <c r="D8">
        <v>1.911999036034369</v>
      </c>
      <c r="E8">
        <v>1.952684098069787</v>
      </c>
      <c r="F8">
        <v>1.904498468702527</v>
      </c>
      <c r="G8">
        <v>1.948573884705433</v>
      </c>
      <c r="H8">
        <v>1.67640555162954</v>
      </c>
      <c r="I8">
        <v>1.6644230000397631</v>
      </c>
      <c r="J8">
        <v>1.69249116718978</v>
      </c>
      <c r="K8">
        <v>1.516694854609244</v>
      </c>
      <c r="L8">
        <v>1.588400194539741</v>
      </c>
      <c r="M8">
        <v>1.584871644800004</v>
      </c>
      <c r="N8">
        <v>1.6172697647370931</v>
      </c>
      <c r="O8">
        <v>1.7180657633999199</v>
      </c>
      <c r="P8">
        <v>1.752971702686893</v>
      </c>
      <c r="Q8">
        <v>1.8148918035393331</v>
      </c>
      <c r="R8">
        <v>1.8294105056155749</v>
      </c>
      <c r="S8">
        <v>1.7172853875318621</v>
      </c>
      <c r="T8">
        <v>1.674768661801703</v>
      </c>
      <c r="U8">
        <v>1.7120790348294059</v>
      </c>
      <c r="V8">
        <v>1.7379144665609629</v>
      </c>
      <c r="W8">
        <v>1.6849116425802291</v>
      </c>
      <c r="X8">
        <v>1.59388656201942</v>
      </c>
      <c r="Y8">
        <v>1.619424709154923</v>
      </c>
      <c r="Z8">
        <v>1.609933078214786</v>
      </c>
      <c r="AA8">
        <v>1.5698617144608229</v>
      </c>
      <c r="AB8">
        <v>1.572563651115066</v>
      </c>
      <c r="AC8">
        <v>1.552609661495457</v>
      </c>
      <c r="AD8">
        <v>1.552213073149985</v>
      </c>
    </row>
    <row r="10" spans="1:30" x14ac:dyDescent="0.35">
      <c r="A10" s="9" t="s">
        <v>14</v>
      </c>
      <c r="B10" s="10"/>
      <c r="C10" s="10"/>
      <c r="D10" s="10"/>
      <c r="E10" s="10"/>
      <c r="F10" s="11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22</v>
      </c>
      <c r="L10" s="2" t="s">
        <v>23</v>
      </c>
      <c r="M10" s="2" t="s">
        <v>24</v>
      </c>
      <c r="N10" s="2" t="s">
        <v>25</v>
      </c>
      <c r="O10" s="2" t="s">
        <v>26</v>
      </c>
      <c r="P10" s="2" t="s">
        <v>27</v>
      </c>
      <c r="Q10" s="2" t="s">
        <v>28</v>
      </c>
      <c r="R10" s="2" t="s">
        <v>29</v>
      </c>
      <c r="S10" s="2" t="s">
        <v>30</v>
      </c>
      <c r="T10" s="2" t="s">
        <v>31</v>
      </c>
      <c r="U10" s="2" t="s">
        <v>32</v>
      </c>
      <c r="V10" s="2" t="s">
        <v>33</v>
      </c>
      <c r="W10" s="2" t="s">
        <v>34</v>
      </c>
      <c r="X10" s="2" t="s">
        <v>35</v>
      </c>
      <c r="Y10" s="2" t="s">
        <v>36</v>
      </c>
      <c r="Z10" s="3" t="s">
        <v>37</v>
      </c>
      <c r="AA10" s="3" t="s">
        <v>38</v>
      </c>
      <c r="AB10" s="3" t="s">
        <v>39</v>
      </c>
      <c r="AC10" s="3" t="s">
        <v>40</v>
      </c>
    </row>
    <row r="11" spans="1:30" x14ac:dyDescent="0.35">
      <c r="A11" s="4" t="s">
        <v>41</v>
      </c>
      <c r="B11" s="12"/>
      <c r="C11" s="12"/>
      <c r="D11" s="12"/>
      <c r="E11" s="12"/>
      <c r="F11">
        <v>131.95038796688411</v>
      </c>
      <c r="G11">
        <v>135.6654717957741</v>
      </c>
      <c r="H11">
        <v>137.78085993452939</v>
      </c>
      <c r="I11">
        <v>140.37624797824719</v>
      </c>
      <c r="J11">
        <v>136.7568472127295</v>
      </c>
      <c r="K11">
        <v>136.1826116248541</v>
      </c>
      <c r="L11">
        <v>135.6310489829672</v>
      </c>
      <c r="M11">
        <v>134.62934951605331</v>
      </c>
      <c r="N11">
        <v>134.17392455659669</v>
      </c>
      <c r="O11">
        <v>135.83717961712421</v>
      </c>
      <c r="P11">
        <v>136.9637513036931</v>
      </c>
      <c r="Q11">
        <v>138.77227982137109</v>
      </c>
      <c r="R11">
        <v>141.3231605158098</v>
      </c>
      <c r="S11">
        <v>138.8631915017576</v>
      </c>
      <c r="T11">
        <v>137.9566586474825</v>
      </c>
      <c r="U11">
        <v>139.56619914782399</v>
      </c>
      <c r="V11">
        <v>138.52439991139249</v>
      </c>
      <c r="W11">
        <v>138.4097814248108</v>
      </c>
      <c r="X11">
        <v>140.36330737362081</v>
      </c>
      <c r="Y11">
        <v>138.38768592238731</v>
      </c>
      <c r="Z11">
        <v>136.70742932031769</v>
      </c>
      <c r="AA11">
        <v>138.34779673954839</v>
      </c>
      <c r="AB11">
        <v>138.10209621539431</v>
      </c>
      <c r="AC11">
        <v>138.9455515120215</v>
      </c>
      <c r="AD11">
        <v>140.96450101951299</v>
      </c>
    </row>
    <row r="12" spans="1:30" x14ac:dyDescent="0.35">
      <c r="A12" s="5" t="s">
        <v>6</v>
      </c>
      <c r="B12" s="12"/>
      <c r="C12" s="12"/>
      <c r="D12" s="12"/>
      <c r="E12" s="12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t="23" customHeight="1" x14ac:dyDescent="0.35">
      <c r="A13" s="6" t="s">
        <v>42</v>
      </c>
      <c r="B13" s="12"/>
      <c r="C13" s="12"/>
      <c r="D13" s="12"/>
      <c r="E13" s="12"/>
      <c r="F13">
        <v>-1.7103216132117891</v>
      </c>
      <c r="G13">
        <v>-1.362001191333434</v>
      </c>
      <c r="H13">
        <v>-0.82270063325532305</v>
      </c>
      <c r="I13">
        <v>0.67937377043395486</v>
      </c>
      <c r="J13">
        <v>1.82079744362008</v>
      </c>
      <c r="K13">
        <v>-0.22282408009877491</v>
      </c>
      <c r="L13">
        <v>-0.34270651080376519</v>
      </c>
      <c r="M13">
        <v>0.75425032903180522</v>
      </c>
      <c r="N13">
        <v>0.49117725062757239</v>
      </c>
      <c r="O13">
        <v>0.57506675081188519</v>
      </c>
      <c r="P13">
        <v>0.94006829221265775</v>
      </c>
      <c r="Q13">
        <v>0.98065554772853147</v>
      </c>
      <c r="R13">
        <v>1.163772265119974</v>
      </c>
      <c r="S13">
        <v>0.76651233466805024</v>
      </c>
      <c r="T13">
        <v>1.051226100014617</v>
      </c>
      <c r="U13">
        <v>1.3906266452335669</v>
      </c>
      <c r="V13">
        <v>1.553697558330924</v>
      </c>
      <c r="W13">
        <v>2.4436111035358579</v>
      </c>
      <c r="X13">
        <v>3.2853415839857969</v>
      </c>
      <c r="Y13">
        <v>2.9736339398277489</v>
      </c>
      <c r="Z13">
        <v>2.4078901425605181</v>
      </c>
      <c r="AA13">
        <v>2.491006820245985</v>
      </c>
      <c r="AB13">
        <v>3.009578920406597</v>
      </c>
      <c r="AC13">
        <v>1.8551298377325911</v>
      </c>
      <c r="AD13">
        <v>2.36301409599352</v>
      </c>
    </row>
    <row r="14" spans="1:30" ht="23" customHeight="1" x14ac:dyDescent="0.35">
      <c r="A14" s="8" t="s">
        <v>43</v>
      </c>
      <c r="B14" s="12"/>
      <c r="C14" s="12"/>
      <c r="D14" s="12"/>
      <c r="E14" s="12"/>
      <c r="F14">
        <v>0.32441377332608567</v>
      </c>
      <c r="G14">
        <v>-9.5467241034725703E-3</v>
      </c>
      <c r="H14">
        <v>0.45471768025254278</v>
      </c>
      <c r="I14">
        <v>0.6786640595991571</v>
      </c>
      <c r="J14">
        <v>1.1745540252959761</v>
      </c>
      <c r="K14">
        <v>0.49286732263263389</v>
      </c>
      <c r="L14">
        <v>0.40526522190910441</v>
      </c>
      <c r="M14">
        <v>-0.50481234419262933</v>
      </c>
      <c r="N14">
        <v>-0.9013618387644442</v>
      </c>
      <c r="O14">
        <v>-1.008265148925432</v>
      </c>
      <c r="P14">
        <v>-1.185130174448517</v>
      </c>
      <c r="Q14">
        <v>-0.65797496963034519</v>
      </c>
      <c r="R14">
        <v>-0.31490491587427982</v>
      </c>
      <c r="S14">
        <v>-1.5345245393777991</v>
      </c>
      <c r="T14">
        <v>-1.107990381704298</v>
      </c>
      <c r="U14">
        <v>-1.7173528464498129</v>
      </c>
      <c r="V14">
        <v>-1.53086812710464</v>
      </c>
      <c r="W14">
        <v>-1.1260146356136149</v>
      </c>
      <c r="X14">
        <v>0.39959495178200649</v>
      </c>
      <c r="Y14">
        <v>0.2724808455800769</v>
      </c>
      <c r="Z14">
        <v>0.73821440140463324</v>
      </c>
      <c r="AA14">
        <v>0.25616759098960529</v>
      </c>
      <c r="AB14">
        <v>1.239864119185881</v>
      </c>
      <c r="AC14">
        <v>1.6367414661530399</v>
      </c>
      <c r="AD14">
        <v>0.31950210583465832</v>
      </c>
    </row>
    <row r="15" spans="1:30" x14ac:dyDescent="0.35">
      <c r="A15" s="6" t="s">
        <v>44</v>
      </c>
      <c r="B15" s="12"/>
      <c r="C15" s="12"/>
      <c r="D15" s="12"/>
      <c r="E15" s="12"/>
      <c r="F15">
        <v>-0.32441377332608567</v>
      </c>
      <c r="G15">
        <v>9.5467241034725703E-3</v>
      </c>
      <c r="H15">
        <v>-0.45471768025254278</v>
      </c>
      <c r="I15">
        <v>-0.6786640595991571</v>
      </c>
      <c r="J15">
        <v>-1.1745540252959761</v>
      </c>
      <c r="K15">
        <v>-0.49286732263263389</v>
      </c>
      <c r="L15">
        <v>-0.40526522190910441</v>
      </c>
      <c r="M15">
        <v>0.50481234419262933</v>
      </c>
      <c r="N15">
        <v>0.9013618387644442</v>
      </c>
      <c r="O15">
        <v>1.008265148925432</v>
      </c>
      <c r="P15">
        <v>1.185130174448517</v>
      </c>
      <c r="Q15">
        <v>0.65797496963034519</v>
      </c>
      <c r="R15">
        <v>0.31490491587427982</v>
      </c>
      <c r="S15">
        <v>1.5345245393777991</v>
      </c>
      <c r="T15">
        <v>1.107990381704298</v>
      </c>
      <c r="U15">
        <v>1.7173528464498129</v>
      </c>
      <c r="V15">
        <v>1.53086812710464</v>
      </c>
      <c r="W15">
        <v>1.1260146356136149</v>
      </c>
      <c r="X15">
        <v>-0.39959495178200649</v>
      </c>
      <c r="Y15">
        <v>-0.2724808455800769</v>
      </c>
      <c r="Z15">
        <v>-0.73821440140463324</v>
      </c>
      <c r="AA15">
        <v>-0.25616759098960529</v>
      </c>
      <c r="AB15">
        <v>-1.239864119185881</v>
      </c>
      <c r="AC15">
        <v>-1.6367414661530399</v>
      </c>
      <c r="AD15">
        <v>-0.31950210583465832</v>
      </c>
    </row>
    <row r="16" spans="1:30" x14ac:dyDescent="0.35">
      <c r="A16" s="8" t="s">
        <v>10</v>
      </c>
      <c r="B16" s="12"/>
      <c r="C16" s="12"/>
      <c r="D16" s="12"/>
      <c r="E16" s="12"/>
      <c r="F16">
        <v>130.24006635367229</v>
      </c>
      <c r="G16">
        <v>134.30347060444069</v>
      </c>
      <c r="H16">
        <v>136.95815930127409</v>
      </c>
      <c r="I16">
        <v>141.0556217486812</v>
      </c>
      <c r="J16">
        <v>138.57764465634949</v>
      </c>
      <c r="K16">
        <v>135.9597875447553</v>
      </c>
      <c r="L16">
        <v>135.28834247216341</v>
      </c>
      <c r="M16">
        <v>135.38359984508509</v>
      </c>
      <c r="N16">
        <v>134.66510180722429</v>
      </c>
      <c r="O16">
        <v>136.41224636793609</v>
      </c>
      <c r="P16">
        <v>137.9038195959057</v>
      </c>
      <c r="Q16">
        <v>139.7529353690997</v>
      </c>
      <c r="R16">
        <v>142.48693278092981</v>
      </c>
      <c r="S16">
        <v>139.6297038364257</v>
      </c>
      <c r="T16">
        <v>139.00788474749709</v>
      </c>
      <c r="U16">
        <v>140.95682579305759</v>
      </c>
      <c r="V16">
        <v>140.07809746972339</v>
      </c>
      <c r="W16">
        <v>140.85339252834669</v>
      </c>
      <c r="X16">
        <v>143.64864895760661</v>
      </c>
      <c r="Y16">
        <v>141.36131986221511</v>
      </c>
      <c r="Z16">
        <v>139.1153194628782</v>
      </c>
      <c r="AA16">
        <v>140.8388035597944</v>
      </c>
      <c r="AB16">
        <v>141.11167513580091</v>
      </c>
      <c r="AC16">
        <v>140.80068134975409</v>
      </c>
      <c r="AD16">
        <v>143.32751511550649</v>
      </c>
    </row>
    <row r="17" spans="1:30" x14ac:dyDescent="0.35">
      <c r="A17" s="4" t="s">
        <v>45</v>
      </c>
      <c r="B17" s="12"/>
      <c r="C17" s="12"/>
      <c r="D17" s="12"/>
      <c r="E17" s="12"/>
      <c r="F17">
        <v>1.4222519351748519</v>
      </c>
      <c r="G17">
        <v>1.372271559151087</v>
      </c>
      <c r="H17">
        <v>1.2228312355631259</v>
      </c>
      <c r="I17">
        <v>1.2691963038116429</v>
      </c>
      <c r="J17">
        <v>1.3323695017959689</v>
      </c>
      <c r="K17">
        <v>1.232663538398604</v>
      </c>
      <c r="L17">
        <v>1.2754213464204189</v>
      </c>
      <c r="M17">
        <v>1.3349712115958059</v>
      </c>
      <c r="N17">
        <v>1.3422608216210921</v>
      </c>
      <c r="O17">
        <v>1.3349194106730311</v>
      </c>
      <c r="P17">
        <v>1.321516053561268</v>
      </c>
      <c r="Q17">
        <v>1.3240934050292921</v>
      </c>
      <c r="R17">
        <v>1.273439081790418</v>
      </c>
      <c r="S17">
        <v>1.307144310516583</v>
      </c>
      <c r="T17">
        <v>1.2660861026625221</v>
      </c>
      <c r="U17">
        <v>1.2841698603322591</v>
      </c>
      <c r="V17">
        <v>1.3828362068397431</v>
      </c>
      <c r="W17">
        <v>1.3654095237836701</v>
      </c>
      <c r="X17">
        <v>1.345657556115595</v>
      </c>
      <c r="Y17">
        <v>1.339740587137942</v>
      </c>
      <c r="Z17">
        <v>1.3803024870810949</v>
      </c>
      <c r="AA17">
        <v>1.41058257015736</v>
      </c>
      <c r="AB17">
        <v>1.412163671861381</v>
      </c>
      <c r="AC17">
        <v>1.4097840092072429</v>
      </c>
      <c r="AD17">
        <v>1.4642882932602459</v>
      </c>
    </row>
    <row r="19" spans="1:30" x14ac:dyDescent="0.35">
      <c r="A19" s="1" t="s">
        <v>12</v>
      </c>
      <c r="B19" s="2">
        <v>2016</v>
      </c>
      <c r="C19" s="2">
        <v>2017</v>
      </c>
      <c r="D19" s="2">
        <v>2018</v>
      </c>
      <c r="E19" s="2">
        <v>2019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K19" s="2" t="s">
        <v>22</v>
      </c>
      <c r="L19" s="2" t="s">
        <v>23</v>
      </c>
      <c r="M19" s="2" t="s">
        <v>24</v>
      </c>
      <c r="N19" s="2" t="s">
        <v>25</v>
      </c>
      <c r="O19" s="2" t="s">
        <v>26</v>
      </c>
      <c r="P19" s="2" t="s">
        <v>27</v>
      </c>
      <c r="Q19" s="2" t="s">
        <v>28</v>
      </c>
      <c r="R19" s="2" t="s">
        <v>29</v>
      </c>
      <c r="S19" s="2" t="s">
        <v>30</v>
      </c>
      <c r="T19" s="2" t="s">
        <v>31</v>
      </c>
      <c r="U19" s="2" t="s">
        <v>32</v>
      </c>
      <c r="V19" s="2" t="s">
        <v>33</v>
      </c>
      <c r="W19" s="2" t="s">
        <v>34</v>
      </c>
      <c r="X19" s="2" t="s">
        <v>35</v>
      </c>
      <c r="Y19" s="2" t="s">
        <v>36</v>
      </c>
      <c r="Z19" s="3" t="s">
        <v>37</v>
      </c>
      <c r="AA19" s="3" t="s">
        <v>38</v>
      </c>
      <c r="AB19" s="3" t="s">
        <v>39</v>
      </c>
      <c r="AC19" s="3" t="s">
        <v>40</v>
      </c>
    </row>
    <row r="20" spans="1:30" x14ac:dyDescent="0.35">
      <c r="A20" s="4" t="s">
        <v>41</v>
      </c>
      <c r="B20">
        <v>131.1674704044573</v>
      </c>
      <c r="C20">
        <v>136.7382347074298</v>
      </c>
      <c r="D20">
        <v>136.80259194091829</v>
      </c>
      <c r="E20">
        <v>132.54766874373311</v>
      </c>
      <c r="F20">
        <v>131.13303029419251</v>
      </c>
      <c r="G20">
        <v>132.90504284604401</v>
      </c>
      <c r="H20">
        <v>133.9304786690208</v>
      </c>
      <c r="I20">
        <v>132.80380951624201</v>
      </c>
      <c r="J20">
        <v>135.4481125583965</v>
      </c>
      <c r="K20">
        <v>135.1873517847032</v>
      </c>
      <c r="L20">
        <v>134.94601738902409</v>
      </c>
      <c r="M20">
        <v>132.89927866287411</v>
      </c>
      <c r="N20">
        <v>134.06325322076779</v>
      </c>
      <c r="O20">
        <v>136.81720801029189</v>
      </c>
      <c r="P20">
        <v>138.00243272817349</v>
      </c>
      <c r="Q20">
        <v>139.77793163612839</v>
      </c>
      <c r="R20">
        <v>141.27719036447311</v>
      </c>
      <c r="S20">
        <v>140.587337420209</v>
      </c>
      <c r="T20">
        <v>140.72102580751559</v>
      </c>
      <c r="U20">
        <v>139.02514228651111</v>
      </c>
      <c r="V20">
        <v>138.131634820861</v>
      </c>
      <c r="W20">
        <v>140.1735622972094</v>
      </c>
      <c r="X20">
        <v>141.55375224123731</v>
      </c>
      <c r="Y20">
        <v>139.97097369283409</v>
      </c>
      <c r="Z20">
        <v>139.83315040104489</v>
      </c>
      <c r="AA20">
        <v>140.6343356036856</v>
      </c>
      <c r="AB20">
        <v>140.9638839291236</v>
      </c>
      <c r="AC20">
        <v>141.85748818430841</v>
      </c>
      <c r="AD20">
        <v>142.7719413636564</v>
      </c>
    </row>
    <row r="21" spans="1:30" x14ac:dyDescent="0.35">
      <c r="A21" s="5" t="s">
        <v>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t="23" customHeight="1" x14ac:dyDescent="0.35">
      <c r="A22" s="6" t="s">
        <v>42</v>
      </c>
      <c r="B22">
        <v>-8.6531737211828386E-2</v>
      </c>
      <c r="C22">
        <v>0.56457951809235851</v>
      </c>
      <c r="D22">
        <v>9.7990972414663702E-2</v>
      </c>
      <c r="E22">
        <v>0.6511772460157772</v>
      </c>
      <c r="F22">
        <v>1.3091096453114519</v>
      </c>
      <c r="G22">
        <v>1.5067007457573709</v>
      </c>
      <c r="H22">
        <v>0.54845206108646494</v>
      </c>
      <c r="I22">
        <v>3.989095038917867E-3</v>
      </c>
      <c r="J22">
        <v>0.52413775543899987</v>
      </c>
      <c r="K22">
        <v>0.89828530507452342</v>
      </c>
      <c r="L22">
        <v>0.69221703585537853</v>
      </c>
      <c r="M22">
        <v>-0.39544920563756142</v>
      </c>
      <c r="N22">
        <v>-0.23544013982765929</v>
      </c>
      <c r="O22">
        <v>0.72599632061417196</v>
      </c>
      <c r="P22">
        <v>0.5826234577808691</v>
      </c>
      <c r="Q22">
        <v>0.31311591216902462</v>
      </c>
      <c r="R22">
        <v>0.93883725131536266</v>
      </c>
      <c r="S22">
        <v>1.56454087947526</v>
      </c>
      <c r="T22">
        <v>1.6212334276677041</v>
      </c>
      <c r="U22">
        <v>0.8929302351183992</v>
      </c>
      <c r="V22">
        <v>-0.197179663992614</v>
      </c>
      <c r="W22">
        <v>0.3035154362686967</v>
      </c>
      <c r="X22">
        <v>0.75919792713105494</v>
      </c>
      <c r="Y22">
        <v>0.53146184690936593</v>
      </c>
      <c r="Z22">
        <v>0.66791062198333861</v>
      </c>
      <c r="AA22">
        <v>1.278142353031853</v>
      </c>
      <c r="AB22">
        <v>1.796535868201431</v>
      </c>
      <c r="AC22">
        <v>2.7808560725822251</v>
      </c>
      <c r="AD22">
        <v>2.864458984330525</v>
      </c>
    </row>
    <row r="23" spans="1:30" ht="23" customHeight="1" x14ac:dyDescent="0.35">
      <c r="A23" s="8" t="s">
        <v>43</v>
      </c>
      <c r="B23">
        <v>-0.22794787433841179</v>
      </c>
      <c r="C23">
        <v>0.80538245717886525</v>
      </c>
      <c r="D23">
        <v>0.19486094896871009</v>
      </c>
      <c r="E23">
        <v>0.51372906724932932</v>
      </c>
      <c r="F23">
        <v>0.35468851037418858</v>
      </c>
      <c r="G23">
        <v>5.6925161232697967E-2</v>
      </c>
      <c r="H23">
        <v>0.27349317675211182</v>
      </c>
      <c r="I23">
        <v>0.88921253185262117</v>
      </c>
      <c r="J23">
        <v>0.44970513143653079</v>
      </c>
      <c r="K23">
        <v>0.36076781243787082</v>
      </c>
      <c r="L23">
        <v>0.29423117773441732</v>
      </c>
      <c r="M23">
        <v>-0.37072562484854638</v>
      </c>
      <c r="N23">
        <v>-0.82876904158459297</v>
      </c>
      <c r="O23">
        <v>-0.81985688540586921</v>
      </c>
      <c r="P23">
        <v>-1.1309708666878751</v>
      </c>
      <c r="Q23">
        <v>-0.87300899525340014</v>
      </c>
      <c r="R23">
        <v>-0.57733485615540303</v>
      </c>
      <c r="S23">
        <v>-1.0984774038102221</v>
      </c>
      <c r="T23">
        <v>-1.414529841855426</v>
      </c>
      <c r="U23">
        <v>-1.1347366933352989</v>
      </c>
      <c r="V23">
        <v>-1.165880661949217</v>
      </c>
      <c r="W23">
        <v>-0.87662469720288527</v>
      </c>
      <c r="X23">
        <v>-0.42109334433723689</v>
      </c>
      <c r="Y23">
        <v>0.55769209182830082</v>
      </c>
      <c r="Z23">
        <v>0.49398269893441688</v>
      </c>
      <c r="AA23">
        <v>0.69139225425050199</v>
      </c>
      <c r="AB23">
        <v>1.1527106595173111</v>
      </c>
      <c r="AC23">
        <v>1.547749548235771</v>
      </c>
      <c r="AD23">
        <v>0.72638593385309491</v>
      </c>
    </row>
    <row r="24" spans="1:30" x14ac:dyDescent="0.35">
      <c r="A24" s="6" t="s">
        <v>44</v>
      </c>
      <c r="B24">
        <v>0.22794787433841179</v>
      </c>
      <c r="C24">
        <v>-0.80538245717886525</v>
      </c>
      <c r="D24">
        <v>-0.19486094896871009</v>
      </c>
      <c r="E24">
        <v>-0.51372906724932932</v>
      </c>
      <c r="F24">
        <v>-0.35468851037418858</v>
      </c>
      <c r="G24">
        <v>-5.6925161232697967E-2</v>
      </c>
      <c r="H24">
        <v>-0.27349317675211182</v>
      </c>
      <c r="I24">
        <v>-0.88921253185262117</v>
      </c>
      <c r="J24">
        <v>-0.44970513143653079</v>
      </c>
      <c r="K24">
        <v>-0.36076781243787082</v>
      </c>
      <c r="L24">
        <v>-0.29423117773441732</v>
      </c>
      <c r="M24">
        <v>0.37072562484854638</v>
      </c>
      <c r="N24">
        <v>0.82876904158459297</v>
      </c>
      <c r="O24">
        <v>0.81985688540586921</v>
      </c>
      <c r="P24">
        <v>1.1309708666878751</v>
      </c>
      <c r="Q24">
        <v>0.87300899525340014</v>
      </c>
      <c r="R24">
        <v>0.57733485615540303</v>
      </c>
      <c r="S24">
        <v>1.0984774038102221</v>
      </c>
      <c r="T24">
        <v>1.414529841855426</v>
      </c>
      <c r="U24">
        <v>1.1347366933352989</v>
      </c>
      <c r="V24">
        <v>1.165880661949217</v>
      </c>
      <c r="W24">
        <v>0.87662469720288527</v>
      </c>
      <c r="X24">
        <v>0.42109334433723689</v>
      </c>
      <c r="Y24">
        <v>-0.55769209182830082</v>
      </c>
      <c r="Z24">
        <v>-0.49398269893441688</v>
      </c>
      <c r="AA24">
        <v>-0.69139225425050199</v>
      </c>
      <c r="AB24">
        <v>-1.1527106595173111</v>
      </c>
      <c r="AC24">
        <v>-1.547749548235771</v>
      </c>
      <c r="AD24">
        <v>-0.72638593385309491</v>
      </c>
    </row>
    <row r="25" spans="1:30" x14ac:dyDescent="0.35">
      <c r="A25" s="8" t="s">
        <v>10</v>
      </c>
      <c r="B25">
        <v>131.08093866724539</v>
      </c>
      <c r="C25">
        <v>137.3028142255221</v>
      </c>
      <c r="D25">
        <v>136.90058291333301</v>
      </c>
      <c r="E25">
        <v>133.19884598974889</v>
      </c>
      <c r="F25">
        <v>132.44213993950399</v>
      </c>
      <c r="G25">
        <v>134.41174359180141</v>
      </c>
      <c r="H25">
        <v>134.47893073010729</v>
      </c>
      <c r="I25">
        <v>132.80779861128099</v>
      </c>
      <c r="J25">
        <v>135.9722503138355</v>
      </c>
      <c r="K25">
        <v>136.08563708977769</v>
      </c>
      <c r="L25">
        <v>135.6382344248795</v>
      </c>
      <c r="M25">
        <v>132.50382945723649</v>
      </c>
      <c r="N25">
        <v>133.8278130809401</v>
      </c>
      <c r="O25">
        <v>137.54320433090609</v>
      </c>
      <c r="P25">
        <v>138.58505618595439</v>
      </c>
      <c r="Q25">
        <v>140.09104754829741</v>
      </c>
      <c r="R25">
        <v>142.21602761578839</v>
      </c>
      <c r="S25">
        <v>142.15187829968431</v>
      </c>
      <c r="T25">
        <v>142.34225923518329</v>
      </c>
      <c r="U25">
        <v>139.91807252162951</v>
      </c>
      <c r="V25">
        <v>137.93445515686841</v>
      </c>
      <c r="W25">
        <v>140.4770777334781</v>
      </c>
      <c r="X25">
        <v>142.3129501683683</v>
      </c>
      <c r="Y25">
        <v>140.50243553974349</v>
      </c>
      <c r="Z25">
        <v>140.50106102302831</v>
      </c>
      <c r="AA25">
        <v>141.9124779567174</v>
      </c>
      <c r="AB25">
        <v>142.760419797325</v>
      </c>
      <c r="AC25">
        <v>144.6383442568906</v>
      </c>
      <c r="AD25">
        <v>145.63640034798689</v>
      </c>
    </row>
    <row r="26" spans="1:30" x14ac:dyDescent="0.35">
      <c r="A26" s="4" t="s">
        <v>45</v>
      </c>
      <c r="B26">
        <v>2.159097680479023</v>
      </c>
      <c r="C26">
        <v>2.2135986231163538</v>
      </c>
      <c r="D26">
        <v>2.1161833811012571</v>
      </c>
      <c r="E26">
        <v>2.0918811602686969</v>
      </c>
      <c r="F26">
        <v>1.940076064753403</v>
      </c>
      <c r="G26">
        <v>1.942625283483111</v>
      </c>
      <c r="H26">
        <v>1.900837100812822</v>
      </c>
      <c r="I26">
        <v>2.0321500031405391</v>
      </c>
      <c r="J26">
        <v>1.73511440155917</v>
      </c>
      <c r="K26">
        <v>1.513303704347732</v>
      </c>
      <c r="L26">
        <v>1.6178619245546719</v>
      </c>
      <c r="M26">
        <v>1.6849503987450489</v>
      </c>
      <c r="N26">
        <v>1.6597874003463009</v>
      </c>
      <c r="O26">
        <v>1.666035654882545</v>
      </c>
      <c r="P26">
        <v>1.683305005053048</v>
      </c>
      <c r="Q26">
        <v>1.6858456744176189</v>
      </c>
      <c r="R26">
        <v>1.7337778185094219</v>
      </c>
      <c r="S26">
        <v>1.542298519808224</v>
      </c>
      <c r="T26">
        <v>1.500786540112621</v>
      </c>
      <c r="U26">
        <v>1.4616944137727561</v>
      </c>
      <c r="V26">
        <v>1.4827335927737011</v>
      </c>
      <c r="W26">
        <v>1.477150084884892</v>
      </c>
      <c r="X26">
        <v>1.4910846717316619</v>
      </c>
      <c r="Y26">
        <v>1.485082919682984</v>
      </c>
      <c r="Z26">
        <v>1.488009888077245</v>
      </c>
      <c r="AA26">
        <v>1.4284131771643009</v>
      </c>
      <c r="AB26">
        <v>1.4256352640305221</v>
      </c>
      <c r="AC26">
        <v>1.420564830776573</v>
      </c>
      <c r="AD26">
        <v>1.4868418379890129</v>
      </c>
    </row>
    <row r="28" spans="1:30" x14ac:dyDescent="0.35">
      <c r="A28" s="1" t="s">
        <v>13</v>
      </c>
      <c r="B28" s="2">
        <v>2016</v>
      </c>
      <c r="C28" s="2">
        <v>2017</v>
      </c>
      <c r="D28" s="2">
        <v>2018</v>
      </c>
      <c r="E28" s="2">
        <v>2019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K28" s="2" t="s">
        <v>22</v>
      </c>
      <c r="L28" s="2" t="s">
        <v>23</v>
      </c>
      <c r="M28" s="2" t="s">
        <v>24</v>
      </c>
      <c r="N28" s="2" t="s">
        <v>25</v>
      </c>
      <c r="O28" s="2" t="s">
        <v>26</v>
      </c>
      <c r="P28" s="2" t="s">
        <v>27</v>
      </c>
      <c r="Q28" s="2" t="s">
        <v>28</v>
      </c>
      <c r="R28" s="2" t="s">
        <v>29</v>
      </c>
      <c r="S28" s="2" t="s">
        <v>30</v>
      </c>
      <c r="T28" s="2" t="s">
        <v>31</v>
      </c>
      <c r="U28" s="2" t="s">
        <v>32</v>
      </c>
      <c r="V28" s="2" t="s">
        <v>33</v>
      </c>
      <c r="W28" s="2" t="s">
        <v>34</v>
      </c>
      <c r="X28" s="2" t="s">
        <v>35</v>
      </c>
      <c r="Y28" s="2" t="s">
        <v>36</v>
      </c>
      <c r="Z28" s="3" t="s">
        <v>37</v>
      </c>
      <c r="AA28" s="3" t="s">
        <v>38</v>
      </c>
      <c r="AB28" s="3" t="s">
        <v>39</v>
      </c>
      <c r="AC28" s="3" t="s">
        <v>40</v>
      </c>
    </row>
    <row r="29" spans="1:30" x14ac:dyDescent="0.35">
      <c r="A29" s="4" t="s">
        <v>41</v>
      </c>
      <c r="B29">
        <v>129.64153783953199</v>
      </c>
      <c r="C29">
        <v>131.65562857994581</v>
      </c>
      <c r="D29">
        <v>131.56832363473589</v>
      </c>
      <c r="E29">
        <v>129.50597295299329</v>
      </c>
      <c r="F29">
        <v>130.03039565128549</v>
      </c>
      <c r="G29">
        <v>133.13561972496839</v>
      </c>
      <c r="H29">
        <v>135.524196498951</v>
      </c>
      <c r="I29">
        <v>135.28732548834151</v>
      </c>
      <c r="J29">
        <v>135.28771439688319</v>
      </c>
      <c r="K29">
        <v>135.4990065961002</v>
      </c>
      <c r="L29">
        <v>135.05653202064309</v>
      </c>
      <c r="M29">
        <v>133.6533590478692</v>
      </c>
      <c r="N29">
        <v>134.54999962165849</v>
      </c>
      <c r="O29">
        <v>136.72731168449579</v>
      </c>
      <c r="P29">
        <v>137.2711437909899</v>
      </c>
      <c r="Q29">
        <v>138.3019509586567</v>
      </c>
      <c r="R29">
        <v>139.23034679005511</v>
      </c>
      <c r="S29">
        <v>137.7158392394139</v>
      </c>
      <c r="T29">
        <v>138.53983622019501</v>
      </c>
      <c r="U29">
        <v>137.48747271961969</v>
      </c>
      <c r="V29">
        <v>136.76023284432631</v>
      </c>
      <c r="W29">
        <v>137.47802427838079</v>
      </c>
      <c r="X29">
        <v>138.54353569478641</v>
      </c>
      <c r="Y29">
        <v>137.2090482829978</v>
      </c>
      <c r="Z29">
        <v>136.66839841462689</v>
      </c>
      <c r="AA29">
        <v>137.94719223853701</v>
      </c>
      <c r="AB29">
        <v>138.66054717924419</v>
      </c>
      <c r="AC29">
        <v>140.03751697543669</v>
      </c>
      <c r="AD29">
        <v>141.058056284797</v>
      </c>
    </row>
    <row r="30" spans="1:30" x14ac:dyDescent="0.35">
      <c r="A30" s="5" t="s">
        <v>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t="23" customHeight="1" x14ac:dyDescent="0.35">
      <c r="A31" s="6" t="s">
        <v>42</v>
      </c>
      <c r="B31">
        <v>0.80451042320075317</v>
      </c>
      <c r="C31">
        <v>0.93531318918843454</v>
      </c>
      <c r="D31">
        <v>0.87019854655096651</v>
      </c>
      <c r="E31">
        <v>0.78525766916115458</v>
      </c>
      <c r="F31">
        <v>0.62627010783492665</v>
      </c>
      <c r="G31">
        <v>0.56124753646935233</v>
      </c>
      <c r="H31">
        <v>0.90101304711950547</v>
      </c>
      <c r="I31">
        <v>0.84283260286281347</v>
      </c>
      <c r="J31">
        <v>1.6574384290710209</v>
      </c>
      <c r="K31">
        <v>1.815851125188999</v>
      </c>
      <c r="L31">
        <v>1.5016645803773661</v>
      </c>
      <c r="M31">
        <v>1.1834960513425301</v>
      </c>
      <c r="N31">
        <v>0.56607343884937222</v>
      </c>
      <c r="O31">
        <v>0.62303432104519629</v>
      </c>
      <c r="P31">
        <v>-1.4227398664814929E-2</v>
      </c>
      <c r="Q31">
        <v>0.60880416093954182</v>
      </c>
      <c r="R31">
        <v>0.26065131663582969</v>
      </c>
      <c r="S31">
        <v>0.32381303156259378</v>
      </c>
      <c r="T31">
        <v>1.474295442786399</v>
      </c>
      <c r="U31">
        <v>1.264705079320009</v>
      </c>
      <c r="V31">
        <v>1.013927862906201</v>
      </c>
      <c r="W31">
        <v>2.022800071092405</v>
      </c>
      <c r="X31">
        <v>2.2786497559132499</v>
      </c>
      <c r="Y31">
        <v>2.0632355429099789</v>
      </c>
      <c r="Z31">
        <v>1.8384507384757001</v>
      </c>
      <c r="AA31">
        <v>2.0356618749904101</v>
      </c>
      <c r="AB31">
        <v>2.2451500749805291</v>
      </c>
      <c r="AC31">
        <v>2.7851197376810428</v>
      </c>
      <c r="AD31">
        <v>3.125019135781685</v>
      </c>
    </row>
    <row r="32" spans="1:30" ht="23" customHeight="1" x14ac:dyDescent="0.35">
      <c r="A32" s="8" t="s">
        <v>43</v>
      </c>
      <c r="B32">
        <v>-5.0455571575156448E-2</v>
      </c>
      <c r="C32">
        <v>0.75720384500570503</v>
      </c>
      <c r="D32">
        <v>0.64947208604564821</v>
      </c>
      <c r="E32">
        <v>0.43955008621961161</v>
      </c>
      <c r="F32">
        <v>0.1593692870120833</v>
      </c>
      <c r="G32">
        <v>0.2047825003206469</v>
      </c>
      <c r="H32">
        <v>0.33580172217318699</v>
      </c>
      <c r="I32">
        <v>0.63952475967838041</v>
      </c>
      <c r="J32">
        <v>0.68712665862236122</v>
      </c>
      <c r="K32">
        <v>0.56200971444576453</v>
      </c>
      <c r="L32">
        <v>0.36259082470243698</v>
      </c>
      <c r="M32">
        <v>-0.21347617494956239</v>
      </c>
      <c r="N32">
        <v>-0.90647246498153322</v>
      </c>
      <c r="O32">
        <v>-1.161651210742036</v>
      </c>
      <c r="P32">
        <v>-0.80402292247515561</v>
      </c>
      <c r="Q32">
        <v>-0.69565535624943209</v>
      </c>
      <c r="R32">
        <v>-0.63196430263221259</v>
      </c>
      <c r="S32">
        <v>-1.168932095186221</v>
      </c>
      <c r="T32">
        <v>-1.0810717517190651</v>
      </c>
      <c r="U32">
        <v>-1.2889426410801259</v>
      </c>
      <c r="V32">
        <v>-1.6513591787974351</v>
      </c>
      <c r="W32">
        <v>-0.73387216960185242</v>
      </c>
      <c r="X32">
        <v>-0.18380679521450821</v>
      </c>
      <c r="Y32">
        <v>0.73542112494823186</v>
      </c>
      <c r="Z32">
        <v>0.23261971899978559</v>
      </c>
      <c r="AA32">
        <v>0.25429474944598951</v>
      </c>
      <c r="AB32">
        <v>1.0324708839145269</v>
      </c>
      <c r="AC32">
        <v>1.8647752802303901</v>
      </c>
      <c r="AD32">
        <v>0.70441509775224631</v>
      </c>
    </row>
    <row r="33" spans="1:30" x14ac:dyDescent="0.35">
      <c r="A33" s="6" t="s">
        <v>44</v>
      </c>
      <c r="B33">
        <v>5.0455571575156448E-2</v>
      </c>
      <c r="C33">
        <v>-0.75720384500570503</v>
      </c>
      <c r="D33">
        <v>-0.64947208604564821</v>
      </c>
      <c r="E33">
        <v>-0.43955008621961161</v>
      </c>
      <c r="F33">
        <v>-0.1593692870120833</v>
      </c>
      <c r="G33">
        <v>-0.2047825003206469</v>
      </c>
      <c r="H33">
        <v>-0.33580172217318699</v>
      </c>
      <c r="I33">
        <v>-0.63952475967838041</v>
      </c>
      <c r="J33">
        <v>-0.68712665862236122</v>
      </c>
      <c r="K33">
        <v>-0.56200971444576453</v>
      </c>
      <c r="L33">
        <v>-0.36259082470243698</v>
      </c>
      <c r="M33">
        <v>0.21347617494956239</v>
      </c>
      <c r="N33">
        <v>0.90647246498153322</v>
      </c>
      <c r="O33">
        <v>1.161651210742036</v>
      </c>
      <c r="P33">
        <v>0.80402292247515561</v>
      </c>
      <c r="Q33">
        <v>0.69565535624943209</v>
      </c>
      <c r="R33">
        <v>0.63196430263221259</v>
      </c>
      <c r="S33">
        <v>1.168932095186221</v>
      </c>
      <c r="T33">
        <v>1.0810717517190651</v>
      </c>
      <c r="U33">
        <v>1.2889426410801259</v>
      </c>
      <c r="V33">
        <v>1.6513591787974351</v>
      </c>
      <c r="W33">
        <v>0.73387216960185242</v>
      </c>
      <c r="X33">
        <v>0.18380679521450821</v>
      </c>
      <c r="Y33">
        <v>-0.73542112494823186</v>
      </c>
      <c r="Z33">
        <v>-0.23261971899978559</v>
      </c>
      <c r="AA33">
        <v>-0.25429474944598951</v>
      </c>
      <c r="AB33">
        <v>-1.0324708839145269</v>
      </c>
      <c r="AC33">
        <v>-1.8647752802303901</v>
      </c>
      <c r="AD33">
        <v>-0.70441509775224631</v>
      </c>
    </row>
    <row r="34" spans="1:30" x14ac:dyDescent="0.35">
      <c r="A34" s="8" t="s">
        <v>10</v>
      </c>
      <c r="B34">
        <v>130.4460482627328</v>
      </c>
      <c r="C34">
        <v>132.5909417691343</v>
      </c>
      <c r="D34">
        <v>132.43852218128691</v>
      </c>
      <c r="E34">
        <v>130.29123062215439</v>
      </c>
      <c r="F34">
        <v>130.65666575912039</v>
      </c>
      <c r="G34">
        <v>133.6968672614378</v>
      </c>
      <c r="H34">
        <v>136.4252095460705</v>
      </c>
      <c r="I34">
        <v>136.13015809120429</v>
      </c>
      <c r="J34">
        <v>136.94515282595421</v>
      </c>
      <c r="K34">
        <v>137.3148577212892</v>
      </c>
      <c r="L34">
        <v>136.55819660102051</v>
      </c>
      <c r="M34">
        <v>134.83685509921179</v>
      </c>
      <c r="N34">
        <v>135.1160730605078</v>
      </c>
      <c r="O34">
        <v>137.35034600554101</v>
      </c>
      <c r="P34">
        <v>137.25691639232511</v>
      </c>
      <c r="Q34">
        <v>138.91075511959619</v>
      </c>
      <c r="R34">
        <v>139.49099810669091</v>
      </c>
      <c r="S34">
        <v>138.03965227097649</v>
      </c>
      <c r="T34">
        <v>140.01413166298141</v>
      </c>
      <c r="U34">
        <v>138.7521777989397</v>
      </c>
      <c r="V34">
        <v>137.77416070723251</v>
      </c>
      <c r="W34">
        <v>139.50082434947319</v>
      </c>
      <c r="X34">
        <v>140.82218545069961</v>
      </c>
      <c r="Y34">
        <v>139.27228382590781</v>
      </c>
      <c r="Z34">
        <v>138.50684915310259</v>
      </c>
      <c r="AA34">
        <v>139.9828541135274</v>
      </c>
      <c r="AB34">
        <v>140.9056972542248</v>
      </c>
      <c r="AC34">
        <v>142.82263671311779</v>
      </c>
      <c r="AD34">
        <v>144.18307542057869</v>
      </c>
    </row>
    <row r="35" spans="1:30" x14ac:dyDescent="0.35">
      <c r="A35" s="4" t="s">
        <v>45</v>
      </c>
      <c r="B35">
        <v>1.950480503725607</v>
      </c>
      <c r="C35">
        <v>1.9400050502609849</v>
      </c>
      <c r="D35">
        <v>1.988692413568131</v>
      </c>
      <c r="E35">
        <v>2.0879172511056479</v>
      </c>
      <c r="F35">
        <v>2.0811848905280161</v>
      </c>
      <c r="G35">
        <v>2.108273962995681</v>
      </c>
      <c r="H35">
        <v>1.8208212136326281</v>
      </c>
      <c r="I35">
        <v>1.8044695139185609</v>
      </c>
      <c r="J35">
        <v>1.700030223065562</v>
      </c>
      <c r="K35">
        <v>1.5710506543114791</v>
      </c>
      <c r="L35">
        <v>1.5936036981497139</v>
      </c>
      <c r="M35">
        <v>1.6156902191791229</v>
      </c>
      <c r="N35">
        <v>1.571835203736176</v>
      </c>
      <c r="O35">
        <v>1.5196343114329609</v>
      </c>
      <c r="P35">
        <v>1.5368932261779591</v>
      </c>
      <c r="Q35">
        <v>1.482145759650789</v>
      </c>
      <c r="R35">
        <v>1.4795919019263779</v>
      </c>
      <c r="S35">
        <v>1.516470864863622</v>
      </c>
      <c r="T35">
        <v>1.4303354256038241</v>
      </c>
      <c r="U35">
        <v>1.4317843574028659</v>
      </c>
      <c r="V35">
        <v>1.53054050229873</v>
      </c>
      <c r="W35">
        <v>1.4910964059331879</v>
      </c>
      <c r="X35">
        <v>1.4551092694800321</v>
      </c>
      <c r="Y35">
        <v>1.463730402971277</v>
      </c>
      <c r="Z35">
        <v>1.486066499990889</v>
      </c>
      <c r="AA35">
        <v>1.4267407047091329</v>
      </c>
      <c r="AB35">
        <v>1.4321745698504429</v>
      </c>
      <c r="AC35">
        <v>1.417545314836075</v>
      </c>
      <c r="AD35">
        <v>1.4813416735810381</v>
      </c>
    </row>
    <row r="37" spans="1:30" x14ac:dyDescent="0.35">
      <c r="A37" s="1" t="s">
        <v>15</v>
      </c>
      <c r="B37" s="10"/>
      <c r="C37" s="10"/>
      <c r="D37" s="10"/>
      <c r="E37" s="10"/>
      <c r="F37" s="2" t="s">
        <v>17</v>
      </c>
      <c r="G37" s="2" t="s">
        <v>18</v>
      </c>
      <c r="H37" s="2" t="s">
        <v>19</v>
      </c>
      <c r="I37" s="2" t="s">
        <v>20</v>
      </c>
      <c r="J37" s="2" t="s">
        <v>21</v>
      </c>
      <c r="K37" s="2" t="s">
        <v>22</v>
      </c>
      <c r="L37" s="2" t="s">
        <v>23</v>
      </c>
      <c r="M37" s="2" t="s">
        <v>24</v>
      </c>
      <c r="N37" s="2" t="s">
        <v>25</v>
      </c>
      <c r="O37" s="2" t="s">
        <v>26</v>
      </c>
      <c r="P37" s="2" t="s">
        <v>27</v>
      </c>
      <c r="Q37" s="2" t="s">
        <v>28</v>
      </c>
      <c r="R37" s="2" t="s">
        <v>29</v>
      </c>
      <c r="S37" s="2" t="s">
        <v>30</v>
      </c>
      <c r="T37" s="2" t="s">
        <v>31</v>
      </c>
      <c r="U37" s="2" t="s">
        <v>32</v>
      </c>
      <c r="V37" s="2" t="s">
        <v>33</v>
      </c>
      <c r="W37" s="2" t="s">
        <v>34</v>
      </c>
      <c r="X37" s="2" t="s">
        <v>35</v>
      </c>
      <c r="Y37" s="2" t="s">
        <v>36</v>
      </c>
      <c r="Z37" s="3" t="s">
        <v>37</v>
      </c>
      <c r="AA37" s="3" t="s">
        <v>38</v>
      </c>
      <c r="AB37" s="3" t="s">
        <v>39</v>
      </c>
      <c r="AC37" s="3" t="s">
        <v>40</v>
      </c>
    </row>
    <row r="38" spans="1:30" x14ac:dyDescent="0.35">
      <c r="A38" s="4" t="s">
        <v>41</v>
      </c>
      <c r="B38" s="12"/>
      <c r="C38" s="12"/>
      <c r="D38" s="12"/>
      <c r="E38" s="12"/>
      <c r="F38">
        <v>132.3830679174151</v>
      </c>
      <c r="G38">
        <v>133.22864053407059</v>
      </c>
      <c r="H38">
        <v>136.30165783621021</v>
      </c>
      <c r="I38">
        <v>135.3824245085064</v>
      </c>
      <c r="J38">
        <v>133.83570351401411</v>
      </c>
      <c r="K38">
        <v>131.87489783492529</v>
      </c>
      <c r="L38">
        <v>131.1356915650193</v>
      </c>
      <c r="M38">
        <v>129.47230286810949</v>
      </c>
      <c r="N38">
        <v>129.34472841048461</v>
      </c>
      <c r="O38">
        <v>131.4534857039441</v>
      </c>
      <c r="P38">
        <v>131.7155339764507</v>
      </c>
      <c r="Q38">
        <v>131.25851429906621</v>
      </c>
      <c r="R38">
        <v>132.73384871823549</v>
      </c>
      <c r="S38">
        <v>133.44219538041571</v>
      </c>
      <c r="T38">
        <v>133.76755452848761</v>
      </c>
      <c r="U38">
        <v>135.3136659257851</v>
      </c>
      <c r="V38">
        <v>136.17456495376311</v>
      </c>
      <c r="W38">
        <v>136.81709999339159</v>
      </c>
      <c r="X38">
        <v>136.69241262670499</v>
      </c>
      <c r="Y38">
        <v>134.948750294055</v>
      </c>
      <c r="Z38">
        <v>134.57147996843619</v>
      </c>
      <c r="AA38">
        <v>136.41792232868141</v>
      </c>
      <c r="AB38">
        <v>137.00629562165429</v>
      </c>
      <c r="AC38">
        <v>137.20721483911191</v>
      </c>
      <c r="AD38">
        <v>139.79557838571191</v>
      </c>
    </row>
    <row r="39" spans="1:30" x14ac:dyDescent="0.35">
      <c r="A39" s="5" t="s">
        <v>6</v>
      </c>
      <c r="B39" s="12"/>
      <c r="C39" s="12"/>
      <c r="D39" s="12"/>
      <c r="E39" s="12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ht="23" customHeight="1" x14ac:dyDescent="0.35">
      <c r="A40" s="6" t="s">
        <v>42</v>
      </c>
      <c r="B40" s="12"/>
      <c r="C40" s="12"/>
      <c r="D40" s="12"/>
      <c r="E40" s="12"/>
      <c r="F40">
        <v>0.53733727491581362</v>
      </c>
      <c r="G40">
        <v>0.61144890440334621</v>
      </c>
      <c r="H40">
        <v>0.32319333564112179</v>
      </c>
      <c r="I40">
        <v>-0.89774631802086446</v>
      </c>
      <c r="J40">
        <v>-0.38175502107574738</v>
      </c>
      <c r="K40">
        <v>-0.59152796588301726</v>
      </c>
      <c r="L40">
        <v>-0.80097814863870553</v>
      </c>
      <c r="M40">
        <v>-0.57952409404390437</v>
      </c>
      <c r="N40">
        <v>-0.1218767355521209</v>
      </c>
      <c r="O40">
        <v>-0.57677921084459172</v>
      </c>
      <c r="P40">
        <v>-1.563158121816997</v>
      </c>
      <c r="Q40">
        <v>-1.3928785047271219</v>
      </c>
      <c r="R40">
        <v>-1.751634827333447</v>
      </c>
      <c r="S40">
        <v>-1.055753827058538</v>
      </c>
      <c r="T40">
        <v>-0.70981924968504018</v>
      </c>
      <c r="U40">
        <v>0.45637312284415538</v>
      </c>
      <c r="V40">
        <v>-0.59196154705890081</v>
      </c>
      <c r="W40">
        <v>-0.32963785050176853</v>
      </c>
      <c r="X40">
        <v>-0.49424107346195001</v>
      </c>
      <c r="Y40">
        <v>-0.28560818312433872</v>
      </c>
      <c r="Z40">
        <v>-0.97599677625345294</v>
      </c>
      <c r="AA40">
        <v>0.20518067039733981</v>
      </c>
      <c r="AB40">
        <v>0.17963091044521209</v>
      </c>
      <c r="AC40">
        <v>1.0649609356779881</v>
      </c>
      <c r="AD40">
        <v>1.2538169690974139</v>
      </c>
    </row>
    <row r="41" spans="1:30" ht="23" customHeight="1" x14ac:dyDescent="0.35">
      <c r="A41" s="8" t="s">
        <v>43</v>
      </c>
      <c r="B41" s="12"/>
      <c r="C41" s="12"/>
      <c r="D41" s="12"/>
      <c r="E41" s="12"/>
      <c r="F41">
        <v>-1.1642650513996951</v>
      </c>
      <c r="G41">
        <v>-0.8148518240867304</v>
      </c>
      <c r="H41">
        <v>-0.48148700101194208</v>
      </c>
      <c r="I41">
        <v>-0.59479580848037017</v>
      </c>
      <c r="J41">
        <v>-0.48218600109382243</v>
      </c>
      <c r="K41">
        <v>0.16898009321292309</v>
      </c>
      <c r="L41">
        <v>-0.42276793699977588</v>
      </c>
      <c r="M41">
        <v>-0.40506854413754922</v>
      </c>
      <c r="N41">
        <v>-1.2976314193844301</v>
      </c>
      <c r="O41">
        <v>-1.6241318995030549</v>
      </c>
      <c r="P41">
        <v>-2.355607542085465</v>
      </c>
      <c r="Q41">
        <v>-2.573444597248169</v>
      </c>
      <c r="R41">
        <v>-2.3027034014923231</v>
      </c>
      <c r="S41">
        <v>-2.190573199042547</v>
      </c>
      <c r="T41">
        <v>-1.744765051628377</v>
      </c>
      <c r="U41">
        <v>-1.079047114817399</v>
      </c>
      <c r="V41">
        <v>-1.827018849726443</v>
      </c>
      <c r="W41">
        <v>-1.4413706853817421</v>
      </c>
      <c r="X41">
        <v>-0.50297645929157397</v>
      </c>
      <c r="Y41">
        <v>2.198008770332962</v>
      </c>
      <c r="Z41">
        <v>3.1841853795325221</v>
      </c>
      <c r="AA41">
        <v>1.993998817058696</v>
      </c>
      <c r="AB41">
        <v>2.4833440163971261</v>
      </c>
      <c r="AC41">
        <v>3.3182452115444221</v>
      </c>
      <c r="AD41">
        <v>2.577099512108703</v>
      </c>
    </row>
    <row r="42" spans="1:30" x14ac:dyDescent="0.35">
      <c r="A42" s="6" t="s">
        <v>44</v>
      </c>
      <c r="B42" s="12"/>
      <c r="C42" s="12"/>
      <c r="D42" s="12"/>
      <c r="E42" s="12"/>
      <c r="F42">
        <v>1.1642650513996951</v>
      </c>
      <c r="G42">
        <v>0.8148518240867304</v>
      </c>
      <c r="H42">
        <v>0.48148700101194208</v>
      </c>
      <c r="I42">
        <v>0.59479580848037017</v>
      </c>
      <c r="J42">
        <v>0.48218600109382243</v>
      </c>
      <c r="K42">
        <v>-0.16898009321292309</v>
      </c>
      <c r="L42">
        <v>0.42276793699977588</v>
      </c>
      <c r="M42">
        <v>0.40506854413754922</v>
      </c>
      <c r="N42">
        <v>1.2976314193844301</v>
      </c>
      <c r="O42">
        <v>1.6241318995030549</v>
      </c>
      <c r="P42">
        <v>2.355607542085465</v>
      </c>
      <c r="Q42">
        <v>2.573444597248169</v>
      </c>
      <c r="R42">
        <v>2.3027034014923231</v>
      </c>
      <c r="S42">
        <v>2.190573199042547</v>
      </c>
      <c r="T42">
        <v>1.744765051628377</v>
      </c>
      <c r="U42">
        <v>1.079047114817399</v>
      </c>
      <c r="V42">
        <v>1.827018849726443</v>
      </c>
      <c r="W42">
        <v>1.4413706853817421</v>
      </c>
      <c r="X42">
        <v>0.50297645929157397</v>
      </c>
      <c r="Y42">
        <v>-2.198008770332962</v>
      </c>
      <c r="Z42">
        <v>-3.1841853795325221</v>
      </c>
      <c r="AA42">
        <v>-1.993998817058696</v>
      </c>
      <c r="AB42">
        <v>-2.4833440163971261</v>
      </c>
      <c r="AC42">
        <v>-3.3182452115444221</v>
      </c>
      <c r="AD42">
        <v>-2.577099512108703</v>
      </c>
    </row>
    <row r="43" spans="1:30" x14ac:dyDescent="0.35">
      <c r="A43" s="8" t="s">
        <v>10</v>
      </c>
      <c r="B43" s="12"/>
      <c r="C43" s="12"/>
      <c r="D43" s="12"/>
      <c r="E43" s="12"/>
      <c r="F43">
        <v>132.92040519233089</v>
      </c>
      <c r="G43">
        <v>133.840089438474</v>
      </c>
      <c r="H43">
        <v>136.6248511718513</v>
      </c>
      <c r="I43">
        <v>134.48467819048551</v>
      </c>
      <c r="J43">
        <v>133.45394849293839</v>
      </c>
      <c r="K43">
        <v>131.2833698690423</v>
      </c>
      <c r="L43">
        <v>130.33471341638059</v>
      </c>
      <c r="M43">
        <v>128.89277877406559</v>
      </c>
      <c r="N43">
        <v>129.22285167493251</v>
      </c>
      <c r="O43">
        <v>130.8767064930995</v>
      </c>
      <c r="P43">
        <v>130.1523758546337</v>
      </c>
      <c r="Q43">
        <v>129.86563579433911</v>
      </c>
      <c r="R43">
        <v>130.9822138909021</v>
      </c>
      <c r="S43">
        <v>132.38644155335709</v>
      </c>
      <c r="T43">
        <v>133.05773527880251</v>
      </c>
      <c r="U43">
        <v>135.7700390486292</v>
      </c>
      <c r="V43">
        <v>135.58260340670421</v>
      </c>
      <c r="W43">
        <v>136.48746214288991</v>
      </c>
      <c r="X43">
        <v>136.19817155324299</v>
      </c>
      <c r="Y43">
        <v>134.66314211093061</v>
      </c>
      <c r="Z43">
        <v>133.59548319218271</v>
      </c>
      <c r="AA43">
        <v>136.6231029990787</v>
      </c>
      <c r="AB43">
        <v>137.18592653209959</v>
      </c>
      <c r="AC43">
        <v>138.2721757747899</v>
      </c>
      <c r="AD43">
        <v>141.04939535480929</v>
      </c>
    </row>
    <row r="44" spans="1:30" x14ac:dyDescent="0.35">
      <c r="A44" s="4" t="s">
        <v>45</v>
      </c>
      <c r="B44" s="12"/>
      <c r="C44" s="12"/>
      <c r="D44" s="12"/>
      <c r="E44" s="12"/>
      <c r="F44">
        <v>1.4714814564148651</v>
      </c>
      <c r="G44">
        <v>1.4470177863298259</v>
      </c>
      <c r="H44">
        <v>1.268965978516855</v>
      </c>
      <c r="I44">
        <v>1.3695106163559041</v>
      </c>
      <c r="J44">
        <v>1.3591646296567319</v>
      </c>
      <c r="K44">
        <v>1.2615696150987721</v>
      </c>
      <c r="L44">
        <v>1.34080361829835</v>
      </c>
      <c r="M44">
        <v>1.3739168675891591</v>
      </c>
      <c r="N44">
        <v>1.394577021117978</v>
      </c>
      <c r="O44">
        <v>1.346453510211473</v>
      </c>
      <c r="P44">
        <v>1.292727664758526</v>
      </c>
      <c r="Q44">
        <v>1.347543284829769</v>
      </c>
      <c r="R44">
        <v>1.3825684176804549</v>
      </c>
      <c r="S44">
        <v>1.3326969846150021</v>
      </c>
      <c r="T44">
        <v>1.2563731025802869</v>
      </c>
      <c r="U44">
        <v>1.307852907650217</v>
      </c>
      <c r="V44">
        <v>1.317042142838168</v>
      </c>
      <c r="W44">
        <v>1.3000146214108259</v>
      </c>
      <c r="X44">
        <v>1.3146829917590519</v>
      </c>
      <c r="Y44">
        <v>1.3450746574432559</v>
      </c>
      <c r="Z44">
        <v>1.3308241087964781</v>
      </c>
      <c r="AA44">
        <v>1.3023749798304729</v>
      </c>
      <c r="AB44">
        <v>1.307356969293695</v>
      </c>
      <c r="AC44">
        <v>1.3184290031063151</v>
      </c>
      <c r="AD44">
        <v>1.3321689210885961</v>
      </c>
    </row>
    <row r="46" spans="1:30" x14ac:dyDescent="0.35">
      <c r="A46" s="1" t="s">
        <v>46</v>
      </c>
      <c r="B46" s="2">
        <v>2016</v>
      </c>
      <c r="C46" s="2">
        <v>2017</v>
      </c>
      <c r="D46" s="2">
        <v>2018</v>
      </c>
      <c r="E46" s="2">
        <v>2019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K46" s="2" t="s">
        <v>22</v>
      </c>
      <c r="L46" s="2" t="s">
        <v>23</v>
      </c>
      <c r="M46" s="2" t="s">
        <v>24</v>
      </c>
      <c r="N46" s="2" t="s">
        <v>25</v>
      </c>
      <c r="O46" s="2" t="s">
        <v>26</v>
      </c>
      <c r="P46" s="2" t="s">
        <v>27</v>
      </c>
      <c r="Q46" s="2" t="s">
        <v>28</v>
      </c>
      <c r="R46" s="2" t="s">
        <v>29</v>
      </c>
      <c r="S46" s="2" t="s">
        <v>30</v>
      </c>
      <c r="T46" s="2" t="s">
        <v>31</v>
      </c>
      <c r="U46" s="2" t="s">
        <v>32</v>
      </c>
      <c r="V46" s="2" t="s">
        <v>33</v>
      </c>
      <c r="W46" s="2" t="s">
        <v>34</v>
      </c>
      <c r="X46" s="2" t="s">
        <v>35</v>
      </c>
      <c r="Y46" s="2" t="s">
        <v>36</v>
      </c>
      <c r="Z46" s="3" t="s">
        <v>37</v>
      </c>
      <c r="AA46" s="3" t="s">
        <v>38</v>
      </c>
      <c r="AB46" s="3" t="s">
        <v>39</v>
      </c>
      <c r="AC46" s="3" t="s">
        <v>40</v>
      </c>
    </row>
    <row r="47" spans="1:30" x14ac:dyDescent="0.35">
      <c r="A47" s="4" t="s">
        <v>41</v>
      </c>
      <c r="B47">
        <v>130.11007291353741</v>
      </c>
      <c r="C47">
        <v>132.58768423165381</v>
      </c>
      <c r="D47">
        <v>132.51876017581779</v>
      </c>
      <c r="E47">
        <v>130.52654322632679</v>
      </c>
      <c r="F47">
        <v>130.91150494744431</v>
      </c>
      <c r="G47">
        <v>133.5681795151722</v>
      </c>
      <c r="H47">
        <v>135.3287156077005</v>
      </c>
      <c r="I47">
        <v>135.00451746431631</v>
      </c>
      <c r="J47">
        <v>135.3346609884608</v>
      </c>
      <c r="K47">
        <v>135.42705044425381</v>
      </c>
      <c r="L47">
        <v>135.14249202236499</v>
      </c>
      <c r="M47">
        <v>133.5823735198444</v>
      </c>
      <c r="N47">
        <v>134.24542394347671</v>
      </c>
      <c r="O47">
        <v>136.54105153034561</v>
      </c>
      <c r="P47">
        <v>137.3492500651486</v>
      </c>
      <c r="Q47">
        <v>138.63773781249441</v>
      </c>
      <c r="R47">
        <v>139.45712911470301</v>
      </c>
      <c r="S47">
        <v>138.75195256416711</v>
      </c>
      <c r="T47">
        <v>138.87581195365931</v>
      </c>
      <c r="U47">
        <v>138.31101426344071</v>
      </c>
      <c r="V47">
        <v>137.53277694910449</v>
      </c>
      <c r="W47">
        <v>138.76369128276681</v>
      </c>
      <c r="X47">
        <v>140.0746956158838</v>
      </c>
      <c r="Y47">
        <v>138.61956570479541</v>
      </c>
      <c r="Z47">
        <v>138.13777749999201</v>
      </c>
      <c r="AA47">
        <v>139.22050276176489</v>
      </c>
      <c r="AB47">
        <v>139.6100380592523</v>
      </c>
      <c r="AC47">
        <v>140.56262399932459</v>
      </c>
      <c r="AD47">
        <v>141.66062090795501</v>
      </c>
    </row>
    <row r="48" spans="1:30" x14ac:dyDescent="0.35">
      <c r="A48" s="5" t="s">
        <v>6</v>
      </c>
      <c r="B48">
        <v>0.1572520016262331</v>
      </c>
      <c r="C48">
        <v>9.8662384488079624E-2</v>
      </c>
      <c r="D48">
        <v>3.1447292337446697E-2</v>
      </c>
      <c r="E48">
        <v>7.931196901694193E-3</v>
      </c>
      <c r="F48">
        <v>1.6008840074732689E-4</v>
      </c>
      <c r="G48">
        <v>5.4589378953551204E-4</v>
      </c>
      <c r="H48">
        <v>9.2920138655472329E-4</v>
      </c>
      <c r="I48">
        <v>-1.443035864667763E-3</v>
      </c>
      <c r="J48">
        <v>3.2879285200237968E-4</v>
      </c>
      <c r="K48">
        <v>2.9449277164417248E-4</v>
      </c>
      <c r="L48">
        <v>3.9904695563564019E-4</v>
      </c>
      <c r="M48">
        <v>-1.102902682532658E-3</v>
      </c>
      <c r="N48">
        <v>-1.072890216505584E-3</v>
      </c>
      <c r="O48">
        <v>-3.8523387575253309E-3</v>
      </c>
      <c r="P48">
        <v>-1.024643662077551E-3</v>
      </c>
      <c r="Q48">
        <v>3.3984759759562171E-3</v>
      </c>
      <c r="R48">
        <v>-1.751675730054103E-2</v>
      </c>
      <c r="S48">
        <v>8.8215096548651672E-3</v>
      </c>
      <c r="T48">
        <v>-8.1867538263793449E-3</v>
      </c>
      <c r="U48">
        <v>7.4372030159679534E-3</v>
      </c>
      <c r="V48">
        <v>1.412851735267395E-4</v>
      </c>
      <c r="W48">
        <v>2.214971122441511E-3</v>
      </c>
      <c r="X48">
        <v>-1.754015518514507E-3</v>
      </c>
      <c r="Y48">
        <v>-7.041059893055035E-3</v>
      </c>
      <c r="Z48">
        <v>-2.0335988298825211E-4</v>
      </c>
      <c r="AA48">
        <v>-8.678741596781947E-3</v>
      </c>
      <c r="AB48">
        <v>-4.2505329931543656E-3</v>
      </c>
      <c r="AC48">
        <v>-7.1645739957091337E-3</v>
      </c>
      <c r="AD48">
        <v>-1.0422556386799899E-3</v>
      </c>
    </row>
    <row r="49" spans="1:30" ht="23" customHeight="1" x14ac:dyDescent="0.35">
      <c r="A49" s="6" t="s">
        <v>42</v>
      </c>
      <c r="B49">
        <v>0.51854456034359941</v>
      </c>
      <c r="C49">
        <v>0.94898376741480206</v>
      </c>
      <c r="D49">
        <v>0.9523087611950416</v>
      </c>
      <c r="E49">
        <v>0.84259456010599365</v>
      </c>
      <c r="F49">
        <v>0.463048473902262</v>
      </c>
      <c r="G49">
        <v>0.64365508084404155</v>
      </c>
      <c r="H49">
        <v>0.52209715594676709</v>
      </c>
      <c r="I49">
        <v>0.60813820479248193</v>
      </c>
      <c r="J49">
        <v>1.261096685861872</v>
      </c>
      <c r="K49">
        <v>1.1570358849313891</v>
      </c>
      <c r="L49">
        <v>0.92621472479879685</v>
      </c>
      <c r="M49">
        <v>0.52836128374761415</v>
      </c>
      <c r="N49">
        <v>0.40492693036054561</v>
      </c>
      <c r="O49">
        <v>0.77317487594146428</v>
      </c>
      <c r="P49">
        <v>0.57645117085377251</v>
      </c>
      <c r="Q49">
        <v>0.66501789439337244</v>
      </c>
      <c r="R49">
        <v>0.7674935590088694</v>
      </c>
      <c r="S49">
        <v>1.07276401894373</v>
      </c>
      <c r="T49">
        <v>1.309778807527834</v>
      </c>
      <c r="U49">
        <v>1.0316059629071219</v>
      </c>
      <c r="V49">
        <v>0.42542712303153962</v>
      </c>
      <c r="W49">
        <v>1.169403420482467</v>
      </c>
      <c r="X49">
        <v>1.483996917309071</v>
      </c>
      <c r="Y49">
        <v>1.2745257212128249</v>
      </c>
      <c r="Z49">
        <v>1.315130384219515</v>
      </c>
      <c r="AA49">
        <v>1.804837031650379</v>
      </c>
      <c r="AB49">
        <v>2.2460315778103559</v>
      </c>
      <c r="AC49">
        <v>2.6549845717395608</v>
      </c>
      <c r="AD49">
        <v>2.891708796174782</v>
      </c>
    </row>
    <row r="50" spans="1:30" ht="23" customHeight="1" x14ac:dyDescent="0.35">
      <c r="A50" s="8" t="s">
        <v>43</v>
      </c>
      <c r="B50">
        <v>-6.1152561534527188E-2</v>
      </c>
      <c r="C50">
        <v>0.73270883813088972</v>
      </c>
      <c r="D50">
        <v>0.63828386560524564</v>
      </c>
      <c r="E50">
        <v>0.41366160475715219</v>
      </c>
      <c r="F50">
        <v>0.23125599922730089</v>
      </c>
      <c r="G50">
        <v>8.6156216185230505E-2</v>
      </c>
      <c r="H50">
        <v>0.29458551748598438</v>
      </c>
      <c r="I50">
        <v>0.81665076420631522</v>
      </c>
      <c r="J50">
        <v>0.6703867560370611</v>
      </c>
      <c r="K50">
        <v>0.5032999901757762</v>
      </c>
      <c r="L50">
        <v>0.3118352384886407</v>
      </c>
      <c r="M50">
        <v>-0.32228398441469608</v>
      </c>
      <c r="N50">
        <v>-0.86631091117348547</v>
      </c>
      <c r="O50">
        <v>-0.92655815421733223</v>
      </c>
      <c r="P50">
        <v>-1.0259551205598709</v>
      </c>
      <c r="Q50">
        <v>-0.78697749652820903</v>
      </c>
      <c r="R50">
        <v>-0.71447197774611482</v>
      </c>
      <c r="S50">
        <v>-1.1182827050025139</v>
      </c>
      <c r="T50">
        <v>-1.1593414259056369</v>
      </c>
      <c r="U50">
        <v>-1.2026041298748851</v>
      </c>
      <c r="V50">
        <v>-1.389128806855382</v>
      </c>
      <c r="W50">
        <v>-0.87286278692766928</v>
      </c>
      <c r="X50">
        <v>-0.2395505247208973</v>
      </c>
      <c r="Y50">
        <v>0.55693521053478889</v>
      </c>
      <c r="Z50">
        <v>0.43764353105228793</v>
      </c>
      <c r="AA50">
        <v>0.51790656069516672</v>
      </c>
      <c r="AB50">
        <v>1.135329002289041</v>
      </c>
      <c r="AC50">
        <v>1.5877215787066059</v>
      </c>
      <c r="AD50">
        <v>0.6241233635307708</v>
      </c>
    </row>
    <row r="51" spans="1:30" x14ac:dyDescent="0.35">
      <c r="A51" s="6" t="s">
        <v>44</v>
      </c>
      <c r="B51">
        <v>6.1152561534527188E-2</v>
      </c>
      <c r="C51">
        <v>-0.73270883813088972</v>
      </c>
      <c r="D51">
        <v>-0.63828386560524564</v>
      </c>
      <c r="E51">
        <v>-0.41366160475715219</v>
      </c>
      <c r="F51">
        <v>-0.23125599922730089</v>
      </c>
      <c r="G51">
        <v>-8.6156216185230505E-2</v>
      </c>
      <c r="H51">
        <v>-0.29458551748598438</v>
      </c>
      <c r="I51">
        <v>-0.81665076420631522</v>
      </c>
      <c r="J51">
        <v>-0.6703867560370611</v>
      </c>
      <c r="K51">
        <v>-0.5032999901757762</v>
      </c>
      <c r="L51">
        <v>-0.3118352384886407</v>
      </c>
      <c r="M51">
        <v>0.32228398441469608</v>
      </c>
      <c r="N51">
        <v>0.86631091117348547</v>
      </c>
      <c r="O51">
        <v>0.92655815421733223</v>
      </c>
      <c r="P51">
        <v>1.0259551205598709</v>
      </c>
      <c r="Q51">
        <v>0.78697749652820903</v>
      </c>
      <c r="R51">
        <v>0.71447197774611482</v>
      </c>
      <c r="S51">
        <v>1.1182827050025139</v>
      </c>
      <c r="T51">
        <v>1.1593414259056369</v>
      </c>
      <c r="U51">
        <v>1.2026041298748851</v>
      </c>
      <c r="V51">
        <v>1.389128806855382</v>
      </c>
      <c r="W51">
        <v>0.87286278692766928</v>
      </c>
      <c r="X51">
        <v>0.2395505247208973</v>
      </c>
      <c r="Y51">
        <v>-0.55693521053478889</v>
      </c>
      <c r="Z51">
        <v>-0.43764353105228793</v>
      </c>
      <c r="AA51">
        <v>-0.51790656069516672</v>
      </c>
      <c r="AB51">
        <v>-1.135329002289041</v>
      </c>
      <c r="AC51">
        <v>-1.5877215787066059</v>
      </c>
      <c r="AD51">
        <v>-0.6241233635307708</v>
      </c>
    </row>
    <row r="52" spans="1:30" x14ac:dyDescent="0.35">
      <c r="A52" s="8" t="s">
        <v>10</v>
      </c>
      <c r="B52">
        <v>130.7858694755073</v>
      </c>
      <c r="C52">
        <v>133.63533038355669</v>
      </c>
      <c r="D52">
        <v>133.50251622935031</v>
      </c>
      <c r="E52">
        <v>131.37706898333451</v>
      </c>
      <c r="F52">
        <v>131.37471350974729</v>
      </c>
      <c r="G52">
        <v>134.21238048980581</v>
      </c>
      <c r="H52">
        <v>135.8517419650338</v>
      </c>
      <c r="I52">
        <v>135.61121263324409</v>
      </c>
      <c r="J52">
        <v>136.5960864671747</v>
      </c>
      <c r="K52">
        <v>136.58438082195681</v>
      </c>
      <c r="L52">
        <v>136.06910579411951</v>
      </c>
      <c r="M52">
        <v>134.10963190090951</v>
      </c>
      <c r="N52">
        <v>134.64927798362069</v>
      </c>
      <c r="O52">
        <v>137.31037406752949</v>
      </c>
      <c r="P52">
        <v>137.92467659234029</v>
      </c>
      <c r="Q52">
        <v>139.30615418286371</v>
      </c>
      <c r="R52">
        <v>140.20710591641131</v>
      </c>
      <c r="S52">
        <v>139.83353809276571</v>
      </c>
      <c r="T52">
        <v>140.17740400736071</v>
      </c>
      <c r="U52">
        <v>139.35005742936369</v>
      </c>
      <c r="V52">
        <v>137.95834535730961</v>
      </c>
      <c r="W52">
        <v>139.93530967437181</v>
      </c>
      <c r="X52">
        <v>141.55693851767441</v>
      </c>
      <c r="Y52">
        <v>139.8870503661152</v>
      </c>
      <c r="Z52">
        <v>139.4527045243286</v>
      </c>
      <c r="AA52">
        <v>141.01666105181849</v>
      </c>
      <c r="AB52">
        <v>141.85181910406951</v>
      </c>
      <c r="AC52">
        <v>143.2104439970685</v>
      </c>
      <c r="AD52">
        <v>144.55128744849111</v>
      </c>
    </row>
    <row r="53" spans="1:30" x14ac:dyDescent="0.35">
      <c r="A53" s="4" t="s">
        <v>45</v>
      </c>
      <c r="B53">
        <v>1.991928911873672</v>
      </c>
      <c r="C53">
        <v>1.9359876618084331</v>
      </c>
      <c r="D53">
        <v>1.953963598868296</v>
      </c>
      <c r="E53">
        <v>1.950183879869452</v>
      </c>
      <c r="F53">
        <v>1.9024600466839741</v>
      </c>
      <c r="G53">
        <v>1.930945217201157</v>
      </c>
      <c r="H53">
        <v>1.7391027840453941</v>
      </c>
      <c r="I53">
        <v>1.8062964417483141</v>
      </c>
      <c r="J53">
        <v>1.674055952189391</v>
      </c>
      <c r="K53">
        <v>1.496668294076162</v>
      </c>
      <c r="L53">
        <v>1.5563371157520891</v>
      </c>
      <c r="M53">
        <v>1.605922377859657</v>
      </c>
      <c r="N53">
        <v>1.5838515779445099</v>
      </c>
      <c r="O53">
        <v>1.5858674004882429</v>
      </c>
      <c r="P53">
        <v>1.611418984348667</v>
      </c>
      <c r="Q53">
        <v>1.6124021780054449</v>
      </c>
      <c r="R53">
        <v>1.648860494495189</v>
      </c>
      <c r="S53">
        <v>1.5464902531008691</v>
      </c>
      <c r="T53">
        <v>1.486461451989286</v>
      </c>
      <c r="U53">
        <v>1.4787816413466151</v>
      </c>
      <c r="V53">
        <v>1.527258485339803</v>
      </c>
      <c r="W53">
        <v>1.497146124335158</v>
      </c>
      <c r="X53">
        <v>1.4802763150503571</v>
      </c>
      <c r="Y53">
        <v>1.4838995060009439</v>
      </c>
      <c r="Z53">
        <v>1.493006103066266</v>
      </c>
      <c r="AA53">
        <v>1.446905558909666</v>
      </c>
      <c r="AB53">
        <v>1.448088571911943</v>
      </c>
      <c r="AC53">
        <v>1.437132888913752</v>
      </c>
      <c r="AD53">
        <v>1.4907693988110089</v>
      </c>
    </row>
    <row r="55" spans="1:30" x14ac:dyDescent="0.35">
      <c r="A55" s="1" t="s">
        <v>16</v>
      </c>
      <c r="B55" s="2">
        <v>2016</v>
      </c>
      <c r="C55" s="2">
        <v>2017</v>
      </c>
      <c r="D55" s="2">
        <v>2018</v>
      </c>
      <c r="E55" s="2">
        <v>2019</v>
      </c>
      <c r="F55" s="2" t="s">
        <v>17</v>
      </c>
      <c r="G55" s="2" t="s">
        <v>18</v>
      </c>
      <c r="H55" s="2" t="s">
        <v>19</v>
      </c>
      <c r="I55" s="2" t="s">
        <v>20</v>
      </c>
      <c r="J55" s="2" t="s">
        <v>21</v>
      </c>
      <c r="K55" s="2" t="s">
        <v>22</v>
      </c>
      <c r="L55" s="2" t="s">
        <v>23</v>
      </c>
      <c r="M55" s="2" t="s">
        <v>24</v>
      </c>
      <c r="N55" s="2" t="s">
        <v>25</v>
      </c>
      <c r="O55" s="2" t="s">
        <v>26</v>
      </c>
      <c r="P55" s="2" t="s">
        <v>27</v>
      </c>
      <c r="Q55" s="2" t="s">
        <v>28</v>
      </c>
      <c r="R55" s="2" t="s">
        <v>29</v>
      </c>
      <c r="S55" s="2" t="s">
        <v>30</v>
      </c>
      <c r="T55" s="2" t="s">
        <v>31</v>
      </c>
      <c r="U55" s="2" t="s">
        <v>32</v>
      </c>
      <c r="V55" s="2" t="s">
        <v>33</v>
      </c>
      <c r="W55" s="2" t="s">
        <v>34</v>
      </c>
      <c r="X55" s="2" t="s">
        <v>35</v>
      </c>
      <c r="Y55" s="2" t="s">
        <v>36</v>
      </c>
      <c r="Z55" s="3" t="s">
        <v>37</v>
      </c>
      <c r="AA55" s="3" t="s">
        <v>38</v>
      </c>
      <c r="AB55" s="3" t="s">
        <v>39</v>
      </c>
      <c r="AC55" s="3" t="s">
        <v>40</v>
      </c>
    </row>
    <row r="56" spans="1:30" x14ac:dyDescent="0.35">
      <c r="A56" s="4" t="s">
        <v>41</v>
      </c>
      <c r="B56">
        <v>136.55967984794</v>
      </c>
      <c r="C56">
        <v>139.10083206241461</v>
      </c>
      <c r="D56">
        <v>137.77797859461779</v>
      </c>
      <c r="E56">
        <v>136.8745475626348</v>
      </c>
      <c r="F56">
        <v>135.86332249445411</v>
      </c>
      <c r="G56">
        <v>138.37204193247351</v>
      </c>
      <c r="H56">
        <v>138.78949632186041</v>
      </c>
      <c r="I56">
        <v>136.95890436813559</v>
      </c>
      <c r="J56">
        <v>135.464326976926</v>
      </c>
      <c r="K56">
        <v>135.7380087477724</v>
      </c>
      <c r="L56">
        <v>134.5037235232796</v>
      </c>
      <c r="M56">
        <v>133.19297164592061</v>
      </c>
      <c r="N56">
        <v>133.26474125481579</v>
      </c>
      <c r="O56">
        <v>134.70114979213409</v>
      </c>
      <c r="P56">
        <v>136.05826795641721</v>
      </c>
      <c r="Q56">
        <v>138.33369756523109</v>
      </c>
      <c r="R56">
        <v>140.09671657848929</v>
      </c>
      <c r="S56">
        <v>140.6586391183844</v>
      </c>
      <c r="T56">
        <v>140.5045947179388</v>
      </c>
      <c r="U56">
        <v>140.56078051519651</v>
      </c>
      <c r="V56">
        <v>139.56825037479669</v>
      </c>
      <c r="W56">
        <v>140.4321183388457</v>
      </c>
      <c r="X56">
        <v>139.88511483115639</v>
      </c>
      <c r="Y56">
        <v>139.76781802522791</v>
      </c>
      <c r="Z56">
        <v>139.70876763492191</v>
      </c>
      <c r="AA56">
        <v>139.8667228088469</v>
      </c>
      <c r="AB56">
        <v>139.91790875779989</v>
      </c>
      <c r="AC56">
        <v>140.94205426095121</v>
      </c>
      <c r="AD56">
        <v>142.0284103251355</v>
      </c>
    </row>
    <row r="57" spans="1:30" x14ac:dyDescent="0.35">
      <c r="A57" s="5" t="s">
        <v>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ht="23" customHeight="1" x14ac:dyDescent="0.35">
      <c r="A58" s="6" t="s">
        <v>42</v>
      </c>
      <c r="B58">
        <v>3.5320244991528971</v>
      </c>
      <c r="C58">
        <v>3.8005326647321742</v>
      </c>
      <c r="D58">
        <v>3.371559874422644</v>
      </c>
      <c r="E58">
        <v>3.2957019315192611</v>
      </c>
      <c r="F58">
        <v>3.1855793752729942</v>
      </c>
      <c r="G58">
        <v>3.6084789501834962</v>
      </c>
      <c r="H58">
        <v>3.4625739204016099</v>
      </c>
      <c r="I58">
        <v>2.7842586361165331</v>
      </c>
      <c r="J58">
        <v>2.3455915014334319</v>
      </c>
      <c r="K58">
        <v>2.1523610045976511</v>
      </c>
      <c r="L58">
        <v>1.736087294448083</v>
      </c>
      <c r="M58">
        <v>1.1657481283057509</v>
      </c>
      <c r="N58">
        <v>0.95117970069208013</v>
      </c>
      <c r="O58">
        <v>0.29800482536774098</v>
      </c>
      <c r="P58">
        <v>-0.1612440095163663</v>
      </c>
      <c r="Q58">
        <v>0.7664811025425422</v>
      </c>
      <c r="R58">
        <v>0.75855075187271837</v>
      </c>
      <c r="S58">
        <v>1.162112032812445</v>
      </c>
      <c r="T58">
        <v>1.3570653200331999</v>
      </c>
      <c r="U58">
        <v>1.537365924505337</v>
      </c>
      <c r="V58">
        <v>0.82586144572721309</v>
      </c>
      <c r="W58">
        <v>1.6373940255210471</v>
      </c>
      <c r="X58">
        <v>1.493147318017066</v>
      </c>
      <c r="Y58">
        <v>7.418484635232403E-2</v>
      </c>
      <c r="Z58">
        <v>-1.360803771450009</v>
      </c>
      <c r="AA58">
        <v>0.33959514828251258</v>
      </c>
      <c r="AB58">
        <v>0.34432056148114037</v>
      </c>
      <c r="AC58">
        <v>0.76377712878343118</v>
      </c>
      <c r="AD58">
        <v>0.33029013198549251</v>
      </c>
    </row>
    <row r="59" spans="1:30" ht="23" customHeight="1" x14ac:dyDescent="0.35">
      <c r="A59" s="8" t="s">
        <v>43</v>
      </c>
      <c r="B59">
        <v>1.634359216279023</v>
      </c>
      <c r="C59">
        <v>0.54809053500520122</v>
      </c>
      <c r="D59">
        <v>0.51154116005375272</v>
      </c>
      <c r="E59">
        <v>0.4383195372827231</v>
      </c>
      <c r="F59">
        <v>-0.14534190436168609</v>
      </c>
      <c r="G59">
        <v>0.2820549956969387</v>
      </c>
      <c r="H59">
        <v>-9.5733177954144821E-2</v>
      </c>
      <c r="I59">
        <v>0.22907919809824759</v>
      </c>
      <c r="J59">
        <v>0.27834083312882291</v>
      </c>
      <c r="K59">
        <v>0.6109126456866818</v>
      </c>
      <c r="L59">
        <v>1.4025681413459381</v>
      </c>
      <c r="M59">
        <v>0.51610920984057884</v>
      </c>
      <c r="N59">
        <v>0.34103266224923351</v>
      </c>
      <c r="O59">
        <v>-0.24157967429638921</v>
      </c>
      <c r="P59">
        <v>-0.74861814820891937</v>
      </c>
      <c r="Q59">
        <v>-0.84336476415208494</v>
      </c>
      <c r="R59">
        <v>-1.298050097933185</v>
      </c>
      <c r="S59">
        <v>-1.1459425911224339</v>
      </c>
      <c r="T59">
        <v>-1.056459904464049</v>
      </c>
      <c r="U59">
        <v>-0.2273571383625779</v>
      </c>
      <c r="V59">
        <v>-0.54146123757070086</v>
      </c>
      <c r="W59">
        <v>-0.29344857557302362</v>
      </c>
      <c r="X59">
        <v>-0.89330965592844791</v>
      </c>
      <c r="Y59">
        <v>-1.025155680369352</v>
      </c>
      <c r="Z59">
        <v>-1.350916543801475</v>
      </c>
      <c r="AA59">
        <v>-0.6821280387029276</v>
      </c>
      <c r="AB59">
        <v>-0.20571200507833959</v>
      </c>
      <c r="AC59">
        <v>0.30657553998051412</v>
      </c>
      <c r="AD59">
        <v>-6.5331767195658585E-2</v>
      </c>
    </row>
    <row r="60" spans="1:30" x14ac:dyDescent="0.35">
      <c r="A60" s="6" t="s">
        <v>44</v>
      </c>
      <c r="B60">
        <v>-1.634359216279023</v>
      </c>
      <c r="C60">
        <v>-0.54809053500520122</v>
      </c>
      <c r="D60">
        <v>-0.51154116005375272</v>
      </c>
      <c r="E60">
        <v>-0.4383195372827231</v>
      </c>
      <c r="F60">
        <v>0.14534190436168609</v>
      </c>
      <c r="G60">
        <v>-0.2820549956969387</v>
      </c>
      <c r="H60">
        <v>9.5733177954144821E-2</v>
      </c>
      <c r="I60">
        <v>-0.22907919809824759</v>
      </c>
      <c r="J60">
        <v>-0.27834083312882291</v>
      </c>
      <c r="K60">
        <v>-0.6109126456866818</v>
      </c>
      <c r="L60">
        <v>-1.4025681413459381</v>
      </c>
      <c r="M60">
        <v>-0.51610920984057884</v>
      </c>
      <c r="N60">
        <v>-0.34103266224923351</v>
      </c>
      <c r="O60">
        <v>0.24157967429638921</v>
      </c>
      <c r="P60">
        <v>0.74861814820891937</v>
      </c>
      <c r="Q60">
        <v>0.84336476415208494</v>
      </c>
      <c r="R60">
        <v>1.298050097933185</v>
      </c>
      <c r="S60">
        <v>1.1459425911224339</v>
      </c>
      <c r="T60">
        <v>1.056459904464049</v>
      </c>
      <c r="U60">
        <v>0.2273571383625779</v>
      </c>
      <c r="V60">
        <v>0.54146123757070086</v>
      </c>
      <c r="W60">
        <v>0.29344857557302362</v>
      </c>
      <c r="X60">
        <v>0.89330965592844791</v>
      </c>
      <c r="Y60">
        <v>1.025155680369352</v>
      </c>
      <c r="Z60">
        <v>1.350916543801475</v>
      </c>
      <c r="AA60">
        <v>0.6821280387029276</v>
      </c>
      <c r="AB60">
        <v>0.20571200507833959</v>
      </c>
      <c r="AC60">
        <v>-0.30657553998051412</v>
      </c>
      <c r="AD60">
        <v>6.5331767195658585E-2</v>
      </c>
    </row>
    <row r="61" spans="1:30" x14ac:dyDescent="0.35">
      <c r="A61" s="8" t="s">
        <v>10</v>
      </c>
      <c r="B61">
        <v>140.0917043470929</v>
      </c>
      <c r="C61">
        <v>142.90136472714681</v>
      </c>
      <c r="D61">
        <v>141.14953846904041</v>
      </c>
      <c r="E61">
        <v>140.17024949415401</v>
      </c>
      <c r="F61">
        <v>139.0489018697271</v>
      </c>
      <c r="G61">
        <v>141.980520882657</v>
      </c>
      <c r="H61">
        <v>142.25207024226199</v>
      </c>
      <c r="I61">
        <v>139.7431630042521</v>
      </c>
      <c r="J61">
        <v>137.80991847835941</v>
      </c>
      <c r="K61">
        <v>137.89036975236999</v>
      </c>
      <c r="L61">
        <v>136.23981081772769</v>
      </c>
      <c r="M61">
        <v>134.3587197742263</v>
      </c>
      <c r="N61">
        <v>134.2159209555079</v>
      </c>
      <c r="O61">
        <v>134.99915461750189</v>
      </c>
      <c r="P61">
        <v>135.8970239469009</v>
      </c>
      <c r="Q61">
        <v>139.10017866777369</v>
      </c>
      <c r="R61">
        <v>140.85526733036201</v>
      </c>
      <c r="S61">
        <v>141.8207511511969</v>
      </c>
      <c r="T61">
        <v>141.861660037972</v>
      </c>
      <c r="U61">
        <v>142.09814643970191</v>
      </c>
      <c r="V61">
        <v>140.3941118205239</v>
      </c>
      <c r="W61">
        <v>142.06951236436669</v>
      </c>
      <c r="X61">
        <v>141.37826214917351</v>
      </c>
      <c r="Y61">
        <v>139.84200287158021</v>
      </c>
      <c r="Z61">
        <v>138.3479638634719</v>
      </c>
      <c r="AA61">
        <v>140.20631795712939</v>
      </c>
      <c r="AB61">
        <v>140.26222931928109</v>
      </c>
      <c r="AC61">
        <v>141.7058313897347</v>
      </c>
      <c r="AD61">
        <v>142.35870045712099</v>
      </c>
    </row>
    <row r="62" spans="1:30" x14ac:dyDescent="0.35">
      <c r="A62" s="4" t="s">
        <v>45</v>
      </c>
      <c r="B62">
        <v>1.676498611836778</v>
      </c>
      <c r="C62">
        <v>1.5853505749268431</v>
      </c>
      <c r="D62">
        <v>1.5921592708846539</v>
      </c>
      <c r="E62">
        <v>1.617409728187458</v>
      </c>
      <c r="F62">
        <v>1.7088596061159529</v>
      </c>
      <c r="G62">
        <v>1.738775865863601</v>
      </c>
      <c r="H62">
        <v>1.5874568798055411</v>
      </c>
      <c r="I62">
        <v>1.724938667823632</v>
      </c>
      <c r="J62">
        <v>1.5790113661178511</v>
      </c>
      <c r="K62">
        <v>1.4332580120420819</v>
      </c>
      <c r="L62">
        <v>1.48381394836909</v>
      </c>
      <c r="M62">
        <v>1.493847709316686</v>
      </c>
      <c r="N62">
        <v>1.628260673169418</v>
      </c>
      <c r="O62">
        <v>1.554045943950958</v>
      </c>
      <c r="P62">
        <v>1.6282643809042341</v>
      </c>
      <c r="Q62">
        <v>1.7468276327810279</v>
      </c>
      <c r="R62">
        <v>1.771781833155321</v>
      </c>
      <c r="S62">
        <v>1.6794053404899261</v>
      </c>
      <c r="T62">
        <v>1.854123466735923</v>
      </c>
      <c r="U62">
        <v>1.956472319346821</v>
      </c>
      <c r="V62">
        <v>1.8857882062876199</v>
      </c>
      <c r="W62">
        <v>1.650323204908152</v>
      </c>
      <c r="X62">
        <v>1.690912739645392</v>
      </c>
      <c r="Y62">
        <v>1.686938804639742</v>
      </c>
      <c r="Z62">
        <v>1.635369661700943</v>
      </c>
      <c r="AA62">
        <v>1.610264133268263</v>
      </c>
      <c r="AB62">
        <v>1.6219558472214941</v>
      </c>
      <c r="AC62">
        <v>1.6048691735881959</v>
      </c>
      <c r="AD62">
        <v>1.5636893171753661</v>
      </c>
    </row>
    <row r="64" spans="1:30" x14ac:dyDescent="0.35">
      <c r="A64" s="1" t="s">
        <v>47</v>
      </c>
      <c r="B64" s="2">
        <v>2016</v>
      </c>
      <c r="C64" s="2">
        <v>2017</v>
      </c>
      <c r="D64" s="2">
        <v>2018</v>
      </c>
      <c r="E64" s="2">
        <v>2019</v>
      </c>
      <c r="F64" s="2" t="s">
        <v>17</v>
      </c>
      <c r="G64" s="2" t="s">
        <v>18</v>
      </c>
      <c r="H64" s="2" t="s">
        <v>19</v>
      </c>
      <c r="I64" s="2" t="s">
        <v>20</v>
      </c>
      <c r="J64" s="2" t="s">
        <v>21</v>
      </c>
      <c r="K64" s="2" t="s">
        <v>22</v>
      </c>
      <c r="L64" s="2" t="s">
        <v>23</v>
      </c>
      <c r="M64" s="2" t="s">
        <v>24</v>
      </c>
      <c r="N64" s="2" t="s">
        <v>25</v>
      </c>
      <c r="O64" s="2" t="s">
        <v>26</v>
      </c>
      <c r="P64" s="2" t="s">
        <v>27</v>
      </c>
      <c r="Q64" s="2" t="s">
        <v>28</v>
      </c>
      <c r="R64" s="2" t="s">
        <v>29</v>
      </c>
      <c r="S64" s="2" t="s">
        <v>30</v>
      </c>
      <c r="T64" s="2" t="s">
        <v>31</v>
      </c>
      <c r="U64" s="2" t="s">
        <v>32</v>
      </c>
      <c r="V64" s="2" t="s">
        <v>33</v>
      </c>
      <c r="W64" s="2" t="s">
        <v>34</v>
      </c>
      <c r="X64" s="2" t="s">
        <v>35</v>
      </c>
      <c r="Y64" s="2" t="s">
        <v>36</v>
      </c>
      <c r="Z64" s="3" t="s">
        <v>37</v>
      </c>
      <c r="AA64" s="3" t="s">
        <v>38</v>
      </c>
      <c r="AB64" s="3" t="s">
        <v>39</v>
      </c>
      <c r="AC64" s="3" t="s">
        <v>40</v>
      </c>
    </row>
    <row r="65" spans="1:30" x14ac:dyDescent="0.35">
      <c r="A65" s="4" t="s">
        <v>41</v>
      </c>
      <c r="B65">
        <v>134.01309658622409</v>
      </c>
      <c r="C65">
        <v>137.09031276894561</v>
      </c>
      <c r="D65">
        <v>136.17853674495399</v>
      </c>
      <c r="E65">
        <v>135.2261894710328</v>
      </c>
      <c r="F65">
        <v>134.2283638661647</v>
      </c>
      <c r="G65">
        <v>136.51598414821001</v>
      </c>
      <c r="H65">
        <v>137.702766480094</v>
      </c>
      <c r="I65">
        <v>136.32022079073911</v>
      </c>
      <c r="J65">
        <v>135.22490560554391</v>
      </c>
      <c r="K65">
        <v>134.98868886095971</v>
      </c>
      <c r="L65">
        <v>134.18994004813629</v>
      </c>
      <c r="M65">
        <v>132.81075298367691</v>
      </c>
      <c r="N65">
        <v>133.0376303514949</v>
      </c>
      <c r="O65">
        <v>134.82195414111769</v>
      </c>
      <c r="P65">
        <v>135.90569142555219</v>
      </c>
      <c r="Q65">
        <v>137.1422610159288</v>
      </c>
      <c r="R65">
        <v>138.5553085984987</v>
      </c>
      <c r="S65">
        <v>138.99051818273199</v>
      </c>
      <c r="T65">
        <v>139.0741242161609</v>
      </c>
      <c r="U65">
        <v>138.94609919008701</v>
      </c>
      <c r="V65">
        <v>138.3496798172151</v>
      </c>
      <c r="W65">
        <v>139.22435957276809</v>
      </c>
      <c r="X65">
        <v>139.53563273517111</v>
      </c>
      <c r="Y65">
        <v>138.60919585111591</v>
      </c>
      <c r="Z65">
        <v>138.29935729461579</v>
      </c>
      <c r="AA65">
        <v>139.1018874982006</v>
      </c>
      <c r="AB65">
        <v>139.4159554086358</v>
      </c>
      <c r="AC65">
        <v>140.31999546557549</v>
      </c>
      <c r="AD65">
        <v>141.6889443621879</v>
      </c>
    </row>
    <row r="66" spans="1:30" x14ac:dyDescent="0.35">
      <c r="A66" s="5" t="s">
        <v>6</v>
      </c>
      <c r="B66">
        <v>-2.3467868023047629</v>
      </c>
      <c r="C66">
        <v>-0.82044379958395552</v>
      </c>
      <c r="D66">
        <v>-0.36542787268129467</v>
      </c>
      <c r="E66">
        <v>-0.5453756003459489</v>
      </c>
      <c r="F66">
        <v>-0.49486246784971399</v>
      </c>
      <c r="G66">
        <v>-0.44452896228452232</v>
      </c>
      <c r="H66">
        <v>-0.24258415853299201</v>
      </c>
      <c r="I66">
        <v>-0.1147605561805278</v>
      </c>
      <c r="J66">
        <v>-3.3463368372252937E-2</v>
      </c>
      <c r="K66">
        <v>-2.8537078086230849E-2</v>
      </c>
      <c r="L66">
        <v>-2.1260757713889689E-2</v>
      </c>
      <c r="M66">
        <v>-1.9351520888676529E-2</v>
      </c>
      <c r="N66">
        <v>-8.0893364216763075E-2</v>
      </c>
      <c r="O66">
        <v>3.2336752730088852E-4</v>
      </c>
      <c r="P66">
        <v>4.7312266951848869E-4</v>
      </c>
      <c r="Q66">
        <v>2.3879060036051669E-3</v>
      </c>
      <c r="R66">
        <v>0.12896061918985419</v>
      </c>
      <c r="S66">
        <v>0.20174624557944301</v>
      </c>
      <c r="T66">
        <v>-0.62722009446360971</v>
      </c>
      <c r="U66">
        <v>-0.50011592683358685</v>
      </c>
      <c r="V66">
        <v>1.7177541729438419E-3</v>
      </c>
      <c r="W66">
        <v>1.3735203989710949E-3</v>
      </c>
      <c r="X66">
        <v>-2.136859674152447E-3</v>
      </c>
      <c r="Y66">
        <v>-3.686909106477287E-3</v>
      </c>
      <c r="Z66">
        <v>-1.608610861836723E-3</v>
      </c>
      <c r="AA66">
        <v>-1.1639330680452529E-2</v>
      </c>
      <c r="AB66">
        <v>-9.042339503025687E-3</v>
      </c>
      <c r="AC66">
        <v>-1.097337632350559E-2</v>
      </c>
      <c r="AD66">
        <v>-3.9367343185858772E-3</v>
      </c>
    </row>
    <row r="67" spans="1:30" ht="23" customHeight="1" x14ac:dyDescent="0.35">
      <c r="A67" s="6" t="s">
        <v>42</v>
      </c>
      <c r="B67">
        <v>1.188534235390875</v>
      </c>
      <c r="C67">
        <v>2.542032703362366</v>
      </c>
      <c r="D67">
        <v>2.4622788159866791</v>
      </c>
      <c r="E67">
        <v>2.446894239542047</v>
      </c>
      <c r="F67">
        <v>1.943457917540286</v>
      </c>
      <c r="G67">
        <v>2.2096373664755329</v>
      </c>
      <c r="H67">
        <v>2.2272515639069752</v>
      </c>
      <c r="I67">
        <v>1.699997633737496</v>
      </c>
      <c r="J67">
        <v>1.665107954866329</v>
      </c>
      <c r="K67">
        <v>1.3574737935670671</v>
      </c>
      <c r="L67">
        <v>1.100180018748006</v>
      </c>
      <c r="M67">
        <v>0.72070395475267901</v>
      </c>
      <c r="N67">
        <v>0.58151846169550936</v>
      </c>
      <c r="O67">
        <v>0.32532332851562268</v>
      </c>
      <c r="P67">
        <v>-0.1206488397898227</v>
      </c>
      <c r="Q67">
        <v>0.36136102558080552</v>
      </c>
      <c r="R67">
        <v>0.3105469213914489</v>
      </c>
      <c r="S67">
        <v>0.79769157840624416</v>
      </c>
      <c r="T67">
        <v>0.87858572711834881</v>
      </c>
      <c r="U67">
        <v>1.082276128702915</v>
      </c>
      <c r="V67">
        <v>0.47510426419381702</v>
      </c>
      <c r="W67">
        <v>1.169218825951305</v>
      </c>
      <c r="X67">
        <v>1.22680016494914</v>
      </c>
      <c r="Y67">
        <v>0.48919612378716693</v>
      </c>
      <c r="Z67">
        <v>-0.25017989112336642</v>
      </c>
      <c r="AA67">
        <v>0.95492157669951894</v>
      </c>
      <c r="AB67">
        <v>1.0995187040329599</v>
      </c>
      <c r="AC67">
        <v>1.533509419748583</v>
      </c>
      <c r="AD67">
        <v>1.3264163761090511</v>
      </c>
    </row>
    <row r="68" spans="1:30" ht="23" customHeight="1" x14ac:dyDescent="0.35">
      <c r="A68" s="8" t="s">
        <v>43</v>
      </c>
      <c r="B68">
        <v>0.31663034627354142</v>
      </c>
      <c r="C68">
        <v>0.62992201691821492</v>
      </c>
      <c r="D68">
        <v>0.55940190000654866</v>
      </c>
      <c r="E68">
        <v>0.4226246868019814</v>
      </c>
      <c r="F68">
        <v>-0.10746618549163139</v>
      </c>
      <c r="G68">
        <v>8.2448951081914856E-2</v>
      </c>
      <c r="H68">
        <v>-1.4237350612859251E-2</v>
      </c>
      <c r="I68">
        <v>0.28988893679760958</v>
      </c>
      <c r="J68">
        <v>0.26790191052248252</v>
      </c>
      <c r="K68">
        <v>0.49955501757818871</v>
      </c>
      <c r="L68">
        <v>0.79418224074919408</v>
      </c>
      <c r="M68">
        <v>0.12415936990265659</v>
      </c>
      <c r="N68">
        <v>-0.3542410023249829</v>
      </c>
      <c r="O68">
        <v>-0.59127206922184428</v>
      </c>
      <c r="P68">
        <v>-1.0155715058975829</v>
      </c>
      <c r="Q68">
        <v>-1.138166484825746</v>
      </c>
      <c r="R68">
        <v>-1.3930335575009281</v>
      </c>
      <c r="S68">
        <v>-1.3052353055275321</v>
      </c>
      <c r="T68">
        <v>-1.2456153923677109</v>
      </c>
      <c r="U68">
        <v>-0.84126357996288448</v>
      </c>
      <c r="V68">
        <v>-1.028735144369904</v>
      </c>
      <c r="W68">
        <v>-0.69802759154200089</v>
      </c>
      <c r="X68">
        <v>-0.59489929516922757</v>
      </c>
      <c r="Y68">
        <v>6.8068255965982871E-2</v>
      </c>
      <c r="Z68">
        <v>5.2859012737371813E-2</v>
      </c>
      <c r="AA68">
        <v>0.22092120400037629</v>
      </c>
      <c r="AB68">
        <v>0.6963928343684529</v>
      </c>
      <c r="AC68">
        <v>1.19192187697081</v>
      </c>
      <c r="AD68">
        <v>0.43121600055033582</v>
      </c>
    </row>
    <row r="69" spans="1:30" x14ac:dyDescent="0.35">
      <c r="A69" s="6" t="s">
        <v>44</v>
      </c>
      <c r="B69">
        <v>-0.31663034627354142</v>
      </c>
      <c r="C69">
        <v>-0.62992201691821492</v>
      </c>
      <c r="D69">
        <v>-0.55940190000654866</v>
      </c>
      <c r="E69">
        <v>-0.4226246868019814</v>
      </c>
      <c r="F69">
        <v>0.10746618549163139</v>
      </c>
      <c r="G69">
        <v>-8.2448951081914856E-2</v>
      </c>
      <c r="H69">
        <v>1.4237350612859251E-2</v>
      </c>
      <c r="I69">
        <v>-0.28988893679760958</v>
      </c>
      <c r="J69">
        <v>-0.26790191052248252</v>
      </c>
      <c r="K69">
        <v>-0.49955501757818871</v>
      </c>
      <c r="L69">
        <v>-0.79418224074919408</v>
      </c>
      <c r="M69">
        <v>-0.12415936990265659</v>
      </c>
      <c r="N69">
        <v>0.3542410023249829</v>
      </c>
      <c r="O69">
        <v>0.59127206922184428</v>
      </c>
      <c r="P69">
        <v>1.0155715058975829</v>
      </c>
      <c r="Q69">
        <v>1.138166484825746</v>
      </c>
      <c r="R69">
        <v>1.3930335575009281</v>
      </c>
      <c r="S69">
        <v>1.3052353055275321</v>
      </c>
      <c r="T69">
        <v>1.2456153923677109</v>
      </c>
      <c r="U69">
        <v>0.84126357996288448</v>
      </c>
      <c r="V69">
        <v>1.028735144369904</v>
      </c>
      <c r="W69">
        <v>0.69802759154200089</v>
      </c>
      <c r="X69">
        <v>0.59489929516922757</v>
      </c>
      <c r="Y69">
        <v>-6.8068255965982871E-2</v>
      </c>
      <c r="Z69">
        <v>-5.2859012737371813E-2</v>
      </c>
      <c r="AA69">
        <v>-0.22092120400037629</v>
      </c>
      <c r="AB69">
        <v>-0.6963928343684529</v>
      </c>
      <c r="AC69">
        <v>-1.19192187697081</v>
      </c>
      <c r="AD69">
        <v>-0.43121600055033582</v>
      </c>
    </row>
    <row r="70" spans="1:30" x14ac:dyDescent="0.35">
      <c r="A70" s="8" t="s">
        <v>10</v>
      </c>
      <c r="B70">
        <v>132.85484401931021</v>
      </c>
      <c r="C70">
        <v>138.81190167272399</v>
      </c>
      <c r="D70">
        <v>138.27538768825929</v>
      </c>
      <c r="E70">
        <v>137.12770811022889</v>
      </c>
      <c r="F70">
        <v>135.6769593158553</v>
      </c>
      <c r="G70">
        <v>138.28109255240099</v>
      </c>
      <c r="H70">
        <v>139.68743388546801</v>
      </c>
      <c r="I70">
        <v>137.90545786829611</v>
      </c>
      <c r="J70">
        <v>136.85655019203799</v>
      </c>
      <c r="K70">
        <v>136.31762557644049</v>
      </c>
      <c r="L70">
        <v>135.26885930917041</v>
      </c>
      <c r="M70">
        <v>133.51210541754091</v>
      </c>
      <c r="N70">
        <v>133.53825544897359</v>
      </c>
      <c r="O70">
        <v>135.14760083716061</v>
      </c>
      <c r="P70">
        <v>135.78551570843189</v>
      </c>
      <c r="Q70">
        <v>137.50600994751321</v>
      </c>
      <c r="R70">
        <v>138.99481613908</v>
      </c>
      <c r="S70">
        <v>139.98995600671759</v>
      </c>
      <c r="T70">
        <v>139.32548984881561</v>
      </c>
      <c r="U70">
        <v>139.5282593919564</v>
      </c>
      <c r="V70">
        <v>138.82650183558189</v>
      </c>
      <c r="W70">
        <v>140.3949519191184</v>
      </c>
      <c r="X70">
        <v>140.76029604044609</v>
      </c>
      <c r="Y70">
        <v>139.09470506579649</v>
      </c>
      <c r="Z70">
        <v>138.04756879263061</v>
      </c>
      <c r="AA70">
        <v>140.04516974421969</v>
      </c>
      <c r="AB70">
        <v>140.5064317731657</v>
      </c>
      <c r="AC70">
        <v>141.84253150900059</v>
      </c>
      <c r="AD70">
        <v>143.01142400397839</v>
      </c>
    </row>
    <row r="71" spans="1:30" x14ac:dyDescent="0.35">
      <c r="A71" s="4" t="s">
        <v>45</v>
      </c>
      <c r="B71">
        <v>1.9217990127161939</v>
      </c>
      <c r="C71">
        <v>1.74010042358293</v>
      </c>
      <c r="D71">
        <v>1.7281442542114831</v>
      </c>
      <c r="E71">
        <v>1.7298587871324911</v>
      </c>
      <c r="F71">
        <v>1.7559930219915341</v>
      </c>
      <c r="G71">
        <v>1.7715068169310371</v>
      </c>
      <c r="H71">
        <v>1.601692253973753</v>
      </c>
      <c r="I71">
        <v>1.7025714672379051</v>
      </c>
      <c r="J71">
        <v>1.571146743537895</v>
      </c>
      <c r="K71">
        <v>1.422848719625005</v>
      </c>
      <c r="L71">
        <v>1.483066359139056</v>
      </c>
      <c r="M71">
        <v>1.5120854846489491</v>
      </c>
      <c r="N71">
        <v>1.5738787545400521</v>
      </c>
      <c r="O71">
        <v>1.5383643409560639</v>
      </c>
      <c r="P71">
        <v>1.5839828873713619</v>
      </c>
      <c r="Q71">
        <v>1.646912301135639</v>
      </c>
      <c r="R71">
        <v>1.684423454013936</v>
      </c>
      <c r="S71">
        <v>1.6016672149875739</v>
      </c>
      <c r="T71">
        <v>1.5968428055518289</v>
      </c>
      <c r="U71">
        <v>1.606220527839032</v>
      </c>
      <c r="V71">
        <v>1.6757499305754779</v>
      </c>
      <c r="W71">
        <v>1.5369757218269819</v>
      </c>
      <c r="X71">
        <v>1.561826700918761</v>
      </c>
      <c r="Y71">
        <v>1.557260750139029</v>
      </c>
      <c r="Z71">
        <v>1.5323874486808691</v>
      </c>
      <c r="AA71">
        <v>1.4955201335778969</v>
      </c>
      <c r="AB71">
        <v>1.509491664252119</v>
      </c>
      <c r="AC71">
        <v>1.5029650545337969</v>
      </c>
      <c r="AD71">
        <v>1.5157873903701351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1"/>
  <sheetViews>
    <sheetView zoomScale="145" zoomScaleNormal="145" workbookViewId="0">
      <pane xSplit="1" topLeftCell="L1" activePane="topRight" state="frozen"/>
      <selection pane="topRight" activeCell="AB23" sqref="AB23"/>
    </sheetView>
  </sheetViews>
  <sheetFormatPr defaultRowHeight="14.5" x14ac:dyDescent="0.35"/>
  <cols>
    <col min="1" max="1" width="60.26953125" customWidth="1"/>
  </cols>
  <sheetData>
    <row r="1" spans="1:30" x14ac:dyDescent="0.3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3" t="s">
        <v>37</v>
      </c>
      <c r="AA1" s="3" t="s">
        <v>38</v>
      </c>
      <c r="AB1" s="3" t="s">
        <v>39</v>
      </c>
      <c r="AC1" s="3" t="s">
        <v>40</v>
      </c>
    </row>
    <row r="2" spans="1:30" x14ac:dyDescent="0.35">
      <c r="A2" s="4" t="s">
        <v>41</v>
      </c>
      <c r="B2">
        <v>130.07861133105141</v>
      </c>
      <c r="C2">
        <v>132.830385666805</v>
      </c>
      <c r="D2">
        <v>132.99374914625909</v>
      </c>
      <c r="E2">
        <v>132.11029118029279</v>
      </c>
      <c r="F2">
        <v>131.79763521841929</v>
      </c>
      <c r="G2">
        <v>133.71059314411579</v>
      </c>
      <c r="H2">
        <v>135.28557431522441</v>
      </c>
      <c r="I2">
        <v>135.79608377329961</v>
      </c>
      <c r="J2">
        <v>134.60178841838771</v>
      </c>
      <c r="K2">
        <v>135.14257269364111</v>
      </c>
      <c r="L2">
        <v>135.3626526730819</v>
      </c>
      <c r="M2">
        <v>134.41537942859119</v>
      </c>
      <c r="N2">
        <v>134.06859534274361</v>
      </c>
      <c r="O2">
        <v>135.89246002160661</v>
      </c>
      <c r="P2">
        <v>136.14780523104511</v>
      </c>
      <c r="Q2">
        <v>136.75155352499851</v>
      </c>
      <c r="R2">
        <v>136.66304693064629</v>
      </c>
      <c r="S2">
        <v>136.90906982764889</v>
      </c>
      <c r="T2">
        <v>136.43849356660581</v>
      </c>
      <c r="U2">
        <v>137.02135091300229</v>
      </c>
      <c r="V2">
        <v>136.3721183056237</v>
      </c>
      <c r="W2">
        <v>137.12198326493359</v>
      </c>
      <c r="X2">
        <v>138.09052083542991</v>
      </c>
      <c r="Y2">
        <v>136.8013556580203</v>
      </c>
      <c r="Z2">
        <v>136.83702494495719</v>
      </c>
      <c r="AA2">
        <v>138.03381902691669</v>
      </c>
      <c r="AB2">
        <v>138.55808093396249</v>
      </c>
      <c r="AC2">
        <v>139.3761012547063</v>
      </c>
      <c r="AD2">
        <v>140.321548767465</v>
      </c>
    </row>
    <row r="3" spans="1:30" x14ac:dyDescent="0.35">
      <c r="A3" s="5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5">
      <c r="A4" s="6" t="s">
        <v>42</v>
      </c>
      <c r="B4" s="7">
        <v>0.66100206387864091</v>
      </c>
      <c r="C4" s="7">
        <v>1.038363404609896</v>
      </c>
      <c r="D4" s="7">
        <v>1.133541603465005</v>
      </c>
      <c r="E4" s="7">
        <v>1.057243039694356</v>
      </c>
      <c r="F4" s="7">
        <v>1.412334077725234</v>
      </c>
      <c r="G4" s="7">
        <v>1.3083796764262841</v>
      </c>
      <c r="H4" s="7">
        <v>0.5822186890319756</v>
      </c>
      <c r="I4" s="7">
        <v>1.082214688707694</v>
      </c>
      <c r="J4" s="7">
        <v>1.320617127890017</v>
      </c>
      <c r="K4" s="7">
        <v>1.3559534628639081</v>
      </c>
      <c r="L4" s="7">
        <v>1.3112363909802129</v>
      </c>
      <c r="M4" s="7">
        <v>1.2138028379415571</v>
      </c>
      <c r="N4" s="7">
        <v>1.633893860899889</v>
      </c>
      <c r="O4" s="7">
        <v>1.3966255769194329</v>
      </c>
      <c r="P4" s="7">
        <v>1.265842489798644</v>
      </c>
      <c r="Q4" s="7">
        <v>1.240840486174505</v>
      </c>
      <c r="R4" s="7">
        <v>0.79430529121580662</v>
      </c>
      <c r="S4" s="7">
        <v>1.222834674629752</v>
      </c>
      <c r="T4" s="7">
        <v>0.7012159871240442</v>
      </c>
      <c r="U4" s="7">
        <v>0.83461732938272348</v>
      </c>
      <c r="V4">
        <v>0.66242897832651693</v>
      </c>
      <c r="W4">
        <v>1.1867832362002559</v>
      </c>
      <c r="X4">
        <v>0.97810535034986401</v>
      </c>
      <c r="Y4">
        <v>1.174889336186141</v>
      </c>
      <c r="Z4">
        <v>1.4592694189433639</v>
      </c>
      <c r="AA4">
        <v>2.4660669161444559</v>
      </c>
      <c r="AB4">
        <v>2.9266816981485699</v>
      </c>
      <c r="AC4">
        <v>2.919601597291575</v>
      </c>
      <c r="AD4">
        <v>3.1264617490047328</v>
      </c>
    </row>
    <row r="5" spans="1:30" x14ac:dyDescent="0.35">
      <c r="A5" s="8" t="s">
        <v>43</v>
      </c>
      <c r="B5">
        <v>-4.6581734043144252E-2</v>
      </c>
      <c r="C5">
        <v>0.68289024993072189</v>
      </c>
      <c r="D5">
        <v>0.75224894407841703</v>
      </c>
      <c r="E5">
        <v>0.36545617550578408</v>
      </c>
      <c r="F5">
        <v>0.19835497937680199</v>
      </c>
      <c r="G5">
        <v>2.1594693134062481E-2</v>
      </c>
      <c r="H5">
        <v>0.35604222242460543</v>
      </c>
      <c r="I5">
        <v>0.56673571722569704</v>
      </c>
      <c r="J5">
        <v>0.7758015625330188</v>
      </c>
      <c r="K5">
        <v>0.53341098849551827</v>
      </c>
      <c r="L5">
        <v>0.30687985709155902</v>
      </c>
      <c r="M5">
        <v>-0.28196697959592137</v>
      </c>
      <c r="N5">
        <v>-0.81047878886644753</v>
      </c>
      <c r="O5">
        <v>-1.047636396931239</v>
      </c>
      <c r="P5">
        <v>-1.0559405463946521</v>
      </c>
      <c r="Q5">
        <v>-0.73866768270261218</v>
      </c>
      <c r="R5">
        <v>-0.67738952207659509</v>
      </c>
      <c r="S5">
        <v>-1.004649491371111</v>
      </c>
      <c r="T5">
        <v>-1.1424369921148529</v>
      </c>
      <c r="U5">
        <v>-1.098633834356292</v>
      </c>
      <c r="V5">
        <v>-1.2916802577467761</v>
      </c>
      <c r="W5">
        <v>-0.60334894359704094</v>
      </c>
      <c r="X5">
        <v>-0.2427200672705965</v>
      </c>
      <c r="Y5">
        <v>0.31405301106582328</v>
      </c>
      <c r="Z5">
        <v>0.31102416821323692</v>
      </c>
      <c r="AA5">
        <v>0.45044229646398998</v>
      </c>
      <c r="AB5">
        <v>0.98864284409341963</v>
      </c>
      <c r="AC5">
        <v>1.803039713208562</v>
      </c>
      <c r="AD5">
        <v>0.51020399783450898</v>
      </c>
    </row>
    <row r="6" spans="1:30" x14ac:dyDescent="0.35">
      <c r="A6" s="6" t="s">
        <v>44</v>
      </c>
      <c r="B6">
        <v>4.6581734043144252E-2</v>
      </c>
      <c r="C6">
        <v>-0.68289024993072189</v>
      </c>
      <c r="D6">
        <v>-0.75224894407841703</v>
      </c>
      <c r="E6">
        <v>-0.36545617550578408</v>
      </c>
      <c r="F6">
        <v>-0.19835497937680199</v>
      </c>
      <c r="G6">
        <v>-2.1594693134062481E-2</v>
      </c>
      <c r="H6">
        <v>-0.35604222242460543</v>
      </c>
      <c r="I6">
        <v>-0.56673571722569704</v>
      </c>
      <c r="J6">
        <v>-0.7758015625330188</v>
      </c>
      <c r="K6">
        <v>-0.53341098849551827</v>
      </c>
      <c r="L6">
        <v>-0.30687985709155902</v>
      </c>
      <c r="M6">
        <v>0.28196697959592137</v>
      </c>
      <c r="N6">
        <v>0.81047878886644753</v>
      </c>
      <c r="O6">
        <v>1.047636396931239</v>
      </c>
      <c r="P6">
        <v>1.0559405463946521</v>
      </c>
      <c r="Q6">
        <v>0.73866768270261218</v>
      </c>
      <c r="R6">
        <v>0.67738952207659509</v>
      </c>
      <c r="S6">
        <v>1.004649491371111</v>
      </c>
      <c r="T6">
        <v>1.1424369921148529</v>
      </c>
      <c r="U6">
        <v>1.098633834356292</v>
      </c>
      <c r="V6">
        <v>1.2916802577467761</v>
      </c>
      <c r="W6">
        <v>0.60334894359704094</v>
      </c>
      <c r="X6">
        <v>0.2427200672705965</v>
      </c>
      <c r="Y6">
        <v>-0.31405301106582328</v>
      </c>
      <c r="Z6">
        <v>-0.31102416821323692</v>
      </c>
      <c r="AA6">
        <v>-0.45044229646398998</v>
      </c>
      <c r="AB6">
        <v>-0.98864284409341963</v>
      </c>
      <c r="AC6">
        <v>-1.803039713208562</v>
      </c>
      <c r="AD6">
        <v>-0.51020399783450898</v>
      </c>
    </row>
    <row r="7" spans="1:30" x14ac:dyDescent="0.35">
      <c r="A7" s="8" t="s">
        <v>10</v>
      </c>
      <c r="B7">
        <v>130.73961339492999</v>
      </c>
      <c r="C7">
        <v>133.8687490714149</v>
      </c>
      <c r="D7">
        <v>134.1272907497241</v>
      </c>
      <c r="E7">
        <v>133.1675342199872</v>
      </c>
      <c r="F7">
        <v>133.20996929614449</v>
      </c>
      <c r="G7">
        <v>135.0189728205421</v>
      </c>
      <c r="H7">
        <v>135.86779300425641</v>
      </c>
      <c r="I7">
        <v>136.87829846200731</v>
      </c>
      <c r="J7">
        <v>135.92240554627779</v>
      </c>
      <c r="K7">
        <v>136.49852615650499</v>
      </c>
      <c r="L7">
        <v>136.67388906406211</v>
      </c>
      <c r="M7">
        <v>135.62918226653281</v>
      </c>
      <c r="N7">
        <v>135.70248920364349</v>
      </c>
      <c r="O7">
        <v>137.28908559852599</v>
      </c>
      <c r="P7">
        <v>137.4136477208437</v>
      </c>
      <c r="Q7">
        <v>137.99239401117299</v>
      </c>
      <c r="R7">
        <v>137.4573522218621</v>
      </c>
      <c r="S7">
        <v>138.13190450227859</v>
      </c>
      <c r="T7">
        <v>137.1397095537298</v>
      </c>
      <c r="U7">
        <v>137.85596824238499</v>
      </c>
      <c r="V7">
        <v>137.03454728395019</v>
      </c>
      <c r="W7">
        <v>138.3087665011339</v>
      </c>
      <c r="X7">
        <v>139.06862618577969</v>
      </c>
      <c r="Y7">
        <v>137.97624499420641</v>
      </c>
      <c r="Z7">
        <v>138.29629436390061</v>
      </c>
      <c r="AA7">
        <v>140.4998859430612</v>
      </c>
      <c r="AB7">
        <v>141.48476263211111</v>
      </c>
      <c r="AC7">
        <v>142.29570285199779</v>
      </c>
      <c r="AD7">
        <v>143.44801051646971</v>
      </c>
    </row>
    <row r="8" spans="1:30" x14ac:dyDescent="0.35">
      <c r="A8" s="4" t="s">
        <v>45</v>
      </c>
      <c r="B8">
        <v>1.9095583355928241</v>
      </c>
      <c r="C8">
        <v>1.9033854962214221</v>
      </c>
      <c r="D8">
        <v>1.91253256243362</v>
      </c>
      <c r="E8">
        <v>1.953019529313754</v>
      </c>
      <c r="F8">
        <v>1.904356004614838</v>
      </c>
      <c r="G8">
        <v>1.9485415390383301</v>
      </c>
      <c r="H8">
        <v>1.67650280377195</v>
      </c>
      <c r="I8">
        <v>1.6638655588591991</v>
      </c>
      <c r="J8">
        <v>1.69249116718978</v>
      </c>
      <c r="K8">
        <v>1.518036220622661</v>
      </c>
      <c r="L8">
        <v>1.5882536574857991</v>
      </c>
      <c r="M8">
        <v>1.584871644800004</v>
      </c>
      <c r="N8">
        <v>1.6198142660387851</v>
      </c>
      <c r="O8">
        <v>1.7180657633999199</v>
      </c>
      <c r="P8">
        <v>1.752971702686893</v>
      </c>
      <c r="Q8">
        <v>1.8148918035393331</v>
      </c>
      <c r="R8">
        <v>1.8294105056155749</v>
      </c>
      <c r="S8">
        <v>1.7158357376489191</v>
      </c>
      <c r="T8">
        <v>1.6762800153186479</v>
      </c>
      <c r="U8">
        <v>1.7132773358944671</v>
      </c>
      <c r="V8">
        <v>1.7367719365095351</v>
      </c>
      <c r="W8">
        <v>1.683027837278156</v>
      </c>
      <c r="X8">
        <v>1.5949393877093421</v>
      </c>
      <c r="Y8">
        <v>1.618368639445837</v>
      </c>
      <c r="Z8">
        <v>1.6089549859449921</v>
      </c>
      <c r="AA8">
        <v>1.568939022379694</v>
      </c>
      <c r="AB8">
        <v>1.572262916364388</v>
      </c>
      <c r="AC8">
        <v>1.5526005838406189</v>
      </c>
      <c r="AD8">
        <v>1.5519734069819151</v>
      </c>
    </row>
    <row r="10" spans="1:30" x14ac:dyDescent="0.35">
      <c r="A10" s="9" t="s">
        <v>14</v>
      </c>
      <c r="B10" s="10"/>
      <c r="C10" s="10"/>
      <c r="D10" s="10"/>
      <c r="E10" s="10"/>
      <c r="F10" s="11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22</v>
      </c>
      <c r="L10" s="2" t="s">
        <v>23</v>
      </c>
      <c r="M10" s="2" t="s">
        <v>24</v>
      </c>
      <c r="N10" s="2" t="s">
        <v>25</v>
      </c>
      <c r="O10" s="2" t="s">
        <v>26</v>
      </c>
      <c r="P10" s="2" t="s">
        <v>27</v>
      </c>
      <c r="Q10" s="2" t="s">
        <v>28</v>
      </c>
      <c r="R10" s="2" t="s">
        <v>29</v>
      </c>
      <c r="S10" s="2" t="s">
        <v>30</v>
      </c>
      <c r="T10" s="2" t="s">
        <v>31</v>
      </c>
      <c r="U10" s="2" t="s">
        <v>32</v>
      </c>
      <c r="V10" s="2" t="s">
        <v>33</v>
      </c>
      <c r="W10" s="2" t="s">
        <v>34</v>
      </c>
      <c r="X10" s="2" t="s">
        <v>35</v>
      </c>
      <c r="Y10" s="2" t="s">
        <v>36</v>
      </c>
      <c r="Z10" s="3" t="s">
        <v>37</v>
      </c>
      <c r="AA10" s="3" t="s">
        <v>38</v>
      </c>
      <c r="AB10" s="3" t="s">
        <v>39</v>
      </c>
      <c r="AC10" s="3" t="s">
        <v>40</v>
      </c>
    </row>
    <row r="11" spans="1:30" x14ac:dyDescent="0.35">
      <c r="A11" s="4" t="s">
        <v>41</v>
      </c>
      <c r="B11" s="12"/>
      <c r="C11" s="12"/>
      <c r="D11" s="12"/>
      <c r="E11" s="12"/>
      <c r="F11">
        <v>131.95038796688411</v>
      </c>
      <c r="G11">
        <v>135.6654717957741</v>
      </c>
      <c r="H11">
        <v>137.78085993452939</v>
      </c>
      <c r="I11">
        <v>140.37624797824731</v>
      </c>
      <c r="J11">
        <v>136.7568472127295</v>
      </c>
      <c r="K11">
        <v>136.18261162485399</v>
      </c>
      <c r="L11">
        <v>135.6310489829672</v>
      </c>
      <c r="M11">
        <v>134.62934951605331</v>
      </c>
      <c r="N11">
        <v>134.1739245565968</v>
      </c>
      <c r="O11">
        <v>135.83717961712421</v>
      </c>
      <c r="P11">
        <v>136.9637513036931</v>
      </c>
      <c r="Q11">
        <v>138.7722798213712</v>
      </c>
      <c r="R11">
        <v>141.3231605158098</v>
      </c>
      <c r="S11">
        <v>138.86319150175771</v>
      </c>
      <c r="T11">
        <v>137.9566586474825</v>
      </c>
      <c r="U11">
        <v>139.56619914782399</v>
      </c>
      <c r="V11">
        <v>138.52439991139249</v>
      </c>
      <c r="W11">
        <v>138.4097814248108</v>
      </c>
      <c r="X11">
        <v>140.36330737362081</v>
      </c>
      <c r="Y11">
        <v>138.38768592238719</v>
      </c>
      <c r="Z11">
        <v>136.70742932031769</v>
      </c>
      <c r="AA11">
        <v>138.34779673954839</v>
      </c>
      <c r="AB11">
        <v>138.10209621539431</v>
      </c>
      <c r="AC11">
        <v>138.94555151202141</v>
      </c>
      <c r="AD11">
        <v>140.96450101951291</v>
      </c>
    </row>
    <row r="12" spans="1:30" x14ac:dyDescent="0.35">
      <c r="A12" s="5" t="s">
        <v>6</v>
      </c>
      <c r="B12" s="12"/>
      <c r="C12" s="12"/>
      <c r="D12" s="12"/>
      <c r="E12" s="12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A13" s="6" t="s">
        <v>42</v>
      </c>
      <c r="B13" s="12"/>
      <c r="C13" s="12"/>
      <c r="D13" s="12"/>
      <c r="E13" s="12"/>
      <c r="F13">
        <v>-1.7103216132117891</v>
      </c>
      <c r="G13">
        <v>-1.362001191333434</v>
      </c>
      <c r="H13">
        <v>-0.82270063325532305</v>
      </c>
      <c r="I13">
        <v>0.67937377043395486</v>
      </c>
      <c r="J13">
        <v>1.82079744362008</v>
      </c>
      <c r="K13">
        <v>-0.22282408009877491</v>
      </c>
      <c r="L13">
        <v>-0.34270651080376519</v>
      </c>
      <c r="M13">
        <v>0.75425032903180522</v>
      </c>
      <c r="N13">
        <v>0.49117725062757239</v>
      </c>
      <c r="O13">
        <v>0.57506675081188519</v>
      </c>
      <c r="P13">
        <v>0.94006829221265775</v>
      </c>
      <c r="Q13">
        <v>0.98065554772853147</v>
      </c>
      <c r="R13">
        <v>1.163772265119974</v>
      </c>
      <c r="S13">
        <v>0.76651233466805024</v>
      </c>
      <c r="T13">
        <v>1.051226100014617</v>
      </c>
      <c r="U13">
        <v>1.3906266452335669</v>
      </c>
      <c r="V13">
        <v>1.553697558330924</v>
      </c>
      <c r="W13">
        <v>2.4436111035358579</v>
      </c>
      <c r="X13">
        <v>3.2853415839857969</v>
      </c>
      <c r="Y13">
        <v>2.9736339398277489</v>
      </c>
      <c r="Z13">
        <v>2.4078901425605181</v>
      </c>
      <c r="AA13">
        <v>2.491006820245985</v>
      </c>
      <c r="AB13">
        <v>3.009578920406597</v>
      </c>
      <c r="AC13">
        <v>1.8551298377325911</v>
      </c>
      <c r="AD13">
        <v>2.36301409599352</v>
      </c>
    </row>
    <row r="14" spans="1:30" x14ac:dyDescent="0.35">
      <c r="A14" s="8" t="s">
        <v>43</v>
      </c>
      <c r="B14" s="12"/>
      <c r="C14" s="12"/>
      <c r="D14" s="12"/>
      <c r="E14" s="12"/>
      <c r="F14">
        <v>0.30636157409537651</v>
      </c>
      <c r="G14">
        <v>0.30230861174595702</v>
      </c>
      <c r="H14">
        <v>0.35858451980033118</v>
      </c>
      <c r="I14">
        <v>0.96095769139390086</v>
      </c>
      <c r="J14">
        <v>0.68365243063664138</v>
      </c>
      <c r="K14">
        <v>0.45924139914149009</v>
      </c>
      <c r="L14">
        <v>0.38957375323533938</v>
      </c>
      <c r="M14">
        <v>-0.67518480300324768</v>
      </c>
      <c r="N14">
        <v>-1.203925991293431</v>
      </c>
      <c r="O14">
        <v>-1.2151646295374969</v>
      </c>
      <c r="P14">
        <v>-0.76363516832847722</v>
      </c>
      <c r="Q14">
        <v>-0.72974710373938478</v>
      </c>
      <c r="R14">
        <v>-0.61145056303584511</v>
      </c>
      <c r="S14">
        <v>-1.16796795763716</v>
      </c>
      <c r="T14">
        <v>-1.4690418233512901</v>
      </c>
      <c r="U14">
        <v>-0.88532732628152644</v>
      </c>
      <c r="V14">
        <v>-1.392029004616433</v>
      </c>
      <c r="W14">
        <v>-0.96576154414375992</v>
      </c>
      <c r="X14">
        <v>0.1083868591900625</v>
      </c>
      <c r="Y14">
        <v>0.6005892223664091</v>
      </c>
      <c r="Z14">
        <v>0.44345802930314449</v>
      </c>
      <c r="AA14">
        <v>0.49331051059306219</v>
      </c>
      <c r="AB14">
        <v>1.0711820258359239</v>
      </c>
      <c r="AC14">
        <v>1.5202818853117039</v>
      </c>
      <c r="AD14">
        <v>0.86837256130240803</v>
      </c>
    </row>
    <row r="15" spans="1:30" x14ac:dyDescent="0.35">
      <c r="A15" s="6" t="s">
        <v>44</v>
      </c>
      <c r="B15" s="12"/>
      <c r="C15" s="12"/>
      <c r="D15" s="12"/>
      <c r="E15" s="12"/>
      <c r="F15">
        <v>-0.30636157409537651</v>
      </c>
      <c r="G15">
        <v>-0.30230861174595702</v>
      </c>
      <c r="H15">
        <v>-0.35858451980033118</v>
      </c>
      <c r="I15">
        <v>-0.96095769139390086</v>
      </c>
      <c r="J15">
        <v>-0.68365243063664138</v>
      </c>
      <c r="K15">
        <v>-0.45924139914149009</v>
      </c>
      <c r="L15">
        <v>-0.38957375323533938</v>
      </c>
      <c r="M15">
        <v>0.67518480300324768</v>
      </c>
      <c r="N15">
        <v>1.203925991293431</v>
      </c>
      <c r="O15">
        <v>1.2151646295374969</v>
      </c>
      <c r="P15">
        <v>0.76363516832847722</v>
      </c>
      <c r="Q15">
        <v>0.72974710373938478</v>
      </c>
      <c r="R15">
        <v>0.61145056303584511</v>
      </c>
      <c r="S15">
        <v>1.16796795763716</v>
      </c>
      <c r="T15">
        <v>1.4690418233512901</v>
      </c>
      <c r="U15">
        <v>0.88532732628152644</v>
      </c>
      <c r="V15">
        <v>1.392029004616433</v>
      </c>
      <c r="W15">
        <v>0.96576154414375992</v>
      </c>
      <c r="X15">
        <v>-0.1083868591900625</v>
      </c>
      <c r="Y15">
        <v>-0.6005892223664091</v>
      </c>
      <c r="Z15">
        <v>-0.44345802930314449</v>
      </c>
      <c r="AA15">
        <v>-0.49331051059306219</v>
      </c>
      <c r="AB15">
        <v>-1.0711820258359239</v>
      </c>
      <c r="AC15">
        <v>-1.5202818853117039</v>
      </c>
      <c r="AD15">
        <v>-0.86837256130240803</v>
      </c>
    </row>
    <row r="16" spans="1:30" x14ac:dyDescent="0.35">
      <c r="A16" s="8" t="s">
        <v>10</v>
      </c>
      <c r="B16" s="12"/>
      <c r="C16" s="12"/>
      <c r="D16" s="12"/>
      <c r="E16" s="12"/>
      <c r="F16">
        <v>130.24006635367229</v>
      </c>
      <c r="G16">
        <v>134.30347060444069</v>
      </c>
      <c r="H16">
        <v>136.95815930127409</v>
      </c>
      <c r="I16">
        <v>141.0556217486812</v>
      </c>
      <c r="J16">
        <v>138.57764465634961</v>
      </c>
      <c r="K16">
        <v>135.95978754475519</v>
      </c>
      <c r="L16">
        <v>135.28834247216341</v>
      </c>
      <c r="M16">
        <v>135.38359984508509</v>
      </c>
      <c r="N16">
        <v>134.66510180722429</v>
      </c>
      <c r="O16">
        <v>136.41224636793609</v>
      </c>
      <c r="P16">
        <v>137.9038195959057</v>
      </c>
      <c r="Q16">
        <v>139.7529353690997</v>
      </c>
      <c r="R16">
        <v>142.48693278092969</v>
      </c>
      <c r="S16">
        <v>139.6297038364257</v>
      </c>
      <c r="T16">
        <v>139.00788474749709</v>
      </c>
      <c r="U16">
        <v>140.95682579305759</v>
      </c>
      <c r="V16">
        <v>140.07809746972339</v>
      </c>
      <c r="W16">
        <v>140.85339252834669</v>
      </c>
      <c r="X16">
        <v>143.64864895760661</v>
      </c>
      <c r="Y16">
        <v>141.361319862215</v>
      </c>
      <c r="Z16">
        <v>139.1153194628782</v>
      </c>
      <c r="AA16">
        <v>140.8388035597944</v>
      </c>
      <c r="AB16">
        <v>141.11167513580091</v>
      </c>
      <c r="AC16">
        <v>140.800681349754</v>
      </c>
      <c r="AD16">
        <v>143.32751511550649</v>
      </c>
    </row>
    <row r="17" spans="1:30" x14ac:dyDescent="0.35">
      <c r="A17" s="4" t="s">
        <v>45</v>
      </c>
      <c r="B17" s="12"/>
      <c r="C17" s="12"/>
      <c r="D17" s="12"/>
      <c r="E17" s="12"/>
      <c r="F17">
        <v>1.4222683934348801</v>
      </c>
      <c r="G17">
        <v>1.372271559151087</v>
      </c>
      <c r="H17">
        <v>1.2228556929977941</v>
      </c>
      <c r="I17">
        <v>1.269822785283101</v>
      </c>
      <c r="J17">
        <v>1.3323695017959689</v>
      </c>
      <c r="K17">
        <v>1.232663538398604</v>
      </c>
      <c r="L17">
        <v>1.2767098970066639</v>
      </c>
      <c r="M17">
        <v>1.334971211595805</v>
      </c>
      <c r="N17">
        <v>1.3422608216210921</v>
      </c>
      <c r="O17">
        <v>1.3349194106730311</v>
      </c>
      <c r="P17">
        <v>1.321516053561268</v>
      </c>
      <c r="Q17">
        <v>1.3240934050292921</v>
      </c>
      <c r="R17">
        <v>1.273439081790418</v>
      </c>
      <c r="S17">
        <v>1.307144310516583</v>
      </c>
      <c r="T17">
        <v>1.2660861026625221</v>
      </c>
      <c r="U17">
        <v>1.2843421983733569</v>
      </c>
      <c r="V17">
        <v>1.382782658300181</v>
      </c>
      <c r="W17">
        <v>1.364814549403405</v>
      </c>
      <c r="X17">
        <v>1.346137063138489</v>
      </c>
      <c r="Y17">
        <v>1.339867630949543</v>
      </c>
      <c r="Z17">
        <v>1.3802088338865071</v>
      </c>
      <c r="AA17">
        <v>1.41108247234604</v>
      </c>
      <c r="AB17">
        <v>1.4119989199302061</v>
      </c>
      <c r="AC17">
        <v>1.40940623021147</v>
      </c>
      <c r="AD17">
        <v>1.4635862185468329</v>
      </c>
    </row>
    <row r="19" spans="1:30" x14ac:dyDescent="0.35">
      <c r="A19" s="1" t="s">
        <v>12</v>
      </c>
      <c r="B19" s="2">
        <v>2016</v>
      </c>
      <c r="C19" s="2">
        <v>2017</v>
      </c>
      <c r="D19" s="2">
        <v>2018</v>
      </c>
      <c r="E19" s="2">
        <v>2019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21</v>
      </c>
      <c r="K19" s="2" t="s">
        <v>22</v>
      </c>
      <c r="L19" s="2" t="s">
        <v>23</v>
      </c>
      <c r="M19" s="2" t="s">
        <v>24</v>
      </c>
      <c r="N19" s="2" t="s">
        <v>25</v>
      </c>
      <c r="O19" s="2" t="s">
        <v>26</v>
      </c>
      <c r="P19" s="2" t="s">
        <v>27</v>
      </c>
      <c r="Q19" s="2" t="s">
        <v>28</v>
      </c>
      <c r="R19" s="2" t="s">
        <v>29</v>
      </c>
      <c r="S19" s="2" t="s">
        <v>30</v>
      </c>
      <c r="T19" s="2" t="s">
        <v>31</v>
      </c>
      <c r="U19" s="2" t="s">
        <v>32</v>
      </c>
      <c r="V19" s="2" t="s">
        <v>33</v>
      </c>
      <c r="W19" s="2" t="s">
        <v>34</v>
      </c>
      <c r="X19" s="2" t="s">
        <v>35</v>
      </c>
      <c r="Y19" s="2" t="s">
        <v>36</v>
      </c>
      <c r="Z19" s="3" t="s">
        <v>37</v>
      </c>
      <c r="AA19" s="3" t="s">
        <v>38</v>
      </c>
      <c r="AB19" s="3" t="s">
        <v>39</v>
      </c>
      <c r="AC19" s="3" t="s">
        <v>40</v>
      </c>
    </row>
    <row r="20" spans="1:30" x14ac:dyDescent="0.35">
      <c r="A20" s="4" t="s">
        <v>41</v>
      </c>
      <c r="B20">
        <v>131.1674704044573</v>
      </c>
      <c r="C20">
        <v>136.7382347074298</v>
      </c>
      <c r="D20">
        <v>136.80259194091829</v>
      </c>
      <c r="E20">
        <v>132.54766874373311</v>
      </c>
      <c r="F20">
        <v>131.13303029419251</v>
      </c>
      <c r="G20">
        <v>132.90504284604401</v>
      </c>
      <c r="H20">
        <v>133.9304786690208</v>
      </c>
      <c r="I20">
        <v>132.8038095162421</v>
      </c>
      <c r="J20">
        <v>135.4481125583965</v>
      </c>
      <c r="K20">
        <v>135.1873517847032</v>
      </c>
      <c r="L20">
        <v>134.94601738902409</v>
      </c>
      <c r="M20">
        <v>132.89927866287411</v>
      </c>
      <c r="N20">
        <v>134.06325322076779</v>
      </c>
      <c r="O20">
        <v>136.81720801029189</v>
      </c>
      <c r="P20">
        <v>138.00243272817349</v>
      </c>
      <c r="Q20">
        <v>139.7779316361283</v>
      </c>
      <c r="R20">
        <v>141.27719036447311</v>
      </c>
      <c r="S20">
        <v>140.587337420209</v>
      </c>
      <c r="T20">
        <v>140.72102580751559</v>
      </c>
      <c r="U20">
        <v>139.02514228651111</v>
      </c>
      <c r="V20">
        <v>138.131634820861</v>
      </c>
      <c r="W20">
        <v>140.1735622972094</v>
      </c>
      <c r="X20">
        <v>141.55375224123719</v>
      </c>
      <c r="Y20">
        <v>139.97097369283409</v>
      </c>
      <c r="Z20">
        <v>139.83315040104489</v>
      </c>
      <c r="AA20">
        <v>140.63433560368551</v>
      </c>
      <c r="AB20">
        <v>140.9638839291236</v>
      </c>
      <c r="AC20">
        <v>141.85748818430829</v>
      </c>
      <c r="AD20">
        <v>142.7719413636564</v>
      </c>
    </row>
    <row r="21" spans="1:30" x14ac:dyDescent="0.35">
      <c r="A21" s="5" t="s">
        <v>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s="6" t="s">
        <v>42</v>
      </c>
      <c r="B22">
        <v>-8.6531737211799964E-2</v>
      </c>
      <c r="C22">
        <v>0.56457951809235851</v>
      </c>
      <c r="D22">
        <v>9.7990972414663702E-2</v>
      </c>
      <c r="E22">
        <v>0.6511772460157772</v>
      </c>
      <c r="F22">
        <v>1.3091096453114519</v>
      </c>
      <c r="G22">
        <v>1.5067007457573709</v>
      </c>
      <c r="H22">
        <v>0.54845206108649336</v>
      </c>
      <c r="I22">
        <v>3.989095038917867E-3</v>
      </c>
      <c r="J22">
        <v>0.52413775543899987</v>
      </c>
      <c r="K22">
        <v>0.89828530507452342</v>
      </c>
      <c r="L22">
        <v>0.69221703585537853</v>
      </c>
      <c r="M22">
        <v>-0.39544920563756142</v>
      </c>
      <c r="N22">
        <v>-0.23544013982765929</v>
      </c>
      <c r="O22">
        <v>0.72599632061417196</v>
      </c>
      <c r="P22">
        <v>0.5826234577808691</v>
      </c>
      <c r="Q22">
        <v>0.31311591216902462</v>
      </c>
      <c r="R22">
        <v>0.93883725131536266</v>
      </c>
      <c r="S22">
        <v>1.56454087947526</v>
      </c>
      <c r="T22">
        <v>1.6212334276677041</v>
      </c>
      <c r="U22">
        <v>0.8929302351183992</v>
      </c>
      <c r="V22">
        <v>-0.197179663992614</v>
      </c>
      <c r="W22">
        <v>0.3035154362686967</v>
      </c>
      <c r="X22">
        <v>0.75919792713105494</v>
      </c>
      <c r="Y22">
        <v>0.53146184690936593</v>
      </c>
      <c r="Z22">
        <v>0.66791062198333861</v>
      </c>
      <c r="AA22">
        <v>1.278142353031853</v>
      </c>
      <c r="AB22">
        <v>1.796535868201403</v>
      </c>
      <c r="AC22">
        <v>2.7808560725822251</v>
      </c>
      <c r="AD22">
        <v>2.8644589843305539</v>
      </c>
    </row>
    <row r="23" spans="1:30" x14ac:dyDescent="0.35">
      <c r="A23" s="8" t="s">
        <v>43</v>
      </c>
      <c r="B23">
        <v>-0.17908035556882851</v>
      </c>
      <c r="C23">
        <v>0.79370023627200226</v>
      </c>
      <c r="D23">
        <v>0.48653146612261372</v>
      </c>
      <c r="E23">
        <v>0.28554475895634818</v>
      </c>
      <c r="F23">
        <v>0.20251188897759681</v>
      </c>
      <c r="G23">
        <v>6.122788577019378E-2</v>
      </c>
      <c r="H23">
        <v>0.3754220068435643</v>
      </c>
      <c r="I23">
        <v>0.72847101415177917</v>
      </c>
      <c r="J23">
        <v>0.67570085833398252</v>
      </c>
      <c r="K23">
        <v>0.54426610392374641</v>
      </c>
      <c r="L23">
        <v>0.1424165914822311</v>
      </c>
      <c r="M23">
        <v>-0.22920702960865921</v>
      </c>
      <c r="N23">
        <v>-0.7816802127157132</v>
      </c>
      <c r="O23">
        <v>-0.85473741966453076</v>
      </c>
      <c r="P23">
        <v>-0.87179729562220132</v>
      </c>
      <c r="Q23">
        <v>-0.90205939429336013</v>
      </c>
      <c r="R23">
        <v>-0.84700803138244396</v>
      </c>
      <c r="S23">
        <v>-1.1370854255410729</v>
      </c>
      <c r="T23">
        <v>-1.388060549306346</v>
      </c>
      <c r="U23">
        <v>-1.143878653815392</v>
      </c>
      <c r="V23">
        <v>-1.442794941309046</v>
      </c>
      <c r="W23">
        <v>-0.95218585102421116</v>
      </c>
      <c r="X23">
        <v>-0.37311690358814081</v>
      </c>
      <c r="Y23">
        <v>0.5256982265414365</v>
      </c>
      <c r="Z23">
        <v>0.41648513806779869</v>
      </c>
      <c r="AA23">
        <v>0.71413028006537616</v>
      </c>
      <c r="AB23">
        <v>0.93042989573947921</v>
      </c>
      <c r="AC23">
        <v>1.7451632669859689</v>
      </c>
      <c r="AD23">
        <v>0.65468889007354392</v>
      </c>
    </row>
    <row r="24" spans="1:30" x14ac:dyDescent="0.35">
      <c r="A24" s="6" t="s">
        <v>44</v>
      </c>
      <c r="B24">
        <v>0.17908035556882851</v>
      </c>
      <c r="C24">
        <v>-0.79370023627200226</v>
      </c>
      <c r="D24">
        <v>-0.48653146612261372</v>
      </c>
      <c r="E24">
        <v>-0.28554475895634818</v>
      </c>
      <c r="F24">
        <v>-0.20251188897759681</v>
      </c>
      <c r="G24">
        <v>-6.122788577019378E-2</v>
      </c>
      <c r="H24">
        <v>-0.3754220068435643</v>
      </c>
      <c r="I24">
        <v>-0.72847101415177917</v>
      </c>
      <c r="J24">
        <v>-0.67570085833398252</v>
      </c>
      <c r="K24">
        <v>-0.54426610392374641</v>
      </c>
      <c r="L24">
        <v>-0.1424165914822311</v>
      </c>
      <c r="M24">
        <v>0.22920702960865921</v>
      </c>
      <c r="N24">
        <v>0.7816802127157132</v>
      </c>
      <c r="O24">
        <v>0.85473741966453076</v>
      </c>
      <c r="P24">
        <v>0.87179729562220132</v>
      </c>
      <c r="Q24">
        <v>0.90205939429336013</v>
      </c>
      <c r="R24">
        <v>0.84700803138244396</v>
      </c>
      <c r="S24">
        <v>1.1370854255410729</v>
      </c>
      <c r="T24">
        <v>1.388060549306346</v>
      </c>
      <c r="U24">
        <v>1.143878653815392</v>
      </c>
      <c r="V24">
        <v>1.442794941309046</v>
      </c>
      <c r="W24">
        <v>0.95218585102421116</v>
      </c>
      <c r="X24">
        <v>0.37311690358814081</v>
      </c>
      <c r="Y24">
        <v>-0.5256982265414365</v>
      </c>
      <c r="Z24">
        <v>-0.41648513806779869</v>
      </c>
      <c r="AA24">
        <v>-0.71413028006537616</v>
      </c>
      <c r="AB24">
        <v>-0.93042989573947921</v>
      </c>
      <c r="AC24">
        <v>-1.7451632669859689</v>
      </c>
      <c r="AD24">
        <v>-0.65468889007354392</v>
      </c>
    </row>
    <row r="25" spans="1:30" x14ac:dyDescent="0.35">
      <c r="A25" s="8" t="s">
        <v>10</v>
      </c>
      <c r="B25">
        <v>131.0809386672455</v>
      </c>
      <c r="C25">
        <v>137.3028142255221</v>
      </c>
      <c r="D25">
        <v>136.90058291333301</v>
      </c>
      <c r="E25">
        <v>133.19884598974889</v>
      </c>
      <c r="F25">
        <v>132.44213993950399</v>
      </c>
      <c r="G25">
        <v>134.41174359180141</v>
      </c>
      <c r="H25">
        <v>134.47893073010729</v>
      </c>
      <c r="I25">
        <v>132.80779861128099</v>
      </c>
      <c r="J25">
        <v>135.9722503138355</v>
      </c>
      <c r="K25">
        <v>136.08563708977769</v>
      </c>
      <c r="L25">
        <v>135.6382344248795</v>
      </c>
      <c r="M25">
        <v>132.50382945723649</v>
      </c>
      <c r="N25">
        <v>133.8278130809401</v>
      </c>
      <c r="O25">
        <v>137.54320433090609</v>
      </c>
      <c r="P25">
        <v>138.58505618595439</v>
      </c>
      <c r="Q25">
        <v>140.09104754829741</v>
      </c>
      <c r="R25">
        <v>142.21602761578839</v>
      </c>
      <c r="S25">
        <v>142.15187829968431</v>
      </c>
      <c r="T25">
        <v>142.34225923518329</v>
      </c>
      <c r="U25">
        <v>139.91807252162951</v>
      </c>
      <c r="V25">
        <v>137.93445515686841</v>
      </c>
      <c r="W25">
        <v>140.4770777334781</v>
      </c>
      <c r="X25">
        <v>142.3129501683683</v>
      </c>
      <c r="Y25">
        <v>140.50243553974349</v>
      </c>
      <c r="Z25">
        <v>140.50106102302831</v>
      </c>
      <c r="AA25">
        <v>141.9124779567174</v>
      </c>
      <c r="AB25">
        <v>142.760419797325</v>
      </c>
      <c r="AC25">
        <v>144.63834425689049</v>
      </c>
      <c r="AD25">
        <v>145.63640034798689</v>
      </c>
    </row>
    <row r="26" spans="1:30" x14ac:dyDescent="0.35">
      <c r="A26" s="4" t="s">
        <v>45</v>
      </c>
      <c r="B26">
        <v>2.1589323126583162</v>
      </c>
      <c r="C26">
        <v>2.2068198217191362</v>
      </c>
      <c r="D26">
        <v>2.115996248174139</v>
      </c>
      <c r="E26">
        <v>2.0919991852559359</v>
      </c>
      <c r="F26">
        <v>1.939898141117296</v>
      </c>
      <c r="G26">
        <v>1.943268960007744</v>
      </c>
      <c r="H26">
        <v>1.9007311795258051</v>
      </c>
      <c r="I26">
        <v>2.0314244117221412</v>
      </c>
      <c r="J26">
        <v>1.7350805052751219</v>
      </c>
      <c r="K26">
        <v>1.513765172976034</v>
      </c>
      <c r="L26">
        <v>1.617681923428633</v>
      </c>
      <c r="M26">
        <v>1.6847803526415901</v>
      </c>
      <c r="N26">
        <v>1.659535135553341</v>
      </c>
      <c r="O26">
        <v>1.6664296310864051</v>
      </c>
      <c r="P26">
        <v>1.683305005053048</v>
      </c>
      <c r="Q26">
        <v>1.685061480355154</v>
      </c>
      <c r="R26">
        <v>1.734057724851169</v>
      </c>
      <c r="S26">
        <v>1.542595521297802</v>
      </c>
      <c r="T26">
        <v>1.500455435180085</v>
      </c>
      <c r="U26">
        <v>1.4623081619898359</v>
      </c>
      <c r="V26">
        <v>1.4838174381070739</v>
      </c>
      <c r="W26">
        <v>1.477060721231068</v>
      </c>
      <c r="X26">
        <v>1.4909359801428419</v>
      </c>
      <c r="Y26">
        <v>1.4850274799340151</v>
      </c>
      <c r="Z26">
        <v>1.487944121409839</v>
      </c>
      <c r="AA26">
        <v>1.4278375354805599</v>
      </c>
      <c r="AB26">
        <v>1.425119031749601</v>
      </c>
      <c r="AC26">
        <v>1.421210810124788</v>
      </c>
      <c r="AD26">
        <v>1.4866400025872311</v>
      </c>
    </row>
    <row r="28" spans="1:30" x14ac:dyDescent="0.35">
      <c r="A28" s="1" t="s">
        <v>13</v>
      </c>
      <c r="B28" s="2">
        <v>2016</v>
      </c>
      <c r="C28" s="2">
        <v>2017</v>
      </c>
      <c r="D28" s="2">
        <v>2018</v>
      </c>
      <c r="E28" s="2">
        <v>2019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K28" s="2" t="s">
        <v>22</v>
      </c>
      <c r="L28" s="2" t="s">
        <v>23</v>
      </c>
      <c r="M28" s="2" t="s">
        <v>24</v>
      </c>
      <c r="N28" s="2" t="s">
        <v>25</v>
      </c>
      <c r="O28" s="2" t="s">
        <v>26</v>
      </c>
      <c r="P28" s="2" t="s">
        <v>27</v>
      </c>
      <c r="Q28" s="2" t="s">
        <v>28</v>
      </c>
      <c r="R28" s="2" t="s">
        <v>29</v>
      </c>
      <c r="S28" s="2" t="s">
        <v>30</v>
      </c>
      <c r="T28" s="2" t="s">
        <v>31</v>
      </c>
      <c r="U28" s="2" t="s">
        <v>32</v>
      </c>
      <c r="V28" s="2" t="s">
        <v>33</v>
      </c>
      <c r="W28" s="2" t="s">
        <v>34</v>
      </c>
      <c r="X28" s="2" t="s">
        <v>35</v>
      </c>
      <c r="Y28" s="2" t="s">
        <v>36</v>
      </c>
      <c r="Z28" s="3" t="s">
        <v>37</v>
      </c>
      <c r="AA28" s="3" t="s">
        <v>38</v>
      </c>
      <c r="AB28" s="3" t="s">
        <v>39</v>
      </c>
      <c r="AC28" s="3" t="s">
        <v>40</v>
      </c>
    </row>
    <row r="29" spans="1:30" x14ac:dyDescent="0.35">
      <c r="A29" s="4" t="s">
        <v>41</v>
      </c>
      <c r="B29">
        <v>129.64153783953199</v>
      </c>
      <c r="C29">
        <v>131.65562857994581</v>
      </c>
      <c r="D29">
        <v>131.56832363473589</v>
      </c>
      <c r="E29">
        <v>129.50597295299329</v>
      </c>
      <c r="F29">
        <v>130.03039565128549</v>
      </c>
      <c r="G29">
        <v>133.13561972496839</v>
      </c>
      <c r="H29">
        <v>135.524196498951</v>
      </c>
      <c r="I29">
        <v>135.28732548834139</v>
      </c>
      <c r="J29">
        <v>135.28771439688319</v>
      </c>
      <c r="K29">
        <v>135.4990065961002</v>
      </c>
      <c r="L29">
        <v>135.05653202064309</v>
      </c>
      <c r="M29">
        <v>133.6533590478692</v>
      </c>
      <c r="N29">
        <v>134.54999962165849</v>
      </c>
      <c r="O29">
        <v>136.72731168449579</v>
      </c>
      <c r="P29">
        <v>137.2711437909899</v>
      </c>
      <c r="Q29">
        <v>138.3019509586567</v>
      </c>
      <c r="R29">
        <v>139.23034679005511</v>
      </c>
      <c r="S29">
        <v>137.7158392394139</v>
      </c>
      <c r="T29">
        <v>138.53983622019501</v>
      </c>
      <c r="U29">
        <v>137.48747271961969</v>
      </c>
      <c r="V29">
        <v>136.76023284432631</v>
      </c>
      <c r="W29">
        <v>137.47802427838079</v>
      </c>
      <c r="X29">
        <v>138.54353569478641</v>
      </c>
      <c r="Y29">
        <v>137.20904828299791</v>
      </c>
      <c r="Z29">
        <v>136.66839841462689</v>
      </c>
      <c r="AA29">
        <v>137.94719223853701</v>
      </c>
      <c r="AB29">
        <v>138.66054717924419</v>
      </c>
      <c r="AC29">
        <v>140.0375169754368</v>
      </c>
      <c r="AD29">
        <v>141.05805628479709</v>
      </c>
    </row>
    <row r="30" spans="1:30" x14ac:dyDescent="0.35">
      <c r="A30" s="5" t="s">
        <v>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s="6" t="s">
        <v>42</v>
      </c>
      <c r="B31">
        <v>0.80451042320075317</v>
      </c>
      <c r="C31">
        <v>0.93531318918843454</v>
      </c>
      <c r="D31">
        <v>0.87019854655096651</v>
      </c>
      <c r="E31">
        <v>0.78525766916115458</v>
      </c>
      <c r="F31">
        <v>0.62627010783492665</v>
      </c>
      <c r="G31">
        <v>0.56124753646935233</v>
      </c>
      <c r="H31">
        <v>0.90101304711950547</v>
      </c>
      <c r="I31">
        <v>0.84283260286281347</v>
      </c>
      <c r="J31">
        <v>1.6574384290709929</v>
      </c>
      <c r="K31">
        <v>1.815851125188999</v>
      </c>
      <c r="L31">
        <v>1.5016645803773661</v>
      </c>
      <c r="M31">
        <v>1.1834960513425301</v>
      </c>
      <c r="N31">
        <v>0.56607343884937222</v>
      </c>
      <c r="O31">
        <v>0.62303432104519629</v>
      </c>
      <c r="P31">
        <v>-1.4227398664814929E-2</v>
      </c>
      <c r="Q31">
        <v>0.60880416093954182</v>
      </c>
      <c r="R31">
        <v>0.26065131663582969</v>
      </c>
      <c r="S31">
        <v>0.32381303156259378</v>
      </c>
      <c r="T31">
        <v>1.474295442786399</v>
      </c>
      <c r="U31">
        <v>1.264705079320009</v>
      </c>
      <c r="V31">
        <v>1.0139278629061721</v>
      </c>
      <c r="W31">
        <v>2.022800071092405</v>
      </c>
      <c r="X31">
        <v>2.2786497559132499</v>
      </c>
      <c r="Y31">
        <v>2.0632355429099789</v>
      </c>
      <c r="Z31">
        <v>1.8384507384757001</v>
      </c>
      <c r="AA31">
        <v>2.0356618749904101</v>
      </c>
      <c r="AB31">
        <v>2.2451500749805291</v>
      </c>
      <c r="AC31">
        <v>2.7851197376810428</v>
      </c>
      <c r="AD31">
        <v>3.125019135781685</v>
      </c>
    </row>
    <row r="32" spans="1:30" x14ac:dyDescent="0.35">
      <c r="A32" s="8" t="s">
        <v>43</v>
      </c>
      <c r="B32">
        <v>9.6922741675484758E-3</v>
      </c>
      <c r="C32">
        <v>0.72983217783863097</v>
      </c>
      <c r="D32">
        <v>0.61215120313545413</v>
      </c>
      <c r="E32">
        <v>0.43106276979540331</v>
      </c>
      <c r="F32">
        <v>0.16214306618985569</v>
      </c>
      <c r="G32">
        <v>6.4071236133287357E-2</v>
      </c>
      <c r="H32">
        <v>0.28692086832671748</v>
      </c>
      <c r="I32">
        <v>1.0400755547362051</v>
      </c>
      <c r="J32">
        <v>0.54162063003451522</v>
      </c>
      <c r="K32">
        <v>0.46779075349866162</v>
      </c>
      <c r="L32">
        <v>0.48633152781243888</v>
      </c>
      <c r="M32">
        <v>-0.2010513471489048</v>
      </c>
      <c r="N32">
        <v>-0.83242226182360923</v>
      </c>
      <c r="O32">
        <v>-0.91864713521508179</v>
      </c>
      <c r="P32">
        <v>-1.1783170844346389</v>
      </c>
      <c r="Q32">
        <v>-0.65686013726815418</v>
      </c>
      <c r="R32">
        <v>-1.02366729448255</v>
      </c>
      <c r="S32">
        <v>-0.91099356068718862</v>
      </c>
      <c r="T32">
        <v>-1.336011434661913</v>
      </c>
      <c r="U32">
        <v>-1.0111437488140209</v>
      </c>
      <c r="V32">
        <v>-1.5337949541057581</v>
      </c>
      <c r="W32">
        <v>-0.6569954771216544</v>
      </c>
      <c r="X32">
        <v>-0.18254274880422369</v>
      </c>
      <c r="Y32">
        <v>0.6480155831020511</v>
      </c>
      <c r="Z32">
        <v>0.62660937142064199</v>
      </c>
      <c r="AA32">
        <v>0.62029119607467464</v>
      </c>
      <c r="AB32">
        <v>1.015984995129827</v>
      </c>
      <c r="AC32">
        <v>1.643985941244438</v>
      </c>
      <c r="AD32">
        <v>0.74305718986377656</v>
      </c>
    </row>
    <row r="33" spans="1:30" x14ac:dyDescent="0.35">
      <c r="A33" s="6" t="s">
        <v>44</v>
      </c>
      <c r="B33">
        <v>-9.6922741675484758E-3</v>
      </c>
      <c r="C33">
        <v>-0.72983217783863097</v>
      </c>
      <c r="D33">
        <v>-0.61215120313545413</v>
      </c>
      <c r="E33">
        <v>-0.43106276979540331</v>
      </c>
      <c r="F33">
        <v>-0.16214306618985569</v>
      </c>
      <c r="G33">
        <v>-6.4071236133287357E-2</v>
      </c>
      <c r="H33">
        <v>-0.28692086832671748</v>
      </c>
      <c r="I33">
        <v>-1.0400755547362051</v>
      </c>
      <c r="J33">
        <v>-0.54162063003451522</v>
      </c>
      <c r="K33">
        <v>-0.46779075349866162</v>
      </c>
      <c r="L33">
        <v>-0.48633152781243888</v>
      </c>
      <c r="M33">
        <v>0.2010513471489048</v>
      </c>
      <c r="N33">
        <v>0.83242226182360923</v>
      </c>
      <c r="O33">
        <v>0.91864713521508179</v>
      </c>
      <c r="P33">
        <v>1.1783170844346389</v>
      </c>
      <c r="Q33">
        <v>0.65686013726815418</v>
      </c>
      <c r="R33">
        <v>1.02366729448255</v>
      </c>
      <c r="S33">
        <v>0.91099356068718862</v>
      </c>
      <c r="T33">
        <v>1.336011434661913</v>
      </c>
      <c r="U33">
        <v>1.0111437488140209</v>
      </c>
      <c r="V33">
        <v>1.5337949541057581</v>
      </c>
      <c r="W33">
        <v>0.6569954771216544</v>
      </c>
      <c r="X33">
        <v>0.18254274880422369</v>
      </c>
      <c r="Y33">
        <v>-0.6480155831020511</v>
      </c>
      <c r="Z33">
        <v>-0.62660937142064199</v>
      </c>
      <c r="AA33">
        <v>-0.62029119607467464</v>
      </c>
      <c r="AB33">
        <v>-1.015984995129827</v>
      </c>
      <c r="AC33">
        <v>-1.643985941244438</v>
      </c>
      <c r="AD33">
        <v>-0.74305718986377656</v>
      </c>
    </row>
    <row r="34" spans="1:30" x14ac:dyDescent="0.35">
      <c r="A34" s="8" t="s">
        <v>10</v>
      </c>
      <c r="B34">
        <v>130.4460482627328</v>
      </c>
      <c r="C34">
        <v>132.59094176913419</v>
      </c>
      <c r="D34">
        <v>132.43852218128691</v>
      </c>
      <c r="E34">
        <v>130.29123062215439</v>
      </c>
      <c r="F34">
        <v>130.65666575912039</v>
      </c>
      <c r="G34">
        <v>133.6968672614378</v>
      </c>
      <c r="H34">
        <v>136.4252095460705</v>
      </c>
      <c r="I34">
        <v>136.13015809120421</v>
      </c>
      <c r="J34">
        <v>136.94515282595421</v>
      </c>
      <c r="K34">
        <v>137.3148577212892</v>
      </c>
      <c r="L34">
        <v>136.55819660102051</v>
      </c>
      <c r="M34">
        <v>134.83685509921179</v>
      </c>
      <c r="N34">
        <v>135.1160730605078</v>
      </c>
      <c r="O34">
        <v>137.35034600554101</v>
      </c>
      <c r="P34">
        <v>137.25691639232511</v>
      </c>
      <c r="Q34">
        <v>138.91075511959619</v>
      </c>
      <c r="R34">
        <v>139.49099810669091</v>
      </c>
      <c r="S34">
        <v>138.03965227097649</v>
      </c>
      <c r="T34">
        <v>140.01413166298141</v>
      </c>
      <c r="U34">
        <v>138.7521777989397</v>
      </c>
      <c r="V34">
        <v>137.77416070723251</v>
      </c>
      <c r="W34">
        <v>139.50082434947319</v>
      </c>
      <c r="X34">
        <v>140.82218545069961</v>
      </c>
      <c r="Y34">
        <v>139.27228382590781</v>
      </c>
      <c r="Z34">
        <v>138.50684915310259</v>
      </c>
      <c r="AA34">
        <v>139.9828541135274</v>
      </c>
      <c r="AB34">
        <v>140.9056972542248</v>
      </c>
      <c r="AC34">
        <v>142.82263671311779</v>
      </c>
      <c r="AD34">
        <v>144.18307542057869</v>
      </c>
    </row>
    <row r="35" spans="1:30" x14ac:dyDescent="0.35">
      <c r="A35" s="4" t="s">
        <v>45</v>
      </c>
      <c r="B35">
        <v>1.950502396676294</v>
      </c>
      <c r="C35">
        <v>1.94010292664233</v>
      </c>
      <c r="D35">
        <v>1.9893458759311391</v>
      </c>
      <c r="E35">
        <v>2.087009299734337</v>
      </c>
      <c r="F35">
        <v>2.0890887101389461</v>
      </c>
      <c r="G35">
        <v>2.108104450740333</v>
      </c>
      <c r="H35">
        <v>1.8211831514303809</v>
      </c>
      <c r="I35">
        <v>1.804475688193433</v>
      </c>
      <c r="J35">
        <v>1.699926863888799</v>
      </c>
      <c r="K35">
        <v>1.5705909052734031</v>
      </c>
      <c r="L35">
        <v>1.593944074594928</v>
      </c>
      <c r="M35">
        <v>1.6198601666520931</v>
      </c>
      <c r="N35">
        <v>1.571835203736176</v>
      </c>
      <c r="O35">
        <v>1.519099490720788</v>
      </c>
      <c r="P35">
        <v>1.5368932261779591</v>
      </c>
      <c r="Q35">
        <v>1.482145759650789</v>
      </c>
      <c r="R35">
        <v>1.4795919019263779</v>
      </c>
      <c r="S35">
        <v>1.5171671849351791</v>
      </c>
      <c r="T35">
        <v>1.428349042672221</v>
      </c>
      <c r="U35">
        <v>1.4319630910715151</v>
      </c>
      <c r="V35">
        <v>1.5305618418627329</v>
      </c>
      <c r="W35">
        <v>1.4917754352059129</v>
      </c>
      <c r="X35">
        <v>1.4541668225852551</v>
      </c>
      <c r="Y35">
        <v>1.4645932489798319</v>
      </c>
      <c r="Z35">
        <v>1.4858993916771901</v>
      </c>
      <c r="AA35">
        <v>1.4259222931358231</v>
      </c>
      <c r="AB35">
        <v>1.433593846288689</v>
      </c>
      <c r="AC35">
        <v>1.4174464837362339</v>
      </c>
      <c r="AD35">
        <v>1.4811423459408231</v>
      </c>
    </row>
    <row r="37" spans="1:30" x14ac:dyDescent="0.35">
      <c r="A37" s="1" t="s">
        <v>15</v>
      </c>
      <c r="B37" s="10"/>
      <c r="C37" s="10"/>
      <c r="D37" s="10"/>
      <c r="E37" s="10"/>
      <c r="F37" s="2" t="s">
        <v>17</v>
      </c>
      <c r="G37" s="2" t="s">
        <v>18</v>
      </c>
      <c r="H37" s="2" t="s">
        <v>19</v>
      </c>
      <c r="I37" s="2" t="s">
        <v>20</v>
      </c>
      <c r="J37" s="2" t="s">
        <v>21</v>
      </c>
      <c r="K37" s="2" t="s">
        <v>22</v>
      </c>
      <c r="L37" s="2" t="s">
        <v>23</v>
      </c>
      <c r="M37" s="2" t="s">
        <v>24</v>
      </c>
      <c r="N37" s="2" t="s">
        <v>25</v>
      </c>
      <c r="O37" s="2" t="s">
        <v>26</v>
      </c>
      <c r="P37" s="2" t="s">
        <v>27</v>
      </c>
      <c r="Q37" s="2" t="s">
        <v>28</v>
      </c>
      <c r="R37" s="2" t="s">
        <v>29</v>
      </c>
      <c r="S37" s="2" t="s">
        <v>30</v>
      </c>
      <c r="T37" s="2" t="s">
        <v>31</v>
      </c>
      <c r="U37" s="2" t="s">
        <v>32</v>
      </c>
      <c r="V37" s="2" t="s">
        <v>33</v>
      </c>
      <c r="W37" s="2" t="s">
        <v>34</v>
      </c>
      <c r="X37" s="2" t="s">
        <v>35</v>
      </c>
      <c r="Y37" s="2" t="s">
        <v>36</v>
      </c>
      <c r="Z37" s="3" t="s">
        <v>37</v>
      </c>
      <c r="AA37" s="3" t="s">
        <v>38</v>
      </c>
      <c r="AB37" s="3" t="s">
        <v>39</v>
      </c>
      <c r="AC37" s="3" t="s">
        <v>40</v>
      </c>
    </row>
    <row r="38" spans="1:30" x14ac:dyDescent="0.35">
      <c r="A38" s="4" t="s">
        <v>41</v>
      </c>
      <c r="B38" s="12"/>
      <c r="C38" s="12"/>
      <c r="D38" s="12"/>
      <c r="E38" s="12"/>
      <c r="F38">
        <v>132.38306791741499</v>
      </c>
      <c r="G38">
        <v>133.22864053407059</v>
      </c>
      <c r="H38">
        <v>136.30165783621021</v>
      </c>
      <c r="I38">
        <v>135.3824245085064</v>
      </c>
      <c r="J38">
        <v>133.83570351401411</v>
      </c>
      <c r="K38">
        <v>131.87489783492529</v>
      </c>
      <c r="L38">
        <v>131.1356915650193</v>
      </c>
      <c r="M38">
        <v>129.47230286810941</v>
      </c>
      <c r="N38">
        <v>129.34472841048469</v>
      </c>
      <c r="O38">
        <v>131.4534857039441</v>
      </c>
      <c r="P38">
        <v>131.7155339764507</v>
      </c>
      <c r="Q38">
        <v>131.25851429906621</v>
      </c>
      <c r="R38">
        <v>132.73384871823549</v>
      </c>
      <c r="S38">
        <v>133.44219538041571</v>
      </c>
      <c r="T38">
        <v>133.76755452848761</v>
      </c>
      <c r="U38">
        <v>135.31366592578499</v>
      </c>
      <c r="V38">
        <v>136.17456495376311</v>
      </c>
      <c r="W38">
        <v>136.81709999339159</v>
      </c>
      <c r="X38">
        <v>136.69241262670499</v>
      </c>
      <c r="Y38">
        <v>134.948750294055</v>
      </c>
      <c r="Z38">
        <v>134.57147996843619</v>
      </c>
      <c r="AA38">
        <v>136.4179223286813</v>
      </c>
      <c r="AB38">
        <v>137.00629562165429</v>
      </c>
      <c r="AC38">
        <v>137.20721483911191</v>
      </c>
      <c r="AD38">
        <v>139.79557838571191</v>
      </c>
    </row>
    <row r="39" spans="1:30" x14ac:dyDescent="0.35">
      <c r="A39" s="5" t="s">
        <v>6</v>
      </c>
      <c r="B39" s="12"/>
      <c r="C39" s="12"/>
      <c r="D39" s="12"/>
      <c r="E39" s="12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s="6" t="s">
        <v>42</v>
      </c>
      <c r="B40" s="12"/>
      <c r="C40" s="12"/>
      <c r="D40" s="12"/>
      <c r="E40" s="12"/>
      <c r="F40">
        <v>0.53733727491581362</v>
      </c>
      <c r="G40">
        <v>0.61144890440334621</v>
      </c>
      <c r="H40">
        <v>0.32319333564112179</v>
      </c>
      <c r="I40">
        <v>-0.89774631802086446</v>
      </c>
      <c r="J40">
        <v>-0.38175502107574738</v>
      </c>
      <c r="K40">
        <v>-0.59152796588301726</v>
      </c>
      <c r="L40">
        <v>-0.80097814863870553</v>
      </c>
      <c r="M40">
        <v>-0.57952409404390437</v>
      </c>
      <c r="N40">
        <v>-0.1218767355521209</v>
      </c>
      <c r="O40">
        <v>-0.57677921084459172</v>
      </c>
      <c r="P40">
        <v>-1.563158121816997</v>
      </c>
      <c r="Q40">
        <v>-1.3928785047271219</v>
      </c>
      <c r="R40">
        <v>-1.751634827333447</v>
      </c>
      <c r="S40">
        <v>-1.055753827058538</v>
      </c>
      <c r="T40">
        <v>-0.70981924968504018</v>
      </c>
      <c r="U40">
        <v>0.45637312284415538</v>
      </c>
      <c r="V40">
        <v>-0.59196154705890081</v>
      </c>
      <c r="W40">
        <v>-0.32963785050176853</v>
      </c>
      <c r="X40">
        <v>-0.49424107346195001</v>
      </c>
      <c r="Y40">
        <v>-0.28560818312433872</v>
      </c>
      <c r="Z40">
        <v>-0.97599677625345294</v>
      </c>
      <c r="AA40">
        <v>0.20518067039733981</v>
      </c>
      <c r="AB40">
        <v>0.17963091044521209</v>
      </c>
      <c r="AC40">
        <v>1.0649609356779881</v>
      </c>
      <c r="AD40">
        <v>1.2538169690974139</v>
      </c>
    </row>
    <row r="41" spans="1:30" x14ac:dyDescent="0.35">
      <c r="A41" s="8" t="s">
        <v>43</v>
      </c>
      <c r="B41" s="12"/>
      <c r="C41" s="12"/>
      <c r="D41" s="12"/>
      <c r="E41" s="12"/>
      <c r="F41">
        <v>-1.1920172091218999</v>
      </c>
      <c r="G41">
        <v>-0.86783265130543441</v>
      </c>
      <c r="H41">
        <v>-0.40157717488244771</v>
      </c>
      <c r="I41">
        <v>-0.63189371371208836</v>
      </c>
      <c r="J41">
        <v>-0.55970643750515592</v>
      </c>
      <c r="K41">
        <v>0.1247753708776429</v>
      </c>
      <c r="L41">
        <v>-0.4389509885803875</v>
      </c>
      <c r="M41">
        <v>-0.38499619041223809</v>
      </c>
      <c r="N41">
        <v>-1.2866433088275639</v>
      </c>
      <c r="O41">
        <v>-1.5946688194894141</v>
      </c>
      <c r="P41">
        <v>-2.3562370413532112</v>
      </c>
      <c r="Q41">
        <v>-2.603938990748389</v>
      </c>
      <c r="R41">
        <v>-2.3045013094247788</v>
      </c>
      <c r="S41">
        <v>-2.229916865336492</v>
      </c>
      <c r="T41">
        <v>-1.7922492711110181</v>
      </c>
      <c r="U41">
        <v>-1.0827342164131719</v>
      </c>
      <c r="V41">
        <v>-1.861764526594726</v>
      </c>
      <c r="W41">
        <v>-1.447669372426674</v>
      </c>
      <c r="X41">
        <v>-0.53113097206050952</v>
      </c>
      <c r="Y41">
        <v>2.2414072419306592</v>
      </c>
      <c r="Z41">
        <v>3.2551662847483271</v>
      </c>
      <c r="AA41">
        <v>2.080229452206964</v>
      </c>
      <c r="AB41">
        <v>2.4133143042180052</v>
      </c>
      <c r="AC41">
        <v>3.519180152007181</v>
      </c>
      <c r="AD41">
        <v>2.615284211966042</v>
      </c>
    </row>
    <row r="42" spans="1:30" x14ac:dyDescent="0.35">
      <c r="A42" s="6" t="s">
        <v>44</v>
      </c>
      <c r="B42" s="12"/>
      <c r="C42" s="12"/>
      <c r="D42" s="12"/>
      <c r="E42" s="12"/>
      <c r="F42">
        <v>1.1920172091218999</v>
      </c>
      <c r="G42">
        <v>0.86783265130543441</v>
      </c>
      <c r="H42">
        <v>0.40157717488244771</v>
      </c>
      <c r="I42">
        <v>0.63189371371208836</v>
      </c>
      <c r="J42">
        <v>0.55970643750515592</v>
      </c>
      <c r="K42">
        <v>-0.1247753708776429</v>
      </c>
      <c r="L42">
        <v>0.4389509885803875</v>
      </c>
      <c r="M42">
        <v>0.38499619041223809</v>
      </c>
      <c r="N42">
        <v>1.2866433088275639</v>
      </c>
      <c r="O42">
        <v>1.5946688194894141</v>
      </c>
      <c r="P42">
        <v>2.3562370413532112</v>
      </c>
      <c r="Q42">
        <v>2.603938990748389</v>
      </c>
      <c r="R42">
        <v>2.3045013094247788</v>
      </c>
      <c r="S42">
        <v>2.229916865336492</v>
      </c>
      <c r="T42">
        <v>1.7922492711110181</v>
      </c>
      <c r="U42">
        <v>1.0827342164131719</v>
      </c>
      <c r="V42">
        <v>1.861764526594726</v>
      </c>
      <c r="W42">
        <v>1.447669372426674</v>
      </c>
      <c r="X42">
        <v>0.53113097206050952</v>
      </c>
      <c r="Y42">
        <v>-2.2414072419306592</v>
      </c>
      <c r="Z42">
        <v>-3.2551662847483271</v>
      </c>
      <c r="AA42">
        <v>-2.080229452206964</v>
      </c>
      <c r="AB42">
        <v>-2.4133143042180052</v>
      </c>
      <c r="AC42">
        <v>-3.519180152007181</v>
      </c>
      <c r="AD42">
        <v>-2.615284211966042</v>
      </c>
    </row>
    <row r="43" spans="1:30" x14ac:dyDescent="0.35">
      <c r="A43" s="8" t="s">
        <v>10</v>
      </c>
      <c r="B43" s="12"/>
      <c r="C43" s="12"/>
      <c r="D43" s="12"/>
      <c r="E43" s="12"/>
      <c r="F43">
        <v>132.92040519233089</v>
      </c>
      <c r="G43">
        <v>133.840089438474</v>
      </c>
      <c r="H43">
        <v>136.6248511718513</v>
      </c>
      <c r="I43">
        <v>134.48467819048551</v>
      </c>
      <c r="J43">
        <v>133.45394849293839</v>
      </c>
      <c r="K43">
        <v>131.2833698690423</v>
      </c>
      <c r="L43">
        <v>130.33471341638059</v>
      </c>
      <c r="M43">
        <v>128.8927787740655</v>
      </c>
      <c r="N43">
        <v>129.22285167493251</v>
      </c>
      <c r="O43">
        <v>130.8767064930995</v>
      </c>
      <c r="P43">
        <v>130.1523758546337</v>
      </c>
      <c r="Q43">
        <v>129.86563579433911</v>
      </c>
      <c r="R43">
        <v>130.9822138909021</v>
      </c>
      <c r="S43">
        <v>132.38644155335709</v>
      </c>
      <c r="T43">
        <v>133.05773527880251</v>
      </c>
      <c r="U43">
        <v>135.7700390486292</v>
      </c>
      <c r="V43">
        <v>135.58260340670421</v>
      </c>
      <c r="W43">
        <v>136.4874621428898</v>
      </c>
      <c r="X43">
        <v>136.19817155324299</v>
      </c>
      <c r="Y43">
        <v>134.66314211093061</v>
      </c>
      <c r="Z43">
        <v>133.59548319218271</v>
      </c>
      <c r="AA43">
        <v>136.6231029990787</v>
      </c>
      <c r="AB43">
        <v>137.18592653209959</v>
      </c>
      <c r="AC43">
        <v>138.2721757747899</v>
      </c>
      <c r="AD43">
        <v>141.04939535480929</v>
      </c>
    </row>
    <row r="44" spans="1:30" x14ac:dyDescent="0.35">
      <c r="A44" s="4" t="s">
        <v>45</v>
      </c>
      <c r="B44" s="12"/>
      <c r="C44" s="12"/>
      <c r="D44" s="12"/>
      <c r="E44" s="12"/>
      <c r="F44">
        <v>1.4714846383228981</v>
      </c>
      <c r="G44">
        <v>1.448716958013599</v>
      </c>
      <c r="H44">
        <v>1.2685319300787741</v>
      </c>
      <c r="I44">
        <v>1.369183807572427</v>
      </c>
      <c r="J44">
        <v>1.3590323542387619</v>
      </c>
      <c r="K44">
        <v>1.261701853279481</v>
      </c>
      <c r="L44">
        <v>1.340766347457345</v>
      </c>
      <c r="M44">
        <v>1.374246757242239</v>
      </c>
      <c r="N44">
        <v>1.394674943573194</v>
      </c>
      <c r="O44">
        <v>1.3456752892020949</v>
      </c>
      <c r="P44">
        <v>1.292706462575296</v>
      </c>
      <c r="Q44">
        <v>1.3475354907098791</v>
      </c>
      <c r="R44">
        <v>1.3821314405812559</v>
      </c>
      <c r="S44">
        <v>1.332094824978489</v>
      </c>
      <c r="T44">
        <v>1.2573045289318181</v>
      </c>
      <c r="U44">
        <v>1.3078824846556749</v>
      </c>
      <c r="V44">
        <v>1.31679763308721</v>
      </c>
      <c r="W44">
        <v>1.300120574031848</v>
      </c>
      <c r="X44">
        <v>1.3145131517027879</v>
      </c>
      <c r="Y44">
        <v>1.345513247683062</v>
      </c>
      <c r="Z44">
        <v>1.33088701149143</v>
      </c>
      <c r="AA44">
        <v>1.3028832170234581</v>
      </c>
      <c r="AB44">
        <v>1.3079653321885989</v>
      </c>
      <c r="AC44">
        <v>1.317937136001802</v>
      </c>
      <c r="AD44">
        <v>1.3324938897224661</v>
      </c>
    </row>
    <row r="46" spans="1:30" x14ac:dyDescent="0.35">
      <c r="A46" s="1" t="s">
        <v>46</v>
      </c>
      <c r="B46" s="2">
        <v>2016</v>
      </c>
      <c r="C46" s="2">
        <v>2017</v>
      </c>
      <c r="D46" s="2">
        <v>2018</v>
      </c>
      <c r="E46" s="2">
        <v>2019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K46" s="2" t="s">
        <v>22</v>
      </c>
      <c r="L46" s="2" t="s">
        <v>23</v>
      </c>
      <c r="M46" s="2" t="s">
        <v>24</v>
      </c>
      <c r="N46" s="2" t="s">
        <v>25</v>
      </c>
      <c r="O46" s="2" t="s">
        <v>26</v>
      </c>
      <c r="P46" s="2" t="s">
        <v>27</v>
      </c>
      <c r="Q46" s="2" t="s">
        <v>28</v>
      </c>
      <c r="R46" s="2" t="s">
        <v>29</v>
      </c>
      <c r="S46" s="2" t="s">
        <v>30</v>
      </c>
      <c r="T46" s="2" t="s">
        <v>31</v>
      </c>
      <c r="U46" s="2" t="s">
        <v>32</v>
      </c>
      <c r="V46" s="2" t="s">
        <v>33</v>
      </c>
      <c r="W46" s="2" t="s">
        <v>34</v>
      </c>
      <c r="X46" s="2" t="s">
        <v>35</v>
      </c>
      <c r="Y46" s="2" t="s">
        <v>36</v>
      </c>
      <c r="Z46" s="3" t="s">
        <v>37</v>
      </c>
      <c r="AA46" s="3" t="s">
        <v>38</v>
      </c>
      <c r="AB46" s="3" t="s">
        <v>39</v>
      </c>
      <c r="AC46" s="3" t="s">
        <v>40</v>
      </c>
    </row>
    <row r="47" spans="1:30" x14ac:dyDescent="0.35">
      <c r="A47" s="4" t="s">
        <v>41</v>
      </c>
      <c r="B47">
        <v>130.11007291353741</v>
      </c>
      <c r="C47">
        <v>132.58768423165381</v>
      </c>
      <c r="D47">
        <v>132.51876017581779</v>
      </c>
      <c r="E47">
        <v>130.52654322632679</v>
      </c>
      <c r="F47">
        <v>130.91150494744431</v>
      </c>
      <c r="G47">
        <v>133.56817951517229</v>
      </c>
      <c r="H47">
        <v>135.3287156077005</v>
      </c>
      <c r="I47">
        <v>135.00451746431631</v>
      </c>
      <c r="J47">
        <v>135.33466098846091</v>
      </c>
      <c r="K47">
        <v>135.42705044425381</v>
      </c>
      <c r="L47">
        <v>135.1424920223651</v>
      </c>
      <c r="M47">
        <v>133.5823735198444</v>
      </c>
      <c r="N47">
        <v>134.24542394347671</v>
      </c>
      <c r="O47">
        <v>136.54105153034561</v>
      </c>
      <c r="P47">
        <v>137.3492500651486</v>
      </c>
      <c r="Q47">
        <v>138.63773781249441</v>
      </c>
      <c r="R47">
        <v>139.45712911470301</v>
      </c>
      <c r="S47">
        <v>138.75195256416711</v>
      </c>
      <c r="T47">
        <v>138.87581195365931</v>
      </c>
      <c r="U47">
        <v>138.31101426344071</v>
      </c>
      <c r="V47">
        <v>137.53277694910449</v>
      </c>
      <c r="W47">
        <v>138.76369128276681</v>
      </c>
      <c r="X47">
        <v>140.0746956158838</v>
      </c>
      <c r="Y47">
        <v>138.61956570479541</v>
      </c>
      <c r="Z47">
        <v>138.13777749999201</v>
      </c>
      <c r="AA47">
        <v>139.22050276176489</v>
      </c>
      <c r="AB47">
        <v>139.6100380592523</v>
      </c>
      <c r="AC47">
        <v>140.56262399932459</v>
      </c>
      <c r="AD47">
        <v>141.66062090795501</v>
      </c>
    </row>
    <row r="48" spans="1:30" x14ac:dyDescent="0.35">
      <c r="A48" s="5" t="s">
        <v>6</v>
      </c>
      <c r="B48">
        <v>0.1572520016262331</v>
      </c>
      <c r="C48">
        <v>9.8662384488108046E-2</v>
      </c>
      <c r="D48">
        <v>3.1447292337446697E-2</v>
      </c>
      <c r="E48">
        <v>7.9311969016657713E-3</v>
      </c>
      <c r="F48">
        <v>1.6008840074732689E-4</v>
      </c>
      <c r="G48">
        <v>5.4589378950709033E-4</v>
      </c>
      <c r="H48">
        <v>9.2920138649787987E-4</v>
      </c>
      <c r="I48">
        <v>-1.4430358647246071E-3</v>
      </c>
      <c r="J48">
        <v>3.2879285194553631E-4</v>
      </c>
      <c r="K48">
        <v>2.9449277161575083E-4</v>
      </c>
      <c r="L48">
        <v>3.9904695560721848E-4</v>
      </c>
      <c r="M48">
        <v>-1.102902682532658E-3</v>
      </c>
      <c r="N48">
        <v>-1.072890216505584E-3</v>
      </c>
      <c r="O48">
        <v>-3.8523387575537531E-3</v>
      </c>
      <c r="P48">
        <v>-1.0246436621059729E-3</v>
      </c>
      <c r="Q48">
        <v>3.3984759759277949E-3</v>
      </c>
      <c r="R48">
        <v>-1.7516757300569449E-2</v>
      </c>
      <c r="S48">
        <v>8.8215096548367455E-3</v>
      </c>
      <c r="T48">
        <v>-8.1867538263509232E-3</v>
      </c>
      <c r="U48">
        <v>7.4372030159111091E-3</v>
      </c>
      <c r="V48">
        <v>1.412851735267395E-4</v>
      </c>
      <c r="W48">
        <v>2.2149711224983548E-3</v>
      </c>
      <c r="X48">
        <v>-1.754015518514507E-3</v>
      </c>
      <c r="Y48">
        <v>-7.0410598930266133E-3</v>
      </c>
      <c r="Z48">
        <v>-2.0335988298825211E-4</v>
      </c>
      <c r="AA48">
        <v>-8.678741596781947E-3</v>
      </c>
      <c r="AB48">
        <v>-4.2505329931543656E-3</v>
      </c>
      <c r="AC48">
        <v>-7.164573995680712E-3</v>
      </c>
      <c r="AD48">
        <v>-1.0422556386799899E-3</v>
      </c>
    </row>
    <row r="49" spans="1:30" x14ac:dyDescent="0.35">
      <c r="A49" s="6" t="s">
        <v>42</v>
      </c>
      <c r="B49">
        <v>0.51854456034359941</v>
      </c>
      <c r="C49">
        <v>0.94898376741480206</v>
      </c>
      <c r="D49">
        <v>0.95230876119501318</v>
      </c>
      <c r="E49">
        <v>0.84259456010602207</v>
      </c>
      <c r="F49">
        <v>0.463048473902262</v>
      </c>
      <c r="G49">
        <v>0.64365508084404155</v>
      </c>
      <c r="H49">
        <v>0.52209715594676709</v>
      </c>
      <c r="I49">
        <v>0.60813820479251035</v>
      </c>
      <c r="J49">
        <v>1.261096685861872</v>
      </c>
      <c r="K49">
        <v>1.1570358849313891</v>
      </c>
      <c r="L49">
        <v>0.92621472479879685</v>
      </c>
      <c r="M49">
        <v>0.52836128374761415</v>
      </c>
      <c r="N49">
        <v>0.40492693036054561</v>
      </c>
      <c r="O49">
        <v>0.77317487594140744</v>
      </c>
      <c r="P49">
        <v>0.57645117085377251</v>
      </c>
      <c r="Q49">
        <v>0.66501789439334402</v>
      </c>
      <c r="R49">
        <v>0.7674935590088694</v>
      </c>
      <c r="S49">
        <v>1.07276401894373</v>
      </c>
      <c r="T49">
        <v>1.3097788075278061</v>
      </c>
      <c r="U49">
        <v>1.0316059629070931</v>
      </c>
      <c r="V49">
        <v>0.42542712303153962</v>
      </c>
      <c r="W49">
        <v>1.1694034204824391</v>
      </c>
      <c r="X49">
        <v>1.483996917309071</v>
      </c>
      <c r="Y49">
        <v>1.2745257212127969</v>
      </c>
      <c r="Z49">
        <v>1.315130384219515</v>
      </c>
      <c r="AA49">
        <v>1.804837031650379</v>
      </c>
      <c r="AB49">
        <v>2.2460315778103559</v>
      </c>
      <c r="AC49">
        <v>2.6549845717395608</v>
      </c>
      <c r="AD49">
        <v>2.8917087961747541</v>
      </c>
    </row>
    <row r="50" spans="1:30" x14ac:dyDescent="0.35">
      <c r="A50" s="8" t="s">
        <v>43</v>
      </c>
      <c r="B50">
        <v>-5.6284770410400142E-2</v>
      </c>
      <c r="C50">
        <v>0.71074461522746901</v>
      </c>
      <c r="D50">
        <v>0.65817208376643066</v>
      </c>
      <c r="E50">
        <v>0.43462982939510653</v>
      </c>
      <c r="F50">
        <v>0.20228674071171329</v>
      </c>
      <c r="G50">
        <v>8.9637332761583366E-2</v>
      </c>
      <c r="H50">
        <v>0.33362199073977189</v>
      </c>
      <c r="I50">
        <v>0.83745592384431689</v>
      </c>
      <c r="J50">
        <v>0.64392020865670929</v>
      </c>
      <c r="K50">
        <v>0.50326563407938352</v>
      </c>
      <c r="L50">
        <v>0.32412952459196731</v>
      </c>
      <c r="M50">
        <v>-0.27780138118669129</v>
      </c>
      <c r="N50">
        <v>-0.85637159346094904</v>
      </c>
      <c r="O50">
        <v>-0.94709415392776464</v>
      </c>
      <c r="P50">
        <v>-0.97893458481001971</v>
      </c>
      <c r="Q50">
        <v>-0.78163469240703876</v>
      </c>
      <c r="R50">
        <v>-0.80910075576335316</v>
      </c>
      <c r="S50">
        <v>-1.053909363553259</v>
      </c>
      <c r="T50">
        <v>-1.3335899358322081</v>
      </c>
      <c r="U50">
        <v>-1.0760980363258741</v>
      </c>
      <c r="V50">
        <v>-1.4356481949550071</v>
      </c>
      <c r="W50">
        <v>-0.81887653459418175</v>
      </c>
      <c r="X50">
        <v>-0.25351429616992499</v>
      </c>
      <c r="Y50">
        <v>0.53933399630594181</v>
      </c>
      <c r="Z50">
        <v>0.46418923655889438</v>
      </c>
      <c r="AA50">
        <v>0.62385096632368686</v>
      </c>
      <c r="AB50">
        <v>0.98077666225938742</v>
      </c>
      <c r="AC50">
        <v>1.690460907446266</v>
      </c>
      <c r="AD50">
        <v>0.6938166578498226</v>
      </c>
    </row>
    <row r="51" spans="1:30" x14ac:dyDescent="0.35">
      <c r="A51" s="6" t="s">
        <v>44</v>
      </c>
      <c r="B51">
        <v>5.6284770410400142E-2</v>
      </c>
      <c r="C51">
        <v>-0.71074461522746901</v>
      </c>
      <c r="D51">
        <v>-0.65817208376643066</v>
      </c>
      <c r="E51">
        <v>-0.43462982939510653</v>
      </c>
      <c r="F51">
        <v>-0.20228674071171329</v>
      </c>
      <c r="G51">
        <v>-8.9637332761583366E-2</v>
      </c>
      <c r="H51">
        <v>-0.33362199073977189</v>
      </c>
      <c r="I51">
        <v>-0.83745592384431689</v>
      </c>
      <c r="J51">
        <v>-0.64392020865670929</v>
      </c>
      <c r="K51">
        <v>-0.50326563407938352</v>
      </c>
      <c r="L51">
        <v>-0.32412952459196731</v>
      </c>
      <c r="M51">
        <v>0.27780138118669129</v>
      </c>
      <c r="N51">
        <v>0.85637159346094904</v>
      </c>
      <c r="O51">
        <v>0.94709415392776464</v>
      </c>
      <c r="P51">
        <v>0.97893458481001971</v>
      </c>
      <c r="Q51">
        <v>0.78163469240703876</v>
      </c>
      <c r="R51">
        <v>0.80910075576335316</v>
      </c>
      <c r="S51">
        <v>1.053909363553259</v>
      </c>
      <c r="T51">
        <v>1.3335899358322081</v>
      </c>
      <c r="U51">
        <v>1.0760980363258741</v>
      </c>
      <c r="V51">
        <v>1.4356481949550071</v>
      </c>
      <c r="W51">
        <v>0.81887653459418175</v>
      </c>
      <c r="X51">
        <v>0.25351429616992499</v>
      </c>
      <c r="Y51">
        <v>-0.53933399630594181</v>
      </c>
      <c r="Z51">
        <v>-0.46418923655889438</v>
      </c>
      <c r="AA51">
        <v>-0.62385096632368686</v>
      </c>
      <c r="AB51">
        <v>-0.98077666225938742</v>
      </c>
      <c r="AC51">
        <v>-1.690460907446266</v>
      </c>
      <c r="AD51">
        <v>-0.6938166578498226</v>
      </c>
    </row>
    <row r="52" spans="1:30" x14ac:dyDescent="0.35">
      <c r="A52" s="8" t="s">
        <v>10</v>
      </c>
      <c r="B52">
        <v>130.7858694755073</v>
      </c>
      <c r="C52">
        <v>133.63533038355669</v>
      </c>
      <c r="D52">
        <v>133.50251622935031</v>
      </c>
      <c r="E52">
        <v>131.37706898333451</v>
      </c>
      <c r="F52">
        <v>131.37471350974729</v>
      </c>
      <c r="G52">
        <v>134.21238048980581</v>
      </c>
      <c r="H52">
        <v>135.8517419650338</v>
      </c>
      <c r="I52">
        <v>135.61121263324409</v>
      </c>
      <c r="J52">
        <v>136.5960864671747</v>
      </c>
      <c r="K52">
        <v>136.58438082195681</v>
      </c>
      <c r="L52">
        <v>136.06910579411951</v>
      </c>
      <c r="M52">
        <v>134.10963190090951</v>
      </c>
      <c r="N52">
        <v>134.64927798362069</v>
      </c>
      <c r="O52">
        <v>137.31037406752941</v>
      </c>
      <c r="P52">
        <v>137.92467659234029</v>
      </c>
      <c r="Q52">
        <v>139.30615418286371</v>
      </c>
      <c r="R52">
        <v>140.20710591641131</v>
      </c>
      <c r="S52">
        <v>139.83353809276571</v>
      </c>
      <c r="T52">
        <v>140.17740400736071</v>
      </c>
      <c r="U52">
        <v>139.35005742936369</v>
      </c>
      <c r="V52">
        <v>137.95834535730961</v>
      </c>
      <c r="W52">
        <v>139.93530967437181</v>
      </c>
      <c r="X52">
        <v>141.55693851767441</v>
      </c>
      <c r="Y52">
        <v>139.8870503661152</v>
      </c>
      <c r="Z52">
        <v>139.4527045243286</v>
      </c>
      <c r="AA52">
        <v>141.01666105181849</v>
      </c>
      <c r="AB52">
        <v>141.85181910406951</v>
      </c>
      <c r="AC52">
        <v>143.2104439970685</v>
      </c>
      <c r="AD52">
        <v>144.551287448491</v>
      </c>
    </row>
    <row r="53" spans="1:30" x14ac:dyDescent="0.35">
      <c r="A53" s="4" t="s">
        <v>45</v>
      </c>
      <c r="B53">
        <v>1.9918710344567669</v>
      </c>
      <c r="C53">
        <v>1.9353655478968179</v>
      </c>
      <c r="D53">
        <v>1.9545090509741101</v>
      </c>
      <c r="E53">
        <v>1.949777629207577</v>
      </c>
      <c r="F53">
        <v>1.9060229905155019</v>
      </c>
      <c r="G53">
        <v>1.9310125915809031</v>
      </c>
      <c r="H53">
        <v>1.739242611246326</v>
      </c>
      <c r="I53">
        <v>1.806005126211532</v>
      </c>
      <c r="J53">
        <v>1.674004711525948</v>
      </c>
      <c r="K53">
        <v>1.496886565892716</v>
      </c>
      <c r="L53">
        <v>1.5565576146721949</v>
      </c>
      <c r="M53">
        <v>1.607349183309646</v>
      </c>
      <c r="N53">
        <v>1.584129388699282</v>
      </c>
      <c r="O53">
        <v>1.5858399363383939</v>
      </c>
      <c r="P53">
        <v>1.6114189843486659</v>
      </c>
      <c r="Q53">
        <v>1.612085419254893</v>
      </c>
      <c r="R53">
        <v>1.6489593680267201</v>
      </c>
      <c r="S53">
        <v>1.5464158639694761</v>
      </c>
      <c r="T53">
        <v>1.4861356726528281</v>
      </c>
      <c r="U53">
        <v>1.479332463513912</v>
      </c>
      <c r="V53">
        <v>1.527590905504721</v>
      </c>
      <c r="W53">
        <v>1.4969829224061599</v>
      </c>
      <c r="X53">
        <v>1.4801087963126589</v>
      </c>
      <c r="Y53">
        <v>1.483994810129128</v>
      </c>
      <c r="Z53">
        <v>1.4927752069928459</v>
      </c>
      <c r="AA53">
        <v>1.4463173027362379</v>
      </c>
      <c r="AB53">
        <v>1.4481747786457519</v>
      </c>
      <c r="AC53">
        <v>1.4373247739512349</v>
      </c>
      <c r="AD53">
        <v>1.490481500702622</v>
      </c>
    </row>
    <row r="55" spans="1:30" x14ac:dyDescent="0.35">
      <c r="A55" s="1" t="s">
        <v>16</v>
      </c>
      <c r="B55" s="2">
        <v>2016</v>
      </c>
      <c r="C55" s="2">
        <v>2017</v>
      </c>
      <c r="D55" s="2">
        <v>2018</v>
      </c>
      <c r="E55" s="2">
        <v>2019</v>
      </c>
      <c r="F55" s="2" t="s">
        <v>17</v>
      </c>
      <c r="G55" s="2" t="s">
        <v>18</v>
      </c>
      <c r="H55" s="2" t="s">
        <v>19</v>
      </c>
      <c r="I55" s="2" t="s">
        <v>20</v>
      </c>
      <c r="J55" s="2" t="s">
        <v>21</v>
      </c>
      <c r="K55" s="2" t="s">
        <v>22</v>
      </c>
      <c r="L55" s="2" t="s">
        <v>23</v>
      </c>
      <c r="M55" s="2" t="s">
        <v>24</v>
      </c>
      <c r="N55" s="2" t="s">
        <v>25</v>
      </c>
      <c r="O55" s="2" t="s">
        <v>26</v>
      </c>
      <c r="P55" s="2" t="s">
        <v>27</v>
      </c>
      <c r="Q55" s="2" t="s">
        <v>28</v>
      </c>
      <c r="R55" s="2" t="s">
        <v>29</v>
      </c>
      <c r="S55" s="2" t="s">
        <v>30</v>
      </c>
      <c r="T55" s="2" t="s">
        <v>31</v>
      </c>
      <c r="U55" s="2" t="s">
        <v>32</v>
      </c>
      <c r="V55" s="2" t="s">
        <v>33</v>
      </c>
      <c r="W55" s="2" t="s">
        <v>34</v>
      </c>
      <c r="X55" s="2" t="s">
        <v>35</v>
      </c>
      <c r="Y55" s="2" t="s">
        <v>36</v>
      </c>
      <c r="Z55" s="3" t="s">
        <v>37</v>
      </c>
      <c r="AA55" s="3" t="s">
        <v>38</v>
      </c>
      <c r="AB55" s="3" t="s">
        <v>39</v>
      </c>
      <c r="AC55" s="3" t="s">
        <v>40</v>
      </c>
    </row>
    <row r="56" spans="1:30" x14ac:dyDescent="0.35">
      <c r="A56" s="4" t="s">
        <v>41</v>
      </c>
      <c r="B56">
        <v>136.55967984794</v>
      </c>
      <c r="C56">
        <v>139.10083206241461</v>
      </c>
      <c r="D56">
        <v>137.77797859461779</v>
      </c>
      <c r="E56">
        <v>136.8745475626348</v>
      </c>
      <c r="F56">
        <v>135.86332249445411</v>
      </c>
      <c r="G56">
        <v>138.37204193247351</v>
      </c>
      <c r="H56">
        <v>138.78949632186041</v>
      </c>
      <c r="I56">
        <v>136.95890436813559</v>
      </c>
      <c r="J56">
        <v>135.464326976926</v>
      </c>
      <c r="K56">
        <v>135.7380087477724</v>
      </c>
      <c r="L56">
        <v>134.5037235232796</v>
      </c>
      <c r="M56">
        <v>133.19297164592049</v>
      </c>
      <c r="N56">
        <v>133.26474125481579</v>
      </c>
      <c r="O56">
        <v>134.70114979213409</v>
      </c>
      <c r="P56">
        <v>136.05826795641721</v>
      </c>
      <c r="Q56">
        <v>138.33369756523109</v>
      </c>
      <c r="R56">
        <v>140.09671657848929</v>
      </c>
      <c r="S56">
        <v>140.6586391183844</v>
      </c>
      <c r="T56">
        <v>140.50459471793889</v>
      </c>
      <c r="U56">
        <v>140.56078051519651</v>
      </c>
      <c r="V56">
        <v>139.56825037479661</v>
      </c>
      <c r="W56">
        <v>140.43211833884561</v>
      </c>
      <c r="X56">
        <v>139.88511483115639</v>
      </c>
      <c r="Y56">
        <v>139.76781802522791</v>
      </c>
      <c r="Z56">
        <v>139.70876763492191</v>
      </c>
      <c r="AA56">
        <v>139.8667228088469</v>
      </c>
      <c r="AB56">
        <v>139.91790875779989</v>
      </c>
      <c r="AC56">
        <v>140.94205426095121</v>
      </c>
      <c r="AD56">
        <v>142.0284103251355</v>
      </c>
    </row>
    <row r="57" spans="1:30" x14ac:dyDescent="0.35">
      <c r="A57" s="5" t="s">
        <v>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s="6" t="s">
        <v>42</v>
      </c>
      <c r="B58">
        <v>3.5320244991528682</v>
      </c>
      <c r="C58">
        <v>3.8005326647321742</v>
      </c>
      <c r="D58">
        <v>3.3715598744226161</v>
      </c>
      <c r="E58">
        <v>3.2957019315192331</v>
      </c>
      <c r="F58">
        <v>3.1855793752729942</v>
      </c>
      <c r="G58">
        <v>3.6084789501834962</v>
      </c>
      <c r="H58">
        <v>3.462573920401582</v>
      </c>
      <c r="I58">
        <v>2.7842586361165331</v>
      </c>
      <c r="J58">
        <v>2.3455915014334319</v>
      </c>
      <c r="K58">
        <v>2.1523610045976511</v>
      </c>
      <c r="L58">
        <v>1.736087294448083</v>
      </c>
      <c r="M58">
        <v>1.1657481283057509</v>
      </c>
      <c r="N58">
        <v>0.95117970069210855</v>
      </c>
      <c r="O58">
        <v>0.29800482536774098</v>
      </c>
      <c r="P58">
        <v>-0.1612440095163663</v>
      </c>
      <c r="Q58">
        <v>0.7664811025425422</v>
      </c>
      <c r="R58">
        <v>0.75855075187274679</v>
      </c>
      <c r="S58">
        <v>1.162112032812445</v>
      </c>
      <c r="T58">
        <v>1.3570653200331999</v>
      </c>
      <c r="U58">
        <v>1.537365924505337</v>
      </c>
      <c r="V58">
        <v>0.82586144572721309</v>
      </c>
      <c r="W58">
        <v>1.6373940255210471</v>
      </c>
      <c r="X58">
        <v>1.493147318017066</v>
      </c>
      <c r="Y58">
        <v>7.418484635232403E-2</v>
      </c>
      <c r="Z58">
        <v>-1.360803771450009</v>
      </c>
      <c r="AA58">
        <v>0.33959514828251258</v>
      </c>
      <c r="AB58">
        <v>0.34432056148114037</v>
      </c>
      <c r="AC58">
        <v>0.76377712878343118</v>
      </c>
      <c r="AD58">
        <v>0.33029013198549251</v>
      </c>
    </row>
    <row r="59" spans="1:30" x14ac:dyDescent="0.35">
      <c r="A59" s="8" t="s">
        <v>43</v>
      </c>
      <c r="B59">
        <v>1.6442122762051381</v>
      </c>
      <c r="C59">
        <v>0.50715815026720179</v>
      </c>
      <c r="D59">
        <v>0.50652882017328693</v>
      </c>
      <c r="E59">
        <v>0.42642890752844659</v>
      </c>
      <c r="F59">
        <v>-0.15013566006388149</v>
      </c>
      <c r="G59">
        <v>0.238050465902262</v>
      </c>
      <c r="H59">
        <v>-0.11991492272628081</v>
      </c>
      <c r="I59">
        <v>0.18730837128785541</v>
      </c>
      <c r="J59">
        <v>0.29673955935783169</v>
      </c>
      <c r="K59">
        <v>0.60000085678908022</v>
      </c>
      <c r="L59">
        <v>1.3879632322387749</v>
      </c>
      <c r="M59">
        <v>0.49755417056084639</v>
      </c>
      <c r="N59">
        <v>0.39633896185779349</v>
      </c>
      <c r="O59">
        <v>-0.2396534941851485</v>
      </c>
      <c r="P59">
        <v>-0.77712472748115147</v>
      </c>
      <c r="Q59">
        <v>-0.87656668903207446</v>
      </c>
      <c r="R59">
        <v>-1.297463811032401</v>
      </c>
      <c r="S59">
        <v>-1.1619834715955899</v>
      </c>
      <c r="T59">
        <v>-1.1019312247603921</v>
      </c>
      <c r="U59">
        <v>-0.21795040147588909</v>
      </c>
      <c r="V59">
        <v>-0.51690941399240842</v>
      </c>
      <c r="W59">
        <v>-0.28078162745228502</v>
      </c>
      <c r="X59">
        <v>-0.90286502443677819</v>
      </c>
      <c r="Y59">
        <v>-1.0472787038985421</v>
      </c>
      <c r="Z59">
        <v>-1.3302220146753141</v>
      </c>
      <c r="AA59">
        <v>-0.72319806822133614</v>
      </c>
      <c r="AB59">
        <v>-0.19962605756009569</v>
      </c>
      <c r="AC59">
        <v>0.29351972335396681</v>
      </c>
      <c r="AD59">
        <v>-5.7825161928803943E-2</v>
      </c>
    </row>
    <row r="60" spans="1:30" x14ac:dyDescent="0.35">
      <c r="A60" s="6" t="s">
        <v>44</v>
      </c>
      <c r="B60">
        <v>-1.6442122762051381</v>
      </c>
      <c r="C60">
        <v>-0.50715815026720179</v>
      </c>
      <c r="D60">
        <v>-0.50652882017328693</v>
      </c>
      <c r="E60">
        <v>-0.42642890752844659</v>
      </c>
      <c r="F60">
        <v>0.15013566006388149</v>
      </c>
      <c r="G60">
        <v>-0.238050465902262</v>
      </c>
      <c r="H60">
        <v>0.11991492272628081</v>
      </c>
      <c r="I60">
        <v>-0.18730837128785541</v>
      </c>
      <c r="J60">
        <v>-0.29673955935783169</v>
      </c>
      <c r="K60">
        <v>-0.60000085678908022</v>
      </c>
      <c r="L60">
        <v>-1.3879632322387749</v>
      </c>
      <c r="M60">
        <v>-0.49755417056084639</v>
      </c>
      <c r="N60">
        <v>-0.39633896185779349</v>
      </c>
      <c r="O60">
        <v>0.2396534941851485</v>
      </c>
      <c r="P60">
        <v>0.77712472748115147</v>
      </c>
      <c r="Q60">
        <v>0.87656668903207446</v>
      </c>
      <c r="R60">
        <v>1.297463811032401</v>
      </c>
      <c r="S60">
        <v>1.1619834715955899</v>
      </c>
      <c r="T60">
        <v>1.1019312247603921</v>
      </c>
      <c r="U60">
        <v>0.21795040147588909</v>
      </c>
      <c r="V60">
        <v>0.51690941399240842</v>
      </c>
      <c r="W60">
        <v>0.28078162745228502</v>
      </c>
      <c r="X60">
        <v>0.90286502443677819</v>
      </c>
      <c r="Y60">
        <v>1.0472787038985421</v>
      </c>
      <c r="Z60">
        <v>1.3302220146753141</v>
      </c>
      <c r="AA60">
        <v>0.72319806822133614</v>
      </c>
      <c r="AB60">
        <v>0.19962605756009569</v>
      </c>
      <c r="AC60">
        <v>-0.29351972335396681</v>
      </c>
      <c r="AD60">
        <v>5.7825161928803943E-2</v>
      </c>
    </row>
    <row r="61" spans="1:30" x14ac:dyDescent="0.35">
      <c r="A61" s="8" t="s">
        <v>10</v>
      </c>
      <c r="B61">
        <v>140.0917043470929</v>
      </c>
      <c r="C61">
        <v>142.90136472714681</v>
      </c>
      <c r="D61">
        <v>141.14953846904041</v>
      </c>
      <c r="E61">
        <v>140.17024949415401</v>
      </c>
      <c r="F61">
        <v>139.0489018697271</v>
      </c>
      <c r="G61">
        <v>141.980520882657</v>
      </c>
      <c r="H61">
        <v>142.25207024226199</v>
      </c>
      <c r="I61">
        <v>139.7431630042521</v>
      </c>
      <c r="J61">
        <v>137.80991847835941</v>
      </c>
      <c r="K61">
        <v>137.89036975236999</v>
      </c>
      <c r="L61">
        <v>136.23981081772769</v>
      </c>
      <c r="M61">
        <v>134.3587197742263</v>
      </c>
      <c r="N61">
        <v>134.2159209555079</v>
      </c>
      <c r="O61">
        <v>134.99915461750189</v>
      </c>
      <c r="P61">
        <v>135.8970239469009</v>
      </c>
      <c r="Q61">
        <v>139.10017866777369</v>
      </c>
      <c r="R61">
        <v>140.85526733036201</v>
      </c>
      <c r="S61">
        <v>141.8207511511969</v>
      </c>
      <c r="T61">
        <v>141.86166003797209</v>
      </c>
      <c r="U61">
        <v>142.09814643970191</v>
      </c>
      <c r="V61">
        <v>140.39411182052379</v>
      </c>
      <c r="W61">
        <v>142.06951236436669</v>
      </c>
      <c r="X61">
        <v>141.37826214917351</v>
      </c>
      <c r="Y61">
        <v>139.84200287158021</v>
      </c>
      <c r="Z61">
        <v>138.3479638634719</v>
      </c>
      <c r="AA61">
        <v>140.20631795712939</v>
      </c>
      <c r="AB61">
        <v>140.26222931928109</v>
      </c>
      <c r="AC61">
        <v>141.7058313897347</v>
      </c>
      <c r="AD61">
        <v>142.35870045712099</v>
      </c>
    </row>
    <row r="62" spans="1:30" x14ac:dyDescent="0.35">
      <c r="A62" s="4" t="s">
        <v>45</v>
      </c>
      <c r="B62">
        <v>1.676498611836778</v>
      </c>
      <c r="C62">
        <v>1.5853505749268439</v>
      </c>
      <c r="D62">
        <v>1.5921592708846539</v>
      </c>
      <c r="E62">
        <v>1.617409728187458</v>
      </c>
      <c r="F62">
        <v>1.708859606115954</v>
      </c>
      <c r="G62">
        <v>1.738775865863601</v>
      </c>
      <c r="H62">
        <v>1.587456879805542</v>
      </c>
      <c r="I62">
        <v>1.724938667823632</v>
      </c>
      <c r="J62">
        <v>1.5790113661178511</v>
      </c>
      <c r="K62">
        <v>1.4332580120420819</v>
      </c>
      <c r="L62">
        <v>1.48381394836909</v>
      </c>
      <c r="M62">
        <v>1.493847709316686</v>
      </c>
      <c r="N62">
        <v>1.628260673169418</v>
      </c>
      <c r="O62">
        <v>1.554045943950958</v>
      </c>
      <c r="P62">
        <v>1.6282643809042341</v>
      </c>
      <c r="Q62">
        <v>1.7468276327810279</v>
      </c>
      <c r="R62">
        <v>1.771781833155321</v>
      </c>
      <c r="S62">
        <v>1.6794053404899261</v>
      </c>
      <c r="T62">
        <v>1.854123466735923</v>
      </c>
      <c r="U62">
        <v>1.956472319346821</v>
      </c>
      <c r="V62">
        <v>1.8857882062876199</v>
      </c>
      <c r="W62">
        <v>1.650323204908152</v>
      </c>
      <c r="X62">
        <v>1.690912739645392</v>
      </c>
      <c r="Y62">
        <v>1.686938804639742</v>
      </c>
      <c r="Z62">
        <v>1.6353696617009441</v>
      </c>
      <c r="AA62">
        <v>1.6102641332682639</v>
      </c>
      <c r="AB62">
        <v>1.6219558472214941</v>
      </c>
      <c r="AC62">
        <v>1.6048691735881959</v>
      </c>
      <c r="AD62">
        <v>1.5636893171753661</v>
      </c>
    </row>
    <row r="64" spans="1:30" x14ac:dyDescent="0.35">
      <c r="A64" s="1" t="s">
        <v>47</v>
      </c>
      <c r="B64" s="2">
        <v>2016</v>
      </c>
      <c r="C64" s="2">
        <v>2017</v>
      </c>
      <c r="D64" s="2">
        <v>2018</v>
      </c>
      <c r="E64" s="2">
        <v>2019</v>
      </c>
      <c r="F64" s="2" t="s">
        <v>17</v>
      </c>
      <c r="G64" s="2" t="s">
        <v>18</v>
      </c>
      <c r="H64" s="2" t="s">
        <v>19</v>
      </c>
      <c r="I64" s="2" t="s">
        <v>20</v>
      </c>
      <c r="J64" s="2" t="s">
        <v>21</v>
      </c>
      <c r="K64" s="2" t="s">
        <v>22</v>
      </c>
      <c r="L64" s="2" t="s">
        <v>23</v>
      </c>
      <c r="M64" s="2" t="s">
        <v>24</v>
      </c>
      <c r="N64" s="2" t="s">
        <v>25</v>
      </c>
      <c r="O64" s="2" t="s">
        <v>26</v>
      </c>
      <c r="P64" s="2" t="s">
        <v>27</v>
      </c>
      <c r="Q64" s="2" t="s">
        <v>28</v>
      </c>
      <c r="R64" s="2" t="s">
        <v>29</v>
      </c>
      <c r="S64" s="2" t="s">
        <v>30</v>
      </c>
      <c r="T64" s="2" t="s">
        <v>31</v>
      </c>
      <c r="U64" s="2" t="s">
        <v>32</v>
      </c>
      <c r="V64" s="2" t="s">
        <v>33</v>
      </c>
      <c r="W64" s="2" t="s">
        <v>34</v>
      </c>
      <c r="X64" s="2" t="s">
        <v>35</v>
      </c>
      <c r="Y64" s="2" t="s">
        <v>36</v>
      </c>
      <c r="Z64" s="3" t="s">
        <v>37</v>
      </c>
      <c r="AA64" s="3" t="s">
        <v>38</v>
      </c>
      <c r="AB64" s="3" t="s">
        <v>39</v>
      </c>
      <c r="AC64" s="3" t="s">
        <v>40</v>
      </c>
    </row>
    <row r="65" spans="1:30" x14ac:dyDescent="0.35">
      <c r="A65" s="4" t="s">
        <v>41</v>
      </c>
      <c r="B65">
        <v>134.01309658622409</v>
      </c>
      <c r="C65">
        <v>137.09031276894561</v>
      </c>
      <c r="D65">
        <v>136.17853674495399</v>
      </c>
      <c r="E65">
        <v>135.2261894710328</v>
      </c>
      <c r="F65">
        <v>134.2283638661647</v>
      </c>
      <c r="G65">
        <v>136.5159841482099</v>
      </c>
      <c r="H65">
        <v>137.702766480094</v>
      </c>
      <c r="I65">
        <v>136.3202207907392</v>
      </c>
      <c r="J65">
        <v>135.22490560554391</v>
      </c>
      <c r="K65">
        <v>134.9886888609598</v>
      </c>
      <c r="L65">
        <v>134.18994004813629</v>
      </c>
      <c r="M65">
        <v>132.81075298367691</v>
      </c>
      <c r="N65">
        <v>133.03763035149481</v>
      </c>
      <c r="O65">
        <v>134.8219541411176</v>
      </c>
      <c r="P65">
        <v>135.90569142555219</v>
      </c>
      <c r="Q65">
        <v>137.1422610159288</v>
      </c>
      <c r="R65">
        <v>138.5553085984987</v>
      </c>
      <c r="S65">
        <v>138.9905181827319</v>
      </c>
      <c r="T65">
        <v>139.0741242161609</v>
      </c>
      <c r="U65">
        <v>138.94609919008701</v>
      </c>
      <c r="V65">
        <v>138.3496798172151</v>
      </c>
      <c r="W65">
        <v>139.22435957276821</v>
      </c>
      <c r="X65">
        <v>139.53563273517111</v>
      </c>
      <c r="Y65">
        <v>138.6091958511158</v>
      </c>
      <c r="Z65">
        <v>138.29935729461579</v>
      </c>
      <c r="AA65">
        <v>139.1018874982006</v>
      </c>
      <c r="AB65">
        <v>139.4159554086358</v>
      </c>
      <c r="AC65">
        <v>140.31999546557549</v>
      </c>
      <c r="AD65">
        <v>141.68894436218801</v>
      </c>
    </row>
    <row r="66" spans="1:30" x14ac:dyDescent="0.35">
      <c r="A66" s="5" t="s">
        <v>6</v>
      </c>
      <c r="B66">
        <v>-2.3467868023047909</v>
      </c>
      <c r="C66">
        <v>-0.82044379958395552</v>
      </c>
      <c r="D66">
        <v>-0.36542787268129467</v>
      </c>
      <c r="E66">
        <v>-0.5453756003459489</v>
      </c>
      <c r="F66">
        <v>-0.49486246784968563</v>
      </c>
      <c r="G66">
        <v>-0.44452896228446548</v>
      </c>
      <c r="H66">
        <v>-0.24258415853296361</v>
      </c>
      <c r="I66">
        <v>-0.11476055618055631</v>
      </c>
      <c r="J66">
        <v>-3.3463368372252937E-2</v>
      </c>
      <c r="K66">
        <v>-2.8537078086287689E-2</v>
      </c>
      <c r="L66">
        <v>-2.1260757713889689E-2</v>
      </c>
      <c r="M66">
        <v>-1.9351520888676529E-2</v>
      </c>
      <c r="N66">
        <v>-8.0893364216734653E-2</v>
      </c>
      <c r="O66">
        <v>3.2336752735773189E-4</v>
      </c>
      <c r="P66">
        <v>4.7312266949006698E-4</v>
      </c>
      <c r="Q66">
        <v>2.3879060035483231E-3</v>
      </c>
      <c r="R66">
        <v>0.12896061918988269</v>
      </c>
      <c r="S66">
        <v>0.20174624557947141</v>
      </c>
      <c r="T66">
        <v>-0.62722009446355287</v>
      </c>
      <c r="U66">
        <v>-0.50011592683358685</v>
      </c>
      <c r="V66">
        <v>1.7177541728869981E-3</v>
      </c>
      <c r="W66">
        <v>1.3735203989142519E-3</v>
      </c>
      <c r="X66">
        <v>-2.1368596741808692E-3</v>
      </c>
      <c r="Y66">
        <v>-3.6869091064488661E-3</v>
      </c>
      <c r="Z66">
        <v>-1.6086108618083019E-3</v>
      </c>
      <c r="AA66">
        <v>-1.16393306805378E-2</v>
      </c>
      <c r="AB66">
        <v>-9.042339503025687E-3</v>
      </c>
      <c r="AC66">
        <v>-1.097337632347717E-2</v>
      </c>
      <c r="AD66">
        <v>-3.9367343185858772E-3</v>
      </c>
    </row>
    <row r="67" spans="1:30" x14ac:dyDescent="0.35">
      <c r="A67" s="6" t="s">
        <v>42</v>
      </c>
      <c r="B67">
        <v>1.188534235390875</v>
      </c>
      <c r="C67">
        <v>2.5420327033623948</v>
      </c>
      <c r="D67">
        <v>2.4622788159866791</v>
      </c>
      <c r="E67">
        <v>2.446894239542047</v>
      </c>
      <c r="F67">
        <v>1.943457917540258</v>
      </c>
      <c r="G67">
        <v>2.2096373664755329</v>
      </c>
      <c r="H67">
        <v>2.2272515639069468</v>
      </c>
      <c r="I67">
        <v>1.699997633737468</v>
      </c>
      <c r="J67">
        <v>1.665107954866329</v>
      </c>
      <c r="K67">
        <v>1.3574737935670951</v>
      </c>
      <c r="L67">
        <v>1.100180018748006</v>
      </c>
      <c r="M67">
        <v>0.72070395475270743</v>
      </c>
      <c r="N67">
        <v>0.58151846169553778</v>
      </c>
      <c r="O67">
        <v>0.32532332851562268</v>
      </c>
      <c r="P67">
        <v>-0.1206488397897658</v>
      </c>
      <c r="Q67">
        <v>0.36136102558080552</v>
      </c>
      <c r="R67">
        <v>0.3105469213914489</v>
      </c>
      <c r="S67">
        <v>0.79769157840624416</v>
      </c>
      <c r="T67">
        <v>0.87858572711829197</v>
      </c>
      <c r="U67">
        <v>1.0822761287028579</v>
      </c>
      <c r="V67">
        <v>0.47510426419387392</v>
      </c>
      <c r="W67">
        <v>1.1692188259512759</v>
      </c>
      <c r="X67">
        <v>1.22680016494914</v>
      </c>
      <c r="Y67">
        <v>0.48919612378719529</v>
      </c>
      <c r="Z67">
        <v>-0.25017989112333788</v>
      </c>
      <c r="AA67">
        <v>0.95492157669954736</v>
      </c>
      <c r="AB67">
        <v>1.0995187040329599</v>
      </c>
      <c r="AC67">
        <v>1.533509419748583</v>
      </c>
      <c r="AD67">
        <v>1.3264163761090231</v>
      </c>
    </row>
    <row r="68" spans="1:30" x14ac:dyDescent="0.35">
      <c r="A68" s="8" t="s">
        <v>43</v>
      </c>
      <c r="B68">
        <v>0.32236836191790991</v>
      </c>
      <c r="C68">
        <v>0.59724688606706877</v>
      </c>
      <c r="D68">
        <v>0.56383135307112298</v>
      </c>
      <c r="E68">
        <v>0.42226586008538902</v>
      </c>
      <c r="F68">
        <v>-0.1233486413763956</v>
      </c>
      <c r="G68">
        <v>5.4145689268466413E-2</v>
      </c>
      <c r="H68">
        <v>-8.2967014797361571E-3</v>
      </c>
      <c r="I68">
        <v>0.26683725846052653</v>
      </c>
      <c r="J68">
        <v>0.26014851887842377</v>
      </c>
      <c r="K68">
        <v>0.48598154786748182</v>
      </c>
      <c r="L68">
        <v>0.78756858502990212</v>
      </c>
      <c r="M68">
        <v>0.13064054784015869</v>
      </c>
      <c r="N68">
        <v>-0.32201576783421609</v>
      </c>
      <c r="O68">
        <v>-0.59242665145345086</v>
      </c>
      <c r="P68">
        <v>-1.019383162891216</v>
      </c>
      <c r="Q68">
        <v>-1.162596487911145</v>
      </c>
      <c r="R68">
        <v>-1.4073510457942009</v>
      </c>
      <c r="S68">
        <v>-1.3111896048411891</v>
      </c>
      <c r="T68">
        <v>-1.334417064077684</v>
      </c>
      <c r="U68">
        <v>-0.7828296590908792</v>
      </c>
      <c r="V68">
        <v>-1.0383674699773739</v>
      </c>
      <c r="W68">
        <v>-0.67036427531823506</v>
      </c>
      <c r="X68">
        <v>-0.6089427336795552</v>
      </c>
      <c r="Y68">
        <v>5.7435046185361223E-2</v>
      </c>
      <c r="Z68">
        <v>8.3201108361180331E-2</v>
      </c>
      <c r="AA68">
        <v>0.26104024350684091</v>
      </c>
      <c r="AB68">
        <v>0.62664746507485347</v>
      </c>
      <c r="AC68">
        <v>1.251227641282014</v>
      </c>
      <c r="AD68">
        <v>0.46324645148129662</v>
      </c>
    </row>
    <row r="69" spans="1:30" x14ac:dyDescent="0.35">
      <c r="A69" s="6" t="s">
        <v>44</v>
      </c>
      <c r="B69">
        <v>-0.32236836191790991</v>
      </c>
      <c r="C69">
        <v>-0.59724688606706877</v>
      </c>
      <c r="D69">
        <v>-0.56383135307112298</v>
      </c>
      <c r="E69">
        <v>-0.42226586008538902</v>
      </c>
      <c r="F69">
        <v>0.1233486413763956</v>
      </c>
      <c r="G69">
        <v>-5.4145689268466413E-2</v>
      </c>
      <c r="H69">
        <v>8.2967014797361571E-3</v>
      </c>
      <c r="I69">
        <v>-0.26683725846052653</v>
      </c>
      <c r="J69">
        <v>-0.26014851887842377</v>
      </c>
      <c r="K69">
        <v>-0.48598154786748182</v>
      </c>
      <c r="L69">
        <v>-0.78756858502990212</v>
      </c>
      <c r="M69">
        <v>-0.13064054784015869</v>
      </c>
      <c r="N69">
        <v>0.32201576783421609</v>
      </c>
      <c r="O69">
        <v>0.59242665145345086</v>
      </c>
      <c r="P69">
        <v>1.019383162891216</v>
      </c>
      <c r="Q69">
        <v>1.162596487911145</v>
      </c>
      <c r="R69">
        <v>1.4073510457942009</v>
      </c>
      <c r="S69">
        <v>1.3111896048411891</v>
      </c>
      <c r="T69">
        <v>1.334417064077684</v>
      </c>
      <c r="U69">
        <v>0.7828296590908792</v>
      </c>
      <c r="V69">
        <v>1.0383674699773739</v>
      </c>
      <c r="W69">
        <v>0.67036427531823506</v>
      </c>
      <c r="X69">
        <v>0.6089427336795552</v>
      </c>
      <c r="Y69">
        <v>-5.7435046185361223E-2</v>
      </c>
      <c r="Z69">
        <v>-8.3201108361180331E-2</v>
      </c>
      <c r="AA69">
        <v>-0.26104024350684091</v>
      </c>
      <c r="AB69">
        <v>-0.62664746507485347</v>
      </c>
      <c r="AC69">
        <v>-1.251227641282014</v>
      </c>
      <c r="AD69">
        <v>-0.46324645148129662</v>
      </c>
    </row>
    <row r="70" spans="1:30" x14ac:dyDescent="0.35">
      <c r="A70" s="8" t="s">
        <v>10</v>
      </c>
      <c r="B70">
        <v>132.85484401931021</v>
      </c>
      <c r="C70">
        <v>138.8119016727241</v>
      </c>
      <c r="D70">
        <v>138.27538768825929</v>
      </c>
      <c r="E70">
        <v>137.12770811022889</v>
      </c>
      <c r="F70">
        <v>135.6769593158553</v>
      </c>
      <c r="G70">
        <v>138.28109255240099</v>
      </c>
      <c r="H70">
        <v>139.68743388546801</v>
      </c>
      <c r="I70">
        <v>137.90545786829611</v>
      </c>
      <c r="J70">
        <v>136.85655019203799</v>
      </c>
      <c r="K70">
        <v>136.31762557644061</v>
      </c>
      <c r="L70">
        <v>135.26885930917041</v>
      </c>
      <c r="M70">
        <v>133.51210541754091</v>
      </c>
      <c r="N70">
        <v>133.53825544897359</v>
      </c>
      <c r="O70">
        <v>135.14760083716061</v>
      </c>
      <c r="P70">
        <v>135.785515708432</v>
      </c>
      <c r="Q70">
        <v>137.50600994751321</v>
      </c>
      <c r="R70">
        <v>138.99481613908009</v>
      </c>
      <c r="S70">
        <v>139.98995600671759</v>
      </c>
      <c r="T70">
        <v>139.32548984881561</v>
      </c>
      <c r="U70">
        <v>139.52825939195631</v>
      </c>
      <c r="V70">
        <v>138.82650183558189</v>
      </c>
      <c r="W70">
        <v>140.39495191911831</v>
      </c>
      <c r="X70">
        <v>140.76029604044609</v>
      </c>
      <c r="Y70">
        <v>139.0947050657966</v>
      </c>
      <c r="Z70">
        <v>138.0475687926307</v>
      </c>
      <c r="AA70">
        <v>140.04516974421961</v>
      </c>
      <c r="AB70">
        <v>140.5064317731657</v>
      </c>
      <c r="AC70">
        <v>141.84253150900059</v>
      </c>
      <c r="AD70">
        <v>143.01142400397839</v>
      </c>
    </row>
    <row r="71" spans="1:30" x14ac:dyDescent="0.35">
      <c r="A71" s="4" t="s">
        <v>45</v>
      </c>
      <c r="B71">
        <v>1.921754003236867</v>
      </c>
      <c r="C71">
        <v>1.739825860402733</v>
      </c>
      <c r="D71">
        <v>1.728349263631707</v>
      </c>
      <c r="E71">
        <v>1.729720533568337</v>
      </c>
      <c r="F71">
        <v>1.7572835028701399</v>
      </c>
      <c r="G71">
        <v>1.7717330414860271</v>
      </c>
      <c r="H71">
        <v>1.6016909231844301</v>
      </c>
      <c r="I71">
        <v>1.702447507601895</v>
      </c>
      <c r="J71">
        <v>1.5711140897567579</v>
      </c>
      <c r="K71">
        <v>1.4229403156769569</v>
      </c>
      <c r="L71">
        <v>1.483126038447111</v>
      </c>
      <c r="M71">
        <v>1.5125787505069801</v>
      </c>
      <c r="N71">
        <v>1.573992360479602</v>
      </c>
      <c r="O71">
        <v>1.5382653662787971</v>
      </c>
      <c r="P71">
        <v>1.583980386457748</v>
      </c>
      <c r="Q71">
        <v>1.6468424387796949</v>
      </c>
      <c r="R71">
        <v>1.684359473246529</v>
      </c>
      <c r="S71">
        <v>1.6015595197767321</v>
      </c>
      <c r="T71">
        <v>1.5969418431912721</v>
      </c>
      <c r="U71">
        <v>1.6064708846582849</v>
      </c>
      <c r="V71">
        <v>1.675830101150422</v>
      </c>
      <c r="W71">
        <v>1.536920079560314</v>
      </c>
      <c r="X71">
        <v>1.5617411533692369</v>
      </c>
      <c r="Y71">
        <v>1.5573626955148081</v>
      </c>
      <c r="Z71">
        <v>1.532306467688419</v>
      </c>
      <c r="AA71">
        <v>1.4953380159721441</v>
      </c>
      <c r="AB71">
        <v>1.5096070087957509</v>
      </c>
      <c r="AC71">
        <v>1.5029754991311139</v>
      </c>
      <c r="AD71">
        <v>1.515716259089263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7"/>
  <sheetViews>
    <sheetView zoomScale="265" zoomScaleNormal="265" workbookViewId="0">
      <selection activeCell="D12" sqref="D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136.83702494495719</v>
      </c>
      <c r="C2">
        <v>138.03381902691669</v>
      </c>
      <c r="D2">
        <v>138.55808093396249</v>
      </c>
      <c r="E2">
        <v>139.3761012547063</v>
      </c>
      <c r="F2">
        <v>140.3233189994782</v>
      </c>
    </row>
    <row r="3" spans="1:6" x14ac:dyDescent="0.35">
      <c r="A3" t="s">
        <v>7</v>
      </c>
      <c r="B3">
        <v>1.4592694189433639</v>
      </c>
      <c r="C3">
        <v>2.4660669161444559</v>
      </c>
      <c r="D3">
        <v>2.9266816981485699</v>
      </c>
      <c r="E3">
        <v>2.919601597291575</v>
      </c>
      <c r="F3">
        <v>3.1264617490047328</v>
      </c>
    </row>
    <row r="4" spans="1:6" x14ac:dyDescent="0.35">
      <c r="A4" t="s">
        <v>8</v>
      </c>
      <c r="B4">
        <v>-0.27746483971030972</v>
      </c>
      <c r="C4">
        <v>3.752185119299412</v>
      </c>
      <c r="D4">
        <v>5.0310015241344628</v>
      </c>
      <c r="E4">
        <v>5.1855907289387124</v>
      </c>
      <c r="F4">
        <v>4.6061055127743602</v>
      </c>
    </row>
    <row r="5" spans="1:6" x14ac:dyDescent="0.35">
      <c r="A5" t="s">
        <v>9</v>
      </c>
      <c r="B5">
        <v>3.5186117326463711</v>
      </c>
      <c r="C5">
        <v>4.0170702648894716</v>
      </c>
      <c r="D5">
        <v>3.97045756611345</v>
      </c>
      <c r="E5">
        <v>4.2482569505073853</v>
      </c>
      <c r="F5">
        <v>4.25402978570202</v>
      </c>
    </row>
    <row r="6" spans="1:6" x14ac:dyDescent="0.35">
      <c r="A6" t="s">
        <v>10</v>
      </c>
      <c r="B6">
        <v>141.5374412568367</v>
      </c>
      <c r="C6">
        <v>148.26914132725011</v>
      </c>
      <c r="D6">
        <v>150.48622172235901</v>
      </c>
      <c r="E6">
        <v>151.72955053144389</v>
      </c>
      <c r="F6">
        <v>152.3099160469593</v>
      </c>
    </row>
    <row r="7" spans="1:6" x14ac:dyDescent="0.35">
      <c r="A7" t="s">
        <v>11</v>
      </c>
      <c r="B7">
        <v>56035846.900000013</v>
      </c>
      <c r="C7">
        <v>58135223.549999997</v>
      </c>
      <c r="D7">
        <v>51413758.529999986</v>
      </c>
      <c r="E7">
        <v>39424319.840000004</v>
      </c>
      <c r="F7">
        <v>44425980.789999999</v>
      </c>
    </row>
    <row r="9" spans="1:6" x14ac:dyDescent="0.35">
      <c r="A9" t="s">
        <v>12</v>
      </c>
      <c r="B9" t="s">
        <v>1</v>
      </c>
      <c r="C9" t="s">
        <v>2</v>
      </c>
      <c r="D9" t="s">
        <v>3</v>
      </c>
      <c r="E9" t="s">
        <v>4</v>
      </c>
      <c r="F9" t="s">
        <v>5</v>
      </c>
    </row>
    <row r="10" spans="1:6" x14ac:dyDescent="0.35">
      <c r="A10" t="s">
        <v>6</v>
      </c>
      <c r="B10">
        <v>139.83315040104489</v>
      </c>
      <c r="C10">
        <v>140.63433560368551</v>
      </c>
      <c r="D10">
        <v>140.9638839291236</v>
      </c>
      <c r="E10">
        <v>141.85748818430829</v>
      </c>
      <c r="F10">
        <v>142.76338552808119</v>
      </c>
    </row>
    <row r="11" spans="1:6" x14ac:dyDescent="0.35">
      <c r="A11" t="s">
        <v>7</v>
      </c>
      <c r="B11">
        <v>0.66791062198333861</v>
      </c>
      <c r="C11">
        <v>1.278142353031853</v>
      </c>
      <c r="D11">
        <v>1.796535868201431</v>
      </c>
      <c r="E11">
        <v>2.7808560725822251</v>
      </c>
      <c r="F11">
        <v>2.8644589843305539</v>
      </c>
    </row>
    <row r="12" spans="1:6" x14ac:dyDescent="0.35">
      <c r="A12" t="s">
        <v>8</v>
      </c>
      <c r="B12">
        <v>-2.475944548161515</v>
      </c>
      <c r="C12">
        <v>0.8989157804315755</v>
      </c>
      <c r="D12">
        <v>1.486007403773502</v>
      </c>
      <c r="E12">
        <v>2.8270297784991558</v>
      </c>
      <c r="F12">
        <v>1.680687201489379</v>
      </c>
    </row>
    <row r="13" spans="1:6" x14ac:dyDescent="0.35">
      <c r="A13" t="s">
        <v>9</v>
      </c>
      <c r="B13">
        <v>5.1650967811739221</v>
      </c>
      <c r="C13">
        <v>6.0920791130650542</v>
      </c>
      <c r="D13">
        <v>6.1443698652176888</v>
      </c>
      <c r="E13">
        <v>6.2157078287699612</v>
      </c>
      <c r="F13">
        <v>5.1817057357971557</v>
      </c>
    </row>
    <row r="14" spans="1:6" x14ac:dyDescent="0.35">
      <c r="A14" t="s">
        <v>10</v>
      </c>
      <c r="B14">
        <v>143.19021325604069</v>
      </c>
      <c r="C14">
        <v>148.903472850214</v>
      </c>
      <c r="D14">
        <v>150.39079706631631</v>
      </c>
      <c r="E14">
        <v>153.68108186415969</v>
      </c>
      <c r="F14">
        <v>152.49023744969821</v>
      </c>
    </row>
    <row r="15" spans="1:6" x14ac:dyDescent="0.35">
      <c r="A15" t="s">
        <v>11</v>
      </c>
      <c r="B15">
        <v>174895090.5</v>
      </c>
      <c r="C15">
        <v>177803912.80000001</v>
      </c>
      <c r="D15">
        <v>151109412.00999999</v>
      </c>
      <c r="E15">
        <v>117985513.70999999</v>
      </c>
      <c r="F15">
        <v>133585605.31</v>
      </c>
    </row>
    <row r="17" spans="1:6" x14ac:dyDescent="0.35">
      <c r="A17" t="s">
        <v>13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</row>
    <row r="18" spans="1:6" x14ac:dyDescent="0.35">
      <c r="A18" t="s">
        <v>6</v>
      </c>
      <c r="B18">
        <v>136.66839841462689</v>
      </c>
      <c r="C18">
        <v>137.94719223853701</v>
      </c>
      <c r="D18">
        <v>138.66054717924419</v>
      </c>
      <c r="E18">
        <v>140.0375169754368</v>
      </c>
      <c r="F18">
        <v>141.0644975934612</v>
      </c>
    </row>
    <row r="19" spans="1:6" x14ac:dyDescent="0.35">
      <c r="A19" t="s">
        <v>7</v>
      </c>
      <c r="B19">
        <v>1.8384507384757001</v>
      </c>
      <c r="C19">
        <v>2.0356618749904101</v>
      </c>
      <c r="D19">
        <v>2.2451500749805291</v>
      </c>
      <c r="E19">
        <v>2.7851197376810428</v>
      </c>
      <c r="F19">
        <v>3.125019135781685</v>
      </c>
    </row>
    <row r="20" spans="1:6" x14ac:dyDescent="0.35">
      <c r="A20" t="s">
        <v>8</v>
      </c>
      <c r="B20">
        <v>0.96038629347786386</v>
      </c>
      <c r="C20">
        <v>6.9318210512620873</v>
      </c>
      <c r="D20">
        <v>7.0053772746019609</v>
      </c>
      <c r="E20">
        <v>8.4000970634976699</v>
      </c>
      <c r="F20">
        <v>7.3710713970543607</v>
      </c>
    </row>
    <row r="21" spans="1:6" x14ac:dyDescent="0.35">
      <c r="A21" t="s">
        <v>9</v>
      </c>
      <c r="B21">
        <v>5.1960208724088819</v>
      </c>
      <c r="C21">
        <v>6.1177324669508026</v>
      </c>
      <c r="D21">
        <v>6.0139321932361796</v>
      </c>
      <c r="E21">
        <v>6.2513676538682592</v>
      </c>
      <c r="F21">
        <v>5.2804068111968547</v>
      </c>
    </row>
    <row r="22" spans="1:6" x14ac:dyDescent="0.35">
      <c r="A22" t="s">
        <v>10</v>
      </c>
      <c r="B22">
        <v>144.6632563189894</v>
      </c>
      <c r="C22">
        <v>153.03240763174031</v>
      </c>
      <c r="D22">
        <v>153.9250067220629</v>
      </c>
      <c r="E22">
        <v>157.47410143048381</v>
      </c>
      <c r="F22">
        <v>156.84099493749409</v>
      </c>
    </row>
    <row r="23" spans="1:6" x14ac:dyDescent="0.35">
      <c r="A23" t="s">
        <v>11</v>
      </c>
      <c r="B23">
        <v>109778122.69</v>
      </c>
      <c r="C23">
        <v>117997640.45999999</v>
      </c>
      <c r="D23">
        <v>91351164.769999996</v>
      </c>
      <c r="E23">
        <v>72109323.439999998</v>
      </c>
      <c r="F23">
        <v>88330639.229999989</v>
      </c>
    </row>
    <row r="25" spans="1:6" x14ac:dyDescent="0.35">
      <c r="A25" t="s">
        <v>14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6" x14ac:dyDescent="0.35">
      <c r="A26" t="s">
        <v>6</v>
      </c>
      <c r="B26">
        <v>136.70742932031769</v>
      </c>
      <c r="C26">
        <v>138.34779673954839</v>
      </c>
      <c r="D26">
        <v>138.10209621539431</v>
      </c>
      <c r="E26">
        <v>138.94555151202141</v>
      </c>
      <c r="F26">
        <v>140.97308140078161</v>
      </c>
    </row>
    <row r="27" spans="1:6" x14ac:dyDescent="0.35">
      <c r="A27" t="s">
        <v>7</v>
      </c>
      <c r="B27">
        <v>2.4078901425605181</v>
      </c>
      <c r="C27">
        <v>2.491006820245985</v>
      </c>
      <c r="D27">
        <v>3.009578920406597</v>
      </c>
      <c r="E27">
        <v>1.8551298377325911</v>
      </c>
      <c r="F27">
        <v>2.36301409599352</v>
      </c>
    </row>
    <row r="28" spans="1:6" x14ac:dyDescent="0.35">
      <c r="A28" t="s">
        <v>8</v>
      </c>
      <c r="B28">
        <v>-0.9512769345310732</v>
      </c>
      <c r="C28">
        <v>0.73656264871901178</v>
      </c>
      <c r="D28">
        <v>1.4219800675217931</v>
      </c>
      <c r="E28">
        <v>1.78234276798205</v>
      </c>
      <c r="F28">
        <v>0.15574874959460511</v>
      </c>
    </row>
    <row r="29" spans="1:6" x14ac:dyDescent="0.35">
      <c r="A29" t="s">
        <v>9</v>
      </c>
      <c r="B29">
        <v>6.8924015273373724</v>
      </c>
      <c r="C29">
        <v>6.3796239711223448</v>
      </c>
      <c r="D29">
        <v>6.3483887701826474</v>
      </c>
      <c r="E29">
        <v>6.4035640089187762</v>
      </c>
      <c r="F29">
        <v>5.5330065211782404</v>
      </c>
    </row>
    <row r="30" spans="1:6" x14ac:dyDescent="0.35">
      <c r="A30" t="s">
        <v>10</v>
      </c>
      <c r="B30">
        <v>145.05644405568449</v>
      </c>
      <c r="C30">
        <v>147.95499017963579</v>
      </c>
      <c r="D30">
        <v>148.88204397350529</v>
      </c>
      <c r="E30">
        <v>148.98658812665491</v>
      </c>
      <c r="F30">
        <v>149.02485076754789</v>
      </c>
    </row>
    <row r="31" spans="1:6" x14ac:dyDescent="0.35">
      <c r="A31" t="s">
        <v>11</v>
      </c>
      <c r="B31">
        <v>43623019.229999997</v>
      </c>
      <c r="C31">
        <v>40763731</v>
      </c>
      <c r="D31">
        <v>43230820.040000007</v>
      </c>
      <c r="E31">
        <v>43342018.539999999</v>
      </c>
      <c r="F31">
        <v>51820831.549999997</v>
      </c>
    </row>
    <row r="33" spans="1:6" x14ac:dyDescent="0.35">
      <c r="A33" t="s">
        <v>15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</row>
    <row r="34" spans="1:6" x14ac:dyDescent="0.35">
      <c r="A34" t="s">
        <v>6</v>
      </c>
      <c r="B34">
        <v>134.57147996843619</v>
      </c>
      <c r="C34">
        <v>136.4179223286813</v>
      </c>
      <c r="D34">
        <v>137.00629562165429</v>
      </c>
      <c r="E34">
        <v>137.20721483911191</v>
      </c>
      <c r="F34">
        <v>139.79760580080401</v>
      </c>
    </row>
    <row r="35" spans="1:6" x14ac:dyDescent="0.35">
      <c r="A35" t="s">
        <v>7</v>
      </c>
      <c r="B35">
        <v>-0.97599677625345294</v>
      </c>
      <c r="C35">
        <v>0.2051806703973682</v>
      </c>
      <c r="D35">
        <v>0.17963091044521209</v>
      </c>
      <c r="E35">
        <v>1.0649609356779881</v>
      </c>
      <c r="F35">
        <v>1.2538169690974139</v>
      </c>
    </row>
    <row r="36" spans="1:6" x14ac:dyDescent="0.35">
      <c r="A36" t="s">
        <v>8</v>
      </c>
      <c r="B36">
        <v>1.264732049265535</v>
      </c>
      <c r="C36">
        <v>3.6984810529589089</v>
      </c>
      <c r="D36">
        <v>3.7671271517580061</v>
      </c>
      <c r="E36">
        <v>4.7206981670882424</v>
      </c>
      <c r="F36">
        <v>3.728700904709064</v>
      </c>
    </row>
    <row r="37" spans="1:6" x14ac:dyDescent="0.35">
      <c r="A37" t="s">
        <v>9</v>
      </c>
      <c r="B37">
        <v>1.5239215553306349</v>
      </c>
      <c r="C37">
        <v>1.9256771693282271</v>
      </c>
      <c r="D37">
        <v>1.854365516622545</v>
      </c>
      <c r="E37">
        <v>1.6965814897765901</v>
      </c>
      <c r="F37">
        <v>1.5004209460981499</v>
      </c>
    </row>
    <row r="38" spans="1:6" x14ac:dyDescent="0.35">
      <c r="A38" t="s">
        <v>10</v>
      </c>
      <c r="B38">
        <v>136.3841367967789</v>
      </c>
      <c r="C38">
        <v>142.24726122136579</v>
      </c>
      <c r="D38">
        <v>142.8074192004801</v>
      </c>
      <c r="E38">
        <v>144.68945543165469</v>
      </c>
      <c r="F38">
        <v>146.28054462070861</v>
      </c>
    </row>
    <row r="39" spans="1:6" x14ac:dyDescent="0.35">
      <c r="A39" t="s">
        <v>11</v>
      </c>
      <c r="B39">
        <v>151182270.44999999</v>
      </c>
      <c r="C39">
        <v>130251017.45999999</v>
      </c>
      <c r="D39">
        <v>108684678.34999999</v>
      </c>
      <c r="E39">
        <v>91451649.269999996</v>
      </c>
      <c r="F39">
        <v>85452588.810000002</v>
      </c>
    </row>
    <row r="41" spans="1:6" x14ac:dyDescent="0.35">
      <c r="A41" t="s">
        <v>16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</row>
    <row r="42" spans="1:6" x14ac:dyDescent="0.35">
      <c r="A42" t="s">
        <v>6</v>
      </c>
      <c r="B42">
        <v>139.70876763492191</v>
      </c>
      <c r="C42">
        <v>139.8667228088469</v>
      </c>
      <c r="D42">
        <v>139.91790875780001</v>
      </c>
      <c r="E42">
        <v>140.94205426095121</v>
      </c>
      <c r="F42">
        <v>142.03479837085101</v>
      </c>
    </row>
    <row r="43" spans="1:6" x14ac:dyDescent="0.35">
      <c r="A43" t="s">
        <v>7</v>
      </c>
      <c r="B43">
        <v>-0.59293676979766019</v>
      </c>
      <c r="C43">
        <v>1.0908331834159239</v>
      </c>
      <c r="D43">
        <v>0.95995221674948539</v>
      </c>
      <c r="E43">
        <v>0.99951175759755984</v>
      </c>
      <c r="F43">
        <v>0.492245220877777</v>
      </c>
    </row>
    <row r="44" spans="1:6" x14ac:dyDescent="0.35">
      <c r="A44" t="s">
        <v>8</v>
      </c>
      <c r="B44">
        <v>-1.037986008186716</v>
      </c>
      <c r="C44">
        <v>-3.9833427111439383E-2</v>
      </c>
      <c r="D44">
        <v>0.39669237239810978</v>
      </c>
      <c r="E44">
        <v>0.69322783880797911</v>
      </c>
      <c r="F44">
        <v>0.47533391412333248</v>
      </c>
    </row>
    <row r="45" spans="1:6" x14ac:dyDescent="0.35">
      <c r="A45" t="s">
        <v>9</v>
      </c>
      <c r="B45">
        <v>-0.78475247095689404</v>
      </c>
      <c r="C45">
        <v>-0.38922450159549088</v>
      </c>
      <c r="D45">
        <v>-0.57494631824502662</v>
      </c>
      <c r="E45">
        <v>-0.30261364429095577</v>
      </c>
      <c r="F45">
        <v>0.37818018805494452</v>
      </c>
    </row>
    <row r="46" spans="1:6" x14ac:dyDescent="0.35">
      <c r="A46" t="s">
        <v>10</v>
      </c>
      <c r="B46">
        <v>137.2930923859806</v>
      </c>
      <c r="C46">
        <v>140.52849806355579</v>
      </c>
      <c r="D46">
        <v>140.6996070287025</v>
      </c>
      <c r="E46">
        <v>142.33218021306581</v>
      </c>
      <c r="F46">
        <v>143.38055769390709</v>
      </c>
    </row>
    <row r="47" spans="1:6" x14ac:dyDescent="0.35">
      <c r="A47" t="s">
        <v>11</v>
      </c>
      <c r="B47">
        <v>442875681.85000002</v>
      </c>
      <c r="C47">
        <v>386473804.48000002</v>
      </c>
      <c r="D47">
        <v>379394062.72000003</v>
      </c>
      <c r="E47">
        <v>341881846.13999999</v>
      </c>
      <c r="F47">
        <v>493726991.83999997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7"/>
  <sheetViews>
    <sheetView zoomScale="130" zoomScaleNormal="130" workbookViewId="0">
      <selection activeCell="T26" sqref="T26"/>
    </sheetView>
  </sheetViews>
  <sheetFormatPr defaultRowHeight="14.5" x14ac:dyDescent="0.35"/>
  <sheetData>
    <row r="1" spans="1:22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22" x14ac:dyDescent="0.35">
      <c r="A2" t="s">
        <v>6</v>
      </c>
      <c r="B2">
        <v>136.66304693064629</v>
      </c>
      <c r="C2">
        <v>136.90906982764889</v>
      </c>
      <c r="D2">
        <v>136.43849356660581</v>
      </c>
      <c r="E2">
        <v>137.02135091300229</v>
      </c>
      <c r="F2">
        <v>136.3721183056237</v>
      </c>
      <c r="G2">
        <v>137.12198326493359</v>
      </c>
      <c r="H2">
        <v>138.09052083542991</v>
      </c>
      <c r="I2">
        <v>136.8013556580203</v>
      </c>
      <c r="J2">
        <v>136.83702494495719</v>
      </c>
      <c r="K2">
        <v>138.03381902691669</v>
      </c>
      <c r="L2">
        <v>138.55808093396249</v>
      </c>
      <c r="M2">
        <v>139.3761012547063</v>
      </c>
      <c r="N2">
        <v>140.32273019474491</v>
      </c>
    </row>
    <row r="3" spans="1:22" x14ac:dyDescent="0.35">
      <c r="A3" t="s">
        <v>7</v>
      </c>
      <c r="B3">
        <v>0.79430529121580662</v>
      </c>
      <c r="C3">
        <v>1.222834674629752</v>
      </c>
      <c r="D3">
        <v>0.7012159871240442</v>
      </c>
      <c r="E3">
        <v>0.83461732938272348</v>
      </c>
      <c r="F3">
        <v>0.66242897832651693</v>
      </c>
      <c r="G3">
        <v>1.1867832362002559</v>
      </c>
      <c r="H3">
        <v>0.97810535034986401</v>
      </c>
      <c r="I3">
        <v>1.174889336186141</v>
      </c>
      <c r="J3">
        <v>1.4592694189433639</v>
      </c>
      <c r="K3">
        <v>2.4660669161444559</v>
      </c>
      <c r="L3">
        <v>2.9266816981485699</v>
      </c>
      <c r="M3">
        <v>2.919601597291575</v>
      </c>
      <c r="N3">
        <v>3.1264617490047328</v>
      </c>
      <c r="P3" t="s">
        <v>56</v>
      </c>
      <c r="Q3" t="s">
        <v>57</v>
      </c>
      <c r="R3" t="s">
        <v>58</v>
      </c>
      <c r="T3" t="s">
        <v>56</v>
      </c>
      <c r="U3" t="s">
        <v>57</v>
      </c>
      <c r="V3" t="s">
        <v>58</v>
      </c>
    </row>
    <row r="4" spans="1:22" x14ac:dyDescent="0.35">
      <c r="A4" t="s">
        <v>8</v>
      </c>
      <c r="B4" s="14">
        <v>-2.9848537145076919</v>
      </c>
      <c r="C4" s="14">
        <v>0.73079915000286644</v>
      </c>
      <c r="D4" s="14">
        <v>0.5064915200645016</v>
      </c>
      <c r="E4" s="14">
        <v>0.70162286349549174</v>
      </c>
      <c r="F4" s="14">
        <v>1.084958399860857</v>
      </c>
      <c r="G4" s="14">
        <v>1.727013851634565</v>
      </c>
      <c r="H4" s="14">
        <v>2.5802926012793641</v>
      </c>
      <c r="I4" s="14">
        <v>3.3144657909255049</v>
      </c>
      <c r="J4" s="14">
        <v>2.998607563287071</v>
      </c>
      <c r="K4" s="14">
        <v>3.7521851192994009</v>
      </c>
      <c r="L4" s="14">
        <v>5.0310015241344406</v>
      </c>
      <c r="M4" s="14">
        <v>5.1855907289387124</v>
      </c>
      <c r="N4" s="14">
        <v>4.6060866065291446</v>
      </c>
      <c r="P4" s="15">
        <f>MIN(B4:N4)</f>
        <v>-2.9848537145076919</v>
      </c>
      <c r="Q4" s="15">
        <f>MAX(B4:N4)</f>
        <v>5.1855907289387124</v>
      </c>
      <c r="R4" s="15">
        <f>MEDIAN(B4:N4)</f>
        <v>2.5802926012793641</v>
      </c>
      <c r="S4" s="15"/>
      <c r="T4" s="15">
        <v>-1.74173108555982</v>
      </c>
      <c r="U4" s="15">
        <v>1.823497888359412</v>
      </c>
      <c r="V4" s="15">
        <v>-0.63328551879868655</v>
      </c>
    </row>
    <row r="5" spans="1:22" x14ac:dyDescent="0.35">
      <c r="A5" t="s">
        <v>9</v>
      </c>
      <c r="B5">
        <v>1.03089641736987</v>
      </c>
      <c r="C5">
        <v>2.1864175119063178</v>
      </c>
      <c r="D5">
        <v>2.685337190759935</v>
      </c>
      <c r="E5">
        <v>2.26550417048766</v>
      </c>
      <c r="F5">
        <v>1.980985317174871</v>
      </c>
      <c r="G5">
        <v>2.583908141350971</v>
      </c>
      <c r="H5">
        <v>3.676833266608682</v>
      </c>
      <c r="I5">
        <v>3.3758984277109438</v>
      </c>
      <c r="J5">
        <v>3.510507810953762</v>
      </c>
      <c r="K5">
        <v>4.0123013461552963</v>
      </c>
      <c r="L5">
        <v>3.962309143138298</v>
      </c>
      <c r="M5">
        <v>4.2365577474258291</v>
      </c>
      <c r="N5">
        <v>4.2907345523709228</v>
      </c>
      <c r="P5" s="15"/>
      <c r="Q5" s="15"/>
      <c r="R5" s="15"/>
      <c r="S5" s="15"/>
      <c r="T5" s="15"/>
      <c r="U5" s="15"/>
      <c r="V5" s="15"/>
    </row>
    <row r="6" spans="1:22" x14ac:dyDescent="0.35">
      <c r="A6" t="s">
        <v>10</v>
      </c>
      <c r="B6">
        <v>135.5033949247242</v>
      </c>
      <c r="C6">
        <v>141.0491211641878</v>
      </c>
      <c r="D6">
        <v>140.3315382645543</v>
      </c>
      <c r="E6">
        <v>140.82309527636821</v>
      </c>
      <c r="F6">
        <v>140.10049100098601</v>
      </c>
      <c r="G6">
        <v>142.6196884941194</v>
      </c>
      <c r="H6">
        <v>145.3257520536678</v>
      </c>
      <c r="I6">
        <v>144.6666092128429</v>
      </c>
      <c r="J6">
        <v>144.80540973814141</v>
      </c>
      <c r="K6">
        <v>148.2643724085159</v>
      </c>
      <c r="L6">
        <v>150.47807329938391</v>
      </c>
      <c r="M6">
        <v>151.7178513283624</v>
      </c>
      <c r="N6">
        <v>152.34601310264969</v>
      </c>
      <c r="P6" s="15"/>
      <c r="Q6" s="15"/>
      <c r="R6" s="15"/>
      <c r="S6" s="15"/>
      <c r="T6" s="15"/>
      <c r="U6" s="15"/>
      <c r="V6" s="15"/>
    </row>
    <row r="7" spans="1:22" x14ac:dyDescent="0.35">
      <c r="A7" t="s">
        <v>11</v>
      </c>
      <c r="B7">
        <v>16458455.859999999</v>
      </c>
      <c r="C7">
        <v>16463632.33</v>
      </c>
      <c r="D7">
        <v>23500225.219999999</v>
      </c>
      <c r="E7">
        <v>26931895.09</v>
      </c>
      <c r="F7">
        <v>45403667.079999998</v>
      </c>
      <c r="G7">
        <v>43850753.109999999</v>
      </c>
      <c r="H7">
        <v>30886831.440000001</v>
      </c>
      <c r="I7">
        <v>32083492.920000002</v>
      </c>
      <c r="J7">
        <v>56035846.899999999</v>
      </c>
      <c r="K7">
        <v>58135223.549999997</v>
      </c>
      <c r="L7">
        <v>51413758.530000001</v>
      </c>
      <c r="M7">
        <v>39424319.840000004</v>
      </c>
      <c r="N7">
        <v>44425980.790000007</v>
      </c>
      <c r="P7" s="15"/>
      <c r="Q7" s="15"/>
      <c r="R7" s="15"/>
      <c r="S7" s="15"/>
      <c r="T7" s="15"/>
      <c r="U7" s="15"/>
      <c r="V7" s="15"/>
    </row>
    <row r="8" spans="1:22" x14ac:dyDescent="0.35">
      <c r="P8" s="15"/>
      <c r="Q8" s="15"/>
      <c r="R8" s="15"/>
      <c r="S8" s="15"/>
      <c r="T8" s="15"/>
      <c r="U8" s="15"/>
      <c r="V8" s="15"/>
    </row>
    <row r="9" spans="1:22" x14ac:dyDescent="0.35">
      <c r="A9" t="s">
        <v>12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1</v>
      </c>
      <c r="K9" t="s">
        <v>2</v>
      </c>
      <c r="L9" t="s">
        <v>3</v>
      </c>
      <c r="M9" t="s">
        <v>4</v>
      </c>
      <c r="N9" t="s">
        <v>5</v>
      </c>
      <c r="P9" s="15"/>
      <c r="Q9" s="15"/>
      <c r="R9" s="15"/>
      <c r="S9" s="15"/>
      <c r="T9" s="15"/>
      <c r="U9" s="15"/>
      <c r="V9" s="15"/>
    </row>
    <row r="10" spans="1:22" x14ac:dyDescent="0.35">
      <c r="A10" t="s">
        <v>6</v>
      </c>
      <c r="B10">
        <v>141.27719036447311</v>
      </c>
      <c r="C10">
        <v>140.587337420209</v>
      </c>
      <c r="D10">
        <v>140.72102580751559</v>
      </c>
      <c r="E10">
        <v>139.02514228651111</v>
      </c>
      <c r="F10">
        <v>138.13163482086091</v>
      </c>
      <c r="G10">
        <v>140.1735622972094</v>
      </c>
      <c r="H10">
        <v>141.55375224123719</v>
      </c>
      <c r="I10">
        <v>139.97097369283409</v>
      </c>
      <c r="J10">
        <v>139.83315040104489</v>
      </c>
      <c r="K10">
        <v>140.6343356036856</v>
      </c>
      <c r="L10">
        <v>140.9638839291236</v>
      </c>
      <c r="M10">
        <v>141.85748818430829</v>
      </c>
      <c r="N10">
        <v>142.76345340284979</v>
      </c>
      <c r="P10" s="15"/>
      <c r="Q10" s="15"/>
      <c r="R10" s="15"/>
      <c r="S10" s="15"/>
      <c r="T10" s="15"/>
      <c r="U10" s="15"/>
      <c r="V10" s="15"/>
    </row>
    <row r="11" spans="1:22" x14ac:dyDescent="0.35">
      <c r="A11" t="s">
        <v>7</v>
      </c>
      <c r="B11">
        <v>0.93883725131536266</v>
      </c>
      <c r="C11">
        <v>1.56454087947526</v>
      </c>
      <c r="D11">
        <v>1.6212334276677041</v>
      </c>
      <c r="E11">
        <v>0.8929302351183992</v>
      </c>
      <c r="F11">
        <v>-0.197179663992614</v>
      </c>
      <c r="G11">
        <v>0.3035154362686967</v>
      </c>
      <c r="H11">
        <v>0.75919792713105494</v>
      </c>
      <c r="I11">
        <v>0.53146184690936593</v>
      </c>
      <c r="J11">
        <v>0.66791062198333861</v>
      </c>
      <c r="K11">
        <v>1.278142353031853</v>
      </c>
      <c r="L11">
        <v>1.796535868201403</v>
      </c>
      <c r="M11">
        <v>2.7808560725822251</v>
      </c>
      <c r="N11">
        <v>2.8644589843305539</v>
      </c>
      <c r="P11" s="15" t="s">
        <v>56</v>
      </c>
      <c r="Q11" s="15" t="s">
        <v>57</v>
      </c>
      <c r="R11" s="15" t="s">
        <v>58</v>
      </c>
      <c r="S11" s="15"/>
      <c r="T11" s="15" t="s">
        <v>56</v>
      </c>
      <c r="U11" s="15" t="s">
        <v>57</v>
      </c>
      <c r="V11" s="15" t="s">
        <v>58</v>
      </c>
    </row>
    <row r="12" spans="1:22" x14ac:dyDescent="0.35">
      <c r="A12" t="s">
        <v>8</v>
      </c>
      <c r="B12">
        <v>-4.9220992583471732</v>
      </c>
      <c r="C12">
        <v>-1.839248333310578</v>
      </c>
      <c r="D12">
        <v>-1.997360148414594</v>
      </c>
      <c r="E12">
        <v>-2.0118069249452919</v>
      </c>
      <c r="F12">
        <v>-2.0892328980440769</v>
      </c>
      <c r="G12">
        <v>-1.634259118896638</v>
      </c>
      <c r="H12">
        <v>-1.068076110665432</v>
      </c>
      <c r="I12">
        <v>0.44328749675465617</v>
      </c>
      <c r="J12">
        <v>0.61491987907852119</v>
      </c>
      <c r="K12">
        <v>0.89891578043156672</v>
      </c>
      <c r="L12">
        <v>1.486007403773502</v>
      </c>
      <c r="M12">
        <v>2.8270297784991758</v>
      </c>
      <c r="N12">
        <v>1.680687984830344</v>
      </c>
      <c r="P12" s="15">
        <f>MIN(B12:N12)</f>
        <v>-4.9220992583471732</v>
      </c>
      <c r="Q12" s="15">
        <f>MAX(B12:N12)</f>
        <v>2.8270297784991758</v>
      </c>
      <c r="R12" s="15">
        <f>MEDIAN(B12:N12)</f>
        <v>-1.068076110665432</v>
      </c>
      <c r="S12" s="15"/>
      <c r="T12" s="15">
        <v>-1.4790927891037879</v>
      </c>
      <c r="U12" s="15">
        <v>1.511380659816695</v>
      </c>
      <c r="V12" s="15">
        <v>-0.6383671688126924</v>
      </c>
    </row>
    <row r="13" spans="1:22" x14ac:dyDescent="0.35">
      <c r="A13" t="s">
        <v>9</v>
      </c>
      <c r="B13">
        <v>2.018974701566294</v>
      </c>
      <c r="C13">
        <v>4.3841687223465424</v>
      </c>
      <c r="D13">
        <v>4.9985486012180562</v>
      </c>
      <c r="E13">
        <v>5.5431078023418294</v>
      </c>
      <c r="F13">
        <v>5.2172380667575649</v>
      </c>
      <c r="G13">
        <v>5.3251270269402813</v>
      </c>
      <c r="H13">
        <v>5.1180785080730367</v>
      </c>
      <c r="I13">
        <v>5.1949370459921376</v>
      </c>
      <c r="J13">
        <v>5.1637783416594036</v>
      </c>
      <c r="K13">
        <v>6.0870204677534847</v>
      </c>
      <c r="L13">
        <v>6.1325937061016926</v>
      </c>
      <c r="M13">
        <v>6.2050211828860729</v>
      </c>
      <c r="N13">
        <v>5.1768448623582781</v>
      </c>
      <c r="P13" s="15"/>
      <c r="Q13" s="15"/>
      <c r="R13" s="15"/>
      <c r="S13" s="15"/>
      <c r="T13" s="15"/>
      <c r="U13" s="15"/>
      <c r="V13" s="15"/>
    </row>
    <row r="14" spans="1:22" x14ac:dyDescent="0.35">
      <c r="A14" t="s">
        <v>10</v>
      </c>
      <c r="B14">
        <v>139.31290305900751</v>
      </c>
      <c r="C14">
        <v>144.69679868872029</v>
      </c>
      <c r="D14">
        <v>145.34344768798681</v>
      </c>
      <c r="E14">
        <v>143.44937339902609</v>
      </c>
      <c r="F14">
        <v>141.06246032558181</v>
      </c>
      <c r="G14">
        <v>144.16794564152181</v>
      </c>
      <c r="H14">
        <v>146.36295256577591</v>
      </c>
      <c r="I14">
        <v>146.1406600824902</v>
      </c>
      <c r="J14">
        <v>146.27975924376619</v>
      </c>
      <c r="K14">
        <v>148.89841420490251</v>
      </c>
      <c r="L14">
        <v>150.37902090720021</v>
      </c>
      <c r="M14">
        <v>153.67039521827579</v>
      </c>
      <c r="N14">
        <v>152.48544523436891</v>
      </c>
      <c r="P14" s="15"/>
      <c r="Q14" s="15"/>
      <c r="R14" s="15"/>
      <c r="S14" s="15"/>
      <c r="T14" s="15"/>
      <c r="U14" s="15"/>
      <c r="V14" s="15"/>
    </row>
    <row r="15" spans="1:22" x14ac:dyDescent="0.35">
      <c r="A15" t="s">
        <v>11</v>
      </c>
      <c r="B15">
        <v>19516866.98</v>
      </c>
      <c r="C15">
        <v>25449449.190000001</v>
      </c>
      <c r="D15">
        <v>43555600.030000001</v>
      </c>
      <c r="E15">
        <v>75034894.310000002</v>
      </c>
      <c r="F15">
        <v>131533810.08</v>
      </c>
      <c r="G15">
        <v>147207291.50999999</v>
      </c>
      <c r="H15">
        <v>108850614.5</v>
      </c>
      <c r="I15">
        <v>119319099.8</v>
      </c>
      <c r="J15">
        <v>174895090.5</v>
      </c>
      <c r="K15">
        <v>177803912.80000001</v>
      </c>
      <c r="L15">
        <v>151109412.00999999</v>
      </c>
      <c r="M15">
        <v>117985513.70999999</v>
      </c>
      <c r="N15">
        <v>133585605.31</v>
      </c>
      <c r="P15" s="15"/>
      <c r="Q15" s="15"/>
      <c r="R15" s="15"/>
      <c r="S15" s="15"/>
      <c r="T15" s="15"/>
      <c r="U15" s="15"/>
      <c r="V15" s="15"/>
    </row>
    <row r="16" spans="1:22" x14ac:dyDescent="0.35">
      <c r="P16" s="15"/>
      <c r="Q16" s="15"/>
      <c r="R16" s="15"/>
      <c r="S16" s="15"/>
      <c r="T16" s="15"/>
      <c r="U16" s="15"/>
      <c r="V16" s="15"/>
    </row>
    <row r="17" spans="1:22" x14ac:dyDescent="0.35">
      <c r="A17" t="s">
        <v>13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  <c r="J17" t="s">
        <v>1</v>
      </c>
      <c r="K17" t="s">
        <v>2</v>
      </c>
      <c r="L17" t="s">
        <v>3</v>
      </c>
      <c r="M17" t="s">
        <v>4</v>
      </c>
      <c r="N17" t="s">
        <v>5</v>
      </c>
      <c r="P17" s="15"/>
      <c r="Q17" s="15"/>
      <c r="R17" s="15"/>
      <c r="S17" s="15"/>
      <c r="T17" s="15"/>
      <c r="U17" s="15"/>
      <c r="V17" s="15"/>
    </row>
    <row r="18" spans="1:22" x14ac:dyDescent="0.35">
      <c r="A18" t="s">
        <v>6</v>
      </c>
      <c r="B18">
        <v>139.23034679005511</v>
      </c>
      <c r="C18">
        <v>137.7158392394139</v>
      </c>
      <c r="D18">
        <v>138.53983622019501</v>
      </c>
      <c r="E18">
        <v>137.48747271961969</v>
      </c>
      <c r="F18">
        <v>136.76023284432631</v>
      </c>
      <c r="G18">
        <v>137.47802427838079</v>
      </c>
      <c r="H18">
        <v>138.54353569478641</v>
      </c>
      <c r="I18">
        <v>137.20904828299791</v>
      </c>
      <c r="J18">
        <v>136.66839841462689</v>
      </c>
      <c r="K18">
        <v>137.94719223853701</v>
      </c>
      <c r="L18">
        <v>138.66054717924419</v>
      </c>
      <c r="M18">
        <v>140.0375169754368</v>
      </c>
      <c r="N18">
        <v>141.06501286859711</v>
      </c>
      <c r="P18" s="15"/>
      <c r="Q18" s="15"/>
      <c r="R18" s="15"/>
      <c r="S18" s="15"/>
      <c r="T18" s="15"/>
      <c r="U18" s="15"/>
      <c r="V18" s="15"/>
    </row>
    <row r="19" spans="1:22" x14ac:dyDescent="0.35">
      <c r="A19" t="s">
        <v>7</v>
      </c>
      <c r="B19">
        <v>0.26065131663582969</v>
      </c>
      <c r="C19">
        <v>0.32381303156259378</v>
      </c>
      <c r="D19">
        <v>1.474295442786399</v>
      </c>
      <c r="E19">
        <v>1.264705079320009</v>
      </c>
      <c r="F19">
        <v>1.013927862906201</v>
      </c>
      <c r="G19">
        <v>2.022800071092405</v>
      </c>
      <c r="H19">
        <v>2.2786497559132499</v>
      </c>
      <c r="I19">
        <v>2.0632355429100069</v>
      </c>
      <c r="J19">
        <v>1.8384507384757001</v>
      </c>
      <c r="K19">
        <v>2.0356618749904101</v>
      </c>
      <c r="L19">
        <v>2.2451500749805291</v>
      </c>
      <c r="M19">
        <v>2.7851197376810428</v>
      </c>
      <c r="N19">
        <v>3.125019135781685</v>
      </c>
      <c r="P19" s="15" t="s">
        <v>56</v>
      </c>
      <c r="Q19" s="15" t="s">
        <v>57</v>
      </c>
      <c r="R19" s="15" t="s">
        <v>58</v>
      </c>
      <c r="S19" s="15"/>
      <c r="T19" s="15" t="s">
        <v>56</v>
      </c>
      <c r="U19" s="15" t="s">
        <v>57</v>
      </c>
      <c r="V19" s="15" t="s">
        <v>58</v>
      </c>
    </row>
    <row r="20" spans="1:22" x14ac:dyDescent="0.35">
      <c r="A20" t="s">
        <v>8</v>
      </c>
      <c r="B20">
        <v>-2.6882269854014318</v>
      </c>
      <c r="C20">
        <v>2.1684908656263788</v>
      </c>
      <c r="D20">
        <v>2.12065961622057</v>
      </c>
      <c r="E20">
        <v>2.8922029109949858</v>
      </c>
      <c r="F20">
        <v>2.4242444910592629</v>
      </c>
      <c r="G20">
        <v>3.8895939838165172</v>
      </c>
      <c r="H20">
        <v>4.92650794734387</v>
      </c>
      <c r="I20">
        <v>6.2976180276401994</v>
      </c>
      <c r="J20">
        <v>6.0332624074020327</v>
      </c>
      <c r="K20">
        <v>6.9318210512620873</v>
      </c>
      <c r="L20">
        <v>7.0053772746019609</v>
      </c>
      <c r="M20">
        <v>8.4000970634976699</v>
      </c>
      <c r="N20">
        <v>7.3710977382884666</v>
      </c>
      <c r="P20" s="15">
        <f>MIN(B20:N20)</f>
        <v>-2.6882269854014318</v>
      </c>
      <c r="Q20" s="15">
        <f>MAX(B20:N20)</f>
        <v>8.4000970634976699</v>
      </c>
      <c r="R20" s="15">
        <f>MEDIAN(B20:N20)</f>
        <v>4.92650794734387</v>
      </c>
      <c r="S20" s="15"/>
      <c r="T20" s="15">
        <v>-1.6674838521355471</v>
      </c>
      <c r="U20" s="15">
        <v>1.6772276675288249</v>
      </c>
      <c r="V20" s="15">
        <v>-0.66741053516162197</v>
      </c>
    </row>
    <row r="21" spans="1:22" x14ac:dyDescent="0.35">
      <c r="A21" t="s">
        <v>9</v>
      </c>
      <c r="B21">
        <v>5.2899300523753681</v>
      </c>
      <c r="C21">
        <v>4.7284571227663594</v>
      </c>
      <c r="D21">
        <v>6.1030936461152701</v>
      </c>
      <c r="E21">
        <v>6.0472778895712196</v>
      </c>
      <c r="F21">
        <v>4.5534901591358672</v>
      </c>
      <c r="G21">
        <v>5.129680221260581</v>
      </c>
      <c r="H21">
        <v>5.6885275863893483</v>
      </c>
      <c r="I21">
        <v>5.5260175263601692</v>
      </c>
      <c r="J21">
        <v>5.1850442728744781</v>
      </c>
      <c r="K21">
        <v>6.114981106061351</v>
      </c>
      <c r="L21">
        <v>6.0340235971791456</v>
      </c>
      <c r="M21">
        <v>6.2704413474893776</v>
      </c>
      <c r="N21">
        <v>5.2729428418359996</v>
      </c>
      <c r="P21" s="15"/>
      <c r="Q21" s="15"/>
      <c r="R21" s="15"/>
      <c r="S21" s="15"/>
      <c r="T21" s="15"/>
      <c r="U21" s="15"/>
      <c r="V21" s="15"/>
    </row>
    <row r="22" spans="1:22" x14ac:dyDescent="0.35">
      <c r="A22" t="s">
        <v>10</v>
      </c>
      <c r="B22">
        <v>142.09270117366489</v>
      </c>
      <c r="C22">
        <v>144.93660025936919</v>
      </c>
      <c r="D22">
        <v>148.23788492531719</v>
      </c>
      <c r="E22">
        <v>147.6916585995059</v>
      </c>
      <c r="F22">
        <v>144.75189535742771</v>
      </c>
      <c r="G22">
        <v>148.52009855455029</v>
      </c>
      <c r="H22">
        <v>151.4372209844328</v>
      </c>
      <c r="I22">
        <v>151.09591937990831</v>
      </c>
      <c r="J22">
        <v>149.72515583337909</v>
      </c>
      <c r="K22">
        <v>153.02965627085089</v>
      </c>
      <c r="L22">
        <v>153.94509812600589</v>
      </c>
      <c r="M22">
        <v>157.49317512410491</v>
      </c>
      <c r="N22">
        <v>156.8340725845033</v>
      </c>
      <c r="P22" s="15"/>
      <c r="Q22" s="15"/>
      <c r="R22" s="15"/>
      <c r="S22" s="15"/>
      <c r="T22" s="15"/>
      <c r="U22" s="15"/>
      <c r="V22" s="15"/>
    </row>
    <row r="23" spans="1:22" x14ac:dyDescent="0.35">
      <c r="A23" t="s">
        <v>11</v>
      </c>
      <c r="B23">
        <v>12649519.25</v>
      </c>
      <c r="C23">
        <v>16219659.52</v>
      </c>
      <c r="D23">
        <v>28909162.390000001</v>
      </c>
      <c r="E23">
        <v>44296437.100000001</v>
      </c>
      <c r="F23">
        <v>68656688.390000001</v>
      </c>
      <c r="G23">
        <v>95026794.780000001</v>
      </c>
      <c r="H23">
        <v>69497795.00999999</v>
      </c>
      <c r="I23">
        <v>70683017.160000011</v>
      </c>
      <c r="J23">
        <v>109778122.69</v>
      </c>
      <c r="K23">
        <v>117997640.45999999</v>
      </c>
      <c r="L23">
        <v>91351164.769999996</v>
      </c>
      <c r="M23">
        <v>72109323.439999998</v>
      </c>
      <c r="N23">
        <v>88330639.230000004</v>
      </c>
      <c r="P23" s="15"/>
      <c r="Q23" s="15"/>
      <c r="R23" s="15"/>
      <c r="S23" s="15"/>
      <c r="T23" s="15"/>
      <c r="U23" s="15"/>
      <c r="V23" s="15"/>
    </row>
    <row r="24" spans="1:22" x14ac:dyDescent="0.35">
      <c r="P24" s="15"/>
      <c r="Q24" s="15"/>
      <c r="R24" s="15"/>
      <c r="S24" s="15"/>
      <c r="T24" s="15"/>
      <c r="U24" s="15"/>
      <c r="V24" s="15"/>
    </row>
    <row r="25" spans="1:22" x14ac:dyDescent="0.35">
      <c r="A25" t="s">
        <v>14</v>
      </c>
      <c r="B25" t="s">
        <v>48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  <c r="J25" t="s">
        <v>1</v>
      </c>
      <c r="K25" t="s">
        <v>2</v>
      </c>
      <c r="L25" t="s">
        <v>3</v>
      </c>
      <c r="M25" t="s">
        <v>4</v>
      </c>
      <c r="N25" t="s">
        <v>5</v>
      </c>
      <c r="P25" s="15"/>
      <c r="Q25" s="15"/>
      <c r="R25" s="15"/>
      <c r="S25" s="15"/>
      <c r="T25" s="15"/>
      <c r="U25" s="15"/>
      <c r="V25" s="15"/>
    </row>
    <row r="26" spans="1:22" x14ac:dyDescent="0.35">
      <c r="A26" t="s">
        <v>6</v>
      </c>
      <c r="B26">
        <v>141.3231605158098</v>
      </c>
      <c r="C26">
        <v>138.8631915017576</v>
      </c>
      <c r="D26">
        <v>137.9566586474825</v>
      </c>
      <c r="E26">
        <v>139.56619914782399</v>
      </c>
      <c r="F26">
        <v>138.52439991139249</v>
      </c>
      <c r="G26">
        <v>138.4097814248108</v>
      </c>
      <c r="H26">
        <v>140.36330737362081</v>
      </c>
      <c r="I26">
        <v>138.38768592238731</v>
      </c>
      <c r="J26">
        <v>136.70742932031769</v>
      </c>
      <c r="K26">
        <v>138.34779673954839</v>
      </c>
      <c r="L26">
        <v>138.10209621539431</v>
      </c>
      <c r="M26">
        <v>138.9455515120215</v>
      </c>
      <c r="N26">
        <v>140.97137435403101</v>
      </c>
      <c r="P26" s="15"/>
      <c r="Q26" s="15"/>
      <c r="R26" s="15"/>
      <c r="S26" s="15"/>
      <c r="T26" s="15"/>
      <c r="U26" s="15"/>
      <c r="V26" s="15"/>
    </row>
    <row r="27" spans="1:22" x14ac:dyDescent="0.35">
      <c r="A27" t="s">
        <v>7</v>
      </c>
      <c r="B27">
        <v>1.163772265119974</v>
      </c>
      <c r="C27">
        <v>0.76651233466805024</v>
      </c>
      <c r="D27">
        <v>1.051226100014617</v>
      </c>
      <c r="E27">
        <v>1.3906266452335669</v>
      </c>
      <c r="F27">
        <v>1.553697558330924</v>
      </c>
      <c r="G27">
        <v>2.4436111035358858</v>
      </c>
      <c r="H27">
        <v>3.2853415839857969</v>
      </c>
      <c r="I27">
        <v>2.9736339398277489</v>
      </c>
      <c r="J27">
        <v>2.4078901425605181</v>
      </c>
      <c r="K27">
        <v>2.491006820245985</v>
      </c>
      <c r="L27">
        <v>3.009578920406597</v>
      </c>
      <c r="M27">
        <v>1.8551298377325911</v>
      </c>
      <c r="N27">
        <v>2.36301409599352</v>
      </c>
      <c r="P27" s="15" t="s">
        <v>56</v>
      </c>
      <c r="Q27" s="15" t="s">
        <v>57</v>
      </c>
      <c r="R27" s="15" t="s">
        <v>58</v>
      </c>
      <c r="S27" s="15"/>
      <c r="T27" s="15" t="s">
        <v>56</v>
      </c>
      <c r="U27" s="15" t="s">
        <v>57</v>
      </c>
      <c r="V27" s="15" t="s">
        <v>58</v>
      </c>
    </row>
    <row r="28" spans="1:22" x14ac:dyDescent="0.35">
      <c r="A28" t="s">
        <v>8</v>
      </c>
      <c r="B28">
        <v>-3.2078341165085709</v>
      </c>
      <c r="C28">
        <v>-1.52814886926088</v>
      </c>
      <c r="D28">
        <v>-1.220224088104223</v>
      </c>
      <c r="E28">
        <v>-0.44368024669981471</v>
      </c>
      <c r="F28">
        <v>-1.1238938060354531</v>
      </c>
      <c r="G28">
        <v>-1.055028094485813</v>
      </c>
      <c r="H28">
        <v>-0.95167146180980211</v>
      </c>
      <c r="I28">
        <v>1.1743989836371971</v>
      </c>
      <c r="J28">
        <v>1.4724263105194031</v>
      </c>
      <c r="K28">
        <v>0.73656264871900279</v>
      </c>
      <c r="L28">
        <v>1.4219800675218019</v>
      </c>
      <c r="M28">
        <v>1.7823427679820589</v>
      </c>
      <c r="N28">
        <v>0.15574689472060441</v>
      </c>
      <c r="P28" s="15">
        <f>MIN(B28:N28)</f>
        <v>-3.2078341165085709</v>
      </c>
      <c r="Q28" s="15">
        <f>MAX(B28:N28)</f>
        <v>1.7823427679820589</v>
      </c>
      <c r="R28" s="15">
        <f>MEDIAN(B28:N28)</f>
        <v>-0.44368024669981471</v>
      </c>
      <c r="S28" s="15"/>
      <c r="T28" s="15">
        <v>-1.5799359499551431</v>
      </c>
      <c r="U28" s="15">
        <v>1.709978486433215</v>
      </c>
      <c r="V28" s="15">
        <v>-0.46079243140653148</v>
      </c>
    </row>
    <row r="29" spans="1:22" x14ac:dyDescent="0.35">
      <c r="A29" t="s">
        <v>9</v>
      </c>
      <c r="B29">
        <v>8.8983727385145759</v>
      </c>
      <c r="C29">
        <v>8.2305730397635415</v>
      </c>
      <c r="D29">
        <v>9.0487813037711611</v>
      </c>
      <c r="E29">
        <v>8.6785146838356546</v>
      </c>
      <c r="F29">
        <v>6.8544059089120557</v>
      </c>
      <c r="G29">
        <v>7.166245787715706</v>
      </c>
      <c r="H29">
        <v>7.4990609656991856</v>
      </c>
      <c r="I29">
        <v>7.6057062192269811</v>
      </c>
      <c r="J29">
        <v>6.8955327474060342</v>
      </c>
      <c r="K29">
        <v>6.3734139025285046</v>
      </c>
      <c r="L29">
        <v>6.3511654535668942</v>
      </c>
      <c r="M29">
        <v>6.394294600393339</v>
      </c>
      <c r="N29">
        <v>5.5175146761620386</v>
      </c>
      <c r="P29" s="15"/>
      <c r="Q29" s="15"/>
      <c r="R29" s="15"/>
      <c r="S29" s="15"/>
      <c r="T29" s="15"/>
      <c r="U29" s="15"/>
      <c r="V29" s="15"/>
    </row>
    <row r="30" spans="1:22" x14ac:dyDescent="0.35">
      <c r="A30" t="s">
        <v>10</v>
      </c>
      <c r="B30">
        <v>148.17747140293579</v>
      </c>
      <c r="C30">
        <v>146.33212800692829</v>
      </c>
      <c r="D30">
        <v>146.83644196316399</v>
      </c>
      <c r="E30">
        <v>149.19166023019341</v>
      </c>
      <c r="F30">
        <v>145.80860957260001</v>
      </c>
      <c r="G30">
        <v>146.96461022157649</v>
      </c>
      <c r="H30">
        <v>150.1960384614959</v>
      </c>
      <c r="I30">
        <v>150.14142506507929</v>
      </c>
      <c r="J30">
        <v>147.48327852080359</v>
      </c>
      <c r="K30">
        <v>147.948780111042</v>
      </c>
      <c r="L30">
        <v>148.8848206568895</v>
      </c>
      <c r="M30">
        <v>148.97731871812951</v>
      </c>
      <c r="N30">
        <v>149.00765002090719</v>
      </c>
      <c r="P30" s="15"/>
      <c r="Q30" s="15"/>
      <c r="R30" s="15"/>
      <c r="S30" s="15"/>
      <c r="T30" s="15"/>
      <c r="U30" s="15"/>
      <c r="V30" s="15"/>
    </row>
    <row r="31" spans="1:22" x14ac:dyDescent="0.35">
      <c r="A31" t="s">
        <v>11</v>
      </c>
      <c r="B31">
        <v>6626495.1900000004</v>
      </c>
      <c r="C31">
        <v>9268286.370000001</v>
      </c>
      <c r="D31">
        <v>15549122.210000001</v>
      </c>
      <c r="E31">
        <v>15000070.210000001</v>
      </c>
      <c r="F31">
        <v>27235117.280000001</v>
      </c>
      <c r="G31">
        <v>35792719.760000013</v>
      </c>
      <c r="H31">
        <v>21813472.829999998</v>
      </c>
      <c r="I31">
        <v>21252328.469999999</v>
      </c>
      <c r="J31">
        <v>43623019.229999997</v>
      </c>
      <c r="K31">
        <v>40763731</v>
      </c>
      <c r="L31">
        <v>43230820.039999999</v>
      </c>
      <c r="M31">
        <v>43342018.539999999</v>
      </c>
      <c r="N31">
        <v>51820831.549999997</v>
      </c>
      <c r="P31" s="15"/>
      <c r="Q31" s="15"/>
      <c r="R31" s="15"/>
      <c r="S31" s="15"/>
      <c r="T31" s="15"/>
      <c r="U31" s="15"/>
      <c r="V31" s="15"/>
    </row>
    <row r="32" spans="1:22" x14ac:dyDescent="0.35">
      <c r="P32" s="15"/>
      <c r="Q32" s="15"/>
      <c r="R32" s="15"/>
      <c r="S32" s="15"/>
      <c r="T32" s="15"/>
      <c r="U32" s="15"/>
      <c r="V32" s="15"/>
    </row>
    <row r="33" spans="1:22" x14ac:dyDescent="0.35">
      <c r="A33" t="s">
        <v>15</v>
      </c>
      <c r="B33" t="s">
        <v>48</v>
      </c>
      <c r="C33" t="s">
        <v>49</v>
      </c>
      <c r="D33" t="s">
        <v>50</v>
      </c>
      <c r="E33" t="s">
        <v>51</v>
      </c>
      <c r="F33" t="s">
        <v>52</v>
      </c>
      <c r="G33" t="s">
        <v>53</v>
      </c>
      <c r="H33" t="s">
        <v>54</v>
      </c>
      <c r="I33" t="s">
        <v>55</v>
      </c>
      <c r="J33" t="s">
        <v>1</v>
      </c>
      <c r="K33" t="s">
        <v>2</v>
      </c>
      <c r="L33" t="s">
        <v>3</v>
      </c>
      <c r="M33" t="s">
        <v>4</v>
      </c>
      <c r="N33" t="s">
        <v>5</v>
      </c>
      <c r="P33" s="15"/>
      <c r="Q33" s="15"/>
      <c r="R33" s="15"/>
      <c r="S33" s="15"/>
      <c r="T33" s="15"/>
      <c r="U33" s="15"/>
      <c r="V33" s="15"/>
    </row>
    <row r="34" spans="1:22" x14ac:dyDescent="0.35">
      <c r="A34" t="s">
        <v>6</v>
      </c>
      <c r="B34">
        <v>132.73384871823549</v>
      </c>
      <c r="C34">
        <v>133.4421953804156</v>
      </c>
      <c r="D34">
        <v>133.76755452848761</v>
      </c>
      <c r="E34">
        <v>135.3136659257851</v>
      </c>
      <c r="F34">
        <v>136.174564953763</v>
      </c>
      <c r="G34">
        <v>136.81709999339159</v>
      </c>
      <c r="H34">
        <v>136.69241262670499</v>
      </c>
      <c r="I34">
        <v>134.948750294055</v>
      </c>
      <c r="J34">
        <v>134.57147996843619</v>
      </c>
      <c r="K34">
        <v>136.41792232868141</v>
      </c>
      <c r="L34">
        <v>137.00629562165429</v>
      </c>
      <c r="M34">
        <v>137.20721483911191</v>
      </c>
      <c r="N34">
        <v>139.79700801090769</v>
      </c>
      <c r="P34" s="15"/>
      <c r="Q34" s="15"/>
      <c r="R34" s="15"/>
      <c r="S34" s="15"/>
      <c r="T34" s="15"/>
      <c r="U34" s="15"/>
      <c r="V34" s="15"/>
    </row>
    <row r="35" spans="1:22" x14ac:dyDescent="0.35">
      <c r="A35" t="s">
        <v>7</v>
      </c>
      <c r="B35">
        <v>-1.751634827333447</v>
      </c>
      <c r="C35">
        <v>-1.055753827058538</v>
      </c>
      <c r="D35">
        <v>-0.70981924968504018</v>
      </c>
      <c r="E35">
        <v>0.45637312284415538</v>
      </c>
      <c r="F35">
        <v>-0.59196154705890081</v>
      </c>
      <c r="G35">
        <v>-0.32963785050176853</v>
      </c>
      <c r="H35">
        <v>-0.49424107346195001</v>
      </c>
      <c r="I35">
        <v>-0.28560818312433872</v>
      </c>
      <c r="J35">
        <v>-0.97599677625345294</v>
      </c>
      <c r="K35">
        <v>0.2051806703973682</v>
      </c>
      <c r="L35">
        <v>0.17963091044521209</v>
      </c>
      <c r="M35">
        <v>1.0649609356779881</v>
      </c>
      <c r="N35">
        <v>1.2538169690974139</v>
      </c>
      <c r="P35" s="15" t="s">
        <v>56</v>
      </c>
      <c r="Q35" s="15" t="s">
        <v>57</v>
      </c>
      <c r="R35" s="15" t="s">
        <v>58</v>
      </c>
      <c r="S35" s="15"/>
      <c r="T35" s="15" t="s">
        <v>56</v>
      </c>
      <c r="U35" s="15" t="s">
        <v>57</v>
      </c>
      <c r="V35" s="15" t="s">
        <v>58</v>
      </c>
    </row>
    <row r="36" spans="1:22" x14ac:dyDescent="0.35">
      <c r="A36" t="s">
        <v>8</v>
      </c>
      <c r="B36">
        <v>-4.7677137248171721</v>
      </c>
      <c r="C36">
        <v>-1.4900515379555339</v>
      </c>
      <c r="D36">
        <v>-1.275541700280082</v>
      </c>
      <c r="E36">
        <v>-0.61558115550197001</v>
      </c>
      <c r="F36">
        <v>-1.20886261526213</v>
      </c>
      <c r="G36">
        <v>-0.70766037366255741</v>
      </c>
      <c r="H36">
        <v>0.25203212537694492</v>
      </c>
      <c r="I36">
        <v>3.1488127626799072</v>
      </c>
      <c r="J36">
        <v>4.7744381813098542</v>
      </c>
      <c r="K36">
        <v>3.6984810529589001</v>
      </c>
      <c r="L36">
        <v>3.7671271517580149</v>
      </c>
      <c r="M36">
        <v>4.7206981670882424</v>
      </c>
      <c r="N36">
        <v>3.7286851021054241</v>
      </c>
      <c r="P36" s="15">
        <f>MIN(B36:N36)</f>
        <v>-4.7677137248171721</v>
      </c>
      <c r="Q36" s="15">
        <f>MAX(B36:N36)</f>
        <v>4.7744381813098542</v>
      </c>
      <c r="R36" s="15">
        <f>MEDIAN(B36:N36)</f>
        <v>0.25203212537694492</v>
      </c>
      <c r="S36" s="15"/>
      <c r="T36" s="15">
        <v>-4.0226523104324201</v>
      </c>
      <c r="U36" s="15">
        <v>1.1634511364398461</v>
      </c>
      <c r="V36" s="15">
        <v>-2.3887580914386888</v>
      </c>
    </row>
    <row r="37" spans="1:22" x14ac:dyDescent="0.35">
      <c r="A37" t="s">
        <v>9</v>
      </c>
      <c r="B37">
        <v>0.83219790156341822</v>
      </c>
      <c r="C37">
        <v>1.5084774519780351</v>
      </c>
      <c r="D37">
        <v>2.6129305001175038</v>
      </c>
      <c r="E37">
        <v>1.843042819954533</v>
      </c>
      <c r="F37">
        <v>1.7186818669919841</v>
      </c>
      <c r="G37">
        <v>1.9600692975998859</v>
      </c>
      <c r="H37">
        <v>1.756278447261989</v>
      </c>
      <c r="I37">
        <v>1.3250844350709321</v>
      </c>
      <c r="J37">
        <v>1.520827206675379</v>
      </c>
      <c r="K37">
        <v>1.922815327718244</v>
      </c>
      <c r="L37">
        <v>1.84945799931698</v>
      </c>
      <c r="M37">
        <v>1.6961533363095751</v>
      </c>
      <c r="N37">
        <v>1.504703905356549</v>
      </c>
      <c r="P37" s="15"/>
      <c r="Q37" s="15"/>
      <c r="R37" s="15"/>
      <c r="S37" s="15"/>
      <c r="T37" s="15"/>
      <c r="U37" s="15"/>
      <c r="V37" s="15"/>
    </row>
    <row r="38" spans="1:22" x14ac:dyDescent="0.35">
      <c r="A38" t="s">
        <v>10</v>
      </c>
      <c r="B38">
        <v>127.04669806764829</v>
      </c>
      <c r="C38">
        <v>132.4048674673796</v>
      </c>
      <c r="D38">
        <v>134.3951240786399</v>
      </c>
      <c r="E38">
        <v>136.99750071308179</v>
      </c>
      <c r="F38">
        <v>136.092422658434</v>
      </c>
      <c r="G38">
        <v>137.73987106682719</v>
      </c>
      <c r="H38">
        <v>138.20648212588199</v>
      </c>
      <c r="I38">
        <v>139.13703930868149</v>
      </c>
      <c r="J38">
        <v>139.89074858016801</v>
      </c>
      <c r="K38">
        <v>142.24439937975589</v>
      </c>
      <c r="L38">
        <v>142.80251168317449</v>
      </c>
      <c r="M38">
        <v>144.68902727818769</v>
      </c>
      <c r="N38">
        <v>146.2842139874671</v>
      </c>
      <c r="P38" s="15"/>
      <c r="Q38" s="15"/>
      <c r="R38" s="15"/>
      <c r="S38" s="15"/>
      <c r="T38" s="15"/>
      <c r="U38" s="15"/>
      <c r="V38" s="15"/>
    </row>
    <row r="39" spans="1:22" x14ac:dyDescent="0.35">
      <c r="A39" t="s">
        <v>11</v>
      </c>
      <c r="B39">
        <v>68700873.710000008</v>
      </c>
      <c r="C39">
        <v>60708657.989999987</v>
      </c>
      <c r="D39">
        <v>74303783.810000002</v>
      </c>
      <c r="E39">
        <v>77788703.159999996</v>
      </c>
      <c r="F39">
        <v>115593246.77</v>
      </c>
      <c r="G39">
        <v>101927446.03</v>
      </c>
      <c r="H39">
        <v>81167790.519999996</v>
      </c>
      <c r="I39">
        <v>92147128.75</v>
      </c>
      <c r="J39">
        <v>151182270.44999999</v>
      </c>
      <c r="K39">
        <v>130251017.45999999</v>
      </c>
      <c r="L39">
        <v>108684678.34999999</v>
      </c>
      <c r="M39">
        <v>91451649.269999996</v>
      </c>
      <c r="N39">
        <v>85452588.810000002</v>
      </c>
      <c r="P39" s="15"/>
      <c r="Q39" s="15"/>
      <c r="R39" s="15"/>
      <c r="S39" s="15"/>
      <c r="T39" s="15"/>
      <c r="U39" s="15"/>
      <c r="V39" s="15"/>
    </row>
    <row r="40" spans="1:22" x14ac:dyDescent="0.35">
      <c r="P40" s="15"/>
      <c r="Q40" s="15"/>
      <c r="R40" s="15"/>
      <c r="S40" s="15"/>
      <c r="T40" s="15"/>
      <c r="U40" s="15"/>
      <c r="V40" s="15"/>
    </row>
    <row r="41" spans="1:22" x14ac:dyDescent="0.35">
      <c r="A41" t="s">
        <v>16</v>
      </c>
      <c r="B41" t="s">
        <v>48</v>
      </c>
      <c r="C41" t="s">
        <v>49</v>
      </c>
      <c r="D41" t="s">
        <v>50</v>
      </c>
      <c r="E41" t="s">
        <v>51</v>
      </c>
      <c r="F41" t="s">
        <v>52</v>
      </c>
      <c r="G41" t="s">
        <v>53</v>
      </c>
      <c r="H41" t="s">
        <v>54</v>
      </c>
      <c r="I41" t="s">
        <v>55</v>
      </c>
      <c r="J41" t="s">
        <v>1</v>
      </c>
      <c r="K41" t="s">
        <v>2</v>
      </c>
      <c r="L41" t="s">
        <v>3</v>
      </c>
      <c r="M41" t="s">
        <v>4</v>
      </c>
      <c r="N41" t="s">
        <v>5</v>
      </c>
      <c r="P41" s="15"/>
      <c r="Q41" s="15"/>
      <c r="R41" s="15"/>
      <c r="S41" s="15"/>
      <c r="T41" s="15"/>
      <c r="U41" s="15"/>
      <c r="V41" s="15"/>
    </row>
    <row r="42" spans="1:22" x14ac:dyDescent="0.35">
      <c r="A42" t="s">
        <v>6</v>
      </c>
      <c r="B42">
        <v>140.09671657848929</v>
      </c>
      <c r="C42">
        <v>140.6586391183844</v>
      </c>
      <c r="D42">
        <v>140.50459471793889</v>
      </c>
      <c r="E42">
        <v>140.56078051519651</v>
      </c>
      <c r="F42">
        <v>139.56825037479669</v>
      </c>
      <c r="G42">
        <v>140.43211833884561</v>
      </c>
      <c r="H42">
        <v>139.88511483115639</v>
      </c>
      <c r="I42">
        <v>139.76781802522791</v>
      </c>
      <c r="J42">
        <v>139.70876763492191</v>
      </c>
      <c r="K42">
        <v>139.8667228088469</v>
      </c>
      <c r="L42">
        <v>139.91790875779989</v>
      </c>
      <c r="M42">
        <v>140.94205426095121</v>
      </c>
      <c r="N42">
        <v>142.0346701557512</v>
      </c>
      <c r="P42" s="15"/>
      <c r="Q42" s="15"/>
      <c r="R42" s="15"/>
      <c r="S42" s="15"/>
      <c r="T42" s="15"/>
      <c r="U42" s="15"/>
      <c r="V42" s="15"/>
    </row>
    <row r="43" spans="1:22" x14ac:dyDescent="0.35">
      <c r="A43" t="s">
        <v>7</v>
      </c>
      <c r="B43">
        <v>1.146449687959944</v>
      </c>
      <c r="C43">
        <v>1.3458962435183539</v>
      </c>
      <c r="D43">
        <v>1.4972885947111929</v>
      </c>
      <c r="E43">
        <v>1.752668869606111</v>
      </c>
      <c r="F43">
        <v>1.3266459899973599</v>
      </c>
      <c r="G43">
        <v>2.2203144511825879</v>
      </c>
      <c r="H43">
        <v>1.9527826553908769</v>
      </c>
      <c r="I43">
        <v>0.75353600348131522</v>
      </c>
      <c r="J43">
        <v>-0.59293676979766019</v>
      </c>
      <c r="K43">
        <v>1.0908331834159239</v>
      </c>
      <c r="L43">
        <v>0.95995221674948539</v>
      </c>
      <c r="M43">
        <v>0.99951175759755984</v>
      </c>
      <c r="N43">
        <v>0.492245220877777</v>
      </c>
      <c r="P43" s="15" t="s">
        <v>56</v>
      </c>
      <c r="Q43" s="15" t="s">
        <v>57</v>
      </c>
      <c r="R43" s="15" t="s">
        <v>58</v>
      </c>
      <c r="S43" s="15"/>
      <c r="T43" s="15" t="s">
        <v>56</v>
      </c>
      <c r="U43" s="15" t="s">
        <v>57</v>
      </c>
      <c r="V43" s="15" t="s">
        <v>58</v>
      </c>
    </row>
    <row r="44" spans="1:22" x14ac:dyDescent="0.35">
      <c r="A44" t="s">
        <v>8</v>
      </c>
      <c r="B44">
        <v>-2.072090165814068</v>
      </c>
      <c r="C44">
        <v>-0.96755337423858356</v>
      </c>
      <c r="D44">
        <v>-1.0146126473737129</v>
      </c>
      <c r="E44">
        <v>-0.11323988982899599</v>
      </c>
      <c r="F44">
        <v>-0.2355987902836594</v>
      </c>
      <c r="G44">
        <v>9.0456386109090653E-2</v>
      </c>
      <c r="H44">
        <v>-0.54232293136719834</v>
      </c>
      <c r="I44">
        <v>-0.68396124727795438</v>
      </c>
      <c r="J44">
        <v>-0.69812196046537933</v>
      </c>
      <c r="K44">
        <v>-3.9833427111434852E-2</v>
      </c>
      <c r="L44">
        <v>0.39669237239811889</v>
      </c>
      <c r="M44">
        <v>0.69322783880797911</v>
      </c>
      <c r="N44">
        <v>0.47533348652037571</v>
      </c>
      <c r="P44" s="15">
        <f>MIN(B44:N44)</f>
        <v>-2.072090165814068</v>
      </c>
      <c r="Q44" s="15">
        <f>MAX(B44:N44)</f>
        <v>0.69322783880797911</v>
      </c>
      <c r="R44" s="15">
        <f>MEDIAN(B44:N44)</f>
        <v>-0.2355987902836594</v>
      </c>
      <c r="S44" s="15"/>
      <c r="T44" s="15">
        <v>-4.1776837425923929</v>
      </c>
      <c r="U44" s="15">
        <v>-2.754448107127843</v>
      </c>
      <c r="V44" s="15">
        <v>-3.614343533836518</v>
      </c>
    </row>
    <row r="45" spans="1:22" x14ac:dyDescent="0.35">
      <c r="A45" t="s">
        <v>9</v>
      </c>
      <c r="B45">
        <v>-2.7379574831956059</v>
      </c>
      <c r="C45">
        <v>-1.449955345839627</v>
      </c>
      <c r="D45">
        <v>-3.777857230690401</v>
      </c>
      <c r="E45">
        <v>-4.9484113804591683</v>
      </c>
      <c r="F45">
        <v>-4.1535780349148634</v>
      </c>
      <c r="G45">
        <v>-1.014621285372501</v>
      </c>
      <c r="H45">
        <v>-1.618076104265282</v>
      </c>
      <c r="I45">
        <v>-1.5602769978469391</v>
      </c>
      <c r="J45">
        <v>-0.78475247095689404</v>
      </c>
      <c r="K45">
        <v>-0.38922450159549088</v>
      </c>
      <c r="L45">
        <v>-0.57494631824503251</v>
      </c>
      <c r="M45">
        <v>-0.30261364429095872</v>
      </c>
      <c r="N45">
        <v>0.37818018805495041</v>
      </c>
    </row>
    <row r="46" spans="1:22" x14ac:dyDescent="0.35">
      <c r="A46" t="s">
        <v>10</v>
      </c>
      <c r="B46">
        <v>136.43311861743959</v>
      </c>
      <c r="C46">
        <v>139.58702664182459</v>
      </c>
      <c r="D46">
        <v>137.20941343458591</v>
      </c>
      <c r="E46">
        <v>137.25179811451449</v>
      </c>
      <c r="F46">
        <v>136.5057195395955</v>
      </c>
      <c r="G46">
        <v>141.72826789076481</v>
      </c>
      <c r="H46">
        <v>139.67749845091481</v>
      </c>
      <c r="I46">
        <v>138.27711578358429</v>
      </c>
      <c r="J46">
        <v>137.63295643370199</v>
      </c>
      <c r="K46">
        <v>140.5284980635559</v>
      </c>
      <c r="L46">
        <v>140.6996070287025</v>
      </c>
      <c r="M46">
        <v>142.33218021306581</v>
      </c>
      <c r="N46">
        <v>143.38042905120429</v>
      </c>
    </row>
    <row r="47" spans="1:22" x14ac:dyDescent="0.35">
      <c r="A47" t="s">
        <v>11</v>
      </c>
      <c r="B47">
        <v>259878972.38999999</v>
      </c>
      <c r="C47">
        <v>257888976.81999999</v>
      </c>
      <c r="D47">
        <v>146172142.97</v>
      </c>
      <c r="E47">
        <v>124941103.13</v>
      </c>
      <c r="F47">
        <v>390295588.06999987</v>
      </c>
      <c r="G47">
        <v>326192451.67000002</v>
      </c>
      <c r="H47">
        <v>301366599.82999998</v>
      </c>
      <c r="I47">
        <v>288436723.16000003</v>
      </c>
      <c r="J47">
        <v>442875681.85000002</v>
      </c>
      <c r="K47">
        <v>386473804.48000002</v>
      </c>
      <c r="L47">
        <v>379394062.72000003</v>
      </c>
      <c r="M47">
        <v>341881846.13999999</v>
      </c>
      <c r="N47">
        <v>493726991.83999997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="295" zoomScaleNormal="295" workbookViewId="0">
      <selection activeCell="B5" sqref="A1:C160"/>
    </sheetView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7"/>
  <sheetViews>
    <sheetView topLeftCell="A9" zoomScale="145" zoomScaleNormal="145" workbookViewId="0">
      <pane xSplit="1" topLeftCell="G1" activePane="topRight" state="frozen"/>
      <selection activeCell="A9" sqref="A9"/>
      <selection pane="topRight" activeCell="AB4" sqref="AB4"/>
    </sheetView>
  </sheetViews>
  <sheetFormatPr defaultRowHeight="14.5" x14ac:dyDescent="0.35"/>
  <sheetData>
    <row r="1" spans="1:30" x14ac:dyDescent="0.35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1</v>
      </c>
      <c r="W1" t="s">
        <v>2</v>
      </c>
      <c r="X1" t="s">
        <v>3</v>
      </c>
      <c r="Y1" t="s">
        <v>4</v>
      </c>
      <c r="Z1" t="s">
        <v>5</v>
      </c>
    </row>
    <row r="2" spans="1:30" x14ac:dyDescent="0.35">
      <c r="A2" t="s">
        <v>6</v>
      </c>
      <c r="B2">
        <v>131.7976352184192</v>
      </c>
      <c r="C2">
        <v>133.71059314411579</v>
      </c>
      <c r="D2">
        <v>135.28557431522441</v>
      </c>
      <c r="E2">
        <v>135.79608377329961</v>
      </c>
      <c r="F2">
        <v>134.60178841838771</v>
      </c>
      <c r="G2">
        <v>135.14257269364111</v>
      </c>
      <c r="H2">
        <v>135.3626526730819</v>
      </c>
      <c r="I2">
        <v>134.41537942859119</v>
      </c>
      <c r="J2">
        <v>134.06859534274361</v>
      </c>
      <c r="K2">
        <v>135.89246002160661</v>
      </c>
      <c r="L2">
        <v>136.14780523104511</v>
      </c>
      <c r="M2">
        <v>136.75155352499851</v>
      </c>
      <c r="N2">
        <v>136.66304693064629</v>
      </c>
      <c r="O2">
        <v>136.90906982764889</v>
      </c>
      <c r="P2">
        <v>136.43849356660581</v>
      </c>
      <c r="Q2">
        <v>137.02135091300229</v>
      </c>
      <c r="R2">
        <v>136.37211830562359</v>
      </c>
      <c r="S2">
        <v>137.12198326493359</v>
      </c>
      <c r="T2">
        <v>138.09052083542991</v>
      </c>
      <c r="U2">
        <v>136.8013556580203</v>
      </c>
      <c r="V2">
        <v>136.83702494495719</v>
      </c>
      <c r="W2">
        <v>138.03381902691669</v>
      </c>
      <c r="X2">
        <v>138.55808093396249</v>
      </c>
      <c r="Y2">
        <v>139.3761012547063</v>
      </c>
      <c r="Z2">
        <v>140.32273019474491</v>
      </c>
    </row>
    <row r="3" spans="1:30" x14ac:dyDescent="0.35">
      <c r="A3" t="s">
        <v>7</v>
      </c>
      <c r="B3">
        <v>1.412334077725234</v>
      </c>
      <c r="C3">
        <v>1.3083796764262841</v>
      </c>
      <c r="D3">
        <v>0.5822186890319756</v>
      </c>
      <c r="E3">
        <v>1.082214688707722</v>
      </c>
      <c r="F3">
        <v>1.320617127890017</v>
      </c>
      <c r="G3">
        <v>1.3559534628639081</v>
      </c>
      <c r="H3">
        <v>1.3112363909802129</v>
      </c>
      <c r="I3">
        <v>1.2138028379415571</v>
      </c>
      <c r="J3">
        <v>1.633893860899889</v>
      </c>
      <c r="K3">
        <v>1.3966255769194329</v>
      </c>
      <c r="L3">
        <v>1.265842489798644</v>
      </c>
      <c r="M3">
        <v>1.240840486174505</v>
      </c>
      <c r="N3">
        <v>0.79430529121580662</v>
      </c>
      <c r="O3">
        <v>1.222834674629752</v>
      </c>
      <c r="P3">
        <v>0.7012159871240442</v>
      </c>
      <c r="Q3">
        <v>0.83461732938272348</v>
      </c>
      <c r="R3">
        <v>0.66242897832651693</v>
      </c>
      <c r="S3">
        <v>1.1867832362002559</v>
      </c>
      <c r="T3">
        <v>0.97810535034986401</v>
      </c>
      <c r="U3">
        <v>1.174889336186141</v>
      </c>
      <c r="V3">
        <v>1.4592694189433359</v>
      </c>
      <c r="W3">
        <v>2.4660669161444559</v>
      </c>
      <c r="X3">
        <v>2.9266816981485699</v>
      </c>
      <c r="Y3">
        <v>2.919601597291575</v>
      </c>
      <c r="Z3">
        <v>3.1264617490047328</v>
      </c>
    </row>
    <row r="4" spans="1:30" x14ac:dyDescent="0.35">
      <c r="A4" t="s">
        <v>8</v>
      </c>
      <c r="B4">
        <v>-2.4514320687542668</v>
      </c>
      <c r="C4">
        <v>0.98657945574157135</v>
      </c>
      <c r="D4">
        <v>1.8087060255067171</v>
      </c>
      <c r="E4">
        <v>2.7851905505104662</v>
      </c>
      <c r="F4" s="13">
        <v>2.46606211187177</v>
      </c>
      <c r="G4">
        <v>2.3155747331200791</v>
      </c>
      <c r="H4">
        <v>2.1051425243138091</v>
      </c>
      <c r="I4">
        <v>1.2654937219115869</v>
      </c>
      <c r="J4">
        <v>0.43508735917562402</v>
      </c>
      <c r="K4">
        <v>0.4287739898368832</v>
      </c>
      <c r="L4">
        <v>-8.9139795973161698E-2</v>
      </c>
      <c r="M4">
        <v>0.61446710127198578</v>
      </c>
      <c r="N4">
        <v>0.51713071708870539</v>
      </c>
      <c r="O4">
        <v>0.73079915000286622</v>
      </c>
      <c r="P4">
        <v>0.5064915200645016</v>
      </c>
      <c r="Q4">
        <v>0.70162286349549163</v>
      </c>
      <c r="R4">
        <v>1.0849583998608561</v>
      </c>
      <c r="S4">
        <v>1.727013851634565</v>
      </c>
      <c r="T4">
        <v>2.580292601279373</v>
      </c>
      <c r="U4">
        <v>3.3144657909255151</v>
      </c>
      <c r="V4">
        <v>2.9986075632870701</v>
      </c>
      <c r="W4">
        <v>3.7521851192994218</v>
      </c>
      <c r="X4">
        <v>5.0310015241344406</v>
      </c>
      <c r="Y4">
        <v>5.1855907289387124</v>
      </c>
      <c r="Z4">
        <v>4.6060866065291552</v>
      </c>
      <c r="AB4">
        <f>SUM(B4:Z4)</f>
        <v>45.406752145073739</v>
      </c>
    </row>
    <row r="5" spans="1:30" x14ac:dyDescent="0.35">
      <c r="A5" t="s">
        <v>9</v>
      </c>
      <c r="B5">
        <v>0.32021300962536259</v>
      </c>
      <c r="C5">
        <v>-7.0917916421233351E-2</v>
      </c>
      <c r="D5">
        <v>2.676992061603058</v>
      </c>
      <c r="E5">
        <v>2.8146745143584919</v>
      </c>
      <c r="F5">
        <v>2.4860691974896052</v>
      </c>
      <c r="G5">
        <v>4.7262816091039577</v>
      </c>
      <c r="H5">
        <v>3.7630294389106149</v>
      </c>
      <c r="I5">
        <v>3.8101148848800568</v>
      </c>
      <c r="J5">
        <v>3.3603590186001679</v>
      </c>
      <c r="K5">
        <v>2.1960055910404219</v>
      </c>
      <c r="L5">
        <v>1.8106623589266</v>
      </c>
      <c r="M5">
        <v>1.171882167126244</v>
      </c>
      <c r="N5">
        <v>1.0276651406364501</v>
      </c>
      <c r="O5">
        <v>2.1879571173992041</v>
      </c>
      <c r="P5">
        <v>2.6993236954651461</v>
      </c>
      <c r="Q5">
        <v>2.2643519931781722</v>
      </c>
      <c r="R5">
        <v>1.979761894379455</v>
      </c>
      <c r="S5">
        <v>2.5702779718376418</v>
      </c>
      <c r="T5">
        <v>3.688934278025902</v>
      </c>
      <c r="U5">
        <v>3.381440416690082</v>
      </c>
      <c r="V5">
        <v>3.51497817454998</v>
      </c>
      <c r="W5">
        <v>4.0152138921501042</v>
      </c>
      <c r="X5">
        <v>3.9629671414127019</v>
      </c>
      <c r="Y5">
        <v>4.2363310702075712</v>
      </c>
      <c r="Z5">
        <v>4.2456907292189596</v>
      </c>
      <c r="AB5" t="s">
        <v>71</v>
      </c>
    </row>
    <row r="6" spans="1:30" x14ac:dyDescent="0.35">
      <c r="A6" t="s">
        <v>10</v>
      </c>
      <c r="B6">
        <v>131.07875023701561</v>
      </c>
      <c r="C6">
        <v>135.93463435986251</v>
      </c>
      <c r="D6">
        <v>140.35349109136621</v>
      </c>
      <c r="E6">
        <v>142.4781635268763</v>
      </c>
      <c r="F6">
        <v>140.87453685563909</v>
      </c>
      <c r="G6">
        <v>143.540382498729</v>
      </c>
      <c r="H6">
        <v>142.54206102728651</v>
      </c>
      <c r="I6">
        <v>140.70479087332441</v>
      </c>
      <c r="J6">
        <v>139.49793558141931</v>
      </c>
      <c r="K6">
        <v>139.91386517940339</v>
      </c>
      <c r="L6">
        <v>139.13517028379721</v>
      </c>
      <c r="M6">
        <v>139.77874327957119</v>
      </c>
      <c r="N6">
        <v>139.00214807958719</v>
      </c>
      <c r="O6">
        <v>141.05066076968069</v>
      </c>
      <c r="P6">
        <v>140.3455247692595</v>
      </c>
      <c r="Q6">
        <v>140.8219430990587</v>
      </c>
      <c r="R6">
        <v>140.09926757819051</v>
      </c>
      <c r="S6">
        <v>142.60605832460601</v>
      </c>
      <c r="T6">
        <v>145.337853065085</v>
      </c>
      <c r="U6">
        <v>144.672151201822</v>
      </c>
      <c r="V6">
        <v>144.8098801017376</v>
      </c>
      <c r="W6">
        <v>148.2672849545107</v>
      </c>
      <c r="X6">
        <v>150.47873129765819</v>
      </c>
      <c r="Y6">
        <v>151.71762465114409</v>
      </c>
      <c r="Z6">
        <v>152.30096927949779</v>
      </c>
    </row>
    <row r="7" spans="1:30" x14ac:dyDescent="0.35">
      <c r="A7" t="s">
        <v>11</v>
      </c>
      <c r="B7">
        <v>32266854</v>
      </c>
      <c r="C7">
        <v>27926177.469999999</v>
      </c>
      <c r="D7">
        <v>26788093.129999999</v>
      </c>
      <c r="E7">
        <v>22116684.23</v>
      </c>
      <c r="F7">
        <v>32796772.530000001</v>
      </c>
      <c r="G7">
        <v>39581722.560000002</v>
      </c>
      <c r="H7">
        <v>26574147.170000002</v>
      </c>
      <c r="I7">
        <v>23248977.84</v>
      </c>
      <c r="J7">
        <v>23682831.52</v>
      </c>
      <c r="K7">
        <v>23783043.949999999</v>
      </c>
      <c r="L7">
        <v>23891873.870000001</v>
      </c>
      <c r="M7">
        <v>16200639.27</v>
      </c>
      <c r="N7">
        <v>16458455.859999999</v>
      </c>
      <c r="O7">
        <v>16463632.33</v>
      </c>
      <c r="P7">
        <v>23500225.219999999</v>
      </c>
      <c r="Q7">
        <v>26931895.09</v>
      </c>
      <c r="R7">
        <v>45403667.079999998</v>
      </c>
      <c r="S7">
        <v>43850753.109999999</v>
      </c>
      <c r="T7">
        <v>30886831.440000001</v>
      </c>
      <c r="U7">
        <v>32083492.920000002</v>
      </c>
      <c r="V7">
        <v>56035846.899999999</v>
      </c>
      <c r="W7">
        <v>58135223.549999997</v>
      </c>
      <c r="X7">
        <v>51413758.530000001</v>
      </c>
      <c r="Y7">
        <v>39424319.840000004</v>
      </c>
      <c r="Z7">
        <v>44425980.789999999</v>
      </c>
    </row>
    <row r="9" spans="1:30" x14ac:dyDescent="0.35">
      <c r="A9" t="s">
        <v>12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  <c r="V9" t="s">
        <v>1</v>
      </c>
      <c r="W9" t="s">
        <v>2</v>
      </c>
      <c r="X9" t="s">
        <v>3</v>
      </c>
      <c r="Y9" t="s">
        <v>4</v>
      </c>
      <c r="Z9" t="s">
        <v>5</v>
      </c>
    </row>
    <row r="10" spans="1:30" x14ac:dyDescent="0.35">
      <c r="A10" t="s">
        <v>6</v>
      </c>
      <c r="B10">
        <v>131.13303029419251</v>
      </c>
      <c r="C10">
        <v>132.90504284604401</v>
      </c>
      <c r="D10">
        <v>133.9304786690208</v>
      </c>
      <c r="E10">
        <v>132.8038095162421</v>
      </c>
      <c r="F10">
        <v>135.4481125583965</v>
      </c>
      <c r="G10">
        <v>135.1873517847032</v>
      </c>
      <c r="H10">
        <v>134.94601738902409</v>
      </c>
      <c r="I10">
        <v>132.89927866287411</v>
      </c>
      <c r="J10">
        <v>134.06325322076779</v>
      </c>
      <c r="K10">
        <v>136.81720801029189</v>
      </c>
      <c r="L10">
        <v>138.00243272817349</v>
      </c>
      <c r="M10">
        <v>139.77793163612839</v>
      </c>
      <c r="N10">
        <v>141.27719036447311</v>
      </c>
      <c r="O10">
        <v>140.587337420209</v>
      </c>
      <c r="P10">
        <v>140.72102580751559</v>
      </c>
      <c r="Q10">
        <v>139.02514228651111</v>
      </c>
      <c r="R10">
        <v>138.13163482086091</v>
      </c>
      <c r="S10">
        <v>140.1735622972094</v>
      </c>
      <c r="T10">
        <v>141.55375224123731</v>
      </c>
      <c r="U10">
        <v>139.97097369283409</v>
      </c>
      <c r="V10">
        <v>139.83315040104489</v>
      </c>
      <c r="W10">
        <v>140.6343356036856</v>
      </c>
      <c r="X10">
        <v>140.9638839291236</v>
      </c>
      <c r="Y10">
        <v>141.85748818430829</v>
      </c>
      <c r="Z10">
        <v>142.76345340284971</v>
      </c>
    </row>
    <row r="11" spans="1:30" x14ac:dyDescent="0.35">
      <c r="A11" t="s">
        <v>7</v>
      </c>
      <c r="B11">
        <v>1.3091096453114519</v>
      </c>
      <c r="C11">
        <v>1.5067007457573709</v>
      </c>
      <c r="D11">
        <v>0.54845206108646494</v>
      </c>
      <c r="E11">
        <v>3.989095038917867E-3</v>
      </c>
      <c r="F11">
        <v>0.52413775543899987</v>
      </c>
      <c r="G11">
        <v>0.89828530507452342</v>
      </c>
      <c r="H11">
        <v>0.69221703585537853</v>
      </c>
      <c r="I11">
        <v>-0.39544920563756142</v>
      </c>
      <c r="J11">
        <v>-0.23544013982765929</v>
      </c>
      <c r="K11">
        <v>0.72599632061417196</v>
      </c>
      <c r="L11">
        <v>0.5826234577808691</v>
      </c>
      <c r="M11">
        <v>0.31311591216902462</v>
      </c>
      <c r="N11">
        <v>0.93883725131536266</v>
      </c>
      <c r="O11">
        <v>1.56454087947526</v>
      </c>
      <c r="P11">
        <v>1.6212334276677041</v>
      </c>
      <c r="Q11">
        <v>0.8929302351183992</v>
      </c>
      <c r="R11">
        <v>-0.197179663992614</v>
      </c>
      <c r="S11">
        <v>0.3035154362686967</v>
      </c>
      <c r="T11">
        <v>0.75919792713105494</v>
      </c>
      <c r="U11">
        <v>0.53146184690936593</v>
      </c>
      <c r="V11">
        <v>0.66791062198333861</v>
      </c>
      <c r="W11">
        <v>1.278142353031853</v>
      </c>
      <c r="X11">
        <v>1.796535868201431</v>
      </c>
      <c r="Y11">
        <v>2.7808560725822251</v>
      </c>
      <c r="Z11">
        <v>2.864458984330525</v>
      </c>
    </row>
    <row r="12" spans="1:30" x14ac:dyDescent="0.35">
      <c r="A12" t="s">
        <v>8</v>
      </c>
      <c r="B12">
        <v>-3.6048282616201899</v>
      </c>
      <c r="C12">
        <v>-0.78962203558824728</v>
      </c>
      <c r="D12">
        <v>-0.77844742675826051</v>
      </c>
      <c r="E12">
        <v>8.4521182031125852E-2</v>
      </c>
      <c r="F12">
        <v>-7.5782754673724931E-2</v>
      </c>
      <c r="G12">
        <v>-0.37799249498222431</v>
      </c>
      <c r="H12">
        <v>-0.66068890091738541</v>
      </c>
      <c r="I12">
        <v>-1.4143019751896939</v>
      </c>
      <c r="J12">
        <v>-2.068346397079361</v>
      </c>
      <c r="K12">
        <v>-2.0464474549409721</v>
      </c>
      <c r="L12">
        <v>-2.0952813683687919</v>
      </c>
      <c r="M12">
        <v>-1.9243728784997089</v>
      </c>
      <c r="N12">
        <v>-2.3016537439255691</v>
      </c>
      <c r="O12">
        <v>-1.839248333310578</v>
      </c>
      <c r="P12">
        <v>-1.997360148414594</v>
      </c>
      <c r="Q12">
        <v>-2.011806924945287</v>
      </c>
      <c r="R12">
        <v>-2.0892328980440769</v>
      </c>
      <c r="S12">
        <v>-1.634259118896646</v>
      </c>
      <c r="T12">
        <v>-1.0680761106654399</v>
      </c>
      <c r="U12">
        <v>0.44328749675465628</v>
      </c>
      <c r="V12">
        <v>0.61491987907852119</v>
      </c>
      <c r="W12">
        <v>0.89891578043157572</v>
      </c>
      <c r="X12">
        <v>1.4860074037735109</v>
      </c>
      <c r="Y12">
        <v>2.8270297784991758</v>
      </c>
      <c r="Z12">
        <v>1.6806879848303331</v>
      </c>
      <c r="AB12">
        <f>SUM(B12:Z12)</f>
        <v>-20.742379721421859</v>
      </c>
      <c r="AD12">
        <f>AVERAGE(B12:Z12)</f>
        <v>-0.82969518885687432</v>
      </c>
    </row>
    <row r="13" spans="1:30" x14ac:dyDescent="0.35">
      <c r="A13" t="s">
        <v>9</v>
      </c>
      <c r="B13">
        <v>5.9316049817255134E-3</v>
      </c>
      <c r="C13">
        <v>-3.4481417754975263E-2</v>
      </c>
      <c r="D13">
        <v>0.35517491106138022</v>
      </c>
      <c r="E13">
        <v>-0.76988122759163924</v>
      </c>
      <c r="F13">
        <v>2.0027852914701758</v>
      </c>
      <c r="G13">
        <v>4.7900758272641024</v>
      </c>
      <c r="H13">
        <v>3.3955403076696191</v>
      </c>
      <c r="I13">
        <v>2.5676578634579079</v>
      </c>
      <c r="J13">
        <v>2.870589357817821</v>
      </c>
      <c r="K13">
        <v>2.7866514021514792</v>
      </c>
      <c r="L13">
        <v>2.5920530429631841</v>
      </c>
      <c r="M13">
        <v>2.5719861764621919</v>
      </c>
      <c r="N13">
        <v>2.0220451824408738</v>
      </c>
      <c r="O13">
        <v>4.3912036745578114</v>
      </c>
      <c r="P13">
        <v>4.9764424058935122</v>
      </c>
      <c r="Q13">
        <v>5.5498602605761818</v>
      </c>
      <c r="R13">
        <v>5.2207917943202187</v>
      </c>
      <c r="S13">
        <v>5.3235721040661073</v>
      </c>
      <c r="T13">
        <v>5.1205103939870522</v>
      </c>
      <c r="U13">
        <v>5.198527537866612</v>
      </c>
      <c r="V13">
        <v>5.1678473153909694</v>
      </c>
      <c r="W13">
        <v>6.0922447897932823</v>
      </c>
      <c r="X13">
        <v>6.1345010291551478</v>
      </c>
      <c r="Y13">
        <v>6.2100174664570824</v>
      </c>
      <c r="Z13">
        <v>5.1876328624287327</v>
      </c>
    </row>
    <row r="14" spans="1:30" x14ac:dyDescent="0.35">
      <c r="A14" t="s">
        <v>10</v>
      </c>
      <c r="B14">
        <v>128.8432432828655</v>
      </c>
      <c r="C14">
        <v>133.58764013845811</v>
      </c>
      <c r="D14">
        <v>134.05565821441041</v>
      </c>
      <c r="E14">
        <v>132.1224385657205</v>
      </c>
      <c r="F14">
        <v>137.899252850632</v>
      </c>
      <c r="G14">
        <v>140.49772042205959</v>
      </c>
      <c r="H14">
        <v>138.37308583163181</v>
      </c>
      <c r="I14">
        <v>133.6571853455047</v>
      </c>
      <c r="J14">
        <v>134.63005604167861</v>
      </c>
      <c r="K14">
        <v>138.28340827811661</v>
      </c>
      <c r="L14">
        <v>139.08182786054871</v>
      </c>
      <c r="M14">
        <v>140.7386608462599</v>
      </c>
      <c r="N14">
        <v>141.9364190543038</v>
      </c>
      <c r="O14">
        <v>144.70383364093149</v>
      </c>
      <c r="P14">
        <v>145.3213414926623</v>
      </c>
      <c r="Q14">
        <v>143.45612585726039</v>
      </c>
      <c r="R14">
        <v>141.06601405314439</v>
      </c>
      <c r="S14">
        <v>144.16639071864759</v>
      </c>
      <c r="T14">
        <v>146.36538445168989</v>
      </c>
      <c r="U14">
        <v>146.14425057436469</v>
      </c>
      <c r="V14">
        <v>146.2838282174977</v>
      </c>
      <c r="W14">
        <v>148.9036385269423</v>
      </c>
      <c r="X14">
        <v>150.38092823025369</v>
      </c>
      <c r="Y14">
        <v>153.6753915018468</v>
      </c>
      <c r="Z14">
        <v>152.4962332344393</v>
      </c>
    </row>
    <row r="15" spans="1:30" x14ac:dyDescent="0.35">
      <c r="A15" t="s">
        <v>11</v>
      </c>
      <c r="B15">
        <v>25531953.719999999</v>
      </c>
      <c r="C15">
        <v>31709868.359999999</v>
      </c>
      <c r="D15">
        <v>39978116.189999998</v>
      </c>
      <c r="E15">
        <v>35518541.799999997</v>
      </c>
      <c r="F15">
        <v>48167716.590000004</v>
      </c>
      <c r="G15">
        <v>75307439.879999995</v>
      </c>
      <c r="H15">
        <v>65397089.159999996</v>
      </c>
      <c r="I15">
        <v>63739835.979999997</v>
      </c>
      <c r="J15">
        <v>61976868.359999999</v>
      </c>
      <c r="K15">
        <v>63221930.130000003</v>
      </c>
      <c r="L15">
        <v>57848125.32</v>
      </c>
      <c r="M15">
        <v>32090563.25</v>
      </c>
      <c r="N15">
        <v>19516866.98</v>
      </c>
      <c r="O15">
        <v>25449449.190000001</v>
      </c>
      <c r="P15">
        <v>43555600.030000001</v>
      </c>
      <c r="Q15">
        <v>75034894.310000002</v>
      </c>
      <c r="R15">
        <v>131533810.08</v>
      </c>
      <c r="S15">
        <v>147207291.50999999</v>
      </c>
      <c r="T15">
        <v>108850614.5</v>
      </c>
      <c r="U15">
        <v>119319099.8</v>
      </c>
      <c r="V15">
        <v>174895090.5</v>
      </c>
      <c r="W15">
        <v>177803912.80000001</v>
      </c>
      <c r="X15">
        <v>151109412.00999999</v>
      </c>
      <c r="Y15">
        <v>117985513.70999999</v>
      </c>
      <c r="Z15">
        <v>133585605.31</v>
      </c>
    </row>
    <row r="17" spans="1:28" x14ac:dyDescent="0.35">
      <c r="A17" t="s">
        <v>13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48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  <c r="V17" t="s">
        <v>1</v>
      </c>
      <c r="W17" t="s">
        <v>2</v>
      </c>
      <c r="X17" t="s">
        <v>3</v>
      </c>
      <c r="Y17" t="s">
        <v>4</v>
      </c>
      <c r="Z17" t="s">
        <v>5</v>
      </c>
    </row>
    <row r="18" spans="1:28" x14ac:dyDescent="0.35">
      <c r="A18" t="s">
        <v>6</v>
      </c>
      <c r="B18">
        <v>130.03039565128549</v>
      </c>
      <c r="C18">
        <v>133.13561972496839</v>
      </c>
      <c r="D18">
        <v>135.524196498951</v>
      </c>
      <c r="E18">
        <v>135.28732548834151</v>
      </c>
      <c r="F18">
        <v>135.28771439688319</v>
      </c>
      <c r="G18">
        <v>135.49900659610029</v>
      </c>
      <c r="H18">
        <v>135.05653202064309</v>
      </c>
      <c r="I18">
        <v>133.6533590478692</v>
      </c>
      <c r="J18">
        <v>134.54999962165849</v>
      </c>
      <c r="K18">
        <v>136.72731168449579</v>
      </c>
      <c r="L18">
        <v>137.2711437909899</v>
      </c>
      <c r="M18">
        <v>138.3019509586567</v>
      </c>
      <c r="N18">
        <v>139.23034679005511</v>
      </c>
      <c r="O18">
        <v>137.7158392394139</v>
      </c>
      <c r="P18">
        <v>138.53983622019501</v>
      </c>
      <c r="Q18">
        <v>137.48747271961969</v>
      </c>
      <c r="R18">
        <v>136.7602328443264</v>
      </c>
      <c r="S18">
        <v>137.47802427838079</v>
      </c>
      <c r="T18">
        <v>138.54353569478641</v>
      </c>
      <c r="U18">
        <v>137.20904828299791</v>
      </c>
      <c r="V18">
        <v>136.66839841462689</v>
      </c>
      <c r="W18">
        <v>137.94719223853701</v>
      </c>
      <c r="X18">
        <v>138.66054717924419</v>
      </c>
      <c r="Y18">
        <v>140.03751697543669</v>
      </c>
      <c r="Z18">
        <v>141.06501286859711</v>
      </c>
    </row>
    <row r="19" spans="1:28" x14ac:dyDescent="0.35">
      <c r="A19" t="s">
        <v>7</v>
      </c>
      <c r="B19">
        <v>0.62627010783492665</v>
      </c>
      <c r="C19">
        <v>0.5612475364693239</v>
      </c>
      <c r="D19">
        <v>0.90101304711950547</v>
      </c>
      <c r="E19">
        <v>0.84283260286281347</v>
      </c>
      <c r="F19">
        <v>1.6574384290709929</v>
      </c>
      <c r="G19">
        <v>1.815851125188999</v>
      </c>
      <c r="H19">
        <v>1.5016645803773661</v>
      </c>
      <c r="I19">
        <v>1.1834960513425301</v>
      </c>
      <c r="J19">
        <v>0.5660734388493438</v>
      </c>
      <c r="K19">
        <v>0.62303432104519629</v>
      </c>
      <c r="L19">
        <v>-1.4227398664814929E-2</v>
      </c>
      <c r="M19">
        <v>0.60880416093954182</v>
      </c>
      <c r="N19">
        <v>0.26065131663582969</v>
      </c>
      <c r="O19">
        <v>0.32381303156259378</v>
      </c>
      <c r="P19">
        <v>1.474295442786399</v>
      </c>
      <c r="Q19">
        <v>1.264705079320009</v>
      </c>
      <c r="R19">
        <v>1.013927862906201</v>
      </c>
      <c r="S19">
        <v>2.022800071092405</v>
      </c>
      <c r="T19">
        <v>2.2786497559132499</v>
      </c>
      <c r="U19">
        <v>2.0632355429099789</v>
      </c>
      <c r="V19">
        <v>1.8384507384756721</v>
      </c>
      <c r="W19">
        <v>2.0356618749904101</v>
      </c>
      <c r="X19">
        <v>2.2451500749805291</v>
      </c>
      <c r="Y19">
        <v>2.7851197376810428</v>
      </c>
      <c r="Z19">
        <v>3.125019135781685</v>
      </c>
    </row>
    <row r="20" spans="1:28" x14ac:dyDescent="0.35">
      <c r="A20" t="s">
        <v>8</v>
      </c>
      <c r="B20">
        <v>-2.645814915526346</v>
      </c>
      <c r="C20">
        <v>2.110837440600112</v>
      </c>
      <c r="D20">
        <v>2.5854719752787649</v>
      </c>
      <c r="E20">
        <v>3.1187863628246828</v>
      </c>
      <c r="F20" s="13">
        <v>2.8494270461488012</v>
      </c>
      <c r="G20">
        <v>3.0718729918195029</v>
      </c>
      <c r="H20">
        <v>2.8504742465322028</v>
      </c>
      <c r="I20">
        <v>2.6850989410166508</v>
      </c>
      <c r="J20">
        <v>2.2836814122840772</v>
      </c>
      <c r="K20">
        <v>2.3512907491486761</v>
      </c>
      <c r="L20">
        <v>2.115580290808023</v>
      </c>
      <c r="M20">
        <v>2.4447008105678161</v>
      </c>
      <c r="N20">
        <v>2.5491564550112971</v>
      </c>
      <c r="O20">
        <v>2.1684908656263788</v>
      </c>
      <c r="P20">
        <v>2.12065961622057</v>
      </c>
      <c r="Q20">
        <v>2.8922029109949858</v>
      </c>
      <c r="R20">
        <v>2.4242444910592731</v>
      </c>
      <c r="S20">
        <v>3.8895939838165172</v>
      </c>
      <c r="T20">
        <v>4.9265079473438496</v>
      </c>
      <c r="U20">
        <v>6.2976180276402092</v>
      </c>
      <c r="V20">
        <v>6.0332624074020318</v>
      </c>
      <c r="W20">
        <v>6.9318210512620873</v>
      </c>
      <c r="X20">
        <v>7.0053772746019387</v>
      </c>
      <c r="Y20">
        <v>8.4000970634976682</v>
      </c>
      <c r="Z20">
        <v>7.3710977382884666</v>
      </c>
      <c r="AB20">
        <f>SUM(B20:Z20)</f>
        <v>88.831537184268242</v>
      </c>
    </row>
    <row r="21" spans="1:28" x14ac:dyDescent="0.35">
      <c r="A21" t="s">
        <v>9</v>
      </c>
      <c r="B21">
        <v>-1.158212396266797</v>
      </c>
      <c r="C21">
        <v>-1.354101914924227</v>
      </c>
      <c r="D21">
        <v>1.109026565865787</v>
      </c>
      <c r="E21">
        <v>1.2784780912976239</v>
      </c>
      <c r="F21">
        <v>2.3988855073362978</v>
      </c>
      <c r="G21">
        <v>3.9963240858850848</v>
      </c>
      <c r="H21">
        <v>3.694064078902433</v>
      </c>
      <c r="I21">
        <v>3.365853807985502</v>
      </c>
      <c r="J21">
        <v>3.979342498047107</v>
      </c>
      <c r="K21">
        <v>4.7102304368172296</v>
      </c>
      <c r="L21">
        <v>4.4600932063431813</v>
      </c>
      <c r="M21">
        <v>5.2540634299369753</v>
      </c>
      <c r="N21">
        <v>5.2899300523753681</v>
      </c>
      <c r="O21">
        <v>4.7413790961241729</v>
      </c>
      <c r="P21">
        <v>6.0904157899971079</v>
      </c>
      <c r="Q21">
        <v>6.0470954892102418</v>
      </c>
      <c r="R21">
        <v>4.539511139956808</v>
      </c>
      <c r="S21">
        <v>5.1117876478817577</v>
      </c>
      <c r="T21">
        <v>5.6793691310803176</v>
      </c>
      <c r="U21">
        <v>5.5272910167507323</v>
      </c>
      <c r="V21">
        <v>5.19281904539928</v>
      </c>
      <c r="W21">
        <v>6.1207241569950259</v>
      </c>
      <c r="X21">
        <v>6.0125173445899494</v>
      </c>
      <c r="Y21">
        <v>6.2508555398519254</v>
      </c>
      <c r="Z21">
        <v>5.2677364922350289</v>
      </c>
      <c r="AB21" t="s">
        <v>72</v>
      </c>
    </row>
    <row r="22" spans="1:28" x14ac:dyDescent="0.35">
      <c r="A22" t="s">
        <v>10</v>
      </c>
      <c r="B22">
        <v>126.85263844732719</v>
      </c>
      <c r="C22">
        <v>134.45360278711371</v>
      </c>
      <c r="D22">
        <v>140.11970808721509</v>
      </c>
      <c r="E22">
        <v>140.5274225453266</v>
      </c>
      <c r="F22">
        <v>142.19346537943929</v>
      </c>
      <c r="G22">
        <v>144.38305479899381</v>
      </c>
      <c r="H22">
        <v>143.1027349264551</v>
      </c>
      <c r="I22">
        <v>140.8878078482139</v>
      </c>
      <c r="J22">
        <v>141.37909697083899</v>
      </c>
      <c r="K22">
        <v>144.41186719150701</v>
      </c>
      <c r="L22">
        <v>143.83258988947631</v>
      </c>
      <c r="M22">
        <v>146.60951936010099</v>
      </c>
      <c r="N22">
        <v>147.33008461407761</v>
      </c>
      <c r="O22">
        <v>144.94952223272699</v>
      </c>
      <c r="P22">
        <v>148.22520706919909</v>
      </c>
      <c r="Q22">
        <v>147.69147619914489</v>
      </c>
      <c r="R22">
        <v>144.7379163382486</v>
      </c>
      <c r="S22">
        <v>148.5022059811715</v>
      </c>
      <c r="T22">
        <v>151.42806252912379</v>
      </c>
      <c r="U22">
        <v>151.09719287029881</v>
      </c>
      <c r="V22">
        <v>149.7329306059039</v>
      </c>
      <c r="W22">
        <v>153.03539932178461</v>
      </c>
      <c r="X22">
        <v>153.92359187341671</v>
      </c>
      <c r="Y22">
        <v>157.47358931646741</v>
      </c>
      <c r="Z22">
        <v>156.82886623490231</v>
      </c>
    </row>
    <row r="23" spans="1:28" x14ac:dyDescent="0.35">
      <c r="A23" t="s">
        <v>11</v>
      </c>
      <c r="B23">
        <v>73703014.030000001</v>
      </c>
      <c r="C23">
        <v>59571429.259999998</v>
      </c>
      <c r="D23">
        <v>59037002.060000002</v>
      </c>
      <c r="E23">
        <v>44041840.929999992</v>
      </c>
      <c r="F23">
        <v>63199503.020000003</v>
      </c>
      <c r="G23">
        <v>82590816.25999999</v>
      </c>
      <c r="H23">
        <v>66553012.479999997</v>
      </c>
      <c r="I23">
        <v>59034423.950000003</v>
      </c>
      <c r="J23">
        <v>54953361.270000003</v>
      </c>
      <c r="K23">
        <v>54791981.729999997</v>
      </c>
      <c r="L23">
        <v>38420665.340000004</v>
      </c>
      <c r="M23">
        <v>21163298.399999999</v>
      </c>
      <c r="N23">
        <v>12649519.25</v>
      </c>
      <c r="O23">
        <v>16219659.52</v>
      </c>
      <c r="P23">
        <v>28909162.390000001</v>
      </c>
      <c r="Q23">
        <v>44296437.100000001</v>
      </c>
      <c r="R23">
        <v>68656688.389999986</v>
      </c>
      <c r="S23">
        <v>95026794.780000001</v>
      </c>
      <c r="T23">
        <v>69497795.010000005</v>
      </c>
      <c r="U23">
        <v>70683017.159999996</v>
      </c>
      <c r="V23">
        <v>109778122.69</v>
      </c>
      <c r="W23">
        <v>117997640.45999999</v>
      </c>
      <c r="X23">
        <v>91351164.770000011</v>
      </c>
      <c r="Y23">
        <v>72109323.439999998</v>
      </c>
      <c r="Z23">
        <v>88330639.229999989</v>
      </c>
    </row>
    <row r="25" spans="1:28" x14ac:dyDescent="0.35">
      <c r="A25" t="s">
        <v>14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66</v>
      </c>
      <c r="J25" t="s">
        <v>67</v>
      </c>
      <c r="K25" t="s">
        <v>68</v>
      </c>
      <c r="L25" t="s">
        <v>69</v>
      </c>
      <c r="M25" t="s">
        <v>70</v>
      </c>
      <c r="N25" t="s">
        <v>48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55</v>
      </c>
      <c r="V25" t="s">
        <v>1</v>
      </c>
      <c r="W25" t="s">
        <v>2</v>
      </c>
      <c r="X25" t="s">
        <v>3</v>
      </c>
      <c r="Y25" t="s">
        <v>4</v>
      </c>
      <c r="Z25" t="s">
        <v>5</v>
      </c>
    </row>
    <row r="26" spans="1:28" x14ac:dyDescent="0.35">
      <c r="A26" t="s">
        <v>6</v>
      </c>
      <c r="B26">
        <v>131.95038796688411</v>
      </c>
      <c r="C26">
        <v>135.6654717957741</v>
      </c>
      <c r="D26">
        <v>137.78085993452939</v>
      </c>
      <c r="E26">
        <v>140.37624797824719</v>
      </c>
      <c r="F26">
        <v>136.7568472127295</v>
      </c>
      <c r="G26">
        <v>136.1826116248541</v>
      </c>
      <c r="H26">
        <v>135.63104898296709</v>
      </c>
      <c r="I26">
        <v>134.6293495160532</v>
      </c>
      <c r="J26">
        <v>134.1739245565968</v>
      </c>
      <c r="K26">
        <v>135.83717961712421</v>
      </c>
      <c r="L26">
        <v>136.9637513036931</v>
      </c>
      <c r="M26">
        <v>138.7722798213712</v>
      </c>
      <c r="N26">
        <v>141.3231605158098</v>
      </c>
      <c r="O26">
        <v>138.8631915017576</v>
      </c>
      <c r="P26">
        <v>137.9566586474825</v>
      </c>
      <c r="Q26">
        <v>139.56619914782399</v>
      </c>
      <c r="R26">
        <v>138.52439991139249</v>
      </c>
      <c r="S26">
        <v>138.4097814248108</v>
      </c>
      <c r="T26">
        <v>140.36330737362081</v>
      </c>
      <c r="U26">
        <v>138.38768592238731</v>
      </c>
      <c r="V26">
        <v>136.70742932031769</v>
      </c>
      <c r="W26">
        <v>138.34779673954839</v>
      </c>
      <c r="X26">
        <v>138.10209621539431</v>
      </c>
      <c r="Y26">
        <v>138.9455515120215</v>
      </c>
      <c r="Z26">
        <v>140.97137435403101</v>
      </c>
    </row>
    <row r="27" spans="1:28" x14ac:dyDescent="0.35">
      <c r="A27" t="s">
        <v>7</v>
      </c>
      <c r="B27">
        <v>-1.7103216132117891</v>
      </c>
      <c r="C27">
        <v>-1.362001191333434</v>
      </c>
      <c r="D27">
        <v>-0.82270063325532305</v>
      </c>
      <c r="E27">
        <v>0.67937377043395486</v>
      </c>
      <c r="F27">
        <v>1.82079744362008</v>
      </c>
      <c r="G27">
        <v>-0.22282408009877491</v>
      </c>
      <c r="H27">
        <v>-0.34270651080376519</v>
      </c>
      <c r="I27">
        <v>0.75425032903180522</v>
      </c>
      <c r="J27">
        <v>0.49117725062757239</v>
      </c>
      <c r="K27">
        <v>0.57506675081188519</v>
      </c>
      <c r="L27">
        <v>0.94006829221265775</v>
      </c>
      <c r="M27">
        <v>0.98133634088566168</v>
      </c>
      <c r="N27">
        <v>1.163772265119974</v>
      </c>
      <c r="O27">
        <v>0.76651233466805024</v>
      </c>
      <c r="P27">
        <v>1.051226100014617</v>
      </c>
      <c r="Q27">
        <v>1.3906266452335669</v>
      </c>
      <c r="R27">
        <v>1.553697558330924</v>
      </c>
      <c r="S27">
        <v>2.4436111035358579</v>
      </c>
      <c r="T27">
        <v>3.2853415839857969</v>
      </c>
      <c r="U27">
        <v>2.9736339398277489</v>
      </c>
      <c r="V27">
        <v>2.4078901425605181</v>
      </c>
      <c r="W27">
        <v>2.491006820245985</v>
      </c>
      <c r="X27">
        <v>3.009578920406597</v>
      </c>
      <c r="Y27">
        <v>1.8551298377325911</v>
      </c>
      <c r="Z27">
        <v>2.36301409599352</v>
      </c>
    </row>
    <row r="28" spans="1:28" x14ac:dyDescent="0.35">
      <c r="A28" t="s">
        <v>8</v>
      </c>
      <c r="B28">
        <v>-4.3032781917799188</v>
      </c>
      <c r="C28">
        <v>-1.5599148601497861</v>
      </c>
      <c r="D28">
        <v>-1.005383242149732</v>
      </c>
      <c r="E28">
        <v>-0.51334414445878662</v>
      </c>
      <c r="F28">
        <v>-0.19125678878937941</v>
      </c>
      <c r="G28">
        <v>-0.66445052149712969</v>
      </c>
      <c r="H28">
        <v>-0.82410923409679293</v>
      </c>
      <c r="I28">
        <v>-0.87148145800078602</v>
      </c>
      <c r="J28">
        <v>-1.3073873106466449</v>
      </c>
      <c r="K28">
        <v>-2.3379040747850852</v>
      </c>
      <c r="L28">
        <v>-1.926009347796388</v>
      </c>
      <c r="M28">
        <v>-1.7707430752731881</v>
      </c>
      <c r="N28">
        <v>-1.0447650035697771</v>
      </c>
      <c r="O28">
        <v>-1.528148869260888</v>
      </c>
      <c r="P28">
        <v>-1.220224088104215</v>
      </c>
      <c r="Q28">
        <v>-0.44368024669981471</v>
      </c>
      <c r="R28">
        <v>-1.1238938060354531</v>
      </c>
      <c r="S28">
        <v>-1.055028094485805</v>
      </c>
      <c r="T28">
        <v>-0.95167146180981044</v>
      </c>
      <c r="U28">
        <v>1.174398983637196</v>
      </c>
      <c r="V28">
        <v>1.472426310519412</v>
      </c>
      <c r="W28">
        <v>0.73656264871900279</v>
      </c>
      <c r="X28">
        <v>1.4219800675218031</v>
      </c>
      <c r="Y28">
        <v>1.7823427679820401</v>
      </c>
      <c r="Z28">
        <v>0.15574689472060441</v>
      </c>
      <c r="AB28">
        <f>SUM(B28:Z28)</f>
        <v>-17.899216146289319</v>
      </c>
    </row>
    <row r="29" spans="1:28" x14ac:dyDescent="0.35">
      <c r="A29" t="s">
        <v>9</v>
      </c>
      <c r="B29">
        <v>6.1906737830865826</v>
      </c>
      <c r="C29">
        <v>7.0331440086115666</v>
      </c>
      <c r="D29">
        <v>9.9701975553579807</v>
      </c>
      <c r="E29">
        <v>8.9849480344015031</v>
      </c>
      <c r="F29">
        <v>7.7462434614231146</v>
      </c>
      <c r="G29">
        <v>9.7550706033257644</v>
      </c>
      <c r="H29">
        <v>8.8309165448175548</v>
      </c>
      <c r="I29">
        <v>7.7046525899057947</v>
      </c>
      <c r="J29">
        <v>7.5704854591293023</v>
      </c>
      <c r="K29">
        <v>7.7050467100869788</v>
      </c>
      <c r="L29">
        <v>7.9561856710891554</v>
      </c>
      <c r="M29">
        <v>7.9120134266747906</v>
      </c>
      <c r="N29">
        <v>8.8983727385145794</v>
      </c>
      <c r="O29">
        <v>8.2305730397635415</v>
      </c>
      <c r="P29">
        <v>9.0487813037711646</v>
      </c>
      <c r="Q29">
        <v>8.6819607894137398</v>
      </c>
      <c r="R29">
        <v>6.8460323423161551</v>
      </c>
      <c r="S29">
        <v>7.1632997958954627</v>
      </c>
      <c r="T29">
        <v>7.5084641706325339</v>
      </c>
      <c r="U29">
        <v>7.6155559197794744</v>
      </c>
      <c r="V29">
        <v>6.8878557537755478</v>
      </c>
      <c r="W29">
        <v>6.3813711768929702</v>
      </c>
      <c r="X29">
        <v>6.3602823225190139</v>
      </c>
      <c r="Y29">
        <v>6.3920333597915651</v>
      </c>
      <c r="Z29">
        <v>5.5249811396448738</v>
      </c>
    </row>
    <row r="30" spans="1:28" x14ac:dyDescent="0.35">
      <c r="A30" t="s">
        <v>10</v>
      </c>
      <c r="B30">
        <v>132.12746194497899</v>
      </c>
      <c r="C30">
        <v>139.77669975290249</v>
      </c>
      <c r="D30">
        <v>145.92297361448229</v>
      </c>
      <c r="E30">
        <v>149.52722563862389</v>
      </c>
      <c r="F30">
        <v>146.13263132898331</v>
      </c>
      <c r="G30">
        <v>145.0504076265839</v>
      </c>
      <c r="H30">
        <v>143.29514978288421</v>
      </c>
      <c r="I30">
        <v>142.21677097699009</v>
      </c>
      <c r="J30">
        <v>140.92819995570699</v>
      </c>
      <c r="K30">
        <v>141.77938900323801</v>
      </c>
      <c r="L30">
        <v>143.93399591919851</v>
      </c>
      <c r="M30">
        <v>145.89488651365841</v>
      </c>
      <c r="N30">
        <v>150.34054051587461</v>
      </c>
      <c r="O30">
        <v>146.33212800692829</v>
      </c>
      <c r="P30">
        <v>146.83644196316399</v>
      </c>
      <c r="Q30">
        <v>149.1951063357715</v>
      </c>
      <c r="R30">
        <v>145.8002360060041</v>
      </c>
      <c r="S30">
        <v>146.96166422975631</v>
      </c>
      <c r="T30">
        <v>150.20544166642921</v>
      </c>
      <c r="U30">
        <v>150.15127476563171</v>
      </c>
      <c r="V30">
        <v>147.4756015271731</v>
      </c>
      <c r="W30">
        <v>147.9567373854064</v>
      </c>
      <c r="X30">
        <v>148.89393752584169</v>
      </c>
      <c r="Y30">
        <v>148.97505747752771</v>
      </c>
      <c r="Z30">
        <v>149.01511648439001</v>
      </c>
    </row>
    <row r="31" spans="1:28" x14ac:dyDescent="0.35">
      <c r="A31" t="s">
        <v>11</v>
      </c>
      <c r="B31">
        <v>29567896.149999999</v>
      </c>
      <c r="C31">
        <v>20452730.02</v>
      </c>
      <c r="D31">
        <v>18615600.899999999</v>
      </c>
      <c r="E31">
        <v>8943877.3999999985</v>
      </c>
      <c r="F31">
        <v>15181236.02</v>
      </c>
      <c r="G31">
        <v>31017455.530000001</v>
      </c>
      <c r="H31">
        <v>26185057.969999999</v>
      </c>
      <c r="I31">
        <v>18912869.129999999</v>
      </c>
      <c r="J31">
        <v>20022958.149999999</v>
      </c>
      <c r="K31">
        <v>18264458.109999999</v>
      </c>
      <c r="L31">
        <v>16133338.15</v>
      </c>
      <c r="M31">
        <v>9991541.5899999999</v>
      </c>
      <c r="N31">
        <v>6626495.1899999985</v>
      </c>
      <c r="O31">
        <v>9268286.370000001</v>
      </c>
      <c r="P31">
        <v>15549122.210000001</v>
      </c>
      <c r="Q31">
        <v>15000070.210000001</v>
      </c>
      <c r="R31">
        <v>27235117.280000001</v>
      </c>
      <c r="S31">
        <v>35792719.759999998</v>
      </c>
      <c r="T31">
        <v>21813472.829999998</v>
      </c>
      <c r="U31">
        <v>21252328.469999999</v>
      </c>
      <c r="V31">
        <v>43623019.229999997</v>
      </c>
      <c r="W31">
        <v>40763731</v>
      </c>
      <c r="X31">
        <v>43230820.039999999</v>
      </c>
      <c r="Y31">
        <v>43342018.540000007</v>
      </c>
      <c r="Z31">
        <v>51820831.549999997</v>
      </c>
    </row>
    <row r="33" spans="1:28" x14ac:dyDescent="0.35">
      <c r="A33" t="s">
        <v>15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64</v>
      </c>
      <c r="H33" t="s">
        <v>65</v>
      </c>
      <c r="I33" t="s">
        <v>66</v>
      </c>
      <c r="J33" t="s">
        <v>67</v>
      </c>
      <c r="K33" t="s">
        <v>68</v>
      </c>
      <c r="L33" t="s">
        <v>69</v>
      </c>
      <c r="M33" t="s">
        <v>70</v>
      </c>
      <c r="N33" t="s">
        <v>48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55</v>
      </c>
      <c r="V33" t="s">
        <v>1</v>
      </c>
      <c r="W33" t="s">
        <v>2</v>
      </c>
      <c r="X33" t="s">
        <v>3</v>
      </c>
      <c r="Y33" t="s">
        <v>4</v>
      </c>
      <c r="Z33" t="s">
        <v>5</v>
      </c>
    </row>
    <row r="34" spans="1:28" x14ac:dyDescent="0.35">
      <c r="A34" t="s">
        <v>6</v>
      </c>
      <c r="B34">
        <v>132.3830679174151</v>
      </c>
      <c r="C34">
        <v>133.22864053407059</v>
      </c>
      <c r="D34">
        <v>136.30165783621021</v>
      </c>
      <c r="E34">
        <v>135.3824245085064</v>
      </c>
      <c r="F34">
        <v>133.83570351401411</v>
      </c>
      <c r="G34">
        <v>131.87489783492529</v>
      </c>
      <c r="H34">
        <v>131.1356915650193</v>
      </c>
      <c r="I34">
        <v>129.47230286810949</v>
      </c>
      <c r="J34">
        <v>129.34472841048469</v>
      </c>
      <c r="K34">
        <v>131.4534857039441</v>
      </c>
      <c r="L34">
        <v>131.7155339764507</v>
      </c>
      <c r="M34">
        <v>131.25851429906621</v>
      </c>
      <c r="N34">
        <v>132.73384871823549</v>
      </c>
      <c r="O34">
        <v>133.44219538041571</v>
      </c>
      <c r="P34">
        <v>133.76755452848761</v>
      </c>
      <c r="Q34">
        <v>135.31366592578499</v>
      </c>
      <c r="R34">
        <v>136.174564953763</v>
      </c>
      <c r="S34">
        <v>136.81709999339159</v>
      </c>
      <c r="T34">
        <v>136.69241262670499</v>
      </c>
      <c r="U34">
        <v>134.948750294055</v>
      </c>
      <c r="V34">
        <v>134.57147996843619</v>
      </c>
      <c r="W34">
        <v>136.41792232868141</v>
      </c>
      <c r="X34">
        <v>137.00629562165429</v>
      </c>
      <c r="Y34">
        <v>137.20721483911191</v>
      </c>
      <c r="Z34">
        <v>139.79700801090769</v>
      </c>
    </row>
    <row r="35" spans="1:28" x14ac:dyDescent="0.35">
      <c r="A35" t="s">
        <v>7</v>
      </c>
      <c r="B35">
        <v>0.53733727491581362</v>
      </c>
      <c r="C35">
        <v>0.61144890440334621</v>
      </c>
      <c r="D35">
        <v>0.32319333564112179</v>
      </c>
      <c r="E35">
        <v>-0.89774631802086446</v>
      </c>
      <c r="F35">
        <v>-0.38175502107574738</v>
      </c>
      <c r="G35">
        <v>-0.59152796588301726</v>
      </c>
      <c r="H35">
        <v>-0.80097814863870553</v>
      </c>
      <c r="I35">
        <v>-0.57952409404390437</v>
      </c>
      <c r="J35">
        <v>-0.1218767355521209</v>
      </c>
      <c r="K35">
        <v>-0.57677921084459172</v>
      </c>
      <c r="L35">
        <v>-1.563158121816997</v>
      </c>
      <c r="M35">
        <v>-1.3928785047271219</v>
      </c>
      <c r="N35">
        <v>-1.751634827333447</v>
      </c>
      <c r="O35">
        <v>-1.055753827058538</v>
      </c>
      <c r="P35">
        <v>-0.70981924968504018</v>
      </c>
      <c r="Q35">
        <v>0.45637312284415538</v>
      </c>
      <c r="R35">
        <v>-0.59196154705890081</v>
      </c>
      <c r="S35">
        <v>-0.32963785050176853</v>
      </c>
      <c r="T35">
        <v>-0.49424107346195001</v>
      </c>
      <c r="U35">
        <v>-0.28560818312433872</v>
      </c>
      <c r="V35">
        <v>-0.97599677625345294</v>
      </c>
      <c r="W35">
        <v>0.2051806703973682</v>
      </c>
      <c r="X35">
        <v>0.17963091044521209</v>
      </c>
      <c r="Y35">
        <v>1.0649609356779881</v>
      </c>
      <c r="Z35">
        <v>1.2538169690974139</v>
      </c>
    </row>
    <row r="36" spans="1:28" x14ac:dyDescent="0.35">
      <c r="A36" t="s">
        <v>8</v>
      </c>
      <c r="B36">
        <v>-3.930762883659205</v>
      </c>
      <c r="C36">
        <v>-0.25069820832044681</v>
      </c>
      <c r="D36">
        <v>0.14289628509978999</v>
      </c>
      <c r="E36">
        <v>-2.7361975040254609E-2</v>
      </c>
      <c r="F36">
        <v>1.7026104280143211E-2</v>
      </c>
      <c r="G36">
        <v>0.5125364321350292</v>
      </c>
      <c r="H36">
        <v>-0.116442369925592</v>
      </c>
      <c r="I36">
        <v>-0.11122887042664779</v>
      </c>
      <c r="J36">
        <v>-1.0228987234839311</v>
      </c>
      <c r="K36">
        <v>-1.306708350882867</v>
      </c>
      <c r="L36">
        <v>-2.0579850077470421</v>
      </c>
      <c r="M36">
        <v>-2.2321860276680652</v>
      </c>
      <c r="N36">
        <v>-1.9845435178881221</v>
      </c>
      <c r="O36">
        <v>-1.4900515379555339</v>
      </c>
      <c r="P36">
        <v>-1.275541700280082</v>
      </c>
      <c r="Q36">
        <v>-0.61558115550197379</v>
      </c>
      <c r="R36">
        <v>-1.208862615262138</v>
      </c>
      <c r="S36">
        <v>-0.70766037366255741</v>
      </c>
      <c r="T36">
        <v>0.25203212537693659</v>
      </c>
      <c r="U36">
        <v>3.1488127626799072</v>
      </c>
      <c r="V36">
        <v>4.774438181309864</v>
      </c>
      <c r="W36">
        <v>3.6984810529589001</v>
      </c>
      <c r="X36">
        <v>3.7671271517580061</v>
      </c>
      <c r="Y36">
        <v>4.7206981670882424</v>
      </c>
      <c r="Z36">
        <v>3.7286851021054339</v>
      </c>
      <c r="AB36">
        <f>SUM(B36:Z36)</f>
        <v>6.4242200470877933</v>
      </c>
    </row>
    <row r="37" spans="1:28" x14ac:dyDescent="0.35">
      <c r="A37" t="s">
        <v>9</v>
      </c>
      <c r="B37">
        <v>-0.24472003069315981</v>
      </c>
      <c r="C37">
        <v>1.7169528608739659E-2</v>
      </c>
      <c r="D37">
        <v>2.42516107239843</v>
      </c>
      <c r="E37">
        <v>0.99700453534986866</v>
      </c>
      <c r="F37">
        <v>1.1369996287296089</v>
      </c>
      <c r="G37">
        <v>2.5388217500132439</v>
      </c>
      <c r="H37">
        <v>1.380676029103078</v>
      </c>
      <c r="I37">
        <v>0.92912005928225283</v>
      </c>
      <c r="J37">
        <v>0.67576130234653209</v>
      </c>
      <c r="K37">
        <v>1.318745217488817</v>
      </c>
      <c r="L37">
        <v>2.068208000796893</v>
      </c>
      <c r="M37">
        <v>1.29216656635524</v>
      </c>
      <c r="N37">
        <v>0.82799357664660023</v>
      </c>
      <c r="O37">
        <v>1.50693525666838</v>
      </c>
      <c r="P37">
        <v>2.6181359150768979</v>
      </c>
      <c r="Q37">
        <v>1.848491657461502</v>
      </c>
      <c r="R37">
        <v>1.7176199040907281</v>
      </c>
      <c r="S37">
        <v>1.9598258295215321</v>
      </c>
      <c r="T37">
        <v>1.7512952947295251</v>
      </c>
      <c r="U37">
        <v>1.3253911726824941</v>
      </c>
      <c r="V37">
        <v>1.519428767958253</v>
      </c>
      <c r="W37">
        <v>1.923159572841191</v>
      </c>
      <c r="X37">
        <v>1.852662500261947</v>
      </c>
      <c r="Y37">
        <v>1.6923191777533431</v>
      </c>
      <c r="Z37">
        <v>1.499624911180284</v>
      </c>
    </row>
    <row r="38" spans="1:28" x14ac:dyDescent="0.35">
      <c r="A38" t="s">
        <v>10</v>
      </c>
      <c r="B38">
        <v>128.7449222779785</v>
      </c>
      <c r="C38">
        <v>133.6065607587623</v>
      </c>
      <c r="D38">
        <v>139.19290852934949</v>
      </c>
      <c r="E38">
        <v>135.45432075079509</v>
      </c>
      <c r="F38">
        <v>134.60797422594811</v>
      </c>
      <c r="G38">
        <v>134.33472805119061</v>
      </c>
      <c r="H38">
        <v>131.59894707555799</v>
      </c>
      <c r="I38">
        <v>129.71066996292109</v>
      </c>
      <c r="J38">
        <v>128.87571425379511</v>
      </c>
      <c r="K38">
        <v>130.88874335970539</v>
      </c>
      <c r="L38">
        <v>130.16259884768351</v>
      </c>
      <c r="M38">
        <v>128.9256163330262</v>
      </c>
      <c r="N38">
        <v>129.82566394966051</v>
      </c>
      <c r="O38">
        <v>132.40332527206999</v>
      </c>
      <c r="P38">
        <v>134.40032949359929</v>
      </c>
      <c r="Q38">
        <v>137.00294955058871</v>
      </c>
      <c r="R38">
        <v>136.0913606955327</v>
      </c>
      <c r="S38">
        <v>137.7396275987488</v>
      </c>
      <c r="T38">
        <v>138.20149897334949</v>
      </c>
      <c r="U38">
        <v>139.137346046293</v>
      </c>
      <c r="V38">
        <v>139.8893501414509</v>
      </c>
      <c r="W38">
        <v>142.24474362487879</v>
      </c>
      <c r="X38">
        <v>142.80571618411949</v>
      </c>
      <c r="Y38">
        <v>144.68519311963149</v>
      </c>
      <c r="Z38">
        <v>146.27913499329091</v>
      </c>
    </row>
    <row r="39" spans="1:28" x14ac:dyDescent="0.35">
      <c r="A39" t="s">
        <v>11</v>
      </c>
      <c r="B39">
        <v>43044124.439999998</v>
      </c>
      <c r="C39">
        <v>47390259.829999998</v>
      </c>
      <c r="D39">
        <v>47951626.950000003</v>
      </c>
      <c r="E39">
        <v>49971994.260000013</v>
      </c>
      <c r="F39">
        <v>91023827.040000007</v>
      </c>
      <c r="G39">
        <v>128666875.94</v>
      </c>
      <c r="H39">
        <v>96920595.560000002</v>
      </c>
      <c r="I39">
        <v>74050276.870000005</v>
      </c>
      <c r="J39">
        <v>76165797.020000011</v>
      </c>
      <c r="K39">
        <v>68689507.870000005</v>
      </c>
      <c r="L39">
        <v>57582674.780000001</v>
      </c>
      <c r="M39">
        <v>65211671.070000008</v>
      </c>
      <c r="N39">
        <v>68700873.709999993</v>
      </c>
      <c r="O39">
        <v>60708657.989999987</v>
      </c>
      <c r="P39">
        <v>74303783.810000002</v>
      </c>
      <c r="Q39">
        <v>77788703.159999996</v>
      </c>
      <c r="R39">
        <v>115593246.77</v>
      </c>
      <c r="S39">
        <v>101927446.03</v>
      </c>
      <c r="T39">
        <v>81167790.520000011</v>
      </c>
      <c r="U39">
        <v>92147128.75</v>
      </c>
      <c r="V39">
        <v>151182270.44999999</v>
      </c>
      <c r="W39">
        <v>130251017.45999999</v>
      </c>
      <c r="X39">
        <v>108684678.34999999</v>
      </c>
      <c r="Y39">
        <v>91451649.269999996</v>
      </c>
      <c r="Z39">
        <v>85452588.810000002</v>
      </c>
    </row>
    <row r="41" spans="1:28" x14ac:dyDescent="0.35">
      <c r="A41" t="s">
        <v>16</v>
      </c>
      <c r="B41" t="s">
        <v>59</v>
      </c>
      <c r="C41" t="s">
        <v>60</v>
      </c>
      <c r="D41" t="s">
        <v>61</v>
      </c>
      <c r="E41" t="s">
        <v>62</v>
      </c>
      <c r="F41" t="s">
        <v>63</v>
      </c>
      <c r="G41" t="s">
        <v>64</v>
      </c>
      <c r="H41" t="s">
        <v>65</v>
      </c>
      <c r="I41" t="s">
        <v>66</v>
      </c>
      <c r="J41" t="s">
        <v>67</v>
      </c>
      <c r="K41" t="s">
        <v>68</v>
      </c>
      <c r="L41" t="s">
        <v>69</v>
      </c>
      <c r="M41" t="s">
        <v>70</v>
      </c>
      <c r="N41" t="s">
        <v>48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55</v>
      </c>
      <c r="V41" t="s">
        <v>1</v>
      </c>
      <c r="W41" t="s">
        <v>2</v>
      </c>
      <c r="X41" t="s">
        <v>3</v>
      </c>
      <c r="Y41" t="s">
        <v>4</v>
      </c>
      <c r="Z41" t="s">
        <v>5</v>
      </c>
    </row>
    <row r="42" spans="1:28" x14ac:dyDescent="0.35">
      <c r="A42" t="s">
        <v>6</v>
      </c>
      <c r="B42">
        <v>135.86332249445411</v>
      </c>
      <c r="C42">
        <v>138.37204193247351</v>
      </c>
      <c r="D42">
        <v>138.78949632186041</v>
      </c>
      <c r="E42">
        <v>136.95890436813559</v>
      </c>
      <c r="F42">
        <v>135.464326976926</v>
      </c>
      <c r="G42">
        <v>135.7380087477724</v>
      </c>
      <c r="H42">
        <v>134.5037235232796</v>
      </c>
      <c r="I42">
        <v>133.19297164592061</v>
      </c>
      <c r="J42">
        <v>133.26474125481579</v>
      </c>
      <c r="K42">
        <v>134.70114979213409</v>
      </c>
      <c r="L42">
        <v>136.05826795641721</v>
      </c>
      <c r="M42">
        <v>138.33369756523109</v>
      </c>
      <c r="N42">
        <v>140.09671657848929</v>
      </c>
      <c r="O42">
        <v>140.65863911838451</v>
      </c>
      <c r="P42">
        <v>140.50459471793889</v>
      </c>
      <c r="Q42">
        <v>140.56078051519651</v>
      </c>
      <c r="R42">
        <v>139.56825037479661</v>
      </c>
      <c r="S42">
        <v>140.43211833884561</v>
      </c>
      <c r="T42">
        <v>139.88511483115639</v>
      </c>
      <c r="U42">
        <v>139.76781802522791</v>
      </c>
      <c r="V42">
        <v>139.70876763492191</v>
      </c>
      <c r="W42">
        <v>139.86672280884679</v>
      </c>
      <c r="X42">
        <v>139.91790875779989</v>
      </c>
      <c r="Y42">
        <v>140.94205426095121</v>
      </c>
      <c r="Z42">
        <v>142.0346701557512</v>
      </c>
    </row>
    <row r="43" spans="1:28" x14ac:dyDescent="0.35">
      <c r="A43" t="s">
        <v>7</v>
      </c>
      <c r="B43">
        <v>4.4892786568121892</v>
      </c>
      <c r="C43">
        <v>4.5519790664233426</v>
      </c>
      <c r="D43">
        <v>4.4080580897392574</v>
      </c>
      <c r="E43">
        <v>4.0588062484797547</v>
      </c>
      <c r="F43">
        <v>3.841442647036359</v>
      </c>
      <c r="G43">
        <v>3.6205957394709292</v>
      </c>
      <c r="H43">
        <v>3.485684751518249</v>
      </c>
      <c r="I43">
        <v>3.1667830676876751</v>
      </c>
      <c r="J43">
        <v>2.9133541916365862</v>
      </c>
      <c r="K43">
        <v>2.0561578106858178</v>
      </c>
      <c r="L43">
        <v>1.233781080130228</v>
      </c>
      <c r="M43">
        <v>1.3869179362435771</v>
      </c>
      <c r="N43">
        <v>1.146449687959944</v>
      </c>
      <c r="O43">
        <v>1.3458962435183539</v>
      </c>
      <c r="P43">
        <v>1.4972885947111929</v>
      </c>
      <c r="Q43">
        <v>1.752668869606083</v>
      </c>
      <c r="R43">
        <v>1.3266459899973599</v>
      </c>
      <c r="S43">
        <v>2.2203144511825879</v>
      </c>
      <c r="T43">
        <v>1.9527826553908481</v>
      </c>
      <c r="U43">
        <v>0.75353600348131522</v>
      </c>
      <c r="V43">
        <v>-0.59293676979766019</v>
      </c>
      <c r="W43">
        <v>1.0908331834159239</v>
      </c>
      <c r="X43">
        <v>0.95995221674948539</v>
      </c>
      <c r="Y43">
        <v>0.99951175759755984</v>
      </c>
      <c r="Z43">
        <v>0.492245220877777</v>
      </c>
    </row>
    <row r="44" spans="1:28" x14ac:dyDescent="0.35">
      <c r="A44" t="s">
        <v>8</v>
      </c>
      <c r="B44">
        <v>-0.49601595492066719</v>
      </c>
      <c r="C44">
        <v>0.43110716236046481</v>
      </c>
      <c r="D44">
        <v>2.4526482980789091E-2</v>
      </c>
      <c r="E44">
        <v>0.40477748094964999</v>
      </c>
      <c r="F44">
        <v>0.49499963135423242</v>
      </c>
      <c r="G44">
        <v>0.85579212000959226</v>
      </c>
      <c r="H44">
        <v>1.7071870021484039</v>
      </c>
      <c r="I44">
        <v>0.80482787756820351</v>
      </c>
      <c r="J44">
        <v>0.66193313693982403</v>
      </c>
      <c r="K44">
        <v>-2.0183634801495699E-2</v>
      </c>
      <c r="L44">
        <v>-0.44628346717111989</v>
      </c>
      <c r="M44">
        <v>-0.57549411857195676</v>
      </c>
      <c r="N44">
        <v>-1.050842905124616</v>
      </c>
      <c r="O44">
        <v>-0.96755337423858379</v>
      </c>
      <c r="P44">
        <v>-1.0146126473737129</v>
      </c>
      <c r="Q44">
        <v>-0.1132398898289869</v>
      </c>
      <c r="R44">
        <v>-0.23559879028366379</v>
      </c>
      <c r="S44">
        <v>9.0456386109081438E-2</v>
      </c>
      <c r="T44">
        <v>-0.54232293136719367</v>
      </c>
      <c r="U44">
        <v>-0.68396124727795471</v>
      </c>
      <c r="V44">
        <v>-0.69812196046537944</v>
      </c>
      <c r="W44">
        <v>-3.9833427111439362E-2</v>
      </c>
      <c r="X44">
        <v>0.39669237239811889</v>
      </c>
      <c r="Y44">
        <v>0.69322783880797911</v>
      </c>
      <c r="Z44">
        <v>0.4753334865203851</v>
      </c>
      <c r="AB44">
        <f>SUM(B44:Z44)</f>
        <v>0.15679662960995433</v>
      </c>
    </row>
    <row r="45" spans="1:28" x14ac:dyDescent="0.35">
      <c r="A45" t="s">
        <v>9</v>
      </c>
      <c r="B45">
        <v>-1.8757568331304539</v>
      </c>
      <c r="C45">
        <v>-2.2934700304173168</v>
      </c>
      <c r="D45">
        <v>-1.90599548482373E-2</v>
      </c>
      <c r="E45">
        <v>-2.1020656889837821</v>
      </c>
      <c r="F45">
        <v>0.12072478597421719</v>
      </c>
      <c r="G45">
        <v>2.7926839232716238</v>
      </c>
      <c r="H45">
        <v>1.806428919350769</v>
      </c>
      <c r="I45">
        <v>1.6186275026709971</v>
      </c>
      <c r="J45">
        <v>-0.67399097003836994</v>
      </c>
      <c r="K45">
        <v>0.54282025768139242</v>
      </c>
      <c r="L45">
        <v>-0.67404899043559141</v>
      </c>
      <c r="M45">
        <v>-2.4034512234684819</v>
      </c>
      <c r="N45">
        <v>-2.7379574831956002</v>
      </c>
      <c r="O45">
        <v>-1.4499553458396299</v>
      </c>
      <c r="P45">
        <v>-3.777857230690401</v>
      </c>
      <c r="Q45">
        <v>-4.9484113804591709</v>
      </c>
      <c r="R45">
        <v>-4.1535780349148608</v>
      </c>
      <c r="S45">
        <v>-1.0146212853724981</v>
      </c>
      <c r="T45">
        <v>-1.6180761042652849</v>
      </c>
      <c r="U45">
        <v>-1.5602769978469391</v>
      </c>
      <c r="V45">
        <v>-0.78475247095689693</v>
      </c>
      <c r="W45">
        <v>-0.38922450159549088</v>
      </c>
      <c r="X45">
        <v>-0.57494631824503251</v>
      </c>
      <c r="Y45">
        <v>-0.30261364429095577</v>
      </c>
      <c r="Z45">
        <v>0.37818018805493869</v>
      </c>
    </row>
    <row r="46" spans="1:28" x14ac:dyDescent="0.35">
      <c r="A46" t="s">
        <v>10</v>
      </c>
      <c r="B46">
        <v>137.98082836321521</v>
      </c>
      <c r="C46">
        <v>141.06165813083999</v>
      </c>
      <c r="D46">
        <v>143.2030209397322</v>
      </c>
      <c r="E46">
        <v>139.32042240858129</v>
      </c>
      <c r="F46">
        <v>139.9214940412908</v>
      </c>
      <c r="G46">
        <v>143.00708053052449</v>
      </c>
      <c r="H46">
        <v>141.50302419629699</v>
      </c>
      <c r="I46">
        <v>138.7832100938474</v>
      </c>
      <c r="J46">
        <v>136.16603761335381</v>
      </c>
      <c r="K46">
        <v>137.27994422569981</v>
      </c>
      <c r="L46">
        <v>136.17171657894079</v>
      </c>
      <c r="M46">
        <v>136.74167015943419</v>
      </c>
      <c r="N46">
        <v>137.45436587812901</v>
      </c>
      <c r="O46">
        <v>139.58702664182459</v>
      </c>
      <c r="P46">
        <v>137.20941343458591</v>
      </c>
      <c r="Q46">
        <v>137.2517981145144</v>
      </c>
      <c r="R46">
        <v>136.5057195395955</v>
      </c>
      <c r="S46">
        <v>141.72826789076481</v>
      </c>
      <c r="T46">
        <v>139.67749845091481</v>
      </c>
      <c r="U46">
        <v>138.27711578358429</v>
      </c>
      <c r="V46">
        <v>137.63295643370199</v>
      </c>
      <c r="W46">
        <v>140.52849806355579</v>
      </c>
      <c r="X46">
        <v>140.6996070287025</v>
      </c>
      <c r="Y46">
        <v>142.33218021306581</v>
      </c>
      <c r="Z46">
        <v>143.38042905120429</v>
      </c>
    </row>
    <row r="47" spans="1:28" x14ac:dyDescent="0.35">
      <c r="A47" t="s">
        <v>11</v>
      </c>
      <c r="B47">
        <v>240696561.13</v>
      </c>
      <c r="C47">
        <v>210491293.02000001</v>
      </c>
      <c r="D47">
        <v>273255852.95999998</v>
      </c>
      <c r="E47">
        <v>231122364.84999999</v>
      </c>
      <c r="F47">
        <v>368400633.05000001</v>
      </c>
      <c r="G47">
        <v>373098863.99000001</v>
      </c>
      <c r="H47">
        <v>340292364.87</v>
      </c>
      <c r="I47">
        <v>287626500.82999998</v>
      </c>
      <c r="J47">
        <v>221666779.77000001</v>
      </c>
      <c r="K47">
        <v>355757867.75999999</v>
      </c>
      <c r="L47">
        <v>294296290.55000001</v>
      </c>
      <c r="M47">
        <v>222829131.05000001</v>
      </c>
      <c r="N47">
        <v>259878972.38999999</v>
      </c>
      <c r="O47">
        <v>257888976.81999999</v>
      </c>
      <c r="P47">
        <v>146172142.97</v>
      </c>
      <c r="Q47">
        <v>124941103.13</v>
      </c>
      <c r="R47">
        <v>390295588.06999999</v>
      </c>
      <c r="S47">
        <v>326192451.67000002</v>
      </c>
      <c r="T47">
        <v>301366599.82999998</v>
      </c>
      <c r="U47">
        <v>288436723.16000003</v>
      </c>
      <c r="V47">
        <v>442875681.85000002</v>
      </c>
      <c r="W47">
        <v>386473804.48000002</v>
      </c>
      <c r="X47">
        <v>379394062.72000003</v>
      </c>
      <c r="Y47">
        <v>341881846.13999999</v>
      </c>
      <c r="Z47">
        <v>493726991.83999991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47"/>
  <sheetViews>
    <sheetView topLeftCell="A9" zoomScale="160" workbookViewId="0">
      <pane xSplit="1" topLeftCell="H1" activePane="topRight" state="frozen"/>
      <selection activeCell="A7" sqref="A7"/>
      <selection pane="topRight" activeCell="AA37" sqref="AA37"/>
    </sheetView>
  </sheetViews>
  <sheetFormatPr defaultRowHeight="14.5" x14ac:dyDescent="0.35"/>
  <sheetData>
    <row r="1" spans="1:28" x14ac:dyDescent="0.35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1</v>
      </c>
      <c r="W1" t="s">
        <v>2</v>
      </c>
      <c r="X1" t="s">
        <v>3</v>
      </c>
      <c r="Y1" t="s">
        <v>4</v>
      </c>
      <c r="Z1" t="s">
        <v>5</v>
      </c>
    </row>
    <row r="2" spans="1:28" x14ac:dyDescent="0.35">
      <c r="A2" t="s">
        <v>6</v>
      </c>
      <c r="B2">
        <v>131.79763521841929</v>
      </c>
      <c r="C2">
        <v>133.71059314411579</v>
      </c>
      <c r="D2">
        <v>135.28557431522441</v>
      </c>
      <c r="E2">
        <v>135.79608377329961</v>
      </c>
      <c r="F2">
        <v>134.60178841838771</v>
      </c>
      <c r="G2">
        <v>135.14257269364111</v>
      </c>
      <c r="H2">
        <v>135.3626526730819</v>
      </c>
      <c r="I2">
        <v>134.41537942859119</v>
      </c>
      <c r="J2">
        <v>134.06859534274361</v>
      </c>
      <c r="K2">
        <v>135.89246002160661</v>
      </c>
      <c r="L2">
        <v>136.14780523104511</v>
      </c>
      <c r="M2">
        <v>136.75155352499851</v>
      </c>
      <c r="N2">
        <v>136.66304693064629</v>
      </c>
      <c r="O2">
        <v>136.90906982764889</v>
      </c>
      <c r="P2">
        <v>136.43849356660581</v>
      </c>
      <c r="Q2">
        <v>137.02135091300229</v>
      </c>
      <c r="R2">
        <v>136.3721183056237</v>
      </c>
      <c r="S2">
        <v>137.12198326493359</v>
      </c>
      <c r="T2">
        <v>138.09052083542991</v>
      </c>
      <c r="U2">
        <v>136.8013556580203</v>
      </c>
      <c r="V2">
        <v>136.83702494495719</v>
      </c>
      <c r="W2">
        <v>138.03381902691669</v>
      </c>
      <c r="X2">
        <v>138.55808093396249</v>
      </c>
      <c r="Y2">
        <v>139.3761012547063</v>
      </c>
      <c r="Z2">
        <v>140.3225241613558</v>
      </c>
    </row>
    <row r="3" spans="1:28" x14ac:dyDescent="0.35">
      <c r="A3" t="s">
        <v>7</v>
      </c>
      <c r="B3">
        <v>1.412334077725234</v>
      </c>
      <c r="C3">
        <v>1.3083796764262841</v>
      </c>
      <c r="D3">
        <v>0.5822186890319756</v>
      </c>
      <c r="E3">
        <v>1.082214688707722</v>
      </c>
      <c r="F3">
        <v>1.320617127890017</v>
      </c>
      <c r="G3">
        <v>1.3559534628639081</v>
      </c>
      <c r="H3">
        <v>1.3112363909802129</v>
      </c>
      <c r="I3">
        <v>1.2138028379415571</v>
      </c>
      <c r="J3">
        <v>1.633893860899889</v>
      </c>
      <c r="K3">
        <v>1.3966255769194329</v>
      </c>
      <c r="L3">
        <v>1.265842489798644</v>
      </c>
      <c r="M3">
        <v>1.240840486174505</v>
      </c>
      <c r="N3">
        <v>0.79430529121580662</v>
      </c>
      <c r="O3">
        <v>1.222834674629752</v>
      </c>
      <c r="P3">
        <v>0.7012159871240442</v>
      </c>
      <c r="Q3">
        <v>0.83461732938272348</v>
      </c>
      <c r="R3">
        <v>0.66242897832651693</v>
      </c>
      <c r="S3">
        <v>1.1867832362002559</v>
      </c>
      <c r="T3">
        <v>0.97810535034986401</v>
      </c>
      <c r="U3">
        <v>1.174889336186141</v>
      </c>
      <c r="V3">
        <v>1.4592694189433639</v>
      </c>
      <c r="W3">
        <v>2.4660669161444559</v>
      </c>
      <c r="X3">
        <v>2.9266816981485699</v>
      </c>
      <c r="Y3">
        <v>2.919601597291575</v>
      </c>
      <c r="Z3">
        <v>3.1264617490047328</v>
      </c>
    </row>
    <row r="4" spans="1:28" x14ac:dyDescent="0.35">
      <c r="A4" t="s">
        <v>8</v>
      </c>
      <c r="B4">
        <v>-4.0827770848358416</v>
      </c>
      <c r="C4">
        <v>-1.0347206722157569</v>
      </c>
      <c r="D4">
        <v>-0.30686663647136808</v>
      </c>
      <c r="E4">
        <v>0.5594158696760626</v>
      </c>
      <c r="F4">
        <v>0.28503309544824712</v>
      </c>
      <c r="G4">
        <v>0.141055570900149</v>
      </c>
      <c r="H4">
        <v>-5.1200749375993657E-2</v>
      </c>
      <c r="I4">
        <v>-0.79254575157833473</v>
      </c>
      <c r="J4">
        <v>-1.539916170376882</v>
      </c>
      <c r="K4">
        <v>-1.568154520791436</v>
      </c>
      <c r="L4">
        <v>-2.034498188821495</v>
      </c>
      <c r="M4">
        <v>-1.4114226887479451</v>
      </c>
      <c r="N4">
        <v>-1.491221657857609</v>
      </c>
      <c r="O4">
        <v>-1.3089075135197401</v>
      </c>
      <c r="P4">
        <v>-1.4962556063110111</v>
      </c>
      <c r="Q4">
        <v>-1.3311932369615549</v>
      </c>
      <c r="R4">
        <v>-0.97494812679994813</v>
      </c>
      <c r="S4">
        <v>-0.41524089038946349</v>
      </c>
      <c r="T4">
        <v>0.3431967838010882</v>
      </c>
      <c r="U4">
        <v>1.021816523990658</v>
      </c>
      <c r="V4">
        <v>0.73187389993782914</v>
      </c>
      <c r="W4">
        <v>1.3814262230873791</v>
      </c>
      <c r="X4">
        <v>2.5250769297608202</v>
      </c>
      <c r="Y4">
        <v>2.6535290564958691</v>
      </c>
      <c r="Z4">
        <v>2.1119082203986341</v>
      </c>
      <c r="AB4">
        <f>SUM(B4:Z4)</f>
        <v>-8.0855373215576432</v>
      </c>
    </row>
    <row r="5" spans="1:28" x14ac:dyDescent="0.35">
      <c r="A5" t="s">
        <v>9</v>
      </c>
      <c r="B5">
        <v>0.31983101440327522</v>
      </c>
      <c r="C5">
        <v>-8.2785909373652489E-2</v>
      </c>
      <c r="D5">
        <v>2.6679097445473059</v>
      </c>
      <c r="E5">
        <v>2.8213129807267472</v>
      </c>
      <c r="F5">
        <v>2.4860691974896052</v>
      </c>
      <c r="G5">
        <v>4.7258663327963086</v>
      </c>
      <c r="H5">
        <v>3.763029438910618</v>
      </c>
      <c r="I5">
        <v>3.8101148848800528</v>
      </c>
      <c r="J5">
        <v>3.3853107635890072</v>
      </c>
      <c r="K5">
        <v>2.1960055910404219</v>
      </c>
      <c r="L5">
        <v>1.8137663314527139</v>
      </c>
      <c r="M5">
        <v>1.171882167126244</v>
      </c>
      <c r="N5">
        <v>1.0276651406364541</v>
      </c>
      <c r="O5">
        <v>2.2235981044699509</v>
      </c>
      <c r="P5">
        <v>2.7051452742214792</v>
      </c>
      <c r="Q5">
        <v>2.2674652960503612</v>
      </c>
      <c r="R5">
        <v>1.9688516338753961</v>
      </c>
      <c r="S5">
        <v>2.5759178347063041</v>
      </c>
      <c r="T5">
        <v>3.6929730804120089</v>
      </c>
      <c r="U5">
        <v>3.3719392173907221</v>
      </c>
      <c r="V5">
        <v>3.5181265793029861</v>
      </c>
      <c r="W5">
        <v>4.0242763195883597</v>
      </c>
      <c r="X5">
        <v>3.9631258117350741</v>
      </c>
      <c r="Y5">
        <v>4.2539685154513052</v>
      </c>
      <c r="Z5">
        <v>4.245345438901734</v>
      </c>
    </row>
    <row r="6" spans="1:28" x14ac:dyDescent="0.35">
      <c r="A6" t="s">
        <v>10</v>
      </c>
      <c r="B6">
        <v>129.44702322571189</v>
      </c>
      <c r="C6">
        <v>133.90146623895271</v>
      </c>
      <c r="D6">
        <v>138.22883611233229</v>
      </c>
      <c r="E6">
        <v>140.25902731241021</v>
      </c>
      <c r="F6">
        <v>138.69350783921561</v>
      </c>
      <c r="G6">
        <v>141.36544806020149</v>
      </c>
      <c r="H6">
        <v>140.38571775359679</v>
      </c>
      <c r="I6">
        <v>138.6467513998345</v>
      </c>
      <c r="J6">
        <v>137.5478837968557</v>
      </c>
      <c r="K6">
        <v>137.91693666877509</v>
      </c>
      <c r="L6">
        <v>137.19291586347501</v>
      </c>
      <c r="M6">
        <v>137.75285348955131</v>
      </c>
      <c r="N6">
        <v>136.99379570464089</v>
      </c>
      <c r="O6">
        <v>139.0465950932288</v>
      </c>
      <c r="P6">
        <v>138.34859922164031</v>
      </c>
      <c r="Q6">
        <v>138.79224030147381</v>
      </c>
      <c r="R6">
        <v>138.0284507910257</v>
      </c>
      <c r="S6">
        <v>140.46944344545071</v>
      </c>
      <c r="T6">
        <v>143.10479604999281</v>
      </c>
      <c r="U6">
        <v>142.37000073558781</v>
      </c>
      <c r="V6">
        <v>142.5462948431414</v>
      </c>
      <c r="W6">
        <v>145.9055884857369</v>
      </c>
      <c r="X6">
        <v>147.972965373607</v>
      </c>
      <c r="Y6">
        <v>149.20320042394499</v>
      </c>
      <c r="Z6">
        <v>149.80623956966079</v>
      </c>
    </row>
    <row r="7" spans="1:28" x14ac:dyDescent="0.35">
      <c r="A7" t="s">
        <v>11</v>
      </c>
      <c r="B7">
        <v>32266854</v>
      </c>
      <c r="C7">
        <v>27926177.469999999</v>
      </c>
      <c r="D7">
        <v>26788093.129999999</v>
      </c>
      <c r="E7">
        <v>22116684.23</v>
      </c>
      <c r="F7">
        <v>32796772.530000001</v>
      </c>
      <c r="G7">
        <v>39581722.560000002</v>
      </c>
      <c r="H7">
        <v>26574147.170000002</v>
      </c>
      <c r="I7">
        <v>23248977.84</v>
      </c>
      <c r="J7">
        <v>23682831.52</v>
      </c>
      <c r="K7">
        <v>23783043.949999999</v>
      </c>
      <c r="L7">
        <v>23891873.870000001</v>
      </c>
      <c r="M7">
        <v>16200639.27</v>
      </c>
      <c r="N7">
        <v>16458455.859999999</v>
      </c>
      <c r="O7">
        <v>16463632.33</v>
      </c>
      <c r="P7">
        <v>23500225.219999999</v>
      </c>
      <c r="Q7">
        <v>26931895.09</v>
      </c>
      <c r="R7">
        <v>45403667.079999998</v>
      </c>
      <c r="S7">
        <v>43850753.109999999</v>
      </c>
      <c r="T7">
        <v>30886831.440000001</v>
      </c>
      <c r="U7">
        <v>32083492.920000002</v>
      </c>
      <c r="V7">
        <v>56035846.899999999</v>
      </c>
      <c r="W7">
        <v>58135223.549999997</v>
      </c>
      <c r="X7">
        <v>51413758.530000001</v>
      </c>
      <c r="Y7">
        <v>39424319.840000004</v>
      </c>
      <c r="Z7">
        <v>44425980.789999999</v>
      </c>
    </row>
    <row r="9" spans="1:28" x14ac:dyDescent="0.35">
      <c r="A9" t="s">
        <v>12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  <c r="V9" t="s">
        <v>1</v>
      </c>
      <c r="W9" t="s">
        <v>2</v>
      </c>
      <c r="X9" t="s">
        <v>3</v>
      </c>
      <c r="Y9" t="s">
        <v>4</v>
      </c>
      <c r="Z9" t="s">
        <v>5</v>
      </c>
    </row>
    <row r="10" spans="1:28" x14ac:dyDescent="0.35">
      <c r="A10" t="s">
        <v>6</v>
      </c>
      <c r="B10">
        <v>131.13303029419251</v>
      </c>
      <c r="C10">
        <v>132.90504284604401</v>
      </c>
      <c r="D10">
        <v>133.9304786690208</v>
      </c>
      <c r="E10">
        <v>132.8038095162421</v>
      </c>
      <c r="F10">
        <v>135.4481125583965</v>
      </c>
      <c r="G10">
        <v>135.1873517847032</v>
      </c>
      <c r="H10">
        <v>134.94601738902409</v>
      </c>
      <c r="I10">
        <v>132.89927866287411</v>
      </c>
      <c r="J10">
        <v>134.06325322076779</v>
      </c>
      <c r="K10">
        <v>136.81720801029189</v>
      </c>
      <c r="L10">
        <v>138.00243272817349</v>
      </c>
      <c r="M10">
        <v>139.77793163612839</v>
      </c>
      <c r="N10">
        <v>141.27719036447311</v>
      </c>
      <c r="O10">
        <v>140.587337420209</v>
      </c>
      <c r="P10">
        <v>140.72102580751559</v>
      </c>
      <c r="Q10">
        <v>139.02514228651111</v>
      </c>
      <c r="R10">
        <v>138.13163482086091</v>
      </c>
      <c r="S10">
        <v>140.1735622972094</v>
      </c>
      <c r="T10">
        <v>141.55375224123719</v>
      </c>
      <c r="U10">
        <v>139.97097369283409</v>
      </c>
      <c r="V10">
        <v>139.83315040104489</v>
      </c>
      <c r="W10">
        <v>140.6343356036856</v>
      </c>
      <c r="X10">
        <v>140.9638839291236</v>
      </c>
      <c r="Y10">
        <v>141.85748818430829</v>
      </c>
      <c r="Z10">
        <v>142.76282504407831</v>
      </c>
    </row>
    <row r="11" spans="1:28" x14ac:dyDescent="0.35">
      <c r="A11" t="s">
        <v>7</v>
      </c>
      <c r="B11">
        <v>1.3091096453114519</v>
      </c>
      <c r="C11">
        <v>1.5067007457573709</v>
      </c>
      <c r="D11">
        <v>0.54845206108646494</v>
      </c>
      <c r="E11">
        <v>3.989095038917867E-3</v>
      </c>
      <c r="F11">
        <v>0.52413775543899987</v>
      </c>
      <c r="G11">
        <v>0.89828530507452342</v>
      </c>
      <c r="H11">
        <v>0.69221703585537853</v>
      </c>
      <c r="I11">
        <v>-0.39544920563756142</v>
      </c>
      <c r="J11">
        <v>-0.23544013982765929</v>
      </c>
      <c r="K11">
        <v>0.72599632061417196</v>
      </c>
      <c r="L11">
        <v>0.5826234577808691</v>
      </c>
      <c r="M11">
        <v>0.31311591216902462</v>
      </c>
      <c r="N11">
        <v>0.93883725131536266</v>
      </c>
      <c r="O11">
        <v>1.56454087947526</v>
      </c>
      <c r="P11">
        <v>1.6212334276677041</v>
      </c>
      <c r="Q11">
        <v>0.8929302351183992</v>
      </c>
      <c r="R11">
        <v>-0.197179663992614</v>
      </c>
      <c r="S11">
        <v>0.3035154362686967</v>
      </c>
      <c r="T11">
        <v>0.75919792713105494</v>
      </c>
      <c r="U11">
        <v>0.53146184690936593</v>
      </c>
      <c r="V11">
        <v>0.66791062198333861</v>
      </c>
      <c r="W11">
        <v>1.278142353031853</v>
      </c>
      <c r="X11">
        <v>1.796535868201431</v>
      </c>
      <c r="Y11">
        <v>2.7808560725822251</v>
      </c>
      <c r="Z11">
        <v>2.864458984330525</v>
      </c>
    </row>
    <row r="12" spans="1:28" x14ac:dyDescent="0.35">
      <c r="A12" t="s">
        <v>8</v>
      </c>
      <c r="B12">
        <v>-3.6048282616201899</v>
      </c>
      <c r="C12">
        <v>-0.78962203558825506</v>
      </c>
      <c r="D12">
        <v>-0.77844742675826051</v>
      </c>
      <c r="E12">
        <v>8.4521182031125894E-2</v>
      </c>
      <c r="F12">
        <v>-7.5782754673724931E-2</v>
      </c>
      <c r="G12">
        <v>-0.37799249498222448</v>
      </c>
      <c r="H12">
        <v>-0.66068890091737742</v>
      </c>
      <c r="I12">
        <v>-1.4143019751896939</v>
      </c>
      <c r="J12">
        <v>-2.0683463970793552</v>
      </c>
      <c r="K12">
        <v>-2.0464474549409721</v>
      </c>
      <c r="L12">
        <v>-2.0952813683687852</v>
      </c>
      <c r="M12">
        <v>-1.924372878499701</v>
      </c>
      <c r="N12">
        <v>-2.3016537439255691</v>
      </c>
      <c r="O12">
        <v>-1.839248333310578</v>
      </c>
      <c r="P12">
        <v>-1.9973601484145871</v>
      </c>
      <c r="Q12">
        <v>-2.0118069249452879</v>
      </c>
      <c r="R12">
        <v>-2.0892328980440769</v>
      </c>
      <c r="S12">
        <v>-1.634259118896638</v>
      </c>
      <c r="T12">
        <v>-1.068076110665432</v>
      </c>
      <c r="U12">
        <v>0.44328749675466522</v>
      </c>
      <c r="V12">
        <v>0.61491987907852119</v>
      </c>
      <c r="W12">
        <v>0.89891578043157572</v>
      </c>
      <c r="X12">
        <v>1.486007403773502</v>
      </c>
      <c r="Y12">
        <v>2.827029778499166</v>
      </c>
      <c r="Z12">
        <v>1.680680732957941</v>
      </c>
      <c r="AB12">
        <f>SUM(B12:Z12)</f>
        <v>-20.742386973294213</v>
      </c>
    </row>
    <row r="13" spans="1:28" x14ac:dyDescent="0.35">
      <c r="A13" t="s">
        <v>9</v>
      </c>
      <c r="B13">
        <v>5.8585516691351813E-3</v>
      </c>
      <c r="C13">
        <v>-2.1116575322876249E-2</v>
      </c>
      <c r="D13">
        <v>0.34878304102259849</v>
      </c>
      <c r="E13">
        <v>-0.7626568574386563</v>
      </c>
      <c r="F13">
        <v>1.993075530191186</v>
      </c>
      <c r="G13">
        <v>4.7894319516479511</v>
      </c>
      <c r="H13">
        <v>3.3942066745178789</v>
      </c>
      <c r="I13">
        <v>2.5752520192262458</v>
      </c>
      <c r="J13">
        <v>2.8725487726744312</v>
      </c>
      <c r="K13">
        <v>2.79416809801516</v>
      </c>
      <c r="L13">
        <v>2.592053042963181</v>
      </c>
      <c r="M13">
        <v>2.5681240152133151</v>
      </c>
      <c r="N13">
        <v>2.0220451824408738</v>
      </c>
      <c r="O13">
        <v>4.4037375508133207</v>
      </c>
      <c r="P13">
        <v>4.9989529551569447</v>
      </c>
      <c r="Q13">
        <v>5.5500405036442562</v>
      </c>
      <c r="R13">
        <v>5.2211451535213502</v>
      </c>
      <c r="S13">
        <v>5.320996241143753</v>
      </c>
      <c r="T13">
        <v>5.115204038340047</v>
      </c>
      <c r="U13">
        <v>5.1979604417070417</v>
      </c>
      <c r="V13">
        <v>5.1609375834696127</v>
      </c>
      <c r="W13">
        <v>6.0916403709326019</v>
      </c>
      <c r="X13">
        <v>6.1402789737979449</v>
      </c>
      <c r="Y13">
        <v>6.2075507692115366</v>
      </c>
      <c r="Z13">
        <v>5.1825886444305809</v>
      </c>
    </row>
    <row r="14" spans="1:28" x14ac:dyDescent="0.35">
      <c r="A14" t="s">
        <v>10</v>
      </c>
      <c r="B14">
        <v>128.8431702295529</v>
      </c>
      <c r="C14">
        <v>133.60100498089031</v>
      </c>
      <c r="D14">
        <v>134.0492663443716</v>
      </c>
      <c r="E14">
        <v>132.12966293587351</v>
      </c>
      <c r="F14">
        <v>137.889543089353</v>
      </c>
      <c r="G14">
        <v>140.49707654644351</v>
      </c>
      <c r="H14">
        <v>138.37175219848001</v>
      </c>
      <c r="I14">
        <v>133.6647795012731</v>
      </c>
      <c r="J14">
        <v>134.63201545653521</v>
      </c>
      <c r="K14">
        <v>138.29092497398031</v>
      </c>
      <c r="L14">
        <v>139.08182786054871</v>
      </c>
      <c r="M14">
        <v>140.73479868501099</v>
      </c>
      <c r="N14">
        <v>141.9364190543038</v>
      </c>
      <c r="O14">
        <v>144.716367517187</v>
      </c>
      <c r="P14">
        <v>145.34385204192569</v>
      </c>
      <c r="Q14">
        <v>143.4563061003285</v>
      </c>
      <c r="R14">
        <v>141.06636741234561</v>
      </c>
      <c r="S14">
        <v>144.16381485572521</v>
      </c>
      <c r="T14">
        <v>146.36007809604291</v>
      </c>
      <c r="U14">
        <v>146.14368347820519</v>
      </c>
      <c r="V14">
        <v>146.2769184855764</v>
      </c>
      <c r="W14">
        <v>148.90303410808161</v>
      </c>
      <c r="X14">
        <v>150.38670617489649</v>
      </c>
      <c r="Y14">
        <v>153.67292480460131</v>
      </c>
      <c r="Z14">
        <v>152.4905534057973</v>
      </c>
    </row>
    <row r="15" spans="1:28" x14ac:dyDescent="0.35">
      <c r="A15" t="s">
        <v>11</v>
      </c>
      <c r="B15">
        <v>25531953.719999999</v>
      </c>
      <c r="C15">
        <v>31709868.359999999</v>
      </c>
      <c r="D15">
        <v>39978116.189999998</v>
      </c>
      <c r="E15">
        <v>35518541.799999997</v>
      </c>
      <c r="F15">
        <v>48167716.590000004</v>
      </c>
      <c r="G15">
        <v>75307439.879999995</v>
      </c>
      <c r="H15">
        <v>65397089.159999996</v>
      </c>
      <c r="I15">
        <v>63739835.979999997</v>
      </c>
      <c r="J15">
        <v>61976868.359999999</v>
      </c>
      <c r="K15">
        <v>63221930.130000003</v>
      </c>
      <c r="L15">
        <v>57848125.319999993</v>
      </c>
      <c r="M15">
        <v>32090563.25</v>
      </c>
      <c r="N15">
        <v>19516866.98</v>
      </c>
      <c r="O15">
        <v>25449449.190000001</v>
      </c>
      <c r="P15">
        <v>43555600.030000001</v>
      </c>
      <c r="Q15">
        <v>75034894.310000002</v>
      </c>
      <c r="R15">
        <v>131533810.08</v>
      </c>
      <c r="S15">
        <v>147207291.50999999</v>
      </c>
      <c r="T15">
        <v>108850614.5</v>
      </c>
      <c r="U15">
        <v>119319099.8</v>
      </c>
      <c r="V15">
        <v>174895090.5</v>
      </c>
      <c r="W15">
        <v>177803912.80000001</v>
      </c>
      <c r="X15">
        <v>151109412.00999999</v>
      </c>
      <c r="Y15">
        <v>117985513.70999999</v>
      </c>
      <c r="Z15">
        <v>133585605.31</v>
      </c>
    </row>
    <row r="17" spans="1:28" x14ac:dyDescent="0.35">
      <c r="A17" t="s">
        <v>13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48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  <c r="V17" t="s">
        <v>1</v>
      </c>
      <c r="W17" t="s">
        <v>2</v>
      </c>
      <c r="X17" t="s">
        <v>3</v>
      </c>
      <c r="Y17" t="s">
        <v>4</v>
      </c>
      <c r="Z17" t="s">
        <v>5</v>
      </c>
    </row>
    <row r="18" spans="1:28" x14ac:dyDescent="0.35">
      <c r="A18" t="s">
        <v>6</v>
      </c>
      <c r="B18">
        <v>130.03039565128549</v>
      </c>
      <c r="C18">
        <v>133.13561972496839</v>
      </c>
      <c r="D18">
        <v>135.524196498951</v>
      </c>
      <c r="E18">
        <v>135.28732548834151</v>
      </c>
      <c r="F18">
        <v>135.28771439688319</v>
      </c>
      <c r="G18">
        <v>135.49900659610029</v>
      </c>
      <c r="H18">
        <v>135.05653202064309</v>
      </c>
      <c r="I18">
        <v>133.6533590478692</v>
      </c>
      <c r="J18">
        <v>134.54999962165849</v>
      </c>
      <c r="K18">
        <v>136.72731168449579</v>
      </c>
      <c r="L18">
        <v>137.2711437909899</v>
      </c>
      <c r="M18">
        <v>138.3019509586567</v>
      </c>
      <c r="N18">
        <v>139.23034679005511</v>
      </c>
      <c r="O18">
        <v>137.71583923941381</v>
      </c>
      <c r="P18">
        <v>138.53983622019501</v>
      </c>
      <c r="Q18">
        <v>137.48747271961969</v>
      </c>
      <c r="R18">
        <v>136.7602328443264</v>
      </c>
      <c r="S18">
        <v>137.47802427838079</v>
      </c>
      <c r="T18">
        <v>138.54353569478641</v>
      </c>
      <c r="U18">
        <v>137.20904828299791</v>
      </c>
      <c r="V18">
        <v>136.66839841462689</v>
      </c>
      <c r="W18">
        <v>137.94719223853701</v>
      </c>
      <c r="X18">
        <v>138.66054717924419</v>
      </c>
      <c r="Y18">
        <v>140.0375169754368</v>
      </c>
      <c r="Z18">
        <v>141.03676494934629</v>
      </c>
    </row>
    <row r="19" spans="1:28" x14ac:dyDescent="0.35">
      <c r="A19" t="s">
        <v>7</v>
      </c>
      <c r="B19">
        <v>0.62627010783492665</v>
      </c>
      <c r="C19">
        <v>0.56124753646935233</v>
      </c>
      <c r="D19">
        <v>0.90101304711950547</v>
      </c>
      <c r="E19">
        <v>0.84283260286281347</v>
      </c>
      <c r="F19">
        <v>1.6574384290709929</v>
      </c>
      <c r="G19">
        <v>1.815851125188999</v>
      </c>
      <c r="H19">
        <v>1.5016645803773661</v>
      </c>
      <c r="I19">
        <v>1.1834960513425301</v>
      </c>
      <c r="J19">
        <v>0.5660734388493438</v>
      </c>
      <c r="K19">
        <v>0.62303432104519629</v>
      </c>
      <c r="L19">
        <v>-1.4227398664814929E-2</v>
      </c>
      <c r="M19">
        <v>0.60880416093954182</v>
      </c>
      <c r="N19">
        <v>0.26065131663582969</v>
      </c>
      <c r="O19">
        <v>0.32381303156259378</v>
      </c>
      <c r="P19">
        <v>1.474295442786399</v>
      </c>
      <c r="Q19">
        <v>1.264705079320009</v>
      </c>
      <c r="R19">
        <v>1.013927862906201</v>
      </c>
      <c r="S19">
        <v>2.022800071092405</v>
      </c>
      <c r="T19">
        <v>2.2786497559132499</v>
      </c>
      <c r="U19">
        <v>2.0632355429099789</v>
      </c>
      <c r="V19">
        <v>1.8384507384757001</v>
      </c>
      <c r="W19">
        <v>2.0356618749904101</v>
      </c>
      <c r="X19">
        <v>2.2451500749805291</v>
      </c>
      <c r="Y19">
        <v>2.7851197376810428</v>
      </c>
      <c r="Z19">
        <v>3.125019135781685</v>
      </c>
    </row>
    <row r="20" spans="1:28" x14ac:dyDescent="0.35">
      <c r="A20" t="s">
        <v>8</v>
      </c>
      <c r="B20">
        <v>-4.7074247628526829</v>
      </c>
      <c r="C20">
        <v>-0.66064178245919625</v>
      </c>
      <c r="D20">
        <v>-0.29796557597972018</v>
      </c>
      <c r="E20">
        <v>0.17305747694212709</v>
      </c>
      <c r="F20">
        <v>-7.7399957958600579E-2</v>
      </c>
      <c r="G20">
        <v>0.1098836240670882</v>
      </c>
      <c r="H20">
        <v>-6.9239853309947655E-2</v>
      </c>
      <c r="I20">
        <v>-0.1813287351135775</v>
      </c>
      <c r="J20">
        <v>-0.53658395994732833</v>
      </c>
      <c r="K20">
        <v>-0.51944562236935055</v>
      </c>
      <c r="L20">
        <v>-0.72305819774848379</v>
      </c>
      <c r="M20">
        <v>-0.46721172907635289</v>
      </c>
      <c r="N20">
        <v>-0.38699895194756712</v>
      </c>
      <c r="O20">
        <v>-0.69160541090889527</v>
      </c>
      <c r="P20">
        <v>-0.77016993012625001</v>
      </c>
      <c r="Q20">
        <v>-7.39027624534601E-2</v>
      </c>
      <c r="R20">
        <v>-0.46378406652819099</v>
      </c>
      <c r="S20">
        <v>0.78371787542575488</v>
      </c>
      <c r="T20">
        <v>1.667235881964827</v>
      </c>
      <c r="U20">
        <v>2.9007669340685229</v>
      </c>
      <c r="V20">
        <v>2.6827980302526302</v>
      </c>
      <c r="W20">
        <v>3.4454111868036899</v>
      </c>
      <c r="X20">
        <v>3.4926550487815939</v>
      </c>
      <c r="Y20">
        <v>4.685620546264869</v>
      </c>
      <c r="Z20">
        <v>3.7516145898525139</v>
      </c>
      <c r="AB20">
        <f>SUM(B20:Z20)</f>
        <v>13.06599989564401</v>
      </c>
    </row>
    <row r="21" spans="1:28" x14ac:dyDescent="0.35">
      <c r="A21" t="s">
        <v>9</v>
      </c>
      <c r="B21">
        <v>-1.2151312458930661</v>
      </c>
      <c r="C21">
        <v>-1.356666117415573</v>
      </c>
      <c r="D21">
        <v>1.112475028020059</v>
      </c>
      <c r="E21">
        <v>1.2842522754079071</v>
      </c>
      <c r="F21">
        <v>2.3989409414269409</v>
      </c>
      <c r="G21">
        <v>4.0264522582606981</v>
      </c>
      <c r="H21">
        <v>3.6919824179509182</v>
      </c>
      <c r="I21">
        <v>3.369134909735374</v>
      </c>
      <c r="J21">
        <v>3.9757427288204799</v>
      </c>
      <c r="K21">
        <v>4.6947016962909096</v>
      </c>
      <c r="L21">
        <v>4.4588752414614516</v>
      </c>
      <c r="M21">
        <v>5.2515226894893754</v>
      </c>
      <c r="N21">
        <v>5.2899300523753681</v>
      </c>
      <c r="O21">
        <v>4.7464103102520419</v>
      </c>
      <c r="P21">
        <v>6.0658786131353857</v>
      </c>
      <c r="Q21">
        <v>6.0439849391904534</v>
      </c>
      <c r="R21">
        <v>4.5447480524963861</v>
      </c>
      <c r="S21">
        <v>5.1229699660113148</v>
      </c>
      <c r="T21">
        <v>5.6815503129180556</v>
      </c>
      <c r="U21">
        <v>5.512990075882767</v>
      </c>
      <c r="V21">
        <v>5.1943104361536667</v>
      </c>
      <c r="W21">
        <v>6.1179462585786011</v>
      </c>
      <c r="X21">
        <v>6.0314927769461093</v>
      </c>
      <c r="Y21">
        <v>6.2471290083300968</v>
      </c>
      <c r="Z21">
        <v>5.2711800356106302</v>
      </c>
    </row>
    <row r="22" spans="1:28" x14ac:dyDescent="0.35">
      <c r="A22" t="s">
        <v>10</v>
      </c>
      <c r="B22">
        <v>124.7341097503747</v>
      </c>
      <c r="C22">
        <v>131.67955936156301</v>
      </c>
      <c r="D22">
        <v>137.23971899811079</v>
      </c>
      <c r="E22">
        <v>137.58746784355429</v>
      </c>
      <c r="F22">
        <v>139.26669380942249</v>
      </c>
      <c r="G22">
        <v>141.45119360361701</v>
      </c>
      <c r="H22">
        <v>140.18093916566141</v>
      </c>
      <c r="I22">
        <v>138.0246612738336</v>
      </c>
      <c r="J22">
        <v>138.55523182938089</v>
      </c>
      <c r="K22">
        <v>141.5256020794626</v>
      </c>
      <c r="L22">
        <v>140.99273343603801</v>
      </c>
      <c r="M22">
        <v>143.6950660800093</v>
      </c>
      <c r="N22">
        <v>144.3939292071187</v>
      </c>
      <c r="O22">
        <v>142.0944571703196</v>
      </c>
      <c r="P22">
        <v>145.30984034599049</v>
      </c>
      <c r="Q22">
        <v>144.72225997567671</v>
      </c>
      <c r="R22">
        <v>141.85512469320071</v>
      </c>
      <c r="S22">
        <v>145.4075121909103</v>
      </c>
      <c r="T22">
        <v>148.17097164558251</v>
      </c>
      <c r="U22">
        <v>147.6860408358591</v>
      </c>
      <c r="V22">
        <v>146.38395761950889</v>
      </c>
      <c r="W22">
        <v>149.5462115589097</v>
      </c>
      <c r="X22">
        <v>150.42984507995251</v>
      </c>
      <c r="Y22">
        <v>153.75538626771279</v>
      </c>
      <c r="Z22">
        <v>153.1845787105911</v>
      </c>
    </row>
    <row r="23" spans="1:28" x14ac:dyDescent="0.35">
      <c r="A23" t="s">
        <v>11</v>
      </c>
      <c r="B23">
        <v>73703014.030000001</v>
      </c>
      <c r="C23">
        <v>59571429.260000013</v>
      </c>
      <c r="D23">
        <v>59037002.060000002</v>
      </c>
      <c r="E23">
        <v>44041840.930000007</v>
      </c>
      <c r="F23">
        <v>63199503.020000003</v>
      </c>
      <c r="G23">
        <v>82590816.25999999</v>
      </c>
      <c r="H23">
        <v>66553012.479999997</v>
      </c>
      <c r="I23">
        <v>59034423.950000003</v>
      </c>
      <c r="J23">
        <v>54953361.270000003</v>
      </c>
      <c r="K23">
        <v>54791981.729999997</v>
      </c>
      <c r="L23">
        <v>38420665.340000004</v>
      </c>
      <c r="M23">
        <v>21163298.399999999</v>
      </c>
      <c r="N23">
        <v>12649519.25</v>
      </c>
      <c r="O23">
        <v>16219659.52</v>
      </c>
      <c r="P23">
        <v>28909162.390000001</v>
      </c>
      <c r="Q23">
        <v>44296437.099999987</v>
      </c>
      <c r="R23">
        <v>68656688.390000001</v>
      </c>
      <c r="S23">
        <v>95026794.780000001</v>
      </c>
      <c r="T23">
        <v>69497795.010000005</v>
      </c>
      <c r="U23">
        <v>70683017.159999996</v>
      </c>
      <c r="V23">
        <v>109778122.69</v>
      </c>
      <c r="W23">
        <v>117997640.45999999</v>
      </c>
      <c r="X23">
        <v>91351164.770000011</v>
      </c>
      <c r="Y23">
        <v>72109323.439999998</v>
      </c>
      <c r="Z23">
        <v>88330639.230000004</v>
      </c>
    </row>
    <row r="25" spans="1:28" x14ac:dyDescent="0.35">
      <c r="A25" t="s">
        <v>14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66</v>
      </c>
      <c r="J25" t="s">
        <v>67</v>
      </c>
      <c r="K25" t="s">
        <v>68</v>
      </c>
      <c r="L25" t="s">
        <v>69</v>
      </c>
      <c r="M25" t="s">
        <v>70</v>
      </c>
      <c r="N25" t="s">
        <v>48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55</v>
      </c>
      <c r="V25" t="s">
        <v>1</v>
      </c>
      <c r="W25" t="s">
        <v>2</v>
      </c>
      <c r="X25" t="s">
        <v>3</v>
      </c>
      <c r="Y25" t="s">
        <v>4</v>
      </c>
      <c r="Z25" t="s">
        <v>5</v>
      </c>
    </row>
    <row r="26" spans="1:28" x14ac:dyDescent="0.35">
      <c r="A26" t="s">
        <v>6</v>
      </c>
      <c r="B26">
        <v>131.95038796688411</v>
      </c>
      <c r="C26">
        <v>135.6654717957741</v>
      </c>
      <c r="D26">
        <v>137.78085993452939</v>
      </c>
      <c r="E26">
        <v>140.37624797824719</v>
      </c>
      <c r="F26">
        <v>136.7568472127295</v>
      </c>
      <c r="G26">
        <v>136.18261162485399</v>
      </c>
      <c r="H26">
        <v>135.6310489829672</v>
      </c>
      <c r="I26">
        <v>134.62934951605331</v>
      </c>
      <c r="J26">
        <v>134.17392455659669</v>
      </c>
      <c r="K26">
        <v>135.83717961712421</v>
      </c>
      <c r="L26">
        <v>136.9637513036931</v>
      </c>
      <c r="M26">
        <v>138.7722798213712</v>
      </c>
      <c r="N26">
        <v>141.3231605158098</v>
      </c>
      <c r="O26">
        <v>138.8631915017576</v>
      </c>
      <c r="P26">
        <v>137.9566586474825</v>
      </c>
      <c r="Q26">
        <v>139.56619914782399</v>
      </c>
      <c r="R26">
        <v>138.52439991139249</v>
      </c>
      <c r="S26">
        <v>138.4097814248108</v>
      </c>
      <c r="T26">
        <v>140.36330737362081</v>
      </c>
      <c r="U26">
        <v>138.38768592238731</v>
      </c>
      <c r="V26">
        <v>136.70742932031769</v>
      </c>
      <c r="W26">
        <v>138.34779673954839</v>
      </c>
      <c r="X26">
        <v>138.10209621539431</v>
      </c>
      <c r="Y26">
        <v>138.94555151202141</v>
      </c>
      <c r="Z26">
        <v>140.9913129364391</v>
      </c>
    </row>
    <row r="27" spans="1:28" x14ac:dyDescent="0.35">
      <c r="A27" t="s">
        <v>7</v>
      </c>
      <c r="B27">
        <v>-1.7103216132117891</v>
      </c>
      <c r="C27">
        <v>-1.362001191333434</v>
      </c>
      <c r="D27">
        <v>-0.82270063325532305</v>
      </c>
      <c r="E27">
        <v>0.67937377043395486</v>
      </c>
      <c r="F27">
        <v>1.82079744362008</v>
      </c>
      <c r="G27">
        <v>-0.22282408009877491</v>
      </c>
      <c r="H27">
        <v>-0.34270651080376519</v>
      </c>
      <c r="I27">
        <v>0.75425032903180522</v>
      </c>
      <c r="J27">
        <v>0.49117725062757239</v>
      </c>
      <c r="K27">
        <v>0.57506675081188519</v>
      </c>
      <c r="L27">
        <v>0.94006829221265775</v>
      </c>
      <c r="M27">
        <v>0.98133634088566168</v>
      </c>
      <c r="N27">
        <v>1.163772265119974</v>
      </c>
      <c r="O27">
        <v>0.76651233466805024</v>
      </c>
      <c r="P27">
        <v>1.051226100014617</v>
      </c>
      <c r="Q27">
        <v>1.3906266452335669</v>
      </c>
      <c r="R27">
        <v>1.553697558330924</v>
      </c>
      <c r="S27">
        <v>2.4436111035358579</v>
      </c>
      <c r="T27">
        <v>3.2853415839857969</v>
      </c>
      <c r="U27">
        <v>2.9736339398277489</v>
      </c>
      <c r="V27">
        <v>2.4078901425605181</v>
      </c>
      <c r="W27">
        <v>2.491006820245985</v>
      </c>
      <c r="X27">
        <v>3.009578920406597</v>
      </c>
      <c r="Y27">
        <v>1.8551298377325911</v>
      </c>
      <c r="Z27">
        <v>2.36301409599352</v>
      </c>
    </row>
    <row r="28" spans="1:28" x14ac:dyDescent="0.35">
      <c r="A28" t="s">
        <v>8</v>
      </c>
      <c r="B28">
        <v>-4.3032781917799188</v>
      </c>
      <c r="C28">
        <v>-1.5599148601497861</v>
      </c>
      <c r="D28">
        <v>-1.005383242149732</v>
      </c>
      <c r="E28">
        <v>-0.51334414445879495</v>
      </c>
      <c r="F28">
        <v>-0.19125678878937949</v>
      </c>
      <c r="G28">
        <v>-0.66445052149712158</v>
      </c>
      <c r="H28">
        <v>-0.82410923409679315</v>
      </c>
      <c r="I28">
        <v>-0.87148145800078625</v>
      </c>
      <c r="J28">
        <v>-1.307387310646644</v>
      </c>
      <c r="K28">
        <v>-2.3379040747850919</v>
      </c>
      <c r="L28">
        <v>-1.9260093477963811</v>
      </c>
      <c r="M28">
        <v>-1.7707430752731881</v>
      </c>
      <c r="N28">
        <v>-1.0447650035697771</v>
      </c>
      <c r="O28">
        <v>-1.52814886926088</v>
      </c>
      <c r="P28">
        <v>-1.220224088104215</v>
      </c>
      <c r="Q28">
        <v>-0.44368024669981471</v>
      </c>
      <c r="R28">
        <v>-1.1238938060354611</v>
      </c>
      <c r="S28">
        <v>-1.055028094485805</v>
      </c>
      <c r="T28">
        <v>-0.95167146180980211</v>
      </c>
      <c r="U28">
        <v>1.174398983637196</v>
      </c>
      <c r="V28">
        <v>1.4724263105194031</v>
      </c>
      <c r="W28">
        <v>0.73656264871901178</v>
      </c>
      <c r="X28">
        <v>1.4219800675218019</v>
      </c>
      <c r="Y28">
        <v>1.78234276798205</v>
      </c>
      <c r="Z28">
        <v>0.1557685599492265</v>
      </c>
      <c r="AB28">
        <f>SUM(B28:Z28)</f>
        <v>-17.899194481060679</v>
      </c>
    </row>
    <row r="29" spans="1:28" x14ac:dyDescent="0.35">
      <c r="A29" t="s">
        <v>9</v>
      </c>
      <c r="B29">
        <v>6.1904054001034439</v>
      </c>
      <c r="C29">
        <v>7.0336597820028617</v>
      </c>
      <c r="D29">
        <v>9.9696581443314258</v>
      </c>
      <c r="E29">
        <v>8.9721280656082012</v>
      </c>
      <c r="F29">
        <v>7.7528932143407419</v>
      </c>
      <c r="G29">
        <v>9.7550706033257608</v>
      </c>
      <c r="H29">
        <v>8.8496876783491132</v>
      </c>
      <c r="I29">
        <v>7.7046525899057947</v>
      </c>
      <c r="J29">
        <v>7.5704854591293023</v>
      </c>
      <c r="K29">
        <v>7.7056112423838066</v>
      </c>
      <c r="L29">
        <v>7.9561856710891554</v>
      </c>
      <c r="M29">
        <v>7.9120134266747906</v>
      </c>
      <c r="N29">
        <v>8.8983727385145723</v>
      </c>
      <c r="O29">
        <v>8.2305730397635379</v>
      </c>
      <c r="P29">
        <v>9.0487813037711682</v>
      </c>
      <c r="Q29">
        <v>8.6819607894137363</v>
      </c>
      <c r="R29">
        <v>6.8451798270931299</v>
      </c>
      <c r="S29">
        <v>7.1645205702963501</v>
      </c>
      <c r="T29">
        <v>7.5064365731054039</v>
      </c>
      <c r="U29">
        <v>7.6070483605237564</v>
      </c>
      <c r="V29">
        <v>6.8872030152066284</v>
      </c>
      <c r="W29">
        <v>6.372689215971505</v>
      </c>
      <c r="X29">
        <v>6.348774473875352</v>
      </c>
      <c r="Y29">
        <v>6.3968604378230314</v>
      </c>
      <c r="Z29">
        <v>5.5264008058413117</v>
      </c>
    </row>
    <row r="30" spans="1:28" x14ac:dyDescent="0.35">
      <c r="A30" t="s">
        <v>10</v>
      </c>
      <c r="B30">
        <v>132.12719356199591</v>
      </c>
      <c r="C30">
        <v>139.77721552629379</v>
      </c>
      <c r="D30">
        <v>145.92243420345579</v>
      </c>
      <c r="E30">
        <v>149.51440566983061</v>
      </c>
      <c r="F30">
        <v>146.13928108190089</v>
      </c>
      <c r="G30">
        <v>145.0504076265839</v>
      </c>
      <c r="H30">
        <v>143.3139209164157</v>
      </c>
      <c r="I30">
        <v>142.21677097699009</v>
      </c>
      <c r="J30">
        <v>140.92819995570699</v>
      </c>
      <c r="K30">
        <v>141.77995353553479</v>
      </c>
      <c r="L30">
        <v>143.93399591919851</v>
      </c>
      <c r="M30">
        <v>145.89488651365841</v>
      </c>
      <c r="N30">
        <v>150.34054051587461</v>
      </c>
      <c r="O30">
        <v>146.33212800692829</v>
      </c>
      <c r="P30">
        <v>146.83644196316399</v>
      </c>
      <c r="Q30">
        <v>149.1951063357715</v>
      </c>
      <c r="R30">
        <v>145.79938349078111</v>
      </c>
      <c r="S30">
        <v>146.96288500415719</v>
      </c>
      <c r="T30">
        <v>150.20341406890211</v>
      </c>
      <c r="U30">
        <v>150.14276720637599</v>
      </c>
      <c r="V30">
        <v>147.47494878860419</v>
      </c>
      <c r="W30">
        <v>147.94805542448489</v>
      </c>
      <c r="X30">
        <v>148.88242967719799</v>
      </c>
      <c r="Y30">
        <v>148.9798845555591</v>
      </c>
      <c r="Z30">
        <v>149.03649639822319</v>
      </c>
    </row>
    <row r="31" spans="1:28" x14ac:dyDescent="0.35">
      <c r="A31" t="s">
        <v>11</v>
      </c>
      <c r="B31">
        <v>29567896.149999999</v>
      </c>
      <c r="C31">
        <v>20452730.02</v>
      </c>
      <c r="D31">
        <v>18615600.899999999</v>
      </c>
      <c r="E31">
        <v>8943877.3999999985</v>
      </c>
      <c r="F31">
        <v>15181236.02</v>
      </c>
      <c r="G31">
        <v>31017455.530000001</v>
      </c>
      <c r="H31">
        <v>26185057.969999999</v>
      </c>
      <c r="I31">
        <v>18912869.129999999</v>
      </c>
      <c r="J31">
        <v>20022958.149999999</v>
      </c>
      <c r="K31">
        <v>18264458.109999999</v>
      </c>
      <c r="L31">
        <v>16133338.15</v>
      </c>
      <c r="M31">
        <v>9991541.5899999999</v>
      </c>
      <c r="N31">
        <v>6626495.1899999985</v>
      </c>
      <c r="O31">
        <v>9268286.370000001</v>
      </c>
      <c r="P31">
        <v>15549122.210000001</v>
      </c>
      <c r="Q31">
        <v>15000070.210000001</v>
      </c>
      <c r="R31">
        <v>27235117.280000001</v>
      </c>
      <c r="S31">
        <v>35792719.759999998</v>
      </c>
      <c r="T31">
        <v>21813472.829999998</v>
      </c>
      <c r="U31">
        <v>21252328.469999999</v>
      </c>
      <c r="V31">
        <v>43623019.229999997</v>
      </c>
      <c r="W31">
        <v>40763731</v>
      </c>
      <c r="X31">
        <v>43230820.039999999</v>
      </c>
      <c r="Y31">
        <v>43342018.539999999</v>
      </c>
      <c r="Z31">
        <v>51820831.549999997</v>
      </c>
    </row>
    <row r="33" spans="1:26" x14ac:dyDescent="0.35">
      <c r="A33" t="s">
        <v>15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64</v>
      </c>
      <c r="H33" t="s">
        <v>65</v>
      </c>
      <c r="I33" t="s">
        <v>66</v>
      </c>
      <c r="J33" t="s">
        <v>67</v>
      </c>
      <c r="K33" t="s">
        <v>68</v>
      </c>
      <c r="L33" t="s">
        <v>69</v>
      </c>
      <c r="M33" t="s">
        <v>70</v>
      </c>
      <c r="N33" t="s">
        <v>48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55</v>
      </c>
      <c r="V33" t="s">
        <v>1</v>
      </c>
      <c r="W33" t="s">
        <v>2</v>
      </c>
      <c r="X33" t="s">
        <v>3</v>
      </c>
      <c r="Y33" t="s">
        <v>4</v>
      </c>
      <c r="Z33" t="s">
        <v>5</v>
      </c>
    </row>
    <row r="34" spans="1:26" x14ac:dyDescent="0.35">
      <c r="A34" t="s">
        <v>6</v>
      </c>
      <c r="B34">
        <v>132.3830679174151</v>
      </c>
      <c r="C34">
        <v>133.22864053407059</v>
      </c>
      <c r="D34">
        <v>136.30165783621021</v>
      </c>
      <c r="E34">
        <v>135.3824245085064</v>
      </c>
      <c r="F34">
        <v>133.83570351401411</v>
      </c>
      <c r="G34">
        <v>131.87489783492529</v>
      </c>
      <c r="H34">
        <v>131.13569156501919</v>
      </c>
      <c r="I34">
        <v>129.47230286810949</v>
      </c>
      <c r="J34">
        <v>129.34472841048461</v>
      </c>
      <c r="K34">
        <v>131.4534857039441</v>
      </c>
      <c r="L34">
        <v>131.7155339764507</v>
      </c>
      <c r="M34">
        <v>131.25851429906621</v>
      </c>
      <c r="N34">
        <v>132.73384871823549</v>
      </c>
      <c r="O34">
        <v>133.4421953804156</v>
      </c>
      <c r="P34">
        <v>133.76755452848761</v>
      </c>
      <c r="Q34">
        <v>135.3136659257851</v>
      </c>
      <c r="R34">
        <v>136.174564953763</v>
      </c>
      <c r="S34">
        <v>136.81709999339159</v>
      </c>
      <c r="T34">
        <v>136.69241262670499</v>
      </c>
      <c r="U34">
        <v>134.948750294055</v>
      </c>
      <c r="V34">
        <v>134.57147996843619</v>
      </c>
      <c r="W34">
        <v>136.41792232868141</v>
      </c>
      <c r="X34">
        <v>137.00629562165429</v>
      </c>
      <c r="Y34">
        <v>137.20721483911191</v>
      </c>
      <c r="Z34">
        <v>139.80137295800651</v>
      </c>
    </row>
    <row r="35" spans="1:26" x14ac:dyDescent="0.35">
      <c r="A35" t="s">
        <v>7</v>
      </c>
      <c r="B35">
        <v>0.53733727491581362</v>
      </c>
      <c r="C35">
        <v>0.61144890440334621</v>
      </c>
      <c r="D35">
        <v>0.32319333564112179</v>
      </c>
      <c r="E35">
        <v>-0.89774631802086446</v>
      </c>
      <c r="F35">
        <v>-0.38175502107574738</v>
      </c>
      <c r="G35">
        <v>-0.59152796588301726</v>
      </c>
      <c r="H35">
        <v>-0.80097814863870553</v>
      </c>
      <c r="I35">
        <v>-0.57952409404390437</v>
      </c>
      <c r="J35">
        <v>-0.1218767355521209</v>
      </c>
      <c r="K35">
        <v>-0.57677921084459172</v>
      </c>
      <c r="L35">
        <v>-1.563158121816997</v>
      </c>
      <c r="M35">
        <v>-1.3928785047271219</v>
      </c>
      <c r="N35">
        <v>-1.751634827333447</v>
      </c>
      <c r="O35">
        <v>-1.055753827058538</v>
      </c>
      <c r="P35">
        <v>-0.70981924968504018</v>
      </c>
      <c r="Q35">
        <v>0.45637312284415538</v>
      </c>
      <c r="R35">
        <v>-0.59196154705890081</v>
      </c>
      <c r="S35">
        <v>-0.32963785050176853</v>
      </c>
      <c r="T35">
        <v>-0.49424107346195001</v>
      </c>
      <c r="U35">
        <v>-0.28560818312433872</v>
      </c>
      <c r="V35">
        <v>-0.97599677625345294</v>
      </c>
      <c r="W35">
        <v>0.2051806703973682</v>
      </c>
      <c r="X35">
        <v>0.17963091044521209</v>
      </c>
      <c r="Y35">
        <v>1.0649609356779881</v>
      </c>
      <c r="Z35">
        <v>1.2538169690974139</v>
      </c>
    </row>
    <row r="36" spans="1:26" x14ac:dyDescent="0.35">
      <c r="A36" t="s">
        <v>8</v>
      </c>
      <c r="B36">
        <v>-3.930762883659205</v>
      </c>
      <c r="C36">
        <v>-0.2506982083204467</v>
      </c>
      <c r="D36">
        <v>0.14289628509979829</v>
      </c>
      <c r="E36">
        <v>-2.736197504024656E-2</v>
      </c>
      <c r="F36">
        <v>1.7026104280143221E-2</v>
      </c>
      <c r="G36">
        <v>0.51253643213502109</v>
      </c>
      <c r="H36">
        <v>-0.116442369925592</v>
      </c>
      <c r="I36">
        <v>-0.11122887042664779</v>
      </c>
      <c r="J36">
        <v>-1.022898723483924</v>
      </c>
      <c r="K36">
        <v>-1.306708350882875</v>
      </c>
      <c r="L36">
        <v>-2.0579850077470421</v>
      </c>
      <c r="M36">
        <v>-2.2321860276680581</v>
      </c>
      <c r="N36">
        <v>-1.984543517888123</v>
      </c>
      <c r="O36">
        <v>-1.4900515379555339</v>
      </c>
      <c r="P36">
        <v>-1.275541700280082</v>
      </c>
      <c r="Q36">
        <v>-0.61558115550197401</v>
      </c>
      <c r="R36">
        <v>-1.20886261526213</v>
      </c>
      <c r="S36">
        <v>-0.70766037366255741</v>
      </c>
      <c r="T36">
        <v>0.25203212537693659</v>
      </c>
      <c r="U36">
        <v>3.1488127626799161</v>
      </c>
      <c r="V36">
        <v>4.774438181309864</v>
      </c>
      <c r="W36">
        <v>3.69848105295892</v>
      </c>
      <c r="X36">
        <v>3.7671271517580061</v>
      </c>
      <c r="Y36">
        <v>4.7206981670882424</v>
      </c>
      <c r="Z36">
        <v>3.728800489684482</v>
      </c>
    </row>
    <row r="37" spans="1:26" x14ac:dyDescent="0.35">
      <c r="A37" t="s">
        <v>9</v>
      </c>
      <c r="B37">
        <v>-0.24370370941910049</v>
      </c>
      <c r="C37">
        <v>2.26766755399983E-2</v>
      </c>
      <c r="D37">
        <v>2.4322105772545681</v>
      </c>
      <c r="E37">
        <v>0.99939022275137446</v>
      </c>
      <c r="F37">
        <v>1.135485591254402</v>
      </c>
      <c r="G37">
        <v>2.5385677279498999</v>
      </c>
      <c r="H37">
        <v>1.382583721216915</v>
      </c>
      <c r="I37">
        <v>0.93714785000091338</v>
      </c>
      <c r="J37">
        <v>0.67417312870853596</v>
      </c>
      <c r="K37">
        <v>1.3187269328551789</v>
      </c>
      <c r="L37">
        <v>2.0791730790367051</v>
      </c>
      <c r="M37">
        <v>1.292848658040362</v>
      </c>
      <c r="N37">
        <v>0.83165740356614215</v>
      </c>
      <c r="O37">
        <v>1.503409124588208</v>
      </c>
      <c r="P37">
        <v>2.60627577681116</v>
      </c>
      <c r="Q37">
        <v>1.848635773437926</v>
      </c>
      <c r="R37">
        <v>1.7203376872637499</v>
      </c>
      <c r="S37">
        <v>1.9622398322453041</v>
      </c>
      <c r="T37">
        <v>1.752259860957889</v>
      </c>
      <c r="U37">
        <v>1.32556442366097</v>
      </c>
      <c r="V37">
        <v>1.5216843209938291</v>
      </c>
      <c r="W37">
        <v>1.9248598266198129</v>
      </c>
      <c r="X37">
        <v>1.8506046663391871</v>
      </c>
      <c r="Y37">
        <v>1.7003088976967999</v>
      </c>
      <c r="Z37">
        <v>1.497894220182961</v>
      </c>
    </row>
    <row r="38" spans="1:26" x14ac:dyDescent="0.35">
      <c r="A38" t="s">
        <v>10</v>
      </c>
      <c r="B38">
        <v>128.74593859925261</v>
      </c>
      <c r="C38">
        <v>133.61206790569349</v>
      </c>
      <c r="D38">
        <v>139.19995803420571</v>
      </c>
      <c r="E38">
        <v>135.4567064381967</v>
      </c>
      <c r="F38">
        <v>134.60646018847291</v>
      </c>
      <c r="G38">
        <v>134.33447402912731</v>
      </c>
      <c r="H38">
        <v>131.60085476767179</v>
      </c>
      <c r="I38">
        <v>129.71869775363979</v>
      </c>
      <c r="J38">
        <v>128.87412608015711</v>
      </c>
      <c r="K38">
        <v>130.88872507507179</v>
      </c>
      <c r="L38">
        <v>130.17356392592339</v>
      </c>
      <c r="M38">
        <v>128.92629842471129</v>
      </c>
      <c r="N38">
        <v>129.8293277765801</v>
      </c>
      <c r="O38">
        <v>132.3997991399898</v>
      </c>
      <c r="P38">
        <v>134.38846935533371</v>
      </c>
      <c r="Q38">
        <v>137.00309366656521</v>
      </c>
      <c r="R38">
        <v>136.09407847870571</v>
      </c>
      <c r="S38">
        <v>137.74204160147261</v>
      </c>
      <c r="T38">
        <v>138.20246353957779</v>
      </c>
      <c r="U38">
        <v>139.1375192972715</v>
      </c>
      <c r="V38">
        <v>139.89160569448649</v>
      </c>
      <c r="W38">
        <v>142.24644387865749</v>
      </c>
      <c r="X38">
        <v>142.80365835019671</v>
      </c>
      <c r="Y38">
        <v>144.69318283957489</v>
      </c>
      <c r="Z38">
        <v>146.28188463697131</v>
      </c>
    </row>
    <row r="39" spans="1:26" x14ac:dyDescent="0.35">
      <c r="A39" t="s">
        <v>11</v>
      </c>
      <c r="B39">
        <v>43044124.439999998</v>
      </c>
      <c r="C39">
        <v>47390259.830000013</v>
      </c>
      <c r="D39">
        <v>47951626.950000003</v>
      </c>
      <c r="E39">
        <v>49971994.259999998</v>
      </c>
      <c r="F39">
        <v>91023827.040000007</v>
      </c>
      <c r="G39">
        <v>128666875.94</v>
      </c>
      <c r="H39">
        <v>96920595.560000002</v>
      </c>
      <c r="I39">
        <v>74050276.870000005</v>
      </c>
      <c r="J39">
        <v>76165797.019999996</v>
      </c>
      <c r="K39">
        <v>68689507.870000005</v>
      </c>
      <c r="L39">
        <v>57582674.780000001</v>
      </c>
      <c r="M39">
        <v>65211671.07</v>
      </c>
      <c r="N39">
        <v>68700873.710000008</v>
      </c>
      <c r="O39">
        <v>60708657.989999987</v>
      </c>
      <c r="P39">
        <v>74303783.810000002</v>
      </c>
      <c r="Q39">
        <v>77788703.159999996</v>
      </c>
      <c r="R39">
        <v>115593246.77</v>
      </c>
      <c r="S39">
        <v>101927446.03</v>
      </c>
      <c r="T39">
        <v>81167790.520000011</v>
      </c>
      <c r="U39">
        <v>92147128.75</v>
      </c>
      <c r="V39">
        <v>151182270.44999999</v>
      </c>
      <c r="W39">
        <v>130251017.45999999</v>
      </c>
      <c r="X39">
        <v>108684678.34999999</v>
      </c>
      <c r="Y39">
        <v>91451649.269999996</v>
      </c>
      <c r="Z39">
        <v>85452588.810000002</v>
      </c>
    </row>
    <row r="41" spans="1:26" x14ac:dyDescent="0.35">
      <c r="A41" t="s">
        <v>16</v>
      </c>
      <c r="B41" t="s">
        <v>59</v>
      </c>
      <c r="C41" t="s">
        <v>60</v>
      </c>
      <c r="D41" t="s">
        <v>61</v>
      </c>
      <c r="E41" t="s">
        <v>62</v>
      </c>
      <c r="F41" t="s">
        <v>63</v>
      </c>
      <c r="G41" t="s">
        <v>64</v>
      </c>
      <c r="H41" t="s">
        <v>65</v>
      </c>
      <c r="I41" t="s">
        <v>66</v>
      </c>
      <c r="J41" t="s">
        <v>67</v>
      </c>
      <c r="K41" t="s">
        <v>68</v>
      </c>
      <c r="L41" t="s">
        <v>69</v>
      </c>
      <c r="M41" t="s">
        <v>70</v>
      </c>
      <c r="N41" t="s">
        <v>48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55</v>
      </c>
      <c r="V41" t="s">
        <v>1</v>
      </c>
      <c r="W41" t="s">
        <v>2</v>
      </c>
      <c r="X41" t="s">
        <v>3</v>
      </c>
      <c r="Y41" t="s">
        <v>4</v>
      </c>
      <c r="Z41" t="s">
        <v>5</v>
      </c>
    </row>
    <row r="42" spans="1:26" x14ac:dyDescent="0.35">
      <c r="A42" t="s">
        <v>6</v>
      </c>
      <c r="B42">
        <v>135.86332249445411</v>
      </c>
      <c r="C42">
        <v>138.37204193247351</v>
      </c>
      <c r="D42">
        <v>138.78949632186041</v>
      </c>
      <c r="E42">
        <v>136.95890436813559</v>
      </c>
      <c r="F42">
        <v>135.464326976926</v>
      </c>
      <c r="G42">
        <v>135.7380087477724</v>
      </c>
      <c r="H42">
        <v>134.50372352327969</v>
      </c>
      <c r="I42">
        <v>133.19297164592061</v>
      </c>
      <c r="J42">
        <v>133.26474125481579</v>
      </c>
      <c r="K42">
        <v>134.70114979213409</v>
      </c>
      <c r="L42">
        <v>136.05826795641721</v>
      </c>
      <c r="M42">
        <v>138.33369756523109</v>
      </c>
      <c r="N42">
        <v>140.09671657848929</v>
      </c>
      <c r="O42">
        <v>140.65863911838451</v>
      </c>
      <c r="P42">
        <v>140.50459471793889</v>
      </c>
      <c r="Q42">
        <v>140.56078051519651</v>
      </c>
      <c r="R42">
        <v>139.56825037479661</v>
      </c>
      <c r="S42">
        <v>140.4321183388457</v>
      </c>
      <c r="T42">
        <v>139.88511483115639</v>
      </c>
      <c r="U42">
        <v>139.76781802522791</v>
      </c>
      <c r="V42">
        <v>139.70876763492191</v>
      </c>
      <c r="W42">
        <v>139.86672280884679</v>
      </c>
      <c r="X42">
        <v>139.91790875779989</v>
      </c>
      <c r="Y42">
        <v>140.94205426095121</v>
      </c>
      <c r="Z42">
        <v>142.03744368904921</v>
      </c>
    </row>
    <row r="43" spans="1:26" x14ac:dyDescent="0.35">
      <c r="A43" t="s">
        <v>7</v>
      </c>
      <c r="B43">
        <v>4.4892786568121892</v>
      </c>
      <c r="C43">
        <v>4.5519790664233426</v>
      </c>
      <c r="D43">
        <v>4.4080580897392574</v>
      </c>
      <c r="E43">
        <v>4.0588062484797263</v>
      </c>
      <c r="F43">
        <v>3.841442647036359</v>
      </c>
      <c r="G43">
        <v>3.6205957394709292</v>
      </c>
      <c r="H43">
        <v>3.485684751518249</v>
      </c>
      <c r="I43">
        <v>3.1667830676877031</v>
      </c>
      <c r="J43">
        <v>2.9134577411895179</v>
      </c>
      <c r="K43">
        <v>2.0561578106858178</v>
      </c>
      <c r="L43">
        <v>1.233781080130228</v>
      </c>
      <c r="M43">
        <v>1.3869179362435771</v>
      </c>
      <c r="N43">
        <v>1.146449687959944</v>
      </c>
      <c r="O43">
        <v>1.3458962435183539</v>
      </c>
      <c r="P43">
        <v>1.4972885947111929</v>
      </c>
      <c r="Q43">
        <v>1.752668869606083</v>
      </c>
      <c r="R43">
        <v>1.3266459899973599</v>
      </c>
      <c r="S43">
        <v>2.2203144511825879</v>
      </c>
      <c r="T43">
        <v>1.9527826553908481</v>
      </c>
      <c r="U43">
        <v>0.75353600348131522</v>
      </c>
      <c r="V43">
        <v>-0.59293676979766019</v>
      </c>
      <c r="W43">
        <v>1.0908331834159239</v>
      </c>
      <c r="X43">
        <v>0.95995221674948539</v>
      </c>
      <c r="Y43">
        <v>0.99951175759755984</v>
      </c>
      <c r="Z43">
        <v>0.492245220877777</v>
      </c>
    </row>
    <row r="44" spans="1:26" x14ac:dyDescent="0.35">
      <c r="A44" t="s">
        <v>8</v>
      </c>
      <c r="B44">
        <v>-0.49601595492066708</v>
      </c>
      <c r="C44">
        <v>0.43110716236045538</v>
      </c>
      <c r="D44">
        <v>2.452648298079833E-2</v>
      </c>
      <c r="E44">
        <v>0.40477748094964999</v>
      </c>
      <c r="F44">
        <v>0.49499963135424158</v>
      </c>
      <c r="G44">
        <v>0.85579212000958305</v>
      </c>
      <c r="H44">
        <v>1.707187002148405</v>
      </c>
      <c r="I44">
        <v>0.80482787756819441</v>
      </c>
      <c r="J44">
        <v>0.66107033623267297</v>
      </c>
      <c r="K44">
        <v>-2.0183634801495699E-2</v>
      </c>
      <c r="L44">
        <v>-0.44628346717111989</v>
      </c>
      <c r="M44">
        <v>-0.57549411857195687</v>
      </c>
      <c r="N44">
        <v>-1.050842905124616</v>
      </c>
      <c r="O44">
        <v>-0.96755337423859256</v>
      </c>
      <c r="P44">
        <v>-1.0146126473737129</v>
      </c>
      <c r="Q44">
        <v>-0.1132398898289869</v>
      </c>
      <c r="R44">
        <v>-0.23559879028365929</v>
      </c>
      <c r="S44">
        <v>9.0456386109090681E-2</v>
      </c>
      <c r="T44">
        <v>-0.54232293136719378</v>
      </c>
      <c r="U44">
        <v>-0.68396124727796337</v>
      </c>
      <c r="V44">
        <v>-0.69812196046537944</v>
      </c>
      <c r="W44">
        <v>-3.9833427111439362E-2</v>
      </c>
      <c r="X44">
        <v>0.39669237239810973</v>
      </c>
      <c r="Y44">
        <v>0.69322783880797911</v>
      </c>
      <c r="Z44">
        <v>0.47534273637503682</v>
      </c>
    </row>
    <row r="45" spans="1:26" x14ac:dyDescent="0.35">
      <c r="A45" t="s">
        <v>9</v>
      </c>
      <c r="B45">
        <v>-1.875756833130457</v>
      </c>
      <c r="C45">
        <v>-2.2934700304173141</v>
      </c>
      <c r="D45">
        <v>-1.9059954848240211E-2</v>
      </c>
      <c r="E45">
        <v>-2.1020656889837821</v>
      </c>
      <c r="F45">
        <v>0.12072478597421139</v>
      </c>
      <c r="G45">
        <v>2.7926839232716238</v>
      </c>
      <c r="H45">
        <v>1.806428919350769</v>
      </c>
      <c r="I45">
        <v>1.6186275026710091</v>
      </c>
      <c r="J45">
        <v>-0.68305506480578171</v>
      </c>
      <c r="K45">
        <v>0.54282025768139242</v>
      </c>
      <c r="L45">
        <v>-0.6740489904355943</v>
      </c>
      <c r="M45">
        <v>-2.4034512234684819</v>
      </c>
      <c r="N45">
        <v>-2.737957483195598</v>
      </c>
      <c r="O45">
        <v>-1.4499553458396299</v>
      </c>
      <c r="P45">
        <v>-3.7779014250884928</v>
      </c>
      <c r="Q45">
        <v>-4.9485302992827442</v>
      </c>
      <c r="R45">
        <v>-4.1535780349148661</v>
      </c>
      <c r="S45">
        <v>-1.014621285372501</v>
      </c>
      <c r="T45">
        <v>-1.618076104265288</v>
      </c>
      <c r="U45">
        <v>-1.5602769978469391</v>
      </c>
      <c r="V45">
        <v>-0.78475247095689404</v>
      </c>
      <c r="W45">
        <v>-0.38922450159549088</v>
      </c>
      <c r="X45">
        <v>-0.57494631824503251</v>
      </c>
      <c r="Y45">
        <v>-0.30261364429095577</v>
      </c>
      <c r="Z45">
        <v>0.37818018805494452</v>
      </c>
    </row>
    <row r="46" spans="1:26" x14ac:dyDescent="0.35">
      <c r="A46" t="s">
        <v>10</v>
      </c>
      <c r="B46">
        <v>137.9808283632151</v>
      </c>
      <c r="C46">
        <v>141.06165813083999</v>
      </c>
      <c r="D46">
        <v>143.2030209397322</v>
      </c>
      <c r="E46">
        <v>139.32042240858129</v>
      </c>
      <c r="F46">
        <v>139.9214940412908</v>
      </c>
      <c r="G46">
        <v>143.00708053052449</v>
      </c>
      <c r="H46">
        <v>141.5030241962971</v>
      </c>
      <c r="I46">
        <v>138.78321009384749</v>
      </c>
      <c r="J46">
        <v>136.1562142674322</v>
      </c>
      <c r="K46">
        <v>137.27994422569981</v>
      </c>
      <c r="L46">
        <v>136.1717165789407</v>
      </c>
      <c r="M46">
        <v>136.74167015943431</v>
      </c>
      <c r="N46">
        <v>137.45436587812901</v>
      </c>
      <c r="O46">
        <v>139.58702664182459</v>
      </c>
      <c r="P46">
        <v>137.2093692401879</v>
      </c>
      <c r="Q46">
        <v>137.25167919569091</v>
      </c>
      <c r="R46">
        <v>136.5057195395955</v>
      </c>
      <c r="S46">
        <v>141.72826789076481</v>
      </c>
      <c r="T46">
        <v>139.67749845091481</v>
      </c>
      <c r="U46">
        <v>138.27711578358429</v>
      </c>
      <c r="V46">
        <v>137.63295643370199</v>
      </c>
      <c r="W46">
        <v>140.52849806355579</v>
      </c>
      <c r="X46">
        <v>140.6996070287025</v>
      </c>
      <c r="Y46">
        <v>142.33218021306581</v>
      </c>
      <c r="Z46">
        <v>143.38321183435701</v>
      </c>
    </row>
    <row r="47" spans="1:26" x14ac:dyDescent="0.35">
      <c r="A47" t="s">
        <v>11</v>
      </c>
      <c r="B47">
        <v>240696561.13</v>
      </c>
      <c r="C47">
        <v>210491293.02000001</v>
      </c>
      <c r="D47">
        <v>273255852.95999998</v>
      </c>
      <c r="E47">
        <v>231122364.84999999</v>
      </c>
      <c r="F47">
        <v>368400633.05000001</v>
      </c>
      <c r="G47">
        <v>373098863.99000001</v>
      </c>
      <c r="H47">
        <v>340292364.87</v>
      </c>
      <c r="I47">
        <v>287626500.82999998</v>
      </c>
      <c r="J47">
        <v>221684703.61000001</v>
      </c>
      <c r="K47">
        <v>355757867.75999999</v>
      </c>
      <c r="L47">
        <v>294296290.55000001</v>
      </c>
      <c r="M47">
        <v>222829131.05000001</v>
      </c>
      <c r="N47">
        <v>259878972.38999999</v>
      </c>
      <c r="O47">
        <v>257888976.81999999</v>
      </c>
      <c r="P47">
        <v>146172142.97</v>
      </c>
      <c r="Q47">
        <v>124941103.13</v>
      </c>
      <c r="R47">
        <v>390295588.06999987</v>
      </c>
      <c r="S47">
        <v>326192451.67000002</v>
      </c>
      <c r="T47">
        <v>301366599.82999998</v>
      </c>
      <c r="U47">
        <v>288436723.16000003</v>
      </c>
      <c r="V47">
        <v>442875681.85000002</v>
      </c>
      <c r="W47">
        <v>386473804.48000002</v>
      </c>
      <c r="X47">
        <v>379394062.72000003</v>
      </c>
      <c r="Y47">
        <v>341881846.13999999</v>
      </c>
      <c r="Z47">
        <v>493726991.83999997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47"/>
  <sheetViews>
    <sheetView zoomScale="160" zoomScaleNormal="160" workbookViewId="0">
      <pane xSplit="1" topLeftCell="J1" activePane="topRight" state="frozen"/>
      <selection pane="topRight" activeCell="AB22" sqref="AB22"/>
    </sheetView>
  </sheetViews>
  <sheetFormatPr defaultRowHeight="14.5" x14ac:dyDescent="0.35"/>
  <sheetData>
    <row r="1" spans="1:28" x14ac:dyDescent="0.35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1</v>
      </c>
      <c r="W1" t="s">
        <v>2</v>
      </c>
      <c r="X1" t="s">
        <v>3</v>
      </c>
      <c r="Y1" t="s">
        <v>4</v>
      </c>
      <c r="Z1" t="s">
        <v>5</v>
      </c>
    </row>
    <row r="2" spans="1:28" x14ac:dyDescent="0.35">
      <c r="A2" t="s">
        <v>6</v>
      </c>
      <c r="B2">
        <v>131.79763521841929</v>
      </c>
      <c r="C2">
        <v>133.71059314411579</v>
      </c>
      <c r="D2">
        <v>135.28557431522441</v>
      </c>
      <c r="E2">
        <v>135.79608377329961</v>
      </c>
      <c r="F2">
        <v>134.60178841838771</v>
      </c>
      <c r="G2">
        <v>135.14257269364111</v>
      </c>
      <c r="H2">
        <v>135.3626526730819</v>
      </c>
      <c r="I2">
        <v>134.41537942859119</v>
      </c>
      <c r="J2">
        <v>134.06859534274361</v>
      </c>
      <c r="K2">
        <v>135.89246002160661</v>
      </c>
      <c r="L2">
        <v>136.14780523104511</v>
      </c>
      <c r="M2">
        <v>136.75155352499851</v>
      </c>
      <c r="N2">
        <v>136.66304693064629</v>
      </c>
      <c r="O2">
        <v>136.90906982764889</v>
      </c>
      <c r="P2">
        <v>136.43849356660581</v>
      </c>
      <c r="Q2">
        <v>137.02135091300229</v>
      </c>
      <c r="R2">
        <v>136.3721183056237</v>
      </c>
      <c r="S2">
        <v>137.12198326493359</v>
      </c>
      <c r="T2">
        <v>138.09052083542991</v>
      </c>
      <c r="U2">
        <v>136.8013556580203</v>
      </c>
      <c r="V2">
        <v>136.83702494495719</v>
      </c>
      <c r="W2">
        <v>138.03381902691669</v>
      </c>
      <c r="X2">
        <v>138.55808093396249</v>
      </c>
      <c r="Y2">
        <v>139.3761012547063</v>
      </c>
      <c r="Z2">
        <v>140.32252416135569</v>
      </c>
    </row>
    <row r="3" spans="1:28" x14ac:dyDescent="0.35">
      <c r="A3" t="s">
        <v>7</v>
      </c>
      <c r="B3">
        <v>1.412334077725234</v>
      </c>
      <c r="C3">
        <v>1.3083796764262841</v>
      </c>
      <c r="D3">
        <v>0.5822186890319756</v>
      </c>
      <c r="E3">
        <v>1.082214688707722</v>
      </c>
      <c r="F3">
        <v>1.320617127890017</v>
      </c>
      <c r="G3">
        <v>1.3559534628639081</v>
      </c>
      <c r="H3">
        <v>1.3112363909802129</v>
      </c>
      <c r="I3">
        <v>1.2138028379415571</v>
      </c>
      <c r="J3">
        <v>1.633893860899889</v>
      </c>
      <c r="K3">
        <v>1.3966255769194329</v>
      </c>
      <c r="L3">
        <v>1.265842489798644</v>
      </c>
      <c r="M3">
        <v>1.240840486174505</v>
      </c>
      <c r="N3">
        <v>0.79430529121580662</v>
      </c>
      <c r="O3">
        <v>1.222834674629752</v>
      </c>
      <c r="P3">
        <v>0.7012159871240442</v>
      </c>
      <c r="Q3">
        <v>0.83461732938272348</v>
      </c>
      <c r="R3">
        <v>0.66242897832651693</v>
      </c>
      <c r="S3">
        <v>1.1867832362002559</v>
      </c>
      <c r="T3">
        <v>0.97810535034986401</v>
      </c>
      <c r="U3">
        <v>1.174889336186141</v>
      </c>
      <c r="V3">
        <v>1.4592694189433639</v>
      </c>
      <c r="W3">
        <v>2.4660669161444559</v>
      </c>
      <c r="X3">
        <v>2.9266816981485699</v>
      </c>
      <c r="Y3">
        <v>2.919601597291575</v>
      </c>
      <c r="Z3">
        <v>3.1264617490047328</v>
      </c>
    </row>
    <row r="4" spans="1:28" x14ac:dyDescent="0.35">
      <c r="A4" t="s">
        <v>8</v>
      </c>
      <c r="B4">
        <v>-3.5580754714762648</v>
      </c>
      <c r="C4">
        <v>-0.38459490006573221</v>
      </c>
      <c r="D4">
        <v>0.37358071094848699</v>
      </c>
      <c r="E4">
        <v>1.275308310880114</v>
      </c>
      <c r="F4">
        <v>0.98653365628622824</v>
      </c>
      <c r="G4">
        <v>0.84046231898258617</v>
      </c>
      <c r="H4">
        <v>0.64235995268797086</v>
      </c>
      <c r="I4">
        <v>-0.1306032308652002</v>
      </c>
      <c r="J4">
        <v>-0.90468111701203757</v>
      </c>
      <c r="K4">
        <v>-0.92586757292852861</v>
      </c>
      <c r="L4">
        <v>-1.408798120946297</v>
      </c>
      <c r="M4">
        <v>-0.75982070950176672</v>
      </c>
      <c r="N4">
        <v>-0.84526036767019574</v>
      </c>
      <c r="O4">
        <v>-0.6528615106323471</v>
      </c>
      <c r="P4">
        <v>-0.85209717385104955</v>
      </c>
      <c r="Q4">
        <v>-0.67736349704847021</v>
      </c>
      <c r="R4">
        <v>-0.31240509190903781</v>
      </c>
      <c r="S4">
        <v>0.27378841260072162</v>
      </c>
      <c r="T4">
        <v>1.062730526264873</v>
      </c>
      <c r="U4">
        <v>1.7592183349931061</v>
      </c>
      <c r="V4">
        <v>1.4609402828864131</v>
      </c>
      <c r="W4">
        <v>2.1439510142666962</v>
      </c>
      <c r="X4">
        <v>3.3310760683020382</v>
      </c>
      <c r="Y4">
        <v>3.4679348575739848</v>
      </c>
      <c r="Z4">
        <v>2.9141272109085672</v>
      </c>
      <c r="AB4">
        <f>SUM(B4:Z4)</f>
        <v>9.119582893674858</v>
      </c>
    </row>
    <row r="5" spans="1:28" x14ac:dyDescent="0.35">
      <c r="A5" t="s">
        <v>9</v>
      </c>
      <c r="B5">
        <v>0.3230031663592603</v>
      </c>
      <c r="C5">
        <v>-8.6383379508168323E-2</v>
      </c>
      <c r="D5">
        <v>2.676945208787004</v>
      </c>
      <c r="E5">
        <v>2.8146745143584919</v>
      </c>
      <c r="F5">
        <v>2.4860691974896092</v>
      </c>
      <c r="G5">
        <v>4.7262816091039577</v>
      </c>
      <c r="H5">
        <v>3.763029438910618</v>
      </c>
      <c r="I5">
        <v>3.8101148848800528</v>
      </c>
      <c r="J5">
        <v>3.3853107635890072</v>
      </c>
      <c r="K5">
        <v>2.1960055910404219</v>
      </c>
      <c r="L5">
        <v>1.8106623589266</v>
      </c>
      <c r="M5">
        <v>1.171882167126244</v>
      </c>
      <c r="N5">
        <v>1.03089641736987</v>
      </c>
      <c r="O5">
        <v>2.2240908494462981</v>
      </c>
      <c r="P5">
        <v>2.6760225052409932</v>
      </c>
      <c r="Q5">
        <v>2.24926999254598</v>
      </c>
      <c r="R5">
        <v>1.9889494083951531</v>
      </c>
      <c r="S5">
        <v>2.5891488107999479</v>
      </c>
      <c r="T5">
        <v>3.6810412443920639</v>
      </c>
      <c r="U5">
        <v>3.3703323521800739</v>
      </c>
      <c r="V5">
        <v>3.5059589161866098</v>
      </c>
      <c r="W5">
        <v>4.0166396474858548</v>
      </c>
      <c r="X5">
        <v>3.9723984606826521</v>
      </c>
      <c r="Y5">
        <v>4.2451029397927638</v>
      </c>
      <c r="Z5">
        <v>4.2859615259651846</v>
      </c>
    </row>
    <row r="6" spans="1:28" x14ac:dyDescent="0.35">
      <c r="A6" t="s">
        <v>10</v>
      </c>
      <c r="B6">
        <v>129.97489699102749</v>
      </c>
      <c r="C6">
        <v>134.54799454096829</v>
      </c>
      <c r="D6">
        <v>138.9183189239919</v>
      </c>
      <c r="E6">
        <v>140.96828128724599</v>
      </c>
      <c r="F6">
        <v>139.3950084000536</v>
      </c>
      <c r="G6">
        <v>142.0652700845915</v>
      </c>
      <c r="H6">
        <v>141.0792784556607</v>
      </c>
      <c r="I6">
        <v>139.3086939205476</v>
      </c>
      <c r="J6">
        <v>138.1831188502205</v>
      </c>
      <c r="K6">
        <v>138.55922361663801</v>
      </c>
      <c r="L6">
        <v>137.815511958824</v>
      </c>
      <c r="M6">
        <v>138.40445546879749</v>
      </c>
      <c r="N6">
        <v>137.64298827156171</v>
      </c>
      <c r="O6">
        <v>139.70313384109261</v>
      </c>
      <c r="P6">
        <v>138.9636348851198</v>
      </c>
      <c r="Q6">
        <v>139.42787473788249</v>
      </c>
      <c r="R6">
        <v>138.7110916004363</v>
      </c>
      <c r="S6">
        <v>141.17170372453461</v>
      </c>
      <c r="T6">
        <v>143.81239795643671</v>
      </c>
      <c r="U6">
        <v>143.10579568137959</v>
      </c>
      <c r="V6">
        <v>143.26319356297361</v>
      </c>
      <c r="W6">
        <v>146.66047660481371</v>
      </c>
      <c r="X6">
        <v>148.78823716109579</v>
      </c>
      <c r="Y6">
        <v>150.0087406493646</v>
      </c>
      <c r="Z6">
        <v>150.64907464723419</v>
      </c>
    </row>
    <row r="7" spans="1:28" x14ac:dyDescent="0.35">
      <c r="A7" t="s">
        <v>11</v>
      </c>
      <c r="B7">
        <v>32266854</v>
      </c>
      <c r="C7">
        <v>27926177.469999999</v>
      </c>
      <c r="D7">
        <v>26788093.129999999</v>
      </c>
      <c r="E7">
        <v>22116684.23</v>
      </c>
      <c r="F7">
        <v>32796772.530000001</v>
      </c>
      <c r="G7">
        <v>39581722.560000002</v>
      </c>
      <c r="H7">
        <v>26574147.170000002</v>
      </c>
      <c r="I7">
        <v>23248977.84</v>
      </c>
      <c r="J7">
        <v>23682831.52</v>
      </c>
      <c r="K7">
        <v>23783043.949999999</v>
      </c>
      <c r="L7">
        <v>23891873.870000001</v>
      </c>
      <c r="M7">
        <v>16200639.27</v>
      </c>
      <c r="N7">
        <v>16458455.859999999</v>
      </c>
      <c r="O7">
        <v>16463632.33</v>
      </c>
      <c r="P7">
        <v>23500225.219999999</v>
      </c>
      <c r="Q7">
        <v>26931895.09</v>
      </c>
      <c r="R7">
        <v>45403667.079999998</v>
      </c>
      <c r="S7">
        <v>43850753.109999999</v>
      </c>
      <c r="T7">
        <v>30886831.440000001</v>
      </c>
      <c r="U7">
        <v>32083492.920000002</v>
      </c>
      <c r="V7">
        <v>56035846.899999999</v>
      </c>
      <c r="W7">
        <v>58135223.549999997</v>
      </c>
      <c r="X7">
        <v>51413758.530000001</v>
      </c>
      <c r="Y7">
        <v>39424319.840000004</v>
      </c>
      <c r="Z7">
        <v>44425980.790000007</v>
      </c>
    </row>
    <row r="9" spans="1:28" x14ac:dyDescent="0.35">
      <c r="A9" t="s">
        <v>12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  <c r="V9" t="s">
        <v>1</v>
      </c>
      <c r="W9" t="s">
        <v>2</v>
      </c>
      <c r="X9" t="s">
        <v>3</v>
      </c>
      <c r="Y9" t="s">
        <v>4</v>
      </c>
      <c r="Z9" t="s">
        <v>5</v>
      </c>
    </row>
    <row r="10" spans="1:28" x14ac:dyDescent="0.35">
      <c r="A10" t="s">
        <v>6</v>
      </c>
      <c r="B10">
        <v>131.13303029419251</v>
      </c>
      <c r="C10">
        <v>132.90504284604401</v>
      </c>
      <c r="D10">
        <v>133.9304786690208</v>
      </c>
      <c r="E10">
        <v>132.8038095162421</v>
      </c>
      <c r="F10">
        <v>135.4481125583965</v>
      </c>
      <c r="G10">
        <v>135.1873517847032</v>
      </c>
      <c r="H10">
        <v>134.94601738902409</v>
      </c>
      <c r="I10">
        <v>132.89927866287411</v>
      </c>
      <c r="J10">
        <v>134.06325322076779</v>
      </c>
      <c r="K10">
        <v>136.81720801029189</v>
      </c>
      <c r="L10">
        <v>138.00243272817349</v>
      </c>
      <c r="M10">
        <v>139.77793163612839</v>
      </c>
      <c r="N10">
        <v>141.277190364473</v>
      </c>
      <c r="O10">
        <v>140.587337420209</v>
      </c>
      <c r="P10">
        <v>140.72102580751559</v>
      </c>
      <c r="Q10">
        <v>139.02514228651111</v>
      </c>
      <c r="R10">
        <v>138.13163482086091</v>
      </c>
      <c r="S10">
        <v>140.1735622972094</v>
      </c>
      <c r="T10">
        <v>141.55375224123719</v>
      </c>
      <c r="U10">
        <v>139.97097369283409</v>
      </c>
      <c r="V10">
        <v>139.83315040104489</v>
      </c>
      <c r="W10">
        <v>140.6343356036856</v>
      </c>
      <c r="X10">
        <v>140.9638839291236</v>
      </c>
      <c r="Y10">
        <v>141.85748818430829</v>
      </c>
      <c r="Z10">
        <v>142.76282504407831</v>
      </c>
    </row>
    <row r="11" spans="1:28" x14ac:dyDescent="0.35">
      <c r="A11" t="s">
        <v>7</v>
      </c>
      <c r="B11">
        <v>1.3091096453114519</v>
      </c>
      <c r="C11">
        <v>1.5067007457573709</v>
      </c>
      <c r="D11">
        <v>0.54845206108646494</v>
      </c>
      <c r="E11">
        <v>3.989095038917867E-3</v>
      </c>
      <c r="F11">
        <v>0.52413775543899987</v>
      </c>
      <c r="G11">
        <v>0.89828530507452342</v>
      </c>
      <c r="H11">
        <v>0.69221703585537853</v>
      </c>
      <c r="I11">
        <v>-0.39544920563756142</v>
      </c>
      <c r="J11">
        <v>-0.23544013982765929</v>
      </c>
      <c r="K11">
        <v>0.72599632061417196</v>
      </c>
      <c r="L11">
        <v>0.5826234577808691</v>
      </c>
      <c r="M11">
        <v>0.31311591216902462</v>
      </c>
      <c r="N11">
        <v>0.93883725131536266</v>
      </c>
      <c r="O11">
        <v>1.56454087947526</v>
      </c>
      <c r="P11">
        <v>1.6212334276677041</v>
      </c>
      <c r="Q11">
        <v>0.8929302351183992</v>
      </c>
      <c r="R11">
        <v>-0.197179663992614</v>
      </c>
      <c r="S11">
        <v>0.30351543626872513</v>
      </c>
      <c r="T11">
        <v>0.75919792713105494</v>
      </c>
      <c r="U11">
        <v>0.53146184690936593</v>
      </c>
      <c r="V11">
        <v>0.66791062198333861</v>
      </c>
      <c r="W11">
        <v>1.278142353031853</v>
      </c>
      <c r="X11">
        <v>1.796535868201403</v>
      </c>
      <c r="Y11">
        <v>2.7808560725822251</v>
      </c>
      <c r="Z11">
        <v>2.8644589843305539</v>
      </c>
    </row>
    <row r="12" spans="1:28" x14ac:dyDescent="0.35">
      <c r="A12" t="s">
        <v>8</v>
      </c>
      <c r="B12">
        <v>-4.1184014415649539</v>
      </c>
      <c r="C12">
        <v>-1.4211640995723001</v>
      </c>
      <c r="D12">
        <v>-1.410727725472712</v>
      </c>
      <c r="E12">
        <v>-0.57067510867606663</v>
      </c>
      <c r="F12">
        <v>-0.74079434597823934</v>
      </c>
      <c r="G12">
        <v>-1.032700855864682</v>
      </c>
      <c r="H12">
        <v>-1.302956762831361</v>
      </c>
      <c r="I12">
        <v>-2.0134150066874041</v>
      </c>
      <c r="J12">
        <v>-2.6493189456462298</v>
      </c>
      <c r="K12">
        <v>-2.6465701420316008</v>
      </c>
      <c r="L12">
        <v>-2.698681424299175</v>
      </c>
      <c r="M12">
        <v>-2.541679443501629</v>
      </c>
      <c r="N12">
        <v>-2.9150802459329039</v>
      </c>
      <c r="O12">
        <v>-2.469917731697767</v>
      </c>
      <c r="P12">
        <v>-2.622994655154268</v>
      </c>
      <c r="Q12">
        <v>-2.624949437515705</v>
      </c>
      <c r="R12">
        <v>-2.6896559935878299</v>
      </c>
      <c r="S12">
        <v>-2.2643839422185099</v>
      </c>
      <c r="T12">
        <v>-1.72823773913125</v>
      </c>
      <c r="U12">
        <v>-0.26242272603186972</v>
      </c>
      <c r="V12">
        <v>-9.6832705461032592E-2</v>
      </c>
      <c r="W12">
        <v>0.17027364142870749</v>
      </c>
      <c r="X12">
        <v>0.73281496661579282</v>
      </c>
      <c r="Y12">
        <v>2.0189405824164521</v>
      </c>
      <c r="Z12">
        <v>0.90668617839590882</v>
      </c>
      <c r="AB12">
        <f>SUM(B12:Z12)</f>
        <v>-36.992845110000623</v>
      </c>
    </row>
    <row r="13" spans="1:28" x14ac:dyDescent="0.35">
      <c r="A13" t="s">
        <v>9</v>
      </c>
      <c r="B13">
        <v>7.4188942671538083E-3</v>
      </c>
      <c r="C13">
        <v>-3.0717653494586109E-2</v>
      </c>
      <c r="D13">
        <v>0.3441775882139686</v>
      </c>
      <c r="E13">
        <v>-0.76766599911208222</v>
      </c>
      <c r="F13">
        <v>1.9954364670067331</v>
      </c>
      <c r="G13">
        <v>4.788078947557203</v>
      </c>
      <c r="H13">
        <v>3.3952762121325919</v>
      </c>
      <c r="I13">
        <v>2.5752520192262458</v>
      </c>
      <c r="J13">
        <v>2.860434218139829</v>
      </c>
      <c r="K13">
        <v>2.7866514021514792</v>
      </c>
      <c r="L13">
        <v>2.5920530429631841</v>
      </c>
      <c r="M13">
        <v>2.5681240152133151</v>
      </c>
      <c r="N13">
        <v>2.0189747015663051</v>
      </c>
      <c r="O13">
        <v>4.3952089992705394</v>
      </c>
      <c r="P13">
        <v>4.9978631128151303</v>
      </c>
      <c r="Q13">
        <v>5.560177360469428</v>
      </c>
      <c r="R13">
        <v>5.2200219525553999</v>
      </c>
      <c r="S13">
        <v>5.3285803504006077</v>
      </c>
      <c r="T13">
        <v>5.1208150300669528</v>
      </c>
      <c r="U13">
        <v>5.196695594083077</v>
      </c>
      <c r="V13">
        <v>5.1673355072068716</v>
      </c>
      <c r="W13">
        <v>6.0979654330377748</v>
      </c>
      <c r="X13">
        <v>6.1350808475006957</v>
      </c>
      <c r="Y13">
        <v>6.2137931366839254</v>
      </c>
      <c r="Z13">
        <v>5.1845681235986536</v>
      </c>
    </row>
    <row r="14" spans="1:28" x14ac:dyDescent="0.35">
      <c r="A14" t="s">
        <v>10</v>
      </c>
      <c r="B14">
        <v>128.33115739220619</v>
      </c>
      <c r="C14">
        <v>132.9598618387345</v>
      </c>
      <c r="D14">
        <v>133.41238059284859</v>
      </c>
      <c r="E14">
        <v>131.46945750349289</v>
      </c>
      <c r="F14">
        <v>137.226892434864</v>
      </c>
      <c r="G14">
        <v>139.8410151814702</v>
      </c>
      <c r="H14">
        <v>137.73055387418071</v>
      </c>
      <c r="I14">
        <v>133.06566646977541</v>
      </c>
      <c r="J14">
        <v>134.0389283534337</v>
      </c>
      <c r="K14">
        <v>137.68328559102599</v>
      </c>
      <c r="L14">
        <v>138.47842780461841</v>
      </c>
      <c r="M14">
        <v>140.1174921200091</v>
      </c>
      <c r="N14">
        <v>141.31992207142179</v>
      </c>
      <c r="O14">
        <v>144.07716956725699</v>
      </c>
      <c r="P14">
        <v>144.7171276928442</v>
      </c>
      <c r="Q14">
        <v>142.8533004445832</v>
      </c>
      <c r="R14">
        <v>140.46482111583589</v>
      </c>
      <c r="S14">
        <v>143.5412741416603</v>
      </c>
      <c r="T14">
        <v>145.70552745930399</v>
      </c>
      <c r="U14">
        <v>145.4367084077947</v>
      </c>
      <c r="V14">
        <v>145.5715638247741</v>
      </c>
      <c r="W14">
        <v>148.18071703118389</v>
      </c>
      <c r="X14">
        <v>149.62831561144151</v>
      </c>
      <c r="Y14">
        <v>152.87107797599089</v>
      </c>
      <c r="Z14">
        <v>151.71853833040339</v>
      </c>
    </row>
    <row r="15" spans="1:28" x14ac:dyDescent="0.35">
      <c r="A15" t="s">
        <v>11</v>
      </c>
      <c r="B15">
        <v>25531953.719999999</v>
      </c>
      <c r="C15">
        <v>31709868.359999999</v>
      </c>
      <c r="D15">
        <v>39978116.189999998</v>
      </c>
      <c r="E15">
        <v>35518541.799999997</v>
      </c>
      <c r="F15">
        <v>48167716.590000004</v>
      </c>
      <c r="G15">
        <v>75307439.879999995</v>
      </c>
      <c r="H15">
        <v>65397089.159999996</v>
      </c>
      <c r="I15">
        <v>63739835.979999997</v>
      </c>
      <c r="J15">
        <v>61976868.359999999</v>
      </c>
      <c r="K15">
        <v>63221930.130000003</v>
      </c>
      <c r="L15">
        <v>57848125.32</v>
      </c>
      <c r="M15">
        <v>32090563.25</v>
      </c>
      <c r="N15">
        <v>19516866.98</v>
      </c>
      <c r="O15">
        <v>25449449.190000001</v>
      </c>
      <c r="P15">
        <v>43555600.030000001</v>
      </c>
      <c r="Q15">
        <v>75034894.310000002</v>
      </c>
      <c r="R15">
        <v>131533810.08</v>
      </c>
      <c r="S15">
        <v>147207291.50999999</v>
      </c>
      <c r="T15">
        <v>108850614.5</v>
      </c>
      <c r="U15">
        <v>119319099.8</v>
      </c>
      <c r="V15">
        <v>174895090.5</v>
      </c>
      <c r="W15">
        <v>177803912.80000001</v>
      </c>
      <c r="X15">
        <v>151109412.00999999</v>
      </c>
      <c r="Y15">
        <v>117985513.70999999</v>
      </c>
      <c r="Z15">
        <v>133585605.31</v>
      </c>
    </row>
    <row r="17" spans="1:28" x14ac:dyDescent="0.35">
      <c r="A17" t="s">
        <v>13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48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  <c r="V17" t="s">
        <v>1</v>
      </c>
      <c r="W17" t="s">
        <v>2</v>
      </c>
      <c r="X17" t="s">
        <v>3</v>
      </c>
      <c r="Y17" t="s">
        <v>4</v>
      </c>
      <c r="Z17" t="s">
        <v>5</v>
      </c>
    </row>
    <row r="18" spans="1:28" x14ac:dyDescent="0.35">
      <c r="A18" t="s">
        <v>6</v>
      </c>
      <c r="B18">
        <v>130.03039565128549</v>
      </c>
      <c r="C18">
        <v>133.13561972496839</v>
      </c>
      <c r="D18">
        <v>135.524196498951</v>
      </c>
      <c r="E18">
        <v>135.28732548834151</v>
      </c>
      <c r="F18">
        <v>135.28771439688319</v>
      </c>
      <c r="G18">
        <v>135.49900659610029</v>
      </c>
      <c r="H18">
        <v>135.05653202064309</v>
      </c>
      <c r="I18">
        <v>133.65335904786929</v>
      </c>
      <c r="J18">
        <v>134.54999962165849</v>
      </c>
      <c r="K18">
        <v>136.72731168449579</v>
      </c>
      <c r="L18">
        <v>137.27114379098981</v>
      </c>
      <c r="M18">
        <v>138.3019509586567</v>
      </c>
      <c r="N18">
        <v>139.23034679005511</v>
      </c>
      <c r="O18">
        <v>137.7158392394139</v>
      </c>
      <c r="P18">
        <v>138.5398362201949</v>
      </c>
      <c r="Q18">
        <v>137.48747271961969</v>
      </c>
      <c r="R18">
        <v>136.7602328443264</v>
      </c>
      <c r="S18">
        <v>137.47802427838079</v>
      </c>
      <c r="T18">
        <v>138.54353569478641</v>
      </c>
      <c r="U18">
        <v>137.2090482829978</v>
      </c>
      <c r="V18">
        <v>136.66839841462689</v>
      </c>
      <c r="W18">
        <v>137.94719223853701</v>
      </c>
      <c r="X18">
        <v>138.66054717924419</v>
      </c>
      <c r="Y18">
        <v>140.0375169754368</v>
      </c>
      <c r="Z18">
        <v>141.03676494934629</v>
      </c>
    </row>
    <row r="19" spans="1:28" x14ac:dyDescent="0.35">
      <c r="A19" t="s">
        <v>7</v>
      </c>
      <c r="B19">
        <v>0.62627010783492665</v>
      </c>
      <c r="C19">
        <v>0.56124753646935233</v>
      </c>
      <c r="D19">
        <v>0.90101304711950547</v>
      </c>
      <c r="E19">
        <v>0.84283260286281347</v>
      </c>
      <c r="F19">
        <v>1.6574384290710209</v>
      </c>
      <c r="G19">
        <v>1.815851125188999</v>
      </c>
      <c r="H19">
        <v>1.5016645803773661</v>
      </c>
      <c r="I19">
        <v>1.1834960513425301</v>
      </c>
      <c r="J19">
        <v>0.5660734388493438</v>
      </c>
      <c r="K19">
        <v>0.62303432104519629</v>
      </c>
      <c r="L19">
        <v>-1.4227398664814929E-2</v>
      </c>
      <c r="M19">
        <v>0.60880416093954182</v>
      </c>
      <c r="N19">
        <v>0.26065131663582969</v>
      </c>
      <c r="O19">
        <v>0.32381303156259378</v>
      </c>
      <c r="P19">
        <v>1.474295442786399</v>
      </c>
      <c r="Q19">
        <v>1.264705079320009</v>
      </c>
      <c r="R19">
        <v>1.013927862906201</v>
      </c>
      <c r="S19">
        <v>2.022800071092405</v>
      </c>
      <c r="T19">
        <v>2.2786497559132499</v>
      </c>
      <c r="U19">
        <v>2.0632355429099789</v>
      </c>
      <c r="V19">
        <v>1.8384507384757001</v>
      </c>
      <c r="W19">
        <v>2.0356618749904101</v>
      </c>
      <c r="X19">
        <v>2.2451500749805291</v>
      </c>
      <c r="Y19">
        <v>2.7851197376810428</v>
      </c>
      <c r="Z19">
        <v>3.125019135781685</v>
      </c>
    </row>
    <row r="20" spans="1:28" x14ac:dyDescent="0.35">
      <c r="A20" t="s">
        <v>8</v>
      </c>
      <c r="B20">
        <v>-4.7074247628526837</v>
      </c>
      <c r="C20">
        <v>-0.66064178245919614</v>
      </c>
      <c r="D20">
        <v>-0.29796557597972018</v>
      </c>
      <c r="E20">
        <v>0.17305747694212709</v>
      </c>
      <c r="F20">
        <v>-7.7399957958591642E-2</v>
      </c>
      <c r="G20">
        <v>0.10988362406707911</v>
      </c>
      <c r="H20">
        <v>-6.9239853309934304E-2</v>
      </c>
      <c r="I20">
        <v>-0.1813287351135863</v>
      </c>
      <c r="J20">
        <v>-0.53658395994731978</v>
      </c>
      <c r="K20">
        <v>-0.51944562236935066</v>
      </c>
      <c r="L20">
        <v>-0.72305819774848346</v>
      </c>
      <c r="M20">
        <v>-0.46721172907635289</v>
      </c>
      <c r="N20">
        <v>-0.38699895194756723</v>
      </c>
      <c r="O20">
        <v>-0.69160541090890426</v>
      </c>
      <c r="P20">
        <v>-0.77016993012624979</v>
      </c>
      <c r="Q20">
        <v>-7.3902762453469148E-2</v>
      </c>
      <c r="R20">
        <v>-0.46378406652819992</v>
      </c>
      <c r="S20">
        <v>0.783717875425745</v>
      </c>
      <c r="T20">
        <v>1.6672358819648481</v>
      </c>
      <c r="U20">
        <v>2.900766934068522</v>
      </c>
      <c r="V20">
        <v>2.68279803025262</v>
      </c>
      <c r="W20">
        <v>3.4454111868036992</v>
      </c>
      <c r="X20">
        <v>3.4926550487815939</v>
      </c>
      <c r="Y20">
        <v>4.685620546264869</v>
      </c>
      <c r="Z20">
        <v>3.7516145898525139</v>
      </c>
      <c r="AB20">
        <f>SUM(B20:Z20)</f>
        <v>13.065999895644007</v>
      </c>
    </row>
    <row r="21" spans="1:28" x14ac:dyDescent="0.35">
      <c r="A21" t="s">
        <v>9</v>
      </c>
      <c r="B21">
        <v>-1.2187429854359331</v>
      </c>
      <c r="C21">
        <v>-1.356547494568362</v>
      </c>
      <c r="D21">
        <v>1.109026565865787</v>
      </c>
      <c r="E21">
        <v>1.282827263471652</v>
      </c>
      <c r="F21">
        <v>2.4002794387136288</v>
      </c>
      <c r="G21">
        <v>3.9950876559858339</v>
      </c>
      <c r="H21">
        <v>3.6952330986004172</v>
      </c>
      <c r="I21">
        <v>3.3673194245610492</v>
      </c>
      <c r="J21">
        <v>3.979342498047107</v>
      </c>
      <c r="K21">
        <v>4.7025897295652879</v>
      </c>
      <c r="L21">
        <v>4.4600932063431769</v>
      </c>
      <c r="M21">
        <v>5.2540634299369753</v>
      </c>
      <c r="N21">
        <v>5.2899300523753681</v>
      </c>
      <c r="O21">
        <v>4.7413790961241729</v>
      </c>
      <c r="P21">
        <v>6.0487009839308179</v>
      </c>
      <c r="Q21">
        <v>6.0317407683863822</v>
      </c>
      <c r="R21">
        <v>4.5531388150432761</v>
      </c>
      <c r="S21">
        <v>5.1241263270594928</v>
      </c>
      <c r="T21">
        <v>5.6805430370254024</v>
      </c>
      <c r="U21">
        <v>5.528824434027455</v>
      </c>
      <c r="V21">
        <v>5.1989088717521428</v>
      </c>
      <c r="W21">
        <v>6.129448809003617</v>
      </c>
      <c r="X21">
        <v>6.0251771080309231</v>
      </c>
      <c r="Y21">
        <v>6.24518788080898</v>
      </c>
      <c r="Z21">
        <v>5.2776689237059706</v>
      </c>
    </row>
    <row r="22" spans="1:28" x14ac:dyDescent="0.35">
      <c r="A22" t="s">
        <v>10</v>
      </c>
      <c r="B22">
        <v>124.73049801083179</v>
      </c>
      <c r="C22">
        <v>131.6796779844102</v>
      </c>
      <c r="D22">
        <v>137.23627053595649</v>
      </c>
      <c r="E22">
        <v>137.5860428316181</v>
      </c>
      <c r="F22">
        <v>139.26803230670919</v>
      </c>
      <c r="G22">
        <v>141.41982900134221</v>
      </c>
      <c r="H22">
        <v>140.18418984631089</v>
      </c>
      <c r="I22">
        <v>138.02284578865931</v>
      </c>
      <c r="J22">
        <v>138.55883159860761</v>
      </c>
      <c r="K22">
        <v>141.53349011273701</v>
      </c>
      <c r="L22">
        <v>140.99395140091971</v>
      </c>
      <c r="M22">
        <v>143.69760682045691</v>
      </c>
      <c r="N22">
        <v>144.3939292071187</v>
      </c>
      <c r="O22">
        <v>142.08942595619169</v>
      </c>
      <c r="P22">
        <v>145.29266271678591</v>
      </c>
      <c r="Q22">
        <v>144.7100158048726</v>
      </c>
      <c r="R22">
        <v>141.8635154557476</v>
      </c>
      <c r="S22">
        <v>145.40866855195841</v>
      </c>
      <c r="T22">
        <v>148.16996436968989</v>
      </c>
      <c r="U22">
        <v>147.7018751940038</v>
      </c>
      <c r="V22">
        <v>146.38855605510739</v>
      </c>
      <c r="W22">
        <v>149.55771410933471</v>
      </c>
      <c r="X22">
        <v>150.42352941103729</v>
      </c>
      <c r="Y22">
        <v>153.7534451401917</v>
      </c>
      <c r="Z22">
        <v>153.1910675986864</v>
      </c>
    </row>
    <row r="23" spans="1:28" x14ac:dyDescent="0.35">
      <c r="A23" t="s">
        <v>11</v>
      </c>
      <c r="B23">
        <v>73703014.030000001</v>
      </c>
      <c r="C23">
        <v>59571429.260000013</v>
      </c>
      <c r="D23">
        <v>59037002.060000002</v>
      </c>
      <c r="E23">
        <v>44041840.930000007</v>
      </c>
      <c r="F23">
        <v>63199503.020000003</v>
      </c>
      <c r="G23">
        <v>82590816.260000005</v>
      </c>
      <c r="H23">
        <v>66553012.479999997</v>
      </c>
      <c r="I23">
        <v>59034423.950000003</v>
      </c>
      <c r="J23">
        <v>54953361.270000003</v>
      </c>
      <c r="K23">
        <v>54791981.729999997</v>
      </c>
      <c r="L23">
        <v>38420665.340000004</v>
      </c>
      <c r="M23">
        <v>21163298.399999999</v>
      </c>
      <c r="N23">
        <v>12649519.25</v>
      </c>
      <c r="O23">
        <v>16219659.52</v>
      </c>
      <c r="P23">
        <v>28909162.390000001</v>
      </c>
      <c r="Q23">
        <v>44296437.099999987</v>
      </c>
      <c r="R23">
        <v>68656688.390000001</v>
      </c>
      <c r="S23">
        <v>95026794.780000001</v>
      </c>
      <c r="T23">
        <v>69497795.00999999</v>
      </c>
      <c r="U23">
        <v>70683017.159999996</v>
      </c>
      <c r="V23">
        <v>109778122.69</v>
      </c>
      <c r="W23">
        <v>117997640.45999999</v>
      </c>
      <c r="X23">
        <v>91351164.770000011</v>
      </c>
      <c r="Y23">
        <v>72109323.439999998</v>
      </c>
      <c r="Z23">
        <v>88330639.230000004</v>
      </c>
    </row>
    <row r="25" spans="1:28" x14ac:dyDescent="0.35">
      <c r="A25" t="s">
        <v>14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66</v>
      </c>
      <c r="J25" t="s">
        <v>67</v>
      </c>
      <c r="K25" t="s">
        <v>68</v>
      </c>
      <c r="L25" t="s">
        <v>69</v>
      </c>
      <c r="M25" t="s">
        <v>70</v>
      </c>
      <c r="N25" t="s">
        <v>48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55</v>
      </c>
      <c r="V25" t="s">
        <v>1</v>
      </c>
      <c r="W25" t="s">
        <v>2</v>
      </c>
      <c r="X25" t="s">
        <v>3</v>
      </c>
      <c r="Y25" t="s">
        <v>4</v>
      </c>
      <c r="Z25" t="s">
        <v>5</v>
      </c>
    </row>
    <row r="26" spans="1:28" x14ac:dyDescent="0.35">
      <c r="A26" t="s">
        <v>6</v>
      </c>
      <c r="B26">
        <v>131.95038796688411</v>
      </c>
      <c r="C26">
        <v>135.6654717957741</v>
      </c>
      <c r="D26">
        <v>137.78085993452939</v>
      </c>
      <c r="E26">
        <v>140.37624797824731</v>
      </c>
      <c r="F26">
        <v>136.7568472127295</v>
      </c>
      <c r="G26">
        <v>136.1826116248541</v>
      </c>
      <c r="H26">
        <v>135.63104898296709</v>
      </c>
      <c r="I26">
        <v>134.62934951605331</v>
      </c>
      <c r="J26">
        <v>134.1739245565968</v>
      </c>
      <c r="K26">
        <v>135.83717961712421</v>
      </c>
      <c r="L26">
        <v>136.9637513036931</v>
      </c>
      <c r="M26">
        <v>138.7722798213712</v>
      </c>
      <c r="N26">
        <v>141.3231605158098</v>
      </c>
      <c r="O26">
        <v>138.8631915017576</v>
      </c>
      <c r="P26">
        <v>137.9566586474825</v>
      </c>
      <c r="Q26">
        <v>139.56619914782399</v>
      </c>
      <c r="R26">
        <v>138.52439991139249</v>
      </c>
      <c r="S26">
        <v>138.4097814248108</v>
      </c>
      <c r="T26">
        <v>140.36330737362081</v>
      </c>
      <c r="U26">
        <v>138.38768592238731</v>
      </c>
      <c r="V26">
        <v>136.70742932031769</v>
      </c>
      <c r="W26">
        <v>138.34779673954839</v>
      </c>
      <c r="X26">
        <v>138.10209621539431</v>
      </c>
      <c r="Y26">
        <v>138.9455515120215</v>
      </c>
      <c r="Z26">
        <v>140.99131293643919</v>
      </c>
    </row>
    <row r="27" spans="1:28" x14ac:dyDescent="0.35">
      <c r="A27" t="s">
        <v>7</v>
      </c>
      <c r="B27">
        <v>-1.7103216132117891</v>
      </c>
      <c r="C27">
        <v>-1.362001191333434</v>
      </c>
      <c r="D27">
        <v>-0.82270063325532305</v>
      </c>
      <c r="E27">
        <v>0.67937377043395486</v>
      </c>
      <c r="F27">
        <v>1.82079744362008</v>
      </c>
      <c r="G27">
        <v>-0.22282408009877491</v>
      </c>
      <c r="H27">
        <v>-0.34270651080376519</v>
      </c>
      <c r="I27">
        <v>0.75425032903180522</v>
      </c>
      <c r="J27">
        <v>0.49117725062757239</v>
      </c>
      <c r="K27">
        <v>0.57506675081188519</v>
      </c>
      <c r="L27">
        <v>0.94006829221265775</v>
      </c>
      <c r="M27">
        <v>0.98065554772853147</v>
      </c>
      <c r="N27">
        <v>1.163772265119974</v>
      </c>
      <c r="O27">
        <v>0.76651233466805024</v>
      </c>
      <c r="P27">
        <v>1.051226100014617</v>
      </c>
      <c r="Q27">
        <v>1.3906266452335669</v>
      </c>
      <c r="R27">
        <v>1.553697558330924</v>
      </c>
      <c r="S27">
        <v>2.4436111035358579</v>
      </c>
      <c r="T27">
        <v>3.2853415839857969</v>
      </c>
      <c r="U27">
        <v>2.9736339398277489</v>
      </c>
      <c r="V27">
        <v>2.4078901425605181</v>
      </c>
      <c r="W27">
        <v>2.491006820245985</v>
      </c>
      <c r="X27">
        <v>3.009578920406597</v>
      </c>
      <c r="Y27">
        <v>1.8551298377325911</v>
      </c>
      <c r="Z27">
        <v>2.36301409599352</v>
      </c>
    </row>
    <row r="28" spans="1:28" x14ac:dyDescent="0.35">
      <c r="A28" t="s">
        <v>8</v>
      </c>
      <c r="B28">
        <v>-4.776688020055353</v>
      </c>
      <c r="C28">
        <v>-2.1624417843199391</v>
      </c>
      <c r="D28">
        <v>-1.64153241362703</v>
      </c>
      <c r="E28">
        <v>-1.1875696479700031</v>
      </c>
      <c r="F28">
        <v>-0.86492409389502167</v>
      </c>
      <c r="G28">
        <v>-1.308161111771976</v>
      </c>
      <c r="H28">
        <v>-1.458697885088285</v>
      </c>
      <c r="I28">
        <v>-1.504804900842456</v>
      </c>
      <c r="J28">
        <v>-1.9211086471852381</v>
      </c>
      <c r="K28">
        <v>-2.921301534140254</v>
      </c>
      <c r="L28">
        <v>-2.532479121222444</v>
      </c>
      <c r="M28">
        <v>-2.3921717529719531</v>
      </c>
      <c r="N28">
        <v>-1.706638704789742</v>
      </c>
      <c r="O28">
        <v>-2.1580715677081499</v>
      </c>
      <c r="P28">
        <v>-1.8585288294904569</v>
      </c>
      <c r="Q28">
        <v>-1.119940399819727</v>
      </c>
      <c r="R28">
        <v>-1.7710158290407041</v>
      </c>
      <c r="S28">
        <v>-1.708496126726845</v>
      </c>
      <c r="T28">
        <v>-1.622670263881639</v>
      </c>
      <c r="U28">
        <v>0.43886904620604211</v>
      </c>
      <c r="V28">
        <v>0.73762492149808345</v>
      </c>
      <c r="W28">
        <v>1.8878766878008831E-2</v>
      </c>
      <c r="X28">
        <v>0.67910389579556629</v>
      </c>
      <c r="Y28">
        <v>1.028599701661784</v>
      </c>
      <c r="Z28">
        <v>-0.55375583982048748</v>
      </c>
      <c r="AB28">
        <f>SUM(B28:Z28)</f>
        <v>-34.267922142328224</v>
      </c>
    </row>
    <row r="29" spans="1:28" x14ac:dyDescent="0.35">
      <c r="A29" t="s">
        <v>9</v>
      </c>
      <c r="B29">
        <v>6.1883097116086034</v>
      </c>
      <c r="C29">
        <v>7.0339038689947824</v>
      </c>
      <c r="D29">
        <v>9.9537765716153928</v>
      </c>
      <c r="E29">
        <v>8.9721280656082065</v>
      </c>
      <c r="F29">
        <v>7.7462434614231146</v>
      </c>
      <c r="G29">
        <v>9.7550706033257608</v>
      </c>
      <c r="H29">
        <v>8.8496876783491096</v>
      </c>
      <c r="I29">
        <v>7.7046525899058018</v>
      </c>
      <c r="J29">
        <v>7.5700941355023428</v>
      </c>
      <c r="K29">
        <v>7.7056112423838066</v>
      </c>
      <c r="L29">
        <v>7.9561856710891554</v>
      </c>
      <c r="M29">
        <v>7.907608386789307</v>
      </c>
      <c r="N29">
        <v>8.8983727385145723</v>
      </c>
      <c r="O29">
        <v>8.2305730397635415</v>
      </c>
      <c r="P29">
        <v>9.0487813037711646</v>
      </c>
      <c r="Q29">
        <v>8.6819607894137398</v>
      </c>
      <c r="R29">
        <v>6.8524331102850002</v>
      </c>
      <c r="S29">
        <v>7.1616907952801254</v>
      </c>
      <c r="T29">
        <v>7.4990609656991856</v>
      </c>
      <c r="U29">
        <v>7.6143753551803108</v>
      </c>
      <c r="V29">
        <v>6.8965244581437499</v>
      </c>
      <c r="W29">
        <v>6.3835791811561826</v>
      </c>
      <c r="X29">
        <v>6.3589031137686423</v>
      </c>
      <c r="Y29">
        <v>6.3928193104066562</v>
      </c>
      <c r="Z29">
        <v>5.5321811299038988</v>
      </c>
    </row>
    <row r="30" spans="1:28" x14ac:dyDescent="0.35">
      <c r="A30" t="s">
        <v>10</v>
      </c>
      <c r="B30">
        <v>131.6516880452256</v>
      </c>
      <c r="C30">
        <v>139.17493268911551</v>
      </c>
      <c r="D30">
        <v>145.2704034592625</v>
      </c>
      <c r="E30">
        <v>148.84018016631941</v>
      </c>
      <c r="F30">
        <v>145.45896402387771</v>
      </c>
      <c r="G30">
        <v>144.40669703630911</v>
      </c>
      <c r="H30">
        <v>142.67933226542419</v>
      </c>
      <c r="I30">
        <v>141.58344753414841</v>
      </c>
      <c r="J30">
        <v>140.31408729554141</v>
      </c>
      <c r="K30">
        <v>141.19655607617969</v>
      </c>
      <c r="L30">
        <v>143.3275261457724</v>
      </c>
      <c r="M30">
        <v>145.26837200291709</v>
      </c>
      <c r="N30">
        <v>149.6786668146546</v>
      </c>
      <c r="O30">
        <v>145.7022053084811</v>
      </c>
      <c r="P30">
        <v>146.19813722177781</v>
      </c>
      <c r="Q30">
        <v>148.5188461826516</v>
      </c>
      <c r="R30">
        <v>145.1595147509677</v>
      </c>
      <c r="S30">
        <v>146.3065871968999</v>
      </c>
      <c r="T30">
        <v>149.5250396594241</v>
      </c>
      <c r="U30">
        <v>149.41456426360139</v>
      </c>
      <c r="V30">
        <v>146.74946884252</v>
      </c>
      <c r="W30">
        <v>147.2412615078286</v>
      </c>
      <c r="X30">
        <v>148.14968214536509</v>
      </c>
      <c r="Y30">
        <v>148.2221003618225</v>
      </c>
      <c r="Z30">
        <v>148.33275232251609</v>
      </c>
    </row>
    <row r="31" spans="1:28" x14ac:dyDescent="0.35">
      <c r="A31" t="s">
        <v>11</v>
      </c>
      <c r="B31">
        <v>29567896.149999999</v>
      </c>
      <c r="C31">
        <v>20452730.02</v>
      </c>
      <c r="D31">
        <v>18615600.899999999</v>
      </c>
      <c r="E31">
        <v>8943877.4000000004</v>
      </c>
      <c r="F31">
        <v>15181236.02</v>
      </c>
      <c r="G31">
        <v>31017455.530000001</v>
      </c>
      <c r="H31">
        <v>26185057.969999999</v>
      </c>
      <c r="I31">
        <v>18912869.129999999</v>
      </c>
      <c r="J31">
        <v>20022958.149999999</v>
      </c>
      <c r="K31">
        <v>18264458.109999999</v>
      </c>
      <c r="L31">
        <v>16133338.15</v>
      </c>
      <c r="M31">
        <v>9991541.5899999999</v>
      </c>
      <c r="N31">
        <v>6626495.1899999985</v>
      </c>
      <c r="O31">
        <v>9268286.370000001</v>
      </c>
      <c r="P31">
        <v>15549122.210000001</v>
      </c>
      <c r="Q31">
        <v>15000070.210000001</v>
      </c>
      <c r="R31">
        <v>27235117.280000001</v>
      </c>
      <c r="S31">
        <v>35792719.759999998</v>
      </c>
      <c r="T31">
        <v>21813472.829999998</v>
      </c>
      <c r="U31">
        <v>21252328.469999999</v>
      </c>
      <c r="V31">
        <v>43623019.229999997</v>
      </c>
      <c r="W31">
        <v>40763731</v>
      </c>
      <c r="X31">
        <v>43230820.039999999</v>
      </c>
      <c r="Y31">
        <v>43342018.539999992</v>
      </c>
      <c r="Z31">
        <v>51820831.549999997</v>
      </c>
    </row>
    <row r="33" spans="1:28" x14ac:dyDescent="0.35">
      <c r="A33" t="s">
        <v>15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64</v>
      </c>
      <c r="H33" t="s">
        <v>65</v>
      </c>
      <c r="I33" t="s">
        <v>66</v>
      </c>
      <c r="J33" t="s">
        <v>67</v>
      </c>
      <c r="K33" t="s">
        <v>68</v>
      </c>
      <c r="L33" t="s">
        <v>69</v>
      </c>
      <c r="M33" t="s">
        <v>70</v>
      </c>
      <c r="N33" t="s">
        <v>48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55</v>
      </c>
      <c r="V33" t="s">
        <v>1</v>
      </c>
      <c r="W33" t="s">
        <v>2</v>
      </c>
      <c r="X33" t="s">
        <v>3</v>
      </c>
      <c r="Y33" t="s">
        <v>4</v>
      </c>
      <c r="Z33" t="s">
        <v>5</v>
      </c>
    </row>
    <row r="34" spans="1:28" x14ac:dyDescent="0.35">
      <c r="A34" t="s">
        <v>6</v>
      </c>
      <c r="B34">
        <v>132.3830679174151</v>
      </c>
      <c r="C34">
        <v>133.22864053407059</v>
      </c>
      <c r="D34">
        <v>136.30165783621021</v>
      </c>
      <c r="E34">
        <v>135.3824245085064</v>
      </c>
      <c r="F34">
        <v>133.83570351401411</v>
      </c>
      <c r="G34">
        <v>131.87489783492529</v>
      </c>
      <c r="H34">
        <v>131.13569156501919</v>
      </c>
      <c r="I34">
        <v>129.47230286810949</v>
      </c>
      <c r="J34">
        <v>129.34472841048461</v>
      </c>
      <c r="K34">
        <v>131.4534857039441</v>
      </c>
      <c r="L34">
        <v>131.7155339764507</v>
      </c>
      <c r="M34">
        <v>131.25851429906621</v>
      </c>
      <c r="N34">
        <v>132.73384871823549</v>
      </c>
      <c r="O34">
        <v>133.4421953804156</v>
      </c>
      <c r="P34">
        <v>133.76755452848761</v>
      </c>
      <c r="Q34">
        <v>135.3136659257851</v>
      </c>
      <c r="R34">
        <v>136.17456495376311</v>
      </c>
      <c r="S34">
        <v>136.81709999339159</v>
      </c>
      <c r="T34">
        <v>136.69241262670499</v>
      </c>
      <c r="U34">
        <v>134.948750294055</v>
      </c>
      <c r="V34">
        <v>134.57147996843619</v>
      </c>
      <c r="W34">
        <v>136.41792232868141</v>
      </c>
      <c r="X34">
        <v>137.00629562165429</v>
      </c>
      <c r="Y34">
        <v>137.20721483911191</v>
      </c>
      <c r="Z34">
        <v>139.80137295800651</v>
      </c>
    </row>
    <row r="35" spans="1:28" x14ac:dyDescent="0.35">
      <c r="A35" t="s">
        <v>7</v>
      </c>
      <c r="B35">
        <v>0.53733727491581362</v>
      </c>
      <c r="C35">
        <v>0.61144890440334621</v>
      </c>
      <c r="D35">
        <v>0.32319333564112179</v>
      </c>
      <c r="E35">
        <v>-0.89774631802086446</v>
      </c>
      <c r="F35">
        <v>-0.38175502107574738</v>
      </c>
      <c r="G35">
        <v>-0.59152796588301726</v>
      </c>
      <c r="H35">
        <v>-0.80097814863870553</v>
      </c>
      <c r="I35">
        <v>-0.57952409404390437</v>
      </c>
      <c r="J35">
        <v>-0.1218767355521209</v>
      </c>
      <c r="K35">
        <v>-0.57677921084459172</v>
      </c>
      <c r="L35">
        <v>-1.563158121816997</v>
      </c>
      <c r="M35">
        <v>-1.3928785047271219</v>
      </c>
      <c r="N35">
        <v>-1.751634827333447</v>
      </c>
      <c r="O35">
        <v>-1.055753827058538</v>
      </c>
      <c r="P35">
        <v>-0.70981924968504018</v>
      </c>
      <c r="Q35">
        <v>0.45637312284415538</v>
      </c>
      <c r="R35">
        <v>-0.59196154705890081</v>
      </c>
      <c r="S35">
        <v>-0.32963785050176853</v>
      </c>
      <c r="T35">
        <v>-0.49424107346195001</v>
      </c>
      <c r="U35">
        <v>-0.28560818312433872</v>
      </c>
      <c r="V35">
        <v>-0.97599677625345294</v>
      </c>
      <c r="W35">
        <v>0.20518067039733981</v>
      </c>
      <c r="X35">
        <v>0.17963091044521209</v>
      </c>
      <c r="Y35">
        <v>1.0649609356779881</v>
      </c>
      <c r="Z35">
        <v>1.2538169690974139</v>
      </c>
    </row>
    <row r="36" spans="1:28" x14ac:dyDescent="0.35">
      <c r="A36" t="s">
        <v>8</v>
      </c>
      <c r="B36">
        <v>-3.9307628836592108</v>
      </c>
      <c r="C36">
        <v>-0.2506982083204467</v>
      </c>
      <c r="D36">
        <v>0.1428962850997901</v>
      </c>
      <c r="E36">
        <v>-2.7361975040254609E-2</v>
      </c>
      <c r="F36">
        <v>1.7026104280143211E-2</v>
      </c>
      <c r="G36">
        <v>0.5125364321350292</v>
      </c>
      <c r="H36">
        <v>-0.1164423699255998</v>
      </c>
      <c r="I36">
        <v>-0.11122887042664779</v>
      </c>
      <c r="J36">
        <v>-1.022898723483924</v>
      </c>
      <c r="K36">
        <v>-1.306708350882867</v>
      </c>
      <c r="L36">
        <v>-2.0579850077470421</v>
      </c>
      <c r="M36">
        <v>-2.2321860276680581</v>
      </c>
      <c r="N36">
        <v>-1.9845435178881159</v>
      </c>
      <c r="O36">
        <v>-1.490051537955541</v>
      </c>
      <c r="P36">
        <v>-1.2755417002800891</v>
      </c>
      <c r="Q36">
        <v>-0.6155811555019739</v>
      </c>
      <c r="R36">
        <v>-1.20886261526213</v>
      </c>
      <c r="S36">
        <v>-0.70766037366255741</v>
      </c>
      <c r="T36">
        <v>0.25203212537694492</v>
      </c>
      <c r="U36">
        <v>3.1488127626799072</v>
      </c>
      <c r="V36">
        <v>4.7744381813098542</v>
      </c>
      <c r="W36">
        <v>3.6984810529589089</v>
      </c>
      <c r="X36">
        <v>3.7671271517580061</v>
      </c>
      <c r="Y36">
        <v>4.7206981670882326</v>
      </c>
      <c r="Z36">
        <v>3.7288004896844811</v>
      </c>
      <c r="AB36">
        <f>SUM(B36:Z36)</f>
        <v>6.424335434666844</v>
      </c>
    </row>
    <row r="37" spans="1:28" x14ac:dyDescent="0.35">
      <c r="A37" t="s">
        <v>9</v>
      </c>
      <c r="B37">
        <v>-0.24493038327375041</v>
      </c>
      <c r="C37">
        <v>1.836262539931233E-2</v>
      </c>
      <c r="D37">
        <v>2.4324714848617859</v>
      </c>
      <c r="E37">
        <v>0.99677003814211096</v>
      </c>
      <c r="F37">
        <v>1.137211283824046</v>
      </c>
      <c r="G37">
        <v>2.539259077889628</v>
      </c>
      <c r="H37">
        <v>1.383415383017254</v>
      </c>
      <c r="I37">
        <v>0.93125409088577649</v>
      </c>
      <c r="J37">
        <v>0.67397319423790902</v>
      </c>
      <c r="K37">
        <v>1.3187269328551789</v>
      </c>
      <c r="L37">
        <v>2.079334867281815</v>
      </c>
      <c r="M37">
        <v>1.292547836868891</v>
      </c>
      <c r="N37">
        <v>0.82741121959994923</v>
      </c>
      <c r="O37">
        <v>1.502503399580857</v>
      </c>
      <c r="P37">
        <v>2.6051269976887479</v>
      </c>
      <c r="Q37">
        <v>1.84322744554351</v>
      </c>
      <c r="R37">
        <v>1.7187256645690989</v>
      </c>
      <c r="S37">
        <v>1.9611206791072411</v>
      </c>
      <c r="T37">
        <v>1.755343478428373</v>
      </c>
      <c r="U37">
        <v>1.3224500511459529</v>
      </c>
      <c r="V37">
        <v>1.522162532951483</v>
      </c>
      <c r="W37">
        <v>1.924079581873084</v>
      </c>
      <c r="X37">
        <v>1.847897375089832</v>
      </c>
      <c r="Y37">
        <v>1.69964177569163</v>
      </c>
      <c r="Z37">
        <v>1.5000520436115841</v>
      </c>
    </row>
    <row r="38" spans="1:28" x14ac:dyDescent="0.35">
      <c r="A38" t="s">
        <v>10</v>
      </c>
      <c r="B38">
        <v>128.74471192539789</v>
      </c>
      <c r="C38">
        <v>133.6077538555528</v>
      </c>
      <c r="D38">
        <v>139.20021894181289</v>
      </c>
      <c r="E38">
        <v>135.45408625358729</v>
      </c>
      <c r="F38">
        <v>134.6081858810426</v>
      </c>
      <c r="G38">
        <v>134.33516537906701</v>
      </c>
      <c r="H38">
        <v>131.60168642947221</v>
      </c>
      <c r="I38">
        <v>129.71280399452471</v>
      </c>
      <c r="J38">
        <v>128.87392614568651</v>
      </c>
      <c r="K38">
        <v>130.88872507507179</v>
      </c>
      <c r="L38">
        <v>130.17372571416851</v>
      </c>
      <c r="M38">
        <v>128.92599760353991</v>
      </c>
      <c r="N38">
        <v>129.82508159261391</v>
      </c>
      <c r="O38">
        <v>132.39889341498241</v>
      </c>
      <c r="P38">
        <v>134.38732057621121</v>
      </c>
      <c r="Q38">
        <v>136.99768533867069</v>
      </c>
      <c r="R38">
        <v>136.0924664560111</v>
      </c>
      <c r="S38">
        <v>137.74092244833449</v>
      </c>
      <c r="T38">
        <v>138.20554715704839</v>
      </c>
      <c r="U38">
        <v>139.1344049247565</v>
      </c>
      <c r="V38">
        <v>139.8920839064441</v>
      </c>
      <c r="W38">
        <v>142.24566363391071</v>
      </c>
      <c r="X38">
        <v>142.80095105894739</v>
      </c>
      <c r="Y38">
        <v>144.69251571756971</v>
      </c>
      <c r="Z38">
        <v>146.28404246039989</v>
      </c>
    </row>
    <row r="39" spans="1:28" x14ac:dyDescent="0.35">
      <c r="A39" t="s">
        <v>11</v>
      </c>
      <c r="B39">
        <v>43044124.440000013</v>
      </c>
      <c r="C39">
        <v>47390259.829999998</v>
      </c>
      <c r="D39">
        <v>47951626.950000003</v>
      </c>
      <c r="E39">
        <v>49971994.260000013</v>
      </c>
      <c r="F39">
        <v>91023827.040000007</v>
      </c>
      <c r="G39">
        <v>128666875.94</v>
      </c>
      <c r="H39">
        <v>96920595.560000002</v>
      </c>
      <c r="I39">
        <v>74050276.870000005</v>
      </c>
      <c r="J39">
        <v>76165797.019999996</v>
      </c>
      <c r="K39">
        <v>68689507.870000005</v>
      </c>
      <c r="L39">
        <v>57582674.780000001</v>
      </c>
      <c r="M39">
        <v>65211671.07</v>
      </c>
      <c r="N39">
        <v>68700873.709999993</v>
      </c>
      <c r="O39">
        <v>60708657.990000002</v>
      </c>
      <c r="P39">
        <v>74303783.810000002</v>
      </c>
      <c r="Q39">
        <v>77788703.159999996</v>
      </c>
      <c r="R39">
        <v>115593246.77</v>
      </c>
      <c r="S39">
        <v>101927446.03</v>
      </c>
      <c r="T39">
        <v>81167790.519999996</v>
      </c>
      <c r="U39">
        <v>92147128.75</v>
      </c>
      <c r="V39">
        <v>151182270.44999999</v>
      </c>
      <c r="W39">
        <v>130251017.45999999</v>
      </c>
      <c r="X39">
        <v>108684678.34999999</v>
      </c>
      <c r="Y39">
        <v>91451649.270000011</v>
      </c>
      <c r="Z39">
        <v>85452588.810000002</v>
      </c>
    </row>
    <row r="41" spans="1:28" x14ac:dyDescent="0.35">
      <c r="A41" t="s">
        <v>16</v>
      </c>
      <c r="B41" t="s">
        <v>59</v>
      </c>
      <c r="C41" t="s">
        <v>60</v>
      </c>
      <c r="D41" t="s">
        <v>61</v>
      </c>
      <c r="E41" t="s">
        <v>62</v>
      </c>
      <c r="F41" t="s">
        <v>63</v>
      </c>
      <c r="G41" t="s">
        <v>64</v>
      </c>
      <c r="H41" t="s">
        <v>65</v>
      </c>
      <c r="I41" t="s">
        <v>66</v>
      </c>
      <c r="J41" t="s">
        <v>67</v>
      </c>
      <c r="K41" t="s">
        <v>68</v>
      </c>
      <c r="L41" t="s">
        <v>69</v>
      </c>
      <c r="M41" t="s">
        <v>70</v>
      </c>
      <c r="N41" t="s">
        <v>48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55</v>
      </c>
      <c r="V41" t="s">
        <v>1</v>
      </c>
      <c r="W41" t="s">
        <v>2</v>
      </c>
      <c r="X41" t="s">
        <v>3</v>
      </c>
      <c r="Y41" t="s">
        <v>4</v>
      </c>
      <c r="Z41" t="s">
        <v>5</v>
      </c>
    </row>
    <row r="42" spans="1:28" x14ac:dyDescent="0.35">
      <c r="A42" t="s">
        <v>6</v>
      </c>
      <c r="B42">
        <v>135.86332249445411</v>
      </c>
      <c r="C42">
        <v>138.37204193247351</v>
      </c>
      <c r="D42">
        <v>138.78949632186041</v>
      </c>
      <c r="E42">
        <v>136.95890436813559</v>
      </c>
      <c r="F42">
        <v>135.464326976926</v>
      </c>
      <c r="G42">
        <v>135.7380087477724</v>
      </c>
      <c r="H42">
        <v>134.5037235232796</v>
      </c>
      <c r="I42">
        <v>133.19297164592049</v>
      </c>
      <c r="J42">
        <v>133.26474125481579</v>
      </c>
      <c r="K42">
        <v>134.70114979213409</v>
      </c>
      <c r="L42">
        <v>136.05826795641721</v>
      </c>
      <c r="M42">
        <v>138.33369756523109</v>
      </c>
      <c r="N42">
        <v>140.09671657848929</v>
      </c>
      <c r="O42">
        <v>140.6586391183844</v>
      </c>
      <c r="P42">
        <v>140.50459471793889</v>
      </c>
      <c r="Q42">
        <v>140.56078051519651</v>
      </c>
      <c r="R42">
        <v>139.56825037479669</v>
      </c>
      <c r="S42">
        <v>140.43211833884561</v>
      </c>
      <c r="T42">
        <v>139.88511483115639</v>
      </c>
      <c r="U42">
        <v>139.76781802522791</v>
      </c>
      <c r="V42">
        <v>139.70876763492191</v>
      </c>
      <c r="W42">
        <v>139.8667228088469</v>
      </c>
      <c r="X42">
        <v>139.91790875779989</v>
      </c>
      <c r="Y42">
        <v>140.94205426095121</v>
      </c>
      <c r="Z42">
        <v>142.03744368904921</v>
      </c>
    </row>
    <row r="43" spans="1:28" x14ac:dyDescent="0.35">
      <c r="A43" t="s">
        <v>7</v>
      </c>
      <c r="B43">
        <v>4.4892786568121892</v>
      </c>
      <c r="C43">
        <v>4.5519790664233426</v>
      </c>
      <c r="D43">
        <v>4.4080580897392574</v>
      </c>
      <c r="E43">
        <v>4.0588062484797547</v>
      </c>
      <c r="F43">
        <v>3.8414426470363878</v>
      </c>
      <c r="G43">
        <v>3.6205957394709292</v>
      </c>
      <c r="H43">
        <v>3.485684751518249</v>
      </c>
      <c r="I43">
        <v>3.1667830676877031</v>
      </c>
      <c r="J43">
        <v>2.91345774118949</v>
      </c>
      <c r="K43">
        <v>2.0561578106858178</v>
      </c>
      <c r="L43">
        <v>1.233781080130228</v>
      </c>
      <c r="M43">
        <v>1.3869179362435491</v>
      </c>
      <c r="N43">
        <v>1.146449687959944</v>
      </c>
      <c r="O43">
        <v>1.3458962435183539</v>
      </c>
      <c r="P43">
        <v>1.4972885947111929</v>
      </c>
      <c r="Q43">
        <v>1.752668869606083</v>
      </c>
      <c r="R43">
        <v>1.3266459899973599</v>
      </c>
      <c r="S43">
        <v>2.2203144511825879</v>
      </c>
      <c r="T43">
        <v>1.9527826553908481</v>
      </c>
      <c r="U43">
        <v>0.75353600348134364</v>
      </c>
      <c r="V43">
        <v>-0.59293676979766019</v>
      </c>
      <c r="W43">
        <v>1.0908331834159239</v>
      </c>
      <c r="X43">
        <v>0.95995221674948539</v>
      </c>
      <c r="Y43">
        <v>0.99951175759755984</v>
      </c>
      <c r="Z43">
        <v>0.492245220877777</v>
      </c>
    </row>
    <row r="44" spans="1:28" x14ac:dyDescent="0.35">
      <c r="A44" t="s">
        <v>8</v>
      </c>
      <c r="B44">
        <v>-0.49601595492064948</v>
      </c>
      <c r="C44">
        <v>0.43110716236045538</v>
      </c>
      <c r="D44">
        <v>2.452648298079833E-2</v>
      </c>
      <c r="E44">
        <v>0.40477748094964089</v>
      </c>
      <c r="F44">
        <v>0.49499963135422331</v>
      </c>
      <c r="G44">
        <v>0.85579212000958294</v>
      </c>
      <c r="H44">
        <v>1.7071870021484039</v>
      </c>
      <c r="I44">
        <v>0.80482787756819441</v>
      </c>
      <c r="J44">
        <v>0.66107033623267286</v>
      </c>
      <c r="K44">
        <v>-2.0183634801491299E-2</v>
      </c>
      <c r="L44">
        <v>-0.44628346717111989</v>
      </c>
      <c r="M44">
        <v>-0.57549411857195676</v>
      </c>
      <c r="N44">
        <v>-1.050842905124612</v>
      </c>
      <c r="O44">
        <v>-0.96755337423858356</v>
      </c>
      <c r="P44">
        <v>-1.0146126473737129</v>
      </c>
      <c r="Q44">
        <v>-0.11323988982899599</v>
      </c>
      <c r="R44">
        <v>-0.23559879028366379</v>
      </c>
      <c r="S44">
        <v>9.0456386109090653E-2</v>
      </c>
      <c r="T44">
        <v>-0.54232293136719378</v>
      </c>
      <c r="U44">
        <v>-0.68396124727797225</v>
      </c>
      <c r="V44">
        <v>-0.69812196046537933</v>
      </c>
      <c r="W44">
        <v>-3.9833427111439383E-2</v>
      </c>
      <c r="X44">
        <v>0.39669237239810973</v>
      </c>
      <c r="Y44">
        <v>0.69322783880797911</v>
      </c>
      <c r="Z44">
        <v>0.47534273637503682</v>
      </c>
      <c r="AB44">
        <f>SUM(B44:Z44)</f>
        <v>0.15594307875741847</v>
      </c>
    </row>
    <row r="45" spans="1:28" x14ac:dyDescent="0.35">
      <c r="A45" t="s">
        <v>9</v>
      </c>
      <c r="B45">
        <v>-1.875756833130463</v>
      </c>
      <c r="C45">
        <v>-2.2934700304173168</v>
      </c>
      <c r="D45">
        <v>-1.9059954848240211E-2</v>
      </c>
      <c r="E45">
        <v>-2.1020656889837759</v>
      </c>
      <c r="F45">
        <v>0.12072478597422311</v>
      </c>
      <c r="G45">
        <v>2.792683923271619</v>
      </c>
      <c r="H45">
        <v>1.806428919350769</v>
      </c>
      <c r="I45">
        <v>1.6186275026710031</v>
      </c>
      <c r="J45">
        <v>-0.68305506480578748</v>
      </c>
      <c r="K45">
        <v>0.54282025768139242</v>
      </c>
      <c r="L45">
        <v>-0.6740489904355943</v>
      </c>
      <c r="M45">
        <v>-2.4034512234684819</v>
      </c>
      <c r="N45">
        <v>-2.7379574831956059</v>
      </c>
      <c r="O45">
        <v>-1.4499553458396299</v>
      </c>
      <c r="P45">
        <v>-3.7779014250884928</v>
      </c>
      <c r="Q45">
        <v>-4.9485302992827442</v>
      </c>
      <c r="R45">
        <v>-4.1535780349148634</v>
      </c>
      <c r="S45">
        <v>-1.014621285372507</v>
      </c>
      <c r="T45">
        <v>-1.6180761042652849</v>
      </c>
      <c r="U45">
        <v>-1.56027699784693</v>
      </c>
      <c r="V45">
        <v>-0.78475247095689693</v>
      </c>
      <c r="W45">
        <v>-0.38922450159549088</v>
      </c>
      <c r="X45">
        <v>-0.57494631824503251</v>
      </c>
      <c r="Y45">
        <v>-0.30261364429095577</v>
      </c>
      <c r="Z45">
        <v>0.37818018805494452</v>
      </c>
    </row>
    <row r="46" spans="1:28" x14ac:dyDescent="0.35">
      <c r="A46" t="s">
        <v>10</v>
      </c>
      <c r="B46">
        <v>137.9808283632151</v>
      </c>
      <c r="C46">
        <v>141.06165813083999</v>
      </c>
      <c r="D46">
        <v>143.2030209397322</v>
      </c>
      <c r="E46">
        <v>139.32042240858129</v>
      </c>
      <c r="F46">
        <v>139.92149404129091</v>
      </c>
      <c r="G46">
        <v>143.00708053052449</v>
      </c>
      <c r="H46">
        <v>141.50302419629699</v>
      </c>
      <c r="I46">
        <v>138.7832100938474</v>
      </c>
      <c r="J46">
        <v>136.1562142674322</v>
      </c>
      <c r="K46">
        <v>137.27994422569981</v>
      </c>
      <c r="L46">
        <v>136.1717165789407</v>
      </c>
      <c r="M46">
        <v>136.74167015943419</v>
      </c>
      <c r="N46">
        <v>137.45436587812901</v>
      </c>
      <c r="O46">
        <v>139.58702664182459</v>
      </c>
      <c r="P46">
        <v>137.2093692401879</v>
      </c>
      <c r="Q46">
        <v>137.25167919569091</v>
      </c>
      <c r="R46">
        <v>136.5057195395955</v>
      </c>
      <c r="S46">
        <v>141.72826789076481</v>
      </c>
      <c r="T46">
        <v>139.67749845091481</v>
      </c>
      <c r="U46">
        <v>138.27711578358429</v>
      </c>
      <c r="V46">
        <v>137.63295643370199</v>
      </c>
      <c r="W46">
        <v>140.52849806355579</v>
      </c>
      <c r="X46">
        <v>140.6996070287025</v>
      </c>
      <c r="Y46">
        <v>142.33218021306581</v>
      </c>
      <c r="Z46">
        <v>143.38321183435701</v>
      </c>
    </row>
    <row r="47" spans="1:28" x14ac:dyDescent="0.35">
      <c r="A47" t="s">
        <v>11</v>
      </c>
      <c r="B47">
        <v>240696561.13</v>
      </c>
      <c r="C47">
        <v>210491293.02000001</v>
      </c>
      <c r="D47">
        <v>273255852.95999998</v>
      </c>
      <c r="E47">
        <v>231122364.84999999</v>
      </c>
      <c r="F47">
        <v>368400633.05000001</v>
      </c>
      <c r="G47">
        <v>373098863.99000001</v>
      </c>
      <c r="H47">
        <v>340292364.87</v>
      </c>
      <c r="I47">
        <v>287626500.82999998</v>
      </c>
      <c r="J47">
        <v>221684703.61000001</v>
      </c>
      <c r="K47">
        <v>355757867.75999999</v>
      </c>
      <c r="L47">
        <v>294296290.55000001</v>
      </c>
      <c r="M47">
        <v>222829131.05000001</v>
      </c>
      <c r="N47">
        <v>259878972.38999999</v>
      </c>
      <c r="O47">
        <v>257888976.81999999</v>
      </c>
      <c r="P47">
        <v>146172142.97</v>
      </c>
      <c r="Q47">
        <v>124941103.13</v>
      </c>
      <c r="R47">
        <v>390295588.06999999</v>
      </c>
      <c r="S47">
        <v>326192451.67000002</v>
      </c>
      <c r="T47">
        <v>301366599.82999998</v>
      </c>
      <c r="U47">
        <v>288436723.16000003</v>
      </c>
      <c r="V47">
        <v>442875681.85000002</v>
      </c>
      <c r="W47">
        <v>386473804.48000002</v>
      </c>
      <c r="X47">
        <v>379394062.72000003</v>
      </c>
      <c r="Y47">
        <v>341881846.13999999</v>
      </c>
      <c r="Z47">
        <v>493726991.83999997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47"/>
  <sheetViews>
    <sheetView showGridLines="0" zoomScaleNormal="100" workbookViewId="0">
      <pane xSplit="1" topLeftCell="Z1" activePane="topRight" state="frozen"/>
      <selection pane="topRight" activeCell="AI17" sqref="AI17"/>
    </sheetView>
  </sheetViews>
  <sheetFormatPr defaultRowHeight="14.5" x14ac:dyDescent="0.35"/>
  <sheetData>
    <row r="1" spans="1:57" x14ac:dyDescent="0.35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1</v>
      </c>
      <c r="W1" t="s">
        <v>2</v>
      </c>
      <c r="X1" t="s">
        <v>3</v>
      </c>
      <c r="Y1" t="s">
        <v>4</v>
      </c>
      <c r="Z1" t="s">
        <v>5</v>
      </c>
    </row>
    <row r="2" spans="1:57" x14ac:dyDescent="0.35">
      <c r="A2" t="s">
        <v>6</v>
      </c>
      <c r="B2">
        <v>131.7976352184192</v>
      </c>
      <c r="C2">
        <v>133.71059314411579</v>
      </c>
      <c r="D2">
        <v>135.28557431522441</v>
      </c>
      <c r="E2">
        <v>135.79608377329961</v>
      </c>
      <c r="F2">
        <v>134.60178841838771</v>
      </c>
      <c r="G2">
        <v>135.14257269364111</v>
      </c>
      <c r="H2">
        <v>135.3626526730819</v>
      </c>
      <c r="I2">
        <v>134.41537942859119</v>
      </c>
      <c r="J2">
        <v>134.06859534274361</v>
      </c>
      <c r="K2">
        <v>135.89246002160661</v>
      </c>
      <c r="L2">
        <v>136.14780523104511</v>
      </c>
      <c r="M2">
        <v>136.75155352499851</v>
      </c>
      <c r="N2">
        <v>136.66304693064629</v>
      </c>
      <c r="O2">
        <v>136.90906982764889</v>
      </c>
      <c r="P2">
        <v>136.43849356660581</v>
      </c>
      <c r="Q2">
        <v>137.02135091300229</v>
      </c>
      <c r="R2">
        <v>136.3721183056237</v>
      </c>
      <c r="S2">
        <v>137.12198326493359</v>
      </c>
      <c r="T2">
        <v>138.09052083542991</v>
      </c>
      <c r="U2">
        <v>136.80135565802021</v>
      </c>
      <c r="V2">
        <v>136.83702494495719</v>
      </c>
      <c r="W2">
        <v>138.03381902691669</v>
      </c>
      <c r="X2">
        <v>138.55808093396249</v>
      </c>
      <c r="Y2">
        <v>139.3761012547063</v>
      </c>
      <c r="Z2">
        <v>140.3225241613558</v>
      </c>
    </row>
    <row r="3" spans="1:57" x14ac:dyDescent="0.35">
      <c r="A3" t="s">
        <v>7</v>
      </c>
      <c r="B3">
        <v>1.412334077725234</v>
      </c>
      <c r="C3">
        <v>1.3083796764262841</v>
      </c>
      <c r="D3">
        <v>0.5822186890319756</v>
      </c>
      <c r="E3">
        <v>1.082214688707694</v>
      </c>
      <c r="F3">
        <v>1.320617127890017</v>
      </c>
      <c r="G3">
        <v>1.3559534628639081</v>
      </c>
      <c r="H3">
        <v>1.3112363909802129</v>
      </c>
      <c r="I3">
        <v>1.2138028379415571</v>
      </c>
      <c r="J3">
        <v>1.633893860899889</v>
      </c>
      <c r="K3">
        <v>1.3966255769194329</v>
      </c>
      <c r="L3">
        <v>1.265842489798644</v>
      </c>
      <c r="M3">
        <v>1.240840486174505</v>
      </c>
      <c r="N3">
        <v>0.79430529121580662</v>
      </c>
      <c r="O3">
        <v>1.222834674629752</v>
      </c>
      <c r="P3">
        <v>0.7012159871240442</v>
      </c>
      <c r="Q3">
        <v>0.83461732938272348</v>
      </c>
      <c r="R3">
        <v>0.66242897832651693</v>
      </c>
      <c r="S3">
        <v>1.1867832362002559</v>
      </c>
      <c r="T3">
        <v>0.97810535034986401</v>
      </c>
      <c r="U3">
        <v>1.174889336186141</v>
      </c>
      <c r="V3">
        <v>1.4592694189433639</v>
      </c>
      <c r="W3">
        <v>2.4660669161444559</v>
      </c>
      <c r="X3">
        <v>2.9266816981485699</v>
      </c>
      <c r="Y3">
        <v>2.919601597291575</v>
      </c>
      <c r="Z3">
        <v>3.1264617490047328</v>
      </c>
      <c r="AB3" t="s">
        <v>56</v>
      </c>
      <c r="AC3" t="s">
        <v>57</v>
      </c>
      <c r="AD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1</v>
      </c>
      <c r="BB3" t="s">
        <v>2</v>
      </c>
      <c r="BC3" t="s">
        <v>3</v>
      </c>
      <c r="BD3" t="s">
        <v>4</v>
      </c>
      <c r="BE3" t="s">
        <v>5</v>
      </c>
    </row>
    <row r="4" spans="1:57" x14ac:dyDescent="0.35">
      <c r="A4" t="s">
        <v>8</v>
      </c>
      <c r="B4">
        <v>-3.558075471476271</v>
      </c>
      <c r="C4">
        <v>-0.38459490006573221</v>
      </c>
      <c r="D4">
        <v>0.3735807109484871</v>
      </c>
      <c r="E4">
        <v>1.275308310880114</v>
      </c>
      <c r="F4">
        <v>0.98653365628622824</v>
      </c>
      <c r="G4">
        <v>0.84046231898258639</v>
      </c>
      <c r="H4">
        <v>0.64235995268797119</v>
      </c>
      <c r="I4">
        <v>-0.1306032308652002</v>
      </c>
      <c r="J4">
        <v>-0.90468111701203757</v>
      </c>
      <c r="K4">
        <v>-0.92586757292852861</v>
      </c>
      <c r="L4">
        <v>-1.4087981209462961</v>
      </c>
      <c r="M4">
        <v>-0.75982070950176683</v>
      </c>
      <c r="N4">
        <v>-0.84526036767019574</v>
      </c>
      <c r="O4">
        <v>-0.65286151063235975</v>
      </c>
      <c r="P4">
        <v>-0.85209717385104944</v>
      </c>
      <c r="Q4">
        <v>-0.67736349704846177</v>
      </c>
      <c r="R4">
        <v>-0.31240509190904209</v>
      </c>
      <c r="S4">
        <v>0.27378841260072162</v>
      </c>
      <c r="T4">
        <v>1.062730526264863</v>
      </c>
      <c r="U4">
        <v>1.7592183349930961</v>
      </c>
      <c r="V4">
        <v>1.4609402828864131</v>
      </c>
      <c r="W4">
        <v>2.1439510142666962</v>
      </c>
      <c r="X4">
        <v>3.3310760683020382</v>
      </c>
      <c r="Y4">
        <v>3.4679348575739848</v>
      </c>
      <c r="Z4">
        <v>2.9141272109085778</v>
      </c>
      <c r="AB4" s="15">
        <f>MIN(B4:Z4)</f>
        <v>-3.558075471476271</v>
      </c>
      <c r="AC4" s="15">
        <f>MAX(B4:Z4)</f>
        <v>3.4679348575739848</v>
      </c>
      <c r="AD4" s="15">
        <f>MEDIAN(B4:Z4)</f>
        <v>0.27378841260072162</v>
      </c>
      <c r="AF4" t="s">
        <v>0</v>
      </c>
      <c r="AG4">
        <v>-3.558075471476271</v>
      </c>
      <c r="AH4">
        <v>-0.38459490006573221</v>
      </c>
      <c r="AI4">
        <v>0.3735807109484871</v>
      </c>
      <c r="AJ4">
        <v>1.275308310880114</v>
      </c>
      <c r="AK4">
        <v>0.98653365628622824</v>
      </c>
      <c r="AL4">
        <v>0.84046231898258639</v>
      </c>
      <c r="AM4">
        <v>0.64235995268797119</v>
      </c>
      <c r="AN4">
        <v>-0.1306032308652002</v>
      </c>
      <c r="AO4">
        <v>-0.90468111701203757</v>
      </c>
      <c r="AP4">
        <v>-0.92586757292852861</v>
      </c>
      <c r="AQ4">
        <v>-1.4087981209462961</v>
      </c>
      <c r="AR4">
        <v>-0.75982070950176683</v>
      </c>
      <c r="AS4">
        <v>-0.84526036767019574</v>
      </c>
      <c r="AT4">
        <v>-0.65286151063235975</v>
      </c>
      <c r="AU4">
        <v>-0.85209717385104944</v>
      </c>
      <c r="AV4">
        <v>-0.67736349704846177</v>
      </c>
      <c r="AW4">
        <v>-0.31240509190904209</v>
      </c>
      <c r="AX4">
        <v>0.27378841260072162</v>
      </c>
      <c r="AY4">
        <v>1.062730526264863</v>
      </c>
      <c r="AZ4">
        <v>1.7592183349930961</v>
      </c>
      <c r="BA4">
        <v>1.4609402828864131</v>
      </c>
      <c r="BB4">
        <v>2.1439510142666962</v>
      </c>
      <c r="BC4">
        <v>3.3310760683020382</v>
      </c>
      <c r="BD4">
        <v>3.4679348575739848</v>
      </c>
      <c r="BE4">
        <v>2.9141272109085778</v>
      </c>
    </row>
    <row r="5" spans="1:57" x14ac:dyDescent="0.35">
      <c r="A5" t="s">
        <v>9</v>
      </c>
      <c r="B5">
        <v>0.3185723872884787</v>
      </c>
      <c r="C5">
        <v>-7.4520435280669983E-2</v>
      </c>
      <c r="D5">
        <v>2.6741093097631641</v>
      </c>
      <c r="E5">
        <v>2.8146745143584848</v>
      </c>
      <c r="F5">
        <v>2.4860691974896052</v>
      </c>
      <c r="G5">
        <v>4.7262816091039577</v>
      </c>
      <c r="H5">
        <v>3.7649450983838602</v>
      </c>
      <c r="I5">
        <v>3.8092561364247048</v>
      </c>
      <c r="J5">
        <v>3.3923926107412838</v>
      </c>
      <c r="K5">
        <v>2.1960055910404219</v>
      </c>
      <c r="L5">
        <v>1.8137663314527139</v>
      </c>
      <c r="M5">
        <v>1.171882167126244</v>
      </c>
      <c r="N5">
        <v>1.03089641736987</v>
      </c>
      <c r="O5">
        <v>2.1765675103772888</v>
      </c>
      <c r="P5">
        <v>2.671633746328995</v>
      </c>
      <c r="Q5">
        <v>2.2539305657228308</v>
      </c>
      <c r="R5">
        <v>1.9900713901881559</v>
      </c>
      <c r="S5">
        <v>2.586866070052976</v>
      </c>
      <c r="T5">
        <v>3.6764985358617861</v>
      </c>
      <c r="U5">
        <v>3.381220333540818</v>
      </c>
      <c r="V5">
        <v>3.502569132333647</v>
      </c>
      <c r="W5">
        <v>4.0097702735854206</v>
      </c>
      <c r="X5">
        <v>3.97606750173868</v>
      </c>
      <c r="Y5">
        <v>4.2444634991632508</v>
      </c>
      <c r="Z5">
        <v>4.2841339997781738</v>
      </c>
      <c r="AB5" s="15"/>
      <c r="AC5" s="15"/>
      <c r="AD5" s="15"/>
      <c r="AF5" t="s">
        <v>12</v>
      </c>
      <c r="AG5">
        <v>-3.0722338527885822</v>
      </c>
      <c r="AH5">
        <v>-0.1346895247899792</v>
      </c>
      <c r="AI5">
        <v>-0.122749339202541</v>
      </c>
      <c r="AJ5">
        <v>0.76398400202375905</v>
      </c>
      <c r="AK5">
        <v>0.61385889556798767</v>
      </c>
      <c r="AL5">
        <v>0.30096432371068838</v>
      </c>
      <c r="AM5">
        <v>5.3666595860003916E-3</v>
      </c>
      <c r="AN5">
        <v>-0.79299957215503469</v>
      </c>
      <c r="AO5">
        <v>-1.46585634671371</v>
      </c>
      <c r="AP5">
        <v>-1.424098001661799</v>
      </c>
      <c r="AQ5">
        <v>-1.4695331622187671</v>
      </c>
      <c r="AR5">
        <v>-1.2842031073866069</v>
      </c>
      <c r="AS5">
        <v>-1.6655077418438939</v>
      </c>
      <c r="AT5">
        <v>-1.185220809057191</v>
      </c>
      <c r="AU5">
        <v>-1.3485539932771511</v>
      </c>
      <c r="AV5">
        <v>-1.3759554304278121</v>
      </c>
      <c r="AW5">
        <v>-1.4665719100727781</v>
      </c>
      <c r="AX5">
        <v>-0.98079633915545583</v>
      </c>
      <c r="AY5">
        <v>-0.38346405151570773</v>
      </c>
      <c r="AZ5">
        <v>1.1751351351999479</v>
      </c>
      <c r="BA5">
        <v>1.353033670452896</v>
      </c>
      <c r="BB5">
        <v>1.654544665323425</v>
      </c>
      <c r="BC5">
        <v>2.2670958571222481</v>
      </c>
      <c r="BD5">
        <v>3.6650482040664372</v>
      </c>
      <c r="BE5">
        <v>2.4833417525037502</v>
      </c>
    </row>
    <row r="6" spans="1:57" x14ac:dyDescent="0.35">
      <c r="A6" t="s">
        <v>10</v>
      </c>
      <c r="B6">
        <v>129.9704662119567</v>
      </c>
      <c r="C6">
        <v>134.55985748519569</v>
      </c>
      <c r="D6">
        <v>138.9154830249681</v>
      </c>
      <c r="E6">
        <v>140.9682812872459</v>
      </c>
      <c r="F6">
        <v>139.3950084000536</v>
      </c>
      <c r="G6">
        <v>142.0652700845915</v>
      </c>
      <c r="H6">
        <v>141.081194115134</v>
      </c>
      <c r="I6">
        <v>139.30783517209221</v>
      </c>
      <c r="J6">
        <v>138.1902006973728</v>
      </c>
      <c r="K6">
        <v>138.55922361663801</v>
      </c>
      <c r="L6">
        <v>137.81861593135011</v>
      </c>
      <c r="M6">
        <v>138.40445546879749</v>
      </c>
      <c r="N6">
        <v>137.64298827156171</v>
      </c>
      <c r="O6">
        <v>139.65561050202359</v>
      </c>
      <c r="P6">
        <v>138.9592461262078</v>
      </c>
      <c r="Q6">
        <v>139.43253531105941</v>
      </c>
      <c r="R6">
        <v>138.71221358222931</v>
      </c>
      <c r="S6">
        <v>141.1694209837876</v>
      </c>
      <c r="T6">
        <v>143.80785524790639</v>
      </c>
      <c r="U6">
        <v>143.11668366274029</v>
      </c>
      <c r="V6">
        <v>143.25980377912069</v>
      </c>
      <c r="W6">
        <v>146.65360723091331</v>
      </c>
      <c r="X6">
        <v>148.79190620215181</v>
      </c>
      <c r="Y6">
        <v>150.0081012087351</v>
      </c>
      <c r="Z6">
        <v>150.6472471210472</v>
      </c>
      <c r="AB6" s="15"/>
      <c r="AC6" s="15"/>
      <c r="AD6" s="15"/>
      <c r="AF6" t="s">
        <v>13</v>
      </c>
      <c r="AG6">
        <v>-4.7074247628526829</v>
      </c>
      <c r="AH6">
        <v>-0.66064178245918759</v>
      </c>
      <c r="AI6">
        <v>-0.29796557597972012</v>
      </c>
      <c r="AJ6">
        <v>0.173057476942136</v>
      </c>
      <c r="AK6">
        <v>-7.7399957958591642E-2</v>
      </c>
      <c r="AL6">
        <v>0.10988362406707911</v>
      </c>
      <c r="AM6">
        <v>-6.9239853309938745E-2</v>
      </c>
      <c r="AN6">
        <v>-0.1813287351135775</v>
      </c>
      <c r="AO6">
        <v>-0.53658395994732844</v>
      </c>
      <c r="AP6">
        <v>-0.51944562236935066</v>
      </c>
      <c r="AQ6">
        <v>-0.72305819774848368</v>
      </c>
      <c r="AR6">
        <v>-0.46721172907635289</v>
      </c>
      <c r="AS6">
        <v>-0.38699895194756723</v>
      </c>
      <c r="AT6">
        <v>-0.69160541090889549</v>
      </c>
      <c r="AU6">
        <v>-0.77016993012624102</v>
      </c>
      <c r="AV6">
        <v>-7.3902762453473672E-2</v>
      </c>
      <c r="AW6">
        <v>-0.46378406652820858</v>
      </c>
      <c r="AX6">
        <v>0.78371787542575466</v>
      </c>
      <c r="AY6">
        <v>1.667235881964847</v>
      </c>
      <c r="AZ6">
        <v>2.9007669340685229</v>
      </c>
      <c r="BA6">
        <v>2.6827980302526191</v>
      </c>
      <c r="BB6">
        <v>3.4454111868036899</v>
      </c>
      <c r="BC6">
        <v>3.4926550487815939</v>
      </c>
      <c r="BD6">
        <v>4.6856205462648681</v>
      </c>
      <c r="BE6">
        <v>3.7516145898525139</v>
      </c>
    </row>
    <row r="7" spans="1:57" x14ac:dyDescent="0.35">
      <c r="A7" t="s">
        <v>11</v>
      </c>
      <c r="B7">
        <v>32266854</v>
      </c>
      <c r="C7">
        <v>27926177.469999999</v>
      </c>
      <c r="D7">
        <v>26788093.129999999</v>
      </c>
      <c r="E7">
        <v>22116684.23</v>
      </c>
      <c r="F7">
        <v>32796772.530000001</v>
      </c>
      <c r="G7">
        <v>39581722.560000002</v>
      </c>
      <c r="H7">
        <v>26574147.170000002</v>
      </c>
      <c r="I7">
        <v>23248977.84</v>
      </c>
      <c r="J7">
        <v>23682831.52</v>
      </c>
      <c r="K7">
        <v>23783043.949999999</v>
      </c>
      <c r="L7">
        <v>23891873.870000001</v>
      </c>
      <c r="M7">
        <v>16200639.27</v>
      </c>
      <c r="N7">
        <v>16458455.859999999</v>
      </c>
      <c r="O7">
        <v>16463632.33</v>
      </c>
      <c r="P7">
        <v>23500225.219999999</v>
      </c>
      <c r="Q7">
        <v>26931895.09</v>
      </c>
      <c r="R7">
        <v>45403667.079999998</v>
      </c>
      <c r="S7">
        <v>43850753.109999999</v>
      </c>
      <c r="T7">
        <v>30886831.440000001</v>
      </c>
      <c r="U7">
        <v>32083492.920000002</v>
      </c>
      <c r="V7">
        <v>56035846.899999999</v>
      </c>
      <c r="W7">
        <v>58135223.549999997</v>
      </c>
      <c r="X7">
        <v>51413758.530000001</v>
      </c>
      <c r="Y7">
        <v>39424319.840000004</v>
      </c>
      <c r="Z7">
        <v>44425980.790000007</v>
      </c>
      <c r="AB7" s="15"/>
      <c r="AC7" s="15"/>
      <c r="AD7" s="15"/>
      <c r="AF7" t="s">
        <v>14</v>
      </c>
      <c r="AG7">
        <v>-3.3028649697639221</v>
      </c>
      <c r="AH7">
        <v>-0.28665041662040452</v>
      </c>
      <c r="AI7">
        <v>0.33893198814192671</v>
      </c>
      <c r="AJ7">
        <v>0.91143427805544219</v>
      </c>
      <c r="AK7">
        <v>1.2323420446414031</v>
      </c>
      <c r="AL7">
        <v>0.69584355606480164</v>
      </c>
      <c r="AM7">
        <v>0.51690829252672632</v>
      </c>
      <c r="AN7">
        <v>0.46686242121176541</v>
      </c>
      <c r="AO7">
        <v>-1.0466750414126961E-2</v>
      </c>
      <c r="AP7">
        <v>-1.1050641606760589</v>
      </c>
      <c r="AQ7">
        <v>-0.64441284546206501</v>
      </c>
      <c r="AR7">
        <v>-0.45750844911379862</v>
      </c>
      <c r="AS7">
        <v>0.35391149712147768</v>
      </c>
      <c r="AT7">
        <v>-0.19699146876853871</v>
      </c>
      <c r="AU7">
        <v>0.12864630878744721</v>
      </c>
      <c r="AV7">
        <v>0.9853978127234021</v>
      </c>
      <c r="AW7">
        <v>0.2436093369190358</v>
      </c>
      <c r="AX7">
        <v>0.32588548308016752</v>
      </c>
      <c r="AY7">
        <v>0.46628827087031061</v>
      </c>
      <c r="AZ7">
        <v>2.728726398586053</v>
      </c>
      <c r="BA7">
        <v>3.0252141514701218</v>
      </c>
      <c r="BB7">
        <v>2.2531776443075322</v>
      </c>
      <c r="BC7">
        <v>2.9918316002262961</v>
      </c>
      <c r="BD7">
        <v>3.3751583043569582</v>
      </c>
      <c r="BE7">
        <v>1.655140876443717</v>
      </c>
    </row>
    <row r="8" spans="1:57" x14ac:dyDescent="0.35">
      <c r="AB8" s="15"/>
      <c r="AC8" s="15"/>
      <c r="AD8" s="15"/>
      <c r="AF8" t="s">
        <v>15</v>
      </c>
      <c r="AG8">
        <v>-3.930762883659205</v>
      </c>
      <c r="AH8">
        <v>-0.25069820832043882</v>
      </c>
      <c r="AI8">
        <v>0.14289628509978999</v>
      </c>
      <c r="AJ8">
        <v>-2.7361975040254609E-2</v>
      </c>
      <c r="AK8">
        <v>1.7026104280143211E-2</v>
      </c>
      <c r="AL8">
        <v>0.51253643213502109</v>
      </c>
      <c r="AM8">
        <v>-0.116442369925592</v>
      </c>
      <c r="AN8">
        <v>-0.11122887042664779</v>
      </c>
      <c r="AO8">
        <v>-1.022898723483924</v>
      </c>
      <c r="AP8">
        <v>-1.306708350882867</v>
      </c>
      <c r="AQ8">
        <v>-2.057985007747035</v>
      </c>
      <c r="AR8">
        <v>-2.2321860276680661</v>
      </c>
      <c r="AS8">
        <v>-1.984543517888123</v>
      </c>
      <c r="AT8">
        <v>-1.4900515379555339</v>
      </c>
      <c r="AU8">
        <v>-1.2755417002800891</v>
      </c>
      <c r="AV8">
        <v>-0.6155811555019739</v>
      </c>
      <c r="AW8">
        <v>-1.20886261526213</v>
      </c>
      <c r="AX8">
        <v>-0.70766037366255741</v>
      </c>
      <c r="AY8">
        <v>0.25203212537693659</v>
      </c>
      <c r="AZ8">
        <v>3.1488127626799072</v>
      </c>
      <c r="BA8">
        <v>4.774438181309864</v>
      </c>
      <c r="BB8">
        <v>3.6984810529589001</v>
      </c>
      <c r="BC8">
        <v>3.7671271517580061</v>
      </c>
      <c r="BD8">
        <v>4.7206981670882318</v>
      </c>
      <c r="BE8">
        <v>3.728800489684482</v>
      </c>
    </row>
    <row r="9" spans="1:57" x14ac:dyDescent="0.35">
      <c r="A9" t="s">
        <v>12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  <c r="V9" t="s">
        <v>1</v>
      </c>
      <c r="W9" t="s">
        <v>2</v>
      </c>
      <c r="X9" t="s">
        <v>3</v>
      </c>
      <c r="Y9" t="s">
        <v>4</v>
      </c>
      <c r="Z9" t="s">
        <v>5</v>
      </c>
      <c r="AB9" s="15"/>
      <c r="AC9" s="15"/>
      <c r="AD9" s="15"/>
      <c r="AF9" t="s">
        <v>16</v>
      </c>
      <c r="AG9">
        <v>-0.4960159549206582</v>
      </c>
      <c r="AH9">
        <v>0.43110716236045549</v>
      </c>
      <c r="AI9">
        <v>2.4526482980816791E-2</v>
      </c>
      <c r="AJ9">
        <v>0.40477748094964072</v>
      </c>
      <c r="AK9">
        <v>0.49499963135422309</v>
      </c>
      <c r="AL9">
        <v>0.85579212000959226</v>
      </c>
      <c r="AM9">
        <v>1.7071870021484039</v>
      </c>
      <c r="AN9">
        <v>0.80482787756819441</v>
      </c>
      <c r="AO9">
        <v>0.66107033623268185</v>
      </c>
      <c r="AP9">
        <v>-2.0183634801495699E-2</v>
      </c>
      <c r="AQ9">
        <v>-0.44628346717111139</v>
      </c>
      <c r="AR9">
        <v>-0.57549411857194799</v>
      </c>
      <c r="AS9">
        <v>-1.050842905124616</v>
      </c>
      <c r="AT9">
        <v>-0.96755337423858356</v>
      </c>
      <c r="AU9">
        <v>-1.0146126473737129</v>
      </c>
      <c r="AV9">
        <v>-0.1132398898289869</v>
      </c>
      <c r="AW9">
        <v>-0.23559879028365041</v>
      </c>
      <c r="AX9">
        <v>9.0456386109099882E-2</v>
      </c>
      <c r="AY9">
        <v>-0.54232293136719378</v>
      </c>
      <c r="AZ9">
        <v>-0.68396124727796337</v>
      </c>
      <c r="BA9">
        <v>-0.69812196046537944</v>
      </c>
      <c r="BB9">
        <v>-3.9833427111439383E-2</v>
      </c>
      <c r="BC9">
        <v>0.39669237239810973</v>
      </c>
      <c r="BD9">
        <v>0.69322783880797911</v>
      </c>
      <c r="BE9">
        <v>0.4753427363750462</v>
      </c>
    </row>
    <row r="10" spans="1:57" x14ac:dyDescent="0.35">
      <c r="A10" t="s">
        <v>6</v>
      </c>
      <c r="B10">
        <v>131.13303029419251</v>
      </c>
      <c r="C10">
        <v>132.90504284604401</v>
      </c>
      <c r="D10">
        <v>133.9304786690208</v>
      </c>
      <c r="E10">
        <v>132.8038095162421</v>
      </c>
      <c r="F10">
        <v>135.4481125583965</v>
      </c>
      <c r="G10">
        <v>135.1873517847032</v>
      </c>
      <c r="H10">
        <v>134.94601738902409</v>
      </c>
      <c r="I10">
        <v>132.89927866287411</v>
      </c>
      <c r="J10">
        <v>134.06325322076779</v>
      </c>
      <c r="K10">
        <v>136.81720801029189</v>
      </c>
      <c r="L10">
        <v>138.00243272817349</v>
      </c>
      <c r="M10">
        <v>139.77793163612839</v>
      </c>
      <c r="N10">
        <v>141.27719036447311</v>
      </c>
      <c r="O10">
        <v>140.587337420209</v>
      </c>
      <c r="P10">
        <v>140.7210258075157</v>
      </c>
      <c r="Q10">
        <v>139.0251422865112</v>
      </c>
      <c r="R10">
        <v>138.13163482086091</v>
      </c>
      <c r="S10">
        <v>140.1735622972094</v>
      </c>
      <c r="T10">
        <v>141.55375224123731</v>
      </c>
      <c r="U10">
        <v>139.97097369283409</v>
      </c>
      <c r="V10">
        <v>139.83315040104489</v>
      </c>
      <c r="W10">
        <v>140.63433560368551</v>
      </c>
      <c r="X10">
        <v>140.9638839291236</v>
      </c>
      <c r="Y10">
        <v>141.85748818430841</v>
      </c>
      <c r="Z10">
        <v>142.76282504407831</v>
      </c>
      <c r="AB10" s="15"/>
      <c r="AC10" s="15"/>
      <c r="AD10" s="15"/>
    </row>
    <row r="11" spans="1:57" x14ac:dyDescent="0.35">
      <c r="A11" t="s">
        <v>7</v>
      </c>
      <c r="B11">
        <v>1.3091096453114519</v>
      </c>
      <c r="C11">
        <v>1.5067007457573709</v>
      </c>
      <c r="D11">
        <v>0.54845206108649336</v>
      </c>
      <c r="E11">
        <v>3.989095038917867E-3</v>
      </c>
      <c r="F11">
        <v>0.52413775543899987</v>
      </c>
      <c r="G11">
        <v>0.89828530507452342</v>
      </c>
      <c r="H11">
        <v>0.69221703585537853</v>
      </c>
      <c r="I11">
        <v>-0.39544920563756142</v>
      </c>
      <c r="J11">
        <v>-0.23544013982765929</v>
      </c>
      <c r="K11">
        <v>0.72599632061417196</v>
      </c>
      <c r="L11">
        <v>0.5826234577808691</v>
      </c>
      <c r="M11">
        <v>0.31311591216902462</v>
      </c>
      <c r="N11">
        <v>0.93883725131536266</v>
      </c>
      <c r="O11">
        <v>1.56454087947526</v>
      </c>
      <c r="P11">
        <v>1.6212334276676761</v>
      </c>
      <c r="Q11">
        <v>0.8929302351183992</v>
      </c>
      <c r="R11">
        <v>-0.197179663992614</v>
      </c>
      <c r="S11">
        <v>0.3035154362686967</v>
      </c>
      <c r="T11">
        <v>0.75919792713105494</v>
      </c>
      <c r="U11">
        <v>0.53146184690936593</v>
      </c>
      <c r="V11">
        <v>0.66791062198333861</v>
      </c>
      <c r="W11">
        <v>1.278142353031853</v>
      </c>
      <c r="X11">
        <v>1.796535868201403</v>
      </c>
      <c r="Y11">
        <v>2.7808560725822251</v>
      </c>
      <c r="Z11">
        <v>2.8644589843305539</v>
      </c>
      <c r="AB11" s="15" t="s">
        <v>56</v>
      </c>
      <c r="AC11" s="15" t="s">
        <v>57</v>
      </c>
      <c r="AD11" s="15" t="s">
        <v>58</v>
      </c>
    </row>
    <row r="12" spans="1:57" x14ac:dyDescent="0.35">
      <c r="A12" t="s">
        <v>8</v>
      </c>
      <c r="B12">
        <v>-3.0722338527885822</v>
      </c>
      <c r="C12">
        <v>-0.1346895247899792</v>
      </c>
      <c r="D12">
        <v>-0.122749339202541</v>
      </c>
      <c r="E12">
        <v>0.76398400202375905</v>
      </c>
      <c r="F12">
        <v>0.61385889556798767</v>
      </c>
      <c r="G12">
        <v>0.30096432371068838</v>
      </c>
      <c r="H12">
        <v>5.3666595860003916E-3</v>
      </c>
      <c r="I12">
        <v>-0.79299957215503469</v>
      </c>
      <c r="J12">
        <v>-1.46585634671371</v>
      </c>
      <c r="K12">
        <v>-1.424098001661799</v>
      </c>
      <c r="L12">
        <v>-1.4695331622187671</v>
      </c>
      <c r="M12">
        <v>-1.2842031073866069</v>
      </c>
      <c r="N12">
        <v>-1.6655077418438939</v>
      </c>
      <c r="O12">
        <v>-1.185220809057191</v>
      </c>
      <c r="P12">
        <v>-1.3485539932771511</v>
      </c>
      <c r="Q12">
        <v>-1.3759554304278121</v>
      </c>
      <c r="R12">
        <v>-1.4665719100727781</v>
      </c>
      <c r="S12">
        <v>-0.98079633915545583</v>
      </c>
      <c r="T12">
        <v>-0.38346405151570773</v>
      </c>
      <c r="U12">
        <v>1.1751351351999479</v>
      </c>
      <c r="V12">
        <v>1.353033670452896</v>
      </c>
      <c r="W12">
        <v>1.654544665323425</v>
      </c>
      <c r="X12">
        <v>2.2670958571222481</v>
      </c>
      <c r="Y12">
        <v>3.6650482040664372</v>
      </c>
      <c r="Z12">
        <v>2.4833417525037502</v>
      </c>
      <c r="AB12" s="15">
        <f>MIN(B12:Z12)</f>
        <v>-3.0722338527885822</v>
      </c>
      <c r="AC12" s="15">
        <f>MAX(B12:Z12)</f>
        <v>3.6650482040664372</v>
      </c>
      <c r="AD12" s="15">
        <f>MEDIAN(B12:Z12)</f>
        <v>-0.38346405151570773</v>
      </c>
    </row>
    <row r="13" spans="1:57" x14ac:dyDescent="0.35">
      <c r="A13" t="s">
        <v>9</v>
      </c>
      <c r="B13">
        <v>9.6563535874349959E-4</v>
      </c>
      <c r="C13">
        <v>-3.4481417754975263E-2</v>
      </c>
      <c r="D13">
        <v>0.34972204206264279</v>
      </c>
      <c r="E13">
        <v>-0.76949533381036783</v>
      </c>
      <c r="F13">
        <v>1.99518353969326</v>
      </c>
      <c r="G13">
        <v>4.7932877559707343</v>
      </c>
      <c r="H13">
        <v>3.3943220695696472</v>
      </c>
      <c r="I13">
        <v>2.5711765278870771</v>
      </c>
      <c r="J13">
        <v>2.8619323490224309</v>
      </c>
      <c r="K13">
        <v>2.7921408431181698</v>
      </c>
      <c r="L13">
        <v>2.5920530429631881</v>
      </c>
      <c r="M13">
        <v>2.566742092775518</v>
      </c>
      <c r="N13">
        <v>2.0189747015663011</v>
      </c>
      <c r="O13">
        <v>4.3904062344589212</v>
      </c>
      <c r="P13">
        <v>4.9949350921035567</v>
      </c>
      <c r="Q13">
        <v>5.5613664648461896</v>
      </c>
      <c r="R13">
        <v>5.2431476936855086</v>
      </c>
      <c r="S13">
        <v>5.3265381067528876</v>
      </c>
      <c r="T13">
        <v>5.114213459738771</v>
      </c>
      <c r="U13">
        <v>5.1988337918452716</v>
      </c>
      <c r="V13">
        <v>5.1619142348174476</v>
      </c>
      <c r="W13">
        <v>6.0936500922423589</v>
      </c>
      <c r="X13">
        <v>6.133981141533595</v>
      </c>
      <c r="Y13">
        <v>6.2090868832783741</v>
      </c>
      <c r="Z13">
        <v>5.1848829739069267</v>
      </c>
      <c r="AB13" s="15"/>
      <c r="AC13" s="15"/>
      <c r="AD13" s="15"/>
    </row>
    <row r="14" spans="1:57" x14ac:dyDescent="0.35">
      <c r="A14" t="s">
        <v>10</v>
      </c>
      <c r="B14">
        <v>129.37087172207421</v>
      </c>
      <c r="C14">
        <v>134.2425726492564</v>
      </c>
      <c r="D14">
        <v>134.7059034329674</v>
      </c>
      <c r="E14">
        <v>132.80228727949441</v>
      </c>
      <c r="F14">
        <v>138.5812927490968</v>
      </c>
      <c r="G14">
        <v>141.17988916945919</v>
      </c>
      <c r="H14">
        <v>139.03792315403521</v>
      </c>
      <c r="I14">
        <v>134.2820064129686</v>
      </c>
      <c r="J14">
        <v>135.22388908324879</v>
      </c>
      <c r="K14">
        <v>138.91124717236249</v>
      </c>
      <c r="L14">
        <v>139.70757606669881</v>
      </c>
      <c r="M14">
        <v>141.37358653368631</v>
      </c>
      <c r="N14">
        <v>142.56949457551079</v>
      </c>
      <c r="O14">
        <v>145.35706372508599</v>
      </c>
      <c r="P14">
        <v>145.98864033400969</v>
      </c>
      <c r="Q14">
        <v>144.10348355604799</v>
      </c>
      <c r="R14">
        <v>141.71103094048101</v>
      </c>
      <c r="S14">
        <v>144.82281950107549</v>
      </c>
      <c r="T14">
        <v>147.04369957659139</v>
      </c>
      <c r="U14">
        <v>146.8764044667887</v>
      </c>
      <c r="V14">
        <v>147.01600892829859</v>
      </c>
      <c r="W14">
        <v>149.66067271428321</v>
      </c>
      <c r="X14">
        <v>151.1614967959809</v>
      </c>
      <c r="Y14">
        <v>154.5124793442354</v>
      </c>
      <c r="Z14">
        <v>153.29550875481951</v>
      </c>
      <c r="AB14" s="15"/>
      <c r="AC14" s="15"/>
      <c r="AD14" s="15"/>
    </row>
    <row r="15" spans="1:57" x14ac:dyDescent="0.35">
      <c r="A15" t="s">
        <v>11</v>
      </c>
      <c r="B15">
        <v>25531953.719999999</v>
      </c>
      <c r="C15">
        <v>31709868.359999999</v>
      </c>
      <c r="D15">
        <v>39978116.190000013</v>
      </c>
      <c r="E15">
        <v>35518541.799999997</v>
      </c>
      <c r="F15">
        <v>48167716.590000004</v>
      </c>
      <c r="G15">
        <v>75307439.879999995</v>
      </c>
      <c r="H15">
        <v>65397089.159999996</v>
      </c>
      <c r="I15">
        <v>63739835.979999997</v>
      </c>
      <c r="J15">
        <v>61976868.359999999</v>
      </c>
      <c r="K15">
        <v>63221930.130000003</v>
      </c>
      <c r="L15">
        <v>57848125.320000008</v>
      </c>
      <c r="M15">
        <v>32090563.25</v>
      </c>
      <c r="N15">
        <v>19516866.98</v>
      </c>
      <c r="O15">
        <v>25449449.190000001</v>
      </c>
      <c r="P15">
        <v>43555600.030000001</v>
      </c>
      <c r="Q15">
        <v>75034894.310000002</v>
      </c>
      <c r="R15">
        <v>131533810.08</v>
      </c>
      <c r="S15">
        <v>147207291.50999999</v>
      </c>
      <c r="T15">
        <v>108850614.5</v>
      </c>
      <c r="U15">
        <v>119319099.8</v>
      </c>
      <c r="V15">
        <v>174895090.5</v>
      </c>
      <c r="W15">
        <v>177803912.80000001</v>
      </c>
      <c r="X15">
        <v>151109412.00999999</v>
      </c>
      <c r="Y15">
        <v>117985513.70999999</v>
      </c>
      <c r="Z15">
        <v>133585605.31</v>
      </c>
      <c r="AB15" s="15"/>
      <c r="AC15" s="15"/>
      <c r="AD15" s="15"/>
    </row>
    <row r="16" spans="1:57" x14ac:dyDescent="0.35">
      <c r="AB16" s="15"/>
      <c r="AC16" s="15"/>
      <c r="AD16" s="15"/>
    </row>
    <row r="17" spans="1:57" x14ac:dyDescent="0.35">
      <c r="A17" t="s">
        <v>13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48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  <c r="V17" t="s">
        <v>1</v>
      </c>
      <c r="W17" t="s">
        <v>2</v>
      </c>
      <c r="X17" t="s">
        <v>3</v>
      </c>
      <c r="Y17" t="s">
        <v>4</v>
      </c>
      <c r="Z17" t="s">
        <v>5</v>
      </c>
      <c r="AB17" s="15"/>
      <c r="AC17" s="15"/>
      <c r="AD17" s="15"/>
    </row>
    <row r="18" spans="1:57" x14ac:dyDescent="0.35">
      <c r="A18" t="s">
        <v>6</v>
      </c>
      <c r="B18">
        <v>130.03039565128549</v>
      </c>
      <c r="C18">
        <v>133.13561972496839</v>
      </c>
      <c r="D18">
        <v>135.52419649895089</v>
      </c>
      <c r="E18">
        <v>135.28732548834151</v>
      </c>
      <c r="F18">
        <v>135.28771439688319</v>
      </c>
      <c r="G18">
        <v>135.49900659610029</v>
      </c>
      <c r="H18">
        <v>135.05653202064309</v>
      </c>
      <c r="I18">
        <v>133.6533590478692</v>
      </c>
      <c r="J18">
        <v>134.54999962165849</v>
      </c>
      <c r="K18">
        <v>136.72731168449579</v>
      </c>
      <c r="L18">
        <v>137.2711437909899</v>
      </c>
      <c r="M18">
        <v>138.3019509586567</v>
      </c>
      <c r="N18">
        <v>139.23034679005511</v>
      </c>
      <c r="O18">
        <v>137.7158392394139</v>
      </c>
      <c r="P18">
        <v>138.5398362201949</v>
      </c>
      <c r="Q18">
        <v>137.48747271961969</v>
      </c>
      <c r="R18">
        <v>136.76023284432631</v>
      </c>
      <c r="S18">
        <v>137.47802427838079</v>
      </c>
      <c r="T18">
        <v>138.54353569478641</v>
      </c>
      <c r="U18">
        <v>137.20904828299791</v>
      </c>
      <c r="V18">
        <v>136.66839841462689</v>
      </c>
      <c r="W18">
        <v>137.94719223853701</v>
      </c>
      <c r="X18">
        <v>138.66054717924419</v>
      </c>
      <c r="Y18">
        <v>140.03751697543669</v>
      </c>
      <c r="Z18">
        <v>141.03676494934629</v>
      </c>
      <c r="AB18" s="15"/>
      <c r="AC18" s="15"/>
      <c r="AD18" s="15"/>
    </row>
    <row r="19" spans="1:57" x14ac:dyDescent="0.35">
      <c r="A19" t="s">
        <v>7</v>
      </c>
      <c r="B19">
        <v>0.62627010783492665</v>
      </c>
      <c r="C19">
        <v>0.5612475364693239</v>
      </c>
      <c r="D19">
        <v>0.90101304711950547</v>
      </c>
      <c r="E19">
        <v>0.84283260286281347</v>
      </c>
      <c r="F19">
        <v>1.6574384290710209</v>
      </c>
      <c r="G19">
        <v>1.815851125188999</v>
      </c>
      <c r="H19">
        <v>1.5016645803773661</v>
      </c>
      <c r="I19">
        <v>1.1834960513425301</v>
      </c>
      <c r="J19">
        <v>0.56607343884937222</v>
      </c>
      <c r="K19">
        <v>0.62303432104519629</v>
      </c>
      <c r="L19">
        <v>-1.4227398664814929E-2</v>
      </c>
      <c r="M19">
        <v>0.60880416093954182</v>
      </c>
      <c r="N19">
        <v>0.26065131663582969</v>
      </c>
      <c r="O19">
        <v>0.32381303156259378</v>
      </c>
      <c r="P19">
        <v>1.474295442786399</v>
      </c>
      <c r="Q19">
        <v>1.264705079320009</v>
      </c>
      <c r="R19">
        <v>1.013927862906201</v>
      </c>
      <c r="S19">
        <v>2.022800071092405</v>
      </c>
      <c r="T19">
        <v>2.2786497559132499</v>
      </c>
      <c r="U19">
        <v>2.0632355429099789</v>
      </c>
      <c r="V19">
        <v>1.8384507384756721</v>
      </c>
      <c r="W19">
        <v>2.0356618749904101</v>
      </c>
      <c r="X19">
        <v>2.2451500749805291</v>
      </c>
      <c r="Y19">
        <v>2.7851197376810428</v>
      </c>
      <c r="Z19">
        <v>3.125019135781685</v>
      </c>
      <c r="AB19" s="15" t="s">
        <v>56</v>
      </c>
      <c r="AC19" s="15" t="s">
        <v>57</v>
      </c>
      <c r="AD19" s="15" t="s">
        <v>58</v>
      </c>
    </row>
    <row r="20" spans="1:57" x14ac:dyDescent="0.35">
      <c r="A20" t="s">
        <v>8</v>
      </c>
      <c r="B20">
        <v>-4.7074247628526829</v>
      </c>
      <c r="C20">
        <v>-0.66064178245918759</v>
      </c>
      <c r="D20">
        <v>-0.29796557597972012</v>
      </c>
      <c r="E20">
        <v>0.173057476942136</v>
      </c>
      <c r="F20">
        <v>-7.7399957958591642E-2</v>
      </c>
      <c r="G20">
        <v>0.10988362406707911</v>
      </c>
      <c r="H20">
        <v>-6.9239853309938745E-2</v>
      </c>
      <c r="I20">
        <v>-0.1813287351135775</v>
      </c>
      <c r="J20">
        <v>-0.53658395994732844</v>
      </c>
      <c r="K20">
        <v>-0.51944562236935066</v>
      </c>
      <c r="L20">
        <v>-0.72305819774848368</v>
      </c>
      <c r="M20">
        <v>-0.46721172907635289</v>
      </c>
      <c r="N20">
        <v>-0.38699895194756723</v>
      </c>
      <c r="O20">
        <v>-0.69160541090889549</v>
      </c>
      <c r="P20">
        <v>-0.77016993012624102</v>
      </c>
      <c r="Q20">
        <v>-7.3902762453473672E-2</v>
      </c>
      <c r="R20">
        <v>-0.46378406652820858</v>
      </c>
      <c r="S20">
        <v>0.78371787542575466</v>
      </c>
      <c r="T20">
        <v>1.667235881964847</v>
      </c>
      <c r="U20">
        <v>2.9007669340685229</v>
      </c>
      <c r="V20">
        <v>2.6827980302526191</v>
      </c>
      <c r="W20">
        <v>3.4454111868036899</v>
      </c>
      <c r="X20">
        <v>3.4926550487815939</v>
      </c>
      <c r="Y20">
        <v>4.6856205462648681</v>
      </c>
      <c r="Z20">
        <v>3.7516145898525139</v>
      </c>
      <c r="AB20" s="15">
        <f>MIN(B20:Z20)</f>
        <v>-4.7074247628526829</v>
      </c>
      <c r="AC20" s="15">
        <f>MAX(B20:Z20)</f>
        <v>4.6856205462648681</v>
      </c>
      <c r="AD20" s="15">
        <f>MEDIAN(B20:Z20)</f>
        <v>-7.7399957958591642E-2</v>
      </c>
    </row>
    <row r="21" spans="1:57" x14ac:dyDescent="0.35">
      <c r="A21" t="s">
        <v>9</v>
      </c>
      <c r="B21">
        <v>-1.1595076243063429</v>
      </c>
      <c r="C21">
        <v>-1.3517592572103081</v>
      </c>
      <c r="D21">
        <v>1.090402875213162</v>
      </c>
      <c r="E21">
        <v>1.2787451169331769</v>
      </c>
      <c r="F21">
        <v>2.4008346480001261</v>
      </c>
      <c r="G21">
        <v>3.9950876559858339</v>
      </c>
      <c r="H21">
        <v>3.694064078902433</v>
      </c>
      <c r="I21">
        <v>3.362910829968635</v>
      </c>
      <c r="J21">
        <v>3.979342498047111</v>
      </c>
      <c r="K21">
        <v>4.7102304368172296</v>
      </c>
      <c r="L21">
        <v>4.4588752414614516</v>
      </c>
      <c r="M21">
        <v>5.2540634299369753</v>
      </c>
      <c r="N21">
        <v>5.2899300523753681</v>
      </c>
      <c r="O21">
        <v>4.7485296025685741</v>
      </c>
      <c r="P21">
        <v>6.1022599093930392</v>
      </c>
      <c r="Q21">
        <v>6.0342498669732887</v>
      </c>
      <c r="R21">
        <v>4.5603732684259617</v>
      </c>
      <c r="S21">
        <v>5.1238594895698402</v>
      </c>
      <c r="T21">
        <v>5.6764908306307396</v>
      </c>
      <c r="U21">
        <v>5.5445940925502661</v>
      </c>
      <c r="V21">
        <v>5.1925647998754663</v>
      </c>
      <c r="W21">
        <v>6.120883900540699</v>
      </c>
      <c r="X21">
        <v>6.0097477380131092</v>
      </c>
      <c r="Y21">
        <v>6.2593217971496404</v>
      </c>
      <c r="Z21">
        <v>5.2635207249032927</v>
      </c>
      <c r="AB21" s="15"/>
      <c r="AC21" s="15"/>
      <c r="AD21" s="15"/>
    </row>
    <row r="22" spans="1:57" x14ac:dyDescent="0.35">
      <c r="A22" t="s">
        <v>10</v>
      </c>
      <c r="B22">
        <v>124.7897333719614</v>
      </c>
      <c r="C22">
        <v>131.68446622176819</v>
      </c>
      <c r="D22">
        <v>137.2176468453039</v>
      </c>
      <c r="E22">
        <v>137.58196068507959</v>
      </c>
      <c r="F22">
        <v>139.2685875159957</v>
      </c>
      <c r="G22">
        <v>141.41982900134221</v>
      </c>
      <c r="H22">
        <v>140.18302082661299</v>
      </c>
      <c r="I22">
        <v>138.01843719406679</v>
      </c>
      <c r="J22">
        <v>138.55883159860761</v>
      </c>
      <c r="K22">
        <v>141.54113081998889</v>
      </c>
      <c r="L22">
        <v>140.99273343603801</v>
      </c>
      <c r="M22">
        <v>143.69760682045691</v>
      </c>
      <c r="N22">
        <v>144.3939292071187</v>
      </c>
      <c r="O22">
        <v>142.09657646263611</v>
      </c>
      <c r="P22">
        <v>145.34622164224811</v>
      </c>
      <c r="Q22">
        <v>144.7125249034595</v>
      </c>
      <c r="R22">
        <v>141.8707499091303</v>
      </c>
      <c r="S22">
        <v>145.40840171446879</v>
      </c>
      <c r="T22">
        <v>148.16591216329519</v>
      </c>
      <c r="U22">
        <v>147.7176448525266</v>
      </c>
      <c r="V22">
        <v>146.38221198323069</v>
      </c>
      <c r="W22">
        <v>149.5491492008718</v>
      </c>
      <c r="X22">
        <v>150.40810004101951</v>
      </c>
      <c r="Y22">
        <v>153.7675790565323</v>
      </c>
      <c r="Z22">
        <v>153.1769193998837</v>
      </c>
      <c r="AB22" s="15"/>
      <c r="AC22" s="15"/>
      <c r="AD22" s="15"/>
    </row>
    <row r="23" spans="1:57" x14ac:dyDescent="0.35">
      <c r="A23" t="s">
        <v>11</v>
      </c>
      <c r="B23">
        <v>73703014.030000001</v>
      </c>
      <c r="C23">
        <v>59571429.259999998</v>
      </c>
      <c r="D23">
        <v>59037002.060000002</v>
      </c>
      <c r="E23">
        <v>44041840.93</v>
      </c>
      <c r="F23">
        <v>63199503.020000003</v>
      </c>
      <c r="G23">
        <v>82590816.260000005</v>
      </c>
      <c r="H23">
        <v>66553012.479999997</v>
      </c>
      <c r="I23">
        <v>59034423.950000003</v>
      </c>
      <c r="J23">
        <v>54953361.270000003</v>
      </c>
      <c r="K23">
        <v>54791981.729999997</v>
      </c>
      <c r="L23">
        <v>38420665.340000004</v>
      </c>
      <c r="M23">
        <v>21163298.399999999</v>
      </c>
      <c r="N23">
        <v>12649519.25</v>
      </c>
      <c r="O23">
        <v>16219659.52</v>
      </c>
      <c r="P23">
        <v>28909162.390000001</v>
      </c>
      <c r="Q23">
        <v>44296437.100000001</v>
      </c>
      <c r="R23">
        <v>68656688.390000015</v>
      </c>
      <c r="S23">
        <v>95026794.780000001</v>
      </c>
      <c r="T23">
        <v>69497795.00999999</v>
      </c>
      <c r="U23">
        <v>70683017.159999996</v>
      </c>
      <c r="V23">
        <v>109778122.69</v>
      </c>
      <c r="W23">
        <v>117997640.45999999</v>
      </c>
      <c r="X23">
        <v>91351164.770000011</v>
      </c>
      <c r="Y23">
        <v>72109323.439999998</v>
      </c>
      <c r="Z23">
        <v>88330639.229999989</v>
      </c>
      <c r="AB23" s="15"/>
      <c r="AC23" s="15"/>
      <c r="AD23" s="15"/>
    </row>
    <row r="24" spans="1:57" x14ac:dyDescent="0.35">
      <c r="AB24" s="15"/>
      <c r="AC24" s="15"/>
      <c r="AD24" s="15"/>
    </row>
    <row r="25" spans="1:57" x14ac:dyDescent="0.35">
      <c r="A25" t="s">
        <v>14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66</v>
      </c>
      <c r="J25" t="s">
        <v>67</v>
      </c>
      <c r="K25" t="s">
        <v>68</v>
      </c>
      <c r="L25" t="s">
        <v>69</v>
      </c>
      <c r="M25" t="s">
        <v>70</v>
      </c>
      <c r="N25" t="s">
        <v>48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55</v>
      </c>
      <c r="V25" t="s">
        <v>1</v>
      </c>
      <c r="W25" t="s">
        <v>2</v>
      </c>
      <c r="X25" t="s">
        <v>3</v>
      </c>
      <c r="Y25" t="s">
        <v>4</v>
      </c>
      <c r="Z25" t="s">
        <v>5</v>
      </c>
      <c r="AB25" s="15"/>
      <c r="AC25" s="15"/>
      <c r="AD25" s="15"/>
    </row>
    <row r="26" spans="1:57" x14ac:dyDescent="0.35">
      <c r="A26" t="s">
        <v>6</v>
      </c>
      <c r="B26">
        <v>131.95038796688411</v>
      </c>
      <c r="C26">
        <v>135.66547179577421</v>
      </c>
      <c r="D26">
        <v>137.78085993452939</v>
      </c>
      <c r="E26">
        <v>140.37624797824719</v>
      </c>
      <c r="F26">
        <v>136.7568472127295</v>
      </c>
      <c r="G26">
        <v>136.1826116248541</v>
      </c>
      <c r="H26">
        <v>135.6310489829672</v>
      </c>
      <c r="I26">
        <v>134.6293495160532</v>
      </c>
      <c r="J26">
        <v>134.1739245565968</v>
      </c>
      <c r="K26">
        <v>135.83717961712421</v>
      </c>
      <c r="L26">
        <v>136.96375130369299</v>
      </c>
      <c r="M26">
        <v>138.7722798213712</v>
      </c>
      <c r="N26">
        <v>141.3231605158098</v>
      </c>
      <c r="O26">
        <v>138.8631915017576</v>
      </c>
      <c r="P26">
        <v>137.9566586474825</v>
      </c>
      <c r="Q26">
        <v>139.56619914782399</v>
      </c>
      <c r="R26">
        <v>138.52439991139249</v>
      </c>
      <c r="S26">
        <v>138.4097814248108</v>
      </c>
      <c r="T26">
        <v>140.36330737362081</v>
      </c>
      <c r="U26">
        <v>138.38768592238731</v>
      </c>
      <c r="V26">
        <v>136.70742932031769</v>
      </c>
      <c r="W26">
        <v>138.34779673954839</v>
      </c>
      <c r="X26">
        <v>138.1020962153942</v>
      </c>
      <c r="Y26">
        <v>138.9455515120215</v>
      </c>
      <c r="Z26">
        <v>140.99131293643919</v>
      </c>
      <c r="AB26" s="15"/>
      <c r="AC26" s="15"/>
      <c r="AD26" s="15"/>
    </row>
    <row r="27" spans="1:57" x14ac:dyDescent="0.35">
      <c r="A27" t="s">
        <v>7</v>
      </c>
      <c r="B27">
        <v>-1.7103216132117891</v>
      </c>
      <c r="C27">
        <v>-1.362001191333434</v>
      </c>
      <c r="D27">
        <v>-0.82270063325532305</v>
      </c>
      <c r="E27">
        <v>0.67937377043395486</v>
      </c>
      <c r="F27">
        <v>1.82079744362008</v>
      </c>
      <c r="G27">
        <v>-0.22282408009877491</v>
      </c>
      <c r="H27">
        <v>-0.34270651080376519</v>
      </c>
      <c r="I27">
        <v>0.75425032903180522</v>
      </c>
      <c r="J27">
        <v>0.49117725062757239</v>
      </c>
      <c r="K27">
        <v>0.57506675081188519</v>
      </c>
      <c r="L27">
        <v>0.94006829221265775</v>
      </c>
      <c r="M27">
        <v>0.98065554772853147</v>
      </c>
      <c r="N27">
        <v>1.163772265119974</v>
      </c>
      <c r="O27">
        <v>0.76651233466805024</v>
      </c>
      <c r="P27">
        <v>1.051226100014617</v>
      </c>
      <c r="Q27">
        <v>1.3906266452335669</v>
      </c>
      <c r="R27">
        <v>1.553697558330924</v>
      </c>
      <c r="S27">
        <v>2.4436111035358579</v>
      </c>
      <c r="T27">
        <v>3.2853415839857969</v>
      </c>
      <c r="U27">
        <v>2.9736339398277489</v>
      </c>
      <c r="V27">
        <v>2.4078901425605181</v>
      </c>
      <c r="W27">
        <v>2.491006820245985</v>
      </c>
      <c r="X27">
        <v>3.009578920406597</v>
      </c>
      <c r="Y27">
        <v>1.8551298377325911</v>
      </c>
      <c r="Z27">
        <v>2.36301409599352</v>
      </c>
      <c r="AB27" s="15" t="s">
        <v>56</v>
      </c>
      <c r="AC27" s="15" t="s">
        <v>57</v>
      </c>
      <c r="AD27" s="15" t="s">
        <v>58</v>
      </c>
    </row>
    <row r="28" spans="1:57" x14ac:dyDescent="0.35">
      <c r="A28" t="s">
        <v>8</v>
      </c>
      <c r="B28">
        <v>-3.3028649697639221</v>
      </c>
      <c r="C28">
        <v>-0.28665041662040452</v>
      </c>
      <c r="D28">
        <v>0.33893198814192671</v>
      </c>
      <c r="E28">
        <v>0.91143427805544219</v>
      </c>
      <c r="F28">
        <v>1.2323420446414031</v>
      </c>
      <c r="G28">
        <v>0.69584355606480164</v>
      </c>
      <c r="H28">
        <v>0.51690829252672632</v>
      </c>
      <c r="I28">
        <v>0.46686242121176541</v>
      </c>
      <c r="J28">
        <v>-1.0466750414126961E-2</v>
      </c>
      <c r="K28">
        <v>-1.1050641606760589</v>
      </c>
      <c r="L28">
        <v>-0.64441284546206501</v>
      </c>
      <c r="M28">
        <v>-0.45750844911379862</v>
      </c>
      <c r="N28">
        <v>0.35391149712147768</v>
      </c>
      <c r="O28">
        <v>-0.19699146876853871</v>
      </c>
      <c r="P28">
        <v>0.12864630878744721</v>
      </c>
      <c r="Q28">
        <v>0.9853978127234021</v>
      </c>
      <c r="R28">
        <v>0.2436093369190358</v>
      </c>
      <c r="S28">
        <v>0.32588548308016752</v>
      </c>
      <c r="T28">
        <v>0.46628827087031061</v>
      </c>
      <c r="U28">
        <v>2.728726398586053</v>
      </c>
      <c r="V28">
        <v>3.0252141514701218</v>
      </c>
      <c r="W28">
        <v>2.2531776443075322</v>
      </c>
      <c r="X28">
        <v>2.9918316002262961</v>
      </c>
      <c r="Y28">
        <v>3.3751583043569582</v>
      </c>
      <c r="Z28">
        <v>1.655140876443717</v>
      </c>
      <c r="AB28" s="15">
        <f>MIN(B28:Z28)</f>
        <v>-3.3028649697639221</v>
      </c>
      <c r="AC28" s="15">
        <f>MAX(B28:Z28)</f>
        <v>3.3751583043569582</v>
      </c>
      <c r="AD28" s="15">
        <f>MEDIAN(B28:Z28)</f>
        <v>0.46628827087031061</v>
      </c>
    </row>
    <row r="29" spans="1:57" x14ac:dyDescent="0.35">
      <c r="A29" t="s">
        <v>9</v>
      </c>
      <c r="B29">
        <v>6.1904054001034474</v>
      </c>
      <c r="C29">
        <v>7.0333880851271093</v>
      </c>
      <c r="D29">
        <v>9.9532378172302742</v>
      </c>
      <c r="E29">
        <v>8.9849480344015031</v>
      </c>
      <c r="F29">
        <v>7.7462434614231146</v>
      </c>
      <c r="G29">
        <v>9.7432048331490009</v>
      </c>
      <c r="H29">
        <v>8.8581213906770806</v>
      </c>
      <c r="I29">
        <v>7.7046525899058018</v>
      </c>
      <c r="J29">
        <v>7.5700941355023428</v>
      </c>
      <c r="K29">
        <v>7.7050467100869788</v>
      </c>
      <c r="L29">
        <v>7.9561856710891554</v>
      </c>
      <c r="M29">
        <v>7.907608386789307</v>
      </c>
      <c r="N29">
        <v>8.8983727385145794</v>
      </c>
      <c r="O29">
        <v>8.2305730397635415</v>
      </c>
      <c r="P29">
        <v>9.0487813037711611</v>
      </c>
      <c r="Q29">
        <v>8.6819607894137398</v>
      </c>
      <c r="R29">
        <v>6.8584307283849011</v>
      </c>
      <c r="S29">
        <v>7.1540338882457286</v>
      </c>
      <c r="T29">
        <v>7.5077870824706814</v>
      </c>
      <c r="U29">
        <v>7.6079051066384862</v>
      </c>
      <c r="V29">
        <v>6.8922323374929384</v>
      </c>
      <c r="W29">
        <v>6.3832078510277963</v>
      </c>
      <c r="X29">
        <v>6.3614180566423162</v>
      </c>
      <c r="Y29">
        <v>6.3945869307320562</v>
      </c>
      <c r="Z29">
        <v>5.5227180919938146</v>
      </c>
      <c r="AB29" s="15"/>
      <c r="AC29" s="15"/>
      <c r="AD29" s="15"/>
    </row>
    <row r="30" spans="1:57" x14ac:dyDescent="0.35">
      <c r="A30" t="s">
        <v>10</v>
      </c>
      <c r="B30">
        <v>133.12760678401179</v>
      </c>
      <c r="C30">
        <v>141.0502082729474</v>
      </c>
      <c r="D30">
        <v>147.25032910664629</v>
      </c>
      <c r="E30">
        <v>150.95200406113821</v>
      </c>
      <c r="F30">
        <v>147.5562301624141</v>
      </c>
      <c r="G30">
        <v>146.39883593396911</v>
      </c>
      <c r="H30">
        <v>144.6633721553672</v>
      </c>
      <c r="I30">
        <v>143.55511485620261</v>
      </c>
      <c r="J30">
        <v>142.22472919231259</v>
      </c>
      <c r="K30">
        <v>143.01222891734699</v>
      </c>
      <c r="L30">
        <v>145.21559242153279</v>
      </c>
      <c r="M30">
        <v>147.20303530677521</v>
      </c>
      <c r="N30">
        <v>151.73921701656579</v>
      </c>
      <c r="O30">
        <v>147.66328540742069</v>
      </c>
      <c r="P30">
        <v>148.18531236005569</v>
      </c>
      <c r="Q30">
        <v>150.62418439519479</v>
      </c>
      <c r="R30">
        <v>147.18013753502731</v>
      </c>
      <c r="S30">
        <v>148.33331189967259</v>
      </c>
      <c r="T30">
        <v>151.62272431094749</v>
      </c>
      <c r="U30">
        <v>151.6979513674396</v>
      </c>
      <c r="V30">
        <v>149.0327659518413</v>
      </c>
      <c r="W30">
        <v>149.47518905512979</v>
      </c>
      <c r="X30">
        <v>150.46492479266939</v>
      </c>
      <c r="Y30">
        <v>150.57042658484309</v>
      </c>
      <c r="Z30">
        <v>150.53218600087021</v>
      </c>
      <c r="AB30" s="15"/>
      <c r="AC30" s="15"/>
      <c r="AD30" s="15"/>
      <c r="AG30" t="s">
        <v>59</v>
      </c>
      <c r="AH30" t="s">
        <v>60</v>
      </c>
      <c r="AI30" t="s">
        <v>61</v>
      </c>
      <c r="AJ30" t="s">
        <v>62</v>
      </c>
      <c r="AK30" t="s">
        <v>63</v>
      </c>
      <c r="AL30" t="s">
        <v>64</v>
      </c>
      <c r="AM30" t="s">
        <v>65</v>
      </c>
      <c r="AN30" t="s">
        <v>66</v>
      </c>
      <c r="AO30" t="s">
        <v>67</v>
      </c>
      <c r="AP30" t="s">
        <v>68</v>
      </c>
      <c r="AQ30" t="s">
        <v>69</v>
      </c>
      <c r="AR30" t="s">
        <v>70</v>
      </c>
      <c r="AS30" t="s">
        <v>48</v>
      </c>
      <c r="AT30" t="s">
        <v>49</v>
      </c>
      <c r="AU30" t="s">
        <v>50</v>
      </c>
      <c r="AV30" t="s">
        <v>51</v>
      </c>
      <c r="AW30" t="s">
        <v>52</v>
      </c>
      <c r="AX30" t="s">
        <v>53</v>
      </c>
      <c r="AY30" t="s">
        <v>54</v>
      </c>
      <c r="AZ30" t="s">
        <v>55</v>
      </c>
      <c r="BA30" t="s">
        <v>1</v>
      </c>
      <c r="BB30" t="s">
        <v>2</v>
      </c>
      <c r="BC30" t="s">
        <v>3</v>
      </c>
      <c r="BD30" t="s">
        <v>4</v>
      </c>
      <c r="BE30" t="s">
        <v>5</v>
      </c>
    </row>
    <row r="31" spans="1:57" x14ac:dyDescent="0.35">
      <c r="A31" t="s">
        <v>11</v>
      </c>
      <c r="B31">
        <v>29567896.149999999</v>
      </c>
      <c r="C31">
        <v>20452730.02</v>
      </c>
      <c r="D31">
        <v>18615600.899999999</v>
      </c>
      <c r="E31">
        <v>8943877.3999999985</v>
      </c>
      <c r="F31">
        <v>15181236.02</v>
      </c>
      <c r="G31">
        <v>31017455.530000001</v>
      </c>
      <c r="H31">
        <v>26185057.969999999</v>
      </c>
      <c r="I31">
        <v>18912869.129999999</v>
      </c>
      <c r="J31">
        <v>20022958.149999999</v>
      </c>
      <c r="K31">
        <v>18264458.109999999</v>
      </c>
      <c r="L31">
        <v>16133338.15</v>
      </c>
      <c r="M31">
        <v>9991541.5899999999</v>
      </c>
      <c r="N31">
        <v>6626495.1899999985</v>
      </c>
      <c r="O31">
        <v>9268286.370000001</v>
      </c>
      <c r="P31">
        <v>15549122.210000001</v>
      </c>
      <c r="Q31">
        <v>15000070.210000001</v>
      </c>
      <c r="R31">
        <v>27235117.280000001</v>
      </c>
      <c r="S31">
        <v>35792719.759999998</v>
      </c>
      <c r="T31">
        <v>21813472.829999998</v>
      </c>
      <c r="U31">
        <v>21252328.469999999</v>
      </c>
      <c r="V31">
        <v>43623019.229999997</v>
      </c>
      <c r="W31">
        <v>40763731</v>
      </c>
      <c r="X31">
        <v>43230820.039999999</v>
      </c>
      <c r="Y31">
        <v>43342018.539999999</v>
      </c>
      <c r="Z31">
        <v>51820831.549999997</v>
      </c>
      <c r="AB31" s="15"/>
      <c r="AC31" s="15"/>
      <c r="AD31" s="15"/>
      <c r="AF31" t="s">
        <v>0</v>
      </c>
      <c r="AG31">
        <v>-0.1081993482119117</v>
      </c>
      <c r="AH31">
        <v>-0.56943613520371628</v>
      </c>
      <c r="AI31">
        <v>-0.21425416070690059</v>
      </c>
      <c r="AJ31">
        <v>0.68058865356454135</v>
      </c>
      <c r="AK31">
        <v>0.22441001536151359</v>
      </c>
      <c r="AL31">
        <v>0.2090721983110484</v>
      </c>
      <c r="AM31">
        <v>-7.5968090308322189E-2</v>
      </c>
      <c r="AN31">
        <v>-0.50481626028823712</v>
      </c>
      <c r="AO31">
        <v>-1.1464984056197809</v>
      </c>
      <c r="AP31">
        <v>-0.9927257775551368</v>
      </c>
      <c r="AQ31">
        <v>-1.33743621817689</v>
      </c>
      <c r="AR31">
        <v>-1.1137921203458061</v>
      </c>
      <c r="AS31">
        <v>-1.274267180726611</v>
      </c>
      <c r="AT31">
        <v>-1.3069658270490829</v>
      </c>
      <c r="AU31">
        <v>-1.559538230277099</v>
      </c>
      <c r="AV31">
        <v>-1.084618521230539</v>
      </c>
      <c r="AW31">
        <v>-1.74173108555982</v>
      </c>
      <c r="AX31">
        <v>-1.102763874125571</v>
      </c>
      <c r="AY31">
        <v>-0.63328551879868655</v>
      </c>
      <c r="AZ31">
        <v>0.18345642570133691</v>
      </c>
      <c r="BA31">
        <v>8.0554239014418272E-2</v>
      </c>
      <c r="BB31">
        <v>0.55716861083507752</v>
      </c>
      <c r="BC31">
        <v>0.84213839098492826</v>
      </c>
      <c r="BD31">
        <v>1.313870033344557</v>
      </c>
      <c r="BE31">
        <v>1.823497888359412</v>
      </c>
    </row>
    <row r="32" spans="1:57" x14ac:dyDescent="0.35">
      <c r="AB32" s="15"/>
      <c r="AC32" s="15"/>
      <c r="AD32" s="15"/>
      <c r="AF32" t="s">
        <v>12</v>
      </c>
      <c r="AG32">
        <v>-0.35590628623191378</v>
      </c>
      <c r="AH32">
        <v>-0.39916325691257271</v>
      </c>
      <c r="AI32">
        <v>1.5803735301147981E-2</v>
      </c>
      <c r="AJ32">
        <v>0.29142925755874671</v>
      </c>
      <c r="AK32">
        <v>0.22685780712737369</v>
      </c>
      <c r="AL32">
        <v>0.15910037670965951</v>
      </c>
      <c r="AM32">
        <v>-0.16651054569609869</v>
      </c>
      <c r="AN32">
        <v>-0.64123410559412264</v>
      </c>
      <c r="AO32">
        <v>-1.406421035983783</v>
      </c>
      <c r="AP32">
        <v>-1.3721178227969519</v>
      </c>
      <c r="AQ32">
        <v>-1.355936225063999</v>
      </c>
      <c r="AR32">
        <v>-1.298567162626824</v>
      </c>
      <c r="AS32">
        <v>-1.229673203613459</v>
      </c>
      <c r="AT32">
        <v>-1.4790927891037879</v>
      </c>
      <c r="AU32">
        <v>-1.4399127203864741</v>
      </c>
      <c r="AV32">
        <v>-1.435633622756711</v>
      </c>
      <c r="AW32">
        <v>-1.463722377214111</v>
      </c>
      <c r="AX32">
        <v>-1.1069719894153141</v>
      </c>
      <c r="AY32">
        <v>-0.6383671688126924</v>
      </c>
      <c r="AZ32">
        <v>0.44202526274585813</v>
      </c>
      <c r="BA32">
        <v>0.22940979528780761</v>
      </c>
      <c r="BB32">
        <v>0.23943624345429271</v>
      </c>
      <c r="BC32">
        <v>0.95567212066643492</v>
      </c>
      <c r="BD32">
        <v>1.511380659816695</v>
      </c>
      <c r="BE32">
        <v>1.511298575462575</v>
      </c>
    </row>
    <row r="33" spans="1:57" x14ac:dyDescent="0.35">
      <c r="A33" t="s">
        <v>15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64</v>
      </c>
      <c r="H33" t="s">
        <v>65</v>
      </c>
      <c r="I33" t="s">
        <v>66</v>
      </c>
      <c r="J33" t="s">
        <v>67</v>
      </c>
      <c r="K33" t="s">
        <v>68</v>
      </c>
      <c r="L33" t="s">
        <v>69</v>
      </c>
      <c r="M33" t="s">
        <v>70</v>
      </c>
      <c r="N33" t="s">
        <v>48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55</v>
      </c>
      <c r="V33" t="s">
        <v>1</v>
      </c>
      <c r="W33" t="s">
        <v>2</v>
      </c>
      <c r="X33" t="s">
        <v>3</v>
      </c>
      <c r="Y33" t="s">
        <v>4</v>
      </c>
      <c r="Z33" t="s">
        <v>5</v>
      </c>
      <c r="AB33" s="15"/>
      <c r="AC33" s="15"/>
      <c r="AD33" s="15"/>
      <c r="AF33" t="s">
        <v>13</v>
      </c>
      <c r="AG33">
        <v>-5.7963399803412592E-2</v>
      </c>
      <c r="AH33">
        <v>-0.23514923277392091</v>
      </c>
      <c r="AI33">
        <v>-0.17763245810604639</v>
      </c>
      <c r="AJ33">
        <v>0.39104338510543363</v>
      </c>
      <c r="AK33">
        <v>0.16365720842696871</v>
      </c>
      <c r="AL33">
        <v>0.14110014452674591</v>
      </c>
      <c r="AM33">
        <v>-0.19682374508499831</v>
      </c>
      <c r="AN33">
        <v>-0.69220439175350634</v>
      </c>
      <c r="AO33">
        <v>-1.015716689774081</v>
      </c>
      <c r="AP33">
        <v>-1.5663498716684501</v>
      </c>
      <c r="AQ33">
        <v>-1.584362709364967</v>
      </c>
      <c r="AR33">
        <v>-1.308348837421931</v>
      </c>
      <c r="AS33">
        <v>-1.0537593670993031</v>
      </c>
      <c r="AT33">
        <v>-0.95726796015017612</v>
      </c>
      <c r="AU33">
        <v>-1.3703764248640771</v>
      </c>
      <c r="AV33">
        <v>-1.3584951647645771</v>
      </c>
      <c r="AW33">
        <v>-1.6674838521355471</v>
      </c>
      <c r="AX33">
        <v>-1.1614307655167411</v>
      </c>
      <c r="AY33">
        <v>-0.66741053516162197</v>
      </c>
      <c r="AZ33">
        <v>0.10374512414423979</v>
      </c>
      <c r="BA33">
        <v>0.33099156580945532</v>
      </c>
      <c r="BB33">
        <v>0.40683462418954258</v>
      </c>
      <c r="BC33">
        <v>0.67784690711440021</v>
      </c>
      <c r="BD33">
        <v>1.6772276675288249</v>
      </c>
      <c r="BE33">
        <v>0.91825423237821724</v>
      </c>
    </row>
    <row r="34" spans="1:57" x14ac:dyDescent="0.35">
      <c r="A34" t="s">
        <v>6</v>
      </c>
      <c r="B34">
        <v>132.3830679174151</v>
      </c>
      <c r="C34">
        <v>133.22864053407059</v>
      </c>
      <c r="D34">
        <v>136.30165783621021</v>
      </c>
      <c r="E34">
        <v>135.3824245085064</v>
      </c>
      <c r="F34">
        <v>133.83570351401411</v>
      </c>
      <c r="G34">
        <v>131.87489783492529</v>
      </c>
      <c r="H34">
        <v>131.1356915650193</v>
      </c>
      <c r="I34">
        <v>129.47230286810949</v>
      </c>
      <c r="J34">
        <v>129.34472841048461</v>
      </c>
      <c r="K34">
        <v>131.4534857039441</v>
      </c>
      <c r="L34">
        <v>131.7155339764507</v>
      </c>
      <c r="M34">
        <v>131.25851429906621</v>
      </c>
      <c r="N34">
        <v>132.73384871823549</v>
      </c>
      <c r="O34">
        <v>133.4421953804156</v>
      </c>
      <c r="P34">
        <v>133.76755452848761</v>
      </c>
      <c r="Q34">
        <v>135.3136659257851</v>
      </c>
      <c r="R34">
        <v>136.17456495376311</v>
      </c>
      <c r="S34">
        <v>136.81709999339159</v>
      </c>
      <c r="T34">
        <v>136.69241262670499</v>
      </c>
      <c r="U34">
        <v>134.948750294055</v>
      </c>
      <c r="V34">
        <v>134.57147996843619</v>
      </c>
      <c r="W34">
        <v>136.41792232868141</v>
      </c>
      <c r="X34">
        <v>137.00629562165429</v>
      </c>
      <c r="Y34">
        <v>137.20721483911191</v>
      </c>
      <c r="Z34">
        <v>139.80137295800651</v>
      </c>
      <c r="AB34" s="15"/>
      <c r="AC34" s="15"/>
      <c r="AD34" s="15"/>
      <c r="AF34" t="s">
        <v>14</v>
      </c>
      <c r="AG34">
        <v>-0.1173702025106422</v>
      </c>
      <c r="AH34">
        <v>-0.2049295454415585</v>
      </c>
      <c r="AI34">
        <v>3.2451687125956141E-3</v>
      </c>
      <c r="AJ34">
        <v>0.18043504936153451</v>
      </c>
      <c r="AK34">
        <v>-0.25831758705473362</v>
      </c>
      <c r="AL34">
        <v>-0.28531197529588331</v>
      </c>
      <c r="AM34">
        <v>-9.3966231446529491E-2</v>
      </c>
      <c r="AN34">
        <v>-0.57675672633951081</v>
      </c>
      <c r="AO34">
        <v>-1.287629269088967</v>
      </c>
      <c r="AP34">
        <v>-1.300891046213138</v>
      </c>
      <c r="AQ34">
        <v>-1.6502647722361701</v>
      </c>
      <c r="AR34">
        <v>-0.83079472718941361</v>
      </c>
      <c r="AS34">
        <v>-1.3825719734120701</v>
      </c>
      <c r="AT34">
        <v>-1.5799359499551431</v>
      </c>
      <c r="AU34">
        <v>-1.0542949079360819</v>
      </c>
      <c r="AV34">
        <v>-1.3557993728754809</v>
      </c>
      <c r="AW34">
        <v>-1.497081244480825</v>
      </c>
      <c r="AX34">
        <v>-0.65776890033589552</v>
      </c>
      <c r="AY34">
        <v>-0.46079243140653148</v>
      </c>
      <c r="AZ34">
        <v>0.78463273445555615</v>
      </c>
      <c r="BA34">
        <v>4.7183501459358013E-2</v>
      </c>
      <c r="BB34">
        <v>0.56322649620975085</v>
      </c>
      <c r="BC34">
        <v>0.93591851189495401</v>
      </c>
      <c r="BD34">
        <v>1.709978486433215</v>
      </c>
      <c r="BE34">
        <v>0.85639536321343712</v>
      </c>
    </row>
    <row r="35" spans="1:57" x14ac:dyDescent="0.35">
      <c r="A35" t="s">
        <v>7</v>
      </c>
      <c r="B35">
        <v>0.53733727491581362</v>
      </c>
      <c r="C35">
        <v>0.61144890440334621</v>
      </c>
      <c r="D35">
        <v>0.32319333564112179</v>
      </c>
      <c r="E35">
        <v>-0.89774631802086446</v>
      </c>
      <c r="F35">
        <v>-0.38175502107574738</v>
      </c>
      <c r="G35">
        <v>-0.59152796588301726</v>
      </c>
      <c r="H35">
        <v>-0.80097814863870553</v>
      </c>
      <c r="I35">
        <v>-0.57952409404390437</v>
      </c>
      <c r="J35">
        <v>-0.1218767355521209</v>
      </c>
      <c r="K35">
        <v>-0.57677921084459172</v>
      </c>
      <c r="L35">
        <v>-1.563158121816997</v>
      </c>
      <c r="M35">
        <v>-1.3928785047271219</v>
      </c>
      <c r="N35">
        <v>-1.751634827333447</v>
      </c>
      <c r="O35">
        <v>-1.055753827058538</v>
      </c>
      <c r="P35">
        <v>-0.70981924968504018</v>
      </c>
      <c r="Q35">
        <v>0.45637312284415538</v>
      </c>
      <c r="R35">
        <v>-0.59196154705890081</v>
      </c>
      <c r="S35">
        <v>-0.32963785050176853</v>
      </c>
      <c r="T35">
        <v>-0.49424107346195001</v>
      </c>
      <c r="U35">
        <v>-0.28560818312433872</v>
      </c>
      <c r="V35">
        <v>-0.97599677625345294</v>
      </c>
      <c r="W35">
        <v>0.2051806703973682</v>
      </c>
      <c r="X35">
        <v>0.17963091044521209</v>
      </c>
      <c r="Y35">
        <v>1.0649609356779881</v>
      </c>
      <c r="Z35">
        <v>1.2538169690974139</v>
      </c>
      <c r="AB35" s="15" t="s">
        <v>56</v>
      </c>
      <c r="AC35" s="15" t="s">
        <v>57</v>
      </c>
      <c r="AD35" s="15" t="s">
        <v>58</v>
      </c>
      <c r="AF35" t="s">
        <v>15</v>
      </c>
      <c r="AG35">
        <v>-2.8893776934583291</v>
      </c>
      <c r="AH35">
        <v>-2.6973233187425478</v>
      </c>
      <c r="AI35">
        <v>-2.4473200439196598</v>
      </c>
      <c r="AJ35">
        <v>-2.4631078797537209</v>
      </c>
      <c r="AK35">
        <v>-2.410187290977404</v>
      </c>
      <c r="AL35">
        <v>-1.8217150481629569</v>
      </c>
      <c r="AM35">
        <v>-2.3608023007637509</v>
      </c>
      <c r="AN35">
        <v>-2.236469694987107</v>
      </c>
      <c r="AO35">
        <v>-3.0902908582119148</v>
      </c>
      <c r="AP35">
        <v>-3.4354069590460061</v>
      </c>
      <c r="AQ35">
        <v>-4.1052263540127569</v>
      </c>
      <c r="AR35">
        <v>-4.2753205234818381</v>
      </c>
      <c r="AS35">
        <v>-4.0226523104324201</v>
      </c>
      <c r="AT35">
        <v>-3.8170759454709331</v>
      </c>
      <c r="AU35">
        <v>-3.539562069974608</v>
      </c>
      <c r="AV35">
        <v>-2.996507507201045</v>
      </c>
      <c r="AW35">
        <v>-3.5568879299021599</v>
      </c>
      <c r="AX35">
        <v>-3.230175276117222</v>
      </c>
      <c r="AY35">
        <v>-2.3887580914386888</v>
      </c>
      <c r="AZ35">
        <v>9.6156653656350954E-2</v>
      </c>
      <c r="BA35">
        <v>1.154854594004348</v>
      </c>
      <c r="BB35">
        <v>0.118861277414311</v>
      </c>
      <c r="BC35">
        <v>0.38105410143546692</v>
      </c>
      <c r="BD35">
        <v>1.1634511364398461</v>
      </c>
      <c r="BE35">
        <v>0.67722626118228391</v>
      </c>
    </row>
    <row r="36" spans="1:57" x14ac:dyDescent="0.35">
      <c r="A36" t="s">
        <v>8</v>
      </c>
      <c r="B36">
        <v>-3.930762883659205</v>
      </c>
      <c r="C36">
        <v>-0.25069820832043882</v>
      </c>
      <c r="D36">
        <v>0.14289628509978999</v>
      </c>
      <c r="E36">
        <v>-2.7361975040254609E-2</v>
      </c>
      <c r="F36">
        <v>1.7026104280143211E-2</v>
      </c>
      <c r="G36">
        <v>0.51253643213502109</v>
      </c>
      <c r="H36">
        <v>-0.116442369925592</v>
      </c>
      <c r="I36">
        <v>-0.11122887042664779</v>
      </c>
      <c r="J36">
        <v>-1.022898723483924</v>
      </c>
      <c r="K36">
        <v>-1.306708350882867</v>
      </c>
      <c r="L36">
        <v>-2.057985007747035</v>
      </c>
      <c r="M36">
        <v>-2.2321860276680661</v>
      </c>
      <c r="N36">
        <v>-1.984543517888123</v>
      </c>
      <c r="O36">
        <v>-1.4900515379555339</v>
      </c>
      <c r="P36">
        <v>-1.2755417002800891</v>
      </c>
      <c r="Q36">
        <v>-0.6155811555019739</v>
      </c>
      <c r="R36">
        <v>-1.20886261526213</v>
      </c>
      <c r="S36">
        <v>-0.70766037366255741</v>
      </c>
      <c r="T36">
        <v>0.25203212537693659</v>
      </c>
      <c r="U36">
        <v>3.1488127626799072</v>
      </c>
      <c r="V36">
        <v>4.774438181309864</v>
      </c>
      <c r="W36">
        <v>3.6984810529589001</v>
      </c>
      <c r="X36">
        <v>3.7671271517580061</v>
      </c>
      <c r="Y36">
        <v>4.7206981670882318</v>
      </c>
      <c r="Z36">
        <v>3.728800489684482</v>
      </c>
      <c r="AB36" s="15">
        <f>MIN(B36:Z36)</f>
        <v>-3.930762883659205</v>
      </c>
      <c r="AC36" s="15">
        <f>MAX(B36:Z36)</f>
        <v>4.774438181309864</v>
      </c>
      <c r="AD36" s="15">
        <f>MEDIAN(B36:Z36)</f>
        <v>-0.116442369925592</v>
      </c>
      <c r="AF36" t="s">
        <v>16</v>
      </c>
      <c r="AG36">
        <v>-3.0975670006646681</v>
      </c>
      <c r="AH36">
        <v>-2.8341240100760392</v>
      </c>
      <c r="AI36">
        <v>-3.136439264554383</v>
      </c>
      <c r="AJ36">
        <v>-2.8396895913731162</v>
      </c>
      <c r="AK36">
        <v>-2.6834108281304339</v>
      </c>
      <c r="AL36">
        <v>-2.4553767766743988</v>
      </c>
      <c r="AM36">
        <v>-1.7564128548314391</v>
      </c>
      <c r="AN36">
        <v>-2.419833659137026</v>
      </c>
      <c r="AO36">
        <v>-2.6255544249020488</v>
      </c>
      <c r="AP36">
        <v>-3.116632006353484</v>
      </c>
      <c r="AQ36">
        <v>-3.603167892329822</v>
      </c>
      <c r="AR36">
        <v>-3.7513147710083961</v>
      </c>
      <c r="AS36">
        <v>-4.1776837425923929</v>
      </c>
      <c r="AT36">
        <v>-4.0828996300354277</v>
      </c>
      <c r="AU36">
        <v>-4.0688291055965644</v>
      </c>
      <c r="AV36">
        <v>-3.2955658446450968</v>
      </c>
      <c r="AW36">
        <v>-3.51705058531843</v>
      </c>
      <c r="AX36">
        <v>-3.3558261179401541</v>
      </c>
      <c r="AY36">
        <v>-3.861787211880682</v>
      </c>
      <c r="AZ36">
        <v>-3.9820936541420342</v>
      </c>
      <c r="BA36">
        <v>-4.1579064778551924</v>
      </c>
      <c r="BB36">
        <v>-3.614343533836518</v>
      </c>
      <c r="BC36">
        <v>-3.1649618145426639</v>
      </c>
      <c r="BD36">
        <v>-2.754448107127843</v>
      </c>
      <c r="BE36">
        <v>-2.898264955456284</v>
      </c>
    </row>
    <row r="37" spans="1:57" x14ac:dyDescent="0.35">
      <c r="A37" t="s">
        <v>9</v>
      </c>
      <c r="B37">
        <v>-0.24719178608549669</v>
      </c>
      <c r="C37">
        <v>2.9954666961637951E-2</v>
      </c>
      <c r="D37">
        <v>2.42426764268252</v>
      </c>
      <c r="E37">
        <v>0.99768817916309049</v>
      </c>
      <c r="F37">
        <v>1.137912036994249</v>
      </c>
      <c r="G37">
        <v>2.537903962040621</v>
      </c>
      <c r="H37">
        <v>1.3854944066971471</v>
      </c>
      <c r="I37">
        <v>0.93199624932406278</v>
      </c>
      <c r="J37">
        <v>0.67438009127710474</v>
      </c>
      <c r="K37">
        <v>1.3181605238803551</v>
      </c>
      <c r="L37">
        <v>2.079240512106614</v>
      </c>
      <c r="M37">
        <v>1.2927579763878401</v>
      </c>
      <c r="N37">
        <v>0.82744892015353355</v>
      </c>
      <c r="O37">
        <v>1.4972331971655131</v>
      </c>
      <c r="P37">
        <v>2.6160490463887469</v>
      </c>
      <c r="Q37">
        <v>1.842405583116409</v>
      </c>
      <c r="R37">
        <v>1.7160171892232841</v>
      </c>
      <c r="S37">
        <v>1.962009133007985</v>
      </c>
      <c r="T37">
        <v>1.7538855922742991</v>
      </c>
      <c r="U37">
        <v>1.328181469079621</v>
      </c>
      <c r="V37">
        <v>1.519821708071649</v>
      </c>
      <c r="W37">
        <v>1.927707898109839</v>
      </c>
      <c r="X37">
        <v>1.8518932916852411</v>
      </c>
      <c r="Y37">
        <v>1.7024207234370869</v>
      </c>
      <c r="Z37">
        <v>1.505140150552791</v>
      </c>
      <c r="AB37" s="15"/>
      <c r="AC37" s="15"/>
      <c r="AD37" s="15"/>
    </row>
    <row r="38" spans="1:57" x14ac:dyDescent="0.35">
      <c r="A38" t="s">
        <v>10</v>
      </c>
      <c r="B38">
        <v>128.74245052258621</v>
      </c>
      <c r="C38">
        <v>133.61934589711521</v>
      </c>
      <c r="D38">
        <v>139.19201509963361</v>
      </c>
      <c r="E38">
        <v>135.45500439460841</v>
      </c>
      <c r="F38">
        <v>134.60888663421281</v>
      </c>
      <c r="G38">
        <v>134.333810263218</v>
      </c>
      <c r="H38">
        <v>131.60376545315211</v>
      </c>
      <c r="I38">
        <v>129.713546152963</v>
      </c>
      <c r="J38">
        <v>128.87433304272571</v>
      </c>
      <c r="K38">
        <v>130.88815866609701</v>
      </c>
      <c r="L38">
        <v>130.1736313589933</v>
      </c>
      <c r="M38">
        <v>128.92620774305891</v>
      </c>
      <c r="N38">
        <v>129.82511929316749</v>
      </c>
      <c r="O38">
        <v>132.39362321256709</v>
      </c>
      <c r="P38">
        <v>134.39824262491121</v>
      </c>
      <c r="Q38">
        <v>136.99686347624359</v>
      </c>
      <c r="R38">
        <v>136.0897579806653</v>
      </c>
      <c r="S38">
        <v>137.7418109022353</v>
      </c>
      <c r="T38">
        <v>138.20408927089429</v>
      </c>
      <c r="U38">
        <v>139.1401363426902</v>
      </c>
      <c r="V38">
        <v>139.88974308156429</v>
      </c>
      <c r="W38">
        <v>142.24929195014749</v>
      </c>
      <c r="X38">
        <v>142.8049469755428</v>
      </c>
      <c r="Y38">
        <v>144.6952946653152</v>
      </c>
      <c r="Z38">
        <v>146.28913056734109</v>
      </c>
      <c r="AB38" s="15"/>
      <c r="AC38" s="15"/>
      <c r="AD38" s="15"/>
    </row>
    <row r="39" spans="1:57" x14ac:dyDescent="0.35">
      <c r="A39" t="s">
        <v>11</v>
      </c>
      <c r="B39">
        <v>43044124.439999998</v>
      </c>
      <c r="C39">
        <v>47390259.829999998</v>
      </c>
      <c r="D39">
        <v>47951626.950000003</v>
      </c>
      <c r="E39">
        <v>49971994.260000013</v>
      </c>
      <c r="F39">
        <v>91023827.040000007</v>
      </c>
      <c r="G39">
        <v>128666875.94</v>
      </c>
      <c r="H39">
        <v>96920595.560000002</v>
      </c>
      <c r="I39">
        <v>74050276.870000005</v>
      </c>
      <c r="J39">
        <v>76165797.019999996</v>
      </c>
      <c r="K39">
        <v>68689507.870000005</v>
      </c>
      <c r="L39">
        <v>57582674.780000001</v>
      </c>
      <c r="M39">
        <v>65211671.070000008</v>
      </c>
      <c r="N39">
        <v>68700873.709999993</v>
      </c>
      <c r="O39">
        <v>60708657.989999987</v>
      </c>
      <c r="P39">
        <v>74303783.810000002</v>
      </c>
      <c r="Q39">
        <v>77788703.159999996</v>
      </c>
      <c r="R39">
        <v>115593246.77</v>
      </c>
      <c r="S39">
        <v>101927446.03</v>
      </c>
      <c r="T39">
        <v>81167790.519999996</v>
      </c>
      <c r="U39">
        <v>92147128.75</v>
      </c>
      <c r="V39">
        <v>151182270.44999999</v>
      </c>
      <c r="W39">
        <v>130251017.45999999</v>
      </c>
      <c r="X39">
        <v>108684678.34999999</v>
      </c>
      <c r="Y39">
        <v>91451649.270000011</v>
      </c>
      <c r="Z39">
        <v>85452588.810000002</v>
      </c>
      <c r="AB39" s="15"/>
      <c r="AC39" s="15"/>
      <c r="AD39" s="15"/>
    </row>
    <row r="40" spans="1:57" x14ac:dyDescent="0.35">
      <c r="AB40" s="15"/>
      <c r="AC40" s="15"/>
      <c r="AD40" s="15"/>
    </row>
    <row r="41" spans="1:57" x14ac:dyDescent="0.35">
      <c r="A41" t="s">
        <v>16</v>
      </c>
      <c r="B41" t="s">
        <v>59</v>
      </c>
      <c r="C41" t="s">
        <v>60</v>
      </c>
      <c r="D41" t="s">
        <v>61</v>
      </c>
      <c r="E41" t="s">
        <v>62</v>
      </c>
      <c r="F41" t="s">
        <v>63</v>
      </c>
      <c r="G41" t="s">
        <v>64</v>
      </c>
      <c r="H41" t="s">
        <v>65</v>
      </c>
      <c r="I41" t="s">
        <v>66</v>
      </c>
      <c r="J41" t="s">
        <v>67</v>
      </c>
      <c r="K41" t="s">
        <v>68</v>
      </c>
      <c r="L41" t="s">
        <v>69</v>
      </c>
      <c r="M41" t="s">
        <v>70</v>
      </c>
      <c r="N41" t="s">
        <v>48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55</v>
      </c>
      <c r="V41" t="s">
        <v>1</v>
      </c>
      <c r="W41" t="s">
        <v>2</v>
      </c>
      <c r="X41" t="s">
        <v>3</v>
      </c>
      <c r="Y41" t="s">
        <v>4</v>
      </c>
      <c r="Z41" t="s">
        <v>5</v>
      </c>
      <c r="AB41" s="15"/>
      <c r="AC41" s="15"/>
      <c r="AD41" s="15"/>
    </row>
    <row r="42" spans="1:57" x14ac:dyDescent="0.35">
      <c r="A42" t="s">
        <v>6</v>
      </c>
      <c r="B42">
        <v>135.86332249445411</v>
      </c>
      <c r="C42">
        <v>138.37204193247351</v>
      </c>
      <c r="D42">
        <v>138.78949632186041</v>
      </c>
      <c r="E42">
        <v>136.95890436813559</v>
      </c>
      <c r="F42">
        <v>135.464326976926</v>
      </c>
      <c r="G42">
        <v>135.7380087477724</v>
      </c>
      <c r="H42">
        <v>134.5037235232796</v>
      </c>
      <c r="I42">
        <v>133.19297164592061</v>
      </c>
      <c r="J42">
        <v>133.26474125481579</v>
      </c>
      <c r="K42">
        <v>134.70114979213409</v>
      </c>
      <c r="L42">
        <v>136.0582679564173</v>
      </c>
      <c r="M42">
        <v>138.33369756523109</v>
      </c>
      <c r="N42">
        <v>140.09671657848929</v>
      </c>
      <c r="O42">
        <v>140.6586391183844</v>
      </c>
      <c r="P42">
        <v>140.50459471793889</v>
      </c>
      <c r="Q42">
        <v>140.56078051519651</v>
      </c>
      <c r="R42">
        <v>139.56825037479661</v>
      </c>
      <c r="S42">
        <v>140.43211833884561</v>
      </c>
      <c r="T42">
        <v>139.88511483115639</v>
      </c>
      <c r="U42">
        <v>139.76781802522791</v>
      </c>
      <c r="V42">
        <v>139.70876763492191</v>
      </c>
      <c r="W42">
        <v>139.8667228088469</v>
      </c>
      <c r="X42">
        <v>139.91790875779989</v>
      </c>
      <c r="Y42">
        <v>140.94205426095121</v>
      </c>
      <c r="Z42">
        <v>142.03744368904921</v>
      </c>
      <c r="AB42" s="15"/>
      <c r="AC42" s="15"/>
      <c r="AD42" s="15"/>
    </row>
    <row r="43" spans="1:57" x14ac:dyDescent="0.35">
      <c r="A43" t="s">
        <v>7</v>
      </c>
      <c r="B43">
        <v>4.4892786568121892</v>
      </c>
      <c r="C43">
        <v>4.5519790664233426</v>
      </c>
      <c r="D43">
        <v>4.4080580897392574</v>
      </c>
      <c r="E43">
        <v>4.0588062484797263</v>
      </c>
      <c r="F43">
        <v>3.841442647036359</v>
      </c>
      <c r="G43">
        <v>3.6205957394709292</v>
      </c>
      <c r="H43">
        <v>3.485684751518249</v>
      </c>
      <c r="I43">
        <v>3.1667830676877031</v>
      </c>
      <c r="J43">
        <v>2.91345774118949</v>
      </c>
      <c r="K43">
        <v>2.0561578106858178</v>
      </c>
      <c r="L43">
        <v>1.233781080130228</v>
      </c>
      <c r="M43">
        <v>1.3869179362435771</v>
      </c>
      <c r="N43">
        <v>1.146449687959944</v>
      </c>
      <c r="O43">
        <v>1.3458962435183539</v>
      </c>
      <c r="P43">
        <v>1.4972885947111929</v>
      </c>
      <c r="Q43">
        <v>1.752668869606083</v>
      </c>
      <c r="R43">
        <v>1.3266459899973599</v>
      </c>
      <c r="S43">
        <v>2.2203144511825879</v>
      </c>
      <c r="T43">
        <v>1.9527826553908481</v>
      </c>
      <c r="U43">
        <v>0.75353600348131522</v>
      </c>
      <c r="V43">
        <v>-0.59293676979766019</v>
      </c>
      <c r="W43">
        <v>1.0908331834159239</v>
      </c>
      <c r="X43">
        <v>0.95995221674948539</v>
      </c>
      <c r="Y43">
        <v>0.99951175759755984</v>
      </c>
      <c r="Z43">
        <v>0.492245220877777</v>
      </c>
      <c r="AB43" s="15" t="s">
        <v>56</v>
      </c>
      <c r="AC43" s="15" t="s">
        <v>57</v>
      </c>
      <c r="AD43" s="15" t="s">
        <v>58</v>
      </c>
    </row>
    <row r="44" spans="1:57" x14ac:dyDescent="0.35">
      <c r="A44" t="s">
        <v>8</v>
      </c>
      <c r="B44">
        <v>-0.4960159549206582</v>
      </c>
      <c r="C44">
        <v>0.43110716236045549</v>
      </c>
      <c r="D44">
        <v>2.4526482980816791E-2</v>
      </c>
      <c r="E44">
        <v>0.40477748094964072</v>
      </c>
      <c r="F44">
        <v>0.49499963135422309</v>
      </c>
      <c r="G44">
        <v>0.85579212000959226</v>
      </c>
      <c r="H44">
        <v>1.7071870021484039</v>
      </c>
      <c r="I44">
        <v>0.80482787756819441</v>
      </c>
      <c r="J44">
        <v>0.66107033623268185</v>
      </c>
      <c r="K44">
        <v>-2.0183634801495699E-2</v>
      </c>
      <c r="L44">
        <v>-0.44628346717111139</v>
      </c>
      <c r="M44">
        <v>-0.57549411857194799</v>
      </c>
      <c r="N44">
        <v>-1.050842905124616</v>
      </c>
      <c r="O44">
        <v>-0.96755337423858356</v>
      </c>
      <c r="P44">
        <v>-1.0146126473737129</v>
      </c>
      <c r="Q44">
        <v>-0.1132398898289869</v>
      </c>
      <c r="R44">
        <v>-0.23559879028365041</v>
      </c>
      <c r="S44">
        <v>9.0456386109099882E-2</v>
      </c>
      <c r="T44">
        <v>-0.54232293136719378</v>
      </c>
      <c r="U44">
        <v>-0.68396124727796337</v>
      </c>
      <c r="V44">
        <v>-0.69812196046537944</v>
      </c>
      <c r="W44">
        <v>-3.9833427111439383E-2</v>
      </c>
      <c r="X44">
        <v>0.39669237239810973</v>
      </c>
      <c r="Y44">
        <v>0.69322783880797911</v>
      </c>
      <c r="Z44">
        <v>0.4753427363750462</v>
      </c>
      <c r="AB44" s="15">
        <f>MIN(B44:Z44)</f>
        <v>-1.050842905124616</v>
      </c>
      <c r="AC44" s="15">
        <f>MAX(B44:Z44)</f>
        <v>1.7071870021484039</v>
      </c>
      <c r="AD44" s="15">
        <f>MEDIAN(B44:Z44)</f>
        <v>-2.0183634801495699E-2</v>
      </c>
    </row>
    <row r="45" spans="1:57" x14ac:dyDescent="0.35">
      <c r="A45" t="s">
        <v>9</v>
      </c>
      <c r="B45">
        <v>-1.875756833130463</v>
      </c>
      <c r="C45">
        <v>-2.2934700304173168</v>
      </c>
      <c r="D45">
        <v>-1.9059954848240211E-2</v>
      </c>
      <c r="E45">
        <v>-2.1020656889837759</v>
      </c>
      <c r="F45">
        <v>0.12072478597422311</v>
      </c>
      <c r="G45">
        <v>2.792683923271619</v>
      </c>
      <c r="H45">
        <v>1.806428919350769</v>
      </c>
      <c r="I45">
        <v>1.6186275026710031</v>
      </c>
      <c r="J45">
        <v>-0.68305506480578748</v>
      </c>
      <c r="K45">
        <v>0.54282025768139242</v>
      </c>
      <c r="L45">
        <v>-0.67404899043559718</v>
      </c>
      <c r="M45">
        <v>-2.4034512234684819</v>
      </c>
      <c r="N45">
        <v>-2.7379574831956059</v>
      </c>
      <c r="O45">
        <v>-1.449955345839627</v>
      </c>
      <c r="P45">
        <v>-3.7779014250884928</v>
      </c>
      <c r="Q45">
        <v>-4.9485302992827442</v>
      </c>
      <c r="R45">
        <v>-4.1535780349148634</v>
      </c>
      <c r="S45">
        <v>-1.014621285372507</v>
      </c>
      <c r="T45">
        <v>-1.618076104265288</v>
      </c>
      <c r="U45">
        <v>-1.5602769978469391</v>
      </c>
      <c r="V45">
        <v>-0.78475247095689105</v>
      </c>
      <c r="W45">
        <v>-0.38922450159549088</v>
      </c>
      <c r="X45">
        <v>-0.57494631824503251</v>
      </c>
      <c r="Y45">
        <v>-0.30261364429095577</v>
      </c>
      <c r="Z45">
        <v>0.37818018805494452</v>
      </c>
    </row>
    <row r="46" spans="1:57" x14ac:dyDescent="0.35">
      <c r="A46" t="s">
        <v>10</v>
      </c>
      <c r="B46">
        <v>137.9808283632151</v>
      </c>
      <c r="C46">
        <v>141.06165813083999</v>
      </c>
      <c r="D46">
        <v>143.20302093973231</v>
      </c>
      <c r="E46">
        <v>139.32042240858121</v>
      </c>
      <c r="F46">
        <v>139.9214940412908</v>
      </c>
      <c r="G46">
        <v>143.00708053052449</v>
      </c>
      <c r="H46">
        <v>141.50302419629699</v>
      </c>
      <c r="I46">
        <v>138.7832100938474</v>
      </c>
      <c r="J46">
        <v>136.1562142674322</v>
      </c>
      <c r="K46">
        <v>137.27994422569981</v>
      </c>
      <c r="L46">
        <v>136.17171657894079</v>
      </c>
      <c r="M46">
        <v>136.74167015943419</v>
      </c>
      <c r="N46">
        <v>137.45436587812901</v>
      </c>
      <c r="O46">
        <v>139.58702664182459</v>
      </c>
      <c r="P46">
        <v>137.2093692401879</v>
      </c>
      <c r="Q46">
        <v>137.25167919569091</v>
      </c>
      <c r="R46">
        <v>136.5057195395955</v>
      </c>
      <c r="S46">
        <v>141.72826789076481</v>
      </c>
      <c r="T46">
        <v>139.67749845091481</v>
      </c>
      <c r="U46">
        <v>138.27711578358429</v>
      </c>
      <c r="V46">
        <v>137.63295643370199</v>
      </c>
      <c r="W46">
        <v>140.52849806355579</v>
      </c>
      <c r="X46">
        <v>140.6996070287025</v>
      </c>
      <c r="Y46">
        <v>142.33218021306581</v>
      </c>
      <c r="Z46">
        <v>143.38321183435701</v>
      </c>
    </row>
    <row r="47" spans="1:57" x14ac:dyDescent="0.35">
      <c r="A47" t="s">
        <v>11</v>
      </c>
      <c r="B47">
        <v>240696561.13</v>
      </c>
      <c r="C47">
        <v>210491293.02000001</v>
      </c>
      <c r="D47">
        <v>273255852.95999998</v>
      </c>
      <c r="E47">
        <v>231122364.84999999</v>
      </c>
      <c r="F47">
        <v>368400633.05000001</v>
      </c>
      <c r="G47">
        <v>373098863.98999989</v>
      </c>
      <c r="H47">
        <v>340292364.87</v>
      </c>
      <c r="I47">
        <v>287626500.82999998</v>
      </c>
      <c r="J47">
        <v>221684703.61000001</v>
      </c>
      <c r="K47">
        <v>355757867.75999999</v>
      </c>
      <c r="L47">
        <v>294296290.55000001</v>
      </c>
      <c r="M47">
        <v>222829131.05000001</v>
      </c>
      <c r="N47">
        <v>259878972.38999999</v>
      </c>
      <c r="O47">
        <v>257888976.81999999</v>
      </c>
      <c r="P47">
        <v>146172142.97</v>
      </c>
      <c r="Q47">
        <v>124941103.13</v>
      </c>
      <c r="R47">
        <v>390295588.06999987</v>
      </c>
      <c r="S47">
        <v>326192451.67000002</v>
      </c>
      <c r="T47">
        <v>301366599.82999998</v>
      </c>
      <c r="U47">
        <v>288436723.16000003</v>
      </c>
      <c r="V47">
        <v>442875681.85000002</v>
      </c>
      <c r="W47">
        <v>386473804.48000002</v>
      </c>
      <c r="X47">
        <v>379394062.72000003</v>
      </c>
      <c r="Y47">
        <v>341881846.13999999</v>
      </c>
      <c r="Z47">
        <v>493726991.83999997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47"/>
  <sheetViews>
    <sheetView zoomScale="190" zoomScaleNormal="190" workbookViewId="0">
      <pane xSplit="1" topLeftCell="B1" activePane="topRight" state="frozen"/>
      <selection pane="topRight" activeCell="B2" sqref="B2"/>
    </sheetView>
  </sheetViews>
  <sheetFormatPr defaultRowHeight="14.5" x14ac:dyDescent="0.35"/>
  <cols>
    <col min="18" max="19" width="12.54296875" bestFit="1" customWidth="1"/>
  </cols>
  <sheetData>
    <row r="1" spans="1:26" x14ac:dyDescent="0.35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1</v>
      </c>
      <c r="W1" t="s">
        <v>2</v>
      </c>
      <c r="X1" t="s">
        <v>3</v>
      </c>
      <c r="Y1" t="s">
        <v>4</v>
      </c>
      <c r="Z1" t="s">
        <v>5</v>
      </c>
    </row>
    <row r="2" spans="1:26" x14ac:dyDescent="0.35">
      <c r="A2" t="s">
        <v>6</v>
      </c>
      <c r="B2">
        <v>131.79763521841929</v>
      </c>
      <c r="C2">
        <v>133.71059314411579</v>
      </c>
      <c r="D2">
        <v>135.28557431522441</v>
      </c>
      <c r="E2">
        <v>135.79608377329961</v>
      </c>
      <c r="F2">
        <v>134.6017884183878</v>
      </c>
      <c r="G2">
        <v>135.14257269364111</v>
      </c>
      <c r="H2">
        <v>135.3626526730819</v>
      </c>
      <c r="I2">
        <v>134.41537942859119</v>
      </c>
      <c r="J2">
        <v>134.06859534274361</v>
      </c>
      <c r="K2">
        <v>135.89246002160661</v>
      </c>
      <c r="L2">
        <v>136.14780523104511</v>
      </c>
      <c r="M2">
        <v>136.75155352499851</v>
      </c>
      <c r="N2">
        <v>136.6630469306462</v>
      </c>
      <c r="O2">
        <v>136.90906982764889</v>
      </c>
      <c r="P2">
        <v>136.43849356660581</v>
      </c>
      <c r="Q2">
        <v>137.02135091300229</v>
      </c>
      <c r="R2">
        <v>136.3721183056237</v>
      </c>
      <c r="S2">
        <v>137.12198326493359</v>
      </c>
      <c r="T2">
        <v>138.09052083542991</v>
      </c>
      <c r="U2">
        <v>136.8013556580203</v>
      </c>
      <c r="V2">
        <v>136.83702494495719</v>
      </c>
      <c r="W2">
        <v>138.0338190269168</v>
      </c>
      <c r="X2">
        <v>138.55808093396249</v>
      </c>
      <c r="Y2">
        <v>139.3761012547063</v>
      </c>
      <c r="Z2">
        <v>140.3100942397576</v>
      </c>
    </row>
    <row r="3" spans="1:26" x14ac:dyDescent="0.35">
      <c r="A3" t="s">
        <v>7</v>
      </c>
      <c r="B3">
        <v>1.421133730394246</v>
      </c>
      <c r="C3">
        <v>1.3083796764262841</v>
      </c>
      <c r="D3">
        <v>0.5822186890319756</v>
      </c>
      <c r="E3">
        <v>1.082214688707694</v>
      </c>
      <c r="F3">
        <v>1.320617127890017</v>
      </c>
      <c r="G3">
        <v>1.3559534628639081</v>
      </c>
      <c r="H3">
        <v>1.3112363909802129</v>
      </c>
      <c r="I3">
        <v>1.2138028379415571</v>
      </c>
      <c r="J3">
        <v>1.633893860899889</v>
      </c>
      <c r="K3">
        <v>1.3966255769194329</v>
      </c>
      <c r="L3">
        <v>1.265842489798644</v>
      </c>
      <c r="M3">
        <v>1.240840486174505</v>
      </c>
      <c r="N3">
        <v>0.79430529121580662</v>
      </c>
      <c r="O3">
        <v>1.222834674629752</v>
      </c>
      <c r="P3">
        <v>0.69077474460524968</v>
      </c>
      <c r="Q3">
        <v>0.84296860923302575</v>
      </c>
      <c r="R3">
        <v>0.6633545028843173</v>
      </c>
      <c r="S3">
        <v>1.1838567803937681</v>
      </c>
      <c r="T3">
        <v>0.98295352530001878</v>
      </c>
      <c r="U3">
        <v>1.167663280487687</v>
      </c>
      <c r="V3">
        <v>1.4592694189433359</v>
      </c>
      <c r="W3">
        <v>2.466595671196302</v>
      </c>
      <c r="X3">
        <v>2.9266816981485699</v>
      </c>
      <c r="Y3">
        <v>2.919601597291575</v>
      </c>
      <c r="Z3">
        <v>3.1254126861597631</v>
      </c>
    </row>
    <row r="4" spans="1:26" x14ac:dyDescent="0.35">
      <c r="A4" t="s">
        <v>8</v>
      </c>
      <c r="B4">
        <v>4.303330562720252E-2</v>
      </c>
      <c r="C4">
        <v>-0.3845949000657321</v>
      </c>
      <c r="D4">
        <v>0.37358071094848688</v>
      </c>
      <c r="E4">
        <v>1.275308310880114</v>
      </c>
      <c r="F4">
        <v>0.98653365628622858</v>
      </c>
      <c r="G4">
        <v>0.84046231898258639</v>
      </c>
      <c r="H4">
        <v>0.64235995268797086</v>
      </c>
      <c r="I4">
        <v>-0.13060323086519171</v>
      </c>
      <c r="J4">
        <v>-0.90468111701204579</v>
      </c>
      <c r="K4">
        <v>-0.92586757292852029</v>
      </c>
      <c r="L4">
        <v>-1.408798120946297</v>
      </c>
      <c r="M4">
        <v>-0.75982070950175828</v>
      </c>
      <c r="N4">
        <v>-0.84526036767019974</v>
      </c>
      <c r="O4">
        <v>-0.65286151063235143</v>
      </c>
      <c r="P4">
        <v>-0.53126492689302784</v>
      </c>
      <c r="Q4">
        <v>-0.57776696944596939</v>
      </c>
      <c r="R4">
        <v>-0.18414983509003541</v>
      </c>
      <c r="S4">
        <v>0.3893869285158944</v>
      </c>
      <c r="T4">
        <v>1.3554868177104591</v>
      </c>
      <c r="U4">
        <v>1.9430607945780869</v>
      </c>
      <c r="V4">
        <v>1.460940282886422</v>
      </c>
      <c r="W4">
        <v>2.1619931812445028</v>
      </c>
      <c r="X4">
        <v>3.3310760683020479</v>
      </c>
      <c r="Y4">
        <v>3.4679348575739861</v>
      </c>
      <c r="Z4">
        <v>2.9642039165112881</v>
      </c>
    </row>
    <row r="5" spans="1:26" x14ac:dyDescent="0.35">
      <c r="A5" t="s">
        <v>9</v>
      </c>
      <c r="B5">
        <v>0.31524212720588651</v>
      </c>
      <c r="C5">
        <v>-8.2505217164965505E-2</v>
      </c>
      <c r="D5">
        <v>2.6741561490750501</v>
      </c>
      <c r="E5">
        <v>2.8213129807267432</v>
      </c>
      <c r="F5">
        <v>2.4860691974896092</v>
      </c>
      <c r="G5">
        <v>4.7450668055220504</v>
      </c>
      <c r="H5">
        <v>3.763029438910618</v>
      </c>
      <c r="I5">
        <v>3.8092561364247008</v>
      </c>
      <c r="J5">
        <v>3.3923926107412838</v>
      </c>
      <c r="K5">
        <v>2.1960055910404219</v>
      </c>
      <c r="L5">
        <v>1.813766331452717</v>
      </c>
      <c r="M5">
        <v>1.171882167126244</v>
      </c>
      <c r="N5">
        <v>1.0276651406364541</v>
      </c>
      <c r="O5">
        <v>2.1839191641455269</v>
      </c>
      <c r="P5">
        <v>2.6721639476900898</v>
      </c>
      <c r="Q5">
        <v>2.2537473962015149</v>
      </c>
      <c r="R5">
        <v>1.9577511170152091</v>
      </c>
      <c r="S5">
        <v>2.5720764176446438</v>
      </c>
      <c r="T5">
        <v>3.6873455410650839</v>
      </c>
      <c r="U5">
        <v>3.3607183532837208</v>
      </c>
      <c r="V5">
        <v>3.496337534580904</v>
      </c>
      <c r="W5">
        <v>4.0206653595839823</v>
      </c>
      <c r="X5">
        <v>3.9608877587489131</v>
      </c>
      <c r="Y5">
        <v>4.2454397583469952</v>
      </c>
      <c r="Z5">
        <v>4.2652005304515068</v>
      </c>
    </row>
    <row r="6" spans="1:26" x14ac:dyDescent="0.35">
      <c r="A6" t="s">
        <v>10</v>
      </c>
      <c r="B6">
        <v>133.5770443816466</v>
      </c>
      <c r="C6">
        <v>134.5518727033114</v>
      </c>
      <c r="D6">
        <v>138.9155298642799</v>
      </c>
      <c r="E6">
        <v>140.97491975361419</v>
      </c>
      <c r="F6">
        <v>139.3950084000536</v>
      </c>
      <c r="G6">
        <v>142.0840552810096</v>
      </c>
      <c r="H6">
        <v>141.0792784556607</v>
      </c>
      <c r="I6">
        <v>139.3078351720923</v>
      </c>
      <c r="J6">
        <v>138.1902006973728</v>
      </c>
      <c r="K6">
        <v>138.55922361663801</v>
      </c>
      <c r="L6">
        <v>137.81861593135011</v>
      </c>
      <c r="M6">
        <v>138.40445546879749</v>
      </c>
      <c r="N6">
        <v>137.6397569948283</v>
      </c>
      <c r="O6">
        <v>139.6629621557918</v>
      </c>
      <c r="P6">
        <v>139.2701673320081</v>
      </c>
      <c r="Q6">
        <v>139.54029994899091</v>
      </c>
      <c r="R6">
        <v>138.8090740904332</v>
      </c>
      <c r="S6">
        <v>141.2673033914879</v>
      </c>
      <c r="T6">
        <v>144.11630671950539</v>
      </c>
      <c r="U6">
        <v>143.27279808636979</v>
      </c>
      <c r="V6">
        <v>143.2535721813679</v>
      </c>
      <c r="W6">
        <v>146.68307323894149</v>
      </c>
      <c r="X6">
        <v>148.77672645916209</v>
      </c>
      <c r="Y6">
        <v>150.00907746791879</v>
      </c>
      <c r="Z6">
        <v>150.6649113728802</v>
      </c>
    </row>
    <row r="7" spans="1:26" x14ac:dyDescent="0.35">
      <c r="A7" t="s">
        <v>11</v>
      </c>
      <c r="B7">
        <v>28856564.100000001</v>
      </c>
      <c r="C7">
        <v>27926177.469999999</v>
      </c>
      <c r="D7">
        <v>26788093.129999999</v>
      </c>
      <c r="E7">
        <v>22116684.23</v>
      </c>
      <c r="F7">
        <v>32796772.530000001</v>
      </c>
      <c r="G7">
        <v>39581722.560000002</v>
      </c>
      <c r="H7">
        <v>26574147.170000002</v>
      </c>
      <c r="I7">
        <v>23248977.84</v>
      </c>
      <c r="J7">
        <v>23682831.52</v>
      </c>
      <c r="K7">
        <v>23783043.949999999</v>
      </c>
      <c r="L7">
        <v>23891873.870000001</v>
      </c>
      <c r="M7">
        <v>16200639.27</v>
      </c>
      <c r="N7">
        <v>16458455.859999999</v>
      </c>
      <c r="O7">
        <v>16463632.33</v>
      </c>
      <c r="P7">
        <v>23297328.539999999</v>
      </c>
      <c r="Q7">
        <v>26860237.309999999</v>
      </c>
      <c r="R7">
        <v>45251908.450000003</v>
      </c>
      <c r="S7">
        <v>43725481.420000002</v>
      </c>
      <c r="T7">
        <v>30678382.129999999</v>
      </c>
      <c r="U7">
        <v>31952020.940000001</v>
      </c>
      <c r="V7">
        <v>56035846.899999991</v>
      </c>
      <c r="W7">
        <v>58112631.189999998</v>
      </c>
      <c r="X7">
        <v>51413758.530000001</v>
      </c>
      <c r="Y7">
        <v>39424319.840000004</v>
      </c>
      <c r="Z7">
        <v>44798321.530000001</v>
      </c>
    </row>
    <row r="9" spans="1:26" x14ac:dyDescent="0.35">
      <c r="A9" t="s">
        <v>12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  <c r="V9" t="s">
        <v>1</v>
      </c>
      <c r="W9" t="s">
        <v>2</v>
      </c>
      <c r="X9" t="s">
        <v>3</v>
      </c>
      <c r="Y9" t="s">
        <v>4</v>
      </c>
      <c r="Z9" t="s">
        <v>5</v>
      </c>
    </row>
    <row r="10" spans="1:26" x14ac:dyDescent="0.35">
      <c r="A10" t="s">
        <v>6</v>
      </c>
      <c r="B10">
        <v>131.13303029419251</v>
      </c>
      <c r="C10">
        <v>132.90504284604401</v>
      </c>
      <c r="D10">
        <v>133.9304786690208</v>
      </c>
      <c r="E10">
        <v>132.8038095162421</v>
      </c>
      <c r="F10">
        <v>135.4481125583965</v>
      </c>
      <c r="G10">
        <v>135.1873517847032</v>
      </c>
      <c r="H10">
        <v>134.94601738902409</v>
      </c>
      <c r="I10">
        <v>132.89927866287411</v>
      </c>
      <c r="J10">
        <v>134.06325322076779</v>
      </c>
      <c r="K10">
        <v>136.81720801029189</v>
      </c>
      <c r="L10">
        <v>138.00243272817349</v>
      </c>
      <c r="M10">
        <v>139.7779316361283</v>
      </c>
      <c r="N10">
        <v>141.27719036447311</v>
      </c>
      <c r="O10">
        <v>140.587337420209</v>
      </c>
      <c r="P10">
        <v>140.7210258075157</v>
      </c>
      <c r="Q10">
        <v>139.02514228651111</v>
      </c>
      <c r="R10">
        <v>138.13163482086091</v>
      </c>
      <c r="S10">
        <v>140.1735622972094</v>
      </c>
      <c r="T10">
        <v>141.55375224123719</v>
      </c>
      <c r="U10">
        <v>139.97097369283409</v>
      </c>
      <c r="V10">
        <v>139.83315040104489</v>
      </c>
      <c r="W10">
        <v>140.6343356036856</v>
      </c>
      <c r="X10">
        <v>140.9638839291236</v>
      </c>
      <c r="Y10">
        <v>141.85748818430829</v>
      </c>
      <c r="Z10">
        <v>142.77289935629051</v>
      </c>
    </row>
    <row r="11" spans="1:26" x14ac:dyDescent="0.35">
      <c r="A11" t="s">
        <v>7</v>
      </c>
      <c r="B11">
        <v>1.341277180573911</v>
      </c>
      <c r="C11">
        <v>1.5067007457573709</v>
      </c>
      <c r="D11">
        <v>0.54945927088772351</v>
      </c>
      <c r="E11">
        <v>2.0008202677672671E-3</v>
      </c>
      <c r="F11">
        <v>0.52413775543899987</v>
      </c>
      <c r="G11">
        <v>0.89828530507452342</v>
      </c>
      <c r="H11">
        <v>0.69221703585537853</v>
      </c>
      <c r="I11">
        <v>-0.39544920563756142</v>
      </c>
      <c r="J11">
        <v>-0.23544013982765929</v>
      </c>
      <c r="K11">
        <v>0.72599632061417196</v>
      </c>
      <c r="L11">
        <v>0.5826234577808691</v>
      </c>
      <c r="M11">
        <v>0.31311591216902462</v>
      </c>
      <c r="N11">
        <v>0.93737041629032092</v>
      </c>
      <c r="O11">
        <v>1.5753236372358119</v>
      </c>
      <c r="P11">
        <v>1.6261413310545829</v>
      </c>
      <c r="Q11">
        <v>0.89035207192458188</v>
      </c>
      <c r="R11">
        <v>-0.1981455972468211</v>
      </c>
      <c r="S11">
        <v>0.2971237362831971</v>
      </c>
      <c r="T11">
        <v>0.75420745076925755</v>
      </c>
      <c r="U11">
        <v>0.52769507344513045</v>
      </c>
      <c r="V11">
        <v>0.66789230584652159</v>
      </c>
      <c r="W11">
        <v>1.2770658151327721</v>
      </c>
      <c r="X11">
        <v>1.7966787926918639</v>
      </c>
      <c r="Y11">
        <v>2.7809622003815089</v>
      </c>
      <c r="Z11">
        <v>2.870450773579392</v>
      </c>
    </row>
    <row r="12" spans="1:26" x14ac:dyDescent="0.35">
      <c r="A12" t="s">
        <v>8</v>
      </c>
      <c r="B12">
        <v>-0.3803432524996373</v>
      </c>
      <c r="C12">
        <v>-0.13468952478997129</v>
      </c>
      <c r="D12">
        <v>-0.1127742011987555</v>
      </c>
      <c r="E12">
        <v>0.80394268856022499</v>
      </c>
      <c r="F12">
        <v>0.613858895567996</v>
      </c>
      <c r="G12">
        <v>0.30096432371068838</v>
      </c>
      <c r="H12">
        <v>5.3666595860003934E-3</v>
      </c>
      <c r="I12">
        <v>-0.79299957215503469</v>
      </c>
      <c r="J12">
        <v>-1.4658563467137029</v>
      </c>
      <c r="K12">
        <v>-1.424098001661799</v>
      </c>
      <c r="L12">
        <v>-1.4695331622187671</v>
      </c>
      <c r="M12">
        <v>-1.2842031073866069</v>
      </c>
      <c r="N12">
        <v>-1.649418746247215</v>
      </c>
      <c r="O12">
        <v>-1.1144507105367649</v>
      </c>
      <c r="P12">
        <v>-1.1727670673875119</v>
      </c>
      <c r="Q12">
        <v>-1.2882380961928339</v>
      </c>
      <c r="R12">
        <v>-1.4217419405102729</v>
      </c>
      <c r="S12">
        <v>-0.88174349309911804</v>
      </c>
      <c r="T12">
        <v>-0.34232580233803922</v>
      </c>
      <c r="U12">
        <v>1.214543810683461</v>
      </c>
      <c r="V12">
        <v>1.364455302216051</v>
      </c>
      <c r="W12">
        <v>1.6861678904868389</v>
      </c>
      <c r="X12">
        <v>2.2696451478678328</v>
      </c>
      <c r="Y12">
        <v>3.6760504039490778</v>
      </c>
      <c r="Z12">
        <v>2.583207765217816</v>
      </c>
    </row>
    <row r="13" spans="1:26" x14ac:dyDescent="0.35">
      <c r="A13" t="s">
        <v>9</v>
      </c>
      <c r="B13">
        <v>-1.057976923490367E-2</v>
      </c>
      <c r="C13">
        <v>-2.8861950764740411E-2</v>
      </c>
      <c r="D13">
        <v>0.35358992127515138</v>
      </c>
      <c r="E13">
        <v>-0.77273430424220813</v>
      </c>
      <c r="F13">
        <v>1.9964615281571749</v>
      </c>
      <c r="G13">
        <v>4.8003816902389271</v>
      </c>
      <c r="H13">
        <v>3.3839012784517779</v>
      </c>
      <c r="I13">
        <v>2.5731516489870141</v>
      </c>
      <c r="J13">
        <v>2.862641075655818</v>
      </c>
      <c r="K13">
        <v>2.79416809801516</v>
      </c>
      <c r="L13">
        <v>2.5920530429631881</v>
      </c>
      <c r="M13">
        <v>2.5681240152133151</v>
      </c>
      <c r="N13">
        <v>2.0132311198160342</v>
      </c>
      <c r="O13">
        <v>4.3884575463444051</v>
      </c>
      <c r="P13">
        <v>4.9630348186193567</v>
      </c>
      <c r="Q13">
        <v>5.5342230942722006</v>
      </c>
      <c r="R13">
        <v>5.2135635609783524</v>
      </c>
      <c r="S13">
        <v>5.3201647451560357</v>
      </c>
      <c r="T13">
        <v>5.1070821016163066</v>
      </c>
      <c r="U13">
        <v>5.2055601422821436</v>
      </c>
      <c r="V13">
        <v>5.1555400676552221</v>
      </c>
      <c r="W13">
        <v>6.0887642210349036</v>
      </c>
      <c r="X13">
        <v>6.1427776384707027</v>
      </c>
      <c r="Y13">
        <v>6.2086354644601389</v>
      </c>
      <c r="Z13">
        <v>5.1988424430400446</v>
      </c>
    </row>
    <row r="14" spans="1:26" x14ac:dyDescent="0.35">
      <c r="A14" t="s">
        <v>10</v>
      </c>
      <c r="B14">
        <v>132.0833844530319</v>
      </c>
      <c r="C14">
        <v>134.24819211624671</v>
      </c>
      <c r="D14">
        <v>134.72075365998501</v>
      </c>
      <c r="E14">
        <v>132.83701872082781</v>
      </c>
      <c r="F14">
        <v>138.58257073756059</v>
      </c>
      <c r="G14">
        <v>141.1869831037273</v>
      </c>
      <c r="H14">
        <v>139.02750236291729</v>
      </c>
      <c r="I14">
        <v>134.28398153406849</v>
      </c>
      <c r="J14">
        <v>135.2245978098822</v>
      </c>
      <c r="K14">
        <v>138.91327442725949</v>
      </c>
      <c r="L14">
        <v>139.70757606669881</v>
      </c>
      <c r="M14">
        <v>141.37496845612409</v>
      </c>
      <c r="N14">
        <v>142.57837315433221</v>
      </c>
      <c r="O14">
        <v>145.43666789325249</v>
      </c>
      <c r="P14">
        <v>146.13743488980211</v>
      </c>
      <c r="Q14">
        <v>144.16147935651509</v>
      </c>
      <c r="R14">
        <v>141.7253108440822</v>
      </c>
      <c r="S14">
        <v>144.90910728554951</v>
      </c>
      <c r="T14">
        <v>147.07271599128481</v>
      </c>
      <c r="U14">
        <v>146.9187727192448</v>
      </c>
      <c r="V14">
        <v>147.02103807676269</v>
      </c>
      <c r="W14">
        <v>149.68633353034011</v>
      </c>
      <c r="X14">
        <v>151.172985508154</v>
      </c>
      <c r="Y14">
        <v>154.52313625309901</v>
      </c>
      <c r="Z14">
        <v>153.4254003381277</v>
      </c>
    </row>
    <row r="15" spans="1:26" x14ac:dyDescent="0.35">
      <c r="A15" t="s">
        <v>11</v>
      </c>
      <c r="B15">
        <v>23359432.25</v>
      </c>
      <c r="C15">
        <v>31709868.359999999</v>
      </c>
      <c r="D15">
        <v>39967025.700000003</v>
      </c>
      <c r="E15">
        <v>35481390</v>
      </c>
      <c r="F15">
        <v>48167716.590000004</v>
      </c>
      <c r="G15">
        <v>75307439.879999995</v>
      </c>
      <c r="H15">
        <v>65397089.159999996</v>
      </c>
      <c r="I15">
        <v>63739835.979999997</v>
      </c>
      <c r="J15">
        <v>61976868.359999999</v>
      </c>
      <c r="K15">
        <v>63221930.130000003</v>
      </c>
      <c r="L15">
        <v>57848125.320000008</v>
      </c>
      <c r="M15">
        <v>32090563.25</v>
      </c>
      <c r="N15">
        <v>19507462.98</v>
      </c>
      <c r="O15">
        <v>25397826.010000002</v>
      </c>
      <c r="P15">
        <v>43334858.619999997</v>
      </c>
      <c r="Q15">
        <v>74840071.040000007</v>
      </c>
      <c r="R15">
        <v>131354464.08</v>
      </c>
      <c r="S15">
        <v>146792748.66</v>
      </c>
      <c r="T15">
        <v>108730767.7</v>
      </c>
      <c r="U15">
        <v>119205712.22</v>
      </c>
      <c r="V15">
        <v>174847496.16</v>
      </c>
      <c r="W15">
        <v>177673933.47999999</v>
      </c>
      <c r="X15">
        <v>151100903.00999999</v>
      </c>
      <c r="Y15">
        <v>117959441.92</v>
      </c>
      <c r="Z15">
        <v>135732762.53999999</v>
      </c>
    </row>
    <row r="17" spans="1:26" x14ac:dyDescent="0.35">
      <c r="A17" t="s">
        <v>13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48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  <c r="V17" t="s">
        <v>1</v>
      </c>
      <c r="W17" t="s">
        <v>2</v>
      </c>
      <c r="X17" t="s">
        <v>3</v>
      </c>
      <c r="Y17" t="s">
        <v>4</v>
      </c>
      <c r="Z17" t="s">
        <v>5</v>
      </c>
    </row>
    <row r="18" spans="1:26" x14ac:dyDescent="0.35">
      <c r="A18" t="s">
        <v>6</v>
      </c>
      <c r="B18">
        <v>130.03039565128549</v>
      </c>
      <c r="C18">
        <v>133.13561972496839</v>
      </c>
      <c r="D18">
        <v>135.524196498951</v>
      </c>
      <c r="E18">
        <v>135.28732548834151</v>
      </c>
      <c r="F18">
        <v>135.28771439688319</v>
      </c>
      <c r="G18">
        <v>135.4990065961002</v>
      </c>
      <c r="H18">
        <v>135.05653202064309</v>
      </c>
      <c r="I18">
        <v>133.6533590478692</v>
      </c>
      <c r="J18">
        <v>134.54999962165849</v>
      </c>
      <c r="K18">
        <v>136.72731168449579</v>
      </c>
      <c r="L18">
        <v>137.2711437909899</v>
      </c>
      <c r="M18">
        <v>138.3019509586567</v>
      </c>
      <c r="N18">
        <v>139.23034679005511</v>
      </c>
      <c r="O18">
        <v>137.7158392394139</v>
      </c>
      <c r="P18">
        <v>138.53983622019501</v>
      </c>
      <c r="Q18">
        <v>137.48747271961969</v>
      </c>
      <c r="R18">
        <v>136.7602328443264</v>
      </c>
      <c r="S18">
        <v>137.47802427838079</v>
      </c>
      <c r="T18">
        <v>138.54353569478641</v>
      </c>
      <c r="U18">
        <v>137.2090482829978</v>
      </c>
      <c r="V18">
        <v>136.66839841462689</v>
      </c>
      <c r="W18">
        <v>137.94719223853701</v>
      </c>
      <c r="X18">
        <v>138.66054717924419</v>
      </c>
      <c r="Y18">
        <v>140.0375169754368</v>
      </c>
      <c r="Z18">
        <v>141.0248248674246</v>
      </c>
    </row>
    <row r="19" spans="1:26" x14ac:dyDescent="0.35">
      <c r="A19" t="s">
        <v>7</v>
      </c>
      <c r="B19">
        <v>0.64833122625768169</v>
      </c>
      <c r="C19">
        <v>0.5612475364693239</v>
      </c>
      <c r="D19">
        <v>0.90104971590236005</v>
      </c>
      <c r="E19">
        <v>0.84213718033987561</v>
      </c>
      <c r="F19">
        <v>1.657093519865839</v>
      </c>
      <c r="G19">
        <v>1.815851125188999</v>
      </c>
      <c r="H19">
        <v>1.5016645803773661</v>
      </c>
      <c r="I19">
        <v>1.1834960513425301</v>
      </c>
      <c r="J19">
        <v>0.56607343884937222</v>
      </c>
      <c r="K19">
        <v>0.62303432104519629</v>
      </c>
      <c r="L19">
        <v>-1.4227398664814929E-2</v>
      </c>
      <c r="M19">
        <v>0.60880416093954182</v>
      </c>
      <c r="N19">
        <v>0.26065131663582969</v>
      </c>
      <c r="O19">
        <v>0.32060183290880673</v>
      </c>
      <c r="P19">
        <v>1.4631719761750901</v>
      </c>
      <c r="Q19">
        <v>1.251893936347074</v>
      </c>
      <c r="R19">
        <v>1.0074770780242941</v>
      </c>
      <c r="S19">
        <v>2.0228372967149819</v>
      </c>
      <c r="T19">
        <v>2.282572102390418</v>
      </c>
      <c r="U19">
        <v>2.075500355667828</v>
      </c>
      <c r="V19">
        <v>1.8366264547062201</v>
      </c>
      <c r="W19">
        <v>2.034587661925201</v>
      </c>
      <c r="X19">
        <v>2.2451500749805011</v>
      </c>
      <c r="Y19">
        <v>2.7865446654755028</v>
      </c>
      <c r="Z19">
        <v>3.1317524817767719</v>
      </c>
    </row>
    <row r="20" spans="1:26" x14ac:dyDescent="0.35">
      <c r="A20" t="s">
        <v>8</v>
      </c>
      <c r="B20">
        <v>-0.69777430076354685</v>
      </c>
      <c r="C20">
        <v>-0.66064178245918759</v>
      </c>
      <c r="D20">
        <v>-0.29121519580412891</v>
      </c>
      <c r="E20">
        <v>0.19176239892742669</v>
      </c>
      <c r="F20">
        <v>-5.4680327449725487E-2</v>
      </c>
      <c r="G20">
        <v>0.1098836240670882</v>
      </c>
      <c r="H20">
        <v>-6.9239853309938731E-2</v>
      </c>
      <c r="I20">
        <v>-0.1813287351135863</v>
      </c>
      <c r="J20">
        <v>-0.53658395994731978</v>
      </c>
      <c r="K20">
        <v>-0.51944562236935066</v>
      </c>
      <c r="L20">
        <v>-0.72305819774848379</v>
      </c>
      <c r="M20">
        <v>-0.46721172907635289</v>
      </c>
      <c r="N20">
        <v>-0.38699895194756723</v>
      </c>
      <c r="O20">
        <v>-0.47675867605378941</v>
      </c>
      <c r="P20">
        <v>-0.4507306483943278</v>
      </c>
      <c r="Q20">
        <v>7.733634885572456E-2</v>
      </c>
      <c r="R20">
        <v>-0.29536951853895849</v>
      </c>
      <c r="S20">
        <v>0.93000573246577334</v>
      </c>
      <c r="T20">
        <v>1.925433962184379</v>
      </c>
      <c r="U20">
        <v>3.0454100798036121</v>
      </c>
      <c r="V20">
        <v>2.738092458350307</v>
      </c>
      <c r="W20">
        <v>3.4661866899117921</v>
      </c>
      <c r="X20">
        <v>3.4926550487816042</v>
      </c>
      <c r="Y20">
        <v>4.7019485297825012</v>
      </c>
      <c r="Z20">
        <v>3.9022992180146918</v>
      </c>
    </row>
    <row r="21" spans="1:26" x14ac:dyDescent="0.35">
      <c r="A21" t="s">
        <v>9</v>
      </c>
      <c r="B21">
        <v>-1.3080587494901581</v>
      </c>
      <c r="C21">
        <v>-1.3557058574842049</v>
      </c>
      <c r="D21">
        <v>1.1085840408732639</v>
      </c>
      <c r="E21">
        <v>1.275805274144582</v>
      </c>
      <c r="F21">
        <v>2.399564018792451</v>
      </c>
      <c r="G21">
        <v>3.9928542038477381</v>
      </c>
      <c r="H21">
        <v>3.6908137654586528</v>
      </c>
      <c r="I21">
        <v>3.3788272706941149</v>
      </c>
      <c r="J21">
        <v>3.9757427288204799</v>
      </c>
      <c r="K21">
        <v>4.7025897295652879</v>
      </c>
      <c r="L21">
        <v>4.4600932063431769</v>
      </c>
      <c r="M21">
        <v>5.2540634299369753</v>
      </c>
      <c r="N21">
        <v>5.2899300523753681</v>
      </c>
      <c r="O21">
        <v>4.7031390275749674</v>
      </c>
      <c r="P21">
        <v>6.0851752371432646</v>
      </c>
      <c r="Q21">
        <v>6.0353634555384046</v>
      </c>
      <c r="R21">
        <v>4.5544749755583638</v>
      </c>
      <c r="S21">
        <v>5.1059382802015616</v>
      </c>
      <c r="T21">
        <v>5.6495859267384283</v>
      </c>
      <c r="U21">
        <v>5.5154234005437131</v>
      </c>
      <c r="V21">
        <v>5.1873163889758516</v>
      </c>
      <c r="W21">
        <v>6.1149230392584686</v>
      </c>
      <c r="X21">
        <v>6.0111022033771384</v>
      </c>
      <c r="Y21">
        <v>6.235807832707005</v>
      </c>
      <c r="Z21">
        <v>5.2705178401890356</v>
      </c>
    </row>
    <row r="22" spans="1:26" x14ac:dyDescent="0.35">
      <c r="A22" t="s">
        <v>10</v>
      </c>
      <c r="B22">
        <v>128.6728938272895</v>
      </c>
      <c r="C22">
        <v>131.6805196214944</v>
      </c>
      <c r="D22">
        <v>137.24261505992251</v>
      </c>
      <c r="E22">
        <v>137.5970303417534</v>
      </c>
      <c r="F22">
        <v>139.28969160809169</v>
      </c>
      <c r="G22">
        <v>141.41759554920409</v>
      </c>
      <c r="H22">
        <v>140.1797705131691</v>
      </c>
      <c r="I22">
        <v>138.0343536347923</v>
      </c>
      <c r="J22">
        <v>138.555231829381</v>
      </c>
      <c r="K22">
        <v>141.53349011273701</v>
      </c>
      <c r="L22">
        <v>140.9939514009198</v>
      </c>
      <c r="M22">
        <v>143.69760682045691</v>
      </c>
      <c r="N22">
        <v>144.3939292071187</v>
      </c>
      <c r="O22">
        <v>142.26282142384389</v>
      </c>
      <c r="P22">
        <v>145.637452785119</v>
      </c>
      <c r="Q22">
        <v>144.8520664603609</v>
      </c>
      <c r="R22">
        <v>142.02681537937011</v>
      </c>
      <c r="S22">
        <v>145.53680558776321</v>
      </c>
      <c r="T22">
        <v>148.40112768609961</v>
      </c>
      <c r="U22">
        <v>147.84538211901301</v>
      </c>
      <c r="V22">
        <v>146.43043371665931</v>
      </c>
      <c r="W22">
        <v>149.56288962963251</v>
      </c>
      <c r="X22">
        <v>150.4094545063835</v>
      </c>
      <c r="Y22">
        <v>153.7618180034018</v>
      </c>
      <c r="Z22">
        <v>153.32939440740509</v>
      </c>
    </row>
    <row r="23" spans="1:26" x14ac:dyDescent="0.35">
      <c r="A23" t="s">
        <v>11</v>
      </c>
      <c r="B23">
        <v>64394146.150000013</v>
      </c>
      <c r="C23">
        <v>59571429.259999998</v>
      </c>
      <c r="D23">
        <v>59026877.619999997</v>
      </c>
      <c r="E23">
        <v>44021606.140000001</v>
      </c>
      <c r="F23">
        <v>63163795.700000003</v>
      </c>
      <c r="G23">
        <v>82590816.25999999</v>
      </c>
      <c r="H23">
        <v>66553012.479999997</v>
      </c>
      <c r="I23">
        <v>59034423.950000003</v>
      </c>
      <c r="J23">
        <v>54953361.270000003</v>
      </c>
      <c r="K23">
        <v>54791981.729999997</v>
      </c>
      <c r="L23">
        <v>38420665.340000004</v>
      </c>
      <c r="M23">
        <v>21163298.399999999</v>
      </c>
      <c r="N23">
        <v>12649519.25</v>
      </c>
      <c r="O23">
        <v>16130465.060000001</v>
      </c>
      <c r="P23">
        <v>28676113.109999999</v>
      </c>
      <c r="Q23">
        <v>44133079.349999987</v>
      </c>
      <c r="R23">
        <v>68364609.75</v>
      </c>
      <c r="S23">
        <v>94709262.439999998</v>
      </c>
      <c r="T23">
        <v>69115984.890000001</v>
      </c>
      <c r="U23">
        <v>70478459.340000004</v>
      </c>
      <c r="V23">
        <v>109653804.81</v>
      </c>
      <c r="W23">
        <v>117949907.67</v>
      </c>
      <c r="X23">
        <v>91351164.769999996</v>
      </c>
      <c r="Y23">
        <v>72088280.260000005</v>
      </c>
      <c r="Z23">
        <v>89192235.909999996</v>
      </c>
    </row>
    <row r="25" spans="1:26" x14ac:dyDescent="0.35">
      <c r="A25" t="s">
        <v>14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66</v>
      </c>
      <c r="J25" t="s">
        <v>67</v>
      </c>
      <c r="K25" t="s">
        <v>68</v>
      </c>
      <c r="L25" t="s">
        <v>69</v>
      </c>
      <c r="M25" t="s">
        <v>70</v>
      </c>
      <c r="N25" t="s">
        <v>48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55</v>
      </c>
      <c r="V25" t="s">
        <v>1</v>
      </c>
      <c r="W25" t="s">
        <v>2</v>
      </c>
      <c r="X25" t="s">
        <v>3</v>
      </c>
      <c r="Y25" t="s">
        <v>4</v>
      </c>
      <c r="Z25" t="s">
        <v>5</v>
      </c>
    </row>
    <row r="26" spans="1:26" x14ac:dyDescent="0.35">
      <c r="A26" t="s">
        <v>6</v>
      </c>
      <c r="B26">
        <v>131.95038796688411</v>
      </c>
      <c r="C26">
        <v>135.66547179577421</v>
      </c>
      <c r="D26">
        <v>137.78085993452939</v>
      </c>
      <c r="E26">
        <v>140.37624797824731</v>
      </c>
      <c r="F26">
        <v>136.7568472127295</v>
      </c>
      <c r="G26">
        <v>136.18261162485399</v>
      </c>
      <c r="H26">
        <v>135.63104898296709</v>
      </c>
      <c r="I26">
        <v>134.6293495160532</v>
      </c>
      <c r="J26">
        <v>134.17392455659669</v>
      </c>
      <c r="K26">
        <v>135.83717961712429</v>
      </c>
      <c r="L26">
        <v>136.96375130369299</v>
      </c>
      <c r="M26">
        <v>138.77227982137109</v>
      </c>
      <c r="N26">
        <v>141.3231605158098</v>
      </c>
      <c r="O26">
        <v>138.8631915017576</v>
      </c>
      <c r="P26">
        <v>137.9566586474825</v>
      </c>
      <c r="Q26">
        <v>139.56619914782399</v>
      </c>
      <c r="R26">
        <v>138.52439991139249</v>
      </c>
      <c r="S26">
        <v>138.4097814248108</v>
      </c>
      <c r="T26">
        <v>140.3633073736207</v>
      </c>
      <c r="U26">
        <v>138.38768592238731</v>
      </c>
      <c r="V26">
        <v>136.70742932031769</v>
      </c>
      <c r="W26">
        <v>138.34779673954839</v>
      </c>
      <c r="X26">
        <v>138.10209621539431</v>
      </c>
      <c r="Y26">
        <v>138.9455515120215</v>
      </c>
      <c r="Z26">
        <v>141.031173313187</v>
      </c>
    </row>
    <row r="27" spans="1:26" x14ac:dyDescent="0.35">
      <c r="A27" t="s">
        <v>7</v>
      </c>
      <c r="B27">
        <v>-1.737618293874988</v>
      </c>
      <c r="C27">
        <v>-1.362001191333434</v>
      </c>
      <c r="D27">
        <v>-0.82270063325532305</v>
      </c>
      <c r="E27">
        <v>0.67937377043395486</v>
      </c>
      <c r="F27">
        <v>1.82079744362008</v>
      </c>
      <c r="G27">
        <v>-0.22282408009877491</v>
      </c>
      <c r="H27">
        <v>-0.34270651080376519</v>
      </c>
      <c r="I27">
        <v>0.75425032903180522</v>
      </c>
      <c r="J27">
        <v>0.49117725062757239</v>
      </c>
      <c r="K27">
        <v>0.57506675081188519</v>
      </c>
      <c r="L27">
        <v>0.94006829221265775</v>
      </c>
      <c r="M27">
        <v>0.98065554772853147</v>
      </c>
      <c r="N27">
        <v>1.163772265119974</v>
      </c>
      <c r="O27">
        <v>0.76651233466805024</v>
      </c>
      <c r="P27">
        <v>1.051226100014617</v>
      </c>
      <c r="Q27">
        <v>1.384639488365849</v>
      </c>
      <c r="R27">
        <v>1.560898860179776</v>
      </c>
      <c r="S27">
        <v>2.4436111035358858</v>
      </c>
      <c r="T27">
        <v>3.2868685446386512</v>
      </c>
      <c r="U27">
        <v>2.9736339398277489</v>
      </c>
      <c r="V27">
        <v>2.4078901425605181</v>
      </c>
      <c r="W27">
        <v>2.4856574923790329</v>
      </c>
      <c r="X27">
        <v>3.009578920406597</v>
      </c>
      <c r="Y27">
        <v>1.853017517857694</v>
      </c>
      <c r="Z27">
        <v>2.359231000063573</v>
      </c>
    </row>
    <row r="28" spans="1:26" x14ac:dyDescent="0.35">
      <c r="A28" t="s">
        <v>8</v>
      </c>
      <c r="B28">
        <v>-0.17414434450997129</v>
      </c>
      <c r="C28">
        <v>-0.2866504166204123</v>
      </c>
      <c r="D28">
        <v>0.33893198814191028</v>
      </c>
      <c r="E28">
        <v>0.91143427805543376</v>
      </c>
      <c r="F28">
        <v>1.2323420446414031</v>
      </c>
      <c r="G28">
        <v>0.69584355606480153</v>
      </c>
      <c r="H28">
        <v>0.51690829252672621</v>
      </c>
      <c r="I28">
        <v>0.46686242121177368</v>
      </c>
      <c r="J28">
        <v>-1.0466750414119029E-2</v>
      </c>
      <c r="K28">
        <v>-1.1050641606760601</v>
      </c>
      <c r="L28">
        <v>-0.64441284546207278</v>
      </c>
      <c r="M28">
        <v>-0.45750844911379041</v>
      </c>
      <c r="N28">
        <v>0.35391149712147768</v>
      </c>
      <c r="O28">
        <v>-0.19699146876853871</v>
      </c>
      <c r="P28">
        <v>0.12864630878745539</v>
      </c>
      <c r="Q28">
        <v>1.2351379703722141</v>
      </c>
      <c r="R28">
        <v>0.31443057132474472</v>
      </c>
      <c r="S28">
        <v>0.3258854830801507</v>
      </c>
      <c r="T28">
        <v>0.56288510605083453</v>
      </c>
      <c r="U28">
        <v>2.728726398586053</v>
      </c>
      <c r="V28">
        <v>3.0252141514701321</v>
      </c>
      <c r="W28">
        <v>2.300084792792072</v>
      </c>
      <c r="X28">
        <v>2.991831600226297</v>
      </c>
      <c r="Y28">
        <v>3.410283311167432</v>
      </c>
      <c r="Z28">
        <v>1.713158848874742</v>
      </c>
    </row>
    <row r="29" spans="1:26" x14ac:dyDescent="0.35">
      <c r="A29" t="s">
        <v>9</v>
      </c>
      <c r="B29">
        <v>6.3453267703749638</v>
      </c>
      <c r="C29">
        <v>7.0339038689947859</v>
      </c>
      <c r="D29">
        <v>9.9532378172302742</v>
      </c>
      <c r="E29">
        <v>8.9721280656082065</v>
      </c>
      <c r="F29">
        <v>7.7528932143407419</v>
      </c>
      <c r="G29">
        <v>9.7432048331490009</v>
      </c>
      <c r="H29">
        <v>8.8309165448175584</v>
      </c>
      <c r="I29">
        <v>7.7046525899057947</v>
      </c>
      <c r="J29">
        <v>7.5700941355023428</v>
      </c>
      <c r="K29">
        <v>7.7056112423838066</v>
      </c>
      <c r="L29">
        <v>7.9561856710891554</v>
      </c>
      <c r="M29">
        <v>7.907608386789307</v>
      </c>
      <c r="N29">
        <v>8.8983727385145723</v>
      </c>
      <c r="O29">
        <v>8.2305730397635379</v>
      </c>
      <c r="P29">
        <v>9.0487813037711682</v>
      </c>
      <c r="Q29">
        <v>8.6485665344135061</v>
      </c>
      <c r="R29">
        <v>6.8402664538354472</v>
      </c>
      <c r="S29">
        <v>7.1683907945583192</v>
      </c>
      <c r="T29">
        <v>7.5032059735726344</v>
      </c>
      <c r="U29">
        <v>7.6097409412658203</v>
      </c>
      <c r="V29">
        <v>6.8903161645580164</v>
      </c>
      <c r="W29">
        <v>6.3853588155004388</v>
      </c>
      <c r="X29">
        <v>6.3493921478689721</v>
      </c>
      <c r="Y29">
        <v>6.3877221461690219</v>
      </c>
      <c r="Z29">
        <v>5.4961990476617473</v>
      </c>
    </row>
    <row r="30" spans="1:26" x14ac:dyDescent="0.35">
      <c r="A30" t="s">
        <v>10</v>
      </c>
      <c r="B30">
        <v>136.38395209887409</v>
      </c>
      <c r="C30">
        <v>141.05072405681511</v>
      </c>
      <c r="D30">
        <v>147.25032910664629</v>
      </c>
      <c r="E30">
        <v>150.9391840923449</v>
      </c>
      <c r="F30">
        <v>147.56287991533171</v>
      </c>
      <c r="G30">
        <v>146.39883593396911</v>
      </c>
      <c r="H30">
        <v>144.6361673095077</v>
      </c>
      <c r="I30">
        <v>143.55511485620261</v>
      </c>
      <c r="J30">
        <v>142.22472919231251</v>
      </c>
      <c r="K30">
        <v>143.01279344964391</v>
      </c>
      <c r="L30">
        <v>145.21559242153279</v>
      </c>
      <c r="M30">
        <v>147.20303530677521</v>
      </c>
      <c r="N30">
        <v>151.7392170165659</v>
      </c>
      <c r="O30">
        <v>147.66328540742069</v>
      </c>
      <c r="P30">
        <v>148.18531236005569</v>
      </c>
      <c r="Q30">
        <v>150.8345431409756</v>
      </c>
      <c r="R30">
        <v>147.2399957967325</v>
      </c>
      <c r="S30">
        <v>148.34766880598519</v>
      </c>
      <c r="T30">
        <v>151.7162669978828</v>
      </c>
      <c r="U30">
        <v>151.69978720206689</v>
      </c>
      <c r="V30">
        <v>149.03084977890629</v>
      </c>
      <c r="W30">
        <v>149.51889784022001</v>
      </c>
      <c r="X30">
        <v>150.45289888389621</v>
      </c>
      <c r="Y30">
        <v>150.59657448721561</v>
      </c>
      <c r="Z30">
        <v>150.59976220978709</v>
      </c>
    </row>
    <row r="31" spans="1:26" x14ac:dyDescent="0.35">
      <c r="A31" t="s">
        <v>11</v>
      </c>
      <c r="B31">
        <v>26533209.609999999</v>
      </c>
      <c r="C31">
        <v>20452730.02</v>
      </c>
      <c r="D31">
        <v>18615600.899999999</v>
      </c>
      <c r="E31">
        <v>8943877.4000000004</v>
      </c>
      <c r="F31">
        <v>15181236.02</v>
      </c>
      <c r="G31">
        <v>31017455.530000001</v>
      </c>
      <c r="H31">
        <v>26185057.969999999</v>
      </c>
      <c r="I31">
        <v>18912869.129999999</v>
      </c>
      <c r="J31">
        <v>20022958.149999999</v>
      </c>
      <c r="K31">
        <v>18264458.109999999</v>
      </c>
      <c r="L31">
        <v>16133338.15</v>
      </c>
      <c r="M31">
        <v>9991541.5899999999</v>
      </c>
      <c r="N31">
        <v>6626495.1899999985</v>
      </c>
      <c r="O31">
        <v>9268286.370000001</v>
      </c>
      <c r="P31">
        <v>15549122.210000001</v>
      </c>
      <c r="Q31">
        <v>14908182.6</v>
      </c>
      <c r="R31">
        <v>27184358.260000002</v>
      </c>
      <c r="S31">
        <v>35792719.760000013</v>
      </c>
      <c r="T31">
        <v>21760335.98</v>
      </c>
      <c r="U31">
        <v>21252328.469999999</v>
      </c>
      <c r="V31">
        <v>43623019.229999997</v>
      </c>
      <c r="W31">
        <v>40720244.030000001</v>
      </c>
      <c r="X31">
        <v>43230820.039999999</v>
      </c>
      <c r="Y31">
        <v>43309748.599999987</v>
      </c>
      <c r="Z31">
        <v>52399661.719999999</v>
      </c>
    </row>
    <row r="33" spans="1:26" x14ac:dyDescent="0.35">
      <c r="A33" t="s">
        <v>15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64</v>
      </c>
      <c r="H33" t="s">
        <v>65</v>
      </c>
      <c r="I33" t="s">
        <v>66</v>
      </c>
      <c r="J33" t="s">
        <v>67</v>
      </c>
      <c r="K33" t="s">
        <v>68</v>
      </c>
      <c r="L33" t="s">
        <v>69</v>
      </c>
      <c r="M33" t="s">
        <v>70</v>
      </c>
      <c r="N33" t="s">
        <v>48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55</v>
      </c>
      <c r="V33" t="s">
        <v>1</v>
      </c>
      <c r="W33" t="s">
        <v>2</v>
      </c>
      <c r="X33" t="s">
        <v>3</v>
      </c>
      <c r="Y33" t="s">
        <v>4</v>
      </c>
      <c r="Z33" t="s">
        <v>5</v>
      </c>
    </row>
    <row r="34" spans="1:26" x14ac:dyDescent="0.35">
      <c r="A34" t="s">
        <v>6</v>
      </c>
      <c r="B34">
        <v>132.38306791741499</v>
      </c>
      <c r="C34">
        <v>133.22864053407059</v>
      </c>
      <c r="D34">
        <v>136.30165783621021</v>
      </c>
      <c r="E34">
        <v>135.3824245085064</v>
      </c>
      <c r="F34">
        <v>133.83570351401411</v>
      </c>
      <c r="G34">
        <v>131.87489783492529</v>
      </c>
      <c r="H34">
        <v>131.1356915650193</v>
      </c>
      <c r="I34">
        <v>129.47230286810949</v>
      </c>
      <c r="J34">
        <v>129.34472841048461</v>
      </c>
      <c r="K34">
        <v>131.4534857039441</v>
      </c>
      <c r="L34">
        <v>131.7155339764507</v>
      </c>
      <c r="M34">
        <v>131.25851429906621</v>
      </c>
      <c r="N34">
        <v>132.73384871823549</v>
      </c>
      <c r="O34">
        <v>133.44219538041571</v>
      </c>
      <c r="P34">
        <v>133.76755452848761</v>
      </c>
      <c r="Q34">
        <v>135.3136659257851</v>
      </c>
      <c r="R34">
        <v>136.174564953763</v>
      </c>
      <c r="S34">
        <v>136.81709999339159</v>
      </c>
      <c r="T34">
        <v>136.69241262670499</v>
      </c>
      <c r="U34">
        <v>134.948750294055</v>
      </c>
      <c r="V34">
        <v>134.57147996843619</v>
      </c>
      <c r="W34">
        <v>136.41792232868141</v>
      </c>
      <c r="X34">
        <v>137.00629562165429</v>
      </c>
      <c r="Y34">
        <v>137.20721483911191</v>
      </c>
      <c r="Z34">
        <v>139.81815016922329</v>
      </c>
    </row>
    <row r="35" spans="1:26" x14ac:dyDescent="0.35">
      <c r="A35" t="s">
        <v>7</v>
      </c>
      <c r="B35">
        <v>0.56784989298699884</v>
      </c>
      <c r="C35">
        <v>0.61142143905391322</v>
      </c>
      <c r="D35">
        <v>0.32304379708060083</v>
      </c>
      <c r="E35">
        <v>-0.89774631802086446</v>
      </c>
      <c r="F35">
        <v>-0.38143036028554889</v>
      </c>
      <c r="G35">
        <v>-0.59152796588301726</v>
      </c>
      <c r="H35">
        <v>-0.79955394882412634</v>
      </c>
      <c r="I35">
        <v>-0.57952409404390437</v>
      </c>
      <c r="J35">
        <v>-0.1218767355521209</v>
      </c>
      <c r="K35">
        <v>-0.57677921084459172</v>
      </c>
      <c r="L35">
        <v>-1.563158121816997</v>
      </c>
      <c r="M35">
        <v>-1.3928785047271219</v>
      </c>
      <c r="N35">
        <v>-1.7491957388739079</v>
      </c>
      <c r="O35">
        <v>-1.0555470950184831</v>
      </c>
      <c r="P35">
        <v>-0.70981924968504018</v>
      </c>
      <c r="Q35">
        <v>0.45524568857470632</v>
      </c>
      <c r="R35">
        <v>-0.59304561449187077</v>
      </c>
      <c r="S35">
        <v>-0.32922096854829869</v>
      </c>
      <c r="T35">
        <v>-0.49722570974498131</v>
      </c>
      <c r="U35">
        <v>-0.28570766013737631</v>
      </c>
      <c r="V35">
        <v>-0.97599677625345294</v>
      </c>
      <c r="W35">
        <v>0.2055614662968708</v>
      </c>
      <c r="X35">
        <v>0.17963091044521209</v>
      </c>
      <c r="Y35">
        <v>1.0649609356779881</v>
      </c>
      <c r="Z35">
        <v>1.2744829524975501</v>
      </c>
    </row>
    <row r="36" spans="1:26" x14ac:dyDescent="0.35">
      <c r="A36" t="s">
        <v>8</v>
      </c>
      <c r="B36">
        <v>-0.57690759094613187</v>
      </c>
      <c r="C36">
        <v>-0.23786945794399331</v>
      </c>
      <c r="D36">
        <v>0.1582313990485027</v>
      </c>
      <c r="E36">
        <v>-2.7361975040254609E-2</v>
      </c>
      <c r="F36">
        <v>2.562764354553701E-2</v>
      </c>
      <c r="G36">
        <v>0.5125364321350292</v>
      </c>
      <c r="H36">
        <v>-0.10789455054802689</v>
      </c>
      <c r="I36">
        <v>-0.11122887042664779</v>
      </c>
      <c r="J36">
        <v>-1.022898723483924</v>
      </c>
      <c r="K36">
        <v>-1.306708350882867</v>
      </c>
      <c r="L36">
        <v>-2.0579850077470421</v>
      </c>
      <c r="M36">
        <v>-2.2321860276680581</v>
      </c>
      <c r="N36">
        <v>-1.9687515746931821</v>
      </c>
      <c r="O36">
        <v>-1.4611738652973509</v>
      </c>
      <c r="P36">
        <v>-1.275541700280082</v>
      </c>
      <c r="Q36">
        <v>-0.57377928459133776</v>
      </c>
      <c r="R36">
        <v>-1.1969068895501811</v>
      </c>
      <c r="S36">
        <v>-0.70221702684529919</v>
      </c>
      <c r="T36">
        <v>0.29818442941489393</v>
      </c>
      <c r="U36">
        <v>3.1855102295866939</v>
      </c>
      <c r="V36">
        <v>4.7744381813098542</v>
      </c>
      <c r="W36">
        <v>3.70525766296565</v>
      </c>
      <c r="X36">
        <v>3.7671271517580061</v>
      </c>
      <c r="Y36">
        <v>4.7206981670882424</v>
      </c>
      <c r="Z36">
        <v>3.7633109929348252</v>
      </c>
    </row>
    <row r="37" spans="1:26" x14ac:dyDescent="0.35">
      <c r="A37" t="s">
        <v>9</v>
      </c>
      <c r="B37">
        <v>-0.1362679404776963</v>
      </c>
      <c r="C37">
        <v>1.7883982116974059E-2</v>
      </c>
      <c r="D37">
        <v>2.4302223082341969</v>
      </c>
      <c r="E37">
        <v>0.99989323826270882</v>
      </c>
      <c r="F37">
        <v>1.1360196888586871</v>
      </c>
      <c r="G37">
        <v>2.5388060727416319</v>
      </c>
      <c r="H37">
        <v>1.385021294001255</v>
      </c>
      <c r="I37">
        <v>0.93976105439850532</v>
      </c>
      <c r="J37">
        <v>0.67631132505503366</v>
      </c>
      <c r="K37">
        <v>1.319225261901702</v>
      </c>
      <c r="L37">
        <v>2.0790787254617138</v>
      </c>
      <c r="M37">
        <v>1.292598360771821</v>
      </c>
      <c r="N37">
        <v>0.83212621463090097</v>
      </c>
      <c r="O37">
        <v>1.506428625512267</v>
      </c>
      <c r="P37">
        <v>2.6252970466571259</v>
      </c>
      <c r="Q37">
        <v>1.848749314945964</v>
      </c>
      <c r="R37">
        <v>1.7164042934473349</v>
      </c>
      <c r="S37">
        <v>1.9599200188201371</v>
      </c>
      <c r="T37">
        <v>1.749402883384485</v>
      </c>
      <c r="U37">
        <v>1.3230115625678469</v>
      </c>
      <c r="V37">
        <v>1.5227898616785791</v>
      </c>
      <c r="W37">
        <v>1.9234235712232359</v>
      </c>
      <c r="X37">
        <v>1.8530962425068489</v>
      </c>
      <c r="Y37">
        <v>1.6998058880842239</v>
      </c>
      <c r="Z37">
        <v>1.495014795828868</v>
      </c>
    </row>
    <row r="38" spans="1:26" x14ac:dyDescent="0.35">
      <c r="A38" t="s">
        <v>10</v>
      </c>
      <c r="B38">
        <v>132.2377422789782</v>
      </c>
      <c r="C38">
        <v>133.6200764972975</v>
      </c>
      <c r="D38">
        <v>139.21315534057351</v>
      </c>
      <c r="E38">
        <v>135.457209453708</v>
      </c>
      <c r="F38">
        <v>134.61592048613281</v>
      </c>
      <c r="G38">
        <v>134.33471237391899</v>
      </c>
      <c r="H38">
        <v>131.61326435964841</v>
      </c>
      <c r="I38">
        <v>129.72131095803741</v>
      </c>
      <c r="J38">
        <v>128.8762642765036</v>
      </c>
      <c r="K38">
        <v>130.8892234041183</v>
      </c>
      <c r="L38">
        <v>130.17346957234841</v>
      </c>
      <c r="M38">
        <v>128.92604812744281</v>
      </c>
      <c r="N38">
        <v>129.84802761929939</v>
      </c>
      <c r="O38">
        <v>132.4319030456121</v>
      </c>
      <c r="P38">
        <v>134.40749062517961</v>
      </c>
      <c r="Q38">
        <v>137.04388164471439</v>
      </c>
      <c r="R38">
        <v>136.10101674316829</v>
      </c>
      <c r="S38">
        <v>137.74558201681819</v>
      </c>
      <c r="T38">
        <v>138.24277422975939</v>
      </c>
      <c r="U38">
        <v>139.17156442607219</v>
      </c>
      <c r="V38">
        <v>139.89271123517119</v>
      </c>
      <c r="W38">
        <v>142.25216502916709</v>
      </c>
      <c r="X38">
        <v>142.80614992636441</v>
      </c>
      <c r="Y38">
        <v>144.6926798299624</v>
      </c>
      <c r="Z38">
        <v>146.35095891048459</v>
      </c>
    </row>
    <row r="39" spans="1:26" x14ac:dyDescent="0.35">
      <c r="A39" t="s">
        <v>11</v>
      </c>
      <c r="B39">
        <v>38280312.600000001</v>
      </c>
      <c r="C39">
        <v>47373090.170000002</v>
      </c>
      <c r="D39">
        <v>47931937.469999999</v>
      </c>
      <c r="E39">
        <v>49971994.260000013</v>
      </c>
      <c r="F39">
        <v>91002139.469999999</v>
      </c>
      <c r="G39">
        <v>128666875.94</v>
      </c>
      <c r="H39">
        <v>96896825.429999992</v>
      </c>
      <c r="I39">
        <v>74050276.870000005</v>
      </c>
      <c r="J39">
        <v>76165797.019999996</v>
      </c>
      <c r="K39">
        <v>68689507.870000005</v>
      </c>
      <c r="L39">
        <v>57582674.780000001</v>
      </c>
      <c r="M39">
        <v>65211671.069999993</v>
      </c>
      <c r="N39">
        <v>68663782.969999999</v>
      </c>
      <c r="O39">
        <v>60652581.18</v>
      </c>
      <c r="P39">
        <v>74303783.810000002</v>
      </c>
      <c r="Q39">
        <v>77695500.75</v>
      </c>
      <c r="R39">
        <v>115551353.54000001</v>
      </c>
      <c r="S39">
        <v>101911462.23999999</v>
      </c>
      <c r="T39">
        <v>81068199.189999998</v>
      </c>
      <c r="U39">
        <v>92073036.069999993</v>
      </c>
      <c r="V39">
        <v>151182270.44999999</v>
      </c>
      <c r="W39">
        <v>130232535.68000001</v>
      </c>
      <c r="X39">
        <v>108684678.34999999</v>
      </c>
      <c r="Y39">
        <v>91451649.269999996</v>
      </c>
      <c r="Z39">
        <v>86527668.819999993</v>
      </c>
    </row>
    <row r="41" spans="1:26" x14ac:dyDescent="0.35">
      <c r="A41" t="s">
        <v>16</v>
      </c>
      <c r="B41" t="s">
        <v>59</v>
      </c>
      <c r="C41" t="s">
        <v>60</v>
      </c>
      <c r="D41" t="s">
        <v>61</v>
      </c>
      <c r="E41" t="s">
        <v>62</v>
      </c>
      <c r="F41" t="s">
        <v>63</v>
      </c>
      <c r="G41" t="s">
        <v>64</v>
      </c>
      <c r="H41" t="s">
        <v>65</v>
      </c>
      <c r="I41" t="s">
        <v>66</v>
      </c>
      <c r="J41" t="s">
        <v>67</v>
      </c>
      <c r="K41" t="s">
        <v>68</v>
      </c>
      <c r="L41" t="s">
        <v>69</v>
      </c>
      <c r="M41" t="s">
        <v>70</v>
      </c>
      <c r="N41" t="s">
        <v>48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55</v>
      </c>
      <c r="V41" t="s">
        <v>1</v>
      </c>
      <c r="W41" t="s">
        <v>2</v>
      </c>
      <c r="X41" t="s">
        <v>3</v>
      </c>
      <c r="Y41" t="s">
        <v>4</v>
      </c>
      <c r="Z41" t="s">
        <v>5</v>
      </c>
    </row>
    <row r="42" spans="1:26" x14ac:dyDescent="0.35">
      <c r="A42" t="s">
        <v>6</v>
      </c>
      <c r="B42">
        <v>135.86332249445411</v>
      </c>
      <c r="C42">
        <v>138.37204193247351</v>
      </c>
      <c r="D42">
        <v>138.78949632186041</v>
      </c>
      <c r="E42">
        <v>136.95890436813559</v>
      </c>
      <c r="F42">
        <v>135.464326976926</v>
      </c>
      <c r="G42">
        <v>135.7380087477724</v>
      </c>
      <c r="H42">
        <v>134.5037235232796</v>
      </c>
      <c r="I42">
        <v>133.19297164592049</v>
      </c>
      <c r="J42">
        <v>133.26474125481579</v>
      </c>
      <c r="K42">
        <v>134.70114979213409</v>
      </c>
      <c r="L42">
        <v>136.05826795641721</v>
      </c>
      <c r="M42">
        <v>138.33369756523109</v>
      </c>
      <c r="N42">
        <v>140.09671657848929</v>
      </c>
      <c r="O42">
        <v>140.6586391183844</v>
      </c>
      <c r="P42">
        <v>140.50459471793889</v>
      </c>
      <c r="Q42">
        <v>140.56078051519651</v>
      </c>
      <c r="R42">
        <v>139.56825037479661</v>
      </c>
      <c r="S42">
        <v>140.43211833884561</v>
      </c>
      <c r="T42">
        <v>139.88511483115639</v>
      </c>
      <c r="U42">
        <v>139.76781802522791</v>
      </c>
      <c r="V42">
        <v>139.70876763492191</v>
      </c>
      <c r="W42">
        <v>139.86672280884679</v>
      </c>
      <c r="X42">
        <v>139.91790875779989</v>
      </c>
      <c r="Y42">
        <v>140.94205426095121</v>
      </c>
      <c r="Z42">
        <v>142.03899090550939</v>
      </c>
    </row>
    <row r="43" spans="1:26" x14ac:dyDescent="0.35">
      <c r="A43" t="s">
        <v>7</v>
      </c>
      <c r="B43">
        <v>4.4918827021075742</v>
      </c>
      <c r="C43">
        <v>4.5519790664233426</v>
      </c>
      <c r="D43">
        <v>4.4080580897392574</v>
      </c>
      <c r="E43">
        <v>4.0588062484797263</v>
      </c>
      <c r="F43">
        <v>3.8414426470363878</v>
      </c>
      <c r="G43">
        <v>3.619794276590568</v>
      </c>
      <c r="H43">
        <v>3.485684751518249</v>
      </c>
      <c r="I43">
        <v>3.1667830676876751</v>
      </c>
      <c r="J43">
        <v>2.91345774118949</v>
      </c>
      <c r="K43">
        <v>2.0561578106858178</v>
      </c>
      <c r="L43">
        <v>1.233781080130228</v>
      </c>
      <c r="M43">
        <v>1.3869179362435771</v>
      </c>
      <c r="N43">
        <v>1.1470581624031979</v>
      </c>
      <c r="O43">
        <v>1.3470828281179761</v>
      </c>
      <c r="P43">
        <v>1.4825754874531469</v>
      </c>
      <c r="Q43">
        <v>1.735482925395615</v>
      </c>
      <c r="R43">
        <v>1.3266459899973599</v>
      </c>
      <c r="S43">
        <v>2.2203144511825879</v>
      </c>
      <c r="T43">
        <v>1.9527826553908481</v>
      </c>
      <c r="U43">
        <v>0.75353600348131522</v>
      </c>
      <c r="V43">
        <v>-0.59293676979766019</v>
      </c>
      <c r="W43">
        <v>1.0908331834159239</v>
      </c>
      <c r="X43">
        <v>0.95995221674948539</v>
      </c>
      <c r="Y43">
        <v>0.99913491910541552</v>
      </c>
      <c r="Z43">
        <v>0.57082191683323913</v>
      </c>
    </row>
    <row r="44" spans="1:26" x14ac:dyDescent="0.35">
      <c r="A44" t="s">
        <v>8</v>
      </c>
      <c r="B44">
        <v>5.4258197052338079E-2</v>
      </c>
      <c r="C44">
        <v>0.43110716236045538</v>
      </c>
      <c r="D44">
        <v>2.4526482980816791E-2</v>
      </c>
      <c r="E44">
        <v>0.40477748094965932</v>
      </c>
      <c r="F44">
        <v>0.49499963135422331</v>
      </c>
      <c r="G44">
        <v>0.93081355548105649</v>
      </c>
      <c r="H44">
        <v>1.7071870021484039</v>
      </c>
      <c r="I44">
        <v>0.8048278775682034</v>
      </c>
      <c r="J44">
        <v>0.66107033623268174</v>
      </c>
      <c r="K44">
        <v>-2.0183634801495699E-2</v>
      </c>
      <c r="L44">
        <v>-0.44628346717111989</v>
      </c>
      <c r="M44">
        <v>-0.5754941185719481</v>
      </c>
      <c r="N44">
        <v>-0.97818216052133722</v>
      </c>
      <c r="O44">
        <v>-0.34839807795046301</v>
      </c>
      <c r="P44">
        <v>-0.38931540741708109</v>
      </c>
      <c r="Q44">
        <v>0.2122453843758261</v>
      </c>
      <c r="R44">
        <v>-0.23559879028366379</v>
      </c>
      <c r="S44">
        <v>9.0456386109081438E-2</v>
      </c>
      <c r="T44">
        <v>-0.54232293136719367</v>
      </c>
      <c r="U44">
        <v>-0.68396124727797214</v>
      </c>
      <c r="V44">
        <v>-0.69812196046537067</v>
      </c>
      <c r="W44">
        <v>-3.9833427111434852E-2</v>
      </c>
      <c r="X44">
        <v>0.39669237239810973</v>
      </c>
      <c r="Y44">
        <v>0.69863396050410353</v>
      </c>
      <c r="Z44">
        <v>0.49570846122702822</v>
      </c>
    </row>
    <row r="45" spans="1:26" x14ac:dyDescent="0.35">
      <c r="A45" t="s">
        <v>9</v>
      </c>
      <c r="B45">
        <v>-1.867957733772954</v>
      </c>
      <c r="C45">
        <v>-2.2934700304173168</v>
      </c>
      <c r="D45">
        <v>-1.9059954848240211E-2</v>
      </c>
      <c r="E45">
        <v>-2.102065688983779</v>
      </c>
      <c r="F45">
        <v>0.12072478597422311</v>
      </c>
      <c r="G45">
        <v>2.788024146983024</v>
      </c>
      <c r="H45">
        <v>1.806428919350769</v>
      </c>
      <c r="I45">
        <v>1.6186275026710031</v>
      </c>
      <c r="J45">
        <v>-0.68305506480578748</v>
      </c>
      <c r="K45">
        <v>0.54282025768139242</v>
      </c>
      <c r="L45">
        <v>-0.67404899043559141</v>
      </c>
      <c r="M45">
        <v>-2.4034512234684819</v>
      </c>
      <c r="N45">
        <v>-2.738318159686385</v>
      </c>
      <c r="O45">
        <v>-1.4342958002227231</v>
      </c>
      <c r="P45">
        <v>-3.8284856000617902</v>
      </c>
      <c r="Q45">
        <v>-4.9859273123596726</v>
      </c>
      <c r="R45">
        <v>-4.1535780349148608</v>
      </c>
      <c r="S45">
        <v>-1.0146212853725041</v>
      </c>
      <c r="T45">
        <v>-1.6180761042652849</v>
      </c>
      <c r="U45">
        <v>-1.5602769978469331</v>
      </c>
      <c r="V45">
        <v>-0.78475247095689693</v>
      </c>
      <c r="W45">
        <v>-0.38922450159549382</v>
      </c>
      <c r="X45">
        <v>-0.57494631824503251</v>
      </c>
      <c r="Y45">
        <v>-0.30343741260103579</v>
      </c>
      <c r="Z45">
        <v>0.36619045969935132</v>
      </c>
    </row>
    <row r="46" spans="1:26" x14ac:dyDescent="0.35">
      <c r="A46" t="s">
        <v>10</v>
      </c>
      <c r="B46">
        <v>138.54150565984099</v>
      </c>
      <c r="C46">
        <v>141.06165813083999</v>
      </c>
      <c r="D46">
        <v>143.2030209397322</v>
      </c>
      <c r="E46">
        <v>139.32042240858121</v>
      </c>
      <c r="F46">
        <v>139.9214940412908</v>
      </c>
      <c r="G46">
        <v>143.07664072682701</v>
      </c>
      <c r="H46">
        <v>141.50302419629699</v>
      </c>
      <c r="I46">
        <v>138.7832100938474</v>
      </c>
      <c r="J46">
        <v>136.15621426743209</v>
      </c>
      <c r="K46">
        <v>137.27994422569981</v>
      </c>
      <c r="L46">
        <v>136.17171657894079</v>
      </c>
      <c r="M46">
        <v>136.74167015943431</v>
      </c>
      <c r="N46">
        <v>137.52727442068479</v>
      </c>
      <c r="O46">
        <v>140.2230280683292</v>
      </c>
      <c r="P46">
        <v>137.76936919791319</v>
      </c>
      <c r="Q46">
        <v>137.5225815126083</v>
      </c>
      <c r="R46">
        <v>136.5057195395955</v>
      </c>
      <c r="S46">
        <v>141.72826789076481</v>
      </c>
      <c r="T46">
        <v>139.67749845091481</v>
      </c>
      <c r="U46">
        <v>138.27711578358429</v>
      </c>
      <c r="V46">
        <v>137.63295643370199</v>
      </c>
      <c r="W46">
        <v>140.52849806355579</v>
      </c>
      <c r="X46">
        <v>140.6996070287025</v>
      </c>
      <c r="Y46">
        <v>142.33638572795971</v>
      </c>
      <c r="Z46">
        <v>143.471711743269</v>
      </c>
    </row>
    <row r="47" spans="1:26" x14ac:dyDescent="0.35">
      <c r="A47" t="s">
        <v>11</v>
      </c>
      <c r="B47">
        <v>237410626.31999999</v>
      </c>
      <c r="C47">
        <v>210491293.02000001</v>
      </c>
      <c r="D47">
        <v>273255852.95999998</v>
      </c>
      <c r="E47">
        <v>231122364.84999999</v>
      </c>
      <c r="F47">
        <v>368400633.05000001</v>
      </c>
      <c r="G47">
        <v>372449575.12</v>
      </c>
      <c r="H47">
        <v>340292364.87</v>
      </c>
      <c r="I47">
        <v>287626500.82999998</v>
      </c>
      <c r="J47">
        <v>221684703.61000001</v>
      </c>
      <c r="K47">
        <v>355757867.75999999</v>
      </c>
      <c r="L47">
        <v>294296290.55000001</v>
      </c>
      <c r="M47">
        <v>222829131.05000001</v>
      </c>
      <c r="N47">
        <v>259381062.81</v>
      </c>
      <c r="O47">
        <v>253846448.25</v>
      </c>
      <c r="P47">
        <v>143850530.41999999</v>
      </c>
      <c r="Q47">
        <v>123963001.43000001</v>
      </c>
      <c r="R47">
        <v>390295588.06999999</v>
      </c>
      <c r="S47">
        <v>326192451.67000002</v>
      </c>
      <c r="T47">
        <v>301366599.82999998</v>
      </c>
      <c r="U47">
        <v>288436723.16000003</v>
      </c>
      <c r="V47">
        <v>442875681.85000002</v>
      </c>
      <c r="W47">
        <v>386473804.48000002</v>
      </c>
      <c r="X47">
        <v>379394062.72000003</v>
      </c>
      <c r="Y47">
        <v>341839089.51999998</v>
      </c>
      <c r="Z47">
        <v>507344562.61999989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98"/>
  <sheetViews>
    <sheetView zoomScaleNormal="100" workbookViewId="0">
      <selection activeCell="S42" sqref="S42"/>
    </sheetView>
  </sheetViews>
  <sheetFormatPr defaultRowHeight="14.5" x14ac:dyDescent="0.35"/>
  <sheetData>
    <row r="1" spans="1:28" x14ac:dyDescent="0.35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1</v>
      </c>
      <c r="W1" t="s">
        <v>2</v>
      </c>
      <c r="X1" t="s">
        <v>3</v>
      </c>
      <c r="Y1" t="s">
        <v>4</v>
      </c>
      <c r="Z1" t="s">
        <v>5</v>
      </c>
    </row>
    <row r="2" spans="1:28" x14ac:dyDescent="0.35">
      <c r="A2" t="s">
        <v>6</v>
      </c>
      <c r="B2">
        <v>131.79763521841929</v>
      </c>
      <c r="C2">
        <v>133.71059314411579</v>
      </c>
      <c r="D2">
        <v>135.28557431522441</v>
      </c>
      <c r="E2">
        <v>135.79608377329961</v>
      </c>
      <c r="F2">
        <v>134.6017884183878</v>
      </c>
      <c r="G2">
        <v>135.14257269364111</v>
      </c>
      <c r="H2">
        <v>135.3626526730819</v>
      </c>
      <c r="I2">
        <v>134.41537942859119</v>
      </c>
      <c r="J2">
        <v>134.06859534274361</v>
      </c>
      <c r="K2">
        <v>135.89246002160661</v>
      </c>
      <c r="L2">
        <v>136.14780523104511</v>
      </c>
      <c r="M2">
        <v>136.75155352499851</v>
      </c>
      <c r="N2">
        <v>136.66304693064629</v>
      </c>
      <c r="O2">
        <v>136.90906982764889</v>
      </c>
      <c r="P2">
        <v>136.43849356660581</v>
      </c>
      <c r="Q2">
        <v>137.02135091300229</v>
      </c>
      <c r="R2">
        <v>136.3721183056237</v>
      </c>
      <c r="S2">
        <v>137.12198326493359</v>
      </c>
      <c r="T2">
        <v>138.09052083542991</v>
      </c>
      <c r="U2">
        <v>136.8013556580203</v>
      </c>
      <c r="V2">
        <v>136.83702494495719</v>
      </c>
      <c r="W2">
        <v>138.03381902691669</v>
      </c>
      <c r="X2">
        <v>138.55808093396249</v>
      </c>
      <c r="Y2">
        <v>139.3761012547063</v>
      </c>
      <c r="Z2">
        <v>140.3100942397576</v>
      </c>
    </row>
    <row r="3" spans="1:28" x14ac:dyDescent="0.35">
      <c r="A3" t="s">
        <v>7</v>
      </c>
      <c r="B3">
        <v>1.421133730394246</v>
      </c>
      <c r="C3">
        <v>1.3083796764262841</v>
      </c>
      <c r="D3">
        <v>0.5822186890319756</v>
      </c>
      <c r="E3">
        <v>1.082214688707694</v>
      </c>
      <c r="F3">
        <v>1.320617127890017</v>
      </c>
      <c r="G3">
        <v>1.3559534628639081</v>
      </c>
      <c r="H3">
        <v>1.3112363909802129</v>
      </c>
      <c r="I3">
        <v>1.2138028379415571</v>
      </c>
      <c r="J3">
        <v>1.633893860899889</v>
      </c>
      <c r="K3">
        <v>1.3966255769194329</v>
      </c>
      <c r="L3">
        <v>1.265842489798644</v>
      </c>
      <c r="M3">
        <v>1.240840486174505</v>
      </c>
      <c r="N3">
        <v>0.79430529121580662</v>
      </c>
      <c r="O3">
        <v>1.222834674629752</v>
      </c>
      <c r="P3">
        <v>0.69077474460524968</v>
      </c>
      <c r="Q3">
        <v>0.84296860923302575</v>
      </c>
      <c r="R3">
        <v>0.6633545028843173</v>
      </c>
      <c r="S3">
        <v>1.1838567803937681</v>
      </c>
      <c r="T3">
        <v>0.98295352529999036</v>
      </c>
      <c r="U3">
        <v>1.167663280487687</v>
      </c>
      <c r="V3">
        <v>1.4592694189433639</v>
      </c>
      <c r="W3">
        <v>2.466595671196302</v>
      </c>
      <c r="X3">
        <v>2.9266816981485699</v>
      </c>
      <c r="Y3">
        <v>2.919601597291575</v>
      </c>
      <c r="Z3">
        <v>3.1254126861597631</v>
      </c>
    </row>
    <row r="4" spans="1:28" x14ac:dyDescent="0.35">
      <c r="A4" t="s">
        <v>8</v>
      </c>
      <c r="B4">
        <v>4.3033305627194068E-2</v>
      </c>
      <c r="C4">
        <v>-0.3845949000657321</v>
      </c>
      <c r="D4">
        <v>0.37358071094848699</v>
      </c>
      <c r="E4">
        <v>1.2753083108801131</v>
      </c>
      <c r="F4">
        <v>0.98653365628622836</v>
      </c>
      <c r="G4">
        <v>0.84046231898258617</v>
      </c>
      <c r="H4">
        <v>0.64235995268797108</v>
      </c>
      <c r="I4">
        <v>-0.1306032308652087</v>
      </c>
      <c r="J4">
        <v>-0.90468111701203757</v>
      </c>
      <c r="K4">
        <v>-0.92586757292852029</v>
      </c>
      <c r="L4">
        <v>-1.408798120946297</v>
      </c>
      <c r="M4">
        <v>-0.75982070950175851</v>
      </c>
      <c r="N4">
        <v>-0.84526036767019574</v>
      </c>
      <c r="O4">
        <v>-0.6528615106323471</v>
      </c>
      <c r="P4">
        <v>-0.53126492689302784</v>
      </c>
      <c r="Q4">
        <v>-0.57776696944597361</v>
      </c>
      <c r="R4">
        <v>-0.18414983509003541</v>
      </c>
      <c r="S4">
        <v>0.38938692851589451</v>
      </c>
      <c r="T4">
        <v>1.355486817710468</v>
      </c>
      <c r="U4">
        <v>1.943060794578088</v>
      </c>
      <c r="V4">
        <v>1.4609402828864131</v>
      </c>
      <c r="W4">
        <v>2.1619931812445019</v>
      </c>
      <c r="X4">
        <v>3.3310760683020382</v>
      </c>
      <c r="Y4">
        <v>3.4679348575739848</v>
      </c>
      <c r="Z4">
        <v>2.9642039165112881</v>
      </c>
      <c r="AB4">
        <f>SUM(B4:Z4)</f>
        <v>13.929691841684122</v>
      </c>
    </row>
    <row r="5" spans="1:28" x14ac:dyDescent="0.35">
      <c r="A5" t="s">
        <v>9</v>
      </c>
      <c r="B5">
        <v>0.31699383207393272</v>
      </c>
      <c r="C5">
        <v>-7.4520435280669983E-2</v>
      </c>
      <c r="D5">
        <v>2.6730438931927849</v>
      </c>
      <c r="E5">
        <v>2.8146745143584848</v>
      </c>
      <c r="F5">
        <v>2.4860691974896092</v>
      </c>
      <c r="G5">
        <v>4.7442205538929709</v>
      </c>
      <c r="H5">
        <v>3.767862259420677</v>
      </c>
      <c r="I5">
        <v>3.8101148848800568</v>
      </c>
      <c r="J5">
        <v>3.3632739395382241</v>
      </c>
      <c r="K5">
        <v>2.1960055910404259</v>
      </c>
      <c r="L5">
        <v>1.813766331452717</v>
      </c>
      <c r="M5">
        <v>1.171882167126244</v>
      </c>
      <c r="N5">
        <v>1.0276651406364501</v>
      </c>
      <c r="O5">
        <v>2.1915036915182018</v>
      </c>
      <c r="P5">
        <v>2.6725161856971229</v>
      </c>
      <c r="Q5">
        <v>2.2645484197272538</v>
      </c>
      <c r="R5">
        <v>1.982051927501814</v>
      </c>
      <c r="S5">
        <v>2.59136769572113</v>
      </c>
      <c r="T5">
        <v>3.6900856036747798</v>
      </c>
      <c r="U5">
        <v>3.3601489070453039</v>
      </c>
      <c r="V5">
        <v>3.5152575010923348</v>
      </c>
      <c r="W5">
        <v>4.0364834910412739</v>
      </c>
      <c r="X5">
        <v>3.9658857175716609</v>
      </c>
      <c r="Y5">
        <v>4.2472755924749057</v>
      </c>
      <c r="Z5">
        <v>4.2417601228001001</v>
      </c>
    </row>
    <row r="6" spans="1:28" x14ac:dyDescent="0.35">
      <c r="A6" t="s">
        <v>10</v>
      </c>
      <c r="B6">
        <v>133.57879608651459</v>
      </c>
      <c r="C6">
        <v>134.55985748519569</v>
      </c>
      <c r="D6">
        <v>138.91441760839771</v>
      </c>
      <c r="E6">
        <v>140.9682812872459</v>
      </c>
      <c r="F6">
        <v>139.3950084000536</v>
      </c>
      <c r="G6">
        <v>142.0832090293805</v>
      </c>
      <c r="H6">
        <v>141.08411127617069</v>
      </c>
      <c r="I6">
        <v>139.3086939205476</v>
      </c>
      <c r="J6">
        <v>138.16108202616971</v>
      </c>
      <c r="K6">
        <v>138.55922361663801</v>
      </c>
      <c r="L6">
        <v>137.81861593135011</v>
      </c>
      <c r="M6">
        <v>138.40445546879749</v>
      </c>
      <c r="N6">
        <v>137.6397569948283</v>
      </c>
      <c r="O6">
        <v>139.6705466831645</v>
      </c>
      <c r="P6">
        <v>139.2705195700151</v>
      </c>
      <c r="Q6">
        <v>139.55110097251659</v>
      </c>
      <c r="R6">
        <v>138.83337490091981</v>
      </c>
      <c r="S6">
        <v>141.28659466956441</v>
      </c>
      <c r="T6">
        <v>144.11904678211511</v>
      </c>
      <c r="U6">
        <v>143.2722286401314</v>
      </c>
      <c r="V6">
        <v>143.27249214787929</v>
      </c>
      <c r="W6">
        <v>146.6988913703988</v>
      </c>
      <c r="X6">
        <v>148.7817244179848</v>
      </c>
      <c r="Y6">
        <v>150.0109133020467</v>
      </c>
      <c r="Z6">
        <v>150.64147096522879</v>
      </c>
    </row>
    <row r="7" spans="1:28" x14ac:dyDescent="0.35">
      <c r="A7" t="s">
        <v>11</v>
      </c>
      <c r="B7">
        <v>28856564.100000001</v>
      </c>
      <c r="C7">
        <v>27926177.469999999</v>
      </c>
      <c r="D7">
        <v>26788093.129999999</v>
      </c>
      <c r="E7">
        <v>22116684.23</v>
      </c>
      <c r="F7">
        <v>32796772.530000001</v>
      </c>
      <c r="G7">
        <v>39581722.560000002</v>
      </c>
      <c r="H7">
        <v>26574147.170000002</v>
      </c>
      <c r="I7">
        <v>23248977.84</v>
      </c>
      <c r="J7">
        <v>23682831.52</v>
      </c>
      <c r="K7">
        <v>23783043.949999999</v>
      </c>
      <c r="L7">
        <v>23891873.870000001</v>
      </c>
      <c r="M7">
        <v>16200639.27</v>
      </c>
      <c r="N7">
        <v>16458455.859999999</v>
      </c>
      <c r="O7">
        <v>16463632.33</v>
      </c>
      <c r="P7">
        <v>23297328.539999999</v>
      </c>
      <c r="Q7">
        <v>26860237.309999999</v>
      </c>
      <c r="R7">
        <v>45251908.450000003</v>
      </c>
      <c r="S7">
        <v>43725481.420000002</v>
      </c>
      <c r="T7">
        <v>30678382.129999999</v>
      </c>
      <c r="U7">
        <v>31952020.940000001</v>
      </c>
      <c r="V7">
        <v>56035846.899999999</v>
      </c>
      <c r="W7">
        <v>58112631.189999998</v>
      </c>
      <c r="X7">
        <v>51413758.530000001</v>
      </c>
      <c r="Y7">
        <v>39424319.840000004</v>
      </c>
      <c r="Z7">
        <v>44798321.530000001</v>
      </c>
    </row>
    <row r="9" spans="1:28" x14ac:dyDescent="0.35">
      <c r="A9" t="s">
        <v>12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  <c r="V9" t="s">
        <v>1</v>
      </c>
      <c r="W9" t="s">
        <v>2</v>
      </c>
      <c r="X9" t="s">
        <v>3</v>
      </c>
      <c r="Y9" t="s">
        <v>4</v>
      </c>
      <c r="Z9" t="s">
        <v>5</v>
      </c>
    </row>
    <row r="10" spans="1:28" x14ac:dyDescent="0.35">
      <c r="A10" t="s">
        <v>6</v>
      </c>
      <c r="B10">
        <v>131.13303029419251</v>
      </c>
      <c r="C10">
        <v>132.90504284604401</v>
      </c>
      <c r="D10">
        <v>133.9304786690208</v>
      </c>
      <c r="E10">
        <v>132.8038095162421</v>
      </c>
      <c r="F10">
        <v>135.4481125583965</v>
      </c>
      <c r="G10">
        <v>135.1873517847032</v>
      </c>
      <c r="H10">
        <v>134.94601738902409</v>
      </c>
      <c r="I10">
        <v>132.89927866287411</v>
      </c>
      <c r="J10">
        <v>134.06325322076779</v>
      </c>
      <c r="K10">
        <v>136.81720801029189</v>
      </c>
      <c r="L10">
        <v>138.00243272817349</v>
      </c>
      <c r="M10">
        <v>139.7779316361283</v>
      </c>
      <c r="N10">
        <v>141.27719036447311</v>
      </c>
      <c r="O10">
        <v>140.587337420209</v>
      </c>
      <c r="P10">
        <v>140.72102580751559</v>
      </c>
      <c r="Q10">
        <v>139.0251422865112</v>
      </c>
      <c r="R10">
        <v>138.13163482086091</v>
      </c>
      <c r="S10">
        <v>140.1735622972094</v>
      </c>
      <c r="T10">
        <v>141.55375224123719</v>
      </c>
      <c r="U10">
        <v>139.97097369283409</v>
      </c>
      <c r="V10">
        <v>139.83315040104489</v>
      </c>
      <c r="W10">
        <v>140.6343356036856</v>
      </c>
      <c r="X10">
        <v>140.9638839291236</v>
      </c>
      <c r="Y10">
        <v>141.85748818430829</v>
      </c>
      <c r="Z10">
        <v>142.77289935629051</v>
      </c>
    </row>
    <row r="11" spans="1:28" x14ac:dyDescent="0.35">
      <c r="A11" t="s">
        <v>7</v>
      </c>
      <c r="B11">
        <v>1.341277180573911</v>
      </c>
      <c r="C11">
        <v>1.5067007457573709</v>
      </c>
      <c r="D11">
        <v>0.54945927088772351</v>
      </c>
      <c r="E11">
        <v>2.0008202677672671E-3</v>
      </c>
      <c r="F11">
        <v>0.52413775543899987</v>
      </c>
      <c r="G11">
        <v>0.89828530507452342</v>
      </c>
      <c r="H11">
        <v>0.69221703585537853</v>
      </c>
      <c r="I11">
        <v>-0.39544920563756142</v>
      </c>
      <c r="J11">
        <v>-0.23544013982765929</v>
      </c>
      <c r="K11">
        <v>0.72599632061417196</v>
      </c>
      <c r="L11">
        <v>0.58262345778084068</v>
      </c>
      <c r="M11">
        <v>0.31311591216902462</v>
      </c>
      <c r="N11">
        <v>0.9373704162902925</v>
      </c>
      <c r="O11">
        <v>1.5753236372358119</v>
      </c>
      <c r="P11">
        <v>1.6261413310545549</v>
      </c>
      <c r="Q11">
        <v>0.89035207192458188</v>
      </c>
      <c r="R11">
        <v>-0.1981455972468211</v>
      </c>
      <c r="S11">
        <v>0.2971237362831971</v>
      </c>
      <c r="T11">
        <v>0.75420745076925755</v>
      </c>
      <c r="U11">
        <v>0.52769507344513045</v>
      </c>
      <c r="V11">
        <v>0.66789230584652159</v>
      </c>
      <c r="W11">
        <v>1.2770658151327441</v>
      </c>
      <c r="X11">
        <v>1.7966787926918639</v>
      </c>
      <c r="Y11">
        <v>2.7809622003815089</v>
      </c>
      <c r="Z11">
        <v>2.8704507735793641</v>
      </c>
    </row>
    <row r="12" spans="1:28" x14ac:dyDescent="0.35">
      <c r="A12" t="s">
        <v>8</v>
      </c>
      <c r="B12">
        <v>-0.3803432524996373</v>
      </c>
      <c r="C12">
        <v>-0.13468952478997931</v>
      </c>
      <c r="D12">
        <v>-0.1127742011987635</v>
      </c>
      <c r="E12">
        <v>0.8039426885602251</v>
      </c>
      <c r="F12">
        <v>0.61385889556798767</v>
      </c>
      <c r="G12">
        <v>0.30096432371068838</v>
      </c>
      <c r="H12">
        <v>5.3666595860003916E-3</v>
      </c>
      <c r="I12">
        <v>-0.79299957215503469</v>
      </c>
      <c r="J12">
        <v>-1.4658563467137029</v>
      </c>
      <c r="K12">
        <v>-1.424098001661799</v>
      </c>
      <c r="L12">
        <v>-1.4695331622187591</v>
      </c>
      <c r="M12">
        <v>-1.2842031073866069</v>
      </c>
      <c r="N12">
        <v>-1.649418746247199</v>
      </c>
      <c r="O12">
        <v>-1.1144507105367649</v>
      </c>
      <c r="P12">
        <v>-1.1727670673875039</v>
      </c>
      <c r="Q12">
        <v>-1.288238096192827</v>
      </c>
      <c r="R12">
        <v>-1.4217419405102729</v>
      </c>
      <c r="S12">
        <v>-0.88174349309911804</v>
      </c>
      <c r="T12">
        <v>-0.34232580233803922</v>
      </c>
      <c r="U12">
        <v>1.214543810683461</v>
      </c>
      <c r="V12">
        <v>1.3644553022160431</v>
      </c>
      <c r="W12">
        <v>1.686167890486838</v>
      </c>
      <c r="X12">
        <v>2.2696451478678341</v>
      </c>
      <c r="Y12">
        <v>3.6760504039490778</v>
      </c>
      <c r="Z12">
        <v>2.583207765217816</v>
      </c>
      <c r="AB12">
        <f>SUM(B12:Z12)</f>
        <v>-0.41698013709003501</v>
      </c>
    </row>
    <row r="13" spans="1:28" x14ac:dyDescent="0.35">
      <c r="A13" t="s">
        <v>9</v>
      </c>
      <c r="B13">
        <v>-1.228160784054644E-2</v>
      </c>
      <c r="C13">
        <v>-2.8597338441211151E-2</v>
      </c>
      <c r="D13">
        <v>0.35362420328638883</v>
      </c>
      <c r="E13">
        <v>-0.77522591979143807</v>
      </c>
      <c r="F13">
        <v>2.0088205384702031</v>
      </c>
      <c r="G13">
        <v>4.8028389298719958</v>
      </c>
      <c r="H13">
        <v>3.3953505552110168</v>
      </c>
      <c r="I13">
        <v>2.567761705391753</v>
      </c>
      <c r="J13">
        <v>2.8649826435503272</v>
      </c>
      <c r="K13">
        <v>2.7921408431181698</v>
      </c>
      <c r="L13">
        <v>2.5924089223275728</v>
      </c>
      <c r="M13">
        <v>2.5719861764621919</v>
      </c>
      <c r="N13">
        <v>2.0132311198160342</v>
      </c>
      <c r="O13">
        <v>4.3751394957598402</v>
      </c>
      <c r="P13">
        <v>4.9401089237040479</v>
      </c>
      <c r="Q13">
        <v>5.5575777140865847</v>
      </c>
      <c r="R13">
        <v>5.2441452141879363</v>
      </c>
      <c r="S13">
        <v>5.3075909101234569</v>
      </c>
      <c r="T13">
        <v>5.1119080696318822</v>
      </c>
      <c r="U13">
        <v>5.193016913279541</v>
      </c>
      <c r="V13">
        <v>5.1668346473815312</v>
      </c>
      <c r="W13">
        <v>6.0899588121677688</v>
      </c>
      <c r="X13">
        <v>6.1408423731614006</v>
      </c>
      <c r="Y13">
        <v>6.2156601343157272</v>
      </c>
      <c r="Z13">
        <v>5.1884366267600752</v>
      </c>
    </row>
    <row r="14" spans="1:28" x14ac:dyDescent="0.35">
      <c r="A14" t="s">
        <v>10</v>
      </c>
      <c r="B14">
        <v>132.08168261442631</v>
      </c>
      <c r="C14">
        <v>134.2484567285702</v>
      </c>
      <c r="D14">
        <v>134.72078794199621</v>
      </c>
      <c r="E14">
        <v>132.83452710527871</v>
      </c>
      <c r="F14">
        <v>138.59492974787369</v>
      </c>
      <c r="G14">
        <v>141.18944034336039</v>
      </c>
      <c r="H14">
        <v>139.0389516396765</v>
      </c>
      <c r="I14">
        <v>134.27859159047321</v>
      </c>
      <c r="J14">
        <v>135.22693937777669</v>
      </c>
      <c r="K14">
        <v>138.91124717236249</v>
      </c>
      <c r="L14">
        <v>139.7079319460631</v>
      </c>
      <c r="M14">
        <v>141.37883061737301</v>
      </c>
      <c r="N14">
        <v>142.57837315433221</v>
      </c>
      <c r="O14">
        <v>145.4233498426679</v>
      </c>
      <c r="P14">
        <v>146.11450899488679</v>
      </c>
      <c r="Q14">
        <v>144.18483397632949</v>
      </c>
      <c r="R14">
        <v>141.7558924972918</v>
      </c>
      <c r="S14">
        <v>144.8965334505169</v>
      </c>
      <c r="T14">
        <v>147.07754195930039</v>
      </c>
      <c r="U14">
        <v>146.9062294902422</v>
      </c>
      <c r="V14">
        <v>147.03233265648899</v>
      </c>
      <c r="W14">
        <v>149.68752812147289</v>
      </c>
      <c r="X14">
        <v>151.1710502428447</v>
      </c>
      <c r="Y14">
        <v>154.53016092295459</v>
      </c>
      <c r="Z14">
        <v>153.41499452184769</v>
      </c>
    </row>
    <row r="15" spans="1:28" x14ac:dyDescent="0.35">
      <c r="A15" t="s">
        <v>11</v>
      </c>
      <c r="B15">
        <v>23359432.25</v>
      </c>
      <c r="C15">
        <v>31709868.359999999</v>
      </c>
      <c r="D15">
        <v>39967025.700000003</v>
      </c>
      <c r="E15">
        <v>35481390</v>
      </c>
      <c r="F15">
        <v>48167716.590000004</v>
      </c>
      <c r="G15">
        <v>75307439.879999995</v>
      </c>
      <c r="H15">
        <v>65397089.159999996</v>
      </c>
      <c r="I15">
        <v>63739835.979999997</v>
      </c>
      <c r="J15">
        <v>61976868.359999999</v>
      </c>
      <c r="K15">
        <v>63221930.130000003</v>
      </c>
      <c r="L15">
        <v>57848125.319999993</v>
      </c>
      <c r="M15">
        <v>32090563.25</v>
      </c>
      <c r="N15">
        <v>19507462.98</v>
      </c>
      <c r="O15">
        <v>25397826.010000002</v>
      </c>
      <c r="P15">
        <v>43334858.619999997</v>
      </c>
      <c r="Q15">
        <v>74840071.039999992</v>
      </c>
      <c r="R15">
        <v>131354464.08</v>
      </c>
      <c r="S15">
        <v>146792748.66</v>
      </c>
      <c r="T15">
        <v>108730767.7</v>
      </c>
      <c r="U15">
        <v>119205712.22</v>
      </c>
      <c r="V15">
        <v>174847496.16</v>
      </c>
      <c r="W15">
        <v>177673933.47999999</v>
      </c>
      <c r="X15">
        <v>151100903.00999999</v>
      </c>
      <c r="Y15">
        <v>117959441.92</v>
      </c>
      <c r="Z15">
        <v>135732762.53999999</v>
      </c>
    </row>
    <row r="17" spans="1:28" x14ac:dyDescent="0.35">
      <c r="A17" t="s">
        <v>13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48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  <c r="V17" t="s">
        <v>1</v>
      </c>
      <c r="W17" t="s">
        <v>2</v>
      </c>
      <c r="X17" t="s">
        <v>3</v>
      </c>
      <c r="Y17" t="s">
        <v>4</v>
      </c>
      <c r="Z17" t="s">
        <v>5</v>
      </c>
    </row>
    <row r="18" spans="1:28" x14ac:dyDescent="0.35">
      <c r="A18" t="s">
        <v>6</v>
      </c>
      <c r="B18">
        <v>130.03039565128549</v>
      </c>
      <c r="C18">
        <v>133.13561972496839</v>
      </c>
      <c r="D18">
        <v>135.524196498951</v>
      </c>
      <c r="E18">
        <v>135.28732548834151</v>
      </c>
      <c r="F18">
        <v>135.28771439688319</v>
      </c>
      <c r="G18">
        <v>135.49900659610029</v>
      </c>
      <c r="H18">
        <v>135.05653202064309</v>
      </c>
      <c r="I18">
        <v>133.6533590478692</v>
      </c>
      <c r="J18">
        <v>134.54999962165849</v>
      </c>
      <c r="K18">
        <v>136.72731168449579</v>
      </c>
      <c r="L18">
        <v>137.2711437909899</v>
      </c>
      <c r="M18">
        <v>138.3019509586567</v>
      </c>
      <c r="N18">
        <v>139.23034679005511</v>
      </c>
      <c r="O18">
        <v>137.7158392394139</v>
      </c>
      <c r="P18">
        <v>138.53983622019501</v>
      </c>
      <c r="Q18">
        <v>137.48747271961969</v>
      </c>
      <c r="R18">
        <v>136.76023284432631</v>
      </c>
      <c r="S18">
        <v>137.47802427838079</v>
      </c>
      <c r="T18">
        <v>138.54353569478641</v>
      </c>
      <c r="U18">
        <v>137.20904828299791</v>
      </c>
      <c r="V18">
        <v>136.66839841462689</v>
      </c>
      <c r="W18">
        <v>137.94719223853701</v>
      </c>
      <c r="X18">
        <v>138.66054717924419</v>
      </c>
      <c r="Y18">
        <v>140.0375169754368</v>
      </c>
      <c r="Z18">
        <v>141.0248248674246</v>
      </c>
    </row>
    <row r="19" spans="1:28" x14ac:dyDescent="0.35">
      <c r="A19" t="s">
        <v>7</v>
      </c>
      <c r="B19">
        <v>0.64833122625768169</v>
      </c>
      <c r="C19">
        <v>0.5612475364693239</v>
      </c>
      <c r="D19">
        <v>0.90104971590236005</v>
      </c>
      <c r="E19">
        <v>0.84213718033987561</v>
      </c>
      <c r="F19">
        <v>1.657093519865839</v>
      </c>
      <c r="G19">
        <v>1.815851125188999</v>
      </c>
      <c r="H19">
        <v>1.5016645803773661</v>
      </c>
      <c r="I19">
        <v>1.1834960513425301</v>
      </c>
      <c r="J19">
        <v>0.56607343884937222</v>
      </c>
      <c r="K19">
        <v>0.62303432104519629</v>
      </c>
      <c r="L19">
        <v>-1.4227398664814929E-2</v>
      </c>
      <c r="M19">
        <v>0.60880416093954182</v>
      </c>
      <c r="N19">
        <v>0.26065131663582969</v>
      </c>
      <c r="O19">
        <v>0.32060183290880673</v>
      </c>
      <c r="P19">
        <v>1.4631719761750901</v>
      </c>
      <c r="Q19">
        <v>1.251893936347074</v>
      </c>
      <c r="R19">
        <v>1.0074770780242941</v>
      </c>
      <c r="S19">
        <v>2.0228372967149819</v>
      </c>
      <c r="T19">
        <v>2.282572102390418</v>
      </c>
      <c r="U19">
        <v>2.075500355667828</v>
      </c>
      <c r="V19">
        <v>1.8366264547062201</v>
      </c>
      <c r="W19">
        <v>2.034587661925201</v>
      </c>
      <c r="X19">
        <v>2.2451500749805291</v>
      </c>
      <c r="Y19">
        <v>2.7865446654755028</v>
      </c>
      <c r="Z19">
        <v>3.1317524817767719</v>
      </c>
    </row>
    <row r="20" spans="1:28" x14ac:dyDescent="0.35">
      <c r="A20" t="s">
        <v>8</v>
      </c>
      <c r="B20">
        <v>-0.69777430076353864</v>
      </c>
      <c r="C20">
        <v>-0.66064178245918759</v>
      </c>
      <c r="D20">
        <v>-0.29121519580413768</v>
      </c>
      <c r="E20">
        <v>0.19176239892742669</v>
      </c>
      <c r="F20">
        <v>-5.4680327449734473E-2</v>
      </c>
      <c r="G20">
        <v>0.10988362406707911</v>
      </c>
      <c r="H20">
        <v>-6.9239853309947655E-2</v>
      </c>
      <c r="I20">
        <v>-0.1813287351135863</v>
      </c>
      <c r="J20">
        <v>-0.53658395994732844</v>
      </c>
      <c r="K20">
        <v>-0.51944562236935055</v>
      </c>
      <c r="L20">
        <v>-0.72305819774847513</v>
      </c>
      <c r="M20">
        <v>-0.46721172907635289</v>
      </c>
      <c r="N20">
        <v>-0.38699895194756712</v>
      </c>
      <c r="O20">
        <v>-0.47675867605378058</v>
      </c>
      <c r="P20">
        <v>-0.45073064839432342</v>
      </c>
      <c r="Q20">
        <v>7.7336348855715442E-2</v>
      </c>
      <c r="R20">
        <v>-0.29536951853895849</v>
      </c>
      <c r="S20">
        <v>0.93000573246577323</v>
      </c>
      <c r="T20">
        <v>1.925433962184369</v>
      </c>
      <c r="U20">
        <v>3.045410079803613</v>
      </c>
      <c r="V20">
        <v>2.738092458350307</v>
      </c>
      <c r="W20">
        <v>3.4661866899118019</v>
      </c>
      <c r="X20">
        <v>3.4926550487815939</v>
      </c>
      <c r="Y20">
        <v>4.7019485297824906</v>
      </c>
      <c r="Z20">
        <v>3.9022992180146918</v>
      </c>
      <c r="AB20">
        <f>SUM(B20:Z20)</f>
        <v>18.769976592168597</v>
      </c>
    </row>
    <row r="21" spans="1:28" x14ac:dyDescent="0.35">
      <c r="A21" t="s">
        <v>9</v>
      </c>
      <c r="B21">
        <v>-1.3069432824041869</v>
      </c>
      <c r="C21">
        <v>-1.3579553879237309</v>
      </c>
      <c r="D21">
        <v>1.108272625673363</v>
      </c>
      <c r="E21">
        <v>1.2777113786230601</v>
      </c>
      <c r="F21">
        <v>2.400015841521479</v>
      </c>
      <c r="G21">
        <v>3.9967841920438878</v>
      </c>
      <c r="H21">
        <v>3.6919824179509182</v>
      </c>
      <c r="I21">
        <v>3.4039244624081859</v>
      </c>
      <c r="J21">
        <v>3.981843339306903</v>
      </c>
      <c r="K21">
        <v>4.7025897295652879</v>
      </c>
      <c r="L21">
        <v>4.4588752414614437</v>
      </c>
      <c r="M21">
        <v>5.2540634299369753</v>
      </c>
      <c r="N21">
        <v>5.2899300523753681</v>
      </c>
      <c r="O21">
        <v>4.7024711295367574</v>
      </c>
      <c r="P21">
        <v>6.083668385605784</v>
      </c>
      <c r="Q21">
        <v>6.0297061058927657</v>
      </c>
      <c r="R21">
        <v>4.5434634067266906</v>
      </c>
      <c r="S21">
        <v>5.1010106634249013</v>
      </c>
      <c r="T21">
        <v>5.6551283326322608</v>
      </c>
      <c r="U21">
        <v>5.5283557744099694</v>
      </c>
      <c r="V21">
        <v>5.1975168082451724</v>
      </c>
      <c r="W21">
        <v>6.1198453650728446</v>
      </c>
      <c r="X21">
        <v>6.0068421913942052</v>
      </c>
      <c r="Y21">
        <v>6.2343713165554888</v>
      </c>
      <c r="Z21">
        <v>5.283094545830906</v>
      </c>
    </row>
    <row r="22" spans="1:28" x14ac:dyDescent="0.35">
      <c r="A22" t="s">
        <v>10</v>
      </c>
      <c r="B22">
        <v>128.67400929437551</v>
      </c>
      <c r="C22">
        <v>131.6782700910548</v>
      </c>
      <c r="D22">
        <v>137.2423036447226</v>
      </c>
      <c r="E22">
        <v>137.59893644623179</v>
      </c>
      <c r="F22">
        <v>139.29014343082079</v>
      </c>
      <c r="G22">
        <v>141.42152553740021</v>
      </c>
      <c r="H22">
        <v>140.18093916566141</v>
      </c>
      <c r="I22">
        <v>138.05945082650641</v>
      </c>
      <c r="J22">
        <v>138.56133243986741</v>
      </c>
      <c r="K22">
        <v>141.53349011273701</v>
      </c>
      <c r="L22">
        <v>140.99273343603801</v>
      </c>
      <c r="M22">
        <v>143.69760682045691</v>
      </c>
      <c r="N22">
        <v>144.3939292071187</v>
      </c>
      <c r="O22">
        <v>142.2621535258057</v>
      </c>
      <c r="P22">
        <v>145.6359459335815</v>
      </c>
      <c r="Q22">
        <v>144.8464091107152</v>
      </c>
      <c r="R22">
        <v>142.01580381053839</v>
      </c>
      <c r="S22">
        <v>145.5318779709865</v>
      </c>
      <c r="T22">
        <v>148.40667009199339</v>
      </c>
      <c r="U22">
        <v>147.85831449287929</v>
      </c>
      <c r="V22">
        <v>146.4406341359286</v>
      </c>
      <c r="W22">
        <v>149.56781195544681</v>
      </c>
      <c r="X22">
        <v>150.4051944944006</v>
      </c>
      <c r="Y22">
        <v>153.7603814872503</v>
      </c>
      <c r="Z22">
        <v>153.34197111304701</v>
      </c>
    </row>
    <row r="23" spans="1:28" x14ac:dyDescent="0.35">
      <c r="A23" t="s">
        <v>11</v>
      </c>
      <c r="B23">
        <v>64394146.149999999</v>
      </c>
      <c r="C23">
        <v>59571429.259999998</v>
      </c>
      <c r="D23">
        <v>59026877.619999997</v>
      </c>
      <c r="E23">
        <v>44021606.140000001</v>
      </c>
      <c r="F23">
        <v>63163795.700000003</v>
      </c>
      <c r="G23">
        <v>82590816.260000005</v>
      </c>
      <c r="H23">
        <v>66553012.479999997</v>
      </c>
      <c r="I23">
        <v>59034423.950000003</v>
      </c>
      <c r="J23">
        <v>54953361.270000003</v>
      </c>
      <c r="K23">
        <v>54791981.729999997</v>
      </c>
      <c r="L23">
        <v>38420665.340000004</v>
      </c>
      <c r="M23">
        <v>21163298.399999999</v>
      </c>
      <c r="N23">
        <v>12649519.25</v>
      </c>
      <c r="O23">
        <v>16130465.060000001</v>
      </c>
      <c r="P23">
        <v>28676113.109999999</v>
      </c>
      <c r="Q23">
        <v>44133079.350000001</v>
      </c>
      <c r="R23">
        <v>68364609.75</v>
      </c>
      <c r="S23">
        <v>94709262.439999998</v>
      </c>
      <c r="T23">
        <v>69115984.890000001</v>
      </c>
      <c r="U23">
        <v>70478459.340000004</v>
      </c>
      <c r="V23">
        <v>109653804.81</v>
      </c>
      <c r="W23">
        <v>117949907.67</v>
      </c>
      <c r="X23">
        <v>91351164.770000011</v>
      </c>
      <c r="Y23">
        <v>72088280.260000005</v>
      </c>
      <c r="Z23">
        <v>89192235.909999996</v>
      </c>
    </row>
    <row r="25" spans="1:28" x14ac:dyDescent="0.35">
      <c r="A25" t="s">
        <v>14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66</v>
      </c>
      <c r="J25" t="s">
        <v>67</v>
      </c>
      <c r="K25" t="s">
        <v>68</v>
      </c>
      <c r="L25" t="s">
        <v>69</v>
      </c>
      <c r="M25" t="s">
        <v>70</v>
      </c>
      <c r="N25" t="s">
        <v>48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55</v>
      </c>
      <c r="V25" t="s">
        <v>1</v>
      </c>
      <c r="W25" t="s">
        <v>2</v>
      </c>
      <c r="X25" t="s">
        <v>3</v>
      </c>
      <c r="Y25" t="s">
        <v>4</v>
      </c>
      <c r="Z25" t="s">
        <v>5</v>
      </c>
    </row>
    <row r="26" spans="1:28" x14ac:dyDescent="0.35">
      <c r="A26" t="s">
        <v>6</v>
      </c>
      <c r="B26">
        <v>131.95038796688411</v>
      </c>
      <c r="C26">
        <v>135.6654717957741</v>
      </c>
      <c r="D26">
        <v>137.78085993452939</v>
      </c>
      <c r="E26">
        <v>140.37624797824719</v>
      </c>
      <c r="F26">
        <v>136.7568472127295</v>
      </c>
      <c r="G26">
        <v>136.18261162485399</v>
      </c>
      <c r="H26">
        <v>135.63104898296709</v>
      </c>
      <c r="I26">
        <v>134.6293495160532</v>
      </c>
      <c r="J26">
        <v>134.17392455659669</v>
      </c>
      <c r="K26">
        <v>135.83717961712421</v>
      </c>
      <c r="L26">
        <v>136.9637513036931</v>
      </c>
      <c r="M26">
        <v>138.7722798213712</v>
      </c>
      <c r="N26">
        <v>141.3231605158098</v>
      </c>
      <c r="O26">
        <v>138.8631915017576</v>
      </c>
      <c r="P26">
        <v>137.9566586474825</v>
      </c>
      <c r="Q26">
        <v>139.56619914782399</v>
      </c>
      <c r="R26">
        <v>138.52439991139249</v>
      </c>
      <c r="S26">
        <v>138.4097814248108</v>
      </c>
      <c r="T26">
        <v>140.36330737362081</v>
      </c>
      <c r="U26">
        <v>138.38768592238731</v>
      </c>
      <c r="V26">
        <v>136.70742932031769</v>
      </c>
      <c r="W26">
        <v>138.34779673954839</v>
      </c>
      <c r="X26">
        <v>138.10209621539431</v>
      </c>
      <c r="Y26">
        <v>138.9455515120215</v>
      </c>
      <c r="Z26">
        <v>141.031173313187</v>
      </c>
    </row>
    <row r="27" spans="1:28" x14ac:dyDescent="0.35">
      <c r="A27" t="s">
        <v>7</v>
      </c>
      <c r="B27">
        <v>-1.737618293874988</v>
      </c>
      <c r="C27">
        <v>-1.362001191333434</v>
      </c>
      <c r="D27">
        <v>-0.82270063325532305</v>
      </c>
      <c r="E27">
        <v>0.67937377043395486</v>
      </c>
      <c r="F27">
        <v>1.82079744362008</v>
      </c>
      <c r="G27">
        <v>-0.22282408009877491</v>
      </c>
      <c r="H27">
        <v>-0.34270651080376519</v>
      </c>
      <c r="I27">
        <v>0.75425032903180522</v>
      </c>
      <c r="J27">
        <v>0.49117725062757239</v>
      </c>
      <c r="K27">
        <v>0.57506675081191361</v>
      </c>
      <c r="L27">
        <v>0.94006829221265775</v>
      </c>
      <c r="M27">
        <v>0.98133634088566168</v>
      </c>
      <c r="N27">
        <v>1.163772265119974</v>
      </c>
      <c r="O27">
        <v>0.76651233466805024</v>
      </c>
      <c r="P27">
        <v>1.051226100014617</v>
      </c>
      <c r="Q27">
        <v>1.384639488365849</v>
      </c>
      <c r="R27">
        <v>1.560898860179776</v>
      </c>
      <c r="S27">
        <v>2.4436111035358579</v>
      </c>
      <c r="T27">
        <v>3.2868685446386512</v>
      </c>
      <c r="U27">
        <v>2.9736339398277489</v>
      </c>
      <c r="V27">
        <v>2.4078901425605181</v>
      </c>
      <c r="W27">
        <v>2.4856574923790329</v>
      </c>
      <c r="X27">
        <v>3.009578920406597</v>
      </c>
      <c r="Y27">
        <v>1.853017517857694</v>
      </c>
      <c r="Z27">
        <v>2.359231000063545</v>
      </c>
    </row>
    <row r="28" spans="1:28" x14ac:dyDescent="0.35">
      <c r="A28" t="s">
        <v>8</v>
      </c>
      <c r="B28">
        <v>-0.17414434450997121</v>
      </c>
      <c r="C28">
        <v>-0.2866504166203967</v>
      </c>
      <c r="D28">
        <v>0.33893198814191838</v>
      </c>
      <c r="E28">
        <v>0.91143427805543342</v>
      </c>
      <c r="F28">
        <v>1.2323420446414119</v>
      </c>
      <c r="G28">
        <v>0.69584355606480153</v>
      </c>
      <c r="H28">
        <v>0.51690829252671799</v>
      </c>
      <c r="I28">
        <v>0.46686242121177368</v>
      </c>
      <c r="J28">
        <v>-1.0466750414134871E-2</v>
      </c>
      <c r="K28">
        <v>-1.1050641606760601</v>
      </c>
      <c r="L28">
        <v>-0.64441284546207289</v>
      </c>
      <c r="M28">
        <v>-0.45751067782277449</v>
      </c>
      <c r="N28">
        <v>0.35391149712147768</v>
      </c>
      <c r="O28">
        <v>-0.19699146876854681</v>
      </c>
      <c r="P28">
        <v>0.12864630878744721</v>
      </c>
      <c r="Q28">
        <v>1.2351379703722229</v>
      </c>
      <c r="R28">
        <v>0.31443057132475299</v>
      </c>
      <c r="S28">
        <v>0.32588548308015902</v>
      </c>
      <c r="T28">
        <v>0.56288510605083453</v>
      </c>
      <c r="U28">
        <v>2.728726398586053</v>
      </c>
      <c r="V28">
        <v>3.0252141514701218</v>
      </c>
      <c r="W28">
        <v>2.30008479279208</v>
      </c>
      <c r="X28">
        <v>2.9918316002262961</v>
      </c>
      <c r="Y28">
        <v>3.4102833111674311</v>
      </c>
      <c r="Z28">
        <v>1.7131588488747329</v>
      </c>
      <c r="AB28">
        <f>SUM(B28:Z28)</f>
        <v>20.377277956221711</v>
      </c>
    </row>
    <row r="29" spans="1:28" x14ac:dyDescent="0.35">
      <c r="A29" t="s">
        <v>9</v>
      </c>
      <c r="B29">
        <v>6.3426570914819456</v>
      </c>
      <c r="C29">
        <v>7.0333880851271058</v>
      </c>
      <c r="D29">
        <v>9.9537765716153928</v>
      </c>
      <c r="E29">
        <v>8.9849480344015067</v>
      </c>
      <c r="F29">
        <v>7.7462434614231146</v>
      </c>
      <c r="G29">
        <v>9.7432048331490044</v>
      </c>
      <c r="H29">
        <v>8.8309165448175548</v>
      </c>
      <c r="I29">
        <v>7.7046525899058018</v>
      </c>
      <c r="J29">
        <v>7.5704854591293067</v>
      </c>
      <c r="K29">
        <v>7.7050467100869868</v>
      </c>
      <c r="L29">
        <v>7.9561856710891554</v>
      </c>
      <c r="M29">
        <v>7.9120134266747906</v>
      </c>
      <c r="N29">
        <v>8.8983727385145759</v>
      </c>
      <c r="O29">
        <v>8.2305730397635379</v>
      </c>
      <c r="P29">
        <v>9.0487813037711646</v>
      </c>
      <c r="Q29">
        <v>8.6485665344135061</v>
      </c>
      <c r="R29">
        <v>6.8367603559067636</v>
      </c>
      <c r="S29">
        <v>7.1576069726865228</v>
      </c>
      <c r="T29">
        <v>7.5045594240247366</v>
      </c>
      <c r="U29">
        <v>7.6050231770427601</v>
      </c>
      <c r="V29">
        <v>6.8894838548698747</v>
      </c>
      <c r="W29">
        <v>6.3790932543306891</v>
      </c>
      <c r="X29">
        <v>6.3491273489049087</v>
      </c>
      <c r="Y29">
        <v>6.3831045499089116</v>
      </c>
      <c r="Z29">
        <v>5.5145900700513391</v>
      </c>
    </row>
    <row r="30" spans="1:28" x14ac:dyDescent="0.35">
      <c r="A30" t="s">
        <v>10</v>
      </c>
      <c r="B30">
        <v>136.38128241998109</v>
      </c>
      <c r="C30">
        <v>141.0502082729474</v>
      </c>
      <c r="D30">
        <v>147.2508678610314</v>
      </c>
      <c r="E30">
        <v>150.9520040611381</v>
      </c>
      <c r="F30">
        <v>147.5562301624141</v>
      </c>
      <c r="G30">
        <v>146.39883593396911</v>
      </c>
      <c r="H30">
        <v>144.63616730950761</v>
      </c>
      <c r="I30">
        <v>143.55511485620261</v>
      </c>
      <c r="J30">
        <v>142.22512051593949</v>
      </c>
      <c r="K30">
        <v>143.0122289173471</v>
      </c>
      <c r="L30">
        <v>145.21559242153279</v>
      </c>
      <c r="M30">
        <v>147.2081189111089</v>
      </c>
      <c r="N30">
        <v>151.73921701656579</v>
      </c>
      <c r="O30">
        <v>147.66328540742069</v>
      </c>
      <c r="P30">
        <v>148.18531236005569</v>
      </c>
      <c r="Q30">
        <v>150.8345431409756</v>
      </c>
      <c r="R30">
        <v>147.23648969880381</v>
      </c>
      <c r="S30">
        <v>148.33688498411331</v>
      </c>
      <c r="T30">
        <v>151.717620448335</v>
      </c>
      <c r="U30">
        <v>151.6950694378439</v>
      </c>
      <c r="V30">
        <v>149.03001746921819</v>
      </c>
      <c r="W30">
        <v>149.51263227905019</v>
      </c>
      <c r="X30">
        <v>150.45263408493199</v>
      </c>
      <c r="Y30">
        <v>150.59195689095549</v>
      </c>
      <c r="Z30">
        <v>150.61815323217661</v>
      </c>
    </row>
    <row r="31" spans="1:28" x14ac:dyDescent="0.35">
      <c r="A31" t="s">
        <v>11</v>
      </c>
      <c r="B31">
        <v>26533209.609999999</v>
      </c>
      <c r="C31">
        <v>20452730.02</v>
      </c>
      <c r="D31">
        <v>18615600.899999999</v>
      </c>
      <c r="E31">
        <v>8943877.4000000004</v>
      </c>
      <c r="F31">
        <v>15181236.02</v>
      </c>
      <c r="G31">
        <v>31017455.530000001</v>
      </c>
      <c r="H31">
        <v>26185057.969999999</v>
      </c>
      <c r="I31">
        <v>18912869.129999999</v>
      </c>
      <c r="J31">
        <v>20022958.149999999</v>
      </c>
      <c r="K31">
        <v>18264458.109999999</v>
      </c>
      <c r="L31">
        <v>16133338.15</v>
      </c>
      <c r="M31">
        <v>9991541.5899999999</v>
      </c>
      <c r="N31">
        <v>6626495.1900000004</v>
      </c>
      <c r="O31">
        <v>9268286.370000001</v>
      </c>
      <c r="P31">
        <v>15549122.210000001</v>
      </c>
      <c r="Q31">
        <v>14908182.6</v>
      </c>
      <c r="R31">
        <v>27184358.260000002</v>
      </c>
      <c r="S31">
        <v>35792719.759999998</v>
      </c>
      <c r="T31">
        <v>21760335.98</v>
      </c>
      <c r="U31">
        <v>21252328.469999999</v>
      </c>
      <c r="V31">
        <v>43623019.229999997</v>
      </c>
      <c r="W31">
        <v>40720244.030000001</v>
      </c>
      <c r="X31">
        <v>43230820.039999999</v>
      </c>
      <c r="Y31">
        <v>43309748.599999987</v>
      </c>
      <c r="Z31">
        <v>52399661.719999999</v>
      </c>
    </row>
    <row r="33" spans="1:28" x14ac:dyDescent="0.35">
      <c r="A33" t="s">
        <v>15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64</v>
      </c>
      <c r="H33" t="s">
        <v>65</v>
      </c>
      <c r="I33" t="s">
        <v>66</v>
      </c>
      <c r="J33" t="s">
        <v>67</v>
      </c>
      <c r="K33" t="s">
        <v>68</v>
      </c>
      <c r="L33" t="s">
        <v>69</v>
      </c>
      <c r="M33" t="s">
        <v>70</v>
      </c>
      <c r="N33" t="s">
        <v>48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55</v>
      </c>
      <c r="V33" t="s">
        <v>1</v>
      </c>
      <c r="W33" t="s">
        <v>2</v>
      </c>
      <c r="X33" t="s">
        <v>3</v>
      </c>
      <c r="Y33" t="s">
        <v>4</v>
      </c>
      <c r="Z33" t="s">
        <v>5</v>
      </c>
    </row>
    <row r="34" spans="1:28" x14ac:dyDescent="0.35">
      <c r="A34" t="s">
        <v>6</v>
      </c>
      <c r="B34">
        <v>132.3830679174151</v>
      </c>
      <c r="C34">
        <v>133.22864053407059</v>
      </c>
      <c r="D34">
        <v>136.30165783621021</v>
      </c>
      <c r="E34">
        <v>135.3824245085064</v>
      </c>
      <c r="F34">
        <v>133.83570351401411</v>
      </c>
      <c r="G34">
        <v>131.87489783492529</v>
      </c>
      <c r="H34">
        <v>131.1356915650193</v>
      </c>
      <c r="I34">
        <v>129.47230286810949</v>
      </c>
      <c r="J34">
        <v>129.34472841048469</v>
      </c>
      <c r="K34">
        <v>131.4534857039441</v>
      </c>
      <c r="L34">
        <v>131.7155339764507</v>
      </c>
      <c r="M34">
        <v>131.25851429906621</v>
      </c>
      <c r="N34">
        <v>132.73384871823549</v>
      </c>
      <c r="O34">
        <v>133.4421953804156</v>
      </c>
      <c r="P34">
        <v>133.76755452848761</v>
      </c>
      <c r="Q34">
        <v>135.3136659257851</v>
      </c>
      <c r="R34">
        <v>136.174564953763</v>
      </c>
      <c r="S34">
        <v>136.81709999339159</v>
      </c>
      <c r="T34">
        <v>136.69241262670499</v>
      </c>
      <c r="U34">
        <v>134.948750294055</v>
      </c>
      <c r="V34">
        <v>134.57147996843619</v>
      </c>
      <c r="W34">
        <v>136.41792232868141</v>
      </c>
      <c r="X34">
        <v>137.00629562165429</v>
      </c>
      <c r="Y34">
        <v>137.20721483911191</v>
      </c>
      <c r="Z34">
        <v>139.81815016922329</v>
      </c>
    </row>
    <row r="35" spans="1:28" x14ac:dyDescent="0.35">
      <c r="A35" t="s">
        <v>7</v>
      </c>
      <c r="B35">
        <v>0.56784989298699884</v>
      </c>
      <c r="C35">
        <v>0.61142143905391322</v>
      </c>
      <c r="D35">
        <v>0.32304379708060083</v>
      </c>
      <c r="E35">
        <v>-0.89774631802086446</v>
      </c>
      <c r="F35">
        <v>-0.38143036028554889</v>
      </c>
      <c r="G35">
        <v>-0.59152796588301726</v>
      </c>
      <c r="H35">
        <v>-0.79955394882412634</v>
      </c>
      <c r="I35">
        <v>-0.57952409404390437</v>
      </c>
      <c r="J35">
        <v>-0.1218767355521209</v>
      </c>
      <c r="K35">
        <v>-0.57677921084459172</v>
      </c>
      <c r="L35">
        <v>-1.563158121816997</v>
      </c>
      <c r="M35">
        <v>-1.3928785047271219</v>
      </c>
      <c r="N35">
        <v>-1.7491957388739079</v>
      </c>
      <c r="O35">
        <v>-1.0555470950184831</v>
      </c>
      <c r="P35">
        <v>-0.70981924968504018</v>
      </c>
      <c r="Q35">
        <v>0.45524568857470632</v>
      </c>
      <c r="R35">
        <v>-0.59304561449187077</v>
      </c>
      <c r="S35">
        <v>-0.32922096854829869</v>
      </c>
      <c r="T35">
        <v>-0.49722570974498131</v>
      </c>
      <c r="U35">
        <v>-0.28570766013737631</v>
      </c>
      <c r="V35">
        <v>-0.97599677625345294</v>
      </c>
      <c r="W35">
        <v>0.2055614662968708</v>
      </c>
      <c r="X35">
        <v>0.17963091044521209</v>
      </c>
      <c r="Y35">
        <v>1.0649609356779881</v>
      </c>
      <c r="Z35">
        <v>1.2744829524975501</v>
      </c>
    </row>
    <row r="36" spans="1:28" x14ac:dyDescent="0.35">
      <c r="A36" t="s">
        <v>8</v>
      </c>
      <c r="B36">
        <v>-0.5769075909461322</v>
      </c>
      <c r="C36">
        <v>-0.23786945794399331</v>
      </c>
      <c r="D36">
        <v>0.1582313990485027</v>
      </c>
      <c r="E36">
        <v>-2.7361975040254609E-2</v>
      </c>
      <c r="F36">
        <v>2.5627643545537E-2</v>
      </c>
      <c r="G36">
        <v>0.51253643213502109</v>
      </c>
      <c r="H36">
        <v>-0.10789455054804239</v>
      </c>
      <c r="I36">
        <v>-0.11122887042664779</v>
      </c>
      <c r="J36">
        <v>-1.022898723483924</v>
      </c>
      <c r="K36">
        <v>-1.306708350882867</v>
      </c>
      <c r="L36">
        <v>-2.0579850077470421</v>
      </c>
      <c r="M36">
        <v>-2.2321860276680581</v>
      </c>
      <c r="N36">
        <v>-1.9687515746931821</v>
      </c>
      <c r="O36">
        <v>-1.4611738652973509</v>
      </c>
      <c r="P36">
        <v>-1.275541700280074</v>
      </c>
      <c r="Q36">
        <v>-0.57377928459134575</v>
      </c>
      <c r="R36">
        <v>-1.196906889550174</v>
      </c>
      <c r="S36">
        <v>-0.70221702684530707</v>
      </c>
      <c r="T36">
        <v>0.29818442941489393</v>
      </c>
      <c r="U36">
        <v>3.1855102295867028</v>
      </c>
      <c r="V36">
        <v>4.774438181309864</v>
      </c>
      <c r="W36">
        <v>3.70525766296565</v>
      </c>
      <c r="X36">
        <v>3.7671271517580061</v>
      </c>
      <c r="Y36">
        <v>4.7206981670882522</v>
      </c>
      <c r="Z36">
        <v>3.7633109929348252</v>
      </c>
      <c r="AB36">
        <f>SUM(B36:Z36)</f>
        <v>10.051511393842857</v>
      </c>
    </row>
    <row r="37" spans="1:28" x14ac:dyDescent="0.35">
      <c r="A37" t="s">
        <v>9</v>
      </c>
      <c r="B37">
        <v>-0.13322006933246949</v>
      </c>
      <c r="C37">
        <v>2.2739712643691231E-2</v>
      </c>
      <c r="D37">
        <v>2.4235000105167441</v>
      </c>
      <c r="E37">
        <v>0.99755289967728</v>
      </c>
      <c r="F37">
        <v>1.1370353945400939</v>
      </c>
      <c r="G37">
        <v>2.537237232881064</v>
      </c>
      <c r="H37">
        <v>1.3834919559757659</v>
      </c>
      <c r="I37">
        <v>0.93204516977582275</v>
      </c>
      <c r="J37">
        <v>0.67656734074078617</v>
      </c>
      <c r="K37">
        <v>1.3204474194771429</v>
      </c>
      <c r="L37">
        <v>2.0682453530808531</v>
      </c>
      <c r="M37">
        <v>1.292601212550635</v>
      </c>
      <c r="N37">
        <v>0.83227949280315028</v>
      </c>
      <c r="O37">
        <v>1.506183872508597</v>
      </c>
      <c r="P37">
        <v>2.6040978578958311</v>
      </c>
      <c r="Q37">
        <v>1.8467104813411941</v>
      </c>
      <c r="R37">
        <v>1.7185195498860411</v>
      </c>
      <c r="S37">
        <v>1.9603957376782599</v>
      </c>
      <c r="T37">
        <v>1.7480707649946601</v>
      </c>
      <c r="U37">
        <v>1.3236842535445581</v>
      </c>
      <c r="V37">
        <v>1.5179816932472769</v>
      </c>
      <c r="W37">
        <v>1.9254512574853271</v>
      </c>
      <c r="X37">
        <v>1.84749611180465</v>
      </c>
      <c r="Y37">
        <v>1.6998582374033711</v>
      </c>
      <c r="Z37">
        <v>1.493844292120428</v>
      </c>
    </row>
    <row r="38" spans="1:28" x14ac:dyDescent="0.35">
      <c r="A38" t="s">
        <v>10</v>
      </c>
      <c r="B38">
        <v>132.2407901501235</v>
      </c>
      <c r="C38">
        <v>133.62493222782419</v>
      </c>
      <c r="D38">
        <v>139.20643304285599</v>
      </c>
      <c r="E38">
        <v>135.45486911512259</v>
      </c>
      <c r="F38">
        <v>134.6169361918142</v>
      </c>
      <c r="G38">
        <v>134.33314353405839</v>
      </c>
      <c r="H38">
        <v>131.61173502162279</v>
      </c>
      <c r="I38">
        <v>129.71359507341469</v>
      </c>
      <c r="J38">
        <v>128.87652029218941</v>
      </c>
      <c r="K38">
        <v>130.89044556169381</v>
      </c>
      <c r="L38">
        <v>130.16263619996749</v>
      </c>
      <c r="M38">
        <v>128.9260509792216</v>
      </c>
      <c r="N38">
        <v>129.84818089747159</v>
      </c>
      <c r="O38">
        <v>132.4316582926084</v>
      </c>
      <c r="P38">
        <v>134.38629143641819</v>
      </c>
      <c r="Q38">
        <v>137.04184281110969</v>
      </c>
      <c r="R38">
        <v>136.103131999607</v>
      </c>
      <c r="S38">
        <v>137.74605773567629</v>
      </c>
      <c r="T38">
        <v>138.24144211136951</v>
      </c>
      <c r="U38">
        <v>139.17223711704889</v>
      </c>
      <c r="V38">
        <v>139.88790306673991</v>
      </c>
      <c r="W38">
        <v>142.25419271542921</v>
      </c>
      <c r="X38">
        <v>142.80054979566219</v>
      </c>
      <c r="Y38">
        <v>144.69273217928151</v>
      </c>
      <c r="Z38">
        <v>146.3497884067761</v>
      </c>
    </row>
    <row r="39" spans="1:28" x14ac:dyDescent="0.35">
      <c r="A39" t="s">
        <v>11</v>
      </c>
      <c r="B39">
        <v>38280312.600000001</v>
      </c>
      <c r="C39">
        <v>47373090.170000002</v>
      </c>
      <c r="D39">
        <v>47931937.469999999</v>
      </c>
      <c r="E39">
        <v>49971994.259999998</v>
      </c>
      <c r="F39">
        <v>91002139.469999999</v>
      </c>
      <c r="G39">
        <v>128666875.94</v>
      </c>
      <c r="H39">
        <v>96896825.430000007</v>
      </c>
      <c r="I39">
        <v>74050276.870000005</v>
      </c>
      <c r="J39">
        <v>76165797.019999996</v>
      </c>
      <c r="K39">
        <v>68689507.870000005</v>
      </c>
      <c r="L39">
        <v>57582674.780000001</v>
      </c>
      <c r="M39">
        <v>65211671.07</v>
      </c>
      <c r="N39">
        <v>68663782.969999999</v>
      </c>
      <c r="O39">
        <v>60652581.18</v>
      </c>
      <c r="P39">
        <v>74303783.809999987</v>
      </c>
      <c r="Q39">
        <v>77695500.75</v>
      </c>
      <c r="R39">
        <v>115551353.54000001</v>
      </c>
      <c r="S39">
        <v>101911462.23999999</v>
      </c>
      <c r="T39">
        <v>81068199.189999998</v>
      </c>
      <c r="U39">
        <v>92073036.069999993</v>
      </c>
      <c r="V39">
        <v>151182270.44999999</v>
      </c>
      <c r="W39">
        <v>130232535.68000001</v>
      </c>
      <c r="X39">
        <v>108684678.34999999</v>
      </c>
      <c r="Y39">
        <v>91451649.269999981</v>
      </c>
      <c r="Z39">
        <v>86527668.819999993</v>
      </c>
    </row>
    <row r="41" spans="1:28" x14ac:dyDescent="0.35">
      <c r="A41" t="s">
        <v>16</v>
      </c>
      <c r="B41" t="s">
        <v>59</v>
      </c>
      <c r="C41" t="s">
        <v>60</v>
      </c>
      <c r="D41" t="s">
        <v>61</v>
      </c>
      <c r="E41" t="s">
        <v>62</v>
      </c>
      <c r="F41" t="s">
        <v>63</v>
      </c>
      <c r="G41" t="s">
        <v>64</v>
      </c>
      <c r="H41" t="s">
        <v>65</v>
      </c>
      <c r="I41" t="s">
        <v>66</v>
      </c>
      <c r="J41" t="s">
        <v>67</v>
      </c>
      <c r="K41" t="s">
        <v>68</v>
      </c>
      <c r="L41" t="s">
        <v>69</v>
      </c>
      <c r="M41" t="s">
        <v>70</v>
      </c>
      <c r="N41" t="s">
        <v>48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55</v>
      </c>
      <c r="V41" t="s">
        <v>1</v>
      </c>
      <c r="W41" t="s">
        <v>2</v>
      </c>
      <c r="X41" t="s">
        <v>3</v>
      </c>
      <c r="Y41" t="s">
        <v>4</v>
      </c>
      <c r="Z41" t="s">
        <v>5</v>
      </c>
    </row>
    <row r="42" spans="1:28" x14ac:dyDescent="0.35">
      <c r="A42" t="s">
        <v>6</v>
      </c>
      <c r="B42">
        <v>135.86332249445411</v>
      </c>
      <c r="C42">
        <v>138.37204193247351</v>
      </c>
      <c r="D42">
        <v>138.78949632186041</v>
      </c>
      <c r="E42">
        <v>136.95890436813559</v>
      </c>
      <c r="F42">
        <v>135.464326976926</v>
      </c>
      <c r="G42">
        <v>135.7380087477724</v>
      </c>
      <c r="H42">
        <v>134.5037235232796</v>
      </c>
      <c r="I42">
        <v>133.19297164592061</v>
      </c>
      <c r="J42">
        <v>133.26474125481579</v>
      </c>
      <c r="K42">
        <v>134.70114979213409</v>
      </c>
      <c r="L42">
        <v>136.05826795641721</v>
      </c>
      <c r="M42">
        <v>138.33369756523109</v>
      </c>
      <c r="N42">
        <v>140.09671657848929</v>
      </c>
      <c r="O42">
        <v>140.6586391183844</v>
      </c>
      <c r="P42">
        <v>140.50459471793889</v>
      </c>
      <c r="Q42">
        <v>140.56078051519651</v>
      </c>
      <c r="R42">
        <v>139.56825037479661</v>
      </c>
      <c r="S42">
        <v>140.43211833884561</v>
      </c>
      <c r="T42">
        <v>139.88511483115639</v>
      </c>
      <c r="U42">
        <v>139.76781802522791</v>
      </c>
      <c r="V42">
        <v>139.70876763492191</v>
      </c>
      <c r="W42">
        <v>139.86672280884679</v>
      </c>
      <c r="X42">
        <v>139.91790875779989</v>
      </c>
      <c r="Y42">
        <v>140.94205426095121</v>
      </c>
      <c r="Z42">
        <v>142.03899090550939</v>
      </c>
    </row>
    <row r="43" spans="1:28" x14ac:dyDescent="0.35">
      <c r="A43" t="s">
        <v>7</v>
      </c>
      <c r="B43">
        <v>4.4918827021075742</v>
      </c>
      <c r="C43">
        <v>4.551979066423371</v>
      </c>
      <c r="D43">
        <v>4.4080580897392574</v>
      </c>
      <c r="E43">
        <v>4.0588062484797263</v>
      </c>
      <c r="F43">
        <v>3.8414426470363878</v>
      </c>
      <c r="G43">
        <v>3.619794276590568</v>
      </c>
      <c r="H43">
        <v>3.485684751518249</v>
      </c>
      <c r="I43">
        <v>3.1667830676876751</v>
      </c>
      <c r="J43">
        <v>2.91345774118949</v>
      </c>
      <c r="K43">
        <v>2.0561578106858178</v>
      </c>
      <c r="L43">
        <v>1.2337810801302</v>
      </c>
      <c r="M43">
        <v>1.3869179362435771</v>
      </c>
      <c r="N43">
        <v>1.1470581624031979</v>
      </c>
      <c r="O43">
        <v>1.3470828281179761</v>
      </c>
      <c r="P43">
        <v>1.4825754874531469</v>
      </c>
      <c r="Q43">
        <v>1.735482925395615</v>
      </c>
      <c r="R43">
        <v>1.3266459899973599</v>
      </c>
      <c r="S43">
        <v>2.2203144511825879</v>
      </c>
      <c r="T43">
        <v>1.9527826553908769</v>
      </c>
      <c r="U43">
        <v>0.75353600348131522</v>
      </c>
      <c r="V43">
        <v>-0.59293676979766019</v>
      </c>
      <c r="W43">
        <v>1.0908331834159239</v>
      </c>
      <c r="X43">
        <v>0.95995221674948539</v>
      </c>
      <c r="Y43">
        <v>0.99913491910544394</v>
      </c>
      <c r="Z43">
        <v>0.57082191683323913</v>
      </c>
    </row>
    <row r="44" spans="1:28" x14ac:dyDescent="0.35">
      <c r="A44" t="s">
        <v>8</v>
      </c>
      <c r="B44">
        <v>5.4258197052347149E-2</v>
      </c>
      <c r="C44">
        <v>0.43110716236044611</v>
      </c>
      <c r="D44">
        <v>2.452648298079833E-2</v>
      </c>
      <c r="E44">
        <v>0.40477748094964999</v>
      </c>
      <c r="F44">
        <v>0.49499963135422348</v>
      </c>
      <c r="G44">
        <v>0.93081355548104694</v>
      </c>
      <c r="H44">
        <v>1.7071870021484039</v>
      </c>
      <c r="I44">
        <v>0.80482787756820351</v>
      </c>
      <c r="J44">
        <v>0.66107033623268197</v>
      </c>
      <c r="K44">
        <v>-2.0183634801491299E-2</v>
      </c>
      <c r="L44">
        <v>-0.44628346717111977</v>
      </c>
      <c r="M44">
        <v>-0.57549411857196553</v>
      </c>
      <c r="N44">
        <v>-0.9781821605213411</v>
      </c>
      <c r="O44">
        <v>-0.34839807795046301</v>
      </c>
      <c r="P44">
        <v>-0.38931540741708109</v>
      </c>
      <c r="Q44">
        <v>0.2122453843758168</v>
      </c>
      <c r="R44">
        <v>-0.23559879028366379</v>
      </c>
      <c r="S44">
        <v>9.0456386109090653E-2</v>
      </c>
      <c r="T44">
        <v>-0.54232293136719834</v>
      </c>
      <c r="U44">
        <v>-0.68396124727796337</v>
      </c>
      <c r="V44">
        <v>-0.69812196046537944</v>
      </c>
      <c r="W44">
        <v>-3.9833427111439362E-2</v>
      </c>
      <c r="X44">
        <v>0.39669237239811889</v>
      </c>
      <c r="Y44">
        <v>0.69863396050410365</v>
      </c>
      <c r="Z44">
        <v>0.49570846122702822</v>
      </c>
      <c r="AB44">
        <f>SUM(B44:Z44)</f>
        <v>2.4496090678028528</v>
      </c>
    </row>
    <row r="45" spans="1:28" x14ac:dyDescent="0.35">
      <c r="A45" t="s">
        <v>9</v>
      </c>
      <c r="B45">
        <v>-1.8679577337729509</v>
      </c>
      <c r="C45">
        <v>-2.2934700304173141</v>
      </c>
      <c r="D45">
        <v>-1.90599548482373E-2</v>
      </c>
      <c r="E45">
        <v>-2.102065688983779</v>
      </c>
      <c r="F45">
        <v>0.12072478597422311</v>
      </c>
      <c r="G45">
        <v>2.7880241469830191</v>
      </c>
      <c r="H45">
        <v>1.806428919350769</v>
      </c>
      <c r="I45">
        <v>1.6186275026710031</v>
      </c>
      <c r="J45">
        <v>-0.68305506480578748</v>
      </c>
      <c r="K45">
        <v>0.54282025768139242</v>
      </c>
      <c r="L45">
        <v>-0.67404899043559141</v>
      </c>
      <c r="M45">
        <v>-2.4034512234684819</v>
      </c>
      <c r="N45">
        <v>-2.738318159686385</v>
      </c>
      <c r="O45">
        <v>-1.43429580022272</v>
      </c>
      <c r="P45">
        <v>-3.8284856000617902</v>
      </c>
      <c r="Q45">
        <v>-4.9859273123596699</v>
      </c>
      <c r="R45">
        <v>-4.1535780349148572</v>
      </c>
      <c r="S45">
        <v>-1.014621285372507</v>
      </c>
      <c r="T45">
        <v>-1.6180761042652789</v>
      </c>
      <c r="U45">
        <v>-1.560276997846936</v>
      </c>
      <c r="V45">
        <v>-0.78475247095689693</v>
      </c>
      <c r="W45">
        <v>-0.38922450159549088</v>
      </c>
      <c r="X45">
        <v>-0.57494631824503539</v>
      </c>
      <c r="Y45">
        <v>-0.30343741260103579</v>
      </c>
      <c r="Z45">
        <v>0.36619045969935132</v>
      </c>
    </row>
    <row r="46" spans="1:28" x14ac:dyDescent="0.35">
      <c r="A46" t="s">
        <v>10</v>
      </c>
      <c r="B46">
        <v>138.54150565984111</v>
      </c>
      <c r="C46">
        <v>141.06165813083999</v>
      </c>
      <c r="D46">
        <v>143.2030209397322</v>
      </c>
      <c r="E46">
        <v>139.32042240858121</v>
      </c>
      <c r="F46">
        <v>139.92149404129091</v>
      </c>
      <c r="G46">
        <v>143.07664072682701</v>
      </c>
      <c r="H46">
        <v>141.50302419629699</v>
      </c>
      <c r="I46">
        <v>138.7832100938474</v>
      </c>
      <c r="J46">
        <v>136.1562142674322</v>
      </c>
      <c r="K46">
        <v>137.27994422569981</v>
      </c>
      <c r="L46">
        <v>136.1717165789407</v>
      </c>
      <c r="M46">
        <v>136.74167015943419</v>
      </c>
      <c r="N46">
        <v>137.52727442068471</v>
      </c>
      <c r="O46">
        <v>140.2230280683292</v>
      </c>
      <c r="P46">
        <v>137.76936919791319</v>
      </c>
      <c r="Q46">
        <v>137.5225815126083</v>
      </c>
      <c r="R46">
        <v>136.5057195395955</v>
      </c>
      <c r="S46">
        <v>141.72826789076481</v>
      </c>
      <c r="T46">
        <v>139.67749845091481</v>
      </c>
      <c r="U46">
        <v>138.27711578358429</v>
      </c>
      <c r="V46">
        <v>137.63295643370199</v>
      </c>
      <c r="W46">
        <v>140.52849806355579</v>
      </c>
      <c r="X46">
        <v>140.6996070287025</v>
      </c>
      <c r="Y46">
        <v>142.33638572795979</v>
      </c>
      <c r="Z46">
        <v>143.471711743269</v>
      </c>
    </row>
    <row r="47" spans="1:28" x14ac:dyDescent="0.35">
      <c r="A47" t="s">
        <v>11</v>
      </c>
      <c r="B47">
        <v>237410626.31999999</v>
      </c>
      <c r="C47">
        <v>210491293.02000001</v>
      </c>
      <c r="D47">
        <v>273255852.95999998</v>
      </c>
      <c r="E47">
        <v>231122364.84999999</v>
      </c>
      <c r="F47">
        <v>368400633.05000001</v>
      </c>
      <c r="G47">
        <v>372449575.12</v>
      </c>
      <c r="H47">
        <v>340292364.87</v>
      </c>
      <c r="I47">
        <v>287626500.82999998</v>
      </c>
      <c r="J47">
        <v>221684703.61000001</v>
      </c>
      <c r="K47">
        <v>355757867.75999999</v>
      </c>
      <c r="L47">
        <v>294296290.55000001</v>
      </c>
      <c r="M47">
        <v>222829131.05000001</v>
      </c>
      <c r="N47">
        <v>259381062.81</v>
      </c>
      <c r="O47">
        <v>253846448.25</v>
      </c>
      <c r="P47">
        <v>143850530.41999999</v>
      </c>
      <c r="Q47">
        <v>123963001.43000001</v>
      </c>
      <c r="R47">
        <v>390295588.07000011</v>
      </c>
      <c r="S47">
        <v>326192451.67000002</v>
      </c>
      <c r="T47">
        <v>301366599.82999998</v>
      </c>
      <c r="U47">
        <v>288436723.16000003</v>
      </c>
      <c r="V47">
        <v>442875681.85000002</v>
      </c>
      <c r="W47">
        <v>386473804.48000002</v>
      </c>
      <c r="X47">
        <v>379394062.72000003</v>
      </c>
      <c r="Y47">
        <v>341839089.51999998</v>
      </c>
      <c r="Z47">
        <v>507344562.62</v>
      </c>
    </row>
    <row r="53" spans="2:26" x14ac:dyDescent="0.35">
      <c r="B53">
        <f>B2-'Wednesday fixed 20q1 w RRA'!B2</f>
        <v>0</v>
      </c>
      <c r="C53">
        <f>C2-'Wednesday fixed 20q1 w RRA'!C2</f>
        <v>0</v>
      </c>
      <c r="D53">
        <f>D2-'Wednesday fixed 20q1 w RRA'!D2</f>
        <v>0</v>
      </c>
      <c r="E53">
        <f>E2-'Wednesday fixed 20q1 w RRA'!E2</f>
        <v>0</v>
      </c>
      <c r="F53">
        <f>F2-'Wednesday fixed 20q1 w RRA'!F2</f>
        <v>0</v>
      </c>
      <c r="G53">
        <f>G2-'Wednesday fixed 20q1 w RRA'!G2</f>
        <v>0</v>
      </c>
      <c r="H53">
        <f>H2-'Wednesday fixed 20q1 w RRA'!H2</f>
        <v>0</v>
      </c>
      <c r="I53">
        <f>I2-'Wednesday fixed 20q1 w RRA'!I2</f>
        <v>0</v>
      </c>
      <c r="J53">
        <f>J2-'Wednesday fixed 20q1 w RRA'!J2</f>
        <v>0</v>
      </c>
      <c r="K53">
        <f>K2-'Wednesday fixed 20q1 w RRA'!K2</f>
        <v>0</v>
      </c>
      <c r="L53">
        <f>L2-'Wednesday fixed 20q1 w RRA'!L2</f>
        <v>0</v>
      </c>
      <c r="M53">
        <f>M2-'Wednesday fixed 20q1 w RRA'!M2</f>
        <v>0</v>
      </c>
      <c r="N53">
        <f>N2-'Wednesday fixed 20q1 w RRA'!N2</f>
        <v>0</v>
      </c>
      <c r="O53">
        <f>O2-'Wednesday fixed 20q1 w RRA'!O2</f>
        <v>0</v>
      </c>
      <c r="P53">
        <f>P2-'Wednesday fixed 20q1 w RRA'!P2</f>
        <v>0</v>
      </c>
      <c r="Q53">
        <f>Q2-'Wednesday fixed 20q1 w RRA'!Q2</f>
        <v>0</v>
      </c>
      <c r="R53">
        <f>R2-'Wednesday fixed 20q1 w RRA'!R2</f>
        <v>0</v>
      </c>
      <c r="S53">
        <f>S2-'Wednesday fixed 20q1 w RRA'!S2</f>
        <v>0</v>
      </c>
      <c r="T53">
        <f>T2-'Wednesday fixed 20q1 w RRA'!T2</f>
        <v>0</v>
      </c>
      <c r="U53">
        <f>U2-'Wednesday fixed 20q1 w RRA'!U2</f>
        <v>0</v>
      </c>
      <c r="V53">
        <f>V2-'Wednesday fixed 20q1 w RRA'!V2</f>
        <v>0</v>
      </c>
      <c r="W53">
        <f>W2-'Wednesday fixed 20q1 w RRA'!W2</f>
        <v>0</v>
      </c>
      <c r="X53">
        <f>X2-'Wednesday fixed 20q1 w RRA'!X2</f>
        <v>0</v>
      </c>
      <c r="Y53">
        <f>Y2-'Wednesday fixed 20q1 w RRA'!Y2</f>
        <v>0</v>
      </c>
      <c r="Z53">
        <f>Z2-'Wednesday fixed 20q1 w RRA'!Z2</f>
        <v>0</v>
      </c>
    </row>
    <row r="54" spans="2:26" x14ac:dyDescent="0.35">
      <c r="B54">
        <f>B3-'Wednesday fixed 20q1 w RRA'!B3</f>
        <v>0</v>
      </c>
      <c r="C54">
        <f>C3-'Wednesday fixed 20q1 w RRA'!C3</f>
        <v>0</v>
      </c>
      <c r="D54">
        <f>D3-'Wednesday fixed 20q1 w RRA'!D3</f>
        <v>0</v>
      </c>
      <c r="E54">
        <f>E3-'Wednesday fixed 20q1 w RRA'!E3</f>
        <v>0</v>
      </c>
      <c r="F54">
        <f>F3-'Wednesday fixed 20q1 w RRA'!F3</f>
        <v>0</v>
      </c>
      <c r="G54">
        <f>G3-'Wednesday fixed 20q1 w RRA'!G3</f>
        <v>0</v>
      </c>
      <c r="H54">
        <f>H3-'Wednesday fixed 20q1 w RRA'!H3</f>
        <v>0</v>
      </c>
      <c r="I54">
        <f>I3-'Wednesday fixed 20q1 w RRA'!I3</f>
        <v>0</v>
      </c>
      <c r="J54">
        <f>J3-'Wednesday fixed 20q1 w RRA'!J3</f>
        <v>0</v>
      </c>
      <c r="K54">
        <f>K3-'Wednesday fixed 20q1 w RRA'!K3</f>
        <v>0</v>
      </c>
      <c r="L54">
        <f>L3-'Wednesday fixed 20q1 w RRA'!L3</f>
        <v>0</v>
      </c>
      <c r="M54">
        <f>M3-'Wednesday fixed 20q1 w RRA'!M3</f>
        <v>0</v>
      </c>
      <c r="N54">
        <f>N3-'Wednesday fixed 20q1 w RRA'!N3</f>
        <v>0</v>
      </c>
      <c r="O54">
        <f>O3-'Wednesday fixed 20q1 w RRA'!O3</f>
        <v>0</v>
      </c>
      <c r="P54">
        <f>P3-'Wednesday fixed 20q1 w RRA'!P3</f>
        <v>0</v>
      </c>
      <c r="Q54">
        <f>Q3-'Wednesday fixed 20q1 w RRA'!Q3</f>
        <v>0</v>
      </c>
      <c r="R54">
        <f>R3-'Wednesday fixed 20q1 w RRA'!R3</f>
        <v>0</v>
      </c>
      <c r="S54">
        <f>S3-'Wednesday fixed 20q1 w RRA'!S3</f>
        <v>0</v>
      </c>
      <c r="T54">
        <f>T3-'Wednesday fixed 20q1 w RRA'!T3</f>
        <v>-2.8421709430404007E-14</v>
      </c>
      <c r="U54">
        <f>U3-'Wednesday fixed 20q1 w RRA'!U3</f>
        <v>0</v>
      </c>
      <c r="V54">
        <f>V3-'Wednesday fixed 20q1 w RRA'!V3</f>
        <v>2.7977620220553945E-14</v>
      </c>
      <c r="W54">
        <f>W3-'Wednesday fixed 20q1 w RRA'!W3</f>
        <v>0</v>
      </c>
      <c r="X54">
        <f>X3-'Wednesday fixed 20q1 w RRA'!X3</f>
        <v>0</v>
      </c>
      <c r="Y54">
        <f>Y3-'Wednesday fixed 20q1 w RRA'!Y3</f>
        <v>0</v>
      </c>
      <c r="Z54">
        <f>Z3-'Wednesday fixed 20q1 w RRA'!Z3</f>
        <v>0</v>
      </c>
    </row>
    <row r="55" spans="2:26" x14ac:dyDescent="0.35">
      <c r="B55">
        <f>B4-'Wednesday fixed 20q1 w RRA'!B4</f>
        <v>-8.4515727749590042E-15</v>
      </c>
      <c r="C55">
        <f>C4-'Wednesday fixed 20q1 w RRA'!C4</f>
        <v>0</v>
      </c>
      <c r="D55">
        <f>D4-'Wednesday fixed 20q1 w RRA'!D4</f>
        <v>0</v>
      </c>
      <c r="E55">
        <f>E4-'Wednesday fixed 20q1 w RRA'!E4</f>
        <v>0</v>
      </c>
      <c r="F55">
        <f>F4-'Wednesday fixed 20q1 w RRA'!F4</f>
        <v>0</v>
      </c>
      <c r="G55">
        <f>G4-'Wednesday fixed 20q1 w RRA'!G4</f>
        <v>0</v>
      </c>
      <c r="H55">
        <f>H4-'Wednesday fixed 20q1 w RRA'!H4</f>
        <v>0</v>
      </c>
      <c r="I55">
        <f>I4-'Wednesday fixed 20q1 w RRA'!I4</f>
        <v>-1.6986412276764895E-14</v>
      </c>
      <c r="J55">
        <f>J4-'Wednesday fixed 20q1 w RRA'!J4</f>
        <v>8.2156503822261584E-15</v>
      </c>
      <c r="K55">
        <f>K4-'Wednesday fixed 20q1 w RRA'!K4</f>
        <v>0</v>
      </c>
      <c r="L55">
        <f>L4-'Wednesday fixed 20q1 w RRA'!L4</f>
        <v>0</v>
      </c>
      <c r="M55">
        <f>M4-'Wednesday fixed 20q1 w RRA'!M4</f>
        <v>0</v>
      </c>
      <c r="N55">
        <f>N4-'Wednesday fixed 20q1 w RRA'!N4</f>
        <v>3.9968028886505635E-15</v>
      </c>
      <c r="O55">
        <f>O4-'Wednesday fixed 20q1 w RRA'!O4</f>
        <v>4.3298697960381105E-15</v>
      </c>
      <c r="P55">
        <f>P4-'Wednesday fixed 20q1 w RRA'!P4</f>
        <v>0</v>
      </c>
      <c r="Q55">
        <f>Q4-'Wednesday fixed 20q1 w RRA'!Q4</f>
        <v>-4.2188474935755949E-15</v>
      </c>
      <c r="R55">
        <f>R4-'Wednesday fixed 20q1 w RRA'!R4</f>
        <v>0</v>
      </c>
      <c r="S55">
        <f>S4-'Wednesday fixed 20q1 w RRA'!S4</f>
        <v>0</v>
      </c>
      <c r="T55">
        <f>T4-'Wednesday fixed 20q1 w RRA'!T4</f>
        <v>8.8817841970012523E-15</v>
      </c>
      <c r="U55">
        <f>U4-'Wednesday fixed 20q1 w RRA'!U4</f>
        <v>0</v>
      </c>
      <c r="V55">
        <f>V4-'Wednesday fixed 20q1 w RRA'!V4</f>
        <v>-8.8817841970012523E-15</v>
      </c>
      <c r="W55">
        <f>W4-'Wednesday fixed 20q1 w RRA'!W4</f>
        <v>0</v>
      </c>
      <c r="X55">
        <f>X4-'Wednesday fixed 20q1 w RRA'!X4</f>
        <v>-9.7699626167013776E-15</v>
      </c>
      <c r="Y55">
        <f>Y4-'Wednesday fixed 20q1 w RRA'!Y4</f>
        <v>0</v>
      </c>
      <c r="Z55">
        <f>Z4-'Wednesday fixed 20q1 w RRA'!Z4</f>
        <v>0</v>
      </c>
    </row>
    <row r="56" spans="2:26" x14ac:dyDescent="0.35">
      <c r="B56">
        <f>B5-'Wednesday fixed 20q1 w RRA'!B5</f>
        <v>1.7517048680462111E-3</v>
      </c>
      <c r="C56">
        <f>C5-'Wednesday fixed 20q1 w RRA'!C5</f>
        <v>7.984781884295522E-3</v>
      </c>
      <c r="D56">
        <f>D5-'Wednesday fixed 20q1 w RRA'!D5</f>
        <v>-1.1122558822651563E-3</v>
      </c>
      <c r="E56">
        <f>E5-'Wednesday fixed 20q1 w RRA'!E5</f>
        <v>-6.6384663682583778E-3</v>
      </c>
      <c r="F56">
        <f>F5-'Wednesday fixed 20q1 w RRA'!F5</f>
        <v>0</v>
      </c>
      <c r="G56">
        <f>G5-'Wednesday fixed 20q1 w RRA'!G5</f>
        <v>-8.4625162907947526E-4</v>
      </c>
      <c r="H56">
        <f>H5-'Wednesday fixed 20q1 w RRA'!H5</f>
        <v>4.832820510058955E-3</v>
      </c>
      <c r="I56">
        <f>I5-'Wednesday fixed 20q1 w RRA'!I5</f>
        <v>8.5874845535593991E-4</v>
      </c>
      <c r="J56">
        <f>J5-'Wednesday fixed 20q1 w RRA'!J5</f>
        <v>-2.9118671203059776E-2</v>
      </c>
      <c r="K56">
        <f>K5-'Wednesday fixed 20q1 w RRA'!K5</f>
        <v>3.9968028886505635E-15</v>
      </c>
      <c r="L56">
        <f>L5-'Wednesday fixed 20q1 w RRA'!L5</f>
        <v>0</v>
      </c>
      <c r="M56">
        <f>M5-'Wednesday fixed 20q1 w RRA'!M5</f>
        <v>0</v>
      </c>
      <c r="N56">
        <f>N5-'Wednesday fixed 20q1 w RRA'!N5</f>
        <v>-3.9968028886505635E-15</v>
      </c>
      <c r="O56">
        <f>O5-'Wednesday fixed 20q1 w RRA'!O5</f>
        <v>7.5845273726748985E-3</v>
      </c>
      <c r="P56">
        <f>P5-'Wednesday fixed 20q1 w RRA'!P5</f>
        <v>3.5223800703310104E-4</v>
      </c>
      <c r="Q56">
        <f>Q5-'Wednesday fixed 20q1 w RRA'!Q5</f>
        <v>1.0801023525738973E-2</v>
      </c>
      <c r="R56">
        <f>R5-'Wednesday fixed 20q1 w RRA'!R5</f>
        <v>2.4300810486604929E-2</v>
      </c>
      <c r="S56">
        <f>S5-'Wednesday fixed 20q1 w RRA'!S5</f>
        <v>1.9291278076486229E-2</v>
      </c>
      <c r="T56">
        <f>T5-'Wednesday fixed 20q1 w RRA'!T5</f>
        <v>2.7400626096958369E-3</v>
      </c>
      <c r="U56">
        <f>U5-'Wednesday fixed 20q1 w RRA'!U5</f>
        <v>-5.6944623841692632E-4</v>
      </c>
      <c r="V56">
        <f>V5-'Wednesday fixed 20q1 w RRA'!V5</f>
        <v>1.8919966511430797E-2</v>
      </c>
      <c r="W56">
        <f>W5-'Wednesday fixed 20q1 w RRA'!W5</f>
        <v>1.5818131457291607E-2</v>
      </c>
      <c r="X56">
        <f>X5-'Wednesday fixed 20q1 w RRA'!X5</f>
        <v>4.9979588227477834E-3</v>
      </c>
      <c r="Y56">
        <f>Y5-'Wednesday fixed 20q1 w RRA'!Y5</f>
        <v>1.8358341279105517E-3</v>
      </c>
      <c r="Z56">
        <f>Z5-'Wednesday fixed 20q1 w RRA'!Z5</f>
        <v>-2.3440407651406758E-2</v>
      </c>
    </row>
    <row r="57" spans="2:26" x14ac:dyDescent="0.35">
      <c r="B57">
        <f>B6-'Wednesday fixed 20q1 w RRA'!B6</f>
        <v>1.7517048679849268E-3</v>
      </c>
      <c r="C57">
        <f>C6-'Wednesday fixed 20q1 w RRA'!C6</f>
        <v>7.9847818842893048E-3</v>
      </c>
      <c r="D57">
        <f>D6-'Wednesday fixed 20q1 w RRA'!D6</f>
        <v>-1.1122558821909934E-3</v>
      </c>
      <c r="E57">
        <f>E6-'Wednesday fixed 20q1 w RRA'!E6</f>
        <v>-6.6384663682867995E-3</v>
      </c>
      <c r="F57">
        <f>F6-'Wednesday fixed 20q1 w RRA'!F6</f>
        <v>0</v>
      </c>
      <c r="G57">
        <f>G6-'Wednesday fixed 20q1 w RRA'!G6</f>
        <v>-8.4625162909901519E-4</v>
      </c>
      <c r="H57">
        <f>H6-'Wednesday fixed 20q1 w RRA'!H6</f>
        <v>4.832820509989233E-3</v>
      </c>
      <c r="I57">
        <f>I6-'Wednesday fixed 20q1 w RRA'!I6</f>
        <v>8.5874845530042876E-4</v>
      </c>
      <c r="J57">
        <f>J6-'Wednesday fixed 20q1 w RRA'!J6</f>
        <v>-2.9118671203093527E-2</v>
      </c>
      <c r="K57">
        <f>K6-'Wednesday fixed 20q1 w RRA'!K6</f>
        <v>0</v>
      </c>
      <c r="L57">
        <f>L6-'Wednesday fixed 20q1 w RRA'!L6</f>
        <v>0</v>
      </c>
      <c r="M57">
        <f>M6-'Wednesday fixed 20q1 w RRA'!M6</f>
        <v>0</v>
      </c>
      <c r="N57">
        <f>N6-'Wednesday fixed 20q1 w RRA'!N6</f>
        <v>0</v>
      </c>
      <c r="O57">
        <f>O6-'Wednesday fixed 20q1 w RRA'!O6</f>
        <v>7.5845273726997675E-3</v>
      </c>
      <c r="P57">
        <f>P6-'Wednesday fixed 20q1 w RRA'!P6</f>
        <v>3.5223800699668573E-4</v>
      </c>
      <c r="Q57">
        <f>Q6-'Wednesday fixed 20q1 w RRA'!Q6</f>
        <v>1.0801023525687015E-2</v>
      </c>
      <c r="R57">
        <f>R6-'Wednesday fixed 20q1 w RRA'!R6</f>
        <v>2.4300810486607816E-2</v>
      </c>
      <c r="S57">
        <f>S6-'Wednesday fixed 20q1 w RRA'!S6</f>
        <v>1.9291278076508434E-2</v>
      </c>
      <c r="T57">
        <f>T6-'Wednesday fixed 20q1 w RRA'!T6</f>
        <v>2.7400626097175973E-3</v>
      </c>
      <c r="U57">
        <f>U6-'Wednesday fixed 20q1 w RRA'!U6</f>
        <v>-5.6944623838717234E-4</v>
      </c>
      <c r="V57">
        <f>V6-'Wednesday fixed 20q1 w RRA'!V6</f>
        <v>1.8919966511390385E-2</v>
      </c>
      <c r="W57">
        <f>W6-'Wednesday fixed 20q1 w RRA'!W6</f>
        <v>1.5818131457308482E-2</v>
      </c>
      <c r="X57">
        <f>X6-'Wednesday fixed 20q1 w RRA'!X6</f>
        <v>4.9979588227131444E-3</v>
      </c>
      <c r="Y57">
        <f>Y6-'Wednesday fixed 20q1 w RRA'!Y6</f>
        <v>1.8358341279167689E-3</v>
      </c>
      <c r="Z57">
        <f>Z6-'Wednesday fixed 20q1 w RRA'!Z6</f>
        <v>-2.3440407651406758E-2</v>
      </c>
    </row>
    <row r="58" spans="2:26" x14ac:dyDescent="0.35">
      <c r="B58">
        <f>B7-'Wednesday fixed 20q1 w RRA'!B7</f>
        <v>0</v>
      </c>
      <c r="C58">
        <f>C7-'Wednesday fixed 20q1 w RRA'!C7</f>
        <v>0</v>
      </c>
      <c r="D58">
        <f>D7-'Wednesday fixed 20q1 w RRA'!D7</f>
        <v>0</v>
      </c>
      <c r="E58">
        <f>E7-'Wednesday fixed 20q1 w RRA'!E7</f>
        <v>0</v>
      </c>
      <c r="F58">
        <f>F7-'Wednesday fixed 20q1 w RRA'!F7</f>
        <v>0</v>
      </c>
      <c r="G58">
        <f>G7-'Wednesday fixed 20q1 w RRA'!G7</f>
        <v>0</v>
      </c>
      <c r="H58">
        <f>H7-'Wednesday fixed 20q1 w RRA'!H7</f>
        <v>0</v>
      </c>
      <c r="I58">
        <f>I7-'Wednesday fixed 20q1 w RRA'!I7</f>
        <v>0</v>
      </c>
      <c r="J58">
        <f>J7-'Wednesday fixed 20q1 w RRA'!J7</f>
        <v>0</v>
      </c>
      <c r="K58">
        <f>K7-'Wednesday fixed 20q1 w RRA'!K7</f>
        <v>0</v>
      </c>
      <c r="L58">
        <f>L7-'Wednesday fixed 20q1 w RRA'!L7</f>
        <v>0</v>
      </c>
      <c r="M58">
        <f>M7-'Wednesday fixed 20q1 w RRA'!M7</f>
        <v>0</v>
      </c>
      <c r="N58">
        <f>N7-'Wednesday fixed 20q1 w RRA'!N7</f>
        <v>0</v>
      </c>
      <c r="O58">
        <f>O7-'Wednesday fixed 20q1 w RRA'!O7</f>
        <v>0</v>
      </c>
      <c r="P58">
        <f>P7-'Wednesday fixed 20q1 w RRA'!P7</f>
        <v>0</v>
      </c>
      <c r="Q58">
        <f>Q7-'Wednesday fixed 20q1 w RRA'!Q7</f>
        <v>0</v>
      </c>
      <c r="R58">
        <f>R7-'Wednesday fixed 20q1 w RRA'!R7</f>
        <v>0</v>
      </c>
      <c r="S58">
        <f>S7-'Wednesday fixed 20q1 w RRA'!S7</f>
        <v>0</v>
      </c>
      <c r="T58">
        <f>T7-'Wednesday fixed 20q1 w RRA'!T7</f>
        <v>0</v>
      </c>
      <c r="U58">
        <f>U7-'Wednesday fixed 20q1 w RRA'!U7</f>
        <v>0</v>
      </c>
      <c r="V58">
        <f>V7-'Wednesday fixed 20q1 w RRA'!V7</f>
        <v>0</v>
      </c>
      <c r="W58">
        <f>W7-'Wednesday fixed 20q1 w RRA'!W7</f>
        <v>0</v>
      </c>
      <c r="X58">
        <f>X7-'Wednesday fixed 20q1 w RRA'!X7</f>
        <v>0</v>
      </c>
      <c r="Y58">
        <f>Y7-'Wednesday fixed 20q1 w RRA'!Y7</f>
        <v>0</v>
      </c>
      <c r="Z58">
        <f>Z7-'Wednesday fixed 20q1 w RRA'!Z7</f>
        <v>0</v>
      </c>
    </row>
    <row r="59" spans="2:26" x14ac:dyDescent="0.35">
      <c r="B59">
        <f>B8-'Wednesday fixed 20q1 w RRA'!B8</f>
        <v>0</v>
      </c>
      <c r="C59">
        <f>C8-'Wednesday fixed 20q1 w RRA'!C8</f>
        <v>0</v>
      </c>
      <c r="D59">
        <f>D8-'Wednesday fixed 20q1 w RRA'!D8</f>
        <v>0</v>
      </c>
      <c r="E59">
        <f>E8-'Wednesday fixed 20q1 w RRA'!E8</f>
        <v>0</v>
      </c>
      <c r="F59">
        <f>F8-'Wednesday fixed 20q1 w RRA'!F8</f>
        <v>0</v>
      </c>
      <c r="G59">
        <f>G8-'Wednesday fixed 20q1 w RRA'!G8</f>
        <v>0</v>
      </c>
      <c r="H59">
        <f>H8-'Wednesday fixed 20q1 w RRA'!H8</f>
        <v>0</v>
      </c>
      <c r="I59">
        <f>I8-'Wednesday fixed 20q1 w RRA'!I8</f>
        <v>0</v>
      </c>
      <c r="J59">
        <f>J8-'Wednesday fixed 20q1 w RRA'!J8</f>
        <v>0</v>
      </c>
      <c r="K59">
        <f>K8-'Wednesday fixed 20q1 w RRA'!K8</f>
        <v>0</v>
      </c>
      <c r="L59">
        <f>L8-'Wednesday fixed 20q1 w RRA'!L8</f>
        <v>0</v>
      </c>
      <c r="M59">
        <f>M8-'Wednesday fixed 20q1 w RRA'!M8</f>
        <v>0</v>
      </c>
      <c r="N59">
        <f>N8-'Wednesday fixed 20q1 w RRA'!N8</f>
        <v>0</v>
      </c>
      <c r="O59">
        <f>O8-'Wednesday fixed 20q1 w RRA'!O8</f>
        <v>0</v>
      </c>
      <c r="P59">
        <f>P8-'Wednesday fixed 20q1 w RRA'!P8</f>
        <v>0</v>
      </c>
      <c r="Q59">
        <f>Q8-'Wednesday fixed 20q1 w RRA'!Q8</f>
        <v>0</v>
      </c>
      <c r="R59">
        <f>R8-'Wednesday fixed 20q1 w RRA'!R8</f>
        <v>0</v>
      </c>
      <c r="S59">
        <f>S8-'Wednesday fixed 20q1 w RRA'!S8</f>
        <v>0</v>
      </c>
      <c r="T59">
        <f>T8-'Wednesday fixed 20q1 w RRA'!T8</f>
        <v>0</v>
      </c>
      <c r="U59">
        <f>U8-'Wednesday fixed 20q1 w RRA'!U8</f>
        <v>0</v>
      </c>
      <c r="V59">
        <f>V8-'Wednesday fixed 20q1 w RRA'!V8</f>
        <v>0</v>
      </c>
      <c r="W59">
        <f>W8-'Wednesday fixed 20q1 w RRA'!W8</f>
        <v>0</v>
      </c>
      <c r="X59">
        <f>X8-'Wednesday fixed 20q1 w RRA'!X8</f>
        <v>0</v>
      </c>
      <c r="Y59">
        <f>Y8-'Wednesday fixed 20q1 w RRA'!Y8</f>
        <v>0</v>
      </c>
      <c r="Z59">
        <f>Z8-'Wednesday fixed 20q1 w RRA'!Z8</f>
        <v>0</v>
      </c>
    </row>
    <row r="60" spans="2:26" x14ac:dyDescent="0.35">
      <c r="B60" t="e">
        <f>B9-'Wednesday fixed 20q1 w RRA'!B9</f>
        <v>#VALUE!</v>
      </c>
      <c r="C60" t="e">
        <f>C9-'Wednesday fixed 20q1 w RRA'!C9</f>
        <v>#VALUE!</v>
      </c>
      <c r="D60" t="e">
        <f>D9-'Wednesday fixed 20q1 w RRA'!D9</f>
        <v>#VALUE!</v>
      </c>
      <c r="E60" t="e">
        <f>E9-'Wednesday fixed 20q1 w RRA'!E9</f>
        <v>#VALUE!</v>
      </c>
      <c r="F60" t="e">
        <f>F9-'Wednesday fixed 20q1 w RRA'!F9</f>
        <v>#VALUE!</v>
      </c>
      <c r="G60" t="e">
        <f>G9-'Wednesday fixed 20q1 w RRA'!G9</f>
        <v>#VALUE!</v>
      </c>
      <c r="H60" t="e">
        <f>H9-'Wednesday fixed 20q1 w RRA'!H9</f>
        <v>#VALUE!</v>
      </c>
      <c r="I60" t="e">
        <f>I9-'Wednesday fixed 20q1 w RRA'!I9</f>
        <v>#VALUE!</v>
      </c>
      <c r="J60" t="e">
        <f>J9-'Wednesday fixed 20q1 w RRA'!J9</f>
        <v>#VALUE!</v>
      </c>
      <c r="K60" t="e">
        <f>K9-'Wednesday fixed 20q1 w RRA'!K9</f>
        <v>#VALUE!</v>
      </c>
      <c r="L60" t="e">
        <f>L9-'Wednesday fixed 20q1 w RRA'!L9</f>
        <v>#VALUE!</v>
      </c>
      <c r="M60" t="e">
        <f>M9-'Wednesday fixed 20q1 w RRA'!M9</f>
        <v>#VALUE!</v>
      </c>
      <c r="N60" t="e">
        <f>N9-'Wednesday fixed 20q1 w RRA'!N9</f>
        <v>#VALUE!</v>
      </c>
      <c r="O60" t="e">
        <f>O9-'Wednesday fixed 20q1 w RRA'!O9</f>
        <v>#VALUE!</v>
      </c>
      <c r="P60" t="e">
        <f>P9-'Wednesday fixed 20q1 w RRA'!P9</f>
        <v>#VALUE!</v>
      </c>
      <c r="Q60" t="e">
        <f>Q9-'Wednesday fixed 20q1 w RRA'!Q9</f>
        <v>#VALUE!</v>
      </c>
      <c r="R60" t="e">
        <f>R9-'Wednesday fixed 20q1 w RRA'!R9</f>
        <v>#VALUE!</v>
      </c>
      <c r="S60" t="e">
        <f>S9-'Wednesday fixed 20q1 w RRA'!S9</f>
        <v>#VALUE!</v>
      </c>
      <c r="T60" t="e">
        <f>T9-'Wednesday fixed 20q1 w RRA'!T9</f>
        <v>#VALUE!</v>
      </c>
      <c r="U60" t="e">
        <f>U9-'Wednesday fixed 20q1 w RRA'!U9</f>
        <v>#VALUE!</v>
      </c>
      <c r="V60" t="e">
        <f>V9-'Wednesday fixed 20q1 w RRA'!V9</f>
        <v>#VALUE!</v>
      </c>
      <c r="W60" t="e">
        <f>W9-'Wednesday fixed 20q1 w RRA'!W9</f>
        <v>#VALUE!</v>
      </c>
      <c r="X60" t="e">
        <f>X9-'Wednesday fixed 20q1 w RRA'!X9</f>
        <v>#VALUE!</v>
      </c>
      <c r="Y60" t="e">
        <f>Y9-'Wednesday fixed 20q1 w RRA'!Y9</f>
        <v>#VALUE!</v>
      </c>
      <c r="Z60" t="e">
        <f>Z9-'Wednesday fixed 20q1 w RRA'!Z9</f>
        <v>#VALUE!</v>
      </c>
    </row>
    <row r="61" spans="2:26" x14ac:dyDescent="0.35">
      <c r="B61">
        <f>B10-'Wednesday fixed 20q1 w RRA'!B10</f>
        <v>0</v>
      </c>
      <c r="C61">
        <f>C10-'Wednesday fixed 20q1 w RRA'!C10</f>
        <v>0</v>
      </c>
      <c r="D61">
        <f>D10-'Wednesday fixed 20q1 w RRA'!D10</f>
        <v>0</v>
      </c>
      <c r="E61">
        <f>E10-'Wednesday fixed 20q1 w RRA'!E10</f>
        <v>0</v>
      </c>
      <c r="F61">
        <f>F10-'Wednesday fixed 20q1 w RRA'!F10</f>
        <v>0</v>
      </c>
      <c r="G61">
        <f>G10-'Wednesday fixed 20q1 w RRA'!G10</f>
        <v>0</v>
      </c>
      <c r="H61">
        <f>H10-'Wednesday fixed 20q1 w RRA'!H10</f>
        <v>0</v>
      </c>
      <c r="I61">
        <f>I10-'Wednesday fixed 20q1 w RRA'!I10</f>
        <v>0</v>
      </c>
      <c r="J61">
        <f>J10-'Wednesday fixed 20q1 w RRA'!J10</f>
        <v>0</v>
      </c>
      <c r="K61">
        <f>K10-'Wednesday fixed 20q1 w RRA'!K10</f>
        <v>0</v>
      </c>
      <c r="L61">
        <f>L10-'Wednesday fixed 20q1 w RRA'!L10</f>
        <v>0</v>
      </c>
      <c r="M61">
        <f>M10-'Wednesday fixed 20q1 w RRA'!M10</f>
        <v>0</v>
      </c>
      <c r="N61">
        <f>N10-'Wednesday fixed 20q1 w RRA'!N10</f>
        <v>0</v>
      </c>
      <c r="O61">
        <f>O10-'Wednesday fixed 20q1 w RRA'!O10</f>
        <v>0</v>
      </c>
      <c r="P61">
        <f>P10-'Wednesday fixed 20q1 w RRA'!P10</f>
        <v>0</v>
      </c>
      <c r="Q61">
        <f>Q10-'Wednesday fixed 20q1 w RRA'!Q10</f>
        <v>0</v>
      </c>
      <c r="R61">
        <f>R10-'Wednesday fixed 20q1 w RRA'!R10</f>
        <v>0</v>
      </c>
      <c r="S61">
        <f>S10-'Wednesday fixed 20q1 w RRA'!S10</f>
        <v>0</v>
      </c>
      <c r="T61">
        <f>T10-'Wednesday fixed 20q1 w RRA'!T10</f>
        <v>0</v>
      </c>
      <c r="U61">
        <f>U10-'Wednesday fixed 20q1 w RRA'!U10</f>
        <v>0</v>
      </c>
      <c r="V61">
        <f>V10-'Wednesday fixed 20q1 w RRA'!V10</f>
        <v>0</v>
      </c>
      <c r="W61">
        <f>W10-'Wednesday fixed 20q1 w RRA'!W10</f>
        <v>0</v>
      </c>
      <c r="X61">
        <f>X10-'Wednesday fixed 20q1 w RRA'!X10</f>
        <v>0</v>
      </c>
      <c r="Y61">
        <f>Y10-'Wednesday fixed 20q1 w RRA'!Y10</f>
        <v>0</v>
      </c>
      <c r="Z61">
        <f>Z10-'Wednesday fixed 20q1 w RRA'!Z10</f>
        <v>0</v>
      </c>
    </row>
    <row r="62" spans="2:26" x14ac:dyDescent="0.35">
      <c r="B62">
        <f>B11-'Wednesday fixed 20q1 w RRA'!B11</f>
        <v>0</v>
      </c>
      <c r="C62">
        <f>C11-'Wednesday fixed 20q1 w RRA'!C11</f>
        <v>0</v>
      </c>
      <c r="D62">
        <f>D11-'Wednesday fixed 20q1 w RRA'!D11</f>
        <v>0</v>
      </c>
      <c r="E62">
        <f>E11-'Wednesday fixed 20q1 w RRA'!E11</f>
        <v>0</v>
      </c>
      <c r="F62">
        <f>F11-'Wednesday fixed 20q1 w RRA'!F11</f>
        <v>0</v>
      </c>
      <c r="G62">
        <f>G11-'Wednesday fixed 20q1 w RRA'!G11</f>
        <v>0</v>
      </c>
      <c r="H62">
        <f>H11-'Wednesday fixed 20q1 w RRA'!H11</f>
        <v>0</v>
      </c>
      <c r="I62">
        <f>I11-'Wednesday fixed 20q1 w RRA'!I11</f>
        <v>0</v>
      </c>
      <c r="J62">
        <f>J11-'Wednesday fixed 20q1 w RRA'!J11</f>
        <v>0</v>
      </c>
      <c r="K62">
        <f>K11-'Wednesday fixed 20q1 w RRA'!K11</f>
        <v>0</v>
      </c>
      <c r="L62">
        <f>L11-'Wednesday fixed 20q1 w RRA'!L11</f>
        <v>-2.8421709430404007E-14</v>
      </c>
      <c r="M62">
        <f>M11-'Wednesday fixed 20q1 w RRA'!M11</f>
        <v>0</v>
      </c>
      <c r="N62">
        <f>N11-'Wednesday fixed 20q1 w RRA'!N11</f>
        <v>-2.8421709430404007E-14</v>
      </c>
      <c r="O62">
        <f>O11-'Wednesday fixed 20q1 w RRA'!O11</f>
        <v>0</v>
      </c>
      <c r="P62">
        <f>P11-'Wednesday fixed 20q1 w RRA'!P11</f>
        <v>-2.7977620220553945E-14</v>
      </c>
      <c r="Q62">
        <f>Q11-'Wednesday fixed 20q1 w RRA'!Q11</f>
        <v>0</v>
      </c>
      <c r="R62">
        <f>R11-'Wednesday fixed 20q1 w RRA'!R11</f>
        <v>0</v>
      </c>
      <c r="S62">
        <f>S11-'Wednesday fixed 20q1 w RRA'!S11</f>
        <v>0</v>
      </c>
      <c r="T62">
        <f>T11-'Wednesday fixed 20q1 w RRA'!T11</f>
        <v>0</v>
      </c>
      <c r="U62">
        <f>U11-'Wednesday fixed 20q1 w RRA'!U11</f>
        <v>0</v>
      </c>
      <c r="V62">
        <f>V11-'Wednesday fixed 20q1 w RRA'!V11</f>
        <v>0</v>
      </c>
      <c r="W62">
        <f>W11-'Wednesday fixed 20q1 w RRA'!W11</f>
        <v>-2.7977620220553945E-14</v>
      </c>
      <c r="X62">
        <f>X11-'Wednesday fixed 20q1 w RRA'!X11</f>
        <v>0</v>
      </c>
      <c r="Y62">
        <f>Y11-'Wednesday fixed 20q1 w RRA'!Y11</f>
        <v>0</v>
      </c>
      <c r="Z62">
        <f>Z11-'Wednesday fixed 20q1 w RRA'!Z11</f>
        <v>-2.7977620220553945E-14</v>
      </c>
    </row>
    <row r="63" spans="2:26" x14ac:dyDescent="0.35">
      <c r="B63">
        <f>B12-'Wednesday fixed 20q1 w RRA'!B12</f>
        <v>0</v>
      </c>
      <c r="C63">
        <f>C12-'Wednesday fixed 20q1 w RRA'!C12</f>
        <v>-8.021361352916756E-15</v>
      </c>
      <c r="D63">
        <f>D12-'Wednesday fixed 20q1 w RRA'!D12</f>
        <v>-7.9936057773011271E-15</v>
      </c>
      <c r="E63">
        <f>E12-'Wednesday fixed 20q1 w RRA'!E12</f>
        <v>0</v>
      </c>
      <c r="F63">
        <f>F12-'Wednesday fixed 20q1 w RRA'!F12</f>
        <v>-8.3266726846886741E-15</v>
      </c>
      <c r="G63">
        <f>G12-'Wednesday fixed 20q1 w RRA'!G12</f>
        <v>0</v>
      </c>
      <c r="H63">
        <f>H12-'Wednesday fixed 20q1 w RRA'!H12</f>
        <v>0</v>
      </c>
      <c r="I63">
        <f>I12-'Wednesday fixed 20q1 w RRA'!I12</f>
        <v>0</v>
      </c>
      <c r="J63">
        <f>J12-'Wednesday fixed 20q1 w RRA'!J12</f>
        <v>0</v>
      </c>
      <c r="K63">
        <f>K12-'Wednesday fixed 20q1 w RRA'!K12</f>
        <v>0</v>
      </c>
      <c r="L63">
        <f>L12-'Wednesday fixed 20q1 w RRA'!L12</f>
        <v>7.9936057773011271E-15</v>
      </c>
      <c r="M63">
        <f>M12-'Wednesday fixed 20q1 w RRA'!M12</f>
        <v>0</v>
      </c>
      <c r="N63">
        <f>N12-'Wednesday fixed 20q1 w RRA'!N12</f>
        <v>1.5987211554602254E-14</v>
      </c>
      <c r="O63">
        <f>O12-'Wednesday fixed 20q1 w RRA'!O12</f>
        <v>0</v>
      </c>
      <c r="P63">
        <f>P12-'Wednesday fixed 20q1 w RRA'!P12</f>
        <v>7.9936057773011271E-15</v>
      </c>
      <c r="Q63">
        <f>Q12-'Wednesday fixed 20q1 w RRA'!Q12</f>
        <v>6.8833827526759706E-15</v>
      </c>
      <c r="R63">
        <f>R12-'Wednesday fixed 20q1 w RRA'!R12</f>
        <v>0</v>
      </c>
      <c r="S63">
        <f>S12-'Wednesday fixed 20q1 w RRA'!S12</f>
        <v>0</v>
      </c>
      <c r="T63">
        <f>T12-'Wednesday fixed 20q1 w RRA'!T12</f>
        <v>0</v>
      </c>
      <c r="U63">
        <f>U12-'Wednesday fixed 20q1 w RRA'!U12</f>
        <v>0</v>
      </c>
      <c r="V63">
        <f>V12-'Wednesday fixed 20q1 w RRA'!V12</f>
        <v>-7.9936057773011271E-15</v>
      </c>
      <c r="W63">
        <f>W12-'Wednesday fixed 20q1 w RRA'!W12</f>
        <v>0</v>
      </c>
      <c r="X63">
        <f>X12-'Wednesday fixed 20q1 w RRA'!X12</f>
        <v>0</v>
      </c>
      <c r="Y63">
        <f>Y12-'Wednesday fixed 20q1 w RRA'!Y12</f>
        <v>0</v>
      </c>
      <c r="Z63">
        <f>Z12-'Wednesday fixed 20q1 w RRA'!Z12</f>
        <v>0</v>
      </c>
    </row>
    <row r="64" spans="2:26" x14ac:dyDescent="0.35">
      <c r="B64">
        <f>B13-'Wednesday fixed 20q1 w RRA'!B13</f>
        <v>-1.7018386056427692E-3</v>
      </c>
      <c r="C64">
        <f>C13-'Wednesday fixed 20q1 w RRA'!C13</f>
        <v>2.6461232352925981E-4</v>
      </c>
      <c r="D64">
        <f>D13-'Wednesday fixed 20q1 w RRA'!D13</f>
        <v>3.4282011237452004E-5</v>
      </c>
      <c r="E64">
        <f>E13-'Wednesday fixed 20q1 w RRA'!E13</f>
        <v>-2.4916155492299419E-3</v>
      </c>
      <c r="F64">
        <f>F13-'Wednesday fixed 20q1 w RRA'!F13</f>
        <v>1.2359010313028218E-2</v>
      </c>
      <c r="G64">
        <f>G13-'Wednesday fixed 20q1 w RRA'!G13</f>
        <v>2.457239633068653E-3</v>
      </c>
      <c r="H64">
        <f>H13-'Wednesday fixed 20q1 w RRA'!H13</f>
        <v>1.1449276759238902E-2</v>
      </c>
      <c r="I64">
        <f>I13-'Wednesday fixed 20q1 w RRA'!I13</f>
        <v>-5.3899435952611263E-3</v>
      </c>
      <c r="J64">
        <f>J13-'Wednesday fixed 20q1 w RRA'!J13</f>
        <v>2.3415678945091223E-3</v>
      </c>
      <c r="K64">
        <f>K13-'Wednesday fixed 20q1 w RRA'!K13</f>
        <v>-2.0272548969901827E-3</v>
      </c>
      <c r="L64">
        <f>L13-'Wednesday fixed 20q1 w RRA'!L13</f>
        <v>3.5587936438474799E-4</v>
      </c>
      <c r="M64">
        <f>M13-'Wednesday fixed 20q1 w RRA'!M13</f>
        <v>3.8621612488767276E-3</v>
      </c>
      <c r="N64">
        <f>N13-'Wednesday fixed 20q1 w RRA'!N13</f>
        <v>0</v>
      </c>
      <c r="O64">
        <f>O13-'Wednesday fixed 20q1 w RRA'!O13</f>
        <v>-1.3318050584564922E-2</v>
      </c>
      <c r="P64">
        <f>P13-'Wednesday fixed 20q1 w RRA'!P13</f>
        <v>-2.2925894915308831E-2</v>
      </c>
      <c r="Q64">
        <f>Q13-'Wednesday fixed 20q1 w RRA'!Q13</f>
        <v>2.3354619814384137E-2</v>
      </c>
      <c r="R64">
        <f>R13-'Wednesday fixed 20q1 w RRA'!R13</f>
        <v>3.0581653209583948E-2</v>
      </c>
      <c r="S64">
        <f>S13-'Wednesday fixed 20q1 w RRA'!S13</f>
        <v>-1.2573835032578806E-2</v>
      </c>
      <c r="T64">
        <f>T13-'Wednesday fixed 20q1 w RRA'!T13</f>
        <v>4.8259680155755547E-3</v>
      </c>
      <c r="U64">
        <f>U13-'Wednesday fixed 20q1 w RRA'!U13</f>
        <v>-1.2543229002602629E-2</v>
      </c>
      <c r="V64">
        <f>V13-'Wednesday fixed 20q1 w RRA'!V13</f>
        <v>1.1294579726309095E-2</v>
      </c>
      <c r="W64">
        <f>W13-'Wednesday fixed 20q1 w RRA'!W13</f>
        <v>1.1945911328652414E-3</v>
      </c>
      <c r="X64">
        <f>X13-'Wednesday fixed 20q1 w RRA'!X13</f>
        <v>-1.9352653093021033E-3</v>
      </c>
      <c r="Y64">
        <f>Y13-'Wednesday fixed 20q1 w RRA'!Y13</f>
        <v>7.0246698555882503E-3</v>
      </c>
      <c r="Z64">
        <f>Z13-'Wednesday fixed 20q1 w RRA'!Z13</f>
        <v>-1.0405816279969393E-2</v>
      </c>
    </row>
    <row r="65" spans="2:26" x14ac:dyDescent="0.35">
      <c r="B65">
        <f>B14-'Wednesday fixed 20q1 w RRA'!B14</f>
        <v>-1.7018386055838164E-3</v>
      </c>
      <c r="C65">
        <f>C14-'Wednesday fixed 20q1 w RRA'!C14</f>
        <v>2.6461232349106467E-4</v>
      </c>
      <c r="D65">
        <f>D14-'Wednesday fixed 20q1 w RRA'!D14</f>
        <v>3.4282011199593398E-5</v>
      </c>
      <c r="E65">
        <f>E14-'Wednesday fixed 20q1 w RRA'!E14</f>
        <v>-2.4916155491041536E-3</v>
      </c>
      <c r="F65">
        <f>F14-'Wednesday fixed 20q1 w RRA'!F14</f>
        <v>1.2359010313105045E-2</v>
      </c>
      <c r="G65">
        <f>G14-'Wednesday fixed 20q1 w RRA'!G14</f>
        <v>2.4572396330881929E-3</v>
      </c>
      <c r="H65">
        <f>H14-'Wednesday fixed 20q1 w RRA'!H14</f>
        <v>1.144927675920826E-2</v>
      </c>
      <c r="I65">
        <f>I14-'Wednesday fixed 20q1 w RRA'!I14</f>
        <v>-5.3899435952757813E-3</v>
      </c>
      <c r="J65">
        <f>J14-'Wednesday fixed 20q1 w RRA'!J14</f>
        <v>2.3415678944900264E-3</v>
      </c>
      <c r="K65">
        <f>K14-'Wednesday fixed 20q1 w RRA'!K14</f>
        <v>-2.0272548970012849E-3</v>
      </c>
      <c r="L65">
        <f>L14-'Wednesday fixed 20q1 w RRA'!L14</f>
        <v>3.5587936429237743E-4</v>
      </c>
      <c r="M65">
        <f>M14-'Wednesday fixed 20q1 w RRA'!M14</f>
        <v>3.8621612489180279E-3</v>
      </c>
      <c r="N65">
        <f>N14-'Wednesday fixed 20q1 w RRA'!N14</f>
        <v>0</v>
      </c>
      <c r="O65">
        <f>O14-'Wednesday fixed 20q1 w RRA'!O14</f>
        <v>-1.3318050584587127E-2</v>
      </c>
      <c r="P65">
        <f>P14-'Wednesday fixed 20q1 w RRA'!P14</f>
        <v>-2.2925894915317713E-2</v>
      </c>
      <c r="Q65">
        <f>Q14-'Wednesday fixed 20q1 w RRA'!Q14</f>
        <v>2.3354619814398347E-2</v>
      </c>
      <c r="R65">
        <f>R14-'Wednesday fixed 20q1 w RRA'!R14</f>
        <v>3.0581653209594606E-2</v>
      </c>
      <c r="S65">
        <f>S14-'Wednesday fixed 20q1 w RRA'!S14</f>
        <v>-1.2573835032611669E-2</v>
      </c>
      <c r="T65">
        <f>T14-'Wednesday fixed 20q1 w RRA'!T14</f>
        <v>4.8259680155808837E-3</v>
      </c>
      <c r="U65">
        <f>U14-'Wednesday fixed 20q1 w RRA'!U14</f>
        <v>-1.2543229002602629E-2</v>
      </c>
      <c r="V65">
        <f>V14-'Wednesday fixed 20q1 w RRA'!V14</f>
        <v>1.1294579726296661E-2</v>
      </c>
      <c r="W65">
        <f>W14-'Wednesday fixed 20q1 w RRA'!W14</f>
        <v>1.1945911327870817E-3</v>
      </c>
      <c r="X65">
        <f>X14-'Wednesday fixed 20q1 w RRA'!X14</f>
        <v>-1.9352653092994387E-3</v>
      </c>
      <c r="Y65">
        <f>Y14-'Wednesday fixed 20q1 w RRA'!Y14</f>
        <v>7.0246698555820331E-3</v>
      </c>
      <c r="Z65">
        <f>Z14-'Wednesday fixed 20q1 w RRA'!Z14</f>
        <v>-1.0405816280012914E-2</v>
      </c>
    </row>
    <row r="66" spans="2:26" x14ac:dyDescent="0.35">
      <c r="B66">
        <f>B15-'Wednesday fixed 20q1 w RRA'!B15</f>
        <v>0</v>
      </c>
      <c r="C66">
        <f>C15-'Wednesday fixed 20q1 w RRA'!C15</f>
        <v>0</v>
      </c>
      <c r="D66">
        <f>D15-'Wednesday fixed 20q1 w RRA'!D15</f>
        <v>0</v>
      </c>
      <c r="E66">
        <f>E15-'Wednesday fixed 20q1 w RRA'!E15</f>
        <v>0</v>
      </c>
      <c r="F66">
        <f>F15-'Wednesday fixed 20q1 w RRA'!F15</f>
        <v>0</v>
      </c>
      <c r="G66">
        <f>G15-'Wednesday fixed 20q1 w RRA'!G15</f>
        <v>0</v>
      </c>
      <c r="H66">
        <f>H15-'Wednesday fixed 20q1 w RRA'!H15</f>
        <v>0</v>
      </c>
      <c r="I66">
        <f>I15-'Wednesday fixed 20q1 w RRA'!I15</f>
        <v>0</v>
      </c>
      <c r="J66">
        <f>J15-'Wednesday fixed 20q1 w RRA'!J15</f>
        <v>0</v>
      </c>
      <c r="K66">
        <f>K15-'Wednesday fixed 20q1 w RRA'!K15</f>
        <v>0</v>
      </c>
      <c r="L66">
        <f>L15-'Wednesday fixed 20q1 w RRA'!L15</f>
        <v>0</v>
      </c>
      <c r="M66">
        <f>M15-'Wednesday fixed 20q1 w RRA'!M15</f>
        <v>0</v>
      </c>
      <c r="N66">
        <f>N15-'Wednesday fixed 20q1 w RRA'!N15</f>
        <v>0</v>
      </c>
      <c r="O66">
        <f>O15-'Wednesday fixed 20q1 w RRA'!O15</f>
        <v>0</v>
      </c>
      <c r="P66">
        <f>P15-'Wednesday fixed 20q1 w RRA'!P15</f>
        <v>0</v>
      </c>
      <c r="Q66">
        <f>Q15-'Wednesday fixed 20q1 w RRA'!Q15</f>
        <v>0</v>
      </c>
      <c r="R66">
        <f>R15-'Wednesday fixed 20q1 w RRA'!R15</f>
        <v>0</v>
      </c>
      <c r="S66">
        <f>S15-'Wednesday fixed 20q1 w RRA'!S15</f>
        <v>0</v>
      </c>
      <c r="T66">
        <f>T15-'Wednesday fixed 20q1 w RRA'!T15</f>
        <v>0</v>
      </c>
      <c r="U66">
        <f>U15-'Wednesday fixed 20q1 w RRA'!U15</f>
        <v>0</v>
      </c>
      <c r="V66">
        <f>V15-'Wednesday fixed 20q1 w RRA'!V15</f>
        <v>0</v>
      </c>
      <c r="W66">
        <f>W15-'Wednesday fixed 20q1 w RRA'!W15</f>
        <v>0</v>
      </c>
      <c r="X66">
        <f>X15-'Wednesday fixed 20q1 w RRA'!X15</f>
        <v>0</v>
      </c>
      <c r="Y66">
        <f>Y15-'Wednesday fixed 20q1 w RRA'!Y15</f>
        <v>0</v>
      </c>
      <c r="Z66">
        <f>Z15-'Wednesday fixed 20q1 w RRA'!Z15</f>
        <v>0</v>
      </c>
    </row>
    <row r="67" spans="2:26" x14ac:dyDescent="0.35">
      <c r="B67">
        <f>B16-'Wednesday fixed 20q1 w RRA'!B16</f>
        <v>0</v>
      </c>
      <c r="C67">
        <f>C16-'Wednesday fixed 20q1 w RRA'!C16</f>
        <v>0</v>
      </c>
      <c r="D67">
        <f>D16-'Wednesday fixed 20q1 w RRA'!D16</f>
        <v>0</v>
      </c>
      <c r="E67">
        <f>E16-'Wednesday fixed 20q1 w RRA'!E16</f>
        <v>0</v>
      </c>
      <c r="F67">
        <f>F16-'Wednesday fixed 20q1 w RRA'!F16</f>
        <v>0</v>
      </c>
      <c r="G67">
        <f>G16-'Wednesday fixed 20q1 w RRA'!G16</f>
        <v>0</v>
      </c>
      <c r="H67">
        <f>H16-'Wednesday fixed 20q1 w RRA'!H16</f>
        <v>0</v>
      </c>
      <c r="I67">
        <f>I16-'Wednesday fixed 20q1 w RRA'!I16</f>
        <v>0</v>
      </c>
      <c r="J67">
        <f>J16-'Wednesday fixed 20q1 w RRA'!J16</f>
        <v>0</v>
      </c>
      <c r="K67">
        <f>K16-'Wednesday fixed 20q1 w RRA'!K16</f>
        <v>0</v>
      </c>
      <c r="L67">
        <f>L16-'Wednesday fixed 20q1 w RRA'!L16</f>
        <v>0</v>
      </c>
      <c r="M67">
        <f>M16-'Wednesday fixed 20q1 w RRA'!M16</f>
        <v>0</v>
      </c>
      <c r="N67">
        <f>N16-'Wednesday fixed 20q1 w RRA'!N16</f>
        <v>0</v>
      </c>
      <c r="O67">
        <f>O16-'Wednesday fixed 20q1 w RRA'!O16</f>
        <v>0</v>
      </c>
      <c r="P67">
        <f>P16-'Wednesday fixed 20q1 w RRA'!P16</f>
        <v>0</v>
      </c>
      <c r="Q67">
        <f>Q16-'Wednesday fixed 20q1 w RRA'!Q16</f>
        <v>0</v>
      </c>
      <c r="R67">
        <f>R16-'Wednesday fixed 20q1 w RRA'!R16</f>
        <v>0</v>
      </c>
      <c r="S67">
        <f>S16-'Wednesday fixed 20q1 w RRA'!S16</f>
        <v>0</v>
      </c>
      <c r="T67">
        <f>T16-'Wednesday fixed 20q1 w RRA'!T16</f>
        <v>0</v>
      </c>
      <c r="U67">
        <f>U16-'Wednesday fixed 20q1 w RRA'!U16</f>
        <v>0</v>
      </c>
      <c r="V67">
        <f>V16-'Wednesday fixed 20q1 w RRA'!V16</f>
        <v>0</v>
      </c>
      <c r="W67">
        <f>W16-'Wednesday fixed 20q1 w RRA'!W16</f>
        <v>0</v>
      </c>
      <c r="X67">
        <f>X16-'Wednesday fixed 20q1 w RRA'!X16</f>
        <v>0</v>
      </c>
      <c r="Y67">
        <f>Y16-'Wednesday fixed 20q1 w RRA'!Y16</f>
        <v>0</v>
      </c>
      <c r="Z67">
        <f>Z16-'Wednesday fixed 20q1 w RRA'!Z16</f>
        <v>0</v>
      </c>
    </row>
    <row r="68" spans="2:26" x14ac:dyDescent="0.35">
      <c r="B68" t="e">
        <f>B17-'Wednesday fixed 20q1 w RRA'!B17</f>
        <v>#VALUE!</v>
      </c>
      <c r="C68" t="e">
        <f>C17-'Wednesday fixed 20q1 w RRA'!C17</f>
        <v>#VALUE!</v>
      </c>
      <c r="D68" t="e">
        <f>D17-'Wednesday fixed 20q1 w RRA'!D17</f>
        <v>#VALUE!</v>
      </c>
      <c r="E68" t="e">
        <f>E17-'Wednesday fixed 20q1 w RRA'!E17</f>
        <v>#VALUE!</v>
      </c>
      <c r="F68" t="e">
        <f>F17-'Wednesday fixed 20q1 w RRA'!F17</f>
        <v>#VALUE!</v>
      </c>
      <c r="G68" t="e">
        <f>G17-'Wednesday fixed 20q1 w RRA'!G17</f>
        <v>#VALUE!</v>
      </c>
      <c r="H68" t="e">
        <f>H17-'Wednesday fixed 20q1 w RRA'!H17</f>
        <v>#VALUE!</v>
      </c>
      <c r="I68" t="e">
        <f>I17-'Wednesday fixed 20q1 w RRA'!I17</f>
        <v>#VALUE!</v>
      </c>
      <c r="J68" t="e">
        <f>J17-'Wednesday fixed 20q1 w RRA'!J17</f>
        <v>#VALUE!</v>
      </c>
      <c r="K68" t="e">
        <f>K17-'Wednesday fixed 20q1 w RRA'!K17</f>
        <v>#VALUE!</v>
      </c>
      <c r="L68" t="e">
        <f>L17-'Wednesday fixed 20q1 w RRA'!L17</f>
        <v>#VALUE!</v>
      </c>
      <c r="M68" t="e">
        <f>M17-'Wednesday fixed 20q1 w RRA'!M17</f>
        <v>#VALUE!</v>
      </c>
      <c r="N68" t="e">
        <f>N17-'Wednesday fixed 20q1 w RRA'!N17</f>
        <v>#VALUE!</v>
      </c>
      <c r="O68" t="e">
        <f>O17-'Wednesday fixed 20q1 w RRA'!O17</f>
        <v>#VALUE!</v>
      </c>
      <c r="P68" t="e">
        <f>P17-'Wednesday fixed 20q1 w RRA'!P17</f>
        <v>#VALUE!</v>
      </c>
      <c r="Q68" t="e">
        <f>Q17-'Wednesday fixed 20q1 w RRA'!Q17</f>
        <v>#VALUE!</v>
      </c>
      <c r="R68" t="e">
        <f>R17-'Wednesday fixed 20q1 w RRA'!R17</f>
        <v>#VALUE!</v>
      </c>
      <c r="S68" t="e">
        <f>S17-'Wednesday fixed 20q1 w RRA'!S17</f>
        <v>#VALUE!</v>
      </c>
      <c r="T68" t="e">
        <f>T17-'Wednesday fixed 20q1 w RRA'!T17</f>
        <v>#VALUE!</v>
      </c>
      <c r="U68" t="e">
        <f>U17-'Wednesday fixed 20q1 w RRA'!U17</f>
        <v>#VALUE!</v>
      </c>
      <c r="V68" t="e">
        <f>V17-'Wednesday fixed 20q1 w RRA'!V17</f>
        <v>#VALUE!</v>
      </c>
      <c r="W68" t="e">
        <f>W17-'Wednesday fixed 20q1 w RRA'!W17</f>
        <v>#VALUE!</v>
      </c>
      <c r="X68" t="e">
        <f>X17-'Wednesday fixed 20q1 w RRA'!X17</f>
        <v>#VALUE!</v>
      </c>
      <c r="Y68" t="e">
        <f>Y17-'Wednesday fixed 20q1 w RRA'!Y17</f>
        <v>#VALUE!</v>
      </c>
      <c r="Z68" t="e">
        <f>Z17-'Wednesday fixed 20q1 w RRA'!Z17</f>
        <v>#VALUE!</v>
      </c>
    </row>
    <row r="69" spans="2:26" x14ac:dyDescent="0.35">
      <c r="B69">
        <f>B18-'Wednesday fixed 20q1 w RRA'!B18</f>
        <v>0</v>
      </c>
      <c r="C69">
        <f>C18-'Wednesday fixed 20q1 w RRA'!C18</f>
        <v>0</v>
      </c>
      <c r="D69">
        <f>D18-'Wednesday fixed 20q1 w RRA'!D18</f>
        <v>0</v>
      </c>
      <c r="E69">
        <f>E18-'Wednesday fixed 20q1 w RRA'!E18</f>
        <v>0</v>
      </c>
      <c r="F69">
        <f>F18-'Wednesday fixed 20q1 w RRA'!F18</f>
        <v>0</v>
      </c>
      <c r="G69">
        <f>G18-'Wednesday fixed 20q1 w RRA'!G18</f>
        <v>0</v>
      </c>
      <c r="H69">
        <f>H18-'Wednesday fixed 20q1 w RRA'!H18</f>
        <v>0</v>
      </c>
      <c r="I69">
        <f>I18-'Wednesday fixed 20q1 w RRA'!I18</f>
        <v>0</v>
      </c>
      <c r="J69">
        <f>J18-'Wednesday fixed 20q1 w RRA'!J18</f>
        <v>0</v>
      </c>
      <c r="K69">
        <f>K18-'Wednesday fixed 20q1 w RRA'!K18</f>
        <v>0</v>
      </c>
      <c r="L69">
        <f>L18-'Wednesday fixed 20q1 w RRA'!L18</f>
        <v>0</v>
      </c>
      <c r="M69">
        <f>M18-'Wednesday fixed 20q1 w RRA'!M18</f>
        <v>0</v>
      </c>
      <c r="N69">
        <f>N18-'Wednesday fixed 20q1 w RRA'!N18</f>
        <v>0</v>
      </c>
      <c r="O69">
        <f>O18-'Wednesday fixed 20q1 w RRA'!O18</f>
        <v>0</v>
      </c>
      <c r="P69">
        <f>P18-'Wednesday fixed 20q1 w RRA'!P18</f>
        <v>0</v>
      </c>
      <c r="Q69">
        <f>Q18-'Wednesday fixed 20q1 w RRA'!Q18</f>
        <v>0</v>
      </c>
      <c r="R69">
        <f>R18-'Wednesday fixed 20q1 w RRA'!R18</f>
        <v>0</v>
      </c>
      <c r="S69">
        <f>S18-'Wednesday fixed 20q1 w RRA'!S18</f>
        <v>0</v>
      </c>
      <c r="T69">
        <f>T18-'Wednesday fixed 20q1 w RRA'!T18</f>
        <v>0</v>
      </c>
      <c r="U69">
        <f>U18-'Wednesday fixed 20q1 w RRA'!U18</f>
        <v>0</v>
      </c>
      <c r="V69">
        <f>V18-'Wednesday fixed 20q1 w RRA'!V18</f>
        <v>0</v>
      </c>
      <c r="W69">
        <f>W18-'Wednesday fixed 20q1 w RRA'!W18</f>
        <v>0</v>
      </c>
      <c r="X69">
        <f>X18-'Wednesday fixed 20q1 w RRA'!X18</f>
        <v>0</v>
      </c>
      <c r="Y69">
        <f>Y18-'Wednesday fixed 20q1 w RRA'!Y18</f>
        <v>0</v>
      </c>
      <c r="Z69">
        <f>Z18-'Wednesday fixed 20q1 w RRA'!Z18</f>
        <v>0</v>
      </c>
    </row>
    <row r="70" spans="2:26" x14ac:dyDescent="0.35">
      <c r="B70">
        <f>B19-'Wednesday fixed 20q1 w RRA'!B19</f>
        <v>0</v>
      </c>
      <c r="C70">
        <f>C19-'Wednesday fixed 20q1 w RRA'!C19</f>
        <v>0</v>
      </c>
      <c r="D70">
        <f>D19-'Wednesday fixed 20q1 w RRA'!D19</f>
        <v>0</v>
      </c>
      <c r="E70">
        <f>E19-'Wednesday fixed 20q1 w RRA'!E19</f>
        <v>0</v>
      </c>
      <c r="F70">
        <f>F19-'Wednesday fixed 20q1 w RRA'!F19</f>
        <v>0</v>
      </c>
      <c r="G70">
        <f>G19-'Wednesday fixed 20q1 w RRA'!G19</f>
        <v>0</v>
      </c>
      <c r="H70">
        <f>H19-'Wednesday fixed 20q1 w RRA'!H19</f>
        <v>0</v>
      </c>
      <c r="I70">
        <f>I19-'Wednesday fixed 20q1 w RRA'!I19</f>
        <v>0</v>
      </c>
      <c r="J70">
        <f>J19-'Wednesday fixed 20q1 w RRA'!J19</f>
        <v>0</v>
      </c>
      <c r="K70">
        <f>K19-'Wednesday fixed 20q1 w RRA'!K19</f>
        <v>0</v>
      </c>
      <c r="L70">
        <f>L19-'Wednesday fixed 20q1 w RRA'!L19</f>
        <v>0</v>
      </c>
      <c r="M70">
        <f>M19-'Wednesday fixed 20q1 w RRA'!M19</f>
        <v>0</v>
      </c>
      <c r="N70">
        <f>N19-'Wednesday fixed 20q1 w RRA'!N19</f>
        <v>0</v>
      </c>
      <c r="O70">
        <f>O19-'Wednesday fixed 20q1 w RRA'!O19</f>
        <v>0</v>
      </c>
      <c r="P70">
        <f>P19-'Wednesday fixed 20q1 w RRA'!P19</f>
        <v>0</v>
      </c>
      <c r="Q70">
        <f>Q19-'Wednesday fixed 20q1 w RRA'!Q19</f>
        <v>0</v>
      </c>
      <c r="R70">
        <f>R19-'Wednesday fixed 20q1 w RRA'!R19</f>
        <v>0</v>
      </c>
      <c r="S70">
        <f>S19-'Wednesday fixed 20q1 w RRA'!S19</f>
        <v>0</v>
      </c>
      <c r="T70">
        <f>T19-'Wednesday fixed 20q1 w RRA'!T19</f>
        <v>0</v>
      </c>
      <c r="U70">
        <f>U19-'Wednesday fixed 20q1 w RRA'!U19</f>
        <v>0</v>
      </c>
      <c r="V70">
        <f>V19-'Wednesday fixed 20q1 w RRA'!V19</f>
        <v>0</v>
      </c>
      <c r="W70">
        <f>W19-'Wednesday fixed 20q1 w RRA'!W19</f>
        <v>0</v>
      </c>
      <c r="X70">
        <f>X19-'Wednesday fixed 20q1 w RRA'!X19</f>
        <v>2.7977620220553945E-14</v>
      </c>
      <c r="Y70">
        <f>Y19-'Wednesday fixed 20q1 w RRA'!Y19</f>
        <v>0</v>
      </c>
      <c r="Z70">
        <f>Z19-'Wednesday fixed 20q1 w RRA'!Z19</f>
        <v>0</v>
      </c>
    </row>
    <row r="71" spans="2:26" x14ac:dyDescent="0.35">
      <c r="B71">
        <f>B20-'Wednesday fixed 20q1 w RRA'!B20</f>
        <v>8.2156503822261584E-15</v>
      </c>
      <c r="C71">
        <f>C20-'Wednesday fixed 20q1 w RRA'!C20</f>
        <v>0</v>
      </c>
      <c r="D71">
        <f>D20-'Wednesday fixed 20q1 w RRA'!D20</f>
        <v>-8.7707618945387367E-15</v>
      </c>
      <c r="E71">
        <f>E20-'Wednesday fixed 20q1 w RRA'!E20</f>
        <v>0</v>
      </c>
      <c r="F71">
        <f>F20-'Wednesday fixed 20q1 w RRA'!F20</f>
        <v>-8.9858676055598607E-15</v>
      </c>
      <c r="G71">
        <f>G20-'Wednesday fixed 20q1 w RRA'!G20</f>
        <v>-9.0899510141184692E-15</v>
      </c>
      <c r="H71">
        <f>H20-'Wednesday fixed 20q1 w RRA'!H20</f>
        <v>-8.9234175604246957E-15</v>
      </c>
      <c r="I71">
        <f>I20-'Wednesday fixed 20q1 w RRA'!I20</f>
        <v>0</v>
      </c>
      <c r="J71">
        <f>J20-'Wednesday fixed 20q1 w RRA'!J20</f>
        <v>-8.659739592076221E-15</v>
      </c>
      <c r="K71">
        <f>K20-'Wednesday fixed 20q1 w RRA'!K20</f>
        <v>0</v>
      </c>
      <c r="L71">
        <f>L20-'Wednesday fixed 20q1 w RRA'!L20</f>
        <v>8.659739592076221E-15</v>
      </c>
      <c r="M71">
        <f>M20-'Wednesday fixed 20q1 w RRA'!M20</f>
        <v>0</v>
      </c>
      <c r="N71">
        <f>N20-'Wednesday fixed 20q1 w RRA'!N20</f>
        <v>0</v>
      </c>
      <c r="O71">
        <f>O20-'Wednesday fixed 20q1 w RRA'!O20</f>
        <v>8.8262730457699945E-15</v>
      </c>
      <c r="P71">
        <f>P20-'Wednesday fixed 20q1 w RRA'!P20</f>
        <v>4.3853809472693683E-15</v>
      </c>
      <c r="Q71">
        <f>Q20-'Wednesday fixed 20q1 w RRA'!Q20</f>
        <v>-9.1177065897340981E-15</v>
      </c>
      <c r="R71">
        <f>R20-'Wednesday fixed 20q1 w RRA'!R20</f>
        <v>0</v>
      </c>
      <c r="S71">
        <f>S20-'Wednesday fixed 20q1 w RRA'!S20</f>
        <v>0</v>
      </c>
      <c r="T71">
        <f>T20-'Wednesday fixed 20q1 w RRA'!T20</f>
        <v>-9.9920072216264089E-15</v>
      </c>
      <c r="U71">
        <f>U20-'Wednesday fixed 20q1 w RRA'!U20</f>
        <v>0</v>
      </c>
      <c r="V71">
        <f>V20-'Wednesday fixed 20q1 w RRA'!V20</f>
        <v>0</v>
      </c>
      <c r="W71">
        <f>W20-'Wednesday fixed 20q1 w RRA'!W20</f>
        <v>9.7699626167013776E-15</v>
      </c>
      <c r="X71">
        <f>X20-'Wednesday fixed 20q1 w RRA'!X20</f>
        <v>-1.021405182655144E-14</v>
      </c>
      <c r="Y71">
        <f>Y20-'Wednesday fixed 20q1 w RRA'!Y20</f>
        <v>-1.0658141036401503E-14</v>
      </c>
      <c r="Z71">
        <f>Z20-'Wednesday fixed 20q1 w RRA'!Z20</f>
        <v>0</v>
      </c>
    </row>
    <row r="72" spans="2:26" x14ac:dyDescent="0.35">
      <c r="B72">
        <f>B21-'Wednesday fixed 20q1 w RRA'!B21</f>
        <v>1.1154670859712112E-3</v>
      </c>
      <c r="C72">
        <f>C21-'Wednesday fixed 20q1 w RRA'!C21</f>
        <v>-2.2495304395260263E-3</v>
      </c>
      <c r="D72">
        <f>D21-'Wednesday fixed 20q1 w RRA'!D21</f>
        <v>-3.114151999008552E-4</v>
      </c>
      <c r="E72">
        <f>E21-'Wednesday fixed 20q1 w RRA'!E21</f>
        <v>1.9061044784780545E-3</v>
      </c>
      <c r="F72">
        <f>F21-'Wednesday fixed 20q1 w RRA'!F21</f>
        <v>4.5182272902799525E-4</v>
      </c>
      <c r="G72">
        <f>G21-'Wednesday fixed 20q1 w RRA'!G21</f>
        <v>3.9299881961496475E-3</v>
      </c>
      <c r="H72">
        <f>H21-'Wednesday fixed 20q1 w RRA'!H21</f>
        <v>1.1686524922653874E-3</v>
      </c>
      <c r="I72">
        <f>I21-'Wednesday fixed 20q1 w RRA'!I21</f>
        <v>2.5097191714070988E-2</v>
      </c>
      <c r="J72">
        <f>J21-'Wednesday fixed 20q1 w RRA'!J21</f>
        <v>6.1006104864231858E-3</v>
      </c>
      <c r="K72">
        <f>K21-'Wednesday fixed 20q1 w RRA'!K21</f>
        <v>0</v>
      </c>
      <c r="L72">
        <f>L21-'Wednesday fixed 20q1 w RRA'!L21</f>
        <v>-1.2179648817332023E-3</v>
      </c>
      <c r="M72">
        <f>M21-'Wednesday fixed 20q1 w RRA'!M21</f>
        <v>0</v>
      </c>
      <c r="N72">
        <f>N21-'Wednesday fixed 20q1 w RRA'!N21</f>
        <v>0</v>
      </c>
      <c r="O72">
        <f>O21-'Wednesday fixed 20q1 w RRA'!O21</f>
        <v>-6.6789803820999083E-4</v>
      </c>
      <c r="P72">
        <f>P21-'Wednesday fixed 20q1 w RRA'!P21</f>
        <v>-1.5068515374805358E-3</v>
      </c>
      <c r="Q72">
        <f>Q21-'Wednesday fixed 20q1 w RRA'!Q21</f>
        <v>-5.6573496456389094E-3</v>
      </c>
      <c r="R72">
        <f>R21-'Wednesday fixed 20q1 w RRA'!R21</f>
        <v>-1.1011568831673202E-2</v>
      </c>
      <c r="S72">
        <f>S21-'Wednesday fixed 20q1 w RRA'!S21</f>
        <v>-4.9276167766603152E-3</v>
      </c>
      <c r="T72">
        <f>T21-'Wednesday fixed 20q1 w RRA'!T21</f>
        <v>5.5424058938324805E-3</v>
      </c>
      <c r="U72">
        <f>U21-'Wednesday fixed 20q1 w RRA'!U21</f>
        <v>1.2932373866256341E-2</v>
      </c>
      <c r="V72">
        <f>V21-'Wednesday fixed 20q1 w RRA'!V21</f>
        <v>1.0200419269320804E-2</v>
      </c>
      <c r="W72">
        <f>W21-'Wednesday fixed 20q1 w RRA'!W21</f>
        <v>4.9223258143760162E-3</v>
      </c>
      <c r="X72">
        <f>X21-'Wednesday fixed 20q1 w RRA'!X21</f>
        <v>-4.2600119829332428E-3</v>
      </c>
      <c r="Y72">
        <f>Y21-'Wednesday fixed 20q1 w RRA'!Y21</f>
        <v>-1.4365161515161873E-3</v>
      </c>
      <c r="Z72">
        <f>Z21-'Wednesday fixed 20q1 w RRA'!Z21</f>
        <v>1.2576705641870412E-2</v>
      </c>
    </row>
    <row r="73" spans="2:26" x14ac:dyDescent="0.35">
      <c r="B73">
        <f>B22-'Wednesday fixed 20q1 w RRA'!B22</f>
        <v>1.1154670860094029E-3</v>
      </c>
      <c r="C73">
        <f>C22-'Wednesday fixed 20q1 w RRA'!C22</f>
        <v>-2.2495304395988569E-3</v>
      </c>
      <c r="D73">
        <f>D22-'Wednesday fixed 20q1 w RRA'!D22</f>
        <v>-3.1141519991706446E-4</v>
      </c>
      <c r="E73">
        <f>E22-'Wednesday fixed 20q1 w RRA'!E22</f>
        <v>1.9061044783938996E-3</v>
      </c>
      <c r="F73">
        <f>F22-'Wednesday fixed 20q1 w RRA'!F22</f>
        <v>4.518227291043786E-4</v>
      </c>
      <c r="G73">
        <f>G22-'Wednesday fixed 20q1 w RRA'!G22</f>
        <v>3.9299881961198935E-3</v>
      </c>
      <c r="H73">
        <f>H22-'Wednesday fixed 20q1 w RRA'!H22</f>
        <v>1.1686524923106845E-3</v>
      </c>
      <c r="I73">
        <f>I22-'Wednesday fixed 20q1 w RRA'!I22</f>
        <v>2.5097191714110068E-2</v>
      </c>
      <c r="J73">
        <f>J22-'Wednesday fixed 20q1 w RRA'!J22</f>
        <v>6.1006104864134159E-3</v>
      </c>
      <c r="K73">
        <f>K22-'Wednesday fixed 20q1 w RRA'!K22</f>
        <v>0</v>
      </c>
      <c r="L73">
        <f>L22-'Wednesday fixed 20q1 w RRA'!L22</f>
        <v>-1.2179648817891575E-3</v>
      </c>
      <c r="M73">
        <f>M22-'Wednesday fixed 20q1 w RRA'!M22</f>
        <v>0</v>
      </c>
      <c r="N73">
        <f>N22-'Wednesday fixed 20q1 w RRA'!N22</f>
        <v>0</v>
      </c>
      <c r="O73">
        <f>O22-'Wednesday fixed 20q1 w RRA'!O22</f>
        <v>-6.6789803818778637E-4</v>
      </c>
      <c r="P73">
        <f>P22-'Wednesday fixed 20q1 w RRA'!P22</f>
        <v>-1.5068515374991875E-3</v>
      </c>
      <c r="Q73">
        <f>Q22-'Wednesday fixed 20q1 w RRA'!Q22</f>
        <v>-5.6573496457019701E-3</v>
      </c>
      <c r="R73">
        <f>R22-'Wednesday fixed 20q1 w RRA'!R22</f>
        <v>-1.1011568831719387E-2</v>
      </c>
      <c r="S73">
        <f>S22-'Wednesday fixed 20q1 w RRA'!S22</f>
        <v>-4.9276167767118295E-3</v>
      </c>
      <c r="T73">
        <f>T22-'Wednesday fixed 20q1 w RRA'!T22</f>
        <v>5.5424058937774134E-3</v>
      </c>
      <c r="U73">
        <f>U22-'Wednesday fixed 20q1 w RRA'!U22</f>
        <v>1.2932373866277658E-2</v>
      </c>
      <c r="V73">
        <f>V22-'Wednesday fixed 20q1 w RRA'!V22</f>
        <v>1.0200419269295935E-2</v>
      </c>
      <c r="W73">
        <f>W22-'Wednesday fixed 20q1 w RRA'!W22</f>
        <v>4.9223258143058501E-3</v>
      </c>
      <c r="X73">
        <f>X22-'Wednesday fixed 20q1 w RRA'!X22</f>
        <v>-4.2600119828932748E-3</v>
      </c>
      <c r="Y73">
        <f>Y22-'Wednesday fixed 20q1 w RRA'!Y22</f>
        <v>-1.4365161515002001E-3</v>
      </c>
      <c r="Z73">
        <f>Z22-'Wednesday fixed 20q1 w RRA'!Z22</f>
        <v>1.2576705641919261E-2</v>
      </c>
    </row>
    <row r="74" spans="2:26" x14ac:dyDescent="0.35">
      <c r="B74">
        <f>B23-'Wednesday fixed 20q1 w RRA'!B23</f>
        <v>0</v>
      </c>
      <c r="C74">
        <f>C23-'Wednesday fixed 20q1 w RRA'!C23</f>
        <v>0</v>
      </c>
      <c r="D74">
        <f>D23-'Wednesday fixed 20q1 w RRA'!D23</f>
        <v>0</v>
      </c>
      <c r="E74">
        <f>E23-'Wednesday fixed 20q1 w RRA'!E23</f>
        <v>0</v>
      </c>
      <c r="F74">
        <f>F23-'Wednesday fixed 20q1 w RRA'!F23</f>
        <v>0</v>
      </c>
      <c r="G74">
        <f>G23-'Wednesday fixed 20q1 w RRA'!G23</f>
        <v>0</v>
      </c>
      <c r="H74">
        <f>H23-'Wednesday fixed 20q1 w RRA'!H23</f>
        <v>0</v>
      </c>
      <c r="I74">
        <f>I23-'Wednesday fixed 20q1 w RRA'!I23</f>
        <v>0</v>
      </c>
      <c r="J74">
        <f>J23-'Wednesday fixed 20q1 w RRA'!J23</f>
        <v>0</v>
      </c>
      <c r="K74">
        <f>K23-'Wednesday fixed 20q1 w RRA'!K23</f>
        <v>0</v>
      </c>
      <c r="L74">
        <f>L23-'Wednesday fixed 20q1 w RRA'!L23</f>
        <v>0</v>
      </c>
      <c r="M74">
        <f>M23-'Wednesday fixed 20q1 w RRA'!M23</f>
        <v>0</v>
      </c>
      <c r="N74">
        <f>N23-'Wednesday fixed 20q1 w RRA'!N23</f>
        <v>0</v>
      </c>
      <c r="O74">
        <f>O23-'Wednesday fixed 20q1 w RRA'!O23</f>
        <v>0</v>
      </c>
      <c r="P74">
        <f>P23-'Wednesday fixed 20q1 w RRA'!P23</f>
        <v>0</v>
      </c>
      <c r="Q74">
        <f>Q23-'Wednesday fixed 20q1 w RRA'!Q23</f>
        <v>0</v>
      </c>
      <c r="R74">
        <f>R23-'Wednesday fixed 20q1 w RRA'!R23</f>
        <v>0</v>
      </c>
      <c r="S74">
        <f>S23-'Wednesday fixed 20q1 w RRA'!S23</f>
        <v>0</v>
      </c>
      <c r="T74">
        <f>T23-'Wednesday fixed 20q1 w RRA'!T23</f>
        <v>0</v>
      </c>
      <c r="U74">
        <f>U23-'Wednesday fixed 20q1 w RRA'!U23</f>
        <v>0</v>
      </c>
      <c r="V74">
        <f>V23-'Wednesday fixed 20q1 w RRA'!V23</f>
        <v>0</v>
      </c>
      <c r="W74">
        <f>W23-'Wednesday fixed 20q1 w RRA'!W23</f>
        <v>0</v>
      </c>
      <c r="X74">
        <f>X23-'Wednesday fixed 20q1 w RRA'!X23</f>
        <v>0</v>
      </c>
      <c r="Y74">
        <f>Y23-'Wednesday fixed 20q1 w RRA'!Y23</f>
        <v>0</v>
      </c>
      <c r="Z74">
        <f>Z23-'Wednesday fixed 20q1 w RRA'!Z23</f>
        <v>0</v>
      </c>
    </row>
    <row r="75" spans="2:26" x14ac:dyDescent="0.35">
      <c r="B75">
        <f>B24-'Wednesday fixed 20q1 w RRA'!B24</f>
        <v>0</v>
      </c>
      <c r="C75">
        <f>C24-'Wednesday fixed 20q1 w RRA'!C24</f>
        <v>0</v>
      </c>
      <c r="D75">
        <f>D24-'Wednesday fixed 20q1 w RRA'!D24</f>
        <v>0</v>
      </c>
      <c r="E75">
        <f>E24-'Wednesday fixed 20q1 w RRA'!E24</f>
        <v>0</v>
      </c>
      <c r="F75">
        <f>F24-'Wednesday fixed 20q1 w RRA'!F24</f>
        <v>0</v>
      </c>
      <c r="G75">
        <f>G24-'Wednesday fixed 20q1 w RRA'!G24</f>
        <v>0</v>
      </c>
      <c r="H75">
        <f>H24-'Wednesday fixed 20q1 w RRA'!H24</f>
        <v>0</v>
      </c>
      <c r="I75">
        <f>I24-'Wednesday fixed 20q1 w RRA'!I24</f>
        <v>0</v>
      </c>
      <c r="J75">
        <f>J24-'Wednesday fixed 20q1 w RRA'!J24</f>
        <v>0</v>
      </c>
      <c r="K75">
        <f>K24-'Wednesday fixed 20q1 w RRA'!K24</f>
        <v>0</v>
      </c>
      <c r="L75">
        <f>L24-'Wednesday fixed 20q1 w RRA'!L24</f>
        <v>0</v>
      </c>
      <c r="M75">
        <f>M24-'Wednesday fixed 20q1 w RRA'!M24</f>
        <v>0</v>
      </c>
      <c r="N75">
        <f>N24-'Wednesday fixed 20q1 w RRA'!N24</f>
        <v>0</v>
      </c>
      <c r="O75">
        <f>O24-'Wednesday fixed 20q1 w RRA'!O24</f>
        <v>0</v>
      </c>
      <c r="P75">
        <f>P24-'Wednesday fixed 20q1 w RRA'!P24</f>
        <v>0</v>
      </c>
      <c r="Q75">
        <f>Q24-'Wednesday fixed 20q1 w RRA'!Q24</f>
        <v>0</v>
      </c>
      <c r="R75">
        <f>R24-'Wednesday fixed 20q1 w RRA'!R24</f>
        <v>0</v>
      </c>
      <c r="S75">
        <f>S24-'Wednesday fixed 20q1 w RRA'!S24</f>
        <v>0</v>
      </c>
      <c r="T75">
        <f>T24-'Wednesday fixed 20q1 w RRA'!T24</f>
        <v>0</v>
      </c>
      <c r="U75">
        <f>U24-'Wednesday fixed 20q1 w RRA'!U24</f>
        <v>0</v>
      </c>
      <c r="V75">
        <f>V24-'Wednesday fixed 20q1 w RRA'!V24</f>
        <v>0</v>
      </c>
      <c r="W75">
        <f>W24-'Wednesday fixed 20q1 w RRA'!W24</f>
        <v>0</v>
      </c>
      <c r="X75">
        <f>X24-'Wednesday fixed 20q1 w RRA'!X24</f>
        <v>0</v>
      </c>
      <c r="Y75">
        <f>Y24-'Wednesday fixed 20q1 w RRA'!Y24</f>
        <v>0</v>
      </c>
      <c r="Z75">
        <f>Z24-'Wednesday fixed 20q1 w RRA'!Z24</f>
        <v>0</v>
      </c>
    </row>
    <row r="76" spans="2:26" x14ac:dyDescent="0.35">
      <c r="B76" t="e">
        <f>B25-'Wednesday fixed 20q1 w RRA'!B25</f>
        <v>#VALUE!</v>
      </c>
      <c r="C76" t="e">
        <f>C25-'Wednesday fixed 20q1 w RRA'!C25</f>
        <v>#VALUE!</v>
      </c>
      <c r="D76" t="e">
        <f>D25-'Wednesday fixed 20q1 w RRA'!D25</f>
        <v>#VALUE!</v>
      </c>
      <c r="E76" t="e">
        <f>E25-'Wednesday fixed 20q1 w RRA'!E25</f>
        <v>#VALUE!</v>
      </c>
      <c r="F76" t="e">
        <f>F25-'Wednesday fixed 20q1 w RRA'!F25</f>
        <v>#VALUE!</v>
      </c>
      <c r="G76" t="e">
        <f>G25-'Wednesday fixed 20q1 w RRA'!G25</f>
        <v>#VALUE!</v>
      </c>
      <c r="H76" t="e">
        <f>H25-'Wednesday fixed 20q1 w RRA'!H25</f>
        <v>#VALUE!</v>
      </c>
      <c r="I76" t="e">
        <f>I25-'Wednesday fixed 20q1 w RRA'!I25</f>
        <v>#VALUE!</v>
      </c>
      <c r="J76" t="e">
        <f>J25-'Wednesday fixed 20q1 w RRA'!J25</f>
        <v>#VALUE!</v>
      </c>
      <c r="K76" t="e">
        <f>K25-'Wednesday fixed 20q1 w RRA'!K25</f>
        <v>#VALUE!</v>
      </c>
      <c r="L76" t="e">
        <f>L25-'Wednesday fixed 20q1 w RRA'!L25</f>
        <v>#VALUE!</v>
      </c>
      <c r="M76" t="e">
        <f>M25-'Wednesday fixed 20q1 w RRA'!M25</f>
        <v>#VALUE!</v>
      </c>
      <c r="N76" t="e">
        <f>N25-'Wednesday fixed 20q1 w RRA'!N25</f>
        <v>#VALUE!</v>
      </c>
      <c r="O76" t="e">
        <f>O25-'Wednesday fixed 20q1 w RRA'!O25</f>
        <v>#VALUE!</v>
      </c>
      <c r="P76" t="e">
        <f>P25-'Wednesday fixed 20q1 w RRA'!P25</f>
        <v>#VALUE!</v>
      </c>
      <c r="Q76" t="e">
        <f>Q25-'Wednesday fixed 20q1 w RRA'!Q25</f>
        <v>#VALUE!</v>
      </c>
      <c r="R76" t="e">
        <f>R25-'Wednesday fixed 20q1 w RRA'!R25</f>
        <v>#VALUE!</v>
      </c>
      <c r="S76" t="e">
        <f>S25-'Wednesday fixed 20q1 w RRA'!S25</f>
        <v>#VALUE!</v>
      </c>
      <c r="T76" t="e">
        <f>T25-'Wednesday fixed 20q1 w RRA'!T25</f>
        <v>#VALUE!</v>
      </c>
      <c r="U76" t="e">
        <f>U25-'Wednesday fixed 20q1 w RRA'!U25</f>
        <v>#VALUE!</v>
      </c>
      <c r="V76" t="e">
        <f>V25-'Wednesday fixed 20q1 w RRA'!V25</f>
        <v>#VALUE!</v>
      </c>
      <c r="W76" t="e">
        <f>W25-'Wednesday fixed 20q1 w RRA'!W25</f>
        <v>#VALUE!</v>
      </c>
      <c r="X76" t="e">
        <f>X25-'Wednesday fixed 20q1 w RRA'!X25</f>
        <v>#VALUE!</v>
      </c>
      <c r="Y76" t="e">
        <f>Y25-'Wednesday fixed 20q1 w RRA'!Y25</f>
        <v>#VALUE!</v>
      </c>
      <c r="Z76" t="e">
        <f>Z25-'Wednesday fixed 20q1 w RRA'!Z25</f>
        <v>#VALUE!</v>
      </c>
    </row>
    <row r="77" spans="2:26" x14ac:dyDescent="0.35">
      <c r="B77">
        <f>B26-'Wednesday fixed 20q1 w RRA'!B26</f>
        <v>0</v>
      </c>
      <c r="C77">
        <f>C26-'Wednesday fixed 20q1 w RRA'!C26</f>
        <v>0</v>
      </c>
      <c r="D77">
        <f>D26-'Wednesday fixed 20q1 w RRA'!D26</f>
        <v>0</v>
      </c>
      <c r="E77">
        <f>E26-'Wednesday fixed 20q1 w RRA'!E26</f>
        <v>0</v>
      </c>
      <c r="F77">
        <f>F26-'Wednesday fixed 20q1 w RRA'!F26</f>
        <v>0</v>
      </c>
      <c r="G77">
        <f>G26-'Wednesday fixed 20q1 w RRA'!G26</f>
        <v>0</v>
      </c>
      <c r="H77">
        <f>H26-'Wednesday fixed 20q1 w RRA'!H26</f>
        <v>0</v>
      </c>
      <c r="I77">
        <f>I26-'Wednesday fixed 20q1 w RRA'!I26</f>
        <v>0</v>
      </c>
      <c r="J77">
        <f>J26-'Wednesday fixed 20q1 w RRA'!J26</f>
        <v>0</v>
      </c>
      <c r="K77">
        <f>K26-'Wednesday fixed 20q1 w RRA'!K26</f>
        <v>0</v>
      </c>
      <c r="L77">
        <f>L26-'Wednesday fixed 20q1 w RRA'!L26</f>
        <v>0</v>
      </c>
      <c r="M77">
        <f>M26-'Wednesday fixed 20q1 w RRA'!M26</f>
        <v>0</v>
      </c>
      <c r="N77">
        <f>N26-'Wednesday fixed 20q1 w RRA'!N26</f>
        <v>0</v>
      </c>
      <c r="O77">
        <f>O26-'Wednesday fixed 20q1 w RRA'!O26</f>
        <v>0</v>
      </c>
      <c r="P77">
        <f>P26-'Wednesday fixed 20q1 w RRA'!P26</f>
        <v>0</v>
      </c>
      <c r="Q77">
        <f>Q26-'Wednesday fixed 20q1 w RRA'!Q26</f>
        <v>0</v>
      </c>
      <c r="R77">
        <f>R26-'Wednesday fixed 20q1 w RRA'!R26</f>
        <v>0</v>
      </c>
      <c r="S77">
        <f>S26-'Wednesday fixed 20q1 w RRA'!S26</f>
        <v>0</v>
      </c>
      <c r="T77">
        <f>T26-'Wednesday fixed 20q1 w RRA'!T26</f>
        <v>0</v>
      </c>
      <c r="U77">
        <f>U26-'Wednesday fixed 20q1 w RRA'!U26</f>
        <v>0</v>
      </c>
      <c r="V77">
        <f>V26-'Wednesday fixed 20q1 w RRA'!V26</f>
        <v>0</v>
      </c>
      <c r="W77">
        <f>W26-'Wednesday fixed 20q1 w RRA'!W26</f>
        <v>0</v>
      </c>
      <c r="X77">
        <f>X26-'Wednesday fixed 20q1 w RRA'!X26</f>
        <v>0</v>
      </c>
      <c r="Y77">
        <f>Y26-'Wednesday fixed 20q1 w RRA'!Y26</f>
        <v>0</v>
      </c>
      <c r="Z77">
        <f>Z26-'Wednesday fixed 20q1 w RRA'!Z26</f>
        <v>0</v>
      </c>
    </row>
    <row r="78" spans="2:26" x14ac:dyDescent="0.35">
      <c r="B78">
        <f>B27-'Wednesday fixed 20q1 w RRA'!B27</f>
        <v>0</v>
      </c>
      <c r="C78">
        <f>C27-'Wednesday fixed 20q1 w RRA'!C27</f>
        <v>0</v>
      </c>
      <c r="D78">
        <f>D27-'Wednesday fixed 20q1 w RRA'!D27</f>
        <v>0</v>
      </c>
      <c r="E78">
        <f>E27-'Wednesday fixed 20q1 w RRA'!E27</f>
        <v>0</v>
      </c>
      <c r="F78">
        <f>F27-'Wednesday fixed 20q1 w RRA'!F27</f>
        <v>0</v>
      </c>
      <c r="G78">
        <f>G27-'Wednesday fixed 20q1 w RRA'!G27</f>
        <v>0</v>
      </c>
      <c r="H78">
        <f>H27-'Wednesday fixed 20q1 w RRA'!H27</f>
        <v>0</v>
      </c>
      <c r="I78">
        <f>I27-'Wednesday fixed 20q1 w RRA'!I27</f>
        <v>0</v>
      </c>
      <c r="J78">
        <f>J27-'Wednesday fixed 20q1 w RRA'!J27</f>
        <v>0</v>
      </c>
      <c r="K78">
        <f>K27-'Wednesday fixed 20q1 w RRA'!K27</f>
        <v>2.8421709430404007E-14</v>
      </c>
      <c r="L78">
        <f>L27-'Wednesday fixed 20q1 w RRA'!L27</f>
        <v>0</v>
      </c>
      <c r="M78">
        <f>M27-'Wednesday fixed 20q1 w RRA'!M27</f>
        <v>6.807931571302106E-4</v>
      </c>
      <c r="N78">
        <f>N27-'Wednesday fixed 20q1 w RRA'!N27</f>
        <v>0</v>
      </c>
      <c r="O78">
        <f>O27-'Wednesday fixed 20q1 w RRA'!O27</f>
        <v>0</v>
      </c>
      <c r="P78">
        <f>P27-'Wednesday fixed 20q1 w RRA'!P27</f>
        <v>0</v>
      </c>
      <c r="Q78">
        <f>Q27-'Wednesday fixed 20q1 w RRA'!Q27</f>
        <v>0</v>
      </c>
      <c r="R78">
        <f>R27-'Wednesday fixed 20q1 w RRA'!R27</f>
        <v>0</v>
      </c>
      <c r="S78">
        <f>S27-'Wednesday fixed 20q1 w RRA'!S27</f>
        <v>-2.7977620220553945E-14</v>
      </c>
      <c r="T78">
        <f>T27-'Wednesday fixed 20q1 w RRA'!T27</f>
        <v>0</v>
      </c>
      <c r="U78">
        <f>U27-'Wednesday fixed 20q1 w RRA'!U27</f>
        <v>0</v>
      </c>
      <c r="V78">
        <f>V27-'Wednesday fixed 20q1 w RRA'!V27</f>
        <v>0</v>
      </c>
      <c r="W78">
        <f>W27-'Wednesday fixed 20q1 w RRA'!W27</f>
        <v>0</v>
      </c>
      <c r="X78">
        <f>X27-'Wednesday fixed 20q1 w RRA'!X27</f>
        <v>0</v>
      </c>
      <c r="Y78">
        <f>Y27-'Wednesday fixed 20q1 w RRA'!Y27</f>
        <v>0</v>
      </c>
      <c r="Z78">
        <f>Z27-'Wednesday fixed 20q1 w RRA'!Z27</f>
        <v>-2.7977620220553945E-14</v>
      </c>
    </row>
    <row r="79" spans="2:26" x14ac:dyDescent="0.35">
      <c r="B79">
        <f>B28-'Wednesday fixed 20q1 w RRA'!B28</f>
        <v>0</v>
      </c>
      <c r="C79">
        <f>C28-'Wednesday fixed 20q1 w RRA'!C28</f>
        <v>1.5598633495983449E-14</v>
      </c>
      <c r="D79">
        <f>D28-'Wednesday fixed 20q1 w RRA'!D28</f>
        <v>8.1046280797636427E-15</v>
      </c>
      <c r="E79">
        <f>E28-'Wednesday fixed 20q1 w RRA'!E28</f>
        <v>0</v>
      </c>
      <c r="F79">
        <f>F28-'Wednesday fixed 20q1 w RRA'!F28</f>
        <v>8.8817841970012523E-15</v>
      </c>
      <c r="G79">
        <f>G28-'Wednesday fixed 20q1 w RRA'!G28</f>
        <v>0</v>
      </c>
      <c r="H79">
        <f>H28-'Wednesday fixed 20q1 w RRA'!H28</f>
        <v>-8.2156503822261584E-15</v>
      </c>
      <c r="I79">
        <f>I28-'Wednesday fixed 20q1 w RRA'!I28</f>
        <v>0</v>
      </c>
      <c r="J79">
        <f>J28-'Wednesday fixed 20q1 w RRA'!J28</f>
        <v>-1.5841494782620202E-14</v>
      </c>
      <c r="K79">
        <f>K28-'Wednesday fixed 20q1 w RRA'!K28</f>
        <v>0</v>
      </c>
      <c r="L79">
        <f>L28-'Wednesday fixed 20q1 w RRA'!L28</f>
        <v>0</v>
      </c>
      <c r="M79">
        <f>M28-'Wednesday fixed 20q1 w RRA'!M28</f>
        <v>-2.2287089840866692E-6</v>
      </c>
      <c r="N79">
        <f>N28-'Wednesday fixed 20q1 w RRA'!N28</f>
        <v>0</v>
      </c>
      <c r="O79">
        <f>O28-'Wednesday fixed 20q1 w RRA'!O28</f>
        <v>-8.1046280797636427E-15</v>
      </c>
      <c r="P79">
        <f>P28-'Wednesday fixed 20q1 w RRA'!P28</f>
        <v>-8.1878948066105295E-15</v>
      </c>
      <c r="Q79">
        <f>Q28-'Wednesday fixed 20q1 w RRA'!Q28</f>
        <v>8.8817841970012523E-15</v>
      </c>
      <c r="R79">
        <f>R28-'Wednesday fixed 20q1 w RRA'!R28</f>
        <v>8.2711615334574162E-15</v>
      </c>
      <c r="S79">
        <f>S28-'Wednesday fixed 20q1 w RRA'!S28</f>
        <v>8.3266726846886741E-15</v>
      </c>
      <c r="T79">
        <f>T28-'Wednesday fixed 20q1 w RRA'!T28</f>
        <v>0</v>
      </c>
      <c r="U79">
        <f>U28-'Wednesday fixed 20q1 w RRA'!U28</f>
        <v>0</v>
      </c>
      <c r="V79">
        <f>V28-'Wednesday fixed 20q1 w RRA'!V28</f>
        <v>-1.021405182655144E-14</v>
      </c>
      <c r="W79">
        <f>W28-'Wednesday fixed 20q1 w RRA'!W28</f>
        <v>7.9936057773011271E-15</v>
      </c>
      <c r="X79">
        <f>X28-'Wednesday fixed 20q1 w RRA'!X28</f>
        <v>0</v>
      </c>
      <c r="Y79">
        <f>Y28-'Wednesday fixed 20q1 w RRA'!Y28</f>
        <v>0</v>
      </c>
      <c r="Z79">
        <f>Z28-'Wednesday fixed 20q1 w RRA'!Z28</f>
        <v>-9.1038288019262836E-15</v>
      </c>
    </row>
    <row r="80" spans="2:26" x14ac:dyDescent="0.35">
      <c r="B80">
        <f>B29-'Wednesday fixed 20q1 w RRA'!B29</f>
        <v>-2.6696788930182791E-3</v>
      </c>
      <c r="C80">
        <f>C29-'Wednesday fixed 20q1 w RRA'!C29</f>
        <v>-5.1578386768014184E-4</v>
      </c>
      <c r="D80">
        <f>D29-'Wednesday fixed 20q1 w RRA'!D29</f>
        <v>5.387543851185228E-4</v>
      </c>
      <c r="E80">
        <f>E29-'Wednesday fixed 20q1 w RRA'!E29</f>
        <v>1.2819968793300163E-2</v>
      </c>
      <c r="F80">
        <f>F29-'Wednesday fixed 20q1 w RRA'!F29</f>
        <v>-6.6497529176272607E-3</v>
      </c>
      <c r="G80">
        <f>G29-'Wednesday fixed 20q1 w RRA'!G29</f>
        <v>0</v>
      </c>
      <c r="H80">
        <f>H29-'Wednesday fixed 20q1 w RRA'!H29</f>
        <v>0</v>
      </c>
      <c r="I80">
        <f>I29-'Wednesday fixed 20q1 w RRA'!I29</f>
        <v>7.1054273576010019E-15</v>
      </c>
      <c r="J80">
        <f>J29-'Wednesday fixed 20q1 w RRA'!J29</f>
        <v>3.913236269639242E-4</v>
      </c>
      <c r="K80">
        <f>K29-'Wednesday fixed 20q1 w RRA'!K29</f>
        <v>-5.6453229681974193E-4</v>
      </c>
      <c r="L80">
        <f>L29-'Wednesday fixed 20q1 w RRA'!L29</f>
        <v>0</v>
      </c>
      <c r="M80">
        <f>M29-'Wednesday fixed 20q1 w RRA'!M29</f>
        <v>4.4050398854835748E-3</v>
      </c>
      <c r="N80">
        <f>N29-'Wednesday fixed 20q1 w RRA'!N29</f>
        <v>0</v>
      </c>
      <c r="O80">
        <f>O29-'Wednesday fixed 20q1 w RRA'!O29</f>
        <v>0</v>
      </c>
      <c r="P80">
        <f>P29-'Wednesday fixed 20q1 w RRA'!P29</f>
        <v>0</v>
      </c>
      <c r="Q80">
        <f>Q29-'Wednesday fixed 20q1 w RRA'!Q29</f>
        <v>0</v>
      </c>
      <c r="R80">
        <f>R29-'Wednesday fixed 20q1 w RRA'!R29</f>
        <v>-3.5060979286836158E-3</v>
      </c>
      <c r="S80">
        <f>S29-'Wednesday fixed 20q1 w RRA'!S29</f>
        <v>-1.0783821871796384E-2</v>
      </c>
      <c r="T80">
        <f>T29-'Wednesday fixed 20q1 w RRA'!T29</f>
        <v>1.3534504521022228E-3</v>
      </c>
      <c r="U80">
        <f>U29-'Wednesday fixed 20q1 w RRA'!U29</f>
        <v>-4.7177642230602501E-3</v>
      </c>
      <c r="V80">
        <f>V29-'Wednesday fixed 20q1 w RRA'!V29</f>
        <v>-8.3230968814174133E-4</v>
      </c>
      <c r="W80">
        <f>W29-'Wednesday fixed 20q1 w RRA'!W29</f>
        <v>-6.2655611697497449E-3</v>
      </c>
      <c r="X80">
        <f>X29-'Wednesday fixed 20q1 w RRA'!X29</f>
        <v>-2.647989640633952E-4</v>
      </c>
      <c r="Y80">
        <f>Y29-'Wednesday fixed 20q1 w RRA'!Y29</f>
        <v>-4.6175962601102682E-3</v>
      </c>
      <c r="Z80">
        <f>Z29-'Wednesday fixed 20q1 w RRA'!Z29</f>
        <v>1.8391022389591782E-2</v>
      </c>
    </row>
    <row r="81" spans="2:26" x14ac:dyDescent="0.35">
      <c r="B81">
        <f>B30-'Wednesday fixed 20q1 w RRA'!B30</f>
        <v>-2.6696788929996274E-3</v>
      </c>
      <c r="C81">
        <f>C30-'Wednesday fixed 20q1 w RRA'!C30</f>
        <v>-5.1578386771211626E-4</v>
      </c>
      <c r="D81">
        <f>D30-'Wednesday fixed 20q1 w RRA'!D30</f>
        <v>5.3875438510431195E-4</v>
      </c>
      <c r="E81">
        <f>E30-'Wednesday fixed 20q1 w RRA'!E30</f>
        <v>1.2819968793195358E-2</v>
      </c>
      <c r="F81">
        <f>F30-'Wednesday fixed 20q1 w RRA'!F30</f>
        <v>-6.6497529176103853E-3</v>
      </c>
      <c r="G81">
        <f>G30-'Wednesday fixed 20q1 w RRA'!G30</f>
        <v>0</v>
      </c>
      <c r="H81">
        <f>H30-'Wednesday fixed 20q1 w RRA'!H30</f>
        <v>0</v>
      </c>
      <c r="I81">
        <f>I30-'Wednesday fixed 20q1 w RRA'!I30</f>
        <v>0</v>
      </c>
      <c r="J81">
        <f>J30-'Wednesday fixed 20q1 w RRA'!J30</f>
        <v>3.9132362698524048E-4</v>
      </c>
      <c r="K81">
        <f>K30-'Wednesday fixed 20q1 w RRA'!K30</f>
        <v>-5.6453229680641925E-4</v>
      </c>
      <c r="L81">
        <f>L30-'Wednesday fixed 20q1 w RRA'!L30</f>
        <v>0</v>
      </c>
      <c r="M81">
        <f>M30-'Wednesday fixed 20q1 w RRA'!M30</f>
        <v>5.0836043336914827E-3</v>
      </c>
      <c r="N81">
        <f>N30-'Wednesday fixed 20q1 w RRA'!N30</f>
        <v>0</v>
      </c>
      <c r="O81">
        <f>O30-'Wednesday fixed 20q1 w RRA'!O30</f>
        <v>0</v>
      </c>
      <c r="P81">
        <f>P30-'Wednesday fixed 20q1 w RRA'!P30</f>
        <v>0</v>
      </c>
      <c r="Q81">
        <f>Q30-'Wednesday fixed 20q1 w RRA'!Q30</f>
        <v>0</v>
      </c>
      <c r="R81">
        <f>R30-'Wednesday fixed 20q1 w RRA'!R30</f>
        <v>-3.5060979286924976E-3</v>
      </c>
      <c r="S81">
        <f>S30-'Wednesday fixed 20q1 w RRA'!S30</f>
        <v>-1.0783821871882537E-2</v>
      </c>
      <c r="T81">
        <f>T30-'Wednesday fixed 20q1 w RRA'!T30</f>
        <v>1.3534504521999224E-3</v>
      </c>
      <c r="U81">
        <f>U30-'Wednesday fixed 20q1 w RRA'!U30</f>
        <v>-4.7177642229883077E-3</v>
      </c>
      <c r="V81">
        <f>V30-'Wednesday fixed 20q1 w RRA'!V30</f>
        <v>-8.3230968809289152E-4</v>
      </c>
      <c r="W81">
        <f>W30-'Wednesday fixed 20q1 w RRA'!W30</f>
        <v>-6.2655611698119174E-3</v>
      </c>
      <c r="X81">
        <f>X30-'Wednesday fixed 20q1 w RRA'!X30</f>
        <v>-2.647989642241555E-4</v>
      </c>
      <c r="Y81">
        <f>Y30-'Wednesday fixed 20q1 w RRA'!Y30</f>
        <v>-4.6175962601182619E-3</v>
      </c>
      <c r="Z81">
        <f>Z30-'Wednesday fixed 20q1 w RRA'!Z30</f>
        <v>1.8391022389522504E-2</v>
      </c>
    </row>
    <row r="82" spans="2:26" x14ac:dyDescent="0.35">
      <c r="B82">
        <f>B31-'Wednesday fixed 20q1 w RRA'!B31</f>
        <v>0</v>
      </c>
      <c r="C82">
        <f>C31-'Wednesday fixed 20q1 w RRA'!C31</f>
        <v>0</v>
      </c>
      <c r="D82">
        <f>D31-'Wednesday fixed 20q1 w RRA'!D31</f>
        <v>0</v>
      </c>
      <c r="E82">
        <f>E31-'Wednesday fixed 20q1 w RRA'!E31</f>
        <v>0</v>
      </c>
      <c r="F82">
        <f>F31-'Wednesday fixed 20q1 w RRA'!F31</f>
        <v>0</v>
      </c>
      <c r="G82">
        <f>G31-'Wednesday fixed 20q1 w RRA'!G31</f>
        <v>0</v>
      </c>
      <c r="H82">
        <f>H31-'Wednesday fixed 20q1 w RRA'!H31</f>
        <v>0</v>
      </c>
      <c r="I82">
        <f>I31-'Wednesday fixed 20q1 w RRA'!I31</f>
        <v>0</v>
      </c>
      <c r="J82">
        <f>J31-'Wednesday fixed 20q1 w RRA'!J31</f>
        <v>0</v>
      </c>
      <c r="K82">
        <f>K31-'Wednesday fixed 20q1 w RRA'!K31</f>
        <v>0</v>
      </c>
      <c r="L82">
        <f>L31-'Wednesday fixed 20q1 w RRA'!L31</f>
        <v>0</v>
      </c>
      <c r="M82">
        <f>M31-'Wednesday fixed 20q1 w RRA'!M31</f>
        <v>0</v>
      </c>
      <c r="N82">
        <f>N31-'Wednesday fixed 20q1 w RRA'!N31</f>
        <v>0</v>
      </c>
      <c r="O82">
        <f>O31-'Wednesday fixed 20q1 w RRA'!O31</f>
        <v>0</v>
      </c>
      <c r="P82">
        <f>P31-'Wednesday fixed 20q1 w RRA'!P31</f>
        <v>0</v>
      </c>
      <c r="Q82">
        <f>Q31-'Wednesday fixed 20q1 w RRA'!Q31</f>
        <v>0</v>
      </c>
      <c r="R82">
        <f>R31-'Wednesday fixed 20q1 w RRA'!R31</f>
        <v>0</v>
      </c>
      <c r="S82">
        <f>S31-'Wednesday fixed 20q1 w RRA'!S31</f>
        <v>0</v>
      </c>
      <c r="T82">
        <f>T31-'Wednesday fixed 20q1 w RRA'!T31</f>
        <v>0</v>
      </c>
      <c r="U82">
        <f>U31-'Wednesday fixed 20q1 w RRA'!U31</f>
        <v>0</v>
      </c>
      <c r="V82">
        <f>V31-'Wednesday fixed 20q1 w RRA'!V31</f>
        <v>0</v>
      </c>
      <c r="W82">
        <f>W31-'Wednesday fixed 20q1 w RRA'!W31</f>
        <v>0</v>
      </c>
      <c r="X82">
        <f>X31-'Wednesday fixed 20q1 w RRA'!X31</f>
        <v>0</v>
      </c>
      <c r="Y82">
        <f>Y31-'Wednesday fixed 20q1 w RRA'!Y31</f>
        <v>0</v>
      </c>
      <c r="Z82">
        <f>Z31-'Wednesday fixed 20q1 w RRA'!Z31</f>
        <v>0</v>
      </c>
    </row>
    <row r="83" spans="2:26" x14ac:dyDescent="0.35">
      <c r="B83">
        <f>B32-'Wednesday fixed 20q1 w RRA'!B32</f>
        <v>0</v>
      </c>
      <c r="C83">
        <f>C32-'Wednesday fixed 20q1 w RRA'!C32</f>
        <v>0</v>
      </c>
      <c r="D83">
        <f>D32-'Wednesday fixed 20q1 w RRA'!D32</f>
        <v>0</v>
      </c>
      <c r="E83">
        <f>E32-'Wednesday fixed 20q1 w RRA'!E32</f>
        <v>0</v>
      </c>
      <c r="F83">
        <f>F32-'Wednesday fixed 20q1 w RRA'!F32</f>
        <v>0</v>
      </c>
      <c r="G83">
        <f>G32-'Wednesday fixed 20q1 w RRA'!G32</f>
        <v>0</v>
      </c>
      <c r="H83">
        <f>H32-'Wednesday fixed 20q1 w RRA'!H32</f>
        <v>0</v>
      </c>
      <c r="I83">
        <f>I32-'Wednesday fixed 20q1 w RRA'!I32</f>
        <v>0</v>
      </c>
      <c r="J83">
        <f>J32-'Wednesday fixed 20q1 w RRA'!J32</f>
        <v>0</v>
      </c>
      <c r="K83">
        <f>K32-'Wednesday fixed 20q1 w RRA'!K32</f>
        <v>0</v>
      </c>
      <c r="L83">
        <f>L32-'Wednesday fixed 20q1 w RRA'!L32</f>
        <v>0</v>
      </c>
      <c r="M83">
        <f>M32-'Wednesday fixed 20q1 w RRA'!M32</f>
        <v>0</v>
      </c>
      <c r="N83">
        <f>N32-'Wednesday fixed 20q1 w RRA'!N32</f>
        <v>0</v>
      </c>
      <c r="O83">
        <f>O32-'Wednesday fixed 20q1 w RRA'!O32</f>
        <v>0</v>
      </c>
      <c r="P83">
        <f>P32-'Wednesday fixed 20q1 w RRA'!P32</f>
        <v>0</v>
      </c>
      <c r="Q83">
        <f>Q32-'Wednesday fixed 20q1 w RRA'!Q32</f>
        <v>0</v>
      </c>
      <c r="R83">
        <f>R32-'Wednesday fixed 20q1 w RRA'!R32</f>
        <v>0</v>
      </c>
      <c r="S83">
        <f>S32-'Wednesday fixed 20q1 w RRA'!S32</f>
        <v>0</v>
      </c>
      <c r="T83">
        <f>T32-'Wednesday fixed 20q1 w RRA'!T32</f>
        <v>0</v>
      </c>
      <c r="U83">
        <f>U32-'Wednesday fixed 20q1 w RRA'!U32</f>
        <v>0</v>
      </c>
      <c r="V83">
        <f>V32-'Wednesday fixed 20q1 w RRA'!V32</f>
        <v>0</v>
      </c>
      <c r="W83">
        <f>W32-'Wednesday fixed 20q1 w RRA'!W32</f>
        <v>0</v>
      </c>
      <c r="X83">
        <f>X32-'Wednesday fixed 20q1 w RRA'!X32</f>
        <v>0</v>
      </c>
      <c r="Y83">
        <f>Y32-'Wednesday fixed 20q1 w RRA'!Y32</f>
        <v>0</v>
      </c>
      <c r="Z83">
        <f>Z32-'Wednesday fixed 20q1 w RRA'!Z32</f>
        <v>0</v>
      </c>
    </row>
    <row r="84" spans="2:26" x14ac:dyDescent="0.35">
      <c r="B84" t="e">
        <f>B33-'Wednesday fixed 20q1 w RRA'!B33</f>
        <v>#VALUE!</v>
      </c>
      <c r="C84" t="e">
        <f>C33-'Wednesday fixed 20q1 w RRA'!C33</f>
        <v>#VALUE!</v>
      </c>
      <c r="D84" t="e">
        <f>D33-'Wednesday fixed 20q1 w RRA'!D33</f>
        <v>#VALUE!</v>
      </c>
      <c r="E84" t="e">
        <f>E33-'Wednesday fixed 20q1 w RRA'!E33</f>
        <v>#VALUE!</v>
      </c>
      <c r="F84" t="e">
        <f>F33-'Wednesday fixed 20q1 w RRA'!F33</f>
        <v>#VALUE!</v>
      </c>
      <c r="G84" t="e">
        <f>G33-'Wednesday fixed 20q1 w RRA'!G33</f>
        <v>#VALUE!</v>
      </c>
      <c r="H84" t="e">
        <f>H33-'Wednesday fixed 20q1 w RRA'!H33</f>
        <v>#VALUE!</v>
      </c>
      <c r="I84" t="e">
        <f>I33-'Wednesday fixed 20q1 w RRA'!I33</f>
        <v>#VALUE!</v>
      </c>
      <c r="J84" t="e">
        <f>J33-'Wednesday fixed 20q1 w RRA'!J33</f>
        <v>#VALUE!</v>
      </c>
      <c r="K84" t="e">
        <f>K33-'Wednesday fixed 20q1 w RRA'!K33</f>
        <v>#VALUE!</v>
      </c>
      <c r="L84" t="e">
        <f>L33-'Wednesday fixed 20q1 w RRA'!L33</f>
        <v>#VALUE!</v>
      </c>
      <c r="M84" t="e">
        <f>M33-'Wednesday fixed 20q1 w RRA'!M33</f>
        <v>#VALUE!</v>
      </c>
      <c r="N84" t="e">
        <f>N33-'Wednesday fixed 20q1 w RRA'!N33</f>
        <v>#VALUE!</v>
      </c>
      <c r="O84" t="e">
        <f>O33-'Wednesday fixed 20q1 w RRA'!O33</f>
        <v>#VALUE!</v>
      </c>
      <c r="P84" t="e">
        <f>P33-'Wednesday fixed 20q1 w RRA'!P33</f>
        <v>#VALUE!</v>
      </c>
      <c r="Q84" t="e">
        <f>Q33-'Wednesday fixed 20q1 w RRA'!Q33</f>
        <v>#VALUE!</v>
      </c>
      <c r="R84" t="e">
        <f>R33-'Wednesday fixed 20q1 w RRA'!R33</f>
        <v>#VALUE!</v>
      </c>
      <c r="S84" t="e">
        <f>S33-'Wednesday fixed 20q1 w RRA'!S33</f>
        <v>#VALUE!</v>
      </c>
      <c r="T84" t="e">
        <f>T33-'Wednesday fixed 20q1 w RRA'!T33</f>
        <v>#VALUE!</v>
      </c>
      <c r="U84" t="e">
        <f>U33-'Wednesday fixed 20q1 w RRA'!U33</f>
        <v>#VALUE!</v>
      </c>
      <c r="V84" t="e">
        <f>V33-'Wednesday fixed 20q1 w RRA'!V33</f>
        <v>#VALUE!</v>
      </c>
      <c r="W84" t="e">
        <f>W33-'Wednesday fixed 20q1 w RRA'!W33</f>
        <v>#VALUE!</v>
      </c>
      <c r="X84" t="e">
        <f>X33-'Wednesday fixed 20q1 w RRA'!X33</f>
        <v>#VALUE!</v>
      </c>
      <c r="Y84" t="e">
        <f>Y33-'Wednesday fixed 20q1 w RRA'!Y33</f>
        <v>#VALUE!</v>
      </c>
      <c r="Z84" t="e">
        <f>Z33-'Wednesday fixed 20q1 w RRA'!Z33</f>
        <v>#VALUE!</v>
      </c>
    </row>
    <row r="85" spans="2:26" x14ac:dyDescent="0.35">
      <c r="B85">
        <f>B34-'Wednesday fixed 20q1 w RRA'!B34</f>
        <v>0</v>
      </c>
      <c r="C85">
        <f>C34-'Wednesday fixed 20q1 w RRA'!C34</f>
        <v>0</v>
      </c>
      <c r="D85">
        <f>D34-'Wednesday fixed 20q1 w RRA'!D34</f>
        <v>0</v>
      </c>
      <c r="E85">
        <f>E34-'Wednesday fixed 20q1 w RRA'!E34</f>
        <v>0</v>
      </c>
      <c r="F85">
        <f>F34-'Wednesday fixed 20q1 w RRA'!F34</f>
        <v>0</v>
      </c>
      <c r="G85">
        <f>G34-'Wednesday fixed 20q1 w RRA'!G34</f>
        <v>0</v>
      </c>
      <c r="H85">
        <f>H34-'Wednesday fixed 20q1 w RRA'!H34</f>
        <v>0</v>
      </c>
      <c r="I85">
        <f>I34-'Wednesday fixed 20q1 w RRA'!I34</f>
        <v>0</v>
      </c>
      <c r="J85">
        <f>J34-'Wednesday fixed 20q1 w RRA'!J34</f>
        <v>0</v>
      </c>
      <c r="K85">
        <f>K34-'Wednesday fixed 20q1 w RRA'!K34</f>
        <v>0</v>
      </c>
      <c r="L85">
        <f>L34-'Wednesday fixed 20q1 w RRA'!L34</f>
        <v>0</v>
      </c>
      <c r="M85">
        <f>M34-'Wednesday fixed 20q1 w RRA'!M34</f>
        <v>0</v>
      </c>
      <c r="N85">
        <f>N34-'Wednesday fixed 20q1 w RRA'!N34</f>
        <v>0</v>
      </c>
      <c r="O85">
        <f>O34-'Wednesday fixed 20q1 w RRA'!O34</f>
        <v>0</v>
      </c>
      <c r="P85">
        <f>P34-'Wednesday fixed 20q1 w RRA'!P34</f>
        <v>0</v>
      </c>
      <c r="Q85">
        <f>Q34-'Wednesday fixed 20q1 w RRA'!Q34</f>
        <v>0</v>
      </c>
      <c r="R85">
        <f>R34-'Wednesday fixed 20q1 w RRA'!R34</f>
        <v>0</v>
      </c>
      <c r="S85">
        <f>S34-'Wednesday fixed 20q1 w RRA'!S34</f>
        <v>0</v>
      </c>
      <c r="T85">
        <f>T34-'Wednesday fixed 20q1 w RRA'!T34</f>
        <v>0</v>
      </c>
      <c r="U85">
        <f>U34-'Wednesday fixed 20q1 w RRA'!U34</f>
        <v>0</v>
      </c>
      <c r="V85">
        <f>V34-'Wednesday fixed 20q1 w RRA'!V34</f>
        <v>0</v>
      </c>
      <c r="W85">
        <f>W34-'Wednesday fixed 20q1 w RRA'!W34</f>
        <v>0</v>
      </c>
      <c r="X85">
        <f>X34-'Wednesday fixed 20q1 w RRA'!X34</f>
        <v>0</v>
      </c>
      <c r="Y85">
        <f>Y34-'Wednesday fixed 20q1 w RRA'!Y34</f>
        <v>0</v>
      </c>
      <c r="Z85">
        <f>Z34-'Wednesday fixed 20q1 w RRA'!Z34</f>
        <v>0</v>
      </c>
    </row>
    <row r="86" spans="2:26" x14ac:dyDescent="0.35">
      <c r="B86">
        <f>B35-'Wednesday fixed 20q1 w RRA'!B35</f>
        <v>0</v>
      </c>
      <c r="C86">
        <f>C35-'Wednesday fixed 20q1 w RRA'!C35</f>
        <v>0</v>
      </c>
      <c r="D86">
        <f>D35-'Wednesday fixed 20q1 w RRA'!D35</f>
        <v>0</v>
      </c>
      <c r="E86">
        <f>E35-'Wednesday fixed 20q1 w RRA'!E35</f>
        <v>0</v>
      </c>
      <c r="F86">
        <f>F35-'Wednesday fixed 20q1 w RRA'!F35</f>
        <v>0</v>
      </c>
      <c r="G86">
        <f>G35-'Wednesday fixed 20q1 w RRA'!G35</f>
        <v>0</v>
      </c>
      <c r="H86">
        <f>H35-'Wednesday fixed 20q1 w RRA'!H35</f>
        <v>0</v>
      </c>
      <c r="I86">
        <f>I35-'Wednesday fixed 20q1 w RRA'!I35</f>
        <v>0</v>
      </c>
      <c r="J86">
        <f>J35-'Wednesday fixed 20q1 w RRA'!J35</f>
        <v>0</v>
      </c>
      <c r="K86">
        <f>K35-'Wednesday fixed 20q1 w RRA'!K35</f>
        <v>0</v>
      </c>
      <c r="L86">
        <f>L35-'Wednesday fixed 20q1 w RRA'!L35</f>
        <v>0</v>
      </c>
      <c r="M86">
        <f>M35-'Wednesday fixed 20q1 w RRA'!M35</f>
        <v>0</v>
      </c>
      <c r="N86">
        <f>N35-'Wednesday fixed 20q1 w RRA'!N35</f>
        <v>0</v>
      </c>
      <c r="O86">
        <f>O35-'Wednesday fixed 20q1 w RRA'!O35</f>
        <v>0</v>
      </c>
      <c r="P86">
        <f>P35-'Wednesday fixed 20q1 w RRA'!P35</f>
        <v>0</v>
      </c>
      <c r="Q86">
        <f>Q35-'Wednesday fixed 20q1 w RRA'!Q35</f>
        <v>0</v>
      </c>
      <c r="R86">
        <f>R35-'Wednesday fixed 20q1 w RRA'!R35</f>
        <v>0</v>
      </c>
      <c r="S86">
        <f>S35-'Wednesday fixed 20q1 w RRA'!S35</f>
        <v>0</v>
      </c>
      <c r="T86">
        <f>T35-'Wednesday fixed 20q1 w RRA'!T35</f>
        <v>0</v>
      </c>
      <c r="U86">
        <f>U35-'Wednesday fixed 20q1 w RRA'!U35</f>
        <v>0</v>
      </c>
      <c r="V86">
        <f>V35-'Wednesday fixed 20q1 w RRA'!V35</f>
        <v>0</v>
      </c>
      <c r="W86">
        <f>W35-'Wednesday fixed 20q1 w RRA'!W35</f>
        <v>0</v>
      </c>
      <c r="X86">
        <f>X35-'Wednesday fixed 20q1 w RRA'!X35</f>
        <v>0</v>
      </c>
      <c r="Y86">
        <f>Y35-'Wednesday fixed 20q1 w RRA'!Y35</f>
        <v>0</v>
      </c>
      <c r="Z86">
        <f>Z35-'Wednesday fixed 20q1 w RRA'!Z35</f>
        <v>0</v>
      </c>
    </row>
    <row r="87" spans="2:26" x14ac:dyDescent="0.35">
      <c r="B87">
        <f>B36-'Wednesday fixed 20q1 w RRA'!B36</f>
        <v>0</v>
      </c>
      <c r="C87">
        <f>C36-'Wednesday fixed 20q1 w RRA'!C36</f>
        <v>0</v>
      </c>
      <c r="D87">
        <f>D36-'Wednesday fixed 20q1 w RRA'!D36</f>
        <v>0</v>
      </c>
      <c r="E87">
        <f>E36-'Wednesday fixed 20q1 w RRA'!E36</f>
        <v>0</v>
      </c>
      <c r="F87">
        <f>F36-'Wednesday fixed 20q1 w RRA'!F36</f>
        <v>0</v>
      </c>
      <c r="G87">
        <f>G36-'Wednesday fixed 20q1 w RRA'!G36</f>
        <v>-8.1046280797636427E-15</v>
      </c>
      <c r="H87">
        <f>H36-'Wednesday fixed 20q1 w RRA'!H36</f>
        <v>-1.5501488981328748E-14</v>
      </c>
      <c r="I87">
        <f>I36-'Wednesday fixed 20q1 w RRA'!I36</f>
        <v>0</v>
      </c>
      <c r="J87">
        <f>J36-'Wednesday fixed 20q1 w RRA'!J36</f>
        <v>0</v>
      </c>
      <c r="K87">
        <f>K36-'Wednesday fixed 20q1 w RRA'!K36</f>
        <v>0</v>
      </c>
      <c r="L87">
        <f>L36-'Wednesday fixed 20q1 w RRA'!L36</f>
        <v>0</v>
      </c>
      <c r="M87">
        <f>M36-'Wednesday fixed 20q1 w RRA'!M36</f>
        <v>0</v>
      </c>
      <c r="N87">
        <f>N36-'Wednesday fixed 20q1 w RRA'!N36</f>
        <v>0</v>
      </c>
      <c r="O87">
        <f>O36-'Wednesday fixed 20q1 w RRA'!O36</f>
        <v>0</v>
      </c>
      <c r="P87">
        <f>P36-'Wednesday fixed 20q1 w RRA'!P36</f>
        <v>7.9936057773011271E-15</v>
      </c>
      <c r="Q87">
        <f>Q36-'Wednesday fixed 20q1 w RRA'!Q36</f>
        <v>-7.9936057773011271E-15</v>
      </c>
      <c r="R87">
        <f>R36-'Wednesday fixed 20q1 w RRA'!R36</f>
        <v>7.1054273576010019E-15</v>
      </c>
      <c r="S87">
        <f>S36-'Wednesday fixed 20q1 w RRA'!S36</f>
        <v>-7.8825834748386114E-15</v>
      </c>
      <c r="T87">
        <f>T36-'Wednesday fixed 20q1 w RRA'!T36</f>
        <v>0</v>
      </c>
      <c r="U87">
        <f>U36-'Wednesday fixed 20q1 w RRA'!U36</f>
        <v>8.8817841970012523E-15</v>
      </c>
      <c r="V87">
        <f>V36-'Wednesday fixed 20q1 w RRA'!V36</f>
        <v>9.7699626167013776E-15</v>
      </c>
      <c r="W87">
        <f>W36-'Wednesday fixed 20q1 w RRA'!W36</f>
        <v>0</v>
      </c>
      <c r="X87">
        <f>X36-'Wednesday fixed 20q1 w RRA'!X36</f>
        <v>0</v>
      </c>
      <c r="Y87">
        <f>Y36-'Wednesday fixed 20q1 w RRA'!Y36</f>
        <v>9.7699626167013776E-15</v>
      </c>
      <c r="Z87">
        <f>Z36-'Wednesday fixed 20q1 w RRA'!Z36</f>
        <v>0</v>
      </c>
    </row>
    <row r="88" spans="2:26" x14ac:dyDescent="0.35">
      <c r="B88">
        <f>B37-'Wednesday fixed 20q1 w RRA'!B37</f>
        <v>3.0478711452268104E-3</v>
      </c>
      <c r="C88">
        <f>C37-'Wednesday fixed 20q1 w RRA'!C37</f>
        <v>4.8557305267171724E-3</v>
      </c>
      <c r="D88">
        <f>D37-'Wednesday fixed 20q1 w RRA'!D37</f>
        <v>-6.7222977174528076E-3</v>
      </c>
      <c r="E88">
        <f>E37-'Wednesday fixed 20q1 w RRA'!E37</f>
        <v>-2.3403385854288139E-3</v>
      </c>
      <c r="F88">
        <f>F37-'Wednesday fixed 20q1 w RRA'!F37</f>
        <v>1.0157056814068532E-3</v>
      </c>
      <c r="G88">
        <f>G37-'Wednesday fixed 20q1 w RRA'!G37</f>
        <v>-1.5688398605679943E-3</v>
      </c>
      <c r="H88">
        <f>H37-'Wednesday fixed 20q1 w RRA'!H37</f>
        <v>-1.5293380254890465E-3</v>
      </c>
      <c r="I88">
        <f>I37-'Wednesday fixed 20q1 w RRA'!I37</f>
        <v>-7.7158846226825784E-3</v>
      </c>
      <c r="J88">
        <f>J37-'Wednesday fixed 20q1 w RRA'!J37</f>
        <v>2.5601568575250866E-4</v>
      </c>
      <c r="K88">
        <f>K37-'Wednesday fixed 20q1 w RRA'!K37</f>
        <v>1.2221575754409741E-3</v>
      </c>
      <c r="L88">
        <f>L37-'Wednesday fixed 20q1 w RRA'!L37</f>
        <v>-1.0833372380860684E-2</v>
      </c>
      <c r="M88">
        <f>M37-'Wednesday fixed 20q1 w RRA'!M37</f>
        <v>2.8517788139836853E-6</v>
      </c>
      <c r="N88">
        <f>N37-'Wednesday fixed 20q1 w RRA'!N37</f>
        <v>1.5327817224930484E-4</v>
      </c>
      <c r="O88">
        <f>O37-'Wednesday fixed 20q1 w RRA'!O37</f>
        <v>-2.4475300366999519E-4</v>
      </c>
      <c r="P88">
        <f>P37-'Wednesday fixed 20q1 w RRA'!P37</f>
        <v>-2.1199188761294785E-2</v>
      </c>
      <c r="Q88">
        <f>Q37-'Wednesday fixed 20q1 w RRA'!Q37</f>
        <v>-2.038833604769863E-3</v>
      </c>
      <c r="R88">
        <f>R37-'Wednesday fixed 20q1 w RRA'!R37</f>
        <v>2.1152564387061368E-3</v>
      </c>
      <c r="S88">
        <f>S37-'Wednesday fixed 20q1 w RRA'!S37</f>
        <v>4.757188581228089E-4</v>
      </c>
      <c r="T88">
        <f>T37-'Wednesday fixed 20q1 w RRA'!T37</f>
        <v>-1.3321183898249433E-3</v>
      </c>
      <c r="U88">
        <f>U37-'Wednesday fixed 20q1 w RRA'!U37</f>
        <v>6.7269097671118772E-4</v>
      </c>
      <c r="V88">
        <f>V37-'Wednesday fixed 20q1 w RRA'!V37</f>
        <v>-4.8081684313021622E-3</v>
      </c>
      <c r="W88">
        <f>W37-'Wednesday fixed 20q1 w RRA'!W37</f>
        <v>2.0276862620911551E-3</v>
      </c>
      <c r="X88">
        <f>X37-'Wednesday fixed 20q1 w RRA'!X37</f>
        <v>-5.6001307021988911E-3</v>
      </c>
      <c r="Y88">
        <f>Y37-'Wednesday fixed 20q1 w RRA'!Y37</f>
        <v>5.2349319147104723E-5</v>
      </c>
      <c r="Z88">
        <f>Z37-'Wednesday fixed 20q1 w RRA'!Z37</f>
        <v>-1.1705037084399628E-3</v>
      </c>
    </row>
    <row r="89" spans="2:26" x14ac:dyDescent="0.35">
      <c r="B89">
        <f>B38-'Wednesday fixed 20q1 w RRA'!B38</f>
        <v>3.0478711452985863E-3</v>
      </c>
      <c r="C89">
        <f>C38-'Wednesday fixed 20q1 w RRA'!C38</f>
        <v>4.85573052668542E-3</v>
      </c>
      <c r="D89">
        <f>D38-'Wednesday fixed 20q1 w RRA'!D38</f>
        <v>-6.7222977175163123E-3</v>
      </c>
      <c r="E89">
        <f>E38-'Wednesday fixed 20q1 w RRA'!E38</f>
        <v>-2.3403385854123826E-3</v>
      </c>
      <c r="F89">
        <f>F38-'Wednesday fixed 20q1 w RRA'!F38</f>
        <v>1.0157056813966392E-3</v>
      </c>
      <c r="G89">
        <f>G38-'Wednesday fixed 20q1 w RRA'!G38</f>
        <v>-1.5688398605959719E-3</v>
      </c>
      <c r="H89">
        <f>H38-'Wednesday fixed 20q1 w RRA'!H38</f>
        <v>-1.5293380256196087E-3</v>
      </c>
      <c r="I89">
        <f>I38-'Wednesday fixed 20q1 w RRA'!I38</f>
        <v>-7.7158846227121103E-3</v>
      </c>
      <c r="J89">
        <f>J38-'Wednesday fixed 20q1 w RRA'!J38</f>
        <v>2.5601568580668754E-4</v>
      </c>
      <c r="K89">
        <f>K38-'Wednesday fixed 20q1 w RRA'!K38</f>
        <v>1.2221575755120284E-3</v>
      </c>
      <c r="L89">
        <f>L38-'Wednesday fixed 20q1 w RRA'!L38</f>
        <v>-1.0833372380915307E-2</v>
      </c>
      <c r="M89">
        <f>M38-'Wednesday fixed 20q1 w RRA'!M38</f>
        <v>2.8517787882265111E-6</v>
      </c>
      <c r="N89">
        <f>N38-'Wednesday fixed 20q1 w RRA'!N38</f>
        <v>1.5327817220622819E-4</v>
      </c>
      <c r="O89">
        <f>O38-'Wednesday fixed 20q1 w RRA'!O38</f>
        <v>-2.4475300369886099E-4</v>
      </c>
      <c r="P89">
        <f>P38-'Wednesday fixed 20q1 w RRA'!P38</f>
        <v>-2.1199188761414689E-2</v>
      </c>
      <c r="Q89">
        <f>Q38-'Wednesday fixed 20q1 w RRA'!Q38</f>
        <v>-2.0388336047005851E-3</v>
      </c>
      <c r="R89">
        <f>R38-'Wednesday fixed 20q1 w RRA'!R38</f>
        <v>2.1152564387136863E-3</v>
      </c>
      <c r="S89">
        <f>S38-'Wednesday fixed 20q1 w RRA'!S38</f>
        <v>4.7571885809816195E-4</v>
      </c>
      <c r="T89">
        <f>T38-'Wednesday fixed 20q1 w RRA'!T38</f>
        <v>-1.3321183898824529E-3</v>
      </c>
      <c r="U89">
        <f>U38-'Wednesday fixed 20q1 w RRA'!U38</f>
        <v>6.726909766996414E-4</v>
      </c>
      <c r="V89">
        <f>V38-'Wednesday fixed 20q1 w RRA'!V38</f>
        <v>-4.8081684312819561E-3</v>
      </c>
      <c r="W89">
        <f>W38-'Wednesday fixed 20q1 w RRA'!W38</f>
        <v>2.0276862621244618E-3</v>
      </c>
      <c r="X89">
        <f>X38-'Wednesday fixed 20q1 w RRA'!X38</f>
        <v>-5.6001307022199853E-3</v>
      </c>
      <c r="Y89">
        <f>Y38-'Wednesday fixed 20q1 w RRA'!Y38</f>
        <v>5.2349319105360337E-5</v>
      </c>
      <c r="Z89">
        <f>Z38-'Wednesday fixed 20q1 w RRA'!Z38</f>
        <v>-1.1705037084936976E-3</v>
      </c>
    </row>
    <row r="90" spans="2:26" x14ac:dyDescent="0.35">
      <c r="B90">
        <f>B39-'Wednesday fixed 20q1 w RRA'!B39</f>
        <v>0</v>
      </c>
      <c r="C90">
        <f>C39-'Wednesday fixed 20q1 w RRA'!C39</f>
        <v>0</v>
      </c>
      <c r="D90">
        <f>D39-'Wednesday fixed 20q1 w RRA'!D39</f>
        <v>0</v>
      </c>
      <c r="E90">
        <f>E39-'Wednesday fixed 20q1 w RRA'!E39</f>
        <v>0</v>
      </c>
      <c r="F90">
        <f>F39-'Wednesday fixed 20q1 w RRA'!F39</f>
        <v>0</v>
      </c>
      <c r="G90">
        <f>G39-'Wednesday fixed 20q1 w RRA'!G39</f>
        <v>0</v>
      </c>
      <c r="H90">
        <f>H39-'Wednesday fixed 20q1 w RRA'!H39</f>
        <v>0</v>
      </c>
      <c r="I90">
        <f>I39-'Wednesday fixed 20q1 w RRA'!I39</f>
        <v>0</v>
      </c>
      <c r="J90">
        <f>J39-'Wednesday fixed 20q1 w RRA'!J39</f>
        <v>0</v>
      </c>
      <c r="K90">
        <f>K39-'Wednesday fixed 20q1 w RRA'!K39</f>
        <v>0</v>
      </c>
      <c r="L90">
        <f>L39-'Wednesday fixed 20q1 w RRA'!L39</f>
        <v>0</v>
      </c>
      <c r="M90">
        <f>M39-'Wednesday fixed 20q1 w RRA'!M39</f>
        <v>0</v>
      </c>
      <c r="N90">
        <f>N39-'Wednesday fixed 20q1 w RRA'!N39</f>
        <v>0</v>
      </c>
      <c r="O90">
        <f>O39-'Wednesday fixed 20q1 w RRA'!O39</f>
        <v>0</v>
      </c>
      <c r="P90">
        <f>P39-'Wednesday fixed 20q1 w RRA'!P39</f>
        <v>0</v>
      </c>
      <c r="Q90">
        <f>Q39-'Wednesday fixed 20q1 w RRA'!Q39</f>
        <v>0</v>
      </c>
      <c r="R90">
        <f>R39-'Wednesday fixed 20q1 w RRA'!R39</f>
        <v>0</v>
      </c>
      <c r="S90">
        <f>S39-'Wednesday fixed 20q1 w RRA'!S39</f>
        <v>0</v>
      </c>
      <c r="T90">
        <f>T39-'Wednesday fixed 20q1 w RRA'!T39</f>
        <v>0</v>
      </c>
      <c r="U90">
        <f>U39-'Wednesday fixed 20q1 w RRA'!U39</f>
        <v>0</v>
      </c>
      <c r="V90">
        <f>V39-'Wednesday fixed 20q1 w RRA'!V39</f>
        <v>0</v>
      </c>
      <c r="W90">
        <f>W39-'Wednesday fixed 20q1 w RRA'!W39</f>
        <v>0</v>
      </c>
      <c r="X90">
        <f>X39-'Wednesday fixed 20q1 w RRA'!X39</f>
        <v>0</v>
      </c>
      <c r="Y90">
        <f>Y39-'Wednesday fixed 20q1 w RRA'!Y39</f>
        <v>0</v>
      </c>
      <c r="Z90">
        <f>Z39-'Wednesday fixed 20q1 w RRA'!Z39</f>
        <v>0</v>
      </c>
    </row>
    <row r="91" spans="2:26" x14ac:dyDescent="0.35">
      <c r="B91">
        <f>B40-'Wednesday fixed 20q1 w RRA'!B40</f>
        <v>0</v>
      </c>
      <c r="C91">
        <f>C40-'Wednesday fixed 20q1 w RRA'!C40</f>
        <v>0</v>
      </c>
      <c r="D91">
        <f>D40-'Wednesday fixed 20q1 w RRA'!D40</f>
        <v>0</v>
      </c>
      <c r="E91">
        <f>E40-'Wednesday fixed 20q1 w RRA'!E40</f>
        <v>0</v>
      </c>
      <c r="F91">
        <f>F40-'Wednesday fixed 20q1 w RRA'!F40</f>
        <v>0</v>
      </c>
      <c r="G91">
        <f>G40-'Wednesday fixed 20q1 w RRA'!G40</f>
        <v>0</v>
      </c>
      <c r="H91">
        <f>H40-'Wednesday fixed 20q1 w RRA'!H40</f>
        <v>0</v>
      </c>
      <c r="I91">
        <f>I40-'Wednesday fixed 20q1 w RRA'!I40</f>
        <v>0</v>
      </c>
      <c r="J91">
        <f>J40-'Wednesday fixed 20q1 w RRA'!J40</f>
        <v>0</v>
      </c>
      <c r="K91">
        <f>K40-'Wednesday fixed 20q1 w RRA'!K40</f>
        <v>0</v>
      </c>
      <c r="L91">
        <f>L40-'Wednesday fixed 20q1 w RRA'!L40</f>
        <v>0</v>
      </c>
      <c r="M91">
        <f>M40-'Wednesday fixed 20q1 w RRA'!M40</f>
        <v>0</v>
      </c>
      <c r="N91">
        <f>N40-'Wednesday fixed 20q1 w RRA'!N40</f>
        <v>0</v>
      </c>
      <c r="O91">
        <f>O40-'Wednesday fixed 20q1 w RRA'!O40</f>
        <v>0</v>
      </c>
      <c r="P91">
        <f>P40-'Wednesday fixed 20q1 w RRA'!P40</f>
        <v>0</v>
      </c>
      <c r="Q91">
        <f>Q40-'Wednesday fixed 20q1 w RRA'!Q40</f>
        <v>0</v>
      </c>
      <c r="R91">
        <f>R40-'Wednesday fixed 20q1 w RRA'!R40</f>
        <v>0</v>
      </c>
      <c r="S91">
        <f>S40-'Wednesday fixed 20q1 w RRA'!S40</f>
        <v>0</v>
      </c>
      <c r="T91">
        <f>T40-'Wednesday fixed 20q1 w RRA'!T40</f>
        <v>0</v>
      </c>
      <c r="U91">
        <f>U40-'Wednesday fixed 20q1 w RRA'!U40</f>
        <v>0</v>
      </c>
      <c r="V91">
        <f>V40-'Wednesday fixed 20q1 w RRA'!V40</f>
        <v>0</v>
      </c>
      <c r="W91">
        <f>W40-'Wednesday fixed 20q1 w RRA'!W40</f>
        <v>0</v>
      </c>
      <c r="X91">
        <f>X40-'Wednesday fixed 20q1 w RRA'!X40</f>
        <v>0</v>
      </c>
      <c r="Y91">
        <f>Y40-'Wednesday fixed 20q1 w RRA'!Y40</f>
        <v>0</v>
      </c>
      <c r="Z91">
        <f>Z40-'Wednesday fixed 20q1 w RRA'!Z40</f>
        <v>0</v>
      </c>
    </row>
    <row r="92" spans="2:26" x14ac:dyDescent="0.35">
      <c r="B92" t="e">
        <f>B41-'Wednesday fixed 20q1 w RRA'!B41</f>
        <v>#VALUE!</v>
      </c>
      <c r="C92" t="e">
        <f>C41-'Wednesday fixed 20q1 w RRA'!C41</f>
        <v>#VALUE!</v>
      </c>
      <c r="D92" t="e">
        <f>D41-'Wednesday fixed 20q1 w RRA'!D41</f>
        <v>#VALUE!</v>
      </c>
      <c r="E92" t="e">
        <f>E41-'Wednesday fixed 20q1 w RRA'!E41</f>
        <v>#VALUE!</v>
      </c>
      <c r="F92" t="e">
        <f>F41-'Wednesday fixed 20q1 w RRA'!F41</f>
        <v>#VALUE!</v>
      </c>
      <c r="G92" t="e">
        <f>G41-'Wednesday fixed 20q1 w RRA'!G41</f>
        <v>#VALUE!</v>
      </c>
      <c r="H92" t="e">
        <f>H41-'Wednesday fixed 20q1 w RRA'!H41</f>
        <v>#VALUE!</v>
      </c>
      <c r="I92" t="e">
        <f>I41-'Wednesday fixed 20q1 w RRA'!I41</f>
        <v>#VALUE!</v>
      </c>
      <c r="J92" t="e">
        <f>J41-'Wednesday fixed 20q1 w RRA'!J41</f>
        <v>#VALUE!</v>
      </c>
      <c r="K92" t="e">
        <f>K41-'Wednesday fixed 20q1 w RRA'!K41</f>
        <v>#VALUE!</v>
      </c>
      <c r="L92" t="e">
        <f>L41-'Wednesday fixed 20q1 w RRA'!L41</f>
        <v>#VALUE!</v>
      </c>
      <c r="M92" t="e">
        <f>M41-'Wednesday fixed 20q1 w RRA'!M41</f>
        <v>#VALUE!</v>
      </c>
      <c r="N92" t="e">
        <f>N41-'Wednesday fixed 20q1 w RRA'!N41</f>
        <v>#VALUE!</v>
      </c>
      <c r="O92" t="e">
        <f>O41-'Wednesday fixed 20q1 w RRA'!O41</f>
        <v>#VALUE!</v>
      </c>
      <c r="P92" t="e">
        <f>P41-'Wednesday fixed 20q1 w RRA'!P41</f>
        <v>#VALUE!</v>
      </c>
      <c r="Q92" t="e">
        <f>Q41-'Wednesday fixed 20q1 w RRA'!Q41</f>
        <v>#VALUE!</v>
      </c>
      <c r="R92" t="e">
        <f>R41-'Wednesday fixed 20q1 w RRA'!R41</f>
        <v>#VALUE!</v>
      </c>
      <c r="S92" t="e">
        <f>S41-'Wednesday fixed 20q1 w RRA'!S41</f>
        <v>#VALUE!</v>
      </c>
      <c r="T92" t="e">
        <f>T41-'Wednesday fixed 20q1 w RRA'!T41</f>
        <v>#VALUE!</v>
      </c>
      <c r="U92" t="e">
        <f>U41-'Wednesday fixed 20q1 w RRA'!U41</f>
        <v>#VALUE!</v>
      </c>
      <c r="V92" t="e">
        <f>V41-'Wednesday fixed 20q1 w RRA'!V41</f>
        <v>#VALUE!</v>
      </c>
      <c r="W92" t="e">
        <f>W41-'Wednesday fixed 20q1 w RRA'!W41</f>
        <v>#VALUE!</v>
      </c>
      <c r="X92" t="e">
        <f>X41-'Wednesday fixed 20q1 w RRA'!X41</f>
        <v>#VALUE!</v>
      </c>
      <c r="Y92" t="e">
        <f>Y41-'Wednesday fixed 20q1 w RRA'!Y41</f>
        <v>#VALUE!</v>
      </c>
      <c r="Z92" t="e">
        <f>Z41-'Wednesday fixed 20q1 w RRA'!Z41</f>
        <v>#VALUE!</v>
      </c>
    </row>
    <row r="93" spans="2:26" x14ac:dyDescent="0.35">
      <c r="B93">
        <f>B42-'Wednesday fixed 20q1 w RRA'!B42</f>
        <v>0</v>
      </c>
      <c r="C93">
        <f>C42-'Wednesday fixed 20q1 w RRA'!C42</f>
        <v>0</v>
      </c>
      <c r="D93">
        <f>D42-'Wednesday fixed 20q1 w RRA'!D42</f>
        <v>0</v>
      </c>
      <c r="E93">
        <f>E42-'Wednesday fixed 20q1 w RRA'!E42</f>
        <v>0</v>
      </c>
      <c r="F93">
        <f>F42-'Wednesday fixed 20q1 w RRA'!F42</f>
        <v>0</v>
      </c>
      <c r="G93">
        <f>G42-'Wednesday fixed 20q1 w RRA'!G42</f>
        <v>0</v>
      </c>
      <c r="H93">
        <f>H42-'Wednesday fixed 20q1 w RRA'!H42</f>
        <v>0</v>
      </c>
      <c r="I93">
        <f>I42-'Wednesday fixed 20q1 w RRA'!I42</f>
        <v>0</v>
      </c>
      <c r="J93">
        <f>J42-'Wednesday fixed 20q1 w RRA'!J42</f>
        <v>0</v>
      </c>
      <c r="K93">
        <f>K42-'Wednesday fixed 20q1 w RRA'!K42</f>
        <v>0</v>
      </c>
      <c r="L93">
        <f>L42-'Wednesday fixed 20q1 w RRA'!L42</f>
        <v>0</v>
      </c>
      <c r="M93">
        <f>M42-'Wednesday fixed 20q1 w RRA'!M42</f>
        <v>0</v>
      </c>
      <c r="N93">
        <f>N42-'Wednesday fixed 20q1 w RRA'!N42</f>
        <v>0</v>
      </c>
      <c r="O93">
        <f>O42-'Wednesday fixed 20q1 w RRA'!O42</f>
        <v>0</v>
      </c>
      <c r="P93">
        <f>P42-'Wednesday fixed 20q1 w RRA'!P42</f>
        <v>0</v>
      </c>
      <c r="Q93">
        <f>Q42-'Wednesday fixed 20q1 w RRA'!Q42</f>
        <v>0</v>
      </c>
      <c r="R93">
        <f>R42-'Wednesday fixed 20q1 w RRA'!R42</f>
        <v>0</v>
      </c>
      <c r="S93">
        <f>S42-'Wednesday fixed 20q1 w RRA'!S42</f>
        <v>0</v>
      </c>
      <c r="T93">
        <f>T42-'Wednesday fixed 20q1 w RRA'!T42</f>
        <v>0</v>
      </c>
      <c r="U93">
        <f>U42-'Wednesday fixed 20q1 w RRA'!U42</f>
        <v>0</v>
      </c>
      <c r="V93">
        <f>V42-'Wednesday fixed 20q1 w RRA'!V42</f>
        <v>0</v>
      </c>
      <c r="W93">
        <f>W42-'Wednesday fixed 20q1 w RRA'!W42</f>
        <v>0</v>
      </c>
      <c r="X93">
        <f>X42-'Wednesday fixed 20q1 w RRA'!X42</f>
        <v>0</v>
      </c>
      <c r="Y93">
        <f>Y42-'Wednesday fixed 20q1 w RRA'!Y42</f>
        <v>0</v>
      </c>
      <c r="Z93">
        <f>Z42-'Wednesday fixed 20q1 w RRA'!Z42</f>
        <v>0</v>
      </c>
    </row>
    <row r="94" spans="2:26" x14ac:dyDescent="0.35">
      <c r="B94">
        <f>B43-'Wednesday fixed 20q1 w RRA'!B43</f>
        <v>0</v>
      </c>
      <c r="C94">
        <f>C43-'Wednesday fixed 20q1 w RRA'!C43</f>
        <v>2.8421709430404007E-14</v>
      </c>
      <c r="D94">
        <f>D43-'Wednesday fixed 20q1 w RRA'!D43</f>
        <v>0</v>
      </c>
      <c r="E94">
        <f>E43-'Wednesday fixed 20q1 w RRA'!E43</f>
        <v>0</v>
      </c>
      <c r="F94">
        <f>F43-'Wednesday fixed 20q1 w RRA'!F43</f>
        <v>0</v>
      </c>
      <c r="G94">
        <f>G43-'Wednesday fixed 20q1 w RRA'!G43</f>
        <v>0</v>
      </c>
      <c r="H94">
        <f>H43-'Wednesday fixed 20q1 w RRA'!H43</f>
        <v>0</v>
      </c>
      <c r="I94">
        <f>I43-'Wednesday fixed 20q1 w RRA'!I43</f>
        <v>0</v>
      </c>
      <c r="J94">
        <f>J43-'Wednesday fixed 20q1 w RRA'!J43</f>
        <v>0</v>
      </c>
      <c r="K94">
        <f>K43-'Wednesday fixed 20q1 w RRA'!K43</f>
        <v>0</v>
      </c>
      <c r="L94">
        <f>L43-'Wednesday fixed 20q1 w RRA'!L43</f>
        <v>-2.7977620220553945E-14</v>
      </c>
      <c r="M94">
        <f>M43-'Wednesday fixed 20q1 w RRA'!M43</f>
        <v>0</v>
      </c>
      <c r="N94">
        <f>N43-'Wednesday fixed 20q1 w RRA'!N43</f>
        <v>0</v>
      </c>
      <c r="O94">
        <f>O43-'Wednesday fixed 20q1 w RRA'!O43</f>
        <v>0</v>
      </c>
      <c r="P94">
        <f>P43-'Wednesday fixed 20q1 w RRA'!P43</f>
        <v>0</v>
      </c>
      <c r="Q94">
        <f>Q43-'Wednesday fixed 20q1 w RRA'!Q43</f>
        <v>0</v>
      </c>
      <c r="R94">
        <f>R43-'Wednesday fixed 20q1 w RRA'!R43</f>
        <v>0</v>
      </c>
      <c r="S94">
        <f>S43-'Wednesday fixed 20q1 w RRA'!S43</f>
        <v>0</v>
      </c>
      <c r="T94">
        <f>T43-'Wednesday fixed 20q1 w RRA'!T43</f>
        <v>2.886579864025407E-14</v>
      </c>
      <c r="U94">
        <f>U43-'Wednesday fixed 20q1 w RRA'!U43</f>
        <v>0</v>
      </c>
      <c r="V94">
        <f>V43-'Wednesday fixed 20q1 w RRA'!V43</f>
        <v>0</v>
      </c>
      <c r="W94">
        <f>W43-'Wednesday fixed 20q1 w RRA'!W43</f>
        <v>0</v>
      </c>
      <c r="X94">
        <f>X43-'Wednesday fixed 20q1 w RRA'!X43</f>
        <v>0</v>
      </c>
      <c r="Y94">
        <f>Y43-'Wednesday fixed 20q1 w RRA'!Y43</f>
        <v>2.8421709430404007E-14</v>
      </c>
      <c r="Z94">
        <f>Z43-'Wednesday fixed 20q1 w RRA'!Z43</f>
        <v>0</v>
      </c>
    </row>
    <row r="95" spans="2:26" x14ac:dyDescent="0.35">
      <c r="B95">
        <f>B44-'Wednesday fixed 20q1 w RRA'!B44</f>
        <v>9.0691343324067475E-15</v>
      </c>
      <c r="C95">
        <f>C44-'Wednesday fixed 20q1 w RRA'!C44</f>
        <v>-9.2703622556200571E-15</v>
      </c>
      <c r="D95">
        <f>D44-'Wednesday fixed 20q1 w RRA'!D44</f>
        <v>-1.8460927231345181E-14</v>
      </c>
      <c r="E95">
        <f>E44-'Wednesday fixed 20q1 w RRA'!E44</f>
        <v>-9.3258734068513149E-15</v>
      </c>
      <c r="F95">
        <f>F44-'Wednesday fixed 20q1 w RRA'!F44</f>
        <v>0</v>
      </c>
      <c r="G95">
        <f>G44-'Wednesday fixed 20q1 w RRA'!G44</f>
        <v>-9.5479180117763462E-15</v>
      </c>
      <c r="H95">
        <f>H44-'Wednesday fixed 20q1 w RRA'!H44</f>
        <v>0</v>
      </c>
      <c r="I95">
        <f>I44-'Wednesday fixed 20q1 w RRA'!I44</f>
        <v>0</v>
      </c>
      <c r="J95">
        <f>J44-'Wednesday fixed 20q1 w RRA'!J44</f>
        <v>0</v>
      </c>
      <c r="K95">
        <f>K44-'Wednesday fixed 20q1 w RRA'!K44</f>
        <v>4.3992587350771828E-15</v>
      </c>
      <c r="L95">
        <f>L44-'Wednesday fixed 20q1 w RRA'!L44</f>
        <v>0</v>
      </c>
      <c r="M95">
        <f>M44-'Wednesday fixed 20q1 w RRA'!M44</f>
        <v>-1.7430501486614958E-14</v>
      </c>
      <c r="N95">
        <f>N44-'Wednesday fixed 20q1 w RRA'!N44</f>
        <v>-3.8857805861880479E-15</v>
      </c>
      <c r="O95">
        <f>O44-'Wednesday fixed 20q1 w RRA'!O44</f>
        <v>0</v>
      </c>
      <c r="P95">
        <f>P44-'Wednesday fixed 20q1 w RRA'!P44</f>
        <v>0</v>
      </c>
      <c r="Q95">
        <f>Q44-'Wednesday fixed 20q1 w RRA'!Q44</f>
        <v>-9.298117831235686E-15</v>
      </c>
      <c r="R95">
        <f>R44-'Wednesday fixed 20q1 w RRA'!R44</f>
        <v>0</v>
      </c>
      <c r="S95">
        <f>S44-'Wednesday fixed 20q1 w RRA'!S44</f>
        <v>9.2148511043887993E-15</v>
      </c>
      <c r="T95">
        <f>T44-'Wednesday fixed 20q1 w RRA'!T44</f>
        <v>-4.6629367034256575E-15</v>
      </c>
      <c r="U95">
        <f>U44-'Wednesday fixed 20q1 w RRA'!U44</f>
        <v>8.7707618945387367E-15</v>
      </c>
      <c r="V95">
        <f>V44-'Wednesday fixed 20q1 w RRA'!V44</f>
        <v>-8.7707618945387367E-15</v>
      </c>
      <c r="W95">
        <f>W44-'Wednesday fixed 20q1 w RRA'!W44</f>
        <v>-4.5102810375396984E-15</v>
      </c>
      <c r="X95">
        <f>X44-'Wednesday fixed 20q1 w RRA'!X44</f>
        <v>9.1593399531575415E-15</v>
      </c>
      <c r="Y95">
        <f>Y44-'Wednesday fixed 20q1 w RRA'!Y44</f>
        <v>0</v>
      </c>
      <c r="Z95">
        <f>Z44-'Wednesday fixed 20q1 w RRA'!Z44</f>
        <v>0</v>
      </c>
    </row>
    <row r="96" spans="2:26" x14ac:dyDescent="0.35">
      <c r="B96">
        <f>B45-'Wednesday fixed 20q1 w RRA'!B45</f>
        <v>3.1086244689504383E-15</v>
      </c>
      <c r="C96">
        <f>C45-'Wednesday fixed 20q1 w RRA'!C45</f>
        <v>0</v>
      </c>
      <c r="D96">
        <f>D45-'Wednesday fixed 20q1 w RRA'!D45</f>
        <v>2.9108659926890823E-15</v>
      </c>
      <c r="E96">
        <f>E45-'Wednesday fixed 20q1 w RRA'!E45</f>
        <v>0</v>
      </c>
      <c r="F96">
        <f>F45-'Wednesday fixed 20q1 w RRA'!F45</f>
        <v>0</v>
      </c>
      <c r="G96">
        <f>G45-'Wednesday fixed 20q1 w RRA'!G45</f>
        <v>-4.8849813083506888E-15</v>
      </c>
      <c r="H96">
        <f>H45-'Wednesday fixed 20q1 w RRA'!H45</f>
        <v>0</v>
      </c>
      <c r="I96">
        <f>I45-'Wednesday fixed 20q1 w RRA'!I45</f>
        <v>0</v>
      </c>
      <c r="J96">
        <f>J45-'Wednesday fixed 20q1 w RRA'!J45</f>
        <v>0</v>
      </c>
      <c r="K96">
        <f>K45-'Wednesday fixed 20q1 w RRA'!K45</f>
        <v>0</v>
      </c>
      <c r="L96">
        <f>L45-'Wednesday fixed 20q1 w RRA'!L45</f>
        <v>0</v>
      </c>
      <c r="M96">
        <f>M45-'Wednesday fixed 20q1 w RRA'!M45</f>
        <v>0</v>
      </c>
      <c r="N96">
        <f>N45-'Wednesday fixed 20q1 w RRA'!N45</f>
        <v>0</v>
      </c>
      <c r="O96">
        <f>O45-'Wednesday fixed 20q1 w RRA'!O45</f>
        <v>3.1086244689504383E-15</v>
      </c>
      <c r="P96">
        <f>P45-'Wednesday fixed 20q1 w RRA'!P45</f>
        <v>0</v>
      </c>
      <c r="Q96">
        <f>Q45-'Wednesday fixed 20q1 w RRA'!Q45</f>
        <v>0</v>
      </c>
      <c r="R96">
        <f>R45-'Wednesday fixed 20q1 w RRA'!R45</f>
        <v>0</v>
      </c>
      <c r="S96">
        <f>S45-'Wednesday fixed 20q1 w RRA'!S45</f>
        <v>-2.886579864025407E-15</v>
      </c>
      <c r="T96">
        <f>T45-'Wednesday fixed 20q1 w RRA'!T45</f>
        <v>5.9952043329758453E-15</v>
      </c>
      <c r="U96">
        <f>U45-'Wednesday fixed 20q1 w RRA'!U45</f>
        <v>-2.886579864025407E-15</v>
      </c>
      <c r="V96">
        <f>V45-'Wednesday fixed 20q1 w RRA'!V45</f>
        <v>0</v>
      </c>
      <c r="W96">
        <f>W45-'Wednesday fixed 20q1 w RRA'!W45</f>
        <v>2.9420910152566648E-15</v>
      </c>
      <c r="X96">
        <f>X45-'Wednesday fixed 20q1 w RRA'!X45</f>
        <v>-2.886579864025407E-15</v>
      </c>
      <c r="Y96">
        <f>Y45-'Wednesday fixed 20q1 w RRA'!Y45</f>
        <v>0</v>
      </c>
      <c r="Z96">
        <f>Z45-'Wednesday fixed 20q1 w RRA'!Z45</f>
        <v>0</v>
      </c>
    </row>
    <row r="97" spans="2:26" x14ac:dyDescent="0.35">
      <c r="B97">
        <f>B46-'Wednesday fixed 20q1 w RRA'!B46</f>
        <v>0</v>
      </c>
      <c r="C97">
        <f>C46-'Wednesday fixed 20q1 w RRA'!C46</f>
        <v>0</v>
      </c>
      <c r="D97">
        <f>D46-'Wednesday fixed 20q1 w RRA'!D46</f>
        <v>0</v>
      </c>
      <c r="E97">
        <f>E46-'Wednesday fixed 20q1 w RRA'!E46</f>
        <v>0</v>
      </c>
      <c r="F97">
        <f>F46-'Wednesday fixed 20q1 w RRA'!F46</f>
        <v>0</v>
      </c>
      <c r="G97">
        <f>G46-'Wednesday fixed 20q1 w RRA'!G46</f>
        <v>0</v>
      </c>
      <c r="H97">
        <f>H46-'Wednesday fixed 20q1 w RRA'!H46</f>
        <v>0</v>
      </c>
      <c r="I97">
        <f>I46-'Wednesday fixed 20q1 w RRA'!I46</f>
        <v>0</v>
      </c>
      <c r="J97">
        <f>J46-'Wednesday fixed 20q1 w RRA'!J46</f>
        <v>0</v>
      </c>
      <c r="K97">
        <f>K46-'Wednesday fixed 20q1 w RRA'!K46</f>
        <v>0</v>
      </c>
      <c r="L97">
        <f>L46-'Wednesday fixed 20q1 w RRA'!L46</f>
        <v>0</v>
      </c>
      <c r="M97">
        <f>M46-'Wednesday fixed 20q1 w RRA'!M46</f>
        <v>0</v>
      </c>
      <c r="N97">
        <f>N46-'Wednesday fixed 20q1 w RRA'!N46</f>
        <v>0</v>
      </c>
      <c r="O97">
        <f>O46-'Wednesday fixed 20q1 w RRA'!O46</f>
        <v>0</v>
      </c>
      <c r="P97">
        <f>P46-'Wednesday fixed 20q1 w RRA'!P46</f>
        <v>0</v>
      </c>
      <c r="Q97">
        <f>Q46-'Wednesday fixed 20q1 w RRA'!Q46</f>
        <v>0</v>
      </c>
      <c r="R97">
        <f>R46-'Wednesday fixed 20q1 w RRA'!R46</f>
        <v>0</v>
      </c>
      <c r="S97">
        <f>S46-'Wednesday fixed 20q1 w RRA'!S46</f>
        <v>0</v>
      </c>
      <c r="T97">
        <f>T46-'Wednesday fixed 20q1 w RRA'!T46</f>
        <v>0</v>
      </c>
      <c r="U97">
        <f>U46-'Wednesday fixed 20q1 w RRA'!U46</f>
        <v>0</v>
      </c>
      <c r="V97">
        <f>V46-'Wednesday fixed 20q1 w RRA'!V46</f>
        <v>0</v>
      </c>
      <c r="W97">
        <f>W46-'Wednesday fixed 20q1 w RRA'!W46</f>
        <v>0</v>
      </c>
      <c r="X97">
        <f>X46-'Wednesday fixed 20q1 w RRA'!X46</f>
        <v>0</v>
      </c>
      <c r="Y97">
        <f>Y46-'Wednesday fixed 20q1 w RRA'!Y46</f>
        <v>0</v>
      </c>
      <c r="Z97">
        <f>Z46-'Wednesday fixed 20q1 w RRA'!Z46</f>
        <v>0</v>
      </c>
    </row>
    <row r="98" spans="2:26" x14ac:dyDescent="0.35">
      <c r="B98">
        <f>B47-'Wednesday fixed 20q1 w RRA'!B47</f>
        <v>0</v>
      </c>
      <c r="C98">
        <f>C47-'Wednesday fixed 20q1 w RRA'!C47</f>
        <v>0</v>
      </c>
      <c r="D98">
        <f>D47-'Wednesday fixed 20q1 w RRA'!D47</f>
        <v>0</v>
      </c>
      <c r="E98">
        <f>E47-'Wednesday fixed 20q1 w RRA'!E47</f>
        <v>0</v>
      </c>
      <c r="F98">
        <f>F47-'Wednesday fixed 20q1 w RRA'!F47</f>
        <v>0</v>
      </c>
      <c r="G98">
        <f>G47-'Wednesday fixed 20q1 w RRA'!G47</f>
        <v>0</v>
      </c>
      <c r="H98">
        <f>H47-'Wednesday fixed 20q1 w RRA'!H47</f>
        <v>0</v>
      </c>
      <c r="I98">
        <f>I47-'Wednesday fixed 20q1 w RRA'!I47</f>
        <v>0</v>
      </c>
      <c r="J98">
        <f>J47-'Wednesday fixed 20q1 w RRA'!J47</f>
        <v>0</v>
      </c>
      <c r="K98">
        <f>K47-'Wednesday fixed 20q1 w RRA'!K47</f>
        <v>0</v>
      </c>
      <c r="L98">
        <f>L47-'Wednesday fixed 20q1 w RRA'!L47</f>
        <v>0</v>
      </c>
      <c r="M98">
        <f>M47-'Wednesday fixed 20q1 w RRA'!M47</f>
        <v>0</v>
      </c>
      <c r="N98">
        <f>N47-'Wednesday fixed 20q1 w RRA'!N47</f>
        <v>0</v>
      </c>
      <c r="O98">
        <f>O47-'Wednesday fixed 20q1 w RRA'!O47</f>
        <v>0</v>
      </c>
      <c r="P98">
        <f>P47-'Wednesday fixed 20q1 w RRA'!P47</f>
        <v>0</v>
      </c>
      <c r="Q98">
        <f>Q47-'Wednesday fixed 20q1 w RRA'!Q47</f>
        <v>0</v>
      </c>
      <c r="R98">
        <f>R47-'Wednesday fixed 20q1 w RRA'!R47</f>
        <v>0</v>
      </c>
      <c r="S98">
        <f>S47-'Wednesday fixed 20q1 w RRA'!S47</f>
        <v>0</v>
      </c>
      <c r="T98">
        <f>T47-'Wednesday fixed 20q1 w RRA'!T47</f>
        <v>0</v>
      </c>
      <c r="U98">
        <f>U47-'Wednesday fixed 20q1 w RRA'!U47</f>
        <v>0</v>
      </c>
      <c r="V98">
        <f>V47-'Wednesday fixed 20q1 w RRA'!V47</f>
        <v>0</v>
      </c>
      <c r="W98">
        <f>W47-'Wednesday fixed 20q1 w RRA'!W47</f>
        <v>0</v>
      </c>
      <c r="X98">
        <f>X47-'Wednesday fixed 20q1 w RRA'!X47</f>
        <v>0</v>
      </c>
      <c r="Y98">
        <f>Y47-'Wednesday fixed 20q1 w RRA'!Y47</f>
        <v>0</v>
      </c>
      <c r="Z98">
        <f>Z47-'Wednesday fixed 20q1 w RRA'!Z47</f>
        <v>0</v>
      </c>
    </row>
  </sheetData>
  <conditionalFormatting sqref="B53:Z9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62"/>
  <sheetViews>
    <sheetView topLeftCell="N70" zoomScale="142" zoomScaleNormal="130" workbookViewId="0">
      <selection activeCell="P64" sqref="P64"/>
    </sheetView>
  </sheetViews>
  <sheetFormatPr defaultRowHeight="14.5" x14ac:dyDescent="0.35"/>
  <sheetData>
    <row r="1" spans="1:28" x14ac:dyDescent="0.35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1</v>
      </c>
      <c r="W1" t="s">
        <v>2</v>
      </c>
      <c r="X1" t="s">
        <v>3</v>
      </c>
      <c r="Y1" t="s">
        <v>4</v>
      </c>
      <c r="Z1" t="s">
        <v>5</v>
      </c>
    </row>
    <row r="2" spans="1:28" x14ac:dyDescent="0.35">
      <c r="A2" t="s">
        <v>6</v>
      </c>
      <c r="B2">
        <v>131.79763521841929</v>
      </c>
      <c r="C2">
        <v>133.71059314411579</v>
      </c>
      <c r="D2">
        <v>135.28557431522441</v>
      </c>
      <c r="E2">
        <v>135.79608377329961</v>
      </c>
      <c r="F2">
        <v>134.6017884183878</v>
      </c>
      <c r="G2">
        <v>135.14257269364111</v>
      </c>
      <c r="H2">
        <v>135.3626526730819</v>
      </c>
      <c r="I2">
        <v>134.41537942859119</v>
      </c>
      <c r="J2">
        <v>134.06859534274361</v>
      </c>
      <c r="K2">
        <v>135.89246002160661</v>
      </c>
      <c r="L2">
        <v>136.14780523104511</v>
      </c>
      <c r="M2">
        <v>136.75155352499851</v>
      </c>
      <c r="N2">
        <v>136.66304693064629</v>
      </c>
      <c r="O2">
        <v>136.90906982764889</v>
      </c>
      <c r="P2">
        <v>136.43849356660581</v>
      </c>
      <c r="Q2">
        <v>137.02135091300229</v>
      </c>
      <c r="R2">
        <v>136.3721183056237</v>
      </c>
      <c r="S2">
        <v>137.12198326493359</v>
      </c>
      <c r="T2">
        <v>138.09052083542991</v>
      </c>
      <c r="U2">
        <v>136.8013556580203</v>
      </c>
      <c r="V2">
        <v>136.83702494495719</v>
      </c>
      <c r="W2">
        <v>138.03381902691669</v>
      </c>
      <c r="X2">
        <v>138.55808093396249</v>
      </c>
      <c r="Y2">
        <v>139.3761012547063</v>
      </c>
      <c r="Z2">
        <v>140.3100942397576</v>
      </c>
    </row>
    <row r="3" spans="1:28" x14ac:dyDescent="0.35">
      <c r="A3" t="s">
        <v>7</v>
      </c>
      <c r="B3">
        <v>1.421133730394246</v>
      </c>
      <c r="C3">
        <v>1.3083796764262841</v>
      </c>
      <c r="D3">
        <v>0.5822186890319756</v>
      </c>
      <c r="E3">
        <v>1.082214688707694</v>
      </c>
      <c r="F3">
        <v>1.320617127890017</v>
      </c>
      <c r="G3">
        <v>1.3559534628639081</v>
      </c>
      <c r="H3">
        <v>1.3112363909802129</v>
      </c>
      <c r="I3">
        <v>1.2138028379415571</v>
      </c>
      <c r="J3">
        <v>1.633893860899889</v>
      </c>
      <c r="K3">
        <v>1.3966255769194329</v>
      </c>
      <c r="L3">
        <v>1.265842489798644</v>
      </c>
      <c r="M3">
        <v>1.240840486174505</v>
      </c>
      <c r="N3">
        <v>0.79430529121580662</v>
      </c>
      <c r="O3">
        <v>1.222834674629752</v>
      </c>
      <c r="P3">
        <v>0.69077474460524968</v>
      </c>
      <c r="Q3">
        <v>0.84296860923302575</v>
      </c>
      <c r="R3">
        <v>0.6633545028843173</v>
      </c>
      <c r="S3">
        <v>1.1838567803937681</v>
      </c>
      <c r="T3">
        <v>0.98295352529999036</v>
      </c>
      <c r="U3">
        <v>1.167663280487687</v>
      </c>
      <c r="V3">
        <v>1.4592694189433639</v>
      </c>
      <c r="W3">
        <v>2.466595671196302</v>
      </c>
      <c r="X3">
        <v>2.9266816981485699</v>
      </c>
      <c r="Y3">
        <v>2.919601597291575</v>
      </c>
      <c r="Z3">
        <v>3.1254126861597631</v>
      </c>
    </row>
    <row r="4" spans="1:28" x14ac:dyDescent="0.35">
      <c r="A4" t="s">
        <v>8</v>
      </c>
      <c r="B4">
        <v>-0.61305923052299949</v>
      </c>
      <c r="C4">
        <v>-1.0347206722157489</v>
      </c>
      <c r="D4">
        <v>-0.30686663647136803</v>
      </c>
      <c r="E4">
        <v>0.55941586967605339</v>
      </c>
      <c r="F4">
        <v>0.28503309544824712</v>
      </c>
      <c r="G4">
        <v>0.141055570900149</v>
      </c>
      <c r="H4">
        <v>-5.1200749376002427E-2</v>
      </c>
      <c r="I4">
        <v>-0.79254575157834317</v>
      </c>
      <c r="J4">
        <v>-1.539916170376882</v>
      </c>
      <c r="K4">
        <v>-1.568154520791436</v>
      </c>
      <c r="L4">
        <v>-2.034498188821495</v>
      </c>
      <c r="M4">
        <v>-1.4114226887479411</v>
      </c>
      <c r="N4">
        <v>-1.491221657857609</v>
      </c>
      <c r="O4">
        <v>-1.3089075135197401</v>
      </c>
      <c r="P4">
        <v>-1.1866422804332299</v>
      </c>
      <c r="Q4">
        <v>-1.235129759087205</v>
      </c>
      <c r="R4">
        <v>-0.85114868861108872</v>
      </c>
      <c r="S4">
        <v>-0.30358144801441028</v>
      </c>
      <c r="T4">
        <v>0.62611644939496414</v>
      </c>
      <c r="U4">
        <v>1.199617108191654</v>
      </c>
      <c r="V4">
        <v>0.73187389993782914</v>
      </c>
      <c r="W4">
        <v>1.3988725116844909</v>
      </c>
      <c r="X4">
        <v>2.52507692976081</v>
      </c>
      <c r="Y4">
        <v>2.6535290564958691</v>
      </c>
      <c r="Z4">
        <v>2.160427144791754</v>
      </c>
      <c r="AB4">
        <f>SUM(B4:Z4)</f>
        <v>-3.4479983201436761</v>
      </c>
    </row>
    <row r="5" spans="1:28" x14ac:dyDescent="0.35">
      <c r="A5" t="s">
        <v>9</v>
      </c>
      <c r="B5">
        <v>0.31699383207393272</v>
      </c>
      <c r="C5">
        <v>-7.4520435280669983E-2</v>
      </c>
      <c r="D5">
        <v>2.6730438931927849</v>
      </c>
      <c r="E5">
        <v>2.8146745143584848</v>
      </c>
      <c r="F5">
        <v>2.4860691974896092</v>
      </c>
      <c r="G5">
        <v>4.7442205538929709</v>
      </c>
      <c r="H5">
        <v>3.767862259420677</v>
      </c>
      <c r="I5">
        <v>3.8101148848800568</v>
      </c>
      <c r="J5">
        <v>3.3632739395382241</v>
      </c>
      <c r="K5">
        <v>2.1960055910404259</v>
      </c>
      <c r="L5">
        <v>1.813766331452717</v>
      </c>
      <c r="M5">
        <v>1.171882167126244</v>
      </c>
      <c r="N5">
        <v>1.0276651406364501</v>
      </c>
      <c r="O5">
        <v>2.1915036915182018</v>
      </c>
      <c r="P5">
        <v>2.6725161856971229</v>
      </c>
      <c r="Q5">
        <v>2.2645484197272538</v>
      </c>
      <c r="R5">
        <v>1.982051927501814</v>
      </c>
      <c r="S5">
        <v>2.59136769572113</v>
      </c>
      <c r="T5">
        <v>3.6900856036747798</v>
      </c>
      <c r="U5">
        <v>3.3601489070453039</v>
      </c>
      <c r="V5">
        <v>3.5152575010923348</v>
      </c>
      <c r="W5">
        <v>4.0364834910412739</v>
      </c>
      <c r="X5">
        <v>3.9658857175716609</v>
      </c>
      <c r="Y5">
        <v>4.2472755924749057</v>
      </c>
      <c r="Z5">
        <v>4.2417601228001001</v>
      </c>
    </row>
    <row r="6" spans="1:28" x14ac:dyDescent="0.35">
      <c r="A6" t="s">
        <v>10</v>
      </c>
      <c r="B6">
        <v>132.92270355036439</v>
      </c>
      <c r="C6">
        <v>133.90973171304569</v>
      </c>
      <c r="D6">
        <v>138.2339702609778</v>
      </c>
      <c r="E6">
        <v>140.2523888460419</v>
      </c>
      <c r="F6">
        <v>138.69350783921561</v>
      </c>
      <c r="G6">
        <v>141.3838022812981</v>
      </c>
      <c r="H6">
        <v>140.39055057410681</v>
      </c>
      <c r="I6">
        <v>138.6467513998345</v>
      </c>
      <c r="J6">
        <v>137.52584697280491</v>
      </c>
      <c r="K6">
        <v>137.91693666877509</v>
      </c>
      <c r="L6">
        <v>137.19291586347501</v>
      </c>
      <c r="M6">
        <v>137.75285348955131</v>
      </c>
      <c r="N6">
        <v>136.99379570464089</v>
      </c>
      <c r="O6">
        <v>139.01450068027711</v>
      </c>
      <c r="P6">
        <v>138.61514221647491</v>
      </c>
      <c r="Q6">
        <v>138.89373818287541</v>
      </c>
      <c r="R6">
        <v>138.1663760473987</v>
      </c>
      <c r="S6">
        <v>140.59362629303411</v>
      </c>
      <c r="T6">
        <v>143.38967641379961</v>
      </c>
      <c r="U6">
        <v>142.52878495374489</v>
      </c>
      <c r="V6">
        <v>142.54342576493079</v>
      </c>
      <c r="W6">
        <v>145.93577070083879</v>
      </c>
      <c r="X6">
        <v>147.97572527944359</v>
      </c>
      <c r="Y6">
        <v>149.19650750096861</v>
      </c>
      <c r="Z6">
        <v>149.83769419350921</v>
      </c>
    </row>
    <row r="7" spans="1:28" x14ac:dyDescent="0.35">
      <c r="A7" t="s">
        <v>11</v>
      </c>
      <c r="B7">
        <v>28856564.100000001</v>
      </c>
      <c r="C7">
        <v>27926177.469999999</v>
      </c>
      <c r="D7">
        <v>26788093.129999999</v>
      </c>
      <c r="E7">
        <v>22116684.23</v>
      </c>
      <c r="F7">
        <v>32796772.530000001</v>
      </c>
      <c r="G7">
        <v>39581722.560000002</v>
      </c>
      <c r="H7">
        <v>26574147.170000002</v>
      </c>
      <c r="I7">
        <v>23248977.84</v>
      </c>
      <c r="J7">
        <v>23682831.52</v>
      </c>
      <c r="K7">
        <v>23783043.949999999</v>
      </c>
      <c r="L7">
        <v>23891873.870000001</v>
      </c>
      <c r="M7">
        <v>16200639.27</v>
      </c>
      <c r="N7">
        <v>16458455.859999999</v>
      </c>
      <c r="O7">
        <v>16463632.33</v>
      </c>
      <c r="P7">
        <v>23297328.539999999</v>
      </c>
      <c r="Q7">
        <v>26860237.309999999</v>
      </c>
      <c r="R7">
        <v>45251908.450000003</v>
      </c>
      <c r="S7">
        <v>43725481.420000002</v>
      </c>
      <c r="T7">
        <v>30678382.129999999</v>
      </c>
      <c r="U7">
        <v>31952020.940000001</v>
      </c>
      <c r="V7">
        <v>56035846.899999999</v>
      </c>
      <c r="W7">
        <v>58112631.189999998</v>
      </c>
      <c r="X7">
        <v>51413758.530000001</v>
      </c>
      <c r="Y7">
        <v>39424319.840000004</v>
      </c>
      <c r="Z7">
        <v>44798321.530000001</v>
      </c>
    </row>
    <row r="9" spans="1:28" x14ac:dyDescent="0.35">
      <c r="A9" t="s">
        <v>12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  <c r="V9" t="s">
        <v>1</v>
      </c>
      <c r="W9" t="s">
        <v>2</v>
      </c>
      <c r="X9" t="s">
        <v>3</v>
      </c>
      <c r="Y9" t="s">
        <v>4</v>
      </c>
      <c r="Z9" t="s">
        <v>5</v>
      </c>
    </row>
    <row r="10" spans="1:28" x14ac:dyDescent="0.35">
      <c r="A10" t="s">
        <v>6</v>
      </c>
      <c r="B10">
        <v>131.13303029419251</v>
      </c>
      <c r="C10">
        <v>132.90504284604401</v>
      </c>
      <c r="D10">
        <v>133.9304786690208</v>
      </c>
      <c r="E10">
        <v>132.8038095162421</v>
      </c>
      <c r="F10">
        <v>135.4481125583965</v>
      </c>
      <c r="G10">
        <v>135.1873517847032</v>
      </c>
      <c r="H10">
        <v>134.94601738902409</v>
      </c>
      <c r="I10">
        <v>132.89927866287411</v>
      </c>
      <c r="J10">
        <v>134.06325322076779</v>
      </c>
      <c r="K10">
        <v>136.81720801029189</v>
      </c>
      <c r="L10">
        <v>138.00243272817349</v>
      </c>
      <c r="M10">
        <v>139.7779316361283</v>
      </c>
      <c r="N10">
        <v>141.27719036447311</v>
      </c>
      <c r="O10">
        <v>140.587337420209</v>
      </c>
      <c r="P10">
        <v>140.72102580751559</v>
      </c>
      <c r="Q10">
        <v>139.0251422865112</v>
      </c>
      <c r="R10">
        <v>138.13163482086091</v>
      </c>
      <c r="S10">
        <v>140.1735622972094</v>
      </c>
      <c r="T10">
        <v>141.55375224123719</v>
      </c>
      <c r="U10">
        <v>139.97097369283409</v>
      </c>
      <c r="V10">
        <v>139.83315040104489</v>
      </c>
      <c r="W10">
        <v>140.6343356036856</v>
      </c>
      <c r="X10">
        <v>140.9638839291236</v>
      </c>
      <c r="Y10">
        <v>141.85748818430829</v>
      </c>
      <c r="Z10">
        <v>142.77289935629051</v>
      </c>
    </row>
    <row r="11" spans="1:28" x14ac:dyDescent="0.35">
      <c r="A11" t="s">
        <v>7</v>
      </c>
      <c r="B11">
        <v>1.341277180573911</v>
      </c>
      <c r="C11">
        <v>1.5067007457573709</v>
      </c>
      <c r="D11">
        <v>0.54945927088772351</v>
      </c>
      <c r="E11">
        <v>2.0008202677672671E-3</v>
      </c>
      <c r="F11">
        <v>0.52413775543899987</v>
      </c>
      <c r="G11">
        <v>0.89828530507452342</v>
      </c>
      <c r="H11">
        <v>0.69221703585537853</v>
      </c>
      <c r="I11">
        <v>-0.39544920563756142</v>
      </c>
      <c r="J11">
        <v>-0.23544013982765929</v>
      </c>
      <c r="K11">
        <v>0.72599632061417196</v>
      </c>
      <c r="L11">
        <v>0.58262345778084068</v>
      </c>
      <c r="M11">
        <v>0.31311591216902462</v>
      </c>
      <c r="N11">
        <v>0.9373704162902925</v>
      </c>
      <c r="O11">
        <v>1.5753236372358119</v>
      </c>
      <c r="P11">
        <v>1.6261413310545549</v>
      </c>
      <c r="Q11">
        <v>0.89035207192458188</v>
      </c>
      <c r="R11">
        <v>-0.1981455972468211</v>
      </c>
      <c r="S11">
        <v>0.2971237362831971</v>
      </c>
      <c r="T11">
        <v>0.75420745076925755</v>
      </c>
      <c r="U11">
        <v>0.52769507344513045</v>
      </c>
      <c r="V11">
        <v>0.66789230584652159</v>
      </c>
      <c r="W11">
        <v>1.2770658151327441</v>
      </c>
      <c r="X11">
        <v>1.7966787926918639</v>
      </c>
      <c r="Y11">
        <v>2.7809622003815089</v>
      </c>
      <c r="Z11">
        <v>2.8704507735793641</v>
      </c>
    </row>
    <row r="12" spans="1:28" x14ac:dyDescent="0.35">
      <c r="A12" t="s">
        <v>8</v>
      </c>
      <c r="B12">
        <v>-0.3803432524996373</v>
      </c>
      <c r="C12">
        <v>-0.13468952478997931</v>
      </c>
      <c r="D12">
        <v>-0.1127742011987635</v>
      </c>
      <c r="E12">
        <v>0.8039426885602251</v>
      </c>
      <c r="F12">
        <v>0.61385889556798767</v>
      </c>
      <c r="G12">
        <v>0.30096432371068838</v>
      </c>
      <c r="H12">
        <v>5.3666595860003916E-3</v>
      </c>
      <c r="I12">
        <v>-0.79299957215503469</v>
      </c>
      <c r="J12">
        <v>-1.4658563467137029</v>
      </c>
      <c r="K12">
        <v>-1.424098001661799</v>
      </c>
      <c r="L12">
        <v>-1.4695331622187591</v>
      </c>
      <c r="M12">
        <v>-1.2842031073866069</v>
      </c>
      <c r="N12">
        <v>-1.649418746247199</v>
      </c>
      <c r="O12">
        <v>-1.1144507105367649</v>
      </c>
      <c r="P12">
        <v>-1.1727670673875039</v>
      </c>
      <c r="Q12">
        <v>-1.288238096192827</v>
      </c>
      <c r="R12">
        <v>-1.4217419405102729</v>
      </c>
      <c r="S12">
        <v>-0.88174349309911804</v>
      </c>
      <c r="T12">
        <v>-0.34232580233803922</v>
      </c>
      <c r="U12">
        <v>1.214543810683461</v>
      </c>
      <c r="V12">
        <v>1.3644553022160431</v>
      </c>
      <c r="W12">
        <v>1.686167890486838</v>
      </c>
      <c r="X12">
        <v>2.2696451478678341</v>
      </c>
      <c r="Y12">
        <v>3.6760504039490778</v>
      </c>
      <c r="Z12">
        <v>2.583207765217816</v>
      </c>
      <c r="AB12">
        <f>SUM(B12:Z12)</f>
        <v>-0.41698013709003501</v>
      </c>
    </row>
    <row r="13" spans="1:28" x14ac:dyDescent="0.35">
      <c r="A13" t="s">
        <v>9</v>
      </c>
      <c r="B13">
        <v>-1.228160784054644E-2</v>
      </c>
      <c r="C13">
        <v>-2.8597338441211151E-2</v>
      </c>
      <c r="D13">
        <v>0.35362420328638883</v>
      </c>
      <c r="E13">
        <v>-0.77522591979143807</v>
      </c>
      <c r="F13">
        <v>2.0088205384702031</v>
      </c>
      <c r="G13">
        <v>4.8028389298719958</v>
      </c>
      <c r="H13">
        <v>3.3953505552110168</v>
      </c>
      <c r="I13">
        <v>2.567761705391753</v>
      </c>
      <c r="J13">
        <v>2.8649826435503272</v>
      </c>
      <c r="K13">
        <v>2.7921408431181698</v>
      </c>
      <c r="L13">
        <v>2.5924089223275728</v>
      </c>
      <c r="M13">
        <v>2.5719861764621919</v>
      </c>
      <c r="N13">
        <v>2.0132311198160342</v>
      </c>
      <c r="O13">
        <v>4.3751394957598402</v>
      </c>
      <c r="P13">
        <v>4.9401089237040479</v>
      </c>
      <c r="Q13">
        <v>5.5575777140865847</v>
      </c>
      <c r="R13">
        <v>5.2441452141879363</v>
      </c>
      <c r="S13">
        <v>5.3075909101234569</v>
      </c>
      <c r="T13">
        <v>5.1119080696318822</v>
      </c>
      <c r="U13">
        <v>5.193016913279541</v>
      </c>
      <c r="V13">
        <v>5.1668346473815312</v>
      </c>
      <c r="W13">
        <v>6.0899588121677688</v>
      </c>
      <c r="X13">
        <v>6.1408423731614006</v>
      </c>
      <c r="Y13">
        <v>6.2156601343157272</v>
      </c>
      <c r="Z13">
        <v>5.1884366267600752</v>
      </c>
    </row>
    <row r="14" spans="1:28" x14ac:dyDescent="0.35">
      <c r="A14" t="s">
        <v>10</v>
      </c>
      <c r="B14">
        <v>132.08168261442631</v>
      </c>
      <c r="C14">
        <v>134.2484567285702</v>
      </c>
      <c r="D14">
        <v>134.72078794199621</v>
      </c>
      <c r="E14">
        <v>132.83452710527871</v>
      </c>
      <c r="F14">
        <v>138.59492974787369</v>
      </c>
      <c r="G14">
        <v>141.18944034336039</v>
      </c>
      <c r="H14">
        <v>139.0389516396765</v>
      </c>
      <c r="I14">
        <v>134.27859159047321</v>
      </c>
      <c r="J14">
        <v>135.22693937777669</v>
      </c>
      <c r="K14">
        <v>138.91124717236249</v>
      </c>
      <c r="L14">
        <v>139.7079319460631</v>
      </c>
      <c r="M14">
        <v>141.37883061737301</v>
      </c>
      <c r="N14">
        <v>142.57837315433221</v>
      </c>
      <c r="O14">
        <v>145.4233498426679</v>
      </c>
      <c r="P14">
        <v>146.11450899488679</v>
      </c>
      <c r="Q14">
        <v>144.18483397632949</v>
      </c>
      <c r="R14">
        <v>141.7558924972918</v>
      </c>
      <c r="S14">
        <v>144.8965334505169</v>
      </c>
      <c r="T14">
        <v>147.07754195930039</v>
      </c>
      <c r="U14">
        <v>146.9062294902422</v>
      </c>
      <c r="V14">
        <v>147.03233265648899</v>
      </c>
      <c r="W14">
        <v>149.68752812147289</v>
      </c>
      <c r="X14">
        <v>151.1710502428447</v>
      </c>
      <c r="Y14">
        <v>154.53016092295459</v>
      </c>
      <c r="Z14">
        <v>153.41499452184769</v>
      </c>
    </row>
    <row r="15" spans="1:28" x14ac:dyDescent="0.35">
      <c r="A15" t="s">
        <v>11</v>
      </c>
      <c r="B15">
        <v>23359432.25</v>
      </c>
      <c r="C15">
        <v>31709868.359999999</v>
      </c>
      <c r="D15">
        <v>39967025.700000003</v>
      </c>
      <c r="E15">
        <v>35481390</v>
      </c>
      <c r="F15">
        <v>48167716.590000004</v>
      </c>
      <c r="G15">
        <v>75307439.879999995</v>
      </c>
      <c r="H15">
        <v>65397089.159999996</v>
      </c>
      <c r="I15">
        <v>63739835.979999997</v>
      </c>
      <c r="J15">
        <v>61976868.359999999</v>
      </c>
      <c r="K15">
        <v>63221930.130000003</v>
      </c>
      <c r="L15">
        <v>57848125.319999993</v>
      </c>
      <c r="M15">
        <v>32090563.25</v>
      </c>
      <c r="N15">
        <v>19507462.98</v>
      </c>
      <c r="O15">
        <v>25397826.010000002</v>
      </c>
      <c r="P15">
        <v>43334858.619999997</v>
      </c>
      <c r="Q15">
        <v>74840071.039999992</v>
      </c>
      <c r="R15">
        <v>131354464.08</v>
      </c>
      <c r="S15">
        <v>146792748.66</v>
      </c>
      <c r="T15">
        <v>108730767.7</v>
      </c>
      <c r="U15">
        <v>119205712.22</v>
      </c>
      <c r="V15">
        <v>174847496.16</v>
      </c>
      <c r="W15">
        <v>177673933.47999999</v>
      </c>
      <c r="X15">
        <v>151100903.00999999</v>
      </c>
      <c r="Y15">
        <v>117959441.92</v>
      </c>
      <c r="Z15">
        <v>135732762.53999999</v>
      </c>
    </row>
    <row r="17" spans="1:28" x14ac:dyDescent="0.35">
      <c r="A17" t="s">
        <v>13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48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  <c r="V17" t="s">
        <v>1</v>
      </c>
      <c r="W17" t="s">
        <v>2</v>
      </c>
      <c r="X17" t="s">
        <v>3</v>
      </c>
      <c r="Y17" t="s">
        <v>4</v>
      </c>
      <c r="Z17" t="s">
        <v>5</v>
      </c>
    </row>
    <row r="18" spans="1:28" x14ac:dyDescent="0.35">
      <c r="A18" t="s">
        <v>6</v>
      </c>
      <c r="B18">
        <v>130.03039565128549</v>
      </c>
      <c r="C18">
        <v>133.13561972496839</v>
      </c>
      <c r="D18">
        <v>135.524196498951</v>
      </c>
      <c r="E18">
        <v>135.28732548834151</v>
      </c>
      <c r="F18">
        <v>135.28771439688319</v>
      </c>
      <c r="G18">
        <v>135.49900659610029</v>
      </c>
      <c r="H18">
        <v>135.05653202064309</v>
      </c>
      <c r="I18">
        <v>133.6533590478692</v>
      </c>
      <c r="J18">
        <v>134.54999962165849</v>
      </c>
      <c r="K18">
        <v>136.72731168449579</v>
      </c>
      <c r="L18">
        <v>137.2711437909899</v>
      </c>
      <c r="M18">
        <v>138.3019509586567</v>
      </c>
      <c r="N18">
        <v>139.23034679005511</v>
      </c>
      <c r="O18">
        <v>137.7158392394139</v>
      </c>
      <c r="P18">
        <v>138.53983622019501</v>
      </c>
      <c r="Q18">
        <v>137.48747271961969</v>
      </c>
      <c r="R18">
        <v>136.76023284432631</v>
      </c>
      <c r="S18">
        <v>137.47802427838079</v>
      </c>
      <c r="T18">
        <v>138.54353569478641</v>
      </c>
      <c r="U18">
        <v>137.20904828299791</v>
      </c>
      <c r="V18">
        <v>136.66839841462689</v>
      </c>
      <c r="W18">
        <v>137.94719223853701</v>
      </c>
      <c r="X18">
        <v>138.66054717924419</v>
      </c>
      <c r="Y18">
        <v>140.0375169754368</v>
      </c>
      <c r="Z18">
        <v>141.0248248674246</v>
      </c>
    </row>
    <row r="19" spans="1:28" x14ac:dyDescent="0.35">
      <c r="A19" t="s">
        <v>7</v>
      </c>
      <c r="B19">
        <v>0.64833122625768169</v>
      </c>
      <c r="C19">
        <v>0.5612475364693239</v>
      </c>
      <c r="D19">
        <v>0.90104971590236005</v>
      </c>
      <c r="E19">
        <v>0.84213718033987561</v>
      </c>
      <c r="F19">
        <v>1.657093519865839</v>
      </c>
      <c r="G19">
        <v>1.815851125188999</v>
      </c>
      <c r="H19">
        <v>1.5016645803773661</v>
      </c>
      <c r="I19">
        <v>1.1834960513425301</v>
      </c>
      <c r="J19">
        <v>0.56607343884937222</v>
      </c>
      <c r="K19">
        <v>0.62303432104519629</v>
      </c>
      <c r="L19">
        <v>-1.4227398664814929E-2</v>
      </c>
      <c r="M19">
        <v>0.60880416093954182</v>
      </c>
      <c r="N19">
        <v>0.26065131663582969</v>
      </c>
      <c r="O19">
        <v>0.32060183290880673</v>
      </c>
      <c r="P19">
        <v>1.4631719761750901</v>
      </c>
      <c r="Q19">
        <v>1.251893936347074</v>
      </c>
      <c r="R19">
        <v>1.0074770780242941</v>
      </c>
      <c r="S19">
        <v>2.0228372967149819</v>
      </c>
      <c r="T19">
        <v>2.282572102390418</v>
      </c>
      <c r="U19">
        <v>2.075500355667828</v>
      </c>
      <c r="V19">
        <v>1.8366264547062201</v>
      </c>
      <c r="W19">
        <v>2.034587661925201</v>
      </c>
      <c r="X19">
        <v>2.2451500749805291</v>
      </c>
      <c r="Y19">
        <v>2.7865446654755028</v>
      </c>
      <c r="Z19">
        <v>3.1317524817767719</v>
      </c>
    </row>
    <row r="20" spans="1:28" x14ac:dyDescent="0.35">
      <c r="A20" t="s">
        <v>8</v>
      </c>
      <c r="B20">
        <v>-1.316800414474</v>
      </c>
      <c r="C20">
        <v>-1.2957724377436111</v>
      </c>
      <c r="D20">
        <v>-0.95222984507205277</v>
      </c>
      <c r="E20">
        <v>-0.48391775487744471</v>
      </c>
      <c r="F20">
        <v>-0.72616838526293526</v>
      </c>
      <c r="G20">
        <v>-0.56890560604284923</v>
      </c>
      <c r="H20">
        <v>-0.73834100119044344</v>
      </c>
      <c r="I20">
        <v>-0.83821841089343219</v>
      </c>
      <c r="J20">
        <v>-1.1828947744170251</v>
      </c>
      <c r="K20">
        <v>-1.1773227075089041</v>
      </c>
      <c r="L20">
        <v>-1.373579518042678</v>
      </c>
      <c r="M20">
        <v>-1.134525019411476</v>
      </c>
      <c r="N20">
        <v>-1.059867899375641</v>
      </c>
      <c r="O20">
        <v>-1.1394506128990189</v>
      </c>
      <c r="P20">
        <v>-1.123970594349738</v>
      </c>
      <c r="Q20">
        <v>-0.60737432245737555</v>
      </c>
      <c r="R20">
        <v>-0.96284546779990887</v>
      </c>
      <c r="S20">
        <v>0.2134615993244523</v>
      </c>
      <c r="T20">
        <v>1.170221395570584</v>
      </c>
      <c r="U20">
        <v>2.2623707857809809</v>
      </c>
      <c r="V20">
        <v>1.968545863987563</v>
      </c>
      <c r="W20">
        <v>2.6665771033365662</v>
      </c>
      <c r="X20">
        <v>2.6876562053644339</v>
      </c>
      <c r="Y20">
        <v>3.8502087927848341</v>
      </c>
      <c r="Z20">
        <v>3.0685260407563368</v>
      </c>
      <c r="AB20">
        <f>SUM(B20:Z20)</f>
        <v>1.205383015087218</v>
      </c>
    </row>
    <row r="21" spans="1:28" x14ac:dyDescent="0.35">
      <c r="A21" t="s">
        <v>9</v>
      </c>
      <c r="B21">
        <v>-1.3069432824041869</v>
      </c>
      <c r="C21">
        <v>-1.3579553879237309</v>
      </c>
      <c r="D21">
        <v>1.108272625673363</v>
      </c>
      <c r="E21">
        <v>1.2777113786230601</v>
      </c>
      <c r="F21">
        <v>2.400015841521479</v>
      </c>
      <c r="G21">
        <v>3.9967841920438878</v>
      </c>
      <c r="H21">
        <v>3.6919824179509182</v>
      </c>
      <c r="I21">
        <v>3.4039244624081859</v>
      </c>
      <c r="J21">
        <v>3.981843339306903</v>
      </c>
      <c r="K21">
        <v>4.7025897295652879</v>
      </c>
      <c r="L21">
        <v>4.4588752414614437</v>
      </c>
      <c r="M21">
        <v>5.2540634299369753</v>
      </c>
      <c r="N21">
        <v>5.2899300523753681</v>
      </c>
      <c r="O21">
        <v>4.7024711295367574</v>
      </c>
      <c r="P21">
        <v>6.083668385605784</v>
      </c>
      <c r="Q21">
        <v>6.0297061058927657</v>
      </c>
      <c r="R21">
        <v>4.5434634067266906</v>
      </c>
      <c r="S21">
        <v>5.1010106634249013</v>
      </c>
      <c r="T21">
        <v>5.6551283326322608</v>
      </c>
      <c r="U21">
        <v>5.5283557744099694</v>
      </c>
      <c r="V21">
        <v>5.1975168082451724</v>
      </c>
      <c r="W21">
        <v>6.1198453650728446</v>
      </c>
      <c r="X21">
        <v>6.0068421913942052</v>
      </c>
      <c r="Y21">
        <v>6.2343713165554888</v>
      </c>
      <c r="Z21">
        <v>5.283094545830906</v>
      </c>
    </row>
    <row r="22" spans="1:28" x14ac:dyDescent="0.35">
      <c r="A22" t="s">
        <v>10</v>
      </c>
      <c r="B22">
        <v>128.054983180665</v>
      </c>
      <c r="C22">
        <v>131.0431394357704</v>
      </c>
      <c r="D22">
        <v>136.58128899545471</v>
      </c>
      <c r="E22">
        <v>136.92325629242691</v>
      </c>
      <c r="F22">
        <v>138.61865537300761</v>
      </c>
      <c r="G22">
        <v>140.7427363072903</v>
      </c>
      <c r="H22">
        <v>139.51183801778089</v>
      </c>
      <c r="I22">
        <v>137.40256115072651</v>
      </c>
      <c r="J22">
        <v>137.91502162539771</v>
      </c>
      <c r="K22">
        <v>140.87561302759741</v>
      </c>
      <c r="L22">
        <v>140.34221211574379</v>
      </c>
      <c r="M22">
        <v>143.0302935301217</v>
      </c>
      <c r="N22">
        <v>143.7210602596906</v>
      </c>
      <c r="O22">
        <v>141.59946158896051</v>
      </c>
      <c r="P22">
        <v>144.96270598762609</v>
      </c>
      <c r="Q22">
        <v>144.1616984394021</v>
      </c>
      <c r="R22">
        <v>141.3483278612774</v>
      </c>
      <c r="S22">
        <v>144.8153338378452</v>
      </c>
      <c r="T22">
        <v>147.65145752537961</v>
      </c>
      <c r="U22">
        <v>147.07527519885659</v>
      </c>
      <c r="V22">
        <v>145.6710875415659</v>
      </c>
      <c r="W22">
        <v>148.76820236887161</v>
      </c>
      <c r="X22">
        <v>149.60019565098341</v>
      </c>
      <c r="Y22">
        <v>152.9086417502526</v>
      </c>
      <c r="Z22">
        <v>152.50819793578859</v>
      </c>
    </row>
    <row r="23" spans="1:28" x14ac:dyDescent="0.35">
      <c r="A23" t="s">
        <v>11</v>
      </c>
      <c r="B23">
        <v>64394146.149999999</v>
      </c>
      <c r="C23">
        <v>59571429.259999998</v>
      </c>
      <c r="D23">
        <v>59026877.619999997</v>
      </c>
      <c r="E23">
        <v>44021606.140000001</v>
      </c>
      <c r="F23">
        <v>63163795.700000003</v>
      </c>
      <c r="G23">
        <v>82590816.260000005</v>
      </c>
      <c r="H23">
        <v>66553012.479999997</v>
      </c>
      <c r="I23">
        <v>59034423.950000003</v>
      </c>
      <c r="J23">
        <v>54953361.270000003</v>
      </c>
      <c r="K23">
        <v>54791981.729999997</v>
      </c>
      <c r="L23">
        <v>38420665.340000004</v>
      </c>
      <c r="M23">
        <v>21163298.399999999</v>
      </c>
      <c r="N23">
        <v>12649519.25</v>
      </c>
      <c r="O23">
        <v>16130465.060000001</v>
      </c>
      <c r="P23">
        <v>28676113.109999999</v>
      </c>
      <c r="Q23">
        <v>44133079.350000001</v>
      </c>
      <c r="R23">
        <v>68364609.75</v>
      </c>
      <c r="S23">
        <v>94709262.439999998</v>
      </c>
      <c r="T23">
        <v>69115984.890000001</v>
      </c>
      <c r="U23">
        <v>70478459.340000004</v>
      </c>
      <c r="V23">
        <v>109653804.81</v>
      </c>
      <c r="W23">
        <v>117949907.67</v>
      </c>
      <c r="X23">
        <v>91351164.770000011</v>
      </c>
      <c r="Y23">
        <v>72088280.260000005</v>
      </c>
      <c r="Z23">
        <v>89192235.909999996</v>
      </c>
    </row>
    <row r="25" spans="1:28" x14ac:dyDescent="0.35">
      <c r="A25" t="s">
        <v>14</v>
      </c>
      <c r="B25" t="s">
        <v>59</v>
      </c>
      <c r="C25" t="s">
        <v>60</v>
      </c>
      <c r="D25" t="s">
        <v>61</v>
      </c>
      <c r="E25" t="s">
        <v>62</v>
      </c>
      <c r="F25" t="s">
        <v>63</v>
      </c>
      <c r="G25" t="s">
        <v>64</v>
      </c>
      <c r="H25" t="s">
        <v>65</v>
      </c>
      <c r="I25" t="s">
        <v>66</v>
      </c>
      <c r="J25" t="s">
        <v>67</v>
      </c>
      <c r="K25" t="s">
        <v>68</v>
      </c>
      <c r="L25" t="s">
        <v>69</v>
      </c>
      <c r="M25" t="s">
        <v>70</v>
      </c>
      <c r="N25" t="s">
        <v>48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55</v>
      </c>
      <c r="V25" t="s">
        <v>1</v>
      </c>
      <c r="W25" t="s">
        <v>2</v>
      </c>
      <c r="X25" t="s">
        <v>3</v>
      </c>
      <c r="Y25" t="s">
        <v>4</v>
      </c>
      <c r="Z25" t="s">
        <v>5</v>
      </c>
    </row>
    <row r="26" spans="1:28" x14ac:dyDescent="0.35">
      <c r="A26" t="s">
        <v>6</v>
      </c>
      <c r="B26">
        <v>131.95038796688411</v>
      </c>
      <c r="C26">
        <v>135.6654717957741</v>
      </c>
      <c r="D26">
        <v>137.78085993452939</v>
      </c>
      <c r="E26">
        <v>140.37624797824719</v>
      </c>
      <c r="F26">
        <v>136.7568472127295</v>
      </c>
      <c r="G26">
        <v>136.18261162485399</v>
      </c>
      <c r="H26">
        <v>135.63104898296709</v>
      </c>
      <c r="I26">
        <v>134.6293495160532</v>
      </c>
      <c r="J26">
        <v>134.17392455659669</v>
      </c>
      <c r="K26">
        <v>135.83717961712421</v>
      </c>
      <c r="L26">
        <v>136.9637513036931</v>
      </c>
      <c r="M26">
        <v>138.7722798213712</v>
      </c>
      <c r="N26">
        <v>141.3231605158098</v>
      </c>
      <c r="O26">
        <v>138.8631915017576</v>
      </c>
      <c r="P26">
        <v>137.9566586474825</v>
      </c>
      <c r="Q26">
        <v>139.56619914782399</v>
      </c>
      <c r="R26">
        <v>138.52439991139249</v>
      </c>
      <c r="S26">
        <v>138.4097814248108</v>
      </c>
      <c r="T26">
        <v>140.36330737362081</v>
      </c>
      <c r="U26">
        <v>138.38768592238731</v>
      </c>
      <c r="V26">
        <v>136.70742932031769</v>
      </c>
      <c r="W26">
        <v>138.34779673954839</v>
      </c>
      <c r="X26">
        <v>138.10209621539431</v>
      </c>
      <c r="Y26">
        <v>138.9455515120215</v>
      </c>
      <c r="Z26">
        <v>141.031173313187</v>
      </c>
    </row>
    <row r="27" spans="1:28" x14ac:dyDescent="0.35">
      <c r="A27" t="s">
        <v>7</v>
      </c>
      <c r="B27">
        <v>-1.737618293874988</v>
      </c>
      <c r="C27">
        <v>-1.362001191333434</v>
      </c>
      <c r="D27">
        <v>-0.82270063325532305</v>
      </c>
      <c r="E27">
        <v>0.67937377043395486</v>
      </c>
      <c r="F27">
        <v>1.82079744362008</v>
      </c>
      <c r="G27">
        <v>-0.22282408009877491</v>
      </c>
      <c r="H27">
        <v>-0.34270651080376519</v>
      </c>
      <c r="I27">
        <v>0.75425032903180522</v>
      </c>
      <c r="J27">
        <v>0.49117725062757239</v>
      </c>
      <c r="K27">
        <v>0.57506675081191361</v>
      </c>
      <c r="L27">
        <v>0.94006829221265775</v>
      </c>
      <c r="M27">
        <v>0.98133634088566168</v>
      </c>
      <c r="N27">
        <v>1.163772265119974</v>
      </c>
      <c r="O27">
        <v>0.76651233466805024</v>
      </c>
      <c r="P27">
        <v>1.051226100014617</v>
      </c>
      <c r="Q27">
        <v>1.384639488365849</v>
      </c>
      <c r="R27">
        <v>1.560898860179776</v>
      </c>
      <c r="S27">
        <v>2.4436111035358579</v>
      </c>
      <c r="T27">
        <v>3.2868685446386512</v>
      </c>
      <c r="U27">
        <v>2.9736339398277489</v>
      </c>
      <c r="V27">
        <v>2.4078901425605181</v>
      </c>
      <c r="W27">
        <v>2.4856574923790329</v>
      </c>
      <c r="X27">
        <v>3.009578920406597</v>
      </c>
      <c r="Y27">
        <v>1.853017517857694</v>
      </c>
      <c r="Z27">
        <v>2.359231000063545</v>
      </c>
    </row>
    <row r="28" spans="1:28" x14ac:dyDescent="0.35">
      <c r="A28" t="s">
        <v>8</v>
      </c>
      <c r="B28">
        <v>-0.80668522285964439</v>
      </c>
      <c r="C28">
        <v>-0.93507212397332296</v>
      </c>
      <c r="D28">
        <v>-0.3456729902473481</v>
      </c>
      <c r="E28">
        <v>0.18585267399725591</v>
      </c>
      <c r="F28">
        <v>0.50736115724610131</v>
      </c>
      <c r="G28">
        <v>3.1012017508574279E-3</v>
      </c>
      <c r="H28">
        <v>-0.16601729973525611</v>
      </c>
      <c r="I28">
        <v>-0.2147015913501758</v>
      </c>
      <c r="J28">
        <v>-0.67093555423624684</v>
      </c>
      <c r="K28">
        <v>-1.7328993021204759</v>
      </c>
      <c r="L28">
        <v>-1.2970777309101009</v>
      </c>
      <c r="M28">
        <v>-1.1262864357836351</v>
      </c>
      <c r="N28">
        <v>-0.35837746156388522</v>
      </c>
      <c r="O28">
        <v>-0.8748957005007576</v>
      </c>
      <c r="P28">
        <v>-0.55827843037034974</v>
      </c>
      <c r="Q28">
        <v>0.49839904685286479</v>
      </c>
      <c r="R28">
        <v>-0.38462213709576598</v>
      </c>
      <c r="S28">
        <v>-0.37735754253214249</v>
      </c>
      <c r="T28">
        <v>-0.16276269188548659</v>
      </c>
      <c r="U28">
        <v>1.937170770602834</v>
      </c>
      <c r="V28">
        <v>2.2344425658007729</v>
      </c>
      <c r="W28">
        <v>1.5261134260071769</v>
      </c>
      <c r="X28">
        <v>2.1923701715341921</v>
      </c>
      <c r="Y28">
        <v>2.5979302089097338</v>
      </c>
      <c r="Z28">
        <v>0.94734766324229369</v>
      </c>
      <c r="AB28">
        <f>SUM(B28:Z28)</f>
        <v>2.6184466707794907</v>
      </c>
    </row>
    <row r="29" spans="1:28" x14ac:dyDescent="0.35">
      <c r="A29" t="s">
        <v>9</v>
      </c>
      <c r="B29">
        <v>6.3426570914819456</v>
      </c>
      <c r="C29">
        <v>7.0333880851271058</v>
      </c>
      <c r="D29">
        <v>9.9537765716153928</v>
      </c>
      <c r="E29">
        <v>8.9849480344015067</v>
      </c>
      <c r="F29">
        <v>7.7462434614231146</v>
      </c>
      <c r="G29">
        <v>9.7432048331490044</v>
      </c>
      <c r="H29">
        <v>8.8309165448175548</v>
      </c>
      <c r="I29">
        <v>7.7046525899058018</v>
      </c>
      <c r="J29">
        <v>7.5704854591293067</v>
      </c>
      <c r="K29">
        <v>7.7050467100869868</v>
      </c>
      <c r="L29">
        <v>7.9561856710891554</v>
      </c>
      <c r="M29">
        <v>7.9120134266747906</v>
      </c>
      <c r="N29">
        <v>8.8983727385145759</v>
      </c>
      <c r="O29">
        <v>8.2305730397635379</v>
      </c>
      <c r="P29">
        <v>9.0487813037711646</v>
      </c>
      <c r="Q29">
        <v>8.6485665344135061</v>
      </c>
      <c r="R29">
        <v>6.8367603559067636</v>
      </c>
      <c r="S29">
        <v>7.1576069726865228</v>
      </c>
      <c r="T29">
        <v>7.5045594240247366</v>
      </c>
      <c r="U29">
        <v>7.6050231770427601</v>
      </c>
      <c r="V29">
        <v>6.8894838548698747</v>
      </c>
      <c r="W29">
        <v>6.3790932543306891</v>
      </c>
      <c r="X29">
        <v>6.3491273489049087</v>
      </c>
      <c r="Y29">
        <v>6.3831045499089116</v>
      </c>
      <c r="Z29">
        <v>5.5145900700513391</v>
      </c>
    </row>
    <row r="30" spans="1:28" x14ac:dyDescent="0.35">
      <c r="A30" t="s">
        <v>10</v>
      </c>
      <c r="B30">
        <v>135.7487415416314</v>
      </c>
      <c r="C30">
        <v>140.40178656559451</v>
      </c>
      <c r="D30">
        <v>146.56626288264209</v>
      </c>
      <c r="E30">
        <v>150.22642245707991</v>
      </c>
      <c r="F30">
        <v>146.83124927501879</v>
      </c>
      <c r="G30">
        <v>145.70609357965509</v>
      </c>
      <c r="H30">
        <v>143.9532417172457</v>
      </c>
      <c r="I30">
        <v>142.87355084364069</v>
      </c>
      <c r="J30">
        <v>141.56465171211741</v>
      </c>
      <c r="K30">
        <v>142.38439377590271</v>
      </c>
      <c r="L30">
        <v>144.5629275360848</v>
      </c>
      <c r="M30">
        <v>146.539343153148</v>
      </c>
      <c r="N30">
        <v>151.0269280578805</v>
      </c>
      <c r="O30">
        <v>146.98538117568839</v>
      </c>
      <c r="P30">
        <v>147.49838762089789</v>
      </c>
      <c r="Q30">
        <v>150.0978042174562</v>
      </c>
      <c r="R30">
        <v>146.5374369903833</v>
      </c>
      <c r="S30">
        <v>147.63364195850099</v>
      </c>
      <c r="T30">
        <v>150.99197265039871</v>
      </c>
      <c r="U30">
        <v>150.9035138098607</v>
      </c>
      <c r="V30">
        <v>148.23924588354879</v>
      </c>
      <c r="W30">
        <v>148.73866091226529</v>
      </c>
      <c r="X30">
        <v>149.65317265623989</v>
      </c>
      <c r="Y30">
        <v>149.77960378869781</v>
      </c>
      <c r="Z30">
        <v>149.85234204654421</v>
      </c>
    </row>
    <row r="31" spans="1:28" x14ac:dyDescent="0.35">
      <c r="A31" t="s">
        <v>11</v>
      </c>
      <c r="B31">
        <v>26533209.609999999</v>
      </c>
      <c r="C31">
        <v>20452730.02</v>
      </c>
      <c r="D31">
        <v>18615600.899999999</v>
      </c>
      <c r="E31">
        <v>8943877.4000000004</v>
      </c>
      <c r="F31">
        <v>15181236.02</v>
      </c>
      <c r="G31">
        <v>31017455.530000001</v>
      </c>
      <c r="H31">
        <v>26185057.969999999</v>
      </c>
      <c r="I31">
        <v>18912869.129999999</v>
      </c>
      <c r="J31">
        <v>20022958.149999999</v>
      </c>
      <c r="K31">
        <v>18264458.109999999</v>
      </c>
      <c r="L31">
        <v>16133338.15</v>
      </c>
      <c r="M31">
        <v>9991541.5899999999</v>
      </c>
      <c r="N31">
        <v>6626495.1900000004</v>
      </c>
      <c r="O31">
        <v>9268286.370000001</v>
      </c>
      <c r="P31">
        <v>15549122.210000001</v>
      </c>
      <c r="Q31">
        <v>14908182.6</v>
      </c>
      <c r="R31">
        <v>27184358.260000002</v>
      </c>
      <c r="S31">
        <v>35792719.759999998</v>
      </c>
      <c r="T31">
        <v>21760335.98</v>
      </c>
      <c r="U31">
        <v>21252328.469999999</v>
      </c>
      <c r="V31">
        <v>43623019.229999997</v>
      </c>
      <c r="W31">
        <v>40720244.030000001</v>
      </c>
      <c r="X31">
        <v>43230820.039999999</v>
      </c>
      <c r="Y31">
        <v>43309748.599999987</v>
      </c>
      <c r="Z31">
        <v>52399661.719999999</v>
      </c>
    </row>
    <row r="33" spans="1:28" x14ac:dyDescent="0.35">
      <c r="A33" t="s">
        <v>15</v>
      </c>
      <c r="B33" t="s">
        <v>59</v>
      </c>
      <c r="C33" t="s">
        <v>60</v>
      </c>
      <c r="D33" t="s">
        <v>61</v>
      </c>
      <c r="E33" t="s">
        <v>62</v>
      </c>
      <c r="F33" t="s">
        <v>63</v>
      </c>
      <c r="G33" t="s">
        <v>64</v>
      </c>
      <c r="H33" t="s">
        <v>65</v>
      </c>
      <c r="I33" t="s">
        <v>66</v>
      </c>
      <c r="J33" t="s">
        <v>67</v>
      </c>
      <c r="K33" t="s">
        <v>68</v>
      </c>
      <c r="L33" t="s">
        <v>69</v>
      </c>
      <c r="M33" t="s">
        <v>70</v>
      </c>
      <c r="N33" t="s">
        <v>48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55</v>
      </c>
      <c r="V33" t="s">
        <v>1</v>
      </c>
      <c r="W33" t="s">
        <v>2</v>
      </c>
      <c r="X33" t="s">
        <v>3</v>
      </c>
      <c r="Y33" t="s">
        <v>4</v>
      </c>
      <c r="Z33" t="s">
        <v>5</v>
      </c>
    </row>
    <row r="34" spans="1:28" x14ac:dyDescent="0.35">
      <c r="A34" t="s">
        <v>6</v>
      </c>
      <c r="B34">
        <v>132.3830679174151</v>
      </c>
      <c r="C34">
        <v>133.22864053407059</v>
      </c>
      <c r="D34">
        <v>136.30165783621021</v>
      </c>
      <c r="E34">
        <v>135.3824245085064</v>
      </c>
      <c r="F34">
        <v>133.83570351401411</v>
      </c>
      <c r="G34">
        <v>131.87489783492529</v>
      </c>
      <c r="H34">
        <v>131.1356915650193</v>
      </c>
      <c r="I34">
        <v>129.47230286810949</v>
      </c>
      <c r="J34">
        <v>129.34472841048469</v>
      </c>
      <c r="K34">
        <v>131.4534857039441</v>
      </c>
      <c r="L34">
        <v>131.7155339764507</v>
      </c>
      <c r="M34">
        <v>131.25851429906621</v>
      </c>
      <c r="N34">
        <v>132.73384871823549</v>
      </c>
      <c r="O34">
        <v>133.4421953804156</v>
      </c>
      <c r="P34">
        <v>133.76755452848761</v>
      </c>
      <c r="Q34">
        <v>135.3136659257851</v>
      </c>
      <c r="R34">
        <v>136.174564953763</v>
      </c>
      <c r="S34">
        <v>136.81709999339159</v>
      </c>
      <c r="T34">
        <v>136.69241262670499</v>
      </c>
      <c r="U34">
        <v>134.948750294055</v>
      </c>
      <c r="V34">
        <v>134.57147996843619</v>
      </c>
      <c r="W34">
        <v>136.41792232868141</v>
      </c>
      <c r="X34">
        <v>137.00629562165429</v>
      </c>
      <c r="Y34">
        <v>137.20721483911191</v>
      </c>
      <c r="Z34">
        <v>139.81815016922329</v>
      </c>
    </row>
    <row r="35" spans="1:28" x14ac:dyDescent="0.35">
      <c r="A35" t="s">
        <v>7</v>
      </c>
      <c r="B35">
        <v>0.56784989298699884</v>
      </c>
      <c r="C35">
        <v>0.61142143905391322</v>
      </c>
      <c r="D35">
        <v>0.32304379708060083</v>
      </c>
      <c r="E35">
        <v>-0.89774631802086446</v>
      </c>
      <c r="F35">
        <v>-0.38143036028554889</v>
      </c>
      <c r="G35">
        <v>-0.59152796588301726</v>
      </c>
      <c r="H35">
        <v>-0.79955394882412634</v>
      </c>
      <c r="I35">
        <v>-0.57952409404390437</v>
      </c>
      <c r="J35">
        <v>-0.1218767355521209</v>
      </c>
      <c r="K35">
        <v>-0.57677921084459172</v>
      </c>
      <c r="L35">
        <v>-1.563158121816997</v>
      </c>
      <c r="M35">
        <v>-1.3928785047271219</v>
      </c>
      <c r="N35">
        <v>-1.7491957388739079</v>
      </c>
      <c r="O35">
        <v>-1.0555470950184831</v>
      </c>
      <c r="P35">
        <v>-0.70981924968504018</v>
      </c>
      <c r="Q35">
        <v>0.45524568857470632</v>
      </c>
      <c r="R35">
        <v>-0.59304561449187077</v>
      </c>
      <c r="S35">
        <v>-0.32922096854829869</v>
      </c>
      <c r="T35">
        <v>-0.49722570974498131</v>
      </c>
      <c r="U35">
        <v>-0.28570766013737631</v>
      </c>
      <c r="V35">
        <v>-0.97599677625345294</v>
      </c>
      <c r="W35">
        <v>0.2055614662968708</v>
      </c>
      <c r="X35">
        <v>0.17963091044521209</v>
      </c>
      <c r="Y35">
        <v>1.0649609356779881</v>
      </c>
      <c r="Z35">
        <v>1.2744829524975501</v>
      </c>
    </row>
    <row r="36" spans="1:28" x14ac:dyDescent="0.35">
      <c r="A36" t="s">
        <v>8</v>
      </c>
      <c r="B36">
        <v>-1.2084230530138691</v>
      </c>
      <c r="C36">
        <v>-0.88622384139504284</v>
      </c>
      <c r="D36">
        <v>-0.51821331508603508</v>
      </c>
      <c r="E36">
        <v>-0.68656412979768433</v>
      </c>
      <c r="F36">
        <v>-0.63044309894958361</v>
      </c>
      <c r="G36">
        <v>-0.15045226992745681</v>
      </c>
      <c r="H36">
        <v>-0.74379700886390154</v>
      </c>
      <c r="I36">
        <v>-0.7399240474233455</v>
      </c>
      <c r="J36">
        <v>-1.6194893523540239</v>
      </c>
      <c r="K36">
        <v>-1.90072709692672</v>
      </c>
      <c r="L36">
        <v>-2.619585983285496</v>
      </c>
      <c r="M36">
        <v>-2.78556127172555</v>
      </c>
      <c r="N36">
        <v>-2.5379249890632671</v>
      </c>
      <c r="O36">
        <v>-2.056753306211383</v>
      </c>
      <c r="P36">
        <v>-1.8814632224964241</v>
      </c>
      <c r="Q36">
        <v>-1.219247900789572</v>
      </c>
      <c r="R36">
        <v>-1.8182027576408679</v>
      </c>
      <c r="S36">
        <v>-1.34646024099739</v>
      </c>
      <c r="T36">
        <v>-0.38120993110638551</v>
      </c>
      <c r="U36">
        <v>2.4129424376819029</v>
      </c>
      <c r="V36">
        <v>3.9541767305471871</v>
      </c>
      <c r="W36">
        <v>2.9054987418774081</v>
      </c>
      <c r="X36">
        <v>2.9625130484290749</v>
      </c>
      <c r="Y36">
        <v>3.8789981871489991</v>
      </c>
      <c r="Z36">
        <v>2.939509952149709</v>
      </c>
      <c r="AB36">
        <f>SUM(B36:Z36)</f>
        <v>-6.6770277192197227</v>
      </c>
    </row>
    <row r="37" spans="1:28" x14ac:dyDescent="0.35">
      <c r="A37" t="s">
        <v>9</v>
      </c>
      <c r="B37">
        <v>-0.13322006933246949</v>
      </c>
      <c r="C37">
        <v>2.2739712643691231E-2</v>
      </c>
      <c r="D37">
        <v>2.4235000105167441</v>
      </c>
      <c r="E37">
        <v>0.99755289967728</v>
      </c>
      <c r="F37">
        <v>1.1370353945400939</v>
      </c>
      <c r="G37">
        <v>2.537237232881064</v>
      </c>
      <c r="H37">
        <v>1.3834919559757659</v>
      </c>
      <c r="I37">
        <v>0.93204516977582275</v>
      </c>
      <c r="J37">
        <v>0.67656734074078617</v>
      </c>
      <c r="K37">
        <v>1.3204474194771429</v>
      </c>
      <c r="L37">
        <v>2.0682453530808531</v>
      </c>
      <c r="M37">
        <v>1.292601212550635</v>
      </c>
      <c r="N37">
        <v>0.83227949280315028</v>
      </c>
      <c r="O37">
        <v>1.506183872508597</v>
      </c>
      <c r="P37">
        <v>2.6040978578958311</v>
      </c>
      <c r="Q37">
        <v>1.8467104813411941</v>
      </c>
      <c r="R37">
        <v>1.7185195498860411</v>
      </c>
      <c r="S37">
        <v>1.9603957376782599</v>
      </c>
      <c r="T37">
        <v>1.7480707649946601</v>
      </c>
      <c r="U37">
        <v>1.3236842535445581</v>
      </c>
      <c r="V37">
        <v>1.5179816932472769</v>
      </c>
      <c r="W37">
        <v>1.9254512574853271</v>
      </c>
      <c r="X37">
        <v>1.84749611180465</v>
      </c>
      <c r="Y37">
        <v>1.6998582374033711</v>
      </c>
      <c r="Z37">
        <v>1.493844292120428</v>
      </c>
    </row>
    <row r="38" spans="1:28" x14ac:dyDescent="0.35">
      <c r="A38" t="s">
        <v>10</v>
      </c>
      <c r="B38">
        <v>131.60927468805579</v>
      </c>
      <c r="C38">
        <v>132.9765778443732</v>
      </c>
      <c r="D38">
        <v>138.52998832872149</v>
      </c>
      <c r="E38">
        <v>134.79566696036511</v>
      </c>
      <c r="F38">
        <v>133.9608654493191</v>
      </c>
      <c r="G38">
        <v>133.67015483199589</v>
      </c>
      <c r="H38">
        <v>130.97583256330699</v>
      </c>
      <c r="I38">
        <v>129.08489989641799</v>
      </c>
      <c r="J38">
        <v>128.27992966331931</v>
      </c>
      <c r="K38">
        <v>130.29642681564991</v>
      </c>
      <c r="L38">
        <v>129.60103522442901</v>
      </c>
      <c r="M38">
        <v>128.37267573516411</v>
      </c>
      <c r="N38">
        <v>129.27900748310151</v>
      </c>
      <c r="O38">
        <v>131.83607885169431</v>
      </c>
      <c r="P38">
        <v>133.78036991420191</v>
      </c>
      <c r="Q38">
        <v>136.39637419491149</v>
      </c>
      <c r="R38">
        <v>135.48183613151639</v>
      </c>
      <c r="S38">
        <v>137.1018145215242</v>
      </c>
      <c r="T38">
        <v>137.56204775084831</v>
      </c>
      <c r="U38">
        <v>138.39966932514409</v>
      </c>
      <c r="V38">
        <v>139.06764161597721</v>
      </c>
      <c r="W38">
        <v>141.45443379434101</v>
      </c>
      <c r="X38">
        <v>141.99593569233329</v>
      </c>
      <c r="Y38">
        <v>143.8510321993422</v>
      </c>
      <c r="Z38">
        <v>145.525987365991</v>
      </c>
    </row>
    <row r="39" spans="1:28" x14ac:dyDescent="0.35">
      <c r="A39" t="s">
        <v>11</v>
      </c>
      <c r="B39">
        <v>38280312.600000001</v>
      </c>
      <c r="C39">
        <v>47373090.170000002</v>
      </c>
      <c r="D39">
        <v>47931937.469999999</v>
      </c>
      <c r="E39">
        <v>49971994.259999998</v>
      </c>
      <c r="F39">
        <v>91002139.469999999</v>
      </c>
      <c r="G39">
        <v>128666875.94</v>
      </c>
      <c r="H39">
        <v>96896825.430000007</v>
      </c>
      <c r="I39">
        <v>74050276.870000005</v>
      </c>
      <c r="J39">
        <v>76165797.019999996</v>
      </c>
      <c r="K39">
        <v>68689507.870000005</v>
      </c>
      <c r="L39">
        <v>57582674.780000001</v>
      </c>
      <c r="M39">
        <v>65211671.07</v>
      </c>
      <c r="N39">
        <v>68663782.969999999</v>
      </c>
      <c r="O39">
        <v>60652581.18</v>
      </c>
      <c r="P39">
        <v>74303783.809999987</v>
      </c>
      <c r="Q39">
        <v>77695500.75</v>
      </c>
      <c r="R39">
        <v>115551353.54000001</v>
      </c>
      <c r="S39">
        <v>101911462.23999999</v>
      </c>
      <c r="T39">
        <v>81068199.189999998</v>
      </c>
      <c r="U39">
        <v>92073036.069999993</v>
      </c>
      <c r="V39">
        <v>151182270.44999999</v>
      </c>
      <c r="W39">
        <v>130232535.68000001</v>
      </c>
      <c r="X39">
        <v>108684678.34999999</v>
      </c>
      <c r="Y39">
        <v>91451649.269999981</v>
      </c>
      <c r="Z39">
        <v>86527668.819999993</v>
      </c>
    </row>
    <row r="41" spans="1:28" x14ac:dyDescent="0.35">
      <c r="A41" t="s">
        <v>16</v>
      </c>
      <c r="B41" t="s">
        <v>59</v>
      </c>
      <c r="C41" t="s">
        <v>60</v>
      </c>
      <c r="D41" t="s">
        <v>61</v>
      </c>
      <c r="E41" t="s">
        <v>62</v>
      </c>
      <c r="F41" t="s">
        <v>63</v>
      </c>
      <c r="G41" t="s">
        <v>64</v>
      </c>
      <c r="H41" t="s">
        <v>65</v>
      </c>
      <c r="I41" t="s">
        <v>66</v>
      </c>
      <c r="J41" t="s">
        <v>67</v>
      </c>
      <c r="K41" t="s">
        <v>68</v>
      </c>
      <c r="L41" t="s">
        <v>69</v>
      </c>
      <c r="M41" t="s">
        <v>70</v>
      </c>
      <c r="N41" t="s">
        <v>48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55</v>
      </c>
      <c r="V41" t="s">
        <v>1</v>
      </c>
      <c r="W41" t="s">
        <v>2</v>
      </c>
      <c r="X41" t="s">
        <v>3</v>
      </c>
      <c r="Y41" t="s">
        <v>4</v>
      </c>
      <c r="Z41" t="s">
        <v>5</v>
      </c>
    </row>
    <row r="42" spans="1:28" x14ac:dyDescent="0.35">
      <c r="A42" t="s">
        <v>6</v>
      </c>
      <c r="B42">
        <v>135.86332249445411</v>
      </c>
      <c r="C42">
        <v>138.37204193247351</v>
      </c>
      <c r="D42">
        <v>138.78949632186041</v>
      </c>
      <c r="E42">
        <v>136.95890436813559</v>
      </c>
      <c r="F42">
        <v>135.464326976926</v>
      </c>
      <c r="G42">
        <v>135.7380087477724</v>
      </c>
      <c r="H42">
        <v>134.5037235232796</v>
      </c>
      <c r="I42">
        <v>133.19297164592061</v>
      </c>
      <c r="J42">
        <v>133.26474125481579</v>
      </c>
      <c r="K42">
        <v>134.70114979213409</v>
      </c>
      <c r="L42">
        <v>136.05826795641721</v>
      </c>
      <c r="M42">
        <v>138.33369756523109</v>
      </c>
      <c r="N42">
        <v>140.09671657848929</v>
      </c>
      <c r="O42">
        <v>140.6586391183844</v>
      </c>
      <c r="P42">
        <v>140.50459471793889</v>
      </c>
      <c r="Q42">
        <v>140.56078051519651</v>
      </c>
      <c r="R42">
        <v>139.56825037479661</v>
      </c>
      <c r="S42">
        <v>140.43211833884561</v>
      </c>
      <c r="T42">
        <v>139.88511483115639</v>
      </c>
      <c r="U42">
        <v>139.76781802522791</v>
      </c>
      <c r="V42">
        <v>139.70876763492191</v>
      </c>
      <c r="W42">
        <v>139.86672280884679</v>
      </c>
      <c r="X42">
        <v>139.91790875779989</v>
      </c>
      <c r="Y42">
        <v>140.94205426095121</v>
      </c>
      <c r="Z42">
        <v>142.03899090550939</v>
      </c>
    </row>
    <row r="43" spans="1:28" x14ac:dyDescent="0.35">
      <c r="A43" t="s">
        <v>7</v>
      </c>
      <c r="B43">
        <v>4.4918827021075742</v>
      </c>
      <c r="C43">
        <v>4.551979066423371</v>
      </c>
      <c r="D43">
        <v>4.4080580897392574</v>
      </c>
      <c r="E43">
        <v>4.0588062484797263</v>
      </c>
      <c r="F43">
        <v>3.8414426470363878</v>
      </c>
      <c r="G43">
        <v>3.619794276590568</v>
      </c>
      <c r="H43">
        <v>3.485684751518249</v>
      </c>
      <c r="I43">
        <v>3.1667830676876751</v>
      </c>
      <c r="J43">
        <v>2.91345774118949</v>
      </c>
      <c r="K43">
        <v>2.0561578106858178</v>
      </c>
      <c r="L43">
        <v>1.2337810801302</v>
      </c>
      <c r="M43">
        <v>1.3869179362435771</v>
      </c>
      <c r="N43">
        <v>1.1470581624031979</v>
      </c>
      <c r="O43">
        <v>1.3470828281179761</v>
      </c>
      <c r="P43">
        <v>1.4825754874531469</v>
      </c>
      <c r="Q43">
        <v>1.735482925395615</v>
      </c>
      <c r="R43">
        <v>1.3266459899973599</v>
      </c>
      <c r="S43">
        <v>2.2203144511825879</v>
      </c>
      <c r="T43">
        <v>1.9527826553908769</v>
      </c>
      <c r="U43">
        <v>0.75353600348131522</v>
      </c>
      <c r="V43">
        <v>-0.59293676979766019</v>
      </c>
      <c r="W43">
        <v>1.0908331834159239</v>
      </c>
      <c r="X43">
        <v>0.95995221674948539</v>
      </c>
      <c r="Y43">
        <v>0.99913491910544394</v>
      </c>
      <c r="Z43">
        <v>0.57082191683323913</v>
      </c>
    </row>
    <row r="44" spans="1:28" x14ac:dyDescent="0.35">
      <c r="A44" t="s">
        <v>8</v>
      </c>
      <c r="B44">
        <v>5.4258197052347149E-2</v>
      </c>
      <c r="C44">
        <v>0.43110716236044611</v>
      </c>
      <c r="D44">
        <v>2.452648298079833E-2</v>
      </c>
      <c r="E44">
        <v>0.40477748094964999</v>
      </c>
      <c r="F44">
        <v>0.49499963135422348</v>
      </c>
      <c r="G44">
        <v>0.93081355548104694</v>
      </c>
      <c r="H44">
        <v>1.7071870021484039</v>
      </c>
      <c r="I44">
        <v>0.80482787756820351</v>
      </c>
      <c r="J44">
        <v>0.66107033623268197</v>
      </c>
      <c r="K44">
        <v>-2.0183634801491299E-2</v>
      </c>
      <c r="L44">
        <v>-0.44628346717111977</v>
      </c>
      <c r="M44">
        <v>-0.57549411857196553</v>
      </c>
      <c r="N44">
        <v>-0.9781821605213411</v>
      </c>
      <c r="O44">
        <v>-0.34839807795046301</v>
      </c>
      <c r="P44">
        <v>-0.38931540741708109</v>
      </c>
      <c r="Q44">
        <v>0.2122453843758168</v>
      </c>
      <c r="R44">
        <v>-0.23559879028366379</v>
      </c>
      <c r="S44">
        <v>9.0456386109090653E-2</v>
      </c>
      <c r="T44">
        <v>-0.54232293136719834</v>
      </c>
      <c r="U44">
        <v>-0.68396124727796337</v>
      </c>
      <c r="V44">
        <v>-0.69812196046537944</v>
      </c>
      <c r="W44">
        <v>-3.9833427111439362E-2</v>
      </c>
      <c r="X44">
        <v>0.39669237239811889</v>
      </c>
      <c r="Y44">
        <v>0.69863396050410365</v>
      </c>
      <c r="Z44">
        <v>0.49570846122702822</v>
      </c>
      <c r="AB44">
        <f>SUM(B44:Z44)</f>
        <v>2.4496090678028528</v>
      </c>
    </row>
    <row r="45" spans="1:28" x14ac:dyDescent="0.35">
      <c r="A45" t="s">
        <v>9</v>
      </c>
      <c r="B45">
        <v>-1.8679577337729509</v>
      </c>
      <c r="C45">
        <v>-2.2934700304173141</v>
      </c>
      <c r="D45">
        <v>-1.90599548482373E-2</v>
      </c>
      <c r="E45">
        <v>-2.102065688983779</v>
      </c>
      <c r="F45">
        <v>0.12072478597422311</v>
      </c>
      <c r="G45">
        <v>2.7880241469830191</v>
      </c>
      <c r="H45">
        <v>1.806428919350769</v>
      </c>
      <c r="I45">
        <v>1.6186275026710031</v>
      </c>
      <c r="J45">
        <v>-0.68305506480578748</v>
      </c>
      <c r="K45">
        <v>0.54282025768139242</v>
      </c>
      <c r="L45">
        <v>-0.67404899043559141</v>
      </c>
      <c r="M45">
        <v>-2.4034512234684819</v>
      </c>
      <c r="N45">
        <v>-2.738318159686385</v>
      </c>
      <c r="O45">
        <v>-1.43429580022272</v>
      </c>
      <c r="P45">
        <v>-3.8284856000617902</v>
      </c>
      <c r="Q45">
        <v>-4.9859273123596699</v>
      </c>
      <c r="R45">
        <v>-4.1535780349148572</v>
      </c>
      <c r="S45">
        <v>-1.014621285372507</v>
      </c>
      <c r="T45">
        <v>-1.6180761042652789</v>
      </c>
      <c r="U45">
        <v>-1.560276997846936</v>
      </c>
      <c r="V45">
        <v>-0.78475247095689693</v>
      </c>
      <c r="W45">
        <v>-0.38922450159549088</v>
      </c>
      <c r="X45">
        <v>-0.57494631824503539</v>
      </c>
      <c r="Y45">
        <v>-0.30343741260103579</v>
      </c>
      <c r="Z45">
        <v>0.36619045969935132</v>
      </c>
    </row>
    <row r="46" spans="1:28" x14ac:dyDescent="0.35">
      <c r="A46" t="s">
        <v>10</v>
      </c>
      <c r="B46">
        <v>138.54150565984111</v>
      </c>
      <c r="C46">
        <v>141.06165813083999</v>
      </c>
      <c r="D46">
        <v>143.2030209397322</v>
      </c>
      <c r="E46">
        <v>139.32042240858121</v>
      </c>
      <c r="F46">
        <v>139.92149404129091</v>
      </c>
      <c r="G46">
        <v>143.07664072682701</v>
      </c>
      <c r="H46">
        <v>141.50302419629699</v>
      </c>
      <c r="I46">
        <v>138.7832100938474</v>
      </c>
      <c r="J46">
        <v>136.1562142674322</v>
      </c>
      <c r="K46">
        <v>137.27994422569981</v>
      </c>
      <c r="L46">
        <v>136.1717165789407</v>
      </c>
      <c r="M46">
        <v>136.74167015943419</v>
      </c>
      <c r="N46">
        <v>137.52727442068471</v>
      </c>
      <c r="O46">
        <v>140.2230280683292</v>
      </c>
      <c r="P46">
        <v>137.76936919791319</v>
      </c>
      <c r="Q46">
        <v>137.5225815126083</v>
      </c>
      <c r="R46">
        <v>136.5057195395955</v>
      </c>
      <c r="S46">
        <v>141.72826789076481</v>
      </c>
      <c r="T46">
        <v>139.67749845091481</v>
      </c>
      <c r="U46">
        <v>138.27711578358429</v>
      </c>
      <c r="V46">
        <v>137.63295643370199</v>
      </c>
      <c r="W46">
        <v>140.52849806355579</v>
      </c>
      <c r="X46">
        <v>140.6996070287025</v>
      </c>
      <c r="Y46">
        <v>142.33638572795979</v>
      </c>
      <c r="Z46">
        <v>143.471711743269</v>
      </c>
    </row>
    <row r="47" spans="1:28" x14ac:dyDescent="0.35">
      <c r="A47" t="s">
        <v>11</v>
      </c>
      <c r="B47">
        <v>237410626.31999999</v>
      </c>
      <c r="C47">
        <v>210491293.02000001</v>
      </c>
      <c r="D47">
        <v>273255852.95999998</v>
      </c>
      <c r="E47">
        <v>231122364.84999999</v>
      </c>
      <c r="F47">
        <v>368400633.05000001</v>
      </c>
      <c r="G47">
        <v>372449575.12</v>
      </c>
      <c r="H47">
        <v>340292364.87</v>
      </c>
      <c r="I47">
        <v>287626500.82999998</v>
      </c>
      <c r="J47">
        <v>221684703.61000001</v>
      </c>
      <c r="K47">
        <v>355757867.75999999</v>
      </c>
      <c r="L47">
        <v>294296290.55000001</v>
      </c>
      <c r="M47">
        <v>222829131.05000001</v>
      </c>
      <c r="N47">
        <v>259381062.81</v>
      </c>
      <c r="O47">
        <v>253846448.25</v>
      </c>
      <c r="P47">
        <v>143850530.41999999</v>
      </c>
      <c r="Q47">
        <v>123963001.43000001</v>
      </c>
      <c r="R47">
        <v>390295588.07000011</v>
      </c>
      <c r="S47">
        <v>326192451.67000002</v>
      </c>
      <c r="T47">
        <v>301366599.82999998</v>
      </c>
      <c r="U47">
        <v>288436723.16000003</v>
      </c>
      <c r="V47">
        <v>442875681.85000002</v>
      </c>
      <c r="W47">
        <v>386473804.48000002</v>
      </c>
      <c r="X47">
        <v>379394062.72000003</v>
      </c>
      <c r="Y47">
        <v>341839089.51999998</v>
      </c>
      <c r="Z47">
        <v>507344562.62</v>
      </c>
    </row>
    <row r="50" spans="1:26" x14ac:dyDescent="0.35">
      <c r="B50" t="s">
        <v>59</v>
      </c>
      <c r="C50" t="s">
        <v>60</v>
      </c>
      <c r="D50" t="s">
        <v>61</v>
      </c>
      <c r="E50" t="s">
        <v>62</v>
      </c>
      <c r="F50" t="s">
        <v>63</v>
      </c>
      <c r="G50" t="s">
        <v>64</v>
      </c>
      <c r="H50" t="s">
        <v>65</v>
      </c>
      <c r="I50" t="s">
        <v>66</v>
      </c>
      <c r="J50" t="s">
        <v>67</v>
      </c>
      <c r="K50" t="s">
        <v>68</v>
      </c>
      <c r="L50" t="s">
        <v>69</v>
      </c>
      <c r="M50" t="s">
        <v>70</v>
      </c>
      <c r="N50" t="s">
        <v>48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T50" t="s">
        <v>54</v>
      </c>
      <c r="U50" t="s">
        <v>55</v>
      </c>
      <c r="V50" t="s">
        <v>1</v>
      </c>
      <c r="W50" t="s">
        <v>2</v>
      </c>
      <c r="X50" t="s">
        <v>3</v>
      </c>
      <c r="Y50" t="s">
        <v>4</v>
      </c>
      <c r="Z50" t="s">
        <v>5</v>
      </c>
    </row>
    <row r="51" spans="1:26" x14ac:dyDescent="0.35">
      <c r="A51" t="s">
        <v>0</v>
      </c>
      <c r="B51">
        <f t="shared" ref="B51:Z51" si="0">B4</f>
        <v>-0.61305923052299949</v>
      </c>
      <c r="C51">
        <f t="shared" si="0"/>
        <v>-1.0347206722157489</v>
      </c>
      <c r="D51">
        <f t="shared" si="0"/>
        <v>-0.30686663647136803</v>
      </c>
      <c r="E51">
        <f t="shared" si="0"/>
        <v>0.55941586967605339</v>
      </c>
      <c r="F51">
        <f t="shared" si="0"/>
        <v>0.28503309544824712</v>
      </c>
      <c r="G51">
        <f t="shared" si="0"/>
        <v>0.141055570900149</v>
      </c>
      <c r="H51">
        <f t="shared" si="0"/>
        <v>-5.1200749376002427E-2</v>
      </c>
      <c r="I51">
        <f t="shared" si="0"/>
        <v>-0.79254575157834317</v>
      </c>
      <c r="J51">
        <f t="shared" si="0"/>
        <v>-1.539916170376882</v>
      </c>
      <c r="K51">
        <f t="shared" si="0"/>
        <v>-1.568154520791436</v>
      </c>
      <c r="L51">
        <f t="shared" si="0"/>
        <v>-2.034498188821495</v>
      </c>
      <c r="M51">
        <f t="shared" si="0"/>
        <v>-1.4114226887479411</v>
      </c>
      <c r="N51">
        <f t="shared" si="0"/>
        <v>-1.491221657857609</v>
      </c>
      <c r="O51">
        <f t="shared" si="0"/>
        <v>-1.3089075135197401</v>
      </c>
      <c r="P51">
        <f t="shared" si="0"/>
        <v>-1.1866422804332299</v>
      </c>
      <c r="Q51">
        <f t="shared" si="0"/>
        <v>-1.235129759087205</v>
      </c>
      <c r="R51">
        <f t="shared" si="0"/>
        <v>-0.85114868861108872</v>
      </c>
      <c r="S51">
        <f t="shared" si="0"/>
        <v>-0.30358144801441028</v>
      </c>
      <c r="T51">
        <f t="shared" si="0"/>
        <v>0.62611644939496414</v>
      </c>
      <c r="U51">
        <f t="shared" si="0"/>
        <v>1.199617108191654</v>
      </c>
      <c r="V51">
        <f t="shared" si="0"/>
        <v>0.73187389993782914</v>
      </c>
      <c r="W51">
        <f t="shared" si="0"/>
        <v>1.3988725116844909</v>
      </c>
      <c r="X51">
        <f t="shared" si="0"/>
        <v>2.52507692976081</v>
      </c>
      <c r="Y51">
        <f t="shared" si="0"/>
        <v>2.6535290564958691</v>
      </c>
      <c r="Z51">
        <f t="shared" si="0"/>
        <v>2.160427144791754</v>
      </c>
    </row>
    <row r="52" spans="1:26" x14ac:dyDescent="0.35">
      <c r="B52">
        <f t="shared" ref="B52:Z52" si="1">B5</f>
        <v>0.31699383207393272</v>
      </c>
      <c r="C52">
        <f t="shared" si="1"/>
        <v>-7.4520435280669983E-2</v>
      </c>
      <c r="D52">
        <f t="shared" si="1"/>
        <v>2.6730438931927849</v>
      </c>
      <c r="E52">
        <f t="shared" si="1"/>
        <v>2.8146745143584848</v>
      </c>
      <c r="F52">
        <f t="shared" si="1"/>
        <v>2.4860691974896092</v>
      </c>
      <c r="G52">
        <f t="shared" si="1"/>
        <v>4.7442205538929709</v>
      </c>
      <c r="H52">
        <f t="shared" si="1"/>
        <v>3.767862259420677</v>
      </c>
      <c r="I52">
        <f t="shared" si="1"/>
        <v>3.8101148848800568</v>
      </c>
      <c r="J52">
        <f t="shared" si="1"/>
        <v>3.3632739395382241</v>
      </c>
      <c r="K52">
        <f t="shared" si="1"/>
        <v>2.1960055910404259</v>
      </c>
      <c r="L52">
        <f t="shared" si="1"/>
        <v>1.813766331452717</v>
      </c>
      <c r="M52">
        <f t="shared" si="1"/>
        <v>1.171882167126244</v>
      </c>
      <c r="N52">
        <f t="shared" si="1"/>
        <v>1.0276651406364501</v>
      </c>
      <c r="O52">
        <f t="shared" si="1"/>
        <v>2.1915036915182018</v>
      </c>
      <c r="P52">
        <f t="shared" si="1"/>
        <v>2.6725161856971229</v>
      </c>
      <c r="Q52">
        <f t="shared" si="1"/>
        <v>2.2645484197272538</v>
      </c>
      <c r="R52">
        <f t="shared" si="1"/>
        <v>1.982051927501814</v>
      </c>
      <c r="S52">
        <f t="shared" si="1"/>
        <v>2.59136769572113</v>
      </c>
      <c r="T52">
        <f t="shared" si="1"/>
        <v>3.6900856036747798</v>
      </c>
      <c r="U52">
        <f t="shared" si="1"/>
        <v>3.3601489070453039</v>
      </c>
      <c r="V52">
        <f t="shared" si="1"/>
        <v>3.5152575010923348</v>
      </c>
      <c r="W52">
        <f t="shared" si="1"/>
        <v>4.0364834910412739</v>
      </c>
      <c r="X52">
        <f t="shared" si="1"/>
        <v>3.9658857175716609</v>
      </c>
      <c r="Y52">
        <f t="shared" si="1"/>
        <v>4.2472755924749057</v>
      </c>
      <c r="Z52">
        <f t="shared" si="1"/>
        <v>4.2417601228001001</v>
      </c>
    </row>
    <row r="53" spans="1:26" x14ac:dyDescent="0.35">
      <c r="A53" t="s">
        <v>12</v>
      </c>
      <c r="B53">
        <f t="shared" ref="B53:Z53" si="2">B12</f>
        <v>-0.3803432524996373</v>
      </c>
      <c r="C53">
        <f t="shared" si="2"/>
        <v>-0.13468952478997931</v>
      </c>
      <c r="D53">
        <f t="shared" si="2"/>
        <v>-0.1127742011987635</v>
      </c>
      <c r="E53">
        <f t="shared" si="2"/>
        <v>0.8039426885602251</v>
      </c>
      <c r="F53">
        <f t="shared" si="2"/>
        <v>0.61385889556798767</v>
      </c>
      <c r="G53">
        <f t="shared" si="2"/>
        <v>0.30096432371068838</v>
      </c>
      <c r="H53">
        <f t="shared" si="2"/>
        <v>5.3666595860003916E-3</v>
      </c>
      <c r="I53">
        <f t="shared" si="2"/>
        <v>-0.79299957215503469</v>
      </c>
      <c r="J53">
        <f t="shared" si="2"/>
        <v>-1.4658563467137029</v>
      </c>
      <c r="K53">
        <f t="shared" si="2"/>
        <v>-1.424098001661799</v>
      </c>
      <c r="L53">
        <f t="shared" si="2"/>
        <v>-1.4695331622187591</v>
      </c>
      <c r="M53">
        <f t="shared" si="2"/>
        <v>-1.2842031073866069</v>
      </c>
      <c r="N53">
        <f t="shared" si="2"/>
        <v>-1.649418746247199</v>
      </c>
      <c r="O53">
        <f t="shared" si="2"/>
        <v>-1.1144507105367649</v>
      </c>
      <c r="P53">
        <f t="shared" si="2"/>
        <v>-1.1727670673875039</v>
      </c>
      <c r="Q53">
        <f t="shared" si="2"/>
        <v>-1.288238096192827</v>
      </c>
      <c r="R53">
        <f t="shared" si="2"/>
        <v>-1.4217419405102729</v>
      </c>
      <c r="S53">
        <f t="shared" si="2"/>
        <v>-0.88174349309911804</v>
      </c>
      <c r="T53">
        <f t="shared" si="2"/>
        <v>-0.34232580233803922</v>
      </c>
      <c r="U53">
        <f t="shared" si="2"/>
        <v>1.214543810683461</v>
      </c>
      <c r="V53">
        <f t="shared" si="2"/>
        <v>1.3644553022160431</v>
      </c>
      <c r="W53">
        <f t="shared" si="2"/>
        <v>1.686167890486838</v>
      </c>
      <c r="X53">
        <f t="shared" si="2"/>
        <v>2.2696451478678341</v>
      </c>
      <c r="Y53">
        <f t="shared" si="2"/>
        <v>3.6760504039490778</v>
      </c>
      <c r="Z53">
        <f t="shared" si="2"/>
        <v>2.583207765217816</v>
      </c>
    </row>
    <row r="54" spans="1:26" x14ac:dyDescent="0.35">
      <c r="B54">
        <f t="shared" ref="B54:Z54" si="3">B13</f>
        <v>-1.228160784054644E-2</v>
      </c>
      <c r="C54">
        <f t="shared" si="3"/>
        <v>-2.8597338441211151E-2</v>
      </c>
      <c r="D54">
        <f t="shared" si="3"/>
        <v>0.35362420328638883</v>
      </c>
      <c r="E54">
        <f t="shared" si="3"/>
        <v>-0.77522591979143807</v>
      </c>
      <c r="F54">
        <f t="shared" si="3"/>
        <v>2.0088205384702031</v>
      </c>
      <c r="G54">
        <f t="shared" si="3"/>
        <v>4.8028389298719958</v>
      </c>
      <c r="H54">
        <f t="shared" si="3"/>
        <v>3.3953505552110168</v>
      </c>
      <c r="I54">
        <f t="shared" si="3"/>
        <v>2.567761705391753</v>
      </c>
      <c r="J54">
        <f t="shared" si="3"/>
        <v>2.8649826435503272</v>
      </c>
      <c r="K54">
        <f t="shared" si="3"/>
        <v>2.7921408431181698</v>
      </c>
      <c r="L54">
        <f t="shared" si="3"/>
        <v>2.5924089223275728</v>
      </c>
      <c r="M54">
        <f t="shared" si="3"/>
        <v>2.5719861764621919</v>
      </c>
      <c r="N54">
        <f t="shared" si="3"/>
        <v>2.0132311198160342</v>
      </c>
      <c r="O54">
        <f t="shared" si="3"/>
        <v>4.3751394957598402</v>
      </c>
      <c r="P54">
        <f t="shared" si="3"/>
        <v>4.9401089237040479</v>
      </c>
      <c r="Q54">
        <f t="shared" si="3"/>
        <v>5.5575777140865847</v>
      </c>
      <c r="R54">
        <f t="shared" si="3"/>
        <v>5.2441452141879363</v>
      </c>
      <c r="S54">
        <f t="shared" si="3"/>
        <v>5.3075909101234569</v>
      </c>
      <c r="T54">
        <f t="shared" si="3"/>
        <v>5.1119080696318822</v>
      </c>
      <c r="U54">
        <f t="shared" si="3"/>
        <v>5.193016913279541</v>
      </c>
      <c r="V54">
        <f t="shared" si="3"/>
        <v>5.1668346473815312</v>
      </c>
      <c r="W54">
        <f t="shared" si="3"/>
        <v>6.0899588121677688</v>
      </c>
      <c r="X54">
        <f t="shared" si="3"/>
        <v>6.1408423731614006</v>
      </c>
      <c r="Y54">
        <f t="shared" si="3"/>
        <v>6.2156601343157272</v>
      </c>
      <c r="Z54">
        <f t="shared" si="3"/>
        <v>5.1884366267600752</v>
      </c>
    </row>
    <row r="55" spans="1:26" x14ac:dyDescent="0.35">
      <c r="A55" t="s">
        <v>13</v>
      </c>
      <c r="B55">
        <f t="shared" ref="B55:Z55" si="4">B20</f>
        <v>-1.316800414474</v>
      </c>
      <c r="C55">
        <f t="shared" si="4"/>
        <v>-1.2957724377436111</v>
      </c>
      <c r="D55">
        <f t="shared" si="4"/>
        <v>-0.95222984507205277</v>
      </c>
      <c r="E55">
        <f t="shared" si="4"/>
        <v>-0.48391775487744471</v>
      </c>
      <c r="F55">
        <f t="shared" si="4"/>
        <v>-0.72616838526293526</v>
      </c>
      <c r="G55">
        <f t="shared" si="4"/>
        <v>-0.56890560604284923</v>
      </c>
      <c r="H55">
        <f t="shared" si="4"/>
        <v>-0.73834100119044344</v>
      </c>
      <c r="I55">
        <f t="shared" si="4"/>
        <v>-0.83821841089343219</v>
      </c>
      <c r="J55">
        <f t="shared" si="4"/>
        <v>-1.1828947744170251</v>
      </c>
      <c r="K55">
        <f t="shared" si="4"/>
        <v>-1.1773227075089041</v>
      </c>
      <c r="L55">
        <f t="shared" si="4"/>
        <v>-1.373579518042678</v>
      </c>
      <c r="M55">
        <f t="shared" si="4"/>
        <v>-1.134525019411476</v>
      </c>
      <c r="N55">
        <f t="shared" si="4"/>
        <v>-1.059867899375641</v>
      </c>
      <c r="O55">
        <f t="shared" si="4"/>
        <v>-1.1394506128990189</v>
      </c>
      <c r="P55">
        <f t="shared" si="4"/>
        <v>-1.123970594349738</v>
      </c>
      <c r="Q55">
        <f t="shared" si="4"/>
        <v>-0.60737432245737555</v>
      </c>
      <c r="R55">
        <f t="shared" si="4"/>
        <v>-0.96284546779990887</v>
      </c>
      <c r="S55">
        <f t="shared" si="4"/>
        <v>0.2134615993244523</v>
      </c>
      <c r="T55">
        <f t="shared" si="4"/>
        <v>1.170221395570584</v>
      </c>
      <c r="U55">
        <f t="shared" si="4"/>
        <v>2.2623707857809809</v>
      </c>
      <c r="V55">
        <f t="shared" si="4"/>
        <v>1.968545863987563</v>
      </c>
      <c r="W55">
        <f t="shared" si="4"/>
        <v>2.6665771033365662</v>
      </c>
      <c r="X55">
        <f t="shared" si="4"/>
        <v>2.6876562053644339</v>
      </c>
      <c r="Y55">
        <f t="shared" si="4"/>
        <v>3.8502087927848341</v>
      </c>
      <c r="Z55">
        <f t="shared" si="4"/>
        <v>3.0685260407563368</v>
      </c>
    </row>
    <row r="56" spans="1:26" x14ac:dyDescent="0.35">
      <c r="B56">
        <f t="shared" ref="B56:Z56" si="5">B21</f>
        <v>-1.3069432824041869</v>
      </c>
      <c r="C56">
        <f t="shared" si="5"/>
        <v>-1.3579553879237309</v>
      </c>
      <c r="D56">
        <f t="shared" si="5"/>
        <v>1.108272625673363</v>
      </c>
      <c r="E56">
        <f t="shared" si="5"/>
        <v>1.2777113786230601</v>
      </c>
      <c r="F56">
        <f t="shared" si="5"/>
        <v>2.400015841521479</v>
      </c>
      <c r="G56">
        <f t="shared" si="5"/>
        <v>3.9967841920438878</v>
      </c>
      <c r="H56">
        <f t="shared" si="5"/>
        <v>3.6919824179509182</v>
      </c>
      <c r="I56">
        <f t="shared" si="5"/>
        <v>3.4039244624081859</v>
      </c>
      <c r="J56">
        <f t="shared" si="5"/>
        <v>3.981843339306903</v>
      </c>
      <c r="K56">
        <f t="shared" si="5"/>
        <v>4.7025897295652879</v>
      </c>
      <c r="L56">
        <f t="shared" si="5"/>
        <v>4.4588752414614437</v>
      </c>
      <c r="M56">
        <f t="shared" si="5"/>
        <v>5.2540634299369753</v>
      </c>
      <c r="N56">
        <f t="shared" si="5"/>
        <v>5.2899300523753681</v>
      </c>
      <c r="O56">
        <f t="shared" si="5"/>
        <v>4.7024711295367574</v>
      </c>
      <c r="P56">
        <f t="shared" si="5"/>
        <v>6.083668385605784</v>
      </c>
      <c r="Q56">
        <f t="shared" si="5"/>
        <v>6.0297061058927657</v>
      </c>
      <c r="R56">
        <f t="shared" si="5"/>
        <v>4.5434634067266906</v>
      </c>
      <c r="S56">
        <f t="shared" si="5"/>
        <v>5.1010106634249013</v>
      </c>
      <c r="T56">
        <f t="shared" si="5"/>
        <v>5.6551283326322608</v>
      </c>
      <c r="U56">
        <f t="shared" si="5"/>
        <v>5.5283557744099694</v>
      </c>
      <c r="V56">
        <f t="shared" si="5"/>
        <v>5.1975168082451724</v>
      </c>
      <c r="W56">
        <f t="shared" si="5"/>
        <v>6.1198453650728446</v>
      </c>
      <c r="X56">
        <f t="shared" si="5"/>
        <v>6.0068421913942052</v>
      </c>
      <c r="Y56">
        <f t="shared" si="5"/>
        <v>6.2343713165554888</v>
      </c>
      <c r="Z56">
        <f t="shared" si="5"/>
        <v>5.283094545830906</v>
      </c>
    </row>
    <row r="57" spans="1:26" x14ac:dyDescent="0.35">
      <c r="A57" t="s">
        <v>14</v>
      </c>
      <c r="B57">
        <f t="shared" ref="B57:Z57" si="6">B28</f>
        <v>-0.80668522285964439</v>
      </c>
      <c r="C57">
        <f t="shared" si="6"/>
        <v>-0.93507212397332296</v>
      </c>
      <c r="D57">
        <f t="shared" si="6"/>
        <v>-0.3456729902473481</v>
      </c>
      <c r="E57">
        <f t="shared" si="6"/>
        <v>0.18585267399725591</v>
      </c>
      <c r="F57">
        <f t="shared" si="6"/>
        <v>0.50736115724610131</v>
      </c>
      <c r="G57">
        <f t="shared" si="6"/>
        <v>3.1012017508574279E-3</v>
      </c>
      <c r="H57">
        <f t="shared" si="6"/>
        <v>-0.16601729973525611</v>
      </c>
      <c r="I57">
        <f t="shared" si="6"/>
        <v>-0.2147015913501758</v>
      </c>
      <c r="J57">
        <f t="shared" si="6"/>
        <v>-0.67093555423624684</v>
      </c>
      <c r="K57">
        <f t="shared" si="6"/>
        <v>-1.7328993021204759</v>
      </c>
      <c r="L57">
        <f t="shared" si="6"/>
        <v>-1.2970777309101009</v>
      </c>
      <c r="M57">
        <f t="shared" si="6"/>
        <v>-1.1262864357836351</v>
      </c>
      <c r="N57">
        <f t="shared" si="6"/>
        <v>-0.35837746156388522</v>
      </c>
      <c r="O57">
        <f t="shared" si="6"/>
        <v>-0.8748957005007576</v>
      </c>
      <c r="P57">
        <f t="shared" si="6"/>
        <v>-0.55827843037034974</v>
      </c>
      <c r="Q57">
        <f t="shared" si="6"/>
        <v>0.49839904685286479</v>
      </c>
      <c r="R57">
        <f t="shared" si="6"/>
        <v>-0.38462213709576598</v>
      </c>
      <c r="S57">
        <f t="shared" si="6"/>
        <v>-0.37735754253214249</v>
      </c>
      <c r="T57">
        <f t="shared" si="6"/>
        <v>-0.16276269188548659</v>
      </c>
      <c r="U57">
        <f t="shared" si="6"/>
        <v>1.937170770602834</v>
      </c>
      <c r="V57">
        <f t="shared" si="6"/>
        <v>2.2344425658007729</v>
      </c>
      <c r="W57">
        <f t="shared" si="6"/>
        <v>1.5261134260071769</v>
      </c>
      <c r="X57">
        <f t="shared" si="6"/>
        <v>2.1923701715341921</v>
      </c>
      <c r="Y57">
        <f t="shared" si="6"/>
        <v>2.5979302089097338</v>
      </c>
      <c r="Z57">
        <f t="shared" si="6"/>
        <v>0.94734766324229369</v>
      </c>
    </row>
    <row r="58" spans="1:26" x14ac:dyDescent="0.35">
      <c r="B58">
        <f t="shared" ref="B58:Z58" si="7">B29</f>
        <v>6.3426570914819456</v>
      </c>
      <c r="C58">
        <f t="shared" si="7"/>
        <v>7.0333880851271058</v>
      </c>
      <c r="D58">
        <f t="shared" si="7"/>
        <v>9.9537765716153928</v>
      </c>
      <c r="E58">
        <f t="shared" si="7"/>
        <v>8.9849480344015067</v>
      </c>
      <c r="F58">
        <f t="shared" si="7"/>
        <v>7.7462434614231146</v>
      </c>
      <c r="G58">
        <f t="shared" si="7"/>
        <v>9.7432048331490044</v>
      </c>
      <c r="H58">
        <f t="shared" si="7"/>
        <v>8.8309165448175548</v>
      </c>
      <c r="I58">
        <f t="shared" si="7"/>
        <v>7.7046525899058018</v>
      </c>
      <c r="J58">
        <f t="shared" si="7"/>
        <v>7.5704854591293067</v>
      </c>
      <c r="K58">
        <f t="shared" si="7"/>
        <v>7.7050467100869868</v>
      </c>
      <c r="L58">
        <f t="shared" si="7"/>
        <v>7.9561856710891554</v>
      </c>
      <c r="M58">
        <f t="shared" si="7"/>
        <v>7.9120134266747906</v>
      </c>
      <c r="N58">
        <f t="shared" si="7"/>
        <v>8.8983727385145759</v>
      </c>
      <c r="O58">
        <f t="shared" si="7"/>
        <v>8.2305730397635379</v>
      </c>
      <c r="P58">
        <f t="shared" si="7"/>
        <v>9.0487813037711646</v>
      </c>
      <c r="Q58">
        <f t="shared" si="7"/>
        <v>8.6485665344135061</v>
      </c>
      <c r="R58">
        <f t="shared" si="7"/>
        <v>6.8367603559067636</v>
      </c>
      <c r="S58">
        <f t="shared" si="7"/>
        <v>7.1576069726865228</v>
      </c>
      <c r="T58">
        <f t="shared" si="7"/>
        <v>7.5045594240247366</v>
      </c>
      <c r="U58">
        <f t="shared" si="7"/>
        <v>7.6050231770427601</v>
      </c>
      <c r="V58">
        <f t="shared" si="7"/>
        <v>6.8894838548698747</v>
      </c>
      <c r="W58">
        <f t="shared" si="7"/>
        <v>6.3790932543306891</v>
      </c>
      <c r="X58">
        <f t="shared" si="7"/>
        <v>6.3491273489049087</v>
      </c>
      <c r="Y58">
        <f t="shared" si="7"/>
        <v>6.3831045499089116</v>
      </c>
      <c r="Z58">
        <f t="shared" si="7"/>
        <v>5.5145900700513391</v>
      </c>
    </row>
    <row r="59" spans="1:26" x14ac:dyDescent="0.35">
      <c r="A59" t="s">
        <v>15</v>
      </c>
      <c r="B59">
        <f t="shared" ref="B59:Z59" si="8">B36</f>
        <v>-1.2084230530138691</v>
      </c>
      <c r="C59">
        <f t="shared" si="8"/>
        <v>-0.88622384139504284</v>
      </c>
      <c r="D59">
        <f t="shared" si="8"/>
        <v>-0.51821331508603508</v>
      </c>
      <c r="E59">
        <f t="shared" si="8"/>
        <v>-0.68656412979768433</v>
      </c>
      <c r="F59">
        <f t="shared" si="8"/>
        <v>-0.63044309894958361</v>
      </c>
      <c r="G59">
        <f t="shared" si="8"/>
        <v>-0.15045226992745681</v>
      </c>
      <c r="H59">
        <f t="shared" si="8"/>
        <v>-0.74379700886390154</v>
      </c>
      <c r="I59">
        <f t="shared" si="8"/>
        <v>-0.7399240474233455</v>
      </c>
      <c r="J59">
        <f t="shared" si="8"/>
        <v>-1.6194893523540239</v>
      </c>
      <c r="K59">
        <f t="shared" si="8"/>
        <v>-1.90072709692672</v>
      </c>
      <c r="L59">
        <f t="shared" si="8"/>
        <v>-2.619585983285496</v>
      </c>
      <c r="M59">
        <f t="shared" si="8"/>
        <v>-2.78556127172555</v>
      </c>
      <c r="N59">
        <f t="shared" si="8"/>
        <v>-2.5379249890632671</v>
      </c>
      <c r="O59">
        <f t="shared" si="8"/>
        <v>-2.056753306211383</v>
      </c>
      <c r="P59">
        <f t="shared" si="8"/>
        <v>-1.8814632224964241</v>
      </c>
      <c r="Q59">
        <f t="shared" si="8"/>
        <v>-1.219247900789572</v>
      </c>
      <c r="R59">
        <f t="shared" si="8"/>
        <v>-1.8182027576408679</v>
      </c>
      <c r="S59">
        <f t="shared" si="8"/>
        <v>-1.34646024099739</v>
      </c>
      <c r="T59">
        <f t="shared" si="8"/>
        <v>-0.38120993110638551</v>
      </c>
      <c r="U59">
        <f t="shared" si="8"/>
        <v>2.4129424376819029</v>
      </c>
      <c r="V59">
        <f t="shared" si="8"/>
        <v>3.9541767305471871</v>
      </c>
      <c r="W59">
        <f t="shared" si="8"/>
        <v>2.9054987418774081</v>
      </c>
      <c r="X59">
        <f t="shared" si="8"/>
        <v>2.9625130484290749</v>
      </c>
      <c r="Y59">
        <f t="shared" si="8"/>
        <v>3.8789981871489991</v>
      </c>
      <c r="Z59">
        <f t="shared" si="8"/>
        <v>2.939509952149709</v>
      </c>
    </row>
    <row r="60" spans="1:26" x14ac:dyDescent="0.35">
      <c r="B60">
        <f t="shared" ref="B60:Z60" si="9">B37</f>
        <v>-0.13322006933246949</v>
      </c>
      <c r="C60">
        <f t="shared" si="9"/>
        <v>2.2739712643691231E-2</v>
      </c>
      <c r="D60">
        <f t="shared" si="9"/>
        <v>2.4235000105167441</v>
      </c>
      <c r="E60">
        <f t="shared" si="9"/>
        <v>0.99755289967728</v>
      </c>
      <c r="F60">
        <f t="shared" si="9"/>
        <v>1.1370353945400939</v>
      </c>
      <c r="G60">
        <f t="shared" si="9"/>
        <v>2.537237232881064</v>
      </c>
      <c r="H60">
        <f t="shared" si="9"/>
        <v>1.3834919559757659</v>
      </c>
      <c r="I60">
        <f t="shared" si="9"/>
        <v>0.93204516977582275</v>
      </c>
      <c r="J60">
        <f t="shared" si="9"/>
        <v>0.67656734074078617</v>
      </c>
      <c r="K60">
        <f t="shared" si="9"/>
        <v>1.3204474194771429</v>
      </c>
      <c r="L60">
        <f t="shared" si="9"/>
        <v>2.0682453530808531</v>
      </c>
      <c r="M60">
        <f t="shared" si="9"/>
        <v>1.292601212550635</v>
      </c>
      <c r="N60">
        <f t="shared" si="9"/>
        <v>0.83227949280315028</v>
      </c>
      <c r="O60">
        <f t="shared" si="9"/>
        <v>1.506183872508597</v>
      </c>
      <c r="P60">
        <f t="shared" si="9"/>
        <v>2.6040978578958311</v>
      </c>
      <c r="Q60">
        <f t="shared" si="9"/>
        <v>1.8467104813411941</v>
      </c>
      <c r="R60">
        <f t="shared" si="9"/>
        <v>1.7185195498860411</v>
      </c>
      <c r="S60">
        <f t="shared" si="9"/>
        <v>1.9603957376782599</v>
      </c>
      <c r="T60">
        <f t="shared" si="9"/>
        <v>1.7480707649946601</v>
      </c>
      <c r="U60">
        <f t="shared" si="9"/>
        <v>1.3236842535445581</v>
      </c>
      <c r="V60">
        <f t="shared" si="9"/>
        <v>1.5179816932472769</v>
      </c>
      <c r="W60">
        <f t="shared" si="9"/>
        <v>1.9254512574853271</v>
      </c>
      <c r="X60">
        <f t="shared" si="9"/>
        <v>1.84749611180465</v>
      </c>
      <c r="Y60">
        <f t="shared" si="9"/>
        <v>1.6998582374033711</v>
      </c>
      <c r="Z60">
        <f t="shared" si="9"/>
        <v>1.493844292120428</v>
      </c>
    </row>
    <row r="61" spans="1:26" x14ac:dyDescent="0.35">
      <c r="A61" t="s">
        <v>16</v>
      </c>
      <c r="B61">
        <f t="shared" ref="B61:Z61" si="10">B44</f>
        <v>5.4258197052347149E-2</v>
      </c>
      <c r="C61">
        <f t="shared" si="10"/>
        <v>0.43110716236044611</v>
      </c>
      <c r="D61">
        <f t="shared" si="10"/>
        <v>2.452648298079833E-2</v>
      </c>
      <c r="E61">
        <f t="shared" si="10"/>
        <v>0.40477748094964999</v>
      </c>
      <c r="F61">
        <f t="shared" si="10"/>
        <v>0.49499963135422348</v>
      </c>
      <c r="G61">
        <f t="shared" si="10"/>
        <v>0.93081355548104694</v>
      </c>
      <c r="H61">
        <f t="shared" si="10"/>
        <v>1.7071870021484039</v>
      </c>
      <c r="I61">
        <f t="shared" si="10"/>
        <v>0.80482787756820351</v>
      </c>
      <c r="J61">
        <f t="shared" si="10"/>
        <v>0.66107033623268197</v>
      </c>
      <c r="K61">
        <f t="shared" si="10"/>
        <v>-2.0183634801491299E-2</v>
      </c>
      <c r="L61">
        <f t="shared" si="10"/>
        <v>-0.44628346717111977</v>
      </c>
      <c r="M61">
        <f t="shared" si="10"/>
        <v>-0.57549411857196553</v>
      </c>
      <c r="N61">
        <f t="shared" si="10"/>
        <v>-0.9781821605213411</v>
      </c>
      <c r="O61">
        <f t="shared" si="10"/>
        <v>-0.34839807795046301</v>
      </c>
      <c r="P61">
        <f t="shared" si="10"/>
        <v>-0.38931540741708109</v>
      </c>
      <c r="Q61">
        <f t="shared" si="10"/>
        <v>0.2122453843758168</v>
      </c>
      <c r="R61">
        <f t="shared" si="10"/>
        <v>-0.23559879028366379</v>
      </c>
      <c r="S61">
        <f t="shared" si="10"/>
        <v>9.0456386109090653E-2</v>
      </c>
      <c r="T61">
        <f t="shared" si="10"/>
        <v>-0.54232293136719834</v>
      </c>
      <c r="U61">
        <f t="shared" si="10"/>
        <v>-0.68396124727796337</v>
      </c>
      <c r="V61">
        <f t="shared" si="10"/>
        <v>-0.69812196046537944</v>
      </c>
      <c r="W61">
        <f t="shared" si="10"/>
        <v>-3.9833427111439362E-2</v>
      </c>
      <c r="X61">
        <f t="shared" si="10"/>
        <v>0.39669237239811889</v>
      </c>
      <c r="Y61">
        <f t="shared" si="10"/>
        <v>0.69863396050410365</v>
      </c>
      <c r="Z61">
        <f t="shared" si="10"/>
        <v>0.49570846122702822</v>
      </c>
    </row>
    <row r="62" spans="1:26" x14ac:dyDescent="0.35">
      <c r="B62">
        <f t="shared" ref="B62:Z62" si="11">B45</f>
        <v>-1.8679577337729509</v>
      </c>
      <c r="C62">
        <f t="shared" si="11"/>
        <v>-2.2934700304173141</v>
      </c>
      <c r="D62">
        <f t="shared" si="11"/>
        <v>-1.90599548482373E-2</v>
      </c>
      <c r="E62">
        <f t="shared" si="11"/>
        <v>-2.102065688983779</v>
      </c>
      <c r="F62">
        <f t="shared" si="11"/>
        <v>0.12072478597422311</v>
      </c>
      <c r="G62">
        <f t="shared" si="11"/>
        <v>2.7880241469830191</v>
      </c>
      <c r="H62">
        <f t="shared" si="11"/>
        <v>1.806428919350769</v>
      </c>
      <c r="I62">
        <f t="shared" si="11"/>
        <v>1.6186275026710031</v>
      </c>
      <c r="J62">
        <f t="shared" si="11"/>
        <v>-0.68305506480578748</v>
      </c>
      <c r="K62">
        <f t="shared" si="11"/>
        <v>0.54282025768139242</v>
      </c>
      <c r="L62">
        <f t="shared" si="11"/>
        <v>-0.67404899043559141</v>
      </c>
      <c r="M62">
        <f t="shared" si="11"/>
        <v>-2.4034512234684819</v>
      </c>
      <c r="N62">
        <f t="shared" si="11"/>
        <v>-2.738318159686385</v>
      </c>
      <c r="O62">
        <f t="shared" si="11"/>
        <v>-1.43429580022272</v>
      </c>
      <c r="P62">
        <f t="shared" si="11"/>
        <v>-3.8284856000617902</v>
      </c>
      <c r="Q62">
        <f t="shared" si="11"/>
        <v>-4.9859273123596699</v>
      </c>
      <c r="R62">
        <f t="shared" si="11"/>
        <v>-4.1535780349148572</v>
      </c>
      <c r="S62">
        <f t="shared" si="11"/>
        <v>-1.014621285372507</v>
      </c>
      <c r="T62">
        <f t="shared" si="11"/>
        <v>-1.6180761042652789</v>
      </c>
      <c r="U62">
        <f t="shared" si="11"/>
        <v>-1.560276997846936</v>
      </c>
      <c r="V62">
        <f t="shared" si="11"/>
        <v>-0.78475247095689693</v>
      </c>
      <c r="W62">
        <f t="shared" si="11"/>
        <v>-0.38922450159549088</v>
      </c>
      <c r="X62">
        <f t="shared" si="11"/>
        <v>-0.57494631824503539</v>
      </c>
      <c r="Y62">
        <f t="shared" si="11"/>
        <v>-0.30343741260103579</v>
      </c>
      <c r="Z62">
        <f t="shared" si="11"/>
        <v>0.36619045969935132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topLeftCell="G9" zoomScale="91" workbookViewId="0">
      <selection activeCell="Z15" sqref="Z15"/>
    </sheetView>
  </sheetViews>
  <sheetFormatPr defaultRowHeight="14.5" x14ac:dyDescent="0.35"/>
  <sheetData>
    <row r="1" spans="1:28" x14ac:dyDescent="0.35"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1</v>
      </c>
      <c r="W1" t="s">
        <v>2</v>
      </c>
      <c r="X1" t="s">
        <v>3</v>
      </c>
      <c r="Y1" t="s">
        <v>4</v>
      </c>
      <c r="Z1" t="s">
        <v>5</v>
      </c>
    </row>
    <row r="2" spans="1:28" x14ac:dyDescent="0.35">
      <c r="A2" t="s">
        <v>0</v>
      </c>
      <c r="B2">
        <v>0.31699383207393272</v>
      </c>
      <c r="C2">
        <v>-7.4520435280669983E-2</v>
      </c>
      <c r="D2">
        <v>2.6730438931927849</v>
      </c>
      <c r="E2">
        <v>2.8146745143584848</v>
      </c>
      <c r="F2">
        <v>2.4860691974896092</v>
      </c>
      <c r="G2">
        <v>4.7442205538929709</v>
      </c>
      <c r="H2">
        <v>3.767862259420677</v>
      </c>
      <c r="I2">
        <v>3.8101148848800568</v>
      </c>
      <c r="J2">
        <v>3.3632739395382241</v>
      </c>
      <c r="K2">
        <v>2.1960055910404259</v>
      </c>
      <c r="L2">
        <v>1.813766331452717</v>
      </c>
      <c r="M2">
        <v>1.171882167126244</v>
      </c>
      <c r="N2">
        <v>1.0276651406364501</v>
      </c>
      <c r="O2">
        <v>2.1915036915182018</v>
      </c>
      <c r="P2">
        <v>2.6725161856971229</v>
      </c>
      <c r="Q2">
        <v>2.2645484197272538</v>
      </c>
      <c r="R2">
        <v>1.982051927501814</v>
      </c>
      <c r="S2">
        <v>2.59136769572113</v>
      </c>
      <c r="T2">
        <v>3.6900856036747798</v>
      </c>
      <c r="U2">
        <v>3.3601489070453039</v>
      </c>
      <c r="V2">
        <v>3.5152575010923348</v>
      </c>
      <c r="W2">
        <v>4.0364834910412739</v>
      </c>
      <c r="X2">
        <v>3.9658857175716609</v>
      </c>
      <c r="Y2">
        <v>4.2472755924749057</v>
      </c>
      <c r="Z2">
        <v>4.2417601228001001</v>
      </c>
      <c r="AB2">
        <f t="shared" ref="AB2:AB7" si="0">SUM(B2:Z2)</f>
        <v>68.869936725687793</v>
      </c>
    </row>
    <row r="3" spans="1:28" x14ac:dyDescent="0.35">
      <c r="A3" t="s">
        <v>12</v>
      </c>
      <c r="B3">
        <v>-1.228160784054644E-2</v>
      </c>
      <c r="C3">
        <v>-2.8597338441211151E-2</v>
      </c>
      <c r="D3">
        <v>0.35362420328638883</v>
      </c>
      <c r="E3">
        <v>-0.77522591979143807</v>
      </c>
      <c r="F3">
        <v>2.0088205384702031</v>
      </c>
      <c r="G3">
        <v>4.8028389298719958</v>
      </c>
      <c r="H3">
        <v>3.3953505552110168</v>
      </c>
      <c r="I3">
        <v>2.567761705391753</v>
      </c>
      <c r="J3">
        <v>2.8649826435503272</v>
      </c>
      <c r="K3">
        <v>2.7921408431181698</v>
      </c>
      <c r="L3">
        <v>2.5924089223275728</v>
      </c>
      <c r="M3">
        <v>2.5719861764621919</v>
      </c>
      <c r="N3">
        <v>2.0132311198160342</v>
      </c>
      <c r="O3">
        <v>4.3751394957598402</v>
      </c>
      <c r="P3">
        <v>4.9401089237040479</v>
      </c>
      <c r="Q3">
        <v>5.5575777140865847</v>
      </c>
      <c r="R3">
        <v>5.2441452141879363</v>
      </c>
      <c r="S3">
        <v>5.3075909101234569</v>
      </c>
      <c r="T3">
        <v>5.1119080696318822</v>
      </c>
      <c r="U3">
        <v>5.193016913279541</v>
      </c>
      <c r="V3">
        <v>5.1668346473815312</v>
      </c>
      <c r="W3">
        <v>6.0899588121677688</v>
      </c>
      <c r="X3">
        <v>6.1408423731614006</v>
      </c>
      <c r="Y3">
        <v>6.2156601343157272</v>
      </c>
      <c r="Z3">
        <v>5.1884366267600752</v>
      </c>
      <c r="AB3">
        <f t="shared" si="0"/>
        <v>89.67826060599225</v>
      </c>
    </row>
    <row r="4" spans="1:28" x14ac:dyDescent="0.35">
      <c r="A4" t="s">
        <v>13</v>
      </c>
      <c r="B4">
        <v>-1.3069432824041869</v>
      </c>
      <c r="C4">
        <v>-1.3579553879237309</v>
      </c>
      <c r="D4">
        <v>1.108272625673363</v>
      </c>
      <c r="E4">
        <v>1.2777113786230601</v>
      </c>
      <c r="F4">
        <v>2.400015841521479</v>
      </c>
      <c r="G4">
        <v>3.9967841920438878</v>
      </c>
      <c r="H4">
        <v>3.6919824179509182</v>
      </c>
      <c r="I4">
        <v>3.4039244624081859</v>
      </c>
      <c r="J4">
        <v>3.981843339306903</v>
      </c>
      <c r="K4">
        <v>4.7025897295652879</v>
      </c>
      <c r="L4">
        <v>4.4588752414614437</v>
      </c>
      <c r="M4">
        <v>5.2540634299369753</v>
      </c>
      <c r="N4">
        <v>5.2899300523753681</v>
      </c>
      <c r="O4">
        <v>4.7024711295367574</v>
      </c>
      <c r="P4">
        <v>6.083668385605784</v>
      </c>
      <c r="Q4">
        <v>6.0297061058927657</v>
      </c>
      <c r="R4">
        <v>4.5434634067266906</v>
      </c>
      <c r="S4">
        <v>5.1010106634249013</v>
      </c>
      <c r="T4">
        <v>5.6551283326322608</v>
      </c>
      <c r="U4">
        <v>5.5283557744099694</v>
      </c>
      <c r="V4">
        <v>5.1975168082451724</v>
      </c>
      <c r="W4">
        <v>6.1198453650728446</v>
      </c>
      <c r="X4">
        <v>6.0068421913942052</v>
      </c>
      <c r="Y4">
        <v>6.2343713165554888</v>
      </c>
      <c r="Z4">
        <v>5.283094545830906</v>
      </c>
      <c r="AB4">
        <f t="shared" si="0"/>
        <v>103.38656806586668</v>
      </c>
    </row>
    <row r="5" spans="1:28" x14ac:dyDescent="0.35">
      <c r="A5" t="s">
        <v>14</v>
      </c>
      <c r="B5">
        <v>6.3426570914819456</v>
      </c>
      <c r="C5">
        <v>7.0333880851271058</v>
      </c>
      <c r="D5">
        <v>9.9537765716153928</v>
      </c>
      <c r="E5">
        <v>8.9849480344015067</v>
      </c>
      <c r="F5">
        <v>7.7462434614231146</v>
      </c>
      <c r="G5">
        <v>9.7432048331490044</v>
      </c>
      <c r="H5">
        <v>8.8309165448175548</v>
      </c>
      <c r="I5">
        <v>7.7046525899058018</v>
      </c>
      <c r="J5">
        <v>7.5704854591293067</v>
      </c>
      <c r="K5">
        <v>7.7050467100869868</v>
      </c>
      <c r="L5">
        <v>7.9561856710891554</v>
      </c>
      <c r="M5">
        <v>7.9120134266747906</v>
      </c>
      <c r="N5">
        <v>8.8983727385145759</v>
      </c>
      <c r="O5">
        <v>8.2305730397635379</v>
      </c>
      <c r="P5">
        <v>9.0487813037711646</v>
      </c>
      <c r="Q5">
        <v>8.6485665344135061</v>
      </c>
      <c r="R5">
        <v>6.8367603559067636</v>
      </c>
      <c r="S5">
        <v>7.1576069726865228</v>
      </c>
      <c r="T5">
        <v>7.5045594240247366</v>
      </c>
      <c r="U5">
        <v>7.6050231770427601</v>
      </c>
      <c r="V5">
        <v>6.8894838548698747</v>
      </c>
      <c r="W5">
        <v>6.3790932543306891</v>
      </c>
      <c r="X5">
        <v>6.3491273489049087</v>
      </c>
      <c r="Y5">
        <v>6.3831045499089116</v>
      </c>
      <c r="Z5">
        <v>5.5145900700513391</v>
      </c>
      <c r="AB5">
        <f t="shared" si="0"/>
        <v>192.92916110309096</v>
      </c>
    </row>
    <row r="6" spans="1:28" x14ac:dyDescent="0.35">
      <c r="A6" t="s">
        <v>15</v>
      </c>
      <c r="B6">
        <v>-0.13322006933246949</v>
      </c>
      <c r="C6">
        <v>2.2739712643691231E-2</v>
      </c>
      <c r="D6">
        <v>2.4235000105167441</v>
      </c>
      <c r="E6">
        <v>0.99755289967728</v>
      </c>
      <c r="F6">
        <v>1.1370353945400939</v>
      </c>
      <c r="G6">
        <v>2.537237232881064</v>
      </c>
      <c r="H6">
        <v>1.3834919559757659</v>
      </c>
      <c r="I6">
        <v>0.93204516977582275</v>
      </c>
      <c r="J6">
        <v>0.67656734074078617</v>
      </c>
      <c r="K6">
        <v>1.3204474194771429</v>
      </c>
      <c r="L6">
        <v>2.0682453530808531</v>
      </c>
      <c r="M6">
        <v>1.292601212550635</v>
      </c>
      <c r="N6">
        <v>0.83227949280315028</v>
      </c>
      <c r="O6">
        <v>1.506183872508597</v>
      </c>
      <c r="P6">
        <v>2.6040978578958311</v>
      </c>
      <c r="Q6">
        <v>1.8467104813411941</v>
      </c>
      <c r="R6">
        <v>1.7185195498860411</v>
      </c>
      <c r="S6">
        <v>1.9603957376782599</v>
      </c>
      <c r="T6">
        <v>1.7480707649946601</v>
      </c>
      <c r="U6">
        <v>1.3236842535445581</v>
      </c>
      <c r="V6">
        <v>1.5179816932472769</v>
      </c>
      <c r="W6">
        <v>1.9254512574853271</v>
      </c>
      <c r="X6">
        <v>1.84749611180465</v>
      </c>
      <c r="Y6">
        <v>1.6998582374033711</v>
      </c>
      <c r="Z6">
        <v>1.493844292120428</v>
      </c>
      <c r="AB6">
        <f t="shared" si="0"/>
        <v>36.682817235240748</v>
      </c>
    </row>
    <row r="7" spans="1:28" x14ac:dyDescent="0.35">
      <c r="A7" t="s">
        <v>16</v>
      </c>
      <c r="B7">
        <v>-1.8679577337729509</v>
      </c>
      <c r="C7">
        <v>-2.2934700304173141</v>
      </c>
      <c r="D7">
        <v>-1.90599548482373E-2</v>
      </c>
      <c r="E7">
        <v>-2.102065688983779</v>
      </c>
      <c r="F7">
        <v>0.12072478597422311</v>
      </c>
      <c r="G7">
        <v>2.7880241469830191</v>
      </c>
      <c r="H7">
        <v>1.806428919350769</v>
      </c>
      <c r="I7">
        <v>1.6186275026710031</v>
      </c>
      <c r="J7">
        <v>-0.68305506480578748</v>
      </c>
      <c r="K7">
        <v>0.54282025768139242</v>
      </c>
      <c r="L7">
        <v>-0.67404899043559141</v>
      </c>
      <c r="M7">
        <v>-2.4034512234684819</v>
      </c>
      <c r="N7">
        <v>-2.738318159686385</v>
      </c>
      <c r="O7">
        <v>-1.43429580022272</v>
      </c>
      <c r="P7">
        <v>-3.8284856000617902</v>
      </c>
      <c r="Q7">
        <v>-4.9859273123596699</v>
      </c>
      <c r="R7">
        <v>-4.1535780349148572</v>
      </c>
      <c r="S7">
        <v>-1.014621285372507</v>
      </c>
      <c r="T7">
        <v>-1.6180761042652789</v>
      </c>
      <c r="U7">
        <v>-1.560276997846936</v>
      </c>
      <c r="V7">
        <v>-0.78475247095689693</v>
      </c>
      <c r="W7">
        <v>-0.38922450159549088</v>
      </c>
      <c r="X7">
        <v>-0.57494631824503539</v>
      </c>
      <c r="Y7">
        <v>-0.30343741260103579</v>
      </c>
      <c r="Z7">
        <v>0.36619045969935132</v>
      </c>
      <c r="AB7">
        <f t="shared" si="0"/>
        <v>-26.186232612500984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7"/>
  <sheetViews>
    <sheetView topLeftCell="A12" zoomScale="115" zoomScaleNormal="115" workbookViewId="0">
      <selection activeCell="G57" sqref="G57:L57"/>
    </sheetView>
  </sheetViews>
  <sheetFormatPr defaultRowHeight="14.5" x14ac:dyDescent="0.35"/>
  <cols>
    <col min="2" max="11" width="11.453125" bestFit="1" customWidth="1"/>
    <col min="12" max="12" width="22.26953125" customWidth="1"/>
    <col min="13" max="13" width="10.453125" bestFit="1" customWidth="1"/>
    <col min="14" max="14" width="20.54296875" bestFit="1" customWidth="1"/>
  </cols>
  <sheetData>
    <row r="1" spans="1:14" x14ac:dyDescent="0.35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</row>
    <row r="2" spans="1:14" x14ac:dyDescent="0.35">
      <c r="A2" t="s">
        <v>6</v>
      </c>
      <c r="B2" s="15">
        <v>140.4895772042951</v>
      </c>
      <c r="C2" s="15">
        <v>140.53183755730009</v>
      </c>
      <c r="D2" s="15">
        <v>140.45556204847861</v>
      </c>
      <c r="E2" s="15">
        <v>140.25472009798139</v>
      </c>
      <c r="F2" s="15">
        <v>140.42300565729701</v>
      </c>
      <c r="G2" s="15">
        <v>139.65779540597211</v>
      </c>
      <c r="H2" s="15">
        <v>140.74018601162339</v>
      </c>
      <c r="I2" s="15">
        <v>140.26613030966891</v>
      </c>
      <c r="J2" s="15">
        <v>139.49406863132569</v>
      </c>
      <c r="K2" s="15">
        <v>141.30780545335719</v>
      </c>
      <c r="L2" s="15">
        <v>140.35129766076139</v>
      </c>
      <c r="M2" s="15"/>
      <c r="N2" s="15"/>
    </row>
    <row r="3" spans="1:14" x14ac:dyDescent="0.35">
      <c r="A3" t="s">
        <v>7</v>
      </c>
      <c r="B3" s="15">
        <v>3.4604889582620051</v>
      </c>
      <c r="C3" s="15">
        <v>3.573756682350762</v>
      </c>
      <c r="D3" s="15">
        <v>2.9815652358621212</v>
      </c>
      <c r="E3" s="15">
        <v>3.646757381786955</v>
      </c>
      <c r="F3" s="15">
        <v>2.841823453900957</v>
      </c>
      <c r="G3" s="15">
        <v>2.9582310563100691</v>
      </c>
      <c r="H3" s="15">
        <v>2.9907676440974171</v>
      </c>
      <c r="I3" s="15">
        <v>3.108768644799881</v>
      </c>
      <c r="J3" s="15">
        <v>2.3191035374213409</v>
      </c>
      <c r="K3" s="15">
        <v>2.7989495166267488</v>
      </c>
      <c r="L3" s="15">
        <v>2.5014823385088221</v>
      </c>
      <c r="M3" s="15"/>
      <c r="N3" s="15"/>
    </row>
    <row r="4" spans="1:14" x14ac:dyDescent="0.35">
      <c r="A4" t="s">
        <v>8</v>
      </c>
      <c r="B4" s="15">
        <v>4.3531245403038836</v>
      </c>
      <c r="C4" s="15">
        <v>3.8291432364706059</v>
      </c>
      <c r="D4" s="15">
        <v>3.0750682809749921</v>
      </c>
      <c r="E4" s="15">
        <v>2.2218295849588738</v>
      </c>
      <c r="F4" s="15">
        <v>2.259398127775571</v>
      </c>
      <c r="G4" s="15">
        <v>1.7707716174918331</v>
      </c>
      <c r="H4" s="15">
        <v>1.4159958611199051</v>
      </c>
      <c r="I4" s="15">
        <v>0.95703904628439485</v>
      </c>
      <c r="J4" s="15">
        <v>1.0520652444665779</v>
      </c>
      <c r="K4" s="15">
        <v>2.1720798831031591</v>
      </c>
      <c r="L4" s="15">
        <v>2.1357019873249401</v>
      </c>
      <c r="M4" s="15"/>
      <c r="N4" s="15"/>
    </row>
    <row r="5" spans="1:14" x14ac:dyDescent="0.35">
      <c r="A5" t="s">
        <v>9</v>
      </c>
      <c r="B5" s="15">
        <v>3.7011608191565082</v>
      </c>
      <c r="C5" s="15">
        <v>3.5347550014093532</v>
      </c>
      <c r="D5" s="15">
        <v>4.4498221929825572</v>
      </c>
      <c r="E5" s="15">
        <v>3.7054928235607001</v>
      </c>
      <c r="F5" s="15">
        <v>4.9895812212798001</v>
      </c>
      <c r="G5" s="15">
        <v>4.096402106517627</v>
      </c>
      <c r="H5" s="15">
        <v>4.1627237917991176</v>
      </c>
      <c r="I5" s="15">
        <v>4.7877275034058684</v>
      </c>
      <c r="J5" s="15">
        <v>5.1878411057741571</v>
      </c>
      <c r="K5" s="15">
        <v>4.1381247882754266</v>
      </c>
      <c r="L5" s="15">
        <v>3.2034845154212639</v>
      </c>
      <c r="M5" s="15"/>
      <c r="N5" s="15"/>
    </row>
    <row r="6" spans="1:14" x14ac:dyDescent="0.35">
      <c r="A6" t="s">
        <v>10</v>
      </c>
      <c r="B6" s="15">
        <v>152.00435152201749</v>
      </c>
      <c r="C6" s="15">
        <v>151.46949247753079</v>
      </c>
      <c r="D6" s="15">
        <v>150.9620177582982</v>
      </c>
      <c r="E6" s="15">
        <v>149.82879988828799</v>
      </c>
      <c r="F6" s="15">
        <v>150.5138084602533</v>
      </c>
      <c r="G6" s="15">
        <v>148.48320018629161</v>
      </c>
      <c r="H6" s="15">
        <v>149.30967330863979</v>
      </c>
      <c r="I6" s="15">
        <v>149.119665504159</v>
      </c>
      <c r="J6" s="15">
        <v>148.0530785189878</v>
      </c>
      <c r="K6" s="15">
        <v>150.4169596413625</v>
      </c>
      <c r="L6" s="15">
        <v>148.19196650201641</v>
      </c>
      <c r="M6" s="15"/>
      <c r="N6" s="15"/>
    </row>
    <row r="7" spans="1:14" x14ac:dyDescent="0.35">
      <c r="A7" t="s">
        <v>11</v>
      </c>
      <c r="B7" s="15">
        <v>3136288.37</v>
      </c>
      <c r="C7" s="15">
        <v>2865512.31</v>
      </c>
      <c r="D7" s="15">
        <v>2787608.89</v>
      </c>
      <c r="E7" s="15">
        <v>2478908.5099999988</v>
      </c>
      <c r="F7" s="15">
        <v>3139821.65</v>
      </c>
      <c r="G7" s="15">
        <v>3475913.5299999989</v>
      </c>
      <c r="H7" s="15">
        <v>3939777.66</v>
      </c>
      <c r="I7" s="15">
        <v>5463152.8500000006</v>
      </c>
      <c r="J7" s="15">
        <v>7494021.0799999991</v>
      </c>
      <c r="K7" s="15">
        <v>5715933.3300000001</v>
      </c>
      <c r="L7" s="15">
        <v>3063771.17</v>
      </c>
      <c r="M7" s="15"/>
      <c r="N7" s="15"/>
    </row>
    <row r="9" spans="1:14" x14ac:dyDescent="0.35">
      <c r="A9" t="s">
        <v>12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</row>
    <row r="10" spans="1:14" x14ac:dyDescent="0.35">
      <c r="A10" t="s">
        <v>6</v>
      </c>
      <c r="B10" s="15">
        <v>142.89039108407101</v>
      </c>
      <c r="C10" s="15">
        <v>142.83108672947421</v>
      </c>
      <c r="D10" s="15">
        <v>142.9114903152086</v>
      </c>
      <c r="E10" s="15">
        <v>143.4468579985647</v>
      </c>
      <c r="F10" s="15">
        <v>142.43600871420131</v>
      </c>
      <c r="G10" s="15">
        <v>142.62922558548399</v>
      </c>
      <c r="H10" s="15">
        <v>143.2910148805388</v>
      </c>
      <c r="I10" s="15">
        <v>142.6369762191629</v>
      </c>
      <c r="J10" s="15">
        <v>142.75089416808581</v>
      </c>
      <c r="K10" s="15">
        <v>142.4979051496403</v>
      </c>
      <c r="L10" s="15">
        <v>142.76678838414</v>
      </c>
      <c r="M10" s="15"/>
      <c r="N10" s="15"/>
    </row>
    <row r="11" spans="1:14" x14ac:dyDescent="0.35">
      <c r="A11" t="s">
        <v>7</v>
      </c>
      <c r="B11" s="15">
        <v>2.7997646846958162</v>
      </c>
      <c r="C11" s="15">
        <v>2.7848767015785261</v>
      </c>
      <c r="D11" s="15">
        <v>2.7228091928509461</v>
      </c>
      <c r="E11" s="15">
        <v>2.9552515459683382</v>
      </c>
      <c r="F11" s="15">
        <v>2.5992730516493912</v>
      </c>
      <c r="G11" s="15">
        <v>2.55159773680947</v>
      </c>
      <c r="H11" s="15">
        <v>2.7152386966463098</v>
      </c>
      <c r="I11" s="15">
        <v>2.6775453122604631</v>
      </c>
      <c r="J11" s="15">
        <v>2.5897255827823642</v>
      </c>
      <c r="K11" s="15">
        <v>2.7087157663020212</v>
      </c>
      <c r="L11" s="15">
        <v>2.194502265820375</v>
      </c>
      <c r="M11" s="15"/>
      <c r="N11" s="15"/>
    </row>
    <row r="12" spans="1:14" x14ac:dyDescent="0.35">
      <c r="A12" t="s">
        <v>8</v>
      </c>
      <c r="B12" s="15">
        <v>3.661042435922639</v>
      </c>
      <c r="C12" s="15">
        <v>4.3967299912881721</v>
      </c>
      <c r="D12" s="15">
        <v>2.3151206911713018</v>
      </c>
      <c r="E12" s="15">
        <v>2.705161179266053</v>
      </c>
      <c r="F12" s="15">
        <v>2.802953197850329</v>
      </c>
      <c r="G12" s="15">
        <v>2.55763522666662</v>
      </c>
      <c r="H12" s="15">
        <v>2.167513629176911</v>
      </c>
      <c r="I12" s="15">
        <v>3.0543293847232151</v>
      </c>
      <c r="J12" s="15">
        <v>2.1472257278342002</v>
      </c>
      <c r="K12" s="15">
        <v>1.6263494621212511</v>
      </c>
      <c r="L12" s="15">
        <v>1.9483338090311619</v>
      </c>
      <c r="M12" s="15"/>
      <c r="N12" s="15"/>
    </row>
    <row r="13" spans="1:14" x14ac:dyDescent="0.35">
      <c r="A13" t="s">
        <v>9</v>
      </c>
      <c r="B13" s="15">
        <v>6.0489397546402399</v>
      </c>
      <c r="C13" s="15">
        <v>6.3502302483006474</v>
      </c>
      <c r="D13" s="15">
        <v>5.4223915376829854</v>
      </c>
      <c r="E13" s="15">
        <v>5.0606068674694829</v>
      </c>
      <c r="F13" s="15">
        <v>4.7322607127474514</v>
      </c>
      <c r="G13" s="15">
        <v>5.1479153691609412</v>
      </c>
      <c r="H13" s="15">
        <v>4.8525627171145489</v>
      </c>
      <c r="I13" s="15">
        <v>4.9247110477404767</v>
      </c>
      <c r="J13" s="15">
        <v>5.1170472223245929</v>
      </c>
      <c r="K13" s="15">
        <v>5.1692503657576383</v>
      </c>
      <c r="L13" s="15">
        <v>5.1740914428312532</v>
      </c>
      <c r="M13" s="15"/>
      <c r="N13" s="15"/>
    </row>
    <row r="14" spans="1:14" x14ac:dyDescent="0.35">
      <c r="A14" t="s">
        <v>10</v>
      </c>
      <c r="B14" s="15">
        <v>155.4001379593297</v>
      </c>
      <c r="C14" s="15">
        <v>156.36292367064149</v>
      </c>
      <c r="D14" s="15">
        <v>153.3718117369138</v>
      </c>
      <c r="E14" s="15">
        <v>154.16787759126851</v>
      </c>
      <c r="F14" s="15">
        <v>152.57049567644839</v>
      </c>
      <c r="G14" s="15">
        <v>152.886373918121</v>
      </c>
      <c r="H14" s="15">
        <v>153.0263299234766</v>
      </c>
      <c r="I14" s="15">
        <v>153.29356196388699</v>
      </c>
      <c r="J14" s="15">
        <v>152.60489270102701</v>
      </c>
      <c r="K14" s="15">
        <v>152.0022207438212</v>
      </c>
      <c r="L14" s="15">
        <v>152.08371590182281</v>
      </c>
      <c r="M14" s="15"/>
      <c r="N14" s="15"/>
    </row>
    <row r="15" spans="1:14" x14ac:dyDescent="0.35">
      <c r="A15" t="s">
        <v>11</v>
      </c>
      <c r="B15" s="15">
        <v>7438790.0399999991</v>
      </c>
      <c r="C15" s="15">
        <v>8960699.5499999989</v>
      </c>
      <c r="D15" s="15">
        <v>7403101.5199999996</v>
      </c>
      <c r="E15" s="15">
        <v>8800061.0599999987</v>
      </c>
      <c r="F15" s="15">
        <v>9858624.3000000007</v>
      </c>
      <c r="G15" s="15">
        <v>10651580.93</v>
      </c>
      <c r="H15" s="15">
        <v>11066043.68</v>
      </c>
      <c r="I15" s="15">
        <v>14325764.18</v>
      </c>
      <c r="J15" s="15">
        <v>23656284.68</v>
      </c>
      <c r="K15" s="15">
        <v>16996764.559999999</v>
      </c>
      <c r="L15" s="15">
        <v>11953672.609999999</v>
      </c>
      <c r="M15" s="15"/>
      <c r="N15" s="15"/>
    </row>
    <row r="16" spans="1:14" x14ac:dyDescent="0.3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35">
      <c r="A17" t="s">
        <v>13</v>
      </c>
      <c r="B17" s="15" t="s">
        <v>73</v>
      </c>
      <c r="C17" s="15" t="s">
        <v>74</v>
      </c>
      <c r="D17" s="15" t="s">
        <v>75</v>
      </c>
      <c r="E17" s="15" t="s">
        <v>76</v>
      </c>
      <c r="F17" s="15" t="s">
        <v>77</v>
      </c>
      <c r="G17" s="15" t="s">
        <v>78</v>
      </c>
      <c r="H17" s="15" t="s">
        <v>79</v>
      </c>
      <c r="I17" s="15" t="s">
        <v>80</v>
      </c>
      <c r="J17" s="15" t="s">
        <v>81</v>
      </c>
      <c r="K17" s="15" t="s">
        <v>82</v>
      </c>
      <c r="L17" s="15" t="s">
        <v>83</v>
      </c>
      <c r="M17" s="15"/>
      <c r="N17" s="15"/>
    </row>
    <row r="18" spans="1:14" x14ac:dyDescent="0.35">
      <c r="A18" t="s">
        <v>6</v>
      </c>
      <c r="B18" s="15">
        <v>141.96097242213989</v>
      </c>
      <c r="C18" s="15">
        <v>141.2620517646271</v>
      </c>
      <c r="D18" s="15">
        <v>141.7458750443765</v>
      </c>
      <c r="E18" s="15">
        <v>141.22862817655269</v>
      </c>
      <c r="F18" s="15">
        <v>141.30860866549961</v>
      </c>
      <c r="G18" s="15">
        <v>140.9069621872161</v>
      </c>
      <c r="H18" s="15">
        <v>141.09758865173541</v>
      </c>
      <c r="I18" s="15">
        <v>140.9109600941643</v>
      </c>
      <c r="J18" s="15">
        <v>140.56122192014411</v>
      </c>
      <c r="K18" s="15">
        <v>140.6318990813088</v>
      </c>
      <c r="L18" s="15">
        <v>140.7154603884062</v>
      </c>
      <c r="M18" s="15"/>
      <c r="N18" s="15"/>
    </row>
    <row r="19" spans="1:14" x14ac:dyDescent="0.35">
      <c r="A19" t="s">
        <v>7</v>
      </c>
      <c r="B19" s="15">
        <v>3.0650258305283269</v>
      </c>
      <c r="C19" s="15">
        <v>3.4419432533076129</v>
      </c>
      <c r="D19" s="15">
        <v>3.565273617101838</v>
      </c>
      <c r="E19" s="15">
        <v>3.2721414126033612</v>
      </c>
      <c r="F19" s="15">
        <v>2.9883694286541811</v>
      </c>
      <c r="G19" s="15">
        <v>2.6741916100947378</v>
      </c>
      <c r="H19" s="15">
        <v>3.501310177281368</v>
      </c>
      <c r="I19" s="15">
        <v>3.177599196143376</v>
      </c>
      <c r="J19" s="15">
        <v>2.0987307558347941</v>
      </c>
      <c r="K19" s="15">
        <v>3.203387814477054</v>
      </c>
      <c r="L19" s="15">
        <v>2.955994667834148</v>
      </c>
      <c r="M19" s="15"/>
      <c r="N19" s="15"/>
    </row>
    <row r="20" spans="1:14" x14ac:dyDescent="0.35">
      <c r="A20" t="s">
        <v>8</v>
      </c>
      <c r="B20" s="15">
        <v>6.4713801337991432</v>
      </c>
      <c r="C20" s="15">
        <v>3.3195893872753688</v>
      </c>
      <c r="D20" s="15">
        <v>3.5490911764028028</v>
      </c>
      <c r="E20" s="15">
        <v>3.3073163953217759</v>
      </c>
      <c r="F20" s="15">
        <v>3.625384746828046</v>
      </c>
      <c r="G20" s="15">
        <v>2.4436007916287088</v>
      </c>
      <c r="H20" s="15">
        <v>3.508387933133291</v>
      </c>
      <c r="I20" s="15">
        <v>2.2701461925038462</v>
      </c>
      <c r="J20" s="15">
        <v>1.98420318963623</v>
      </c>
      <c r="K20" s="15">
        <v>2.8691478035279689</v>
      </c>
      <c r="L20" s="15">
        <v>3.6267427542291748</v>
      </c>
      <c r="M20" s="15"/>
      <c r="N20" s="15"/>
    </row>
    <row r="21" spans="1:14" x14ac:dyDescent="0.35">
      <c r="A21" t="s">
        <v>9</v>
      </c>
      <c r="B21" s="15">
        <v>4.9061701162324178</v>
      </c>
      <c r="C21" s="15">
        <v>5.2827784607943293</v>
      </c>
      <c r="D21" s="15">
        <v>4.9029104029953032</v>
      </c>
      <c r="E21" s="15">
        <v>5.5440408130258403</v>
      </c>
      <c r="F21" s="15">
        <v>5.8432626153054246</v>
      </c>
      <c r="G21" s="15">
        <v>5.9718662496819581</v>
      </c>
      <c r="H21" s="15">
        <v>5.5421889326856677</v>
      </c>
      <c r="I21" s="15">
        <v>4.9965893721865307</v>
      </c>
      <c r="J21" s="15">
        <v>5.2529648574177301</v>
      </c>
      <c r="K21" s="15">
        <v>4.613934469524346</v>
      </c>
      <c r="L21" s="15">
        <v>5.681781268117982</v>
      </c>
      <c r="M21" s="15"/>
      <c r="N21" s="15"/>
    </row>
    <row r="22" spans="1:14" x14ac:dyDescent="0.35">
      <c r="A22" t="s">
        <v>10</v>
      </c>
      <c r="B22" s="15">
        <v>156.40354850269981</v>
      </c>
      <c r="C22" s="15">
        <v>153.30636286600441</v>
      </c>
      <c r="D22" s="15">
        <v>153.7631502408764</v>
      </c>
      <c r="E22" s="15">
        <v>153.35212679750359</v>
      </c>
      <c r="F22" s="15">
        <v>153.7656254562873</v>
      </c>
      <c r="G22" s="15">
        <v>151.99662083862151</v>
      </c>
      <c r="H22" s="15">
        <v>153.6494756948357</v>
      </c>
      <c r="I22" s="15">
        <v>151.35529485499799</v>
      </c>
      <c r="J22" s="15">
        <v>149.89712072303291</v>
      </c>
      <c r="K22" s="15">
        <v>151.31836916883819</v>
      </c>
      <c r="L22" s="15">
        <v>152.97997907858749</v>
      </c>
      <c r="M22" s="15"/>
      <c r="N22" s="15"/>
    </row>
    <row r="23" spans="1:14" x14ac:dyDescent="0.35">
      <c r="A23" t="s">
        <v>11</v>
      </c>
      <c r="B23" s="15">
        <v>4625370.6999999993</v>
      </c>
      <c r="C23" s="15">
        <v>4965309.28</v>
      </c>
      <c r="D23" s="15">
        <v>5250160.95</v>
      </c>
      <c r="E23" s="15">
        <v>6230972.9900000002</v>
      </c>
      <c r="F23" s="15">
        <v>7053116.6400000006</v>
      </c>
      <c r="G23" s="15">
        <v>6736722.54</v>
      </c>
      <c r="H23" s="15">
        <v>7864858.21</v>
      </c>
      <c r="I23" s="15">
        <v>10008311.07</v>
      </c>
      <c r="J23" s="15">
        <v>15547149.869999999</v>
      </c>
      <c r="K23" s="15">
        <v>10842999.74</v>
      </c>
      <c r="L23" s="15">
        <v>7587363.9699999997</v>
      </c>
      <c r="M23" s="15"/>
      <c r="N23" s="15"/>
    </row>
    <row r="24" spans="1:14" x14ac:dyDescent="0.35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x14ac:dyDescent="0.35">
      <c r="A25" t="s">
        <v>14</v>
      </c>
      <c r="B25" s="15" t="s">
        <v>73</v>
      </c>
      <c r="C25" s="15" t="s">
        <v>74</v>
      </c>
      <c r="D25" s="15" t="s">
        <v>75</v>
      </c>
      <c r="E25" s="15" t="s">
        <v>76</v>
      </c>
      <c r="F25" s="15" t="s">
        <v>77</v>
      </c>
      <c r="G25" s="15" t="s">
        <v>78</v>
      </c>
      <c r="H25" s="15" t="s">
        <v>79</v>
      </c>
      <c r="I25" s="15" t="s">
        <v>80</v>
      </c>
      <c r="J25" s="15" t="s">
        <v>81</v>
      </c>
      <c r="K25" s="15" t="s">
        <v>82</v>
      </c>
      <c r="L25" s="15" t="s">
        <v>83</v>
      </c>
      <c r="M25" s="15"/>
      <c r="N25" s="15"/>
    </row>
    <row r="26" spans="1:14" x14ac:dyDescent="0.35">
      <c r="A26" t="s">
        <v>6</v>
      </c>
      <c r="B26" s="15">
        <v>141.11272786600011</v>
      </c>
      <c r="C26" s="15">
        <v>140.62125219032231</v>
      </c>
      <c r="D26" s="15">
        <v>141.62074598748521</v>
      </c>
      <c r="E26" s="15">
        <v>141.5863345085431</v>
      </c>
      <c r="F26" s="15">
        <v>140.72704187430011</v>
      </c>
      <c r="G26" s="15">
        <v>141.00487558325301</v>
      </c>
      <c r="H26" s="15">
        <v>140.8265639346009</v>
      </c>
      <c r="I26" s="15">
        <v>140.34766940482871</v>
      </c>
      <c r="J26" s="15">
        <v>141.01992431734351</v>
      </c>
      <c r="K26" s="15">
        <v>140.83153486116569</v>
      </c>
      <c r="L26" s="15">
        <v>141.55716080243289</v>
      </c>
      <c r="M26" s="15"/>
      <c r="N26" s="15"/>
    </row>
    <row r="27" spans="1:14" x14ac:dyDescent="0.35">
      <c r="A27" t="s">
        <v>7</v>
      </c>
      <c r="B27" s="15">
        <v>2.583855992946837</v>
      </c>
      <c r="C27" s="15">
        <v>2.8028266205751611</v>
      </c>
      <c r="D27" s="15">
        <v>2.1217071664457019</v>
      </c>
      <c r="E27" s="15">
        <v>2.2061458067658459</v>
      </c>
      <c r="F27" s="15">
        <v>2.7321624523756611</v>
      </c>
      <c r="G27" s="15">
        <v>2.6462725765967998</v>
      </c>
      <c r="H27" s="15">
        <v>2.6458188188979359</v>
      </c>
      <c r="I27" s="15">
        <v>2.7558401143167832</v>
      </c>
      <c r="J27" s="15">
        <v>1.2883560370292459</v>
      </c>
      <c r="K27" s="15">
        <v>1.855971871204162</v>
      </c>
      <c r="L27" s="15">
        <v>1.764244330671602</v>
      </c>
      <c r="M27" s="15"/>
      <c r="N27" s="15"/>
    </row>
    <row r="28" spans="1:14" x14ac:dyDescent="0.35">
      <c r="A28" t="s">
        <v>8</v>
      </c>
      <c r="B28" s="15">
        <v>0.70297359927860692</v>
      </c>
      <c r="C28" s="15">
        <v>2.027022339971527</v>
      </c>
      <c r="D28" s="15">
        <v>0.43055994578092838</v>
      </c>
      <c r="E28" s="15">
        <v>1.897664064719135</v>
      </c>
      <c r="F28" s="15">
        <v>1.329704142100703</v>
      </c>
      <c r="G28" s="15">
        <v>1.345007801848114</v>
      </c>
      <c r="H28" s="15">
        <v>0.97987668413249596</v>
      </c>
      <c r="I28" s="15">
        <v>0.89049024629489548</v>
      </c>
      <c r="J28" s="15">
        <v>0.66817566780823978</v>
      </c>
      <c r="K28" s="15">
        <v>0.34013300024732313</v>
      </c>
      <c r="L28" s="15">
        <v>1.24275620708052</v>
      </c>
      <c r="M28" s="15"/>
      <c r="N28" s="15"/>
    </row>
    <row r="29" spans="1:14" x14ac:dyDescent="0.35">
      <c r="A29" t="s">
        <v>9</v>
      </c>
      <c r="B29" s="15">
        <v>0.1453073265386107</v>
      </c>
      <c r="C29" s="15">
        <v>-0.71224381525908498</v>
      </c>
      <c r="D29" s="15">
        <v>4.9737960201917453E-2</v>
      </c>
      <c r="E29" s="15">
        <v>-0.78209510753105771</v>
      </c>
      <c r="F29" s="15">
        <v>-0.42524040337980001</v>
      </c>
      <c r="G29" s="15">
        <v>-0.39391678609769309</v>
      </c>
      <c r="H29" s="15">
        <v>-0.22403146901259341</v>
      </c>
      <c r="I29" s="15">
        <v>0.35597057626978251</v>
      </c>
      <c r="J29" s="15">
        <v>0.50650531889686623</v>
      </c>
      <c r="K29" s="15">
        <v>-0.42967543965447619</v>
      </c>
      <c r="L29" s="15">
        <v>-0.69780138712497108</v>
      </c>
      <c r="M29" s="15"/>
      <c r="N29" s="15"/>
    </row>
    <row r="30" spans="1:14" x14ac:dyDescent="0.35">
      <c r="A30" t="s">
        <v>10</v>
      </c>
      <c r="B30" s="15">
        <v>144.54486478476409</v>
      </c>
      <c r="C30" s="15">
        <v>144.73885733560991</v>
      </c>
      <c r="D30" s="15">
        <v>144.22275105991369</v>
      </c>
      <c r="E30" s="15">
        <v>144.90804927249701</v>
      </c>
      <c r="F30" s="15">
        <v>144.36366806539661</v>
      </c>
      <c r="G30" s="15">
        <v>144.6022391756002</v>
      </c>
      <c r="H30" s="15">
        <v>144.22822796861871</v>
      </c>
      <c r="I30" s="15">
        <v>144.3499703417101</v>
      </c>
      <c r="J30" s="15">
        <v>143.48296134107781</v>
      </c>
      <c r="K30" s="15">
        <v>142.5979642929627</v>
      </c>
      <c r="L30" s="15">
        <v>143.86635995306011</v>
      </c>
      <c r="M30" s="15"/>
      <c r="N30" s="15"/>
    </row>
    <row r="31" spans="1:14" x14ac:dyDescent="0.35">
      <c r="A31" t="s">
        <v>11</v>
      </c>
      <c r="B31" s="15">
        <v>2283402.44</v>
      </c>
      <c r="C31" s="15">
        <v>3165953.98</v>
      </c>
      <c r="D31" s="15">
        <v>3207228.09</v>
      </c>
      <c r="E31" s="15">
        <v>2892138.9</v>
      </c>
      <c r="F31" s="15">
        <v>3791503.64</v>
      </c>
      <c r="G31" s="15">
        <v>4615486.7699999996</v>
      </c>
      <c r="H31" s="15">
        <v>4945680.75</v>
      </c>
      <c r="I31" s="15">
        <v>5626664.8799999999</v>
      </c>
      <c r="J31" s="15">
        <v>9189144.5700000003</v>
      </c>
      <c r="K31" s="15">
        <v>6972643.3499999996</v>
      </c>
      <c r="L31" s="15">
        <v>5070786.290000001</v>
      </c>
      <c r="M31" s="15"/>
      <c r="N31" s="15"/>
    </row>
    <row r="32" spans="1:14" x14ac:dyDescent="0.3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35">
      <c r="A33" t="s">
        <v>15</v>
      </c>
      <c r="B33" s="15" t="s">
        <v>73</v>
      </c>
      <c r="C33" s="15" t="s">
        <v>74</v>
      </c>
      <c r="D33" s="15" t="s">
        <v>75</v>
      </c>
      <c r="E33" s="15" t="s">
        <v>76</v>
      </c>
      <c r="F33" s="15" t="s">
        <v>77</v>
      </c>
      <c r="G33" s="15" t="s">
        <v>78</v>
      </c>
      <c r="H33" s="15" t="s">
        <v>79</v>
      </c>
      <c r="I33" s="15" t="s">
        <v>80</v>
      </c>
      <c r="J33" s="15" t="s">
        <v>81</v>
      </c>
      <c r="K33" s="15" t="s">
        <v>82</v>
      </c>
      <c r="L33" s="15" t="s">
        <v>83</v>
      </c>
      <c r="M33" s="15"/>
      <c r="N33" s="15"/>
    </row>
    <row r="34" spans="1:14" x14ac:dyDescent="0.35">
      <c r="A34" t="s">
        <v>6</v>
      </c>
      <c r="B34" s="15">
        <v>139.62567265059411</v>
      </c>
      <c r="C34" s="15">
        <v>139.45864363399801</v>
      </c>
      <c r="D34" s="15">
        <v>139.68089230495161</v>
      </c>
      <c r="E34" s="15">
        <v>139.230236144484</v>
      </c>
      <c r="F34" s="15">
        <v>139.43437033812739</v>
      </c>
      <c r="G34" s="15">
        <v>140.02398494183271</v>
      </c>
      <c r="H34" s="15">
        <v>139.23775795620679</v>
      </c>
      <c r="I34" s="15">
        <v>140.2310572809302</v>
      </c>
      <c r="J34" s="15">
        <v>139.86709719010651</v>
      </c>
      <c r="K34" s="15">
        <v>140.24903231216501</v>
      </c>
      <c r="L34" s="15">
        <v>140.64965746569629</v>
      </c>
      <c r="M34" s="15"/>
      <c r="N34" s="15"/>
    </row>
    <row r="35" spans="1:14" x14ac:dyDescent="0.35">
      <c r="A35" t="s">
        <v>7</v>
      </c>
      <c r="B35" s="15">
        <v>1.636588846828545</v>
      </c>
      <c r="C35" s="15">
        <v>1.436535992307739</v>
      </c>
      <c r="D35" s="15">
        <v>1.3220961725699569</v>
      </c>
      <c r="E35" s="15">
        <v>1.6423228516598269</v>
      </c>
      <c r="F35" s="15">
        <v>1.0786639221930729</v>
      </c>
      <c r="G35" s="15">
        <v>1.437419717379214</v>
      </c>
      <c r="H35" s="15">
        <v>1.467734950958715</v>
      </c>
      <c r="I35" s="15">
        <v>0.92672736992182081</v>
      </c>
      <c r="J35" s="15">
        <v>0.26768276411161201</v>
      </c>
      <c r="K35" s="15">
        <v>0.81696412453871403</v>
      </c>
      <c r="L35" s="15">
        <v>0.29426525010711663</v>
      </c>
      <c r="M35" s="15"/>
      <c r="N35" s="15"/>
    </row>
    <row r="36" spans="1:14" x14ac:dyDescent="0.35">
      <c r="A36" t="s">
        <v>8</v>
      </c>
      <c r="B36" s="15">
        <v>2.8823157072316929</v>
      </c>
      <c r="C36" s="15">
        <v>3.2182405674958701</v>
      </c>
      <c r="D36" s="15">
        <v>2.7494715266718002</v>
      </c>
      <c r="E36" s="15">
        <v>3.161952346031097</v>
      </c>
      <c r="F36" s="15">
        <v>3.001521873282047</v>
      </c>
      <c r="G36" s="15">
        <v>2.7586307374554808</v>
      </c>
      <c r="H36" s="15">
        <v>3.2205387221897932</v>
      </c>
      <c r="I36" s="15">
        <v>2.7004929665937398</v>
      </c>
      <c r="J36" s="15">
        <v>2.7848005805498759</v>
      </c>
      <c r="K36" s="15">
        <v>2.7511026937863492</v>
      </c>
      <c r="L36" s="15">
        <v>2.3980311023462342</v>
      </c>
      <c r="M36" s="15"/>
      <c r="N36" s="15"/>
    </row>
    <row r="37" spans="1:14" x14ac:dyDescent="0.35">
      <c r="A37" t="s">
        <v>9</v>
      </c>
      <c r="B37" s="15">
        <v>1.0982593239985661</v>
      </c>
      <c r="C37" s="15">
        <v>1.536333917921906</v>
      </c>
      <c r="D37" s="15">
        <v>1.174171567272515</v>
      </c>
      <c r="E37" s="15">
        <v>1.24396411106553</v>
      </c>
      <c r="F37" s="15">
        <v>1.1354946251689959</v>
      </c>
      <c r="G37" s="15">
        <v>1.011839435554079</v>
      </c>
      <c r="H37" s="15">
        <v>1.6159996201958799</v>
      </c>
      <c r="I37" s="15">
        <v>1.65803462879682</v>
      </c>
      <c r="J37" s="15">
        <v>2.0193625016418708</v>
      </c>
      <c r="K37" s="15">
        <v>1.551761466269316</v>
      </c>
      <c r="L37" s="15">
        <v>1.547942951400453</v>
      </c>
      <c r="M37" s="15"/>
      <c r="N37" s="15"/>
    </row>
    <row r="38" spans="1:14" x14ac:dyDescent="0.35">
      <c r="A38" t="s">
        <v>10</v>
      </c>
      <c r="B38" s="15">
        <v>145.24283652865299</v>
      </c>
      <c r="C38" s="15">
        <v>145.6497541117235</v>
      </c>
      <c r="D38" s="15">
        <v>144.92663157146589</v>
      </c>
      <c r="E38" s="15">
        <v>145.27847545324039</v>
      </c>
      <c r="F38" s="15">
        <v>144.65005075877161</v>
      </c>
      <c r="G38" s="15">
        <v>145.23187483222139</v>
      </c>
      <c r="H38" s="15">
        <v>145.5420312495512</v>
      </c>
      <c r="I38" s="15">
        <v>145.51631224624259</v>
      </c>
      <c r="J38" s="15">
        <v>144.93894303640991</v>
      </c>
      <c r="K38" s="15">
        <v>145.36886059675939</v>
      </c>
      <c r="L38" s="15">
        <v>144.88989676955009</v>
      </c>
      <c r="M38" s="15"/>
      <c r="N38" s="15"/>
    </row>
    <row r="39" spans="1:14" x14ac:dyDescent="0.35">
      <c r="A39" t="s">
        <v>11</v>
      </c>
      <c r="B39" s="15">
        <v>5631440.9900000002</v>
      </c>
      <c r="C39" s="15">
        <v>6615801.3999999994</v>
      </c>
      <c r="D39" s="15">
        <v>6692888.5</v>
      </c>
      <c r="E39" s="15">
        <v>5613550.6400000006</v>
      </c>
      <c r="F39" s="15">
        <v>6046034.7300000004</v>
      </c>
      <c r="G39" s="15">
        <v>5638571.9399999985</v>
      </c>
      <c r="H39" s="15">
        <v>6625377.9900000002</v>
      </c>
      <c r="I39" s="15">
        <v>8496989.629999999</v>
      </c>
      <c r="J39" s="15">
        <v>16219058.060000001</v>
      </c>
      <c r="K39" s="15">
        <v>8914901.9000000004</v>
      </c>
      <c r="L39" s="15">
        <v>6205825.3300000001</v>
      </c>
      <c r="M39" s="15"/>
      <c r="N39" s="15"/>
    </row>
    <row r="40" spans="1:14" x14ac:dyDescent="0.3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x14ac:dyDescent="0.35">
      <c r="A41" t="s">
        <v>16</v>
      </c>
      <c r="B41" s="15" t="s">
        <v>73</v>
      </c>
      <c r="C41" s="15" t="s">
        <v>74</v>
      </c>
      <c r="D41" s="15" t="s">
        <v>75</v>
      </c>
      <c r="E41" s="15" t="s">
        <v>76</v>
      </c>
      <c r="F41" s="15" t="s">
        <v>77</v>
      </c>
      <c r="G41" s="15" t="s">
        <v>78</v>
      </c>
      <c r="H41" s="15" t="s">
        <v>79</v>
      </c>
      <c r="I41" s="15" t="s">
        <v>80</v>
      </c>
      <c r="J41" s="15" t="s">
        <v>81</v>
      </c>
      <c r="K41" s="15" t="s">
        <v>82</v>
      </c>
      <c r="L41" s="15" t="s">
        <v>83</v>
      </c>
      <c r="M41" s="15"/>
      <c r="N41" s="15"/>
    </row>
    <row r="42" spans="1:14" x14ac:dyDescent="0.35">
      <c r="A42" t="s">
        <v>6</v>
      </c>
      <c r="B42" s="15">
        <v>142.0986758419981</v>
      </c>
      <c r="C42" s="15">
        <v>141.76597032493109</v>
      </c>
      <c r="D42" s="15">
        <v>141.47685966720999</v>
      </c>
      <c r="E42" s="15">
        <v>141.87009232721209</v>
      </c>
      <c r="F42" s="15">
        <v>141.4700967680885</v>
      </c>
      <c r="G42" s="15">
        <v>142.06688046822899</v>
      </c>
      <c r="H42" s="15">
        <v>142.23667945797729</v>
      </c>
      <c r="I42" s="15">
        <v>141.98787867555251</v>
      </c>
      <c r="J42" s="15">
        <v>141.94109111441469</v>
      </c>
      <c r="K42" s="15">
        <v>142.221622024569</v>
      </c>
      <c r="L42" s="15">
        <v>142.3369991412462</v>
      </c>
      <c r="M42" s="15"/>
      <c r="N42" s="15"/>
    </row>
    <row r="43" spans="1:14" x14ac:dyDescent="0.35">
      <c r="A43" t="s">
        <v>7</v>
      </c>
      <c r="B43" s="15">
        <v>0.6355806258299026</v>
      </c>
      <c r="C43" s="15">
        <v>0.1443007450216669</v>
      </c>
      <c r="D43" s="15">
        <v>0.24720458945884621</v>
      </c>
      <c r="E43" s="15">
        <v>0.3922354985055847</v>
      </c>
      <c r="F43" s="15">
        <v>0.29920453402218072</v>
      </c>
      <c r="G43" s="15">
        <v>0.19211166645285971</v>
      </c>
      <c r="H43" s="15">
        <v>0.1679769187566649</v>
      </c>
      <c r="I43" s="15">
        <v>-0.70242072065920524</v>
      </c>
      <c r="J43" s="15">
        <v>-1.087636044982446</v>
      </c>
      <c r="K43" s="15">
        <v>-0.67964714233170298</v>
      </c>
      <c r="L43" s="15">
        <v>-0.66415817993873816</v>
      </c>
      <c r="M43" s="15"/>
      <c r="N43" s="15"/>
    </row>
    <row r="44" spans="1:14" x14ac:dyDescent="0.35">
      <c r="A44" t="s">
        <v>8</v>
      </c>
      <c r="B44" s="15">
        <v>1.2759553523825109</v>
      </c>
      <c r="C44" s="15">
        <v>0.50273511304996854</v>
      </c>
      <c r="D44" s="15">
        <v>0.6717606462893867</v>
      </c>
      <c r="E44" s="15">
        <v>0.65525007677739044</v>
      </c>
      <c r="F44" s="15">
        <v>0.6037564603263923</v>
      </c>
      <c r="G44" s="15">
        <v>0.7091517818173072</v>
      </c>
      <c r="H44" s="15">
        <v>0.26372152627637641</v>
      </c>
      <c r="I44" s="15">
        <v>0.37093362652498257</v>
      </c>
      <c r="J44" s="15">
        <v>8.2215491280304767E-2</v>
      </c>
      <c r="K44" s="15">
        <v>0.1237532376024703</v>
      </c>
      <c r="L44" s="15">
        <v>0.66919284155699044</v>
      </c>
      <c r="M44" s="15"/>
      <c r="N44" s="15"/>
    </row>
    <row r="45" spans="1:14" x14ac:dyDescent="0.35">
      <c r="A45" t="s">
        <v>9</v>
      </c>
      <c r="B45" s="15">
        <v>0.39583261867446279</v>
      </c>
      <c r="C45" s="15">
        <v>0.4736457968359517</v>
      </c>
      <c r="D45" s="15">
        <v>0.54433677343037168</v>
      </c>
      <c r="E45" s="15">
        <v>2.4190719627445501E-2</v>
      </c>
      <c r="F45" s="15">
        <v>0.65009081458879303</v>
      </c>
      <c r="G45" s="15">
        <v>0.39562903846583958</v>
      </c>
      <c r="H45" s="15">
        <v>0.60095794664686786</v>
      </c>
      <c r="I45" s="15">
        <v>0.6787770506424109</v>
      </c>
      <c r="J45" s="15">
        <v>0.50182161664726821</v>
      </c>
      <c r="K45" s="15">
        <v>0.33357848411604341</v>
      </c>
      <c r="L45" s="15">
        <v>0.25744247352330912</v>
      </c>
      <c r="M45" s="15"/>
      <c r="N45" s="15"/>
    </row>
    <row r="46" spans="1:14" x14ac:dyDescent="0.35">
      <c r="A46" t="s">
        <v>10</v>
      </c>
      <c r="B46" s="15">
        <v>144.40604443888489</v>
      </c>
      <c r="C46" s="15">
        <v>142.88665197983869</v>
      </c>
      <c r="D46" s="15">
        <v>142.94016167638861</v>
      </c>
      <c r="E46" s="15">
        <v>142.94176862212259</v>
      </c>
      <c r="F46" s="15">
        <v>143.02314857702589</v>
      </c>
      <c r="G46" s="15">
        <v>143.36377295496499</v>
      </c>
      <c r="H46" s="15">
        <v>143.26933584965721</v>
      </c>
      <c r="I46" s="15">
        <v>142.33516863206069</v>
      </c>
      <c r="J46" s="15">
        <v>141.4374921773599</v>
      </c>
      <c r="K46" s="15">
        <v>141.9993066039558</v>
      </c>
      <c r="L46" s="15">
        <v>142.59947627638769</v>
      </c>
      <c r="M46" s="15"/>
      <c r="N46" s="15"/>
    </row>
    <row r="47" spans="1:14" x14ac:dyDescent="0.35">
      <c r="A47" t="s">
        <v>11</v>
      </c>
      <c r="B47" s="15">
        <v>22158949.789999999</v>
      </c>
      <c r="C47" s="15">
        <v>32544339.449999999</v>
      </c>
      <c r="D47" s="15">
        <v>33342496.18</v>
      </c>
      <c r="E47" s="15">
        <v>31862679.73</v>
      </c>
      <c r="F47" s="15">
        <v>28073454.879999999</v>
      </c>
      <c r="G47" s="15">
        <v>35420986.649999999</v>
      </c>
      <c r="H47" s="15">
        <v>35777213.390000001</v>
      </c>
      <c r="I47" s="15">
        <v>47778887.709999993</v>
      </c>
      <c r="J47" s="15">
        <v>77551991.879999995</v>
      </c>
      <c r="K47" s="15">
        <v>61161496.039999999</v>
      </c>
      <c r="L47" s="15">
        <v>58244651.710000001</v>
      </c>
      <c r="M47" s="15"/>
      <c r="N47" s="15"/>
    </row>
    <row r="49" spans="1:12" x14ac:dyDescent="0.35">
      <c r="B49" s="15">
        <f t="shared" ref="B49:L49" si="0">SUM(B7,B15,B23,B31)</f>
        <v>17483851.550000001</v>
      </c>
      <c r="C49" s="15">
        <f t="shared" si="0"/>
        <v>19957475.120000001</v>
      </c>
      <c r="D49" s="15">
        <f t="shared" si="0"/>
        <v>18648099.449999999</v>
      </c>
      <c r="E49" s="15">
        <f t="shared" si="0"/>
        <v>20402081.459999993</v>
      </c>
      <c r="F49" s="15">
        <f t="shared" si="0"/>
        <v>23843066.230000004</v>
      </c>
      <c r="G49" s="15">
        <f t="shared" si="0"/>
        <v>25479703.77</v>
      </c>
      <c r="H49" s="15">
        <f t="shared" si="0"/>
        <v>27816360.300000001</v>
      </c>
      <c r="I49" s="15">
        <f t="shared" si="0"/>
        <v>35423892.980000004</v>
      </c>
      <c r="J49" s="15">
        <f t="shared" si="0"/>
        <v>55886600.199999996</v>
      </c>
      <c r="K49" s="15">
        <f t="shared" si="0"/>
        <v>40528340.980000004</v>
      </c>
      <c r="L49" s="15">
        <f t="shared" si="0"/>
        <v>27675594.039999999</v>
      </c>
    </row>
    <row r="52" spans="1:12" x14ac:dyDescent="0.35">
      <c r="A52" t="s">
        <v>84</v>
      </c>
      <c r="B52">
        <f t="shared" ref="B52:L52" si="1">B6*B7/B49</f>
        <v>27.266845551997108</v>
      </c>
      <c r="C52">
        <f t="shared" si="1"/>
        <v>21.74812658785952</v>
      </c>
      <c r="D52">
        <f t="shared" si="1"/>
        <v>22.566538959302363</v>
      </c>
      <c r="E52">
        <f t="shared" si="1"/>
        <v>18.204607594296121</v>
      </c>
      <c r="F52">
        <f t="shared" si="1"/>
        <v>19.820710552438722</v>
      </c>
      <c r="G52">
        <f t="shared" si="1"/>
        <v>20.255916990405002</v>
      </c>
      <c r="H52">
        <f t="shared" si="1"/>
        <v>21.147515669879979</v>
      </c>
      <c r="I52">
        <f t="shared" si="1"/>
        <v>22.997571894485013</v>
      </c>
      <c r="J52">
        <f t="shared" si="1"/>
        <v>19.852932320262877</v>
      </c>
      <c r="K52">
        <f t="shared" si="1"/>
        <v>21.214125528494026</v>
      </c>
      <c r="L52">
        <f t="shared" si="1"/>
        <v>16.405294641129359</v>
      </c>
    </row>
    <row r="53" spans="1:12" x14ac:dyDescent="0.35">
      <c r="B53">
        <f t="shared" ref="B53:L53" si="2">B14*B15/B$49</f>
        <v>66.117525372519395</v>
      </c>
      <c r="C53">
        <f t="shared" si="2"/>
        <v>70.205332655937752</v>
      </c>
      <c r="D53">
        <f t="shared" si="2"/>
        <v>60.887014016578533</v>
      </c>
      <c r="E53">
        <f t="shared" si="2"/>
        <v>66.497466886095296</v>
      </c>
      <c r="F53">
        <f t="shared" si="2"/>
        <v>63.084805520790553</v>
      </c>
      <c r="G53">
        <f t="shared" si="2"/>
        <v>63.912893163243673</v>
      </c>
      <c r="H53">
        <f t="shared" si="2"/>
        <v>60.877700492083534</v>
      </c>
      <c r="I53">
        <f t="shared" si="2"/>
        <v>61.993395820350131</v>
      </c>
      <c r="J53">
        <f t="shared" si="2"/>
        <v>64.596249769660332</v>
      </c>
      <c r="K53">
        <f t="shared" si="2"/>
        <v>63.746649779096799</v>
      </c>
      <c r="L53">
        <f t="shared" si="2"/>
        <v>65.68816360635708</v>
      </c>
    </row>
    <row r="54" spans="1:12" x14ac:dyDescent="0.35">
      <c r="B54">
        <f t="shared" ref="B54:L54" si="3">B23*B22/B$49</f>
        <v>41.376717741601759</v>
      </c>
      <c r="C54">
        <f t="shared" si="3"/>
        <v>38.141774029260027</v>
      </c>
      <c r="D54">
        <f t="shared" si="3"/>
        <v>43.29027143533559</v>
      </c>
      <c r="E54">
        <f t="shared" si="3"/>
        <v>46.835072289447687</v>
      </c>
      <c r="F54">
        <f t="shared" si="3"/>
        <v>45.486049533392894</v>
      </c>
      <c r="G54">
        <f t="shared" si="3"/>
        <v>40.187243574353978</v>
      </c>
      <c r="H54">
        <f t="shared" si="3"/>
        <v>43.44318693559358</v>
      </c>
      <c r="I54">
        <f t="shared" si="3"/>
        <v>42.762405415340389</v>
      </c>
      <c r="J54">
        <f t="shared" si="3"/>
        <v>41.70003171820202</v>
      </c>
      <c r="K54">
        <f t="shared" si="3"/>
        <v>40.48389344050905</v>
      </c>
      <c r="L54">
        <f t="shared" si="3"/>
        <v>41.940013273595063</v>
      </c>
    </row>
    <row r="55" spans="1:12" x14ac:dyDescent="0.35">
      <c r="B55">
        <f t="shared" ref="B55:L55" si="4">B31*B30/B$49</f>
        <v>18.877653816444145</v>
      </c>
      <c r="C55">
        <f t="shared" si="4"/>
        <v>22.960648012188344</v>
      </c>
      <c r="D55">
        <f t="shared" si="4"/>
        <v>24.804418254881863</v>
      </c>
      <c r="E55">
        <f t="shared" si="4"/>
        <v>20.541737716603816</v>
      </c>
      <c r="F55">
        <f t="shared" si="4"/>
        <v>22.956584848344942</v>
      </c>
      <c r="G55">
        <f t="shared" si="4"/>
        <v>26.193778697426293</v>
      </c>
      <c r="H55">
        <f t="shared" si="4"/>
        <v>25.643425774543523</v>
      </c>
      <c r="I55">
        <f t="shared" si="4"/>
        <v>22.928279198712215</v>
      </c>
      <c r="J55">
        <f t="shared" si="4"/>
        <v>23.59216109722998</v>
      </c>
      <c r="K55">
        <f t="shared" si="4"/>
        <v>24.533072990614766</v>
      </c>
      <c r="L55">
        <f t="shared" si="4"/>
        <v>26.359526902577098</v>
      </c>
    </row>
    <row r="57" spans="1:12" x14ac:dyDescent="0.35">
      <c r="A57" t="s">
        <v>85</v>
      </c>
      <c r="B57">
        <f t="shared" ref="B57:L57" si="5">SUM(B52:B55)</f>
        <v>153.63874248256241</v>
      </c>
      <c r="C57">
        <f t="shared" si="5"/>
        <v>153.05588128524562</v>
      </c>
      <c r="D57">
        <f t="shared" si="5"/>
        <v>151.54824266609833</v>
      </c>
      <c r="E57">
        <f t="shared" si="5"/>
        <v>152.07888448644292</v>
      </c>
      <c r="F57">
        <f t="shared" si="5"/>
        <v>151.34815045496711</v>
      </c>
      <c r="G57">
        <f t="shared" si="5"/>
        <v>150.54983242542895</v>
      </c>
      <c r="H57">
        <f t="shared" si="5"/>
        <v>151.1118288721006</v>
      </c>
      <c r="I57">
        <f t="shared" si="5"/>
        <v>150.68165232888774</v>
      </c>
      <c r="J57">
        <f t="shared" si="5"/>
        <v>149.74137490535523</v>
      </c>
      <c r="K57">
        <f t="shared" si="5"/>
        <v>149.97774173871463</v>
      </c>
      <c r="L57">
        <f t="shared" si="5"/>
        <v>150.39299842365861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7"/>
  <sheetViews>
    <sheetView topLeftCell="A17" zoomScale="190" zoomScaleNormal="190" workbookViewId="0">
      <selection activeCell="G32" sqref="G32"/>
    </sheetView>
  </sheetViews>
  <sheetFormatPr defaultRowHeight="14.5" x14ac:dyDescent="0.35"/>
  <cols>
    <col min="11" max="12" width="12.54296875" bestFit="1" customWidth="1"/>
    <col min="13" max="13" width="11.81640625" bestFit="1" customWidth="1"/>
    <col min="14" max="16" width="12.54296875" bestFit="1" customWidth="1"/>
  </cols>
  <sheetData>
    <row r="1" spans="1:16" x14ac:dyDescent="0.35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</row>
    <row r="2" spans="1:16" x14ac:dyDescent="0.35">
      <c r="A2" t="s">
        <v>6</v>
      </c>
      <c r="B2">
        <v>136.83707171246539</v>
      </c>
      <c r="C2">
        <v>137.09433751737291</v>
      </c>
      <c r="D2">
        <v>136.6947195331652</v>
      </c>
      <c r="E2">
        <v>137.57439201135259</v>
      </c>
      <c r="F2">
        <v>138.31006514565351</v>
      </c>
      <c r="G2">
        <v>138.2707529193766</v>
      </c>
      <c r="H2">
        <v>138.46661782208571</v>
      </c>
      <c r="I2">
        <v>138.34760621283601</v>
      </c>
      <c r="J2">
        <v>138.86903489506719</v>
      </c>
      <c r="K2">
        <v>138.81179483369101</v>
      </c>
      <c r="L2">
        <v>138.98923787854989</v>
      </c>
      <c r="M2">
        <v>140.30770524167829</v>
      </c>
      <c r="N2">
        <v>140.4024972591734</v>
      </c>
      <c r="O2">
        <v>140.19210668481759</v>
      </c>
      <c r="P2">
        <v>140.31743050524119</v>
      </c>
    </row>
    <row r="3" spans="1:16" x14ac:dyDescent="0.35">
      <c r="A3" t="s">
        <v>7</v>
      </c>
      <c r="B3">
        <v>1.584469425329843</v>
      </c>
      <c r="C3">
        <v>1.6467483021410489</v>
      </c>
      <c r="D3">
        <v>1.1461835277935111</v>
      </c>
      <c r="E3">
        <v>2.1099095805462871</v>
      </c>
      <c r="F3">
        <v>2.3978631829242261</v>
      </c>
      <c r="G3">
        <v>2.8980872703544089</v>
      </c>
      <c r="H3">
        <v>2.9829128778957852</v>
      </c>
      <c r="I3">
        <v>2.9545796398128061</v>
      </c>
      <c r="J3">
        <v>2.6935740001005399</v>
      </c>
      <c r="K3">
        <v>2.8883547637960869</v>
      </c>
      <c r="L3">
        <v>2.433441543664145</v>
      </c>
      <c r="M3">
        <v>3.230742272133881</v>
      </c>
      <c r="N3">
        <v>3.4535371193268531</v>
      </c>
      <c r="O3">
        <v>2.925263223866494</v>
      </c>
      <c r="P3">
        <v>2.6092583302529699</v>
      </c>
    </row>
    <row r="4" spans="1:16" x14ac:dyDescent="0.35">
      <c r="A4" t="s">
        <v>8</v>
      </c>
      <c r="B4">
        <v>1.806082987993828</v>
      </c>
      <c r="C4">
        <v>0.3666099121472492</v>
      </c>
      <c r="D4">
        <v>0.4379246031148451</v>
      </c>
      <c r="E4">
        <v>1.133230435031473</v>
      </c>
      <c r="F4">
        <v>1.2760302205822951</v>
      </c>
      <c r="G4">
        <v>1.8794774340007789</v>
      </c>
      <c r="H4">
        <v>3.160246741800222</v>
      </c>
      <c r="I4">
        <v>2.2566430770290768</v>
      </c>
      <c r="J4">
        <v>2.1417272311525779</v>
      </c>
      <c r="K4">
        <v>3.2732852695648771</v>
      </c>
      <c r="L4">
        <v>2.38614689737296</v>
      </c>
      <c r="M4">
        <v>2.2347758009109202</v>
      </c>
      <c r="N4">
        <v>3.6986621596622942</v>
      </c>
      <c r="O4">
        <v>1.824092612816608</v>
      </c>
      <c r="P4">
        <v>1.0604071847512979</v>
      </c>
    </row>
    <row r="5" spans="1:16" x14ac:dyDescent="0.35">
      <c r="A5" t="s">
        <v>9</v>
      </c>
      <c r="B5">
        <v>3.5640201089717101</v>
      </c>
      <c r="C5">
        <v>3.5184798244211</v>
      </c>
      <c r="D5">
        <v>3.4849599808859031</v>
      </c>
      <c r="E5">
        <v>3.8271356383137758</v>
      </c>
      <c r="F5">
        <v>4.3696324973750631</v>
      </c>
      <c r="G5">
        <v>3.824158211990738</v>
      </c>
      <c r="H5">
        <v>3.6747188754629549</v>
      </c>
      <c r="I5">
        <v>3.923086826043753</v>
      </c>
      <c r="J5">
        <v>4.3065924371808624</v>
      </c>
      <c r="K5">
        <v>4.7151972532835948</v>
      </c>
      <c r="L5">
        <v>4.092107673836245</v>
      </c>
      <c r="M5">
        <v>3.9125482245324279</v>
      </c>
      <c r="N5">
        <v>3.8438311279089361</v>
      </c>
      <c r="O5">
        <v>4.2976229305336036</v>
      </c>
      <c r="P5">
        <v>4.410265223000204</v>
      </c>
    </row>
    <row r="6" spans="1:16" x14ac:dyDescent="0.35">
      <c r="A6" t="s">
        <v>10</v>
      </c>
      <c r="B6">
        <v>143.79164423476081</v>
      </c>
      <c r="C6">
        <v>142.6261755560823</v>
      </c>
      <c r="D6">
        <v>141.76378764495951</v>
      </c>
      <c r="E6">
        <v>144.6446676652441</v>
      </c>
      <c r="F6">
        <v>146.353591046535</v>
      </c>
      <c r="G6">
        <v>146.87247583572261</v>
      </c>
      <c r="H6">
        <v>148.28449631724459</v>
      </c>
      <c r="I6">
        <v>147.48191575572159</v>
      </c>
      <c r="J6">
        <v>148.0109285635011</v>
      </c>
      <c r="K6">
        <v>149.68863212033551</v>
      </c>
      <c r="L6">
        <v>147.90093399342331</v>
      </c>
      <c r="M6">
        <v>149.68577153925551</v>
      </c>
      <c r="N6">
        <v>151.39852766607149</v>
      </c>
      <c r="O6">
        <v>149.23908545203429</v>
      </c>
      <c r="P6">
        <v>148.3973612432456</v>
      </c>
    </row>
    <row r="7" spans="1:16" x14ac:dyDescent="0.35">
      <c r="A7" t="s">
        <v>11</v>
      </c>
      <c r="B7">
        <v>9868762.6500000004</v>
      </c>
      <c r="C7">
        <v>14890863.74</v>
      </c>
      <c r="D7">
        <v>27133083.940000001</v>
      </c>
      <c r="E7">
        <v>20905471.620000001</v>
      </c>
      <c r="F7">
        <v>20150209.120000001</v>
      </c>
      <c r="G7">
        <v>17056950.449999999</v>
      </c>
      <c r="H7">
        <v>17583715.16</v>
      </c>
      <c r="I7">
        <v>17097602.620000001</v>
      </c>
      <c r="J7">
        <v>16732440.75</v>
      </c>
      <c r="K7">
        <v>14256426.640000001</v>
      </c>
      <c r="L7">
        <v>11687199.460000001</v>
      </c>
      <c r="M7">
        <v>13480693.74</v>
      </c>
      <c r="N7">
        <v>12977476.5</v>
      </c>
      <c r="O7">
        <v>15293445.25</v>
      </c>
      <c r="P7">
        <v>18131306.359999999</v>
      </c>
    </row>
    <row r="9" spans="1:16" x14ac:dyDescent="0.35">
      <c r="A9" t="s">
        <v>12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97</v>
      </c>
      <c r="N9" t="s">
        <v>98</v>
      </c>
      <c r="O9" t="s">
        <v>99</v>
      </c>
      <c r="P9" t="s">
        <v>100</v>
      </c>
    </row>
    <row r="10" spans="1:16" x14ac:dyDescent="0.35">
      <c r="A10" t="s">
        <v>6</v>
      </c>
      <c r="B10">
        <v>139.70527825388501</v>
      </c>
      <c r="C10">
        <v>140.12303100310061</v>
      </c>
      <c r="D10">
        <v>139.74747250688861</v>
      </c>
      <c r="E10">
        <v>140.3139892810706</v>
      </c>
      <c r="F10">
        <v>140.88036613268429</v>
      </c>
      <c r="G10">
        <v>140.750942574882</v>
      </c>
      <c r="H10">
        <v>140.87436552495811</v>
      </c>
      <c r="I10">
        <v>140.73303315857291</v>
      </c>
      <c r="J10">
        <v>141.33269088283939</v>
      </c>
      <c r="K10">
        <v>141.6955244700919</v>
      </c>
      <c r="L10">
        <v>141.5711101607067</v>
      </c>
      <c r="M10">
        <v>142.27605870375029</v>
      </c>
      <c r="N10">
        <v>142.85904347215279</v>
      </c>
      <c r="O10">
        <v>142.90441183304819</v>
      </c>
      <c r="P10">
        <v>142.71977350508149</v>
      </c>
    </row>
    <row r="11" spans="1:16" x14ac:dyDescent="0.35">
      <c r="A11" t="s">
        <v>7</v>
      </c>
      <c r="B11">
        <v>0.59387331873710991</v>
      </c>
      <c r="C11">
        <v>0.48776534485435258</v>
      </c>
      <c r="D11">
        <v>0.50257910820536722</v>
      </c>
      <c r="E11">
        <v>0.78086634567205238</v>
      </c>
      <c r="F11">
        <v>1.3704554444839521</v>
      </c>
      <c r="G11">
        <v>1.6323948926587659</v>
      </c>
      <c r="H11">
        <v>1.1715317128364691</v>
      </c>
      <c r="I11">
        <v>1.82598881639251</v>
      </c>
      <c r="J11">
        <v>2.3356574251499751</v>
      </c>
      <c r="K11">
        <v>2.632678555500235</v>
      </c>
      <c r="L11">
        <v>2.6298723702402071</v>
      </c>
      <c r="M11">
        <v>2.910341225194458</v>
      </c>
      <c r="N11">
        <v>2.8285450207999361</v>
      </c>
      <c r="O11">
        <v>2.5528679583661358</v>
      </c>
      <c r="P11">
        <v>2.5915819378037379</v>
      </c>
    </row>
    <row r="12" spans="1:16" x14ac:dyDescent="0.35">
      <c r="A12" t="s">
        <v>8</v>
      </c>
      <c r="B12">
        <v>1.539748578626946</v>
      </c>
      <c r="C12">
        <v>1.193926747386703</v>
      </c>
      <c r="D12">
        <v>1.289610805601906</v>
      </c>
      <c r="E12">
        <v>1.4502895200442001</v>
      </c>
      <c r="F12">
        <v>1.5363057128549069</v>
      </c>
      <c r="G12">
        <v>2.1329128211570252</v>
      </c>
      <c r="H12">
        <v>2.048544052818809</v>
      </c>
      <c r="I12">
        <v>2.2774617475139358</v>
      </c>
      <c r="J12">
        <v>2.544488049006159</v>
      </c>
      <c r="K12">
        <v>3.59935264291834</v>
      </c>
      <c r="L12">
        <v>3.536668777772797</v>
      </c>
      <c r="M12">
        <v>3.8750605241760461</v>
      </c>
      <c r="N12">
        <v>3.5438180911222581</v>
      </c>
      <c r="O12">
        <v>2.456928899154148</v>
      </c>
      <c r="P12">
        <v>1.956500811992776</v>
      </c>
    </row>
    <row r="13" spans="1:16" x14ac:dyDescent="0.35">
      <c r="A13" t="s">
        <v>9</v>
      </c>
      <c r="B13">
        <v>4.7805216211832171</v>
      </c>
      <c r="C13">
        <v>4.9507301771969514</v>
      </c>
      <c r="D13">
        <v>5.2774520916881507</v>
      </c>
      <c r="E13">
        <v>5.7751107385413416</v>
      </c>
      <c r="F13">
        <v>6.1154357574655327</v>
      </c>
      <c r="G13">
        <v>6.4291875014173483</v>
      </c>
      <c r="H13">
        <v>6.0678480213073351</v>
      </c>
      <c r="I13">
        <v>6.0272915781759702</v>
      </c>
      <c r="J13">
        <v>6.367500606487476</v>
      </c>
      <c r="K13">
        <v>6.4489493561125704</v>
      </c>
      <c r="L13">
        <v>6.336341585001283</v>
      </c>
      <c r="M13">
        <v>5.8401444657013686</v>
      </c>
      <c r="N13">
        <v>5.775916302943795</v>
      </c>
      <c r="O13">
        <v>4.8515724996313141</v>
      </c>
      <c r="P13">
        <v>5.1339289334437037</v>
      </c>
    </row>
    <row r="14" spans="1:16" x14ac:dyDescent="0.35">
      <c r="A14" t="s">
        <v>10</v>
      </c>
      <c r="B14">
        <v>146.6194217724323</v>
      </c>
      <c r="C14">
        <v>146.7554532725386</v>
      </c>
      <c r="D14">
        <v>146.81711451238411</v>
      </c>
      <c r="E14">
        <v>148.32025588532821</v>
      </c>
      <c r="F14">
        <v>149.9025630474886</v>
      </c>
      <c r="G14">
        <v>150.94543779011519</v>
      </c>
      <c r="H14">
        <v>150.16228931192069</v>
      </c>
      <c r="I14">
        <v>150.86377530065531</v>
      </c>
      <c r="J14">
        <v>152.58033696348309</v>
      </c>
      <c r="K14">
        <v>154.37650502462299</v>
      </c>
      <c r="L14">
        <v>154.073992893721</v>
      </c>
      <c r="M14">
        <v>154.90160491882219</v>
      </c>
      <c r="N14">
        <v>155.0073228870188</v>
      </c>
      <c r="O14">
        <v>152.76578119019979</v>
      </c>
      <c r="P14">
        <v>152.40178518832181</v>
      </c>
    </row>
    <row r="15" spans="1:16" x14ac:dyDescent="0.35">
      <c r="A15" t="s">
        <v>11</v>
      </c>
      <c r="B15">
        <v>32610595.170000002</v>
      </c>
      <c r="C15">
        <v>44929815.580000013</v>
      </c>
      <c r="D15">
        <v>82953275.129999995</v>
      </c>
      <c r="E15">
        <v>64580875.18</v>
      </c>
      <c r="F15">
        <v>58491785.060000002</v>
      </c>
      <c r="G15">
        <v>54601273.239999987</v>
      </c>
      <c r="H15">
        <v>57244767.819999993</v>
      </c>
      <c r="I15">
        <v>48856729.909999996</v>
      </c>
      <c r="J15">
        <v>44999405.280000001</v>
      </c>
      <c r="K15">
        <v>43740977.140000001</v>
      </c>
      <c r="L15">
        <v>33953461.039999999</v>
      </c>
      <c r="M15">
        <v>40265003.739999987</v>
      </c>
      <c r="N15">
        <v>36219363.130000003</v>
      </c>
      <c r="O15">
        <v>45565393.689999998</v>
      </c>
      <c r="P15">
        <v>59703672.200000003</v>
      </c>
    </row>
    <row r="17" spans="1:16" x14ac:dyDescent="0.35">
      <c r="A17" t="s">
        <v>13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 t="s">
        <v>92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98</v>
      </c>
      <c r="O17" t="s">
        <v>99</v>
      </c>
      <c r="P17" t="s">
        <v>100</v>
      </c>
    </row>
    <row r="18" spans="1:16" x14ac:dyDescent="0.35">
      <c r="A18" t="s">
        <v>6</v>
      </c>
      <c r="B18">
        <v>136.75774601401861</v>
      </c>
      <c r="C18">
        <v>136.52400540454479</v>
      </c>
      <c r="D18">
        <v>136.69779226902199</v>
      </c>
      <c r="E18">
        <v>137.49792790828249</v>
      </c>
      <c r="F18">
        <v>137.93118439961589</v>
      </c>
      <c r="G18">
        <v>138.53779575058419</v>
      </c>
      <c r="H18">
        <v>138.60140861217931</v>
      </c>
      <c r="I18">
        <v>138.34121080928449</v>
      </c>
      <c r="J18">
        <v>139.08055365154291</v>
      </c>
      <c r="K18">
        <v>139.19215768334101</v>
      </c>
      <c r="L18">
        <v>139.60755139561181</v>
      </c>
      <c r="M18">
        <v>141.45994790472599</v>
      </c>
      <c r="N18">
        <v>141.645958112448</v>
      </c>
      <c r="O18">
        <v>140.93371975239111</v>
      </c>
      <c r="P18">
        <v>140.78766423619419</v>
      </c>
    </row>
    <row r="19" spans="1:16" x14ac:dyDescent="0.35">
      <c r="A19" t="s">
        <v>7</v>
      </c>
      <c r="B19">
        <v>2.1713071678408369</v>
      </c>
      <c r="C19">
        <v>1.8482328148009799</v>
      </c>
      <c r="D19">
        <v>1.47818144231934</v>
      </c>
      <c r="E19">
        <v>1.820187474680182</v>
      </c>
      <c r="F19">
        <v>1.956250921843264</v>
      </c>
      <c r="G19">
        <v>2.241795311568382</v>
      </c>
      <c r="H19">
        <v>2.0630994804249099</v>
      </c>
      <c r="I19">
        <v>2.0840521961240199</v>
      </c>
      <c r="J19">
        <v>2.4076710595207942</v>
      </c>
      <c r="K19">
        <v>2.5081791959429149</v>
      </c>
      <c r="L19">
        <v>2.7432431568124969</v>
      </c>
      <c r="M19">
        <v>2.9830523126347539</v>
      </c>
      <c r="N19">
        <v>3.3248446080932581</v>
      </c>
      <c r="O19">
        <v>3.053317628168458</v>
      </c>
      <c r="P19">
        <v>2.695941261512246</v>
      </c>
    </row>
    <row r="20" spans="1:16" x14ac:dyDescent="0.35">
      <c r="A20" t="s">
        <v>8</v>
      </c>
      <c r="B20">
        <v>1.9946011665790979</v>
      </c>
      <c r="C20">
        <v>1.9361307421916449</v>
      </c>
      <c r="D20">
        <v>1.6742657004200521</v>
      </c>
      <c r="E20">
        <v>2.3434130432493911</v>
      </c>
      <c r="F20">
        <v>2.7510456667854402</v>
      </c>
      <c r="G20">
        <v>2.9920304167441358</v>
      </c>
      <c r="H20">
        <v>2.8540049014336102</v>
      </c>
      <c r="I20">
        <v>2.2351819251236331</v>
      </c>
      <c r="J20">
        <v>2.972196775695521</v>
      </c>
      <c r="K20">
        <v>3.7604147895005968</v>
      </c>
      <c r="L20">
        <v>3.934346081367444</v>
      </c>
      <c r="M20">
        <v>3.888457804086928</v>
      </c>
      <c r="N20">
        <v>4.24519294691944</v>
      </c>
      <c r="O20">
        <v>2.788124222838742</v>
      </c>
      <c r="P20">
        <v>2.5564420069477292</v>
      </c>
    </row>
    <row r="21" spans="1:16" x14ac:dyDescent="0.35">
      <c r="A21" t="s">
        <v>9</v>
      </c>
      <c r="B21">
        <v>5.1823894123148042</v>
      </c>
      <c r="C21">
        <v>4.754547911880266</v>
      </c>
      <c r="D21">
        <v>5.3692440100130554</v>
      </c>
      <c r="E21">
        <v>5.5978855068024886</v>
      </c>
      <c r="F21">
        <v>6.3194836936385084</v>
      </c>
      <c r="G21">
        <v>6.5889627634720149</v>
      </c>
      <c r="H21">
        <v>5.7790027623980764</v>
      </c>
      <c r="I21">
        <v>6.1033247195504323</v>
      </c>
      <c r="J21">
        <v>6.2194162424066981</v>
      </c>
      <c r="K21">
        <v>6.7539663013003182</v>
      </c>
      <c r="L21">
        <v>5.9459655651382803</v>
      </c>
      <c r="M21">
        <v>5.8266945332293396</v>
      </c>
      <c r="N21">
        <v>5.0865155445861463</v>
      </c>
      <c r="O21">
        <v>5.4642839818125388</v>
      </c>
      <c r="P21">
        <v>5.2216903464130917</v>
      </c>
    </row>
    <row r="22" spans="1:16" x14ac:dyDescent="0.35">
      <c r="A22" t="s">
        <v>10</v>
      </c>
      <c r="B22">
        <v>146.10604376075341</v>
      </c>
      <c r="C22">
        <v>145.06291687341761</v>
      </c>
      <c r="D22">
        <v>145.21948342177441</v>
      </c>
      <c r="E22">
        <v>147.25941393301451</v>
      </c>
      <c r="F22">
        <v>148.95796468188311</v>
      </c>
      <c r="G22">
        <v>150.3605842423687</v>
      </c>
      <c r="H22">
        <v>149.2975157564359</v>
      </c>
      <c r="I22">
        <v>148.76376965008259</v>
      </c>
      <c r="J22">
        <v>150.67983772916591</v>
      </c>
      <c r="K22">
        <v>152.21471797008479</v>
      </c>
      <c r="L22">
        <v>152.23110619893001</v>
      </c>
      <c r="M22">
        <v>154.158152554677</v>
      </c>
      <c r="N22">
        <v>154.3025112120468</v>
      </c>
      <c r="O22">
        <v>152.23944558521089</v>
      </c>
      <c r="P22">
        <v>151.26173785106729</v>
      </c>
    </row>
    <row r="23" spans="1:16" x14ac:dyDescent="0.35">
      <c r="A23" t="s">
        <v>11</v>
      </c>
      <c r="B23">
        <v>18627867.27</v>
      </c>
      <c r="C23">
        <v>28705717.329999998</v>
      </c>
      <c r="D23">
        <v>51631289.099999987</v>
      </c>
      <c r="E23">
        <v>44571289.389999993</v>
      </c>
      <c r="F23">
        <v>38618039.399999999</v>
      </c>
      <c r="G23">
        <v>34760578.880000003</v>
      </c>
      <c r="H23">
        <v>34144096.829999998</v>
      </c>
      <c r="I23">
        <v>29639193.84</v>
      </c>
      <c r="J23">
        <v>27567874.100000001</v>
      </c>
      <c r="K23">
        <v>29279292.629999999</v>
      </c>
      <c r="L23">
        <v>19397557.25</v>
      </c>
      <c r="M23">
        <v>23411430.379999999</v>
      </c>
      <c r="N23">
        <v>23605704.989999998</v>
      </c>
      <c r="O23">
        <v>31125454.649999999</v>
      </c>
      <c r="P23">
        <v>37596079.119999997</v>
      </c>
    </row>
    <row r="25" spans="1:16" x14ac:dyDescent="0.35">
      <c r="A25" t="s">
        <v>14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98</v>
      </c>
      <c r="O25" t="s">
        <v>99</v>
      </c>
      <c r="P25" t="s">
        <v>100</v>
      </c>
    </row>
    <row r="26" spans="1:16" x14ac:dyDescent="0.35">
      <c r="A26" t="s">
        <v>6</v>
      </c>
      <c r="B26">
        <v>136.4215737313628</v>
      </c>
      <c r="C26">
        <v>136.41165137911199</v>
      </c>
      <c r="D26">
        <v>137.00480784080429</v>
      </c>
      <c r="E26">
        <v>138.24832685494019</v>
      </c>
      <c r="F26">
        <v>138.6684550841544</v>
      </c>
      <c r="G26">
        <v>138.12845401030489</v>
      </c>
      <c r="H26">
        <v>138.5913438881804</v>
      </c>
      <c r="I26">
        <v>137.6271122901465</v>
      </c>
      <c r="J26">
        <v>138.1409944082915</v>
      </c>
      <c r="K26">
        <v>137.97813880528531</v>
      </c>
      <c r="L26">
        <v>138.55363015780651</v>
      </c>
      <c r="M26">
        <v>140.49700157079661</v>
      </c>
      <c r="N26">
        <v>140.9571210245787</v>
      </c>
      <c r="O26">
        <v>140.86454616220649</v>
      </c>
      <c r="P26">
        <v>141.15417394790231</v>
      </c>
    </row>
    <row r="27" spans="1:16" x14ac:dyDescent="0.35">
      <c r="A27" t="s">
        <v>7</v>
      </c>
      <c r="B27">
        <v>2.6958864171470789</v>
      </c>
      <c r="C27">
        <v>2.676909540911538</v>
      </c>
      <c r="D27">
        <v>1.940656710596016</v>
      </c>
      <c r="E27">
        <v>1.941941986646839</v>
      </c>
      <c r="F27">
        <v>2.6240997453171531</v>
      </c>
      <c r="G27">
        <v>2.914436090811932</v>
      </c>
      <c r="H27">
        <v>2.8942933437785712</v>
      </c>
      <c r="I27">
        <v>2.8307259846212962</v>
      </c>
      <c r="J27">
        <v>3.1107711595261951</v>
      </c>
      <c r="K27">
        <v>1.774553058715497</v>
      </c>
      <c r="L27">
        <v>1.5106836138427009</v>
      </c>
      <c r="M27">
        <v>2.197038849802226</v>
      </c>
      <c r="N27">
        <v>2.5769788618457601</v>
      </c>
      <c r="O27">
        <v>2.3673925042422752</v>
      </c>
      <c r="P27">
        <v>1.9679152264645841</v>
      </c>
    </row>
    <row r="28" spans="1:16" x14ac:dyDescent="0.35">
      <c r="A28" t="s">
        <v>8</v>
      </c>
      <c r="B28">
        <v>3.0121645967081752</v>
      </c>
      <c r="C28">
        <v>3.203198449333605</v>
      </c>
      <c r="D28">
        <v>1.246481463182048</v>
      </c>
      <c r="E28">
        <v>1.16322363596123</v>
      </c>
      <c r="F28">
        <v>1.2286452427104351</v>
      </c>
      <c r="G28">
        <v>2.3002801001149429</v>
      </c>
      <c r="H28">
        <v>2.5365975059392181</v>
      </c>
      <c r="I28">
        <v>1.7180196785467221</v>
      </c>
      <c r="J28">
        <v>2.3491964182801901</v>
      </c>
      <c r="K28">
        <v>2.5062366603709481</v>
      </c>
      <c r="L28">
        <v>2.490146227937549</v>
      </c>
      <c r="M28">
        <v>2.8187840601385181</v>
      </c>
      <c r="N28">
        <v>1.290234708829324</v>
      </c>
      <c r="O28">
        <v>1.0125004856676669</v>
      </c>
      <c r="P28">
        <v>0.70919517816607214</v>
      </c>
    </row>
    <row r="29" spans="1:16" x14ac:dyDescent="0.35">
      <c r="A29" t="s">
        <v>9</v>
      </c>
      <c r="B29">
        <v>0.95451905016446137</v>
      </c>
      <c r="C29">
        <v>0.71539302690814521</v>
      </c>
      <c r="D29">
        <v>0.81146972988889998</v>
      </c>
      <c r="E29">
        <v>0.36633046749196302</v>
      </c>
      <c r="F29">
        <v>0.42711998644923682</v>
      </c>
      <c r="G29">
        <v>0.62515751462254143</v>
      </c>
      <c r="H29">
        <v>0.39222910072097023</v>
      </c>
      <c r="I29">
        <v>0.43312515434917032</v>
      </c>
      <c r="J29">
        <v>0.52320619284069769</v>
      </c>
      <c r="K29">
        <v>0.6446130357801092</v>
      </c>
      <c r="L29">
        <v>0.63728037968890527</v>
      </c>
      <c r="M29">
        <v>0.17934516957055971</v>
      </c>
      <c r="N29">
        <v>-0.43081938273389558</v>
      </c>
      <c r="O29">
        <v>-1.2335384441167109E-2</v>
      </c>
      <c r="P29">
        <v>-0.20236109139758471</v>
      </c>
    </row>
    <row r="30" spans="1:16" x14ac:dyDescent="0.35">
      <c r="A30" t="s">
        <v>10</v>
      </c>
      <c r="B30">
        <v>143.08414379538249</v>
      </c>
      <c r="C30">
        <v>143.0071523962653</v>
      </c>
      <c r="D30">
        <v>141.00341574447131</v>
      </c>
      <c r="E30">
        <v>141.71982294504019</v>
      </c>
      <c r="F30">
        <v>142.94832005863131</v>
      </c>
      <c r="G30">
        <v>143.96832771585429</v>
      </c>
      <c r="H30">
        <v>144.41446383861921</v>
      </c>
      <c r="I30">
        <v>142.6089831076637</v>
      </c>
      <c r="J30">
        <v>144.1241681789385</v>
      </c>
      <c r="K30">
        <v>142.90354156015181</v>
      </c>
      <c r="L30">
        <v>143.19174037927559</v>
      </c>
      <c r="M30">
        <v>145.6921696503079</v>
      </c>
      <c r="N30">
        <v>144.3935152125199</v>
      </c>
      <c r="O30">
        <v>144.2321037676752</v>
      </c>
      <c r="P30">
        <v>143.6289232611353</v>
      </c>
    </row>
    <row r="31" spans="1:16" x14ac:dyDescent="0.35">
      <c r="A31" t="s">
        <v>11</v>
      </c>
      <c r="B31">
        <v>7900463.2300000004</v>
      </c>
      <c r="C31">
        <v>11557613.609999999</v>
      </c>
      <c r="D31">
        <v>21639318.82</v>
      </c>
      <c r="E31">
        <v>15076974.26</v>
      </c>
      <c r="F31">
        <v>13187473.550000001</v>
      </c>
      <c r="G31">
        <v>12455796.220000001</v>
      </c>
      <c r="H31">
        <v>12505189.220000001</v>
      </c>
      <c r="I31">
        <v>14273849.310000001</v>
      </c>
      <c r="J31">
        <v>16451781.51</v>
      </c>
      <c r="K31">
        <v>16268176.720000001</v>
      </c>
      <c r="L31">
        <v>13516601.1</v>
      </c>
      <c r="M31">
        <v>13524970.779999999</v>
      </c>
      <c r="N31">
        <v>12295123.619999999</v>
      </c>
      <c r="O31">
        <v>19105180.579999998</v>
      </c>
      <c r="P31">
        <v>22810376.539999999</v>
      </c>
    </row>
    <row r="33" spans="1:16" x14ac:dyDescent="0.35">
      <c r="A33" t="s">
        <v>15</v>
      </c>
      <c r="B33" t="s">
        <v>86</v>
      </c>
      <c r="C33" t="s">
        <v>87</v>
      </c>
      <c r="D33" t="s">
        <v>88</v>
      </c>
      <c r="E33" t="s">
        <v>89</v>
      </c>
      <c r="F33" t="s">
        <v>90</v>
      </c>
      <c r="G33" t="s">
        <v>91</v>
      </c>
      <c r="H33" t="s">
        <v>92</v>
      </c>
      <c r="I33" t="s">
        <v>93</v>
      </c>
      <c r="J33" t="s">
        <v>94</v>
      </c>
      <c r="K33" t="s">
        <v>95</v>
      </c>
      <c r="L33" t="s">
        <v>96</v>
      </c>
      <c r="M33" t="s">
        <v>97</v>
      </c>
      <c r="N33" t="s">
        <v>98</v>
      </c>
      <c r="O33" t="s">
        <v>99</v>
      </c>
      <c r="P33" t="s">
        <v>100</v>
      </c>
    </row>
    <row r="34" spans="1:16" x14ac:dyDescent="0.35">
      <c r="A34" t="s">
        <v>6</v>
      </c>
      <c r="B34">
        <v>134.35792981546291</v>
      </c>
      <c r="C34">
        <v>134.02519775244249</v>
      </c>
      <c r="D34">
        <v>135.00827981675121</v>
      </c>
      <c r="E34">
        <v>136.09755612652481</v>
      </c>
      <c r="F34">
        <v>136.3900958721789</v>
      </c>
      <c r="G34">
        <v>136.90217609882581</v>
      </c>
      <c r="H34">
        <v>137.18613074932281</v>
      </c>
      <c r="I34">
        <v>137.01531712948389</v>
      </c>
      <c r="J34">
        <v>136.80392197560491</v>
      </c>
      <c r="K34">
        <v>136.94292571449719</v>
      </c>
      <c r="L34">
        <v>136.85526828272091</v>
      </c>
      <c r="M34">
        <v>137.9758777374139</v>
      </c>
      <c r="N34">
        <v>139.55613891294021</v>
      </c>
      <c r="O34">
        <v>139.68003287967801</v>
      </c>
      <c r="P34">
        <v>140.1263748216266</v>
      </c>
    </row>
    <row r="35" spans="1:16" x14ac:dyDescent="0.35">
      <c r="A35" t="s">
        <v>7</v>
      </c>
      <c r="B35">
        <v>-0.79977242195556641</v>
      </c>
      <c r="C35">
        <v>-0.97142657093399976</v>
      </c>
      <c r="D35">
        <v>-1.40106836654823</v>
      </c>
      <c r="E35">
        <v>-0.44913241486568722</v>
      </c>
      <c r="F35">
        <v>0.35782348173765399</v>
      </c>
      <c r="G35">
        <v>0.81119102694287903</v>
      </c>
      <c r="H35">
        <v>0.454274407383366</v>
      </c>
      <c r="I35">
        <v>-0.17780531535640881</v>
      </c>
      <c r="J35">
        <v>-0.1104418008027039</v>
      </c>
      <c r="K35">
        <v>0.81943684119778482</v>
      </c>
      <c r="L35">
        <v>0.96397988784647737</v>
      </c>
      <c r="M35">
        <v>1.35343519890435</v>
      </c>
      <c r="N35">
        <v>1.4664673132595849</v>
      </c>
      <c r="O35">
        <v>1.230779880959346</v>
      </c>
      <c r="P35">
        <v>0.57739653950233105</v>
      </c>
    </row>
    <row r="36" spans="1:16" x14ac:dyDescent="0.35">
      <c r="A36" t="s">
        <v>8</v>
      </c>
      <c r="B36">
        <v>4.1918520227971481</v>
      </c>
      <c r="C36">
        <v>4.6659912174228539</v>
      </c>
      <c r="D36">
        <v>3.570244641205444</v>
      </c>
      <c r="E36">
        <v>2.6118913829282309</v>
      </c>
      <c r="F36">
        <v>3.0728763523922948</v>
      </c>
      <c r="G36">
        <v>3.1497421278999069</v>
      </c>
      <c r="H36">
        <v>3.011536562594868</v>
      </c>
      <c r="I36">
        <v>2.9062651841672058</v>
      </c>
      <c r="J36">
        <v>2.954937622822186</v>
      </c>
      <c r="K36">
        <v>3.538414877780776</v>
      </c>
      <c r="L36">
        <v>3.7543970332439449</v>
      </c>
      <c r="M36">
        <v>4.5330373817413152</v>
      </c>
      <c r="N36">
        <v>3.0723885177623909</v>
      </c>
      <c r="O36">
        <v>3.1026058489082549</v>
      </c>
      <c r="P36">
        <v>2.8464469342956011</v>
      </c>
    </row>
    <row r="37" spans="1:16" x14ac:dyDescent="0.35">
      <c r="A37" t="s">
        <v>9</v>
      </c>
      <c r="B37">
        <v>1.2293411253272131</v>
      </c>
      <c r="C37">
        <v>1.408418823734958</v>
      </c>
      <c r="D37">
        <v>1.7514786491212591</v>
      </c>
      <c r="E37">
        <v>1.7942441247194549</v>
      </c>
      <c r="F37">
        <v>2.052156509138535</v>
      </c>
      <c r="G37">
        <v>1.9851860737973619</v>
      </c>
      <c r="H37">
        <v>1.8796194099702921</v>
      </c>
      <c r="I37">
        <v>1.8254545076891799</v>
      </c>
      <c r="J37">
        <v>1.8316477361025389</v>
      </c>
      <c r="K37">
        <v>1.9127140306822601</v>
      </c>
      <c r="L37">
        <v>1.814207612174638</v>
      </c>
      <c r="M37">
        <v>1.2877273636652109</v>
      </c>
      <c r="N37">
        <v>1.242338165011555</v>
      </c>
      <c r="O37">
        <v>1.364554485696545</v>
      </c>
      <c r="P37">
        <v>1.7680574162863401</v>
      </c>
    </row>
    <row r="38" spans="1:16" x14ac:dyDescent="0.35">
      <c r="A38" t="s">
        <v>10</v>
      </c>
      <c r="B38">
        <v>138.9793505416317</v>
      </c>
      <c r="C38">
        <v>139.12818122266631</v>
      </c>
      <c r="D38">
        <v>138.9289347405296</v>
      </c>
      <c r="E38">
        <v>140.05455921930681</v>
      </c>
      <c r="F38">
        <v>141.87295221544741</v>
      </c>
      <c r="G38">
        <v>142.84829532746599</v>
      </c>
      <c r="H38">
        <v>142.53156112927141</v>
      </c>
      <c r="I38">
        <v>141.56923150598391</v>
      </c>
      <c r="J38">
        <v>141.4800655337269</v>
      </c>
      <c r="K38">
        <v>143.2134914641581</v>
      </c>
      <c r="L38">
        <v>143.38785281598601</v>
      </c>
      <c r="M38">
        <v>145.15007768172481</v>
      </c>
      <c r="N38">
        <v>145.33733290897371</v>
      </c>
      <c r="O38">
        <v>145.37797309524211</v>
      </c>
      <c r="P38">
        <v>145.3182757117109</v>
      </c>
    </row>
    <row r="39" spans="1:16" x14ac:dyDescent="0.35">
      <c r="A39" t="s">
        <v>11</v>
      </c>
      <c r="B39">
        <v>27099620.010000002</v>
      </c>
      <c r="C39">
        <v>41555891.960000001</v>
      </c>
      <c r="D39">
        <v>70926139.269999996</v>
      </c>
      <c r="E39">
        <v>53117791.619999997</v>
      </c>
      <c r="F39">
        <v>39710399.25</v>
      </c>
      <c r="G39">
        <v>37404344.810000002</v>
      </c>
      <c r="H39">
        <v>39053427.369999997</v>
      </c>
      <c r="I39">
        <v>33459273.850000001</v>
      </c>
      <c r="J39">
        <v>36171977.130000003</v>
      </c>
      <c r="K39">
        <v>38500247.890000001</v>
      </c>
      <c r="L39">
        <v>27241052.370000001</v>
      </c>
      <c r="M39">
        <v>25710349.010000002</v>
      </c>
      <c r="N39">
        <v>27036843.100000001</v>
      </c>
      <c r="O39">
        <v>26610126.82</v>
      </c>
      <c r="P39">
        <v>36347525.289999999</v>
      </c>
    </row>
    <row r="41" spans="1:16" x14ac:dyDescent="0.35">
      <c r="A41" t="s">
        <v>16</v>
      </c>
      <c r="B41" t="s">
        <v>86</v>
      </c>
      <c r="C41" t="s">
        <v>87</v>
      </c>
      <c r="D41" t="s">
        <v>88</v>
      </c>
      <c r="E41" t="s">
        <v>89</v>
      </c>
      <c r="F41" t="s">
        <v>90</v>
      </c>
      <c r="G41" t="s">
        <v>91</v>
      </c>
      <c r="H41" t="s">
        <v>92</v>
      </c>
      <c r="I41" t="s">
        <v>93</v>
      </c>
      <c r="J41" t="s">
        <v>94</v>
      </c>
      <c r="K41" t="s">
        <v>95</v>
      </c>
      <c r="L41" t="s">
        <v>96</v>
      </c>
      <c r="M41" t="s">
        <v>97</v>
      </c>
      <c r="N41" t="s">
        <v>98</v>
      </c>
      <c r="O41" t="s">
        <v>99</v>
      </c>
      <c r="P41" t="s">
        <v>100</v>
      </c>
    </row>
    <row r="42" spans="1:16" x14ac:dyDescent="0.35">
      <c r="A42" t="s">
        <v>6</v>
      </c>
      <c r="B42">
        <v>139.95679282827749</v>
      </c>
      <c r="C42">
        <v>139.57118765106489</v>
      </c>
      <c r="D42">
        <v>139.68386138223451</v>
      </c>
      <c r="E42">
        <v>139.8094608469797</v>
      </c>
      <c r="F42">
        <v>139.77613114226841</v>
      </c>
      <c r="G42">
        <v>140.02728618661041</v>
      </c>
      <c r="H42">
        <v>140.1327765779435</v>
      </c>
      <c r="I42">
        <v>139.79081566229519</v>
      </c>
      <c r="J42">
        <v>139.843765440666</v>
      </c>
      <c r="K42">
        <v>140.2196489854974</v>
      </c>
      <c r="L42">
        <v>140.76905648767581</v>
      </c>
      <c r="M42">
        <v>141.84195202290809</v>
      </c>
      <c r="N42">
        <v>141.72104563639979</v>
      </c>
      <c r="O42">
        <v>141.96365269253579</v>
      </c>
      <c r="P42">
        <v>142.30926970643699</v>
      </c>
    </row>
    <row r="43" spans="1:16" x14ac:dyDescent="0.35">
      <c r="A43" t="s">
        <v>7</v>
      </c>
      <c r="B43">
        <v>-0.41800089365588627</v>
      </c>
      <c r="C43">
        <v>-0.68403032529940333</v>
      </c>
      <c r="D43">
        <v>-0.72654825442745619</v>
      </c>
      <c r="E43">
        <v>0.2724213193935725</v>
      </c>
      <c r="F43">
        <v>1.189023634261162</v>
      </c>
      <c r="G43">
        <v>1.883518078822334</v>
      </c>
      <c r="H43">
        <v>1.694739146477815</v>
      </c>
      <c r="I43">
        <v>0.42670861571434671</v>
      </c>
      <c r="J43">
        <v>0.53115166971542749</v>
      </c>
      <c r="K43">
        <v>1.148158294976128</v>
      </c>
      <c r="L43">
        <v>0.78095481299507696</v>
      </c>
      <c r="M43">
        <v>0.72547961541656036</v>
      </c>
      <c r="N43">
        <v>0.34767988269018701</v>
      </c>
      <c r="O43">
        <v>-0.38835386846795927</v>
      </c>
      <c r="P43">
        <v>-0.35395754139466362</v>
      </c>
    </row>
    <row r="44" spans="1:16" x14ac:dyDescent="0.35">
      <c r="A44" t="s">
        <v>8</v>
      </c>
      <c r="B44">
        <v>-0.76191844740828352</v>
      </c>
      <c r="C44">
        <v>-0.79055050003734773</v>
      </c>
      <c r="D44">
        <v>-0.5893599712166272</v>
      </c>
      <c r="E44">
        <v>-0.46938659889908319</v>
      </c>
      <c r="F44">
        <v>0.12972521208594631</v>
      </c>
      <c r="G44">
        <v>0.28496881361102211</v>
      </c>
      <c r="H44">
        <v>0.2799091250562567</v>
      </c>
      <c r="I44">
        <v>0.56650321366277911</v>
      </c>
      <c r="J44">
        <v>0.34373470813100981</v>
      </c>
      <c r="K44">
        <v>0.47761469925222622</v>
      </c>
      <c r="L44">
        <v>0.41877357602880533</v>
      </c>
      <c r="M44">
        <v>1.1859339662474799</v>
      </c>
      <c r="N44">
        <v>0.70129492631700252</v>
      </c>
      <c r="O44">
        <v>0.38842962624448879</v>
      </c>
      <c r="P44">
        <v>0.48125444518115901</v>
      </c>
    </row>
    <row r="45" spans="1:16" x14ac:dyDescent="0.35">
      <c r="A45" t="s">
        <v>9</v>
      </c>
      <c r="B45">
        <v>-1.434391771772987</v>
      </c>
      <c r="C45">
        <v>-0.5173078006311409</v>
      </c>
      <c r="D45">
        <v>-0.51493267977581703</v>
      </c>
      <c r="E45">
        <v>-0.22086503014808151</v>
      </c>
      <c r="F45">
        <v>-0.47158012661815202</v>
      </c>
      <c r="G45">
        <v>-0.29713633814056528</v>
      </c>
      <c r="H45">
        <v>-0.2468318551669875</v>
      </c>
      <c r="I45">
        <v>-0.43727952873356513</v>
      </c>
      <c r="J45">
        <v>-0.81474650804905657</v>
      </c>
      <c r="K45">
        <v>-0.69166913677654418</v>
      </c>
      <c r="L45">
        <v>-0.57776495735606548</v>
      </c>
      <c r="M45">
        <v>0.55313255197079547</v>
      </c>
      <c r="N45">
        <v>0.3873483915165708</v>
      </c>
      <c r="O45">
        <v>0.52062233680092096</v>
      </c>
      <c r="P45">
        <v>0.411349018617581</v>
      </c>
    </row>
    <row r="46" spans="1:16" x14ac:dyDescent="0.35">
      <c r="A46" t="s">
        <v>10</v>
      </c>
      <c r="B46">
        <v>137.3424817154403</v>
      </c>
      <c r="C46">
        <v>137.57929902509699</v>
      </c>
      <c r="D46">
        <v>137.85302047681461</v>
      </c>
      <c r="E46">
        <v>139.39163053732619</v>
      </c>
      <c r="F46">
        <v>140.62329986199731</v>
      </c>
      <c r="G46">
        <v>141.89863674090321</v>
      </c>
      <c r="H46">
        <v>141.86059299431059</v>
      </c>
      <c r="I46">
        <v>140.34674796293871</v>
      </c>
      <c r="J46">
        <v>139.90390531046339</v>
      </c>
      <c r="K46">
        <v>141.15375284294919</v>
      </c>
      <c r="L46">
        <v>141.39101991934359</v>
      </c>
      <c r="M46">
        <v>144.30649815654289</v>
      </c>
      <c r="N46">
        <v>143.15736883692361</v>
      </c>
      <c r="O46">
        <v>142.48435078711319</v>
      </c>
      <c r="P46">
        <v>142.84791562884109</v>
      </c>
    </row>
    <row r="47" spans="1:16" x14ac:dyDescent="0.35">
      <c r="A47" t="s">
        <v>11</v>
      </c>
      <c r="B47">
        <v>94400319.599999994</v>
      </c>
      <c r="C47">
        <v>140705333.02000001</v>
      </c>
      <c r="D47">
        <v>203720862.69</v>
      </c>
      <c r="E47">
        <v>137438938.69</v>
      </c>
      <c r="F47">
        <v>129999023.52</v>
      </c>
      <c r="G47">
        <v>119035842.27</v>
      </c>
      <c r="H47">
        <v>119294876.54000001</v>
      </c>
      <c r="I47">
        <v>123742213.12</v>
      </c>
      <c r="J47">
        <v>136356973.06</v>
      </c>
      <c r="K47">
        <v>120572783.25</v>
      </c>
      <c r="L47">
        <v>104272824.44</v>
      </c>
      <c r="M47">
        <v>116993481.83</v>
      </c>
      <c r="N47">
        <v>134186166.81999999</v>
      </c>
      <c r="O47">
        <v>168259480.15000001</v>
      </c>
      <c r="P47">
        <v>239106462.94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65"/>
  <sheetViews>
    <sheetView tabSelected="1" zoomScale="107" zoomScaleNormal="160" workbookViewId="0">
      <selection activeCell="A67" sqref="A67"/>
    </sheetView>
  </sheetViews>
  <sheetFormatPr defaultRowHeight="14.5" x14ac:dyDescent="0.35"/>
  <cols>
    <col min="1" max="1" width="15.90625" bestFit="1" customWidth="1"/>
    <col min="2" max="6" width="12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136.83702494495719</v>
      </c>
      <c r="C2">
        <v>138.03381902691669</v>
      </c>
      <c r="D2">
        <v>138.55808093396249</v>
      </c>
      <c r="E2">
        <v>139.3761012547063</v>
      </c>
      <c r="F2">
        <v>140.30191778511499</v>
      </c>
    </row>
    <row r="3" spans="1:6" x14ac:dyDescent="0.35">
      <c r="A3" t="s">
        <v>7</v>
      </c>
      <c r="B3">
        <v>1.3731745881673869</v>
      </c>
      <c r="C3">
        <v>2.4410980452829851</v>
      </c>
      <c r="D3">
        <v>2.8793262849810901</v>
      </c>
      <c r="E3">
        <v>2.8705728362139671</v>
      </c>
      <c r="F3">
        <v>2.9495310354005539</v>
      </c>
    </row>
    <row r="4" spans="1:6" x14ac:dyDescent="0.35">
      <c r="A4" t="s">
        <v>8</v>
      </c>
      <c r="B4">
        <v>0.67061848631472032</v>
      </c>
      <c r="C4">
        <v>1.39861864817755</v>
      </c>
      <c r="D4">
        <v>2.524231778247219</v>
      </c>
      <c r="E4">
        <v>2.652614768576306</v>
      </c>
      <c r="F4">
        <v>2.0247304882137449</v>
      </c>
    </row>
    <row r="5" spans="1:6" x14ac:dyDescent="0.35">
      <c r="A5" t="s">
        <v>9</v>
      </c>
      <c r="B5">
        <v>3.508417296451269</v>
      </c>
      <c r="C5">
        <v>4.0144216255703649</v>
      </c>
      <c r="D5">
        <v>3.9762799572947429</v>
      </c>
      <c r="E5">
        <v>4.2479235192349307</v>
      </c>
      <c r="F5">
        <v>4.2091381476188534</v>
      </c>
    </row>
    <row r="6" spans="1:6" x14ac:dyDescent="0.35">
      <c r="A6" t="s">
        <v>101</v>
      </c>
      <c r="B6">
        <v>-0.11087279111589909</v>
      </c>
      <c r="C6">
        <v>0.39017673591557972</v>
      </c>
      <c r="D6">
        <v>0.69028266198126209</v>
      </c>
      <c r="E6">
        <v>0.54283611387295594</v>
      </c>
      <c r="F6">
        <v>0.55548087050318051</v>
      </c>
    </row>
    <row r="7" spans="1:6" x14ac:dyDescent="0.35">
      <c r="A7" t="s">
        <v>10</v>
      </c>
      <c r="B7">
        <v>142.27836252477471</v>
      </c>
      <c r="C7">
        <v>146.27813408186319</v>
      </c>
      <c r="D7">
        <v>148.62820161646681</v>
      </c>
      <c r="E7">
        <v>149.6900484926044</v>
      </c>
      <c r="F7">
        <v>150.0407983268513</v>
      </c>
    </row>
    <row r="8" spans="1:6" x14ac:dyDescent="0.35">
      <c r="A8" t="s">
        <v>11</v>
      </c>
      <c r="B8">
        <v>51892710.329999998</v>
      </c>
      <c r="C8">
        <v>58112631.189999998</v>
      </c>
      <c r="D8">
        <v>51413758.530000001</v>
      </c>
      <c r="E8">
        <v>39424319.840000004</v>
      </c>
      <c r="F8">
        <v>46402228.109999999</v>
      </c>
    </row>
    <row r="9" spans="1:6" x14ac:dyDescent="0.35">
      <c r="A9" t="s">
        <v>102</v>
      </c>
      <c r="B9" s="15">
        <v>1.6081201939316301</v>
      </c>
      <c r="C9" s="15">
        <v>1.5693984154134371</v>
      </c>
      <c r="D9" s="15">
        <v>1.572252089843549</v>
      </c>
      <c r="E9" s="15">
        <v>1.552151671204222</v>
      </c>
      <c r="F9" s="15">
        <v>1.554990107115817</v>
      </c>
    </row>
    <row r="10" spans="1:6" x14ac:dyDescent="0.35">
      <c r="A10" t="s">
        <v>103</v>
      </c>
      <c r="B10" s="16">
        <v>0.25158389701594142</v>
      </c>
      <c r="C10" s="16">
        <v>0.2444260466297774</v>
      </c>
      <c r="D10" s="16">
        <v>0.2401388191145534</v>
      </c>
      <c r="E10" s="16">
        <v>0.24224519837324349</v>
      </c>
      <c r="F10" s="16">
        <v>0.24206455899281171</v>
      </c>
    </row>
    <row r="12" spans="1:6" x14ac:dyDescent="0.35">
      <c r="A12" t="s">
        <v>12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</row>
    <row r="13" spans="1:6" x14ac:dyDescent="0.35">
      <c r="A13" t="s">
        <v>6</v>
      </c>
      <c r="B13">
        <v>139.83315040104489</v>
      </c>
      <c r="C13">
        <v>140.63433560368551</v>
      </c>
      <c r="D13">
        <v>140.9638839291236</v>
      </c>
      <c r="E13">
        <v>141.85748818430841</v>
      </c>
      <c r="F13">
        <v>142.8055019508727</v>
      </c>
    </row>
    <row r="14" spans="1:6" x14ac:dyDescent="0.35">
      <c r="A14" t="s">
        <v>7</v>
      </c>
      <c r="B14">
        <v>0.51698203547900334</v>
      </c>
      <c r="C14">
        <v>1.2366488013254009</v>
      </c>
      <c r="D14">
        <v>1.729831478032452</v>
      </c>
      <c r="E14">
        <v>2.726649911683126</v>
      </c>
      <c r="F14">
        <v>2.6397741064799329</v>
      </c>
    </row>
    <row r="15" spans="1:6" x14ac:dyDescent="0.35">
      <c r="A15" t="s">
        <v>8</v>
      </c>
      <c r="B15">
        <v>1.313276488961767</v>
      </c>
      <c r="C15">
        <v>1.685687662187852</v>
      </c>
      <c r="D15">
        <v>2.2685823915962779</v>
      </c>
      <c r="E15">
        <v>3.6746700330291988</v>
      </c>
      <c r="F15">
        <v>2.5152309398722958</v>
      </c>
    </row>
    <row r="16" spans="1:6" x14ac:dyDescent="0.35">
      <c r="A16" t="s">
        <v>9</v>
      </c>
      <c r="B16">
        <v>5.082349966529363</v>
      </c>
      <c r="C16">
        <v>6.0845403642375242</v>
      </c>
      <c r="D16">
        <v>6.1446458887228426</v>
      </c>
      <c r="E16">
        <v>6.2129362190316</v>
      </c>
      <c r="F16">
        <v>5.1896976036848272</v>
      </c>
    </row>
    <row r="17" spans="1:6" x14ac:dyDescent="0.35">
      <c r="A17" t="s">
        <v>101</v>
      </c>
      <c r="B17">
        <v>-0.50740720233221126</v>
      </c>
      <c r="C17">
        <v>-0.40897050733387119</v>
      </c>
      <c r="D17">
        <v>-0.45635724449678938</v>
      </c>
      <c r="E17">
        <v>-0.54964481731704262</v>
      </c>
      <c r="F17">
        <v>-0.40331131775850959</v>
      </c>
    </row>
    <row r="18" spans="1:6" x14ac:dyDescent="0.35">
      <c r="A18" t="s">
        <v>10</v>
      </c>
      <c r="B18">
        <v>146.23835168968279</v>
      </c>
      <c r="C18">
        <v>149.2322419241024</v>
      </c>
      <c r="D18">
        <v>150.65058644297841</v>
      </c>
      <c r="E18">
        <v>153.92209953073521</v>
      </c>
      <c r="F18">
        <v>152.74689328315119</v>
      </c>
    </row>
    <row r="19" spans="1:6" x14ac:dyDescent="0.35">
      <c r="A19" t="s">
        <v>11</v>
      </c>
      <c r="B19">
        <v>160493685.88</v>
      </c>
      <c r="C19">
        <v>177673933.47999999</v>
      </c>
      <c r="D19">
        <v>151100903.00999999</v>
      </c>
      <c r="E19">
        <v>117959441.92</v>
      </c>
      <c r="F19">
        <v>141488429.02000001</v>
      </c>
    </row>
    <row r="20" spans="1:6" x14ac:dyDescent="0.35">
      <c r="A20" t="s">
        <v>102</v>
      </c>
      <c r="B20">
        <v>1.493500467567465</v>
      </c>
      <c r="C20">
        <v>1.428661757159891</v>
      </c>
      <c r="D20">
        <v>1.4249515917661719</v>
      </c>
      <c r="E20">
        <v>1.4207595148157379</v>
      </c>
      <c r="F20">
        <v>1.486275324208264</v>
      </c>
    </row>
    <row r="21" spans="1:6" x14ac:dyDescent="0.35">
      <c r="A21" t="s">
        <v>103</v>
      </c>
      <c r="B21">
        <v>0.25724867431903159</v>
      </c>
      <c r="C21">
        <v>0.2558424358190553</v>
      </c>
      <c r="D21">
        <v>0.25651938920709699</v>
      </c>
      <c r="E21">
        <v>0.25785206881881489</v>
      </c>
      <c r="F21">
        <v>0.25576159025369299</v>
      </c>
    </row>
    <row r="23" spans="1:6" x14ac:dyDescent="0.35">
      <c r="A23" t="s">
        <v>13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</row>
    <row r="24" spans="1:6" x14ac:dyDescent="0.35">
      <c r="A24" t="s">
        <v>6</v>
      </c>
      <c r="B24">
        <v>136.66839841462689</v>
      </c>
      <c r="C24">
        <v>137.94719223853701</v>
      </c>
      <c r="D24">
        <v>138.66054717924419</v>
      </c>
      <c r="E24">
        <v>140.0375169754368</v>
      </c>
      <c r="F24">
        <v>141.0289270190332</v>
      </c>
    </row>
    <row r="25" spans="1:6" x14ac:dyDescent="0.35">
      <c r="A25" t="s">
        <v>7</v>
      </c>
      <c r="B25">
        <v>1.715983434406098</v>
      </c>
      <c r="C25">
        <v>1.988986555809845</v>
      </c>
      <c r="D25">
        <v>2.1738821676354689</v>
      </c>
      <c r="E25">
        <v>2.725650406139664</v>
      </c>
      <c r="F25">
        <v>2.9772147958314288</v>
      </c>
    </row>
    <row r="26" spans="1:6" x14ac:dyDescent="0.35">
      <c r="A26" t="s">
        <v>8</v>
      </c>
      <c r="B26">
        <v>1.8100077101700109</v>
      </c>
      <c r="C26">
        <v>2.665708426959251</v>
      </c>
      <c r="D26">
        <v>2.6862968307106732</v>
      </c>
      <c r="E26">
        <v>3.8485672233599901</v>
      </c>
      <c r="F26">
        <v>3.0548037988186838</v>
      </c>
    </row>
    <row r="27" spans="1:6" x14ac:dyDescent="0.35">
      <c r="A27" t="s">
        <v>9</v>
      </c>
      <c r="B27">
        <v>5.158872730315565</v>
      </c>
      <c r="C27">
        <v>6.1247546166680058</v>
      </c>
      <c r="D27">
        <v>6.0221825052044204</v>
      </c>
      <c r="E27">
        <v>6.2349127657126404</v>
      </c>
      <c r="F27">
        <v>5.2709492344772828</v>
      </c>
    </row>
    <row r="28" spans="1:6" x14ac:dyDescent="0.35">
      <c r="A28" t="s">
        <v>101</v>
      </c>
      <c r="B28">
        <v>-2.8633923453694751E-2</v>
      </c>
      <c r="C28">
        <v>0.31539194220413902</v>
      </c>
      <c r="D28">
        <v>0.26963525365099023</v>
      </c>
      <c r="E28">
        <v>0.4522792881176701</v>
      </c>
      <c r="F28">
        <v>0.70167264628006665</v>
      </c>
    </row>
    <row r="29" spans="1:6" x14ac:dyDescent="0.35">
      <c r="A29" t="s">
        <v>10</v>
      </c>
      <c r="B29">
        <v>145.3246283660649</v>
      </c>
      <c r="C29">
        <v>149.04203378017829</v>
      </c>
      <c r="D29">
        <v>149.81254393644579</v>
      </c>
      <c r="E29">
        <v>153.29892665876679</v>
      </c>
      <c r="F29">
        <v>153.03356749444069</v>
      </c>
    </row>
    <row r="30" spans="1:6" x14ac:dyDescent="0.35">
      <c r="A30" t="s">
        <v>11</v>
      </c>
      <c r="B30">
        <v>98964873.699999988</v>
      </c>
      <c r="C30">
        <v>117949907.67</v>
      </c>
      <c r="D30">
        <v>91351164.770000011</v>
      </c>
      <c r="E30">
        <v>72088280.25999999</v>
      </c>
      <c r="F30">
        <v>92327238.760000005</v>
      </c>
    </row>
    <row r="31" spans="1:6" x14ac:dyDescent="0.35">
      <c r="A31" t="s">
        <v>102</v>
      </c>
      <c r="B31">
        <v>1.4883428593765979</v>
      </c>
      <c r="C31">
        <v>1.4261772955734831</v>
      </c>
      <c r="D31">
        <v>1.432531428874934</v>
      </c>
      <c r="E31">
        <v>1.41941570138658</v>
      </c>
      <c r="F31">
        <v>1.480852910793053</v>
      </c>
    </row>
    <row r="32" spans="1:6" x14ac:dyDescent="0.35">
      <c r="A32" t="s">
        <v>103</v>
      </c>
      <c r="B32">
        <v>0.2504090560493385</v>
      </c>
      <c r="C32">
        <v>0.24549440082565521</v>
      </c>
      <c r="D32">
        <v>0.24614806780498591</v>
      </c>
      <c r="E32">
        <v>0.24353886731260471</v>
      </c>
      <c r="F32">
        <v>0.2399761050531419</v>
      </c>
    </row>
    <row r="34" spans="1:6" x14ac:dyDescent="0.35">
      <c r="A34" t="s">
        <v>14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</row>
    <row r="35" spans="1:6" x14ac:dyDescent="0.35">
      <c r="A35" t="s">
        <v>6</v>
      </c>
      <c r="B35">
        <v>136.70742932031769</v>
      </c>
      <c r="C35">
        <v>138.34779673954839</v>
      </c>
      <c r="D35">
        <v>138.10209621539431</v>
      </c>
      <c r="E35">
        <v>138.9455515120215</v>
      </c>
      <c r="F35">
        <v>141.0223799303607</v>
      </c>
    </row>
    <row r="36" spans="1:6" x14ac:dyDescent="0.35">
      <c r="A36" t="s">
        <v>7</v>
      </c>
      <c r="B36">
        <v>2.2928929052840492</v>
      </c>
      <c r="C36">
        <v>2.460335878649857</v>
      </c>
      <c r="D36">
        <v>2.9556869240608989</v>
      </c>
      <c r="E36">
        <v>1.8241375060975999</v>
      </c>
      <c r="F36">
        <v>2.2468380883915131</v>
      </c>
    </row>
    <row r="37" spans="1:6" x14ac:dyDescent="0.35">
      <c r="A37" t="s">
        <v>8</v>
      </c>
      <c r="B37">
        <v>2.1163080191238932</v>
      </c>
      <c r="C37">
        <v>1.525839033428422</v>
      </c>
      <c r="D37">
        <v>2.191532882874986</v>
      </c>
      <c r="E37">
        <v>2.5973973323648778</v>
      </c>
      <c r="F37">
        <v>0.94651874934226243</v>
      </c>
    </row>
    <row r="38" spans="1:6" x14ac:dyDescent="0.35">
      <c r="A38" t="s">
        <v>9</v>
      </c>
      <c r="B38">
        <v>0.80744516820794421</v>
      </c>
      <c r="C38">
        <v>0.47724134654098621</v>
      </c>
      <c r="D38">
        <v>0.45796220678177718</v>
      </c>
      <c r="E38">
        <v>0.49259082347064931</v>
      </c>
      <c r="F38">
        <v>-0.19553483718758399</v>
      </c>
    </row>
    <row r="39" spans="1:6" x14ac:dyDescent="0.35">
      <c r="A39" t="s">
        <v>101</v>
      </c>
      <c r="B39">
        <v>-0.44637181837838152</v>
      </c>
      <c r="C39">
        <v>-0.48291945589207208</v>
      </c>
      <c r="D39">
        <v>-0.5070261725014491</v>
      </c>
      <c r="E39">
        <v>-0.46029545727956811</v>
      </c>
      <c r="F39">
        <v>-0.44878326624846798</v>
      </c>
    </row>
    <row r="40" spans="1:6" x14ac:dyDescent="0.35">
      <c r="A40" t="s">
        <v>10</v>
      </c>
      <c r="B40">
        <v>141.47770359455521</v>
      </c>
      <c r="C40">
        <v>142.32829354227559</v>
      </c>
      <c r="D40">
        <v>143.20025205661051</v>
      </c>
      <c r="E40">
        <v>143.39938171667501</v>
      </c>
      <c r="F40">
        <v>143.57141866465841</v>
      </c>
    </row>
    <row r="41" spans="1:6" x14ac:dyDescent="0.35">
      <c r="A41" t="s">
        <v>11</v>
      </c>
      <c r="B41">
        <v>41097395.659999996</v>
      </c>
      <c r="C41">
        <v>40720244.030000001</v>
      </c>
      <c r="D41">
        <v>43230820.039999999</v>
      </c>
      <c r="E41">
        <v>43309748.599999987</v>
      </c>
      <c r="F41">
        <v>54210680.739999987</v>
      </c>
    </row>
    <row r="42" spans="1:6" x14ac:dyDescent="0.35">
      <c r="A42" t="s">
        <v>102</v>
      </c>
      <c r="B42">
        <v>1.3842524723315299</v>
      </c>
      <c r="C42">
        <v>1.4104056533429179</v>
      </c>
      <c r="D42">
        <v>1.411963189519587</v>
      </c>
      <c r="E42">
        <v>1.40916804427426</v>
      </c>
      <c r="F42">
        <v>1.4668720343774719</v>
      </c>
    </row>
    <row r="43" spans="1:6" x14ac:dyDescent="0.35">
      <c r="A43" t="s">
        <v>103</v>
      </c>
      <c r="B43" s="16">
        <v>0.24137674026254829</v>
      </c>
      <c r="C43" s="16">
        <v>0.2418988493698867</v>
      </c>
      <c r="D43" s="16">
        <v>0.242243231035735</v>
      </c>
      <c r="E43" s="16">
        <v>0.2415756493897081</v>
      </c>
      <c r="F43" s="16">
        <v>0.24141118951783519</v>
      </c>
    </row>
    <row r="45" spans="1:6" x14ac:dyDescent="0.35">
      <c r="A45" t="s">
        <v>15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</row>
    <row r="46" spans="1:6" x14ac:dyDescent="0.35">
      <c r="A46" t="s">
        <v>6</v>
      </c>
      <c r="B46">
        <v>134.57147996843619</v>
      </c>
      <c r="C46">
        <v>136.41792232868141</v>
      </c>
      <c r="D46">
        <v>137.00629562165429</v>
      </c>
      <c r="E46">
        <v>137.20721483911191</v>
      </c>
      <c r="F46">
        <v>139.83991769420669</v>
      </c>
    </row>
    <row r="47" spans="1:6" x14ac:dyDescent="0.35">
      <c r="A47" t="s">
        <v>7</v>
      </c>
      <c r="B47">
        <v>-1.1564155819688151</v>
      </c>
      <c r="C47">
        <v>0.15890391804703091</v>
      </c>
      <c r="D47">
        <v>7.1738148024508064E-2</v>
      </c>
      <c r="E47">
        <v>1.012618582499357</v>
      </c>
      <c r="F47">
        <v>1.0376944776868131</v>
      </c>
    </row>
    <row r="48" spans="1:6" x14ac:dyDescent="0.35">
      <c r="A48" t="s">
        <v>8</v>
      </c>
      <c r="B48">
        <v>4.0129254701926236</v>
      </c>
      <c r="C48">
        <v>2.904506500690363</v>
      </c>
      <c r="D48">
        <v>2.96018311762217</v>
      </c>
      <c r="E48">
        <v>3.8775298086270382</v>
      </c>
      <c r="F48">
        <v>2.990057079877884</v>
      </c>
    </row>
    <row r="49" spans="1:6" x14ac:dyDescent="0.35">
      <c r="A49" t="s">
        <v>9</v>
      </c>
      <c r="B49">
        <v>1.547207582369361</v>
      </c>
      <c r="C49">
        <v>1.929253225660732</v>
      </c>
      <c r="D49">
        <v>1.848790996750336</v>
      </c>
      <c r="E49">
        <v>1.701711146086988</v>
      </c>
      <c r="F49">
        <v>1.486670831187654</v>
      </c>
    </row>
    <row r="50" spans="1:6" x14ac:dyDescent="0.35">
      <c r="A50" t="s">
        <v>101</v>
      </c>
      <c r="B50">
        <v>-0.2403144176684413</v>
      </c>
      <c r="C50">
        <v>-0.18020040659773531</v>
      </c>
      <c r="D50">
        <v>-0.19285437765184629</v>
      </c>
      <c r="E50">
        <v>-0.17987191828465371</v>
      </c>
      <c r="F50">
        <v>-0.15087336501678819</v>
      </c>
    </row>
    <row r="51" spans="1:6" x14ac:dyDescent="0.35">
      <c r="A51" t="s">
        <v>10</v>
      </c>
      <c r="B51">
        <v>138.7348830213609</v>
      </c>
      <c r="C51">
        <v>141.23038556648169</v>
      </c>
      <c r="D51">
        <v>141.69415350639949</v>
      </c>
      <c r="E51">
        <v>143.6192024580406</v>
      </c>
      <c r="F51">
        <v>145.20346671794229</v>
      </c>
    </row>
    <row r="52" spans="1:6" x14ac:dyDescent="0.35">
      <c r="A52" t="s">
        <v>11</v>
      </c>
      <c r="B52">
        <v>139581651.24000001</v>
      </c>
      <c r="C52">
        <v>130232535.68000001</v>
      </c>
      <c r="D52">
        <v>108684678.34999999</v>
      </c>
      <c r="E52">
        <v>91451649.269999996</v>
      </c>
      <c r="F52">
        <v>89994495.210000008</v>
      </c>
    </row>
    <row r="53" spans="1:6" x14ac:dyDescent="0.35">
      <c r="A53" t="s">
        <v>102</v>
      </c>
      <c r="B53">
        <v>1.3290410370686661</v>
      </c>
      <c r="C53">
        <v>1.302217245769852</v>
      </c>
      <c r="D53">
        <v>1.307776185976588</v>
      </c>
      <c r="E53">
        <v>1.318061208808563</v>
      </c>
      <c r="F53">
        <v>1.3333931363355369</v>
      </c>
    </row>
    <row r="54" spans="1:6" x14ac:dyDescent="0.35">
      <c r="A54" t="s">
        <v>103</v>
      </c>
      <c r="B54" s="16">
        <v>0.23843306310954909</v>
      </c>
      <c r="C54" s="16">
        <v>0.2375742915228248</v>
      </c>
      <c r="D54" s="16">
        <v>0.2377550625378835</v>
      </c>
      <c r="E54" s="16">
        <v>0.2375695988326379</v>
      </c>
      <c r="F54" s="16">
        <v>0.2371553337859541</v>
      </c>
    </row>
    <row r="56" spans="1:6" x14ac:dyDescent="0.35">
      <c r="A56" t="s">
        <v>16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</row>
    <row r="57" spans="1:6" x14ac:dyDescent="0.35">
      <c r="A57" t="s">
        <v>6</v>
      </c>
      <c r="B57">
        <v>139.70876763492191</v>
      </c>
      <c r="C57">
        <v>139.86672280884679</v>
      </c>
      <c r="D57">
        <v>139.91790875779989</v>
      </c>
      <c r="E57">
        <v>140.94205426095121</v>
      </c>
      <c r="F57">
        <v>142.0617951131332</v>
      </c>
    </row>
    <row r="58" spans="1:6" x14ac:dyDescent="0.35">
      <c r="A58" t="s">
        <v>7</v>
      </c>
      <c r="B58">
        <v>-0.64654062585228189</v>
      </c>
      <c r="C58">
        <v>1.0769665745225441</v>
      </c>
      <c r="D58">
        <v>0.86295973448648056</v>
      </c>
      <c r="E58">
        <v>0.89148784002449588</v>
      </c>
      <c r="F58">
        <v>-0.19079221213820571</v>
      </c>
    </row>
    <row r="59" spans="1:6" x14ac:dyDescent="0.35">
      <c r="A59" t="s">
        <v>8</v>
      </c>
      <c r="B59">
        <v>-0.6911962434194403</v>
      </c>
      <c r="C59">
        <v>-3.9829508523667408E-2</v>
      </c>
      <c r="D59">
        <v>0.39641925512029519</v>
      </c>
      <c r="E59">
        <v>0.6981041220151436</v>
      </c>
      <c r="F59">
        <v>0.50649984138136261</v>
      </c>
    </row>
    <row r="60" spans="1:6" x14ac:dyDescent="0.35">
      <c r="A60" t="s">
        <v>9</v>
      </c>
      <c r="B60">
        <v>-0.71920480070414172</v>
      </c>
      <c r="C60">
        <v>-0.32912924841933761</v>
      </c>
      <c r="D60">
        <v>-0.51528425596694805</v>
      </c>
      <c r="E60">
        <v>-0.24314206345988279</v>
      </c>
      <c r="F60">
        <v>0.43923798076823639</v>
      </c>
    </row>
    <row r="61" spans="1:6" x14ac:dyDescent="0.35">
      <c r="A61" t="s">
        <v>101</v>
      </c>
      <c r="B61">
        <v>-9.4429481095901727E-2</v>
      </c>
      <c r="C61">
        <v>-4.819173883167617E-2</v>
      </c>
      <c r="D61">
        <v>3.343415441839017E-2</v>
      </c>
      <c r="E61">
        <v>0.6956337683861562</v>
      </c>
      <c r="F61">
        <v>0.4693497299342298</v>
      </c>
    </row>
    <row r="62" spans="1:6" x14ac:dyDescent="0.35">
      <c r="A62" t="s">
        <v>10</v>
      </c>
      <c r="B62">
        <v>137.55739648385011</v>
      </c>
      <c r="C62">
        <v>140.52653888759471</v>
      </c>
      <c r="D62">
        <v>140.69543764585819</v>
      </c>
      <c r="E62">
        <v>142.98413792791709</v>
      </c>
      <c r="F62">
        <v>143.2860904530788</v>
      </c>
    </row>
    <row r="63" spans="1:6" x14ac:dyDescent="0.35">
      <c r="A63" t="s">
        <v>11</v>
      </c>
      <c r="B63">
        <v>438826515.31</v>
      </c>
      <c r="C63">
        <v>386473804.48000002</v>
      </c>
      <c r="D63">
        <v>379394062.72000003</v>
      </c>
      <c r="E63">
        <v>341839089.51999998</v>
      </c>
      <c r="F63">
        <v>541552109.91000009</v>
      </c>
    </row>
    <row r="64" spans="1:6" x14ac:dyDescent="0.35">
      <c r="A64" t="s">
        <v>102</v>
      </c>
      <c r="B64">
        <v>1.634959770308628</v>
      </c>
      <c r="C64">
        <v>1.6102641332682639</v>
      </c>
      <c r="D64">
        <v>1.6219558472214941</v>
      </c>
      <c r="E64">
        <v>1.6049203155403511</v>
      </c>
      <c r="F64">
        <v>1.5637379693951159</v>
      </c>
    </row>
    <row r="65" spans="1:6" x14ac:dyDescent="0.35">
      <c r="A65" t="s">
        <v>103</v>
      </c>
      <c r="B65" s="16">
        <v>0.2508768451816048</v>
      </c>
      <c r="C65" s="16">
        <v>0.25044749471772271</v>
      </c>
      <c r="D65" s="16">
        <v>0.2496895399946864</v>
      </c>
      <c r="E65" s="16">
        <v>0.24354054357927141</v>
      </c>
      <c r="F65" s="16">
        <v>0.24564175250775361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0CFE5D-DBF2-409A-8DC5-37F9B4A9B3AB}">
  <ds:schemaRefs>
    <ds:schemaRef ds:uri="http://schemas.microsoft.com/office/2006/metadata/properties"/>
    <ds:schemaRef ds:uri="http://schemas.microsoft.com/office/infopath/2007/PartnerControls"/>
    <ds:schemaRef ds:uri="a679ee5a-1808-44ed-a317-05ab7d0badb3"/>
    <ds:schemaRef ds:uri="1656b474-bc9c-41b0-a7dd-8c5877b9b3ae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B006EFF-CAC1-47C1-A911-08ADF2FA34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00FC52-F474-4166-9C8B-3951C9A70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f1d8d9a-7a35-4aba-a8e8-9cedeaaa8c64}" enabled="0" method="" siteId="{1f1d8d9a-7a35-4aba-a8e8-9cedeaaa8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Data Tables (Q) 3pm</vt:lpstr>
      <vt:lpstr>Friday</vt:lpstr>
      <vt:lpstr>Monday pre-lunch</vt:lpstr>
      <vt:lpstr>post lunch 1</vt:lpstr>
      <vt:lpstr>post lucnh 2</vt:lpstr>
      <vt:lpstr>Data Tables (Q) 3.14</vt:lpstr>
      <vt:lpstr>Data Tables 4.11 w 2026.03</vt:lpstr>
      <vt:lpstr>Sheet1</vt:lpstr>
      <vt:lpstr>Tuesday pre update</vt:lpstr>
      <vt:lpstr>AN STG update</vt:lpstr>
      <vt:lpstr>all update draft 1</vt:lpstr>
      <vt:lpstr>graphs</vt:lpstr>
      <vt:lpstr>Wednesday fixed 20q1 w RRA</vt:lpstr>
      <vt:lpstr>no RRA</vt:lpstr>
      <vt:lpstr>no RRA rebaselined</vt:lpstr>
      <vt:lpstr>LTV</vt:lpstr>
      <vt:lpstr>Data Tables (W)</vt:lpstr>
      <vt:lpstr>Data Tables (M)</vt:lpstr>
      <vt:lpstr>Data Tables (Q)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2026-03-23T15:49:00Z</dcterms:created>
  <dcterms:modified xsi:type="dcterms:W3CDTF">2026-04-01T13:18:45Z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0x0101002F7055BF62EA51469C2F194260F7319E</vt:lpwstr>
  </property>
</Properties>
</file>