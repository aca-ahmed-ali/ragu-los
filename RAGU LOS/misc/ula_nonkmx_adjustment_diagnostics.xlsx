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085" yWindow="-21855" windowWidth="38640" windowHeight="21120" tabRatio="600" firstSheet="0" activeTab="0" autoFilterDateGrouping="1"/>
  </bookViews>
  <sheets>
    <sheet name="Main" sheetId="1" state="visible" r:id="rId1"/>
    <sheet name="factory" sheetId="2" state="visible" r:id="rId2"/>
    <sheet name="multipliers" sheetId="3" state="visible" r:id="rId3"/>
    <sheet name="populations" sheetId="4" state="visible" r:id="rId4"/>
    <sheet name="ragu" sheetId="5" state="visible" r:id="rId5"/>
    <sheet name="fraud" sheetId="6" state="visible" r:id="rId6"/>
    <sheet name="dealer" sheetId="7" state="visible" r:id="rId7"/>
    <sheet name="tc" sheetId="8" state="visible" r:id="rId8"/>
    <sheet name="Multiplier Steps" sheetId="9" state="visible" r:id="rId9"/>
    <sheet name="Flag Mean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0.0000"/>
    <numFmt numFmtId="166" formatCode="0.000000"/>
    <numFmt numFmtId="167" formatCode="0.0%"/>
    <numFmt numFmtId="168" formatCode="0.0"/>
    <numFmt numFmtId="169" formatCode="\+0.00;[Red]\-0.00"/>
    <numFmt numFmtId="170" formatCode="\+0.0%;[Red]\-0.0%"/>
    <numFmt numFmtId="171" formatCode="[Red]\+0.0%;\-0.0%"/>
    <numFmt numFmtId="172" formatCode="\+0.00;\-0.00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9"/>
      <scheme val="minor"/>
    </font>
    <font>
      <name val="Calibri"/>
      <family val="2"/>
      <color rgb="FF00B050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rgb="FF00B050"/>
      <sz val="12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rgb="FFC00000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medium">
        <color indexed="64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9" fontId="1" fillId="0" borderId="0"/>
    <xf numFmtId="43" fontId="1" fillId="0" borderId="0"/>
  </cellStyleXfs>
  <cellXfs count="151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6" fontId="0" fillId="0" borderId="0" pivotButton="0" quotePrefix="0" xfId="0"/>
    <xf numFmtId="9" fontId="1" fillId="0" borderId="0" pivotButton="0" quotePrefix="0" xfId="1"/>
    <xf numFmtId="167" fontId="1" fillId="0" borderId="0" pivotButton="0" quotePrefix="0" xfId="1"/>
    <xf numFmtId="10" fontId="1" fillId="0" borderId="0" pivotButton="0" quotePrefix="0" xfId="1"/>
    <xf numFmtId="1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0" fillId="4" borderId="0" pivotButton="0" quotePrefix="0" xfId="0"/>
    <xf numFmtId="2" fontId="0" fillId="4" borderId="0" pivotButton="0" quotePrefix="0" xfId="0"/>
    <xf numFmtId="0" fontId="0" fillId="0" borderId="0" pivotButton="0" quotePrefix="0" xfId="0"/>
    <xf numFmtId="0" fontId="0" fillId="0" borderId="0" pivotButton="0" quotePrefix="0" xfId="2"/>
    <xf numFmtId="0" fontId="7" fillId="5" borderId="1" applyAlignment="1" pivotButton="0" quotePrefix="0" xfId="0">
      <alignment horizontal="center" vertical="top"/>
    </xf>
    <xf numFmtId="0" fontId="0" fillId="0" borderId="5" pivotButton="0" quotePrefix="0" xfId="0"/>
    <xf numFmtId="0" fontId="7" fillId="0" borderId="1" applyAlignment="1" pivotButton="0" quotePrefix="0" xfId="0">
      <alignment horizontal="center" vertical="top"/>
    </xf>
    <xf numFmtId="9" fontId="1" fillId="0" borderId="0" pivotButton="0" quotePrefix="0" xfId="1"/>
    <xf numFmtId="9" fontId="1" fillId="0" borderId="0" pivotButton="0" quotePrefix="0" xfId="1"/>
    <xf numFmtId="167" fontId="1" fillId="0" borderId="0" pivotButton="0" quotePrefix="0" xfId="1"/>
    <xf numFmtId="0" fontId="0" fillId="0" borderId="4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167" fontId="1" fillId="0" borderId="10" pivotButton="0" quotePrefix="0" xfId="1"/>
    <xf numFmtId="0" fontId="0" fillId="0" borderId="6" pivotButton="0" quotePrefix="0" xfId="0"/>
    <xf numFmtId="167" fontId="1" fillId="0" borderId="7" pivotButton="0" quotePrefix="0" xfId="1"/>
    <xf numFmtId="167" fontId="1" fillId="0" borderId="8" pivotButton="0" quotePrefix="0" xfId="1"/>
    <xf numFmtId="0" fontId="0" fillId="0" borderId="9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0" fontId="1" fillId="0" borderId="8" pivotButton="0" quotePrefix="0" xfId="1"/>
    <xf numFmtId="0" fontId="0" fillId="0" borderId="0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168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2" fontId="1" fillId="8" borderId="0" applyAlignment="1" pivotButton="0" quotePrefix="0" xfId="1">
      <alignment horizontal="center" vertical="center"/>
    </xf>
    <xf numFmtId="2" fontId="1" fillId="8" borderId="0" applyAlignment="1" pivotButton="0" quotePrefix="0" xfId="0">
      <alignment horizontal="center" vertical="center"/>
    </xf>
    <xf numFmtId="2" fontId="1" fillId="8" borderId="0" applyAlignment="1" pivotButton="0" quotePrefix="0" xfId="2">
      <alignment horizontal="center" vertical="center"/>
    </xf>
    <xf numFmtId="0" fontId="12" fillId="8" borderId="11" pivotButton="0" quotePrefix="0" xfId="0"/>
    <xf numFmtId="0" fontId="12" fillId="8" borderId="12" pivotButton="0" quotePrefix="0" xfId="0"/>
    <xf numFmtId="0" fontId="12" fillId="8" borderId="13" pivotButton="0" quotePrefix="0" xfId="0"/>
    <xf numFmtId="0" fontId="4" fillId="7" borderId="11" applyAlignment="1" pivotButton="0" quotePrefix="0" xfId="1">
      <alignment horizontal="center" vertical="center"/>
    </xf>
    <xf numFmtId="0" fontId="4" fillId="6" borderId="4" applyAlignment="1" pivotButton="0" quotePrefix="0" xfId="1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169" fontId="13" fillId="8" borderId="12" applyAlignment="1" pivotButton="0" quotePrefix="0" xfId="2">
      <alignment horizontal="center" vertical="center"/>
    </xf>
    <xf numFmtId="169" fontId="13" fillId="8" borderId="12" applyAlignment="1" pivotButton="0" quotePrefix="0" xfId="0">
      <alignment horizontal="center" vertical="center"/>
    </xf>
    <xf numFmtId="169" fontId="13" fillId="8" borderId="2" applyAlignment="1" pivotButton="0" quotePrefix="0" xfId="0">
      <alignment horizontal="center" vertical="center"/>
    </xf>
    <xf numFmtId="169" fontId="13" fillId="8" borderId="11" applyAlignment="1" pivotButton="0" quotePrefix="0" xfId="0">
      <alignment horizontal="center" vertical="center"/>
    </xf>
    <xf numFmtId="169" fontId="13" fillId="8" borderId="13" applyAlignment="1" pivotButton="0" quotePrefix="0" xfId="0">
      <alignment horizontal="center" vertical="center"/>
    </xf>
    <xf numFmtId="167" fontId="8" fillId="8" borderId="7" applyAlignment="1" pivotButton="0" quotePrefix="0" xfId="1">
      <alignment horizontal="center" vertical="top"/>
    </xf>
    <xf numFmtId="167" fontId="8" fillId="8" borderId="0" applyAlignment="1" pivotButton="0" quotePrefix="0" xfId="1">
      <alignment horizontal="center" vertical="top"/>
    </xf>
    <xf numFmtId="170" fontId="9" fillId="8" borderId="13" applyAlignment="1" pivotButton="0" quotePrefix="0" xfId="0">
      <alignment horizontal="center" vertical="top"/>
    </xf>
    <xf numFmtId="170" fontId="9" fillId="8" borderId="12" applyAlignment="1" pivotButton="0" quotePrefix="0" xfId="0">
      <alignment horizontal="center" vertical="top"/>
    </xf>
    <xf numFmtId="171" fontId="9" fillId="8" borderId="13" applyAlignment="1" pivotButton="0" quotePrefix="0" xfId="0">
      <alignment horizontal="center" vertical="top"/>
    </xf>
    <xf numFmtId="171" fontId="9" fillId="8" borderId="12" applyAlignment="1" pivotButton="0" quotePrefix="0" xfId="0">
      <alignment horizontal="center" vertical="top"/>
    </xf>
    <xf numFmtId="2" fontId="1" fillId="8" borderId="14" applyAlignment="1" pivotButton="0" quotePrefix="0" xfId="1">
      <alignment horizontal="center" vertical="center"/>
    </xf>
    <xf numFmtId="2" fontId="1" fillId="8" borderId="14" applyAlignment="1" pivotButton="0" quotePrefix="0" xfId="0">
      <alignment horizontal="center" vertical="center"/>
    </xf>
    <xf numFmtId="2" fontId="1" fillId="8" borderId="4" applyAlignment="1" pivotButton="0" quotePrefix="0" xfId="1">
      <alignment horizontal="center" vertical="center"/>
    </xf>
    <xf numFmtId="2" fontId="1" fillId="8" borderId="7" applyAlignment="1" pivotButton="0" quotePrefix="0" xfId="1">
      <alignment horizontal="center" vertical="center"/>
    </xf>
    <xf numFmtId="168" fontId="6" fillId="6" borderId="12" applyAlignment="1" pivotButton="0" quotePrefix="0" xfId="0">
      <alignment horizontal="left"/>
    </xf>
    <xf numFmtId="168" fontId="6" fillId="6" borderId="13" applyAlignment="1" pivotButton="0" quotePrefix="0" xfId="0">
      <alignment horizontal="left"/>
    </xf>
    <xf numFmtId="167" fontId="1" fillId="8" borderId="16" applyAlignment="1" pivotButton="0" quotePrefix="0" xfId="1">
      <alignment horizontal="center" vertical="center"/>
    </xf>
    <xf numFmtId="167" fontId="1" fillId="8" borderId="17" applyAlignment="1" pivotButton="0" quotePrefix="0" xfId="1">
      <alignment horizontal="center" vertical="center"/>
    </xf>
    <xf numFmtId="167" fontId="1" fillId="8" borderId="18" applyAlignment="1" pivotButton="0" quotePrefix="0" xfId="1">
      <alignment horizontal="center" vertical="center"/>
    </xf>
    <xf numFmtId="167" fontId="1" fillId="8" borderId="19" applyAlignment="1" pivotButton="0" quotePrefix="0" xfId="1">
      <alignment horizontal="center" vertical="center"/>
    </xf>
    <xf numFmtId="167" fontId="1" fillId="8" borderId="20" applyAlignment="1" pivotButton="0" quotePrefix="0" xfId="1">
      <alignment horizontal="center" vertical="center"/>
    </xf>
    <xf numFmtId="167" fontId="1" fillId="8" borderId="21" applyAlignment="1" pivotButton="0" quotePrefix="0" xfId="1">
      <alignment horizontal="center" vertical="center"/>
    </xf>
    <xf numFmtId="0" fontId="6" fillId="6" borderId="22" applyAlignment="1" pivotButton="0" quotePrefix="0" xfId="0">
      <alignment horizontal="center"/>
    </xf>
    <xf numFmtId="0" fontId="6" fillId="6" borderId="17" applyAlignment="1" pivotButton="0" quotePrefix="0" xfId="0">
      <alignment horizontal="center"/>
    </xf>
    <xf numFmtId="0" fontId="6" fillId="6" borderId="18" applyAlignment="1" pivotButton="0" quotePrefix="0" xfId="0">
      <alignment horizontal="left"/>
    </xf>
    <xf numFmtId="0" fontId="6" fillId="6" borderId="20" applyAlignment="1" pivotButton="0" quotePrefix="0" xfId="0">
      <alignment horizontal="left"/>
    </xf>
    <xf numFmtId="0" fontId="4" fillId="7" borderId="15" applyAlignment="1" pivotButton="0" quotePrefix="0" xfId="0">
      <alignment horizontal="center"/>
    </xf>
    <xf numFmtId="0" fontId="0" fillId="8" borderId="2" applyAlignment="1" pivotButton="0" quotePrefix="0" xfId="0">
      <alignment horizontal="left"/>
    </xf>
    <xf numFmtId="0" fontId="4" fillId="7" borderId="0" pivotButton="0" quotePrefix="0" xfId="0"/>
    <xf numFmtId="0" fontId="11" fillId="6" borderId="23" applyAlignment="1" pivotButton="0" quotePrefix="0" xfId="0">
      <alignment vertical="center"/>
    </xf>
    <xf numFmtId="0" fontId="10" fillId="6" borderId="24" applyAlignment="1" pivotButton="0" quotePrefix="0" xfId="0">
      <alignment vertical="top"/>
    </xf>
    <xf numFmtId="0" fontId="11" fillId="6" borderId="25" pivotButton="0" quotePrefix="0" xfId="1"/>
    <xf numFmtId="0" fontId="11" fillId="6" borderId="25" pivotButton="0" quotePrefix="0" xfId="1"/>
    <xf numFmtId="0" fontId="10" fillId="6" borderId="25" applyAlignment="1" pivotButton="0" quotePrefix="0" xfId="1">
      <alignment vertical="top"/>
    </xf>
    <xf numFmtId="0" fontId="10" fillId="6" borderId="24" applyAlignment="1" pivotButton="0" quotePrefix="0" xfId="1">
      <alignment vertical="top"/>
    </xf>
    <xf numFmtId="0" fontId="4" fillId="6" borderId="26" applyAlignment="1" pivotButton="0" quotePrefix="0" xfId="1">
      <alignment horizontal="left" vertical="center"/>
    </xf>
    <xf numFmtId="168" fontId="1" fillId="8" borderId="9" applyAlignment="1" pivotButton="0" quotePrefix="0" xfId="1">
      <alignment horizontal="center"/>
    </xf>
    <xf numFmtId="168" fontId="1" fillId="8" borderId="0" applyAlignment="1" pivotButton="0" quotePrefix="0" xfId="1">
      <alignment horizontal="center"/>
    </xf>
    <xf numFmtId="168" fontId="1" fillId="8" borderId="6" applyAlignment="1" pivotButton="0" quotePrefix="0" xfId="1">
      <alignment horizontal="center"/>
    </xf>
    <xf numFmtId="168" fontId="1" fillId="8" borderId="7" applyAlignment="1" pivotButton="0" quotePrefix="0" xfId="1">
      <alignment horizontal="center"/>
    </xf>
    <xf numFmtId="172" fontId="14" fillId="8" borderId="23" applyAlignment="1" pivotButton="0" quotePrefix="0" xfId="2">
      <alignment horizontal="center" vertical="center"/>
    </xf>
    <xf numFmtId="172" fontId="14" fillId="8" borderId="25" applyAlignment="1" pivotButton="0" quotePrefix="0" xfId="0">
      <alignment horizontal="center" vertical="top"/>
    </xf>
    <xf numFmtId="172" fontId="14" fillId="8" borderId="28" applyAlignment="1" pivotButton="0" quotePrefix="0" xfId="0">
      <alignment horizontal="center" vertical="top"/>
    </xf>
    <xf numFmtId="168" fontId="4" fillId="7" borderId="29" applyAlignment="1" pivotButton="0" quotePrefix="0" xfId="0">
      <alignment horizontal="center" vertical="center"/>
    </xf>
    <xf numFmtId="0" fontId="4" fillId="6" borderId="30" applyAlignment="1" pivotButton="0" quotePrefix="0" xfId="0">
      <alignment horizontal="center" vertical="center"/>
    </xf>
    <xf numFmtId="168" fontId="4" fillId="6" borderId="29" applyAlignment="1" pivotButton="0" quotePrefix="0" xfId="0">
      <alignment horizontal="center"/>
    </xf>
    <xf numFmtId="168" fontId="4" fillId="6" borderId="30" applyAlignment="1" pivotButton="0" quotePrefix="0" xfId="0">
      <alignment horizontal="center"/>
    </xf>
    <xf numFmtId="168" fontId="4" fillId="6" borderId="31" applyAlignment="1" pivotButton="0" quotePrefix="0" xfId="0">
      <alignment horizontal="left"/>
    </xf>
    <xf numFmtId="2" fontId="5" fillId="8" borderId="32" applyAlignment="1" pivotButton="0" quotePrefix="0" xfId="1">
      <alignment horizontal="center"/>
    </xf>
    <xf numFmtId="2" fontId="5" fillId="8" borderId="33" applyAlignment="1" pivotButton="0" quotePrefix="0" xfId="1">
      <alignment horizontal="center"/>
    </xf>
    <xf numFmtId="172" fontId="15" fillId="8" borderId="34" applyAlignment="1" pivotButton="0" quotePrefix="0" xfId="0">
      <alignment horizontal="center" vertical="top"/>
    </xf>
    <xf numFmtId="0" fontId="11" fillId="7" borderId="27" applyAlignment="1" pivotButton="0" quotePrefix="0" xfId="1">
      <alignment horizontal="center" vertical="center"/>
    </xf>
    <xf numFmtId="0" fontId="11" fillId="7" borderId="28" applyAlignment="1" pivotButton="0" quotePrefix="0" xfId="1">
      <alignment horizontal="center" vertical="center"/>
    </xf>
    <xf numFmtId="0" fontId="0" fillId="4" borderId="3" pivotButton="0" quotePrefix="0" xfId="0"/>
    <xf numFmtId="0" fontId="0" fillId="4" borderId="3" pivotButton="0" quotePrefix="0" xfId="0"/>
    <xf numFmtId="0" fontId="10" fillId="6" borderId="24" applyAlignment="1" pivotButton="0" quotePrefix="0" xfId="0">
      <alignment horizontal="left" vertical="top"/>
    </xf>
    <xf numFmtId="0" fontId="11" fillId="7" borderId="2" pivotButton="0" quotePrefix="0" xfId="0"/>
    <xf numFmtId="168" fontId="4" fillId="7" borderId="29" applyAlignment="1" pivotButton="0" quotePrefix="0" xfId="0">
      <alignment horizontal="center" vertical="center"/>
    </xf>
    <xf numFmtId="168" fontId="4" fillId="6" borderId="29" applyAlignment="1" pivotButton="0" quotePrefix="0" xfId="0">
      <alignment horizontal="center"/>
    </xf>
    <xf numFmtId="168" fontId="4" fillId="6" borderId="30" applyAlignment="1" pivotButton="0" quotePrefix="0" xfId="0">
      <alignment horizontal="center"/>
    </xf>
    <xf numFmtId="168" fontId="6" fillId="6" borderId="12" applyAlignment="1" pivotButton="0" quotePrefix="0" xfId="0">
      <alignment horizontal="left"/>
    </xf>
    <xf numFmtId="168" fontId="1" fillId="8" borderId="9" applyAlignment="1" pivotButton="0" quotePrefix="0" xfId="1">
      <alignment horizontal="center"/>
    </xf>
    <xf numFmtId="168" fontId="1" fillId="8" borderId="0" applyAlignment="1" pivotButton="0" quotePrefix="0" xfId="1">
      <alignment horizontal="center"/>
    </xf>
    <xf numFmtId="172" fontId="14" fillId="8" borderId="23" applyAlignment="1" pivotButton="0" quotePrefix="0" xfId="2">
      <alignment horizontal="center" vertical="center"/>
    </xf>
    <xf numFmtId="168" fontId="4" fillId="6" borderId="31" applyAlignment="1" pivotButton="0" quotePrefix="0" xfId="0">
      <alignment horizontal="left"/>
    </xf>
    <xf numFmtId="172" fontId="15" fillId="8" borderId="34" applyAlignment="1" pivotButton="0" quotePrefix="0" xfId="0">
      <alignment horizontal="center" vertical="top"/>
    </xf>
    <xf numFmtId="172" fontId="14" fillId="8" borderId="25" applyAlignment="1" pivotButton="0" quotePrefix="0" xfId="0">
      <alignment horizontal="center" vertical="top"/>
    </xf>
    <xf numFmtId="168" fontId="6" fillId="6" borderId="13" applyAlignment="1" pivotButton="0" quotePrefix="0" xfId="0">
      <alignment horizontal="left"/>
    </xf>
    <xf numFmtId="168" fontId="1" fillId="8" borderId="6" applyAlignment="1" pivotButton="0" quotePrefix="0" xfId="1">
      <alignment horizontal="center"/>
    </xf>
    <xf numFmtId="168" fontId="1" fillId="8" borderId="7" applyAlignment="1" pivotButton="0" quotePrefix="0" xfId="1">
      <alignment horizontal="center"/>
    </xf>
    <xf numFmtId="172" fontId="14" fillId="8" borderId="28" applyAlignment="1" pivotButton="0" quotePrefix="0" xfId="0">
      <alignment horizontal="center" vertical="top"/>
    </xf>
    <xf numFmtId="168" fontId="0" fillId="0" borderId="0" pivotButton="0" quotePrefix="0" xfId="0"/>
    <xf numFmtId="169" fontId="13" fillId="8" borderId="12" applyAlignment="1" pivotButton="0" quotePrefix="0" xfId="2">
      <alignment horizontal="center" vertical="center"/>
    </xf>
    <xf numFmtId="167" fontId="8" fillId="8" borderId="7" applyAlignment="1" pivotButton="0" quotePrefix="0" xfId="1">
      <alignment horizontal="center" vertical="top"/>
    </xf>
    <xf numFmtId="171" fontId="9" fillId="8" borderId="13" applyAlignment="1" pivotButton="0" quotePrefix="0" xfId="0">
      <alignment horizontal="center" vertical="top"/>
    </xf>
    <xf numFmtId="169" fontId="13" fillId="8" borderId="12" applyAlignment="1" pivotButton="0" quotePrefix="0" xfId="0">
      <alignment horizontal="center" vertical="center"/>
    </xf>
    <xf numFmtId="170" fontId="9" fillId="8" borderId="13" applyAlignment="1" pivotButton="0" quotePrefix="0" xfId="0">
      <alignment horizontal="center" vertical="top"/>
    </xf>
    <xf numFmtId="167" fontId="8" fillId="8" borderId="0" applyAlignment="1" pivotButton="0" quotePrefix="0" xfId="1">
      <alignment horizontal="center" vertical="top"/>
    </xf>
    <xf numFmtId="170" fontId="9" fillId="8" borderId="12" applyAlignment="1" pivotButton="0" quotePrefix="0" xfId="0">
      <alignment horizontal="center" vertical="top"/>
    </xf>
    <xf numFmtId="171" fontId="9" fillId="8" borderId="12" applyAlignment="1" pivotButton="0" quotePrefix="0" xfId="0">
      <alignment horizontal="center" vertical="top"/>
    </xf>
    <xf numFmtId="169" fontId="13" fillId="8" borderId="2" applyAlignment="1" pivotButton="0" quotePrefix="0" xfId="0">
      <alignment horizontal="center" vertical="center"/>
    </xf>
    <xf numFmtId="0" fontId="11" fillId="7" borderId="35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13" pivotButton="0" quotePrefix="0" xfId="0"/>
    <xf numFmtId="167" fontId="1" fillId="8" borderId="16" applyAlignment="1" pivotButton="0" quotePrefix="0" xfId="1">
      <alignment horizontal="center" vertical="center"/>
    </xf>
    <xf numFmtId="167" fontId="1" fillId="8" borderId="17" applyAlignment="1" pivotButton="0" quotePrefix="0" xfId="1">
      <alignment horizontal="center" vertical="center"/>
    </xf>
    <xf numFmtId="167" fontId="1" fillId="8" borderId="18" applyAlignment="1" pivotButton="0" quotePrefix="0" xfId="1">
      <alignment horizontal="center" vertical="center"/>
    </xf>
    <xf numFmtId="167" fontId="1" fillId="8" borderId="19" applyAlignment="1" pivotButton="0" quotePrefix="0" xfId="1">
      <alignment horizontal="center" vertical="center"/>
    </xf>
    <xf numFmtId="167" fontId="1" fillId="8" borderId="20" applyAlignment="1" pivotButton="0" quotePrefix="0" xfId="1">
      <alignment horizontal="center" vertical="center"/>
    </xf>
    <xf numFmtId="167" fontId="1" fillId="8" borderId="21" applyAlignment="1" pivotButton="0" quotePrefix="0" xfId="1">
      <alignment horizontal="center" vertical="center"/>
    </xf>
    <xf numFmtId="167" fontId="1" fillId="0" borderId="0" pivotButton="0" quotePrefix="0" xfId="1"/>
    <xf numFmtId="167" fontId="1" fillId="0" borderId="10" pivotButton="0" quotePrefix="0" xfId="1"/>
    <xf numFmtId="167" fontId="1" fillId="0" borderId="7" pivotButton="0" quotePrefix="0" xfId="1"/>
    <xf numFmtId="167" fontId="1" fillId="0" borderId="8" pivotButton="0" quotePrefix="0" xfId="1"/>
    <xf numFmtId="166" fontId="0" fillId="0" borderId="0" pivotButton="0" quotePrefix="0" xfId="0"/>
    <xf numFmtId="0" fontId="16" fillId="0" borderId="3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" xfId="2" builtinId="3"/>
  </cellStyles>
  <dxfs count="75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Mult" displayName="Mult" ref="A1:BD24" headerRowCount="1" totalsRowShown="0" headerRowDxfId="73">
  <autoFilter ref="A1:BD24"/>
  <tableColumns count="56">
    <tableColumn id="1" name="Column1" dataDxfId="74"/>
    <tableColumn id="2" name="FRN | 2023 Q3"/>
    <tableColumn id="3" name="AN | 2023 Q3"/>
    <tableColumn id="4" name="STG | 2023 Q3"/>
    <tableColumn id="5" name="FLD | 2023 Q3"/>
    <tableColumn id="6" name="ENT | 2023 Q3"/>
    <tableColumn id="7" name="FRN | 2023 Q4"/>
    <tableColumn id="8" name="AN | 2023 Q4"/>
    <tableColumn id="9" name="STG | 2023 Q4"/>
    <tableColumn id="10" name="FLD | 2023 Q4"/>
    <tableColumn id="11" name="ENT | 2023 Q4"/>
    <tableColumn id="12" name="FRN | 2024 Q1"/>
    <tableColumn id="13" name="AN | 2024 Q1"/>
    <tableColumn id="14" name="STG | 2024 Q1"/>
    <tableColumn id="15" name="FLD | 2024 Q1"/>
    <tableColumn id="16" name="ENT | 2024 Q1"/>
    <tableColumn id="17" name="FRN | 2024 Q2"/>
    <tableColumn id="18" name="AN | 2024 Q2"/>
    <tableColumn id="19" name="STG | 2024 Q2"/>
    <tableColumn id="20" name="FLD | 2024 Q2"/>
    <tableColumn id="21" name="ENT | 2024 Q2"/>
    <tableColumn id="22" name="FRN | 2024 Q3"/>
    <tableColumn id="23" name="AN | 2024 Q3"/>
    <tableColumn id="24" name="STG | 2024 Q3"/>
    <tableColumn id="25" name="FLD | 2024 Q3"/>
    <tableColumn id="26" name="ENT | 2024 Q3"/>
    <tableColumn id="27" name="FRN | 2024 Q4"/>
    <tableColumn id="28" name="AN | 2024 Q4"/>
    <tableColumn id="29" name="STG | 2024 Q4"/>
    <tableColumn id="30" name="FLD | 2024 Q4"/>
    <tableColumn id="31" name="ENT | 2024 Q4"/>
    <tableColumn id="32" name="FRN | 2025 Q1"/>
    <tableColumn id="33" name="AN | 2025 Q1"/>
    <tableColumn id="34" name="STG | 2025 Q1"/>
    <tableColumn id="35" name="FLD | 2025 Q1"/>
    <tableColumn id="36" name="ENT | 2025 Q1"/>
    <tableColumn id="37" name="FRN | 2025 Q2"/>
    <tableColumn id="38" name="AN | 2025 Q2"/>
    <tableColumn id="39" name="STG | 2025 Q2"/>
    <tableColumn id="40" name="FLD | 2025 Q2"/>
    <tableColumn id="41" name="ENT | 2025 Q2"/>
    <tableColumn id="42" name="FRN | 2025 Q3"/>
    <tableColumn id="43" name="AN | 2025 Q3"/>
    <tableColumn id="44" name="STG | 2025 Q3"/>
    <tableColumn id="45" name="FLD | 2025 Q3"/>
    <tableColumn id="46" name="ENT | 2025 Q3"/>
    <tableColumn id="47" name="FRN | 2025 Q4"/>
    <tableColumn id="48" name="AN | 2025 Q4"/>
    <tableColumn id="49" name="STG | 2025 Q4"/>
    <tableColumn id="50" name="FLD | 2025 Q4"/>
    <tableColumn id="51" name="ENT | 2025 Q4"/>
    <tableColumn id="52" name="FRN | 2026 Q1"/>
    <tableColumn id="53" name="AN | 2026 Q1"/>
    <tableColumn id="54" name="STG | 2026 Q1"/>
    <tableColumn id="55" name="FLD | 2026 Q1"/>
    <tableColumn id="56" name="ENT | 2026 Q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lag" displayName="flag" ref="A1:BD25" headerRowCount="1" totalsRowShown="0" headerRowDxfId="16">
  <autoFilter ref="A1:BD25"/>
  <tableColumns count="56">
    <tableColumn id="1" name="Column1" dataDxfId="72"/>
    <tableColumn id="2" name="FRN | 2023 Q3" dataDxfId="71"/>
    <tableColumn id="3" name="AN | 2023 Q3" dataDxfId="70"/>
    <tableColumn id="4" name="STG | 2023 Q3" dataDxfId="69"/>
    <tableColumn id="5" name="FLD | 2023 Q3" dataDxfId="68"/>
    <tableColumn id="6" name="ENT | 2023 Q3" dataDxfId="67"/>
    <tableColumn id="7" name="FRN | 2023 Q4" dataDxfId="66"/>
    <tableColumn id="8" name="AN | 2023 Q4" dataDxfId="65"/>
    <tableColumn id="9" name="STG | 2023 Q4" dataDxfId="64"/>
    <tableColumn id="10" name="FLD | 2023 Q4" dataDxfId="63"/>
    <tableColumn id="11" name="ENT | 2023 Q4" dataDxfId="62"/>
    <tableColumn id="12" name="FRN | 2024 Q1" dataDxfId="61"/>
    <tableColumn id="13" name="AN | 2024 Q1" dataDxfId="60"/>
    <tableColumn id="14" name="STG | 2024 Q1" dataDxfId="59"/>
    <tableColumn id="15" name="FLD | 2024 Q1" dataDxfId="58"/>
    <tableColumn id="16" name="ENT | 2024 Q1" dataDxfId="57"/>
    <tableColumn id="17" name="FRN | 2024 Q2" dataDxfId="56"/>
    <tableColumn id="18" name="AN | 2024 Q2" dataDxfId="55"/>
    <tableColumn id="19" name="STG | 2024 Q2" dataDxfId="54"/>
    <tableColumn id="20" name="FLD | 2024 Q2" dataDxfId="53"/>
    <tableColumn id="21" name="ENT | 2024 Q2" dataDxfId="52"/>
    <tableColumn id="22" name="FRN | 2024 Q3" dataDxfId="51"/>
    <tableColumn id="23" name="AN | 2024 Q3" dataDxfId="50"/>
    <tableColumn id="24" name="STG | 2024 Q3" dataDxfId="49"/>
    <tableColumn id="25" name="FLD | 2024 Q3" dataDxfId="48"/>
    <tableColumn id="26" name="ENT | 2024 Q3" dataDxfId="47"/>
    <tableColumn id="27" name="FRN | 2024 Q4" dataDxfId="46"/>
    <tableColumn id="28" name="AN | 2024 Q4" dataDxfId="45"/>
    <tableColumn id="29" name="STG | 2024 Q4" dataDxfId="44"/>
    <tableColumn id="30" name="FLD | 2024 Q4" dataDxfId="43"/>
    <tableColumn id="31" name="ENT | 2024 Q4" dataDxfId="42"/>
    <tableColumn id="32" name="FRN | 2025 Q1" dataDxfId="41"/>
    <tableColumn id="33" name="AN | 2025 Q1" dataDxfId="40"/>
    <tableColumn id="34" name="STG | 2025 Q1" dataDxfId="39"/>
    <tableColumn id="35" name="FLD | 2025 Q1" dataDxfId="38"/>
    <tableColumn id="36" name="ENT | 2025 Q1" dataDxfId="37"/>
    <tableColumn id="37" name="FRN | 2025 Q2" dataDxfId="36"/>
    <tableColumn id="38" name="AN | 2025 Q2" dataDxfId="35"/>
    <tableColumn id="39" name="STG | 2025 Q2" dataDxfId="34"/>
    <tableColumn id="40" name="FLD | 2025 Q2" dataDxfId="33"/>
    <tableColumn id="41" name="ENT | 2025 Q2" dataDxfId="32"/>
    <tableColumn id="42" name="FRN | 2025 Q3" dataDxfId="31"/>
    <tableColumn id="43" name="AN | 2025 Q3" dataDxfId="30"/>
    <tableColumn id="44" name="STG | 2025 Q3" dataDxfId="29"/>
    <tableColumn id="45" name="FLD | 2025 Q3" dataDxfId="28"/>
    <tableColumn id="46" name="ENT | 2025 Q3" dataDxfId="27"/>
    <tableColumn id="47" name="FRN | 2025 Q4" dataDxfId="26"/>
    <tableColumn id="48" name="AN | 2025 Q4" dataDxfId="25"/>
    <tableColumn id="49" name="STG | 2025 Q4" dataDxfId="24"/>
    <tableColumn id="50" name="FLD | 2025 Q4" dataDxfId="23"/>
    <tableColumn id="51" name="ENT | 2025 Q4" dataDxfId="22"/>
    <tableColumn id="52" name="FRN | 2026 Q1" dataDxfId="21"/>
    <tableColumn id="53" name="AN | 2026 Q1" dataDxfId="20"/>
    <tableColumn id="54" name="STG | 2026 Q1" dataDxfId="19"/>
    <tableColumn id="55" name="FLD | 2026 Q1" dataDxfId="18"/>
    <tableColumn id="56" name="ENT | 2026 Q1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raud" displayName="fraud" ref="A1:F68" headerRowCount="1" totalsRowShown="0">
  <autoFilter ref="A1:F68"/>
  <sortState ref="A2:E68">
    <sortCondition ref="A1:A68"/>
  </sortState>
  <tableColumns count="6">
    <tableColumn id="1" name="time"/>
    <tableColumn id="2" name="lob"/>
    <tableColumn id="3" name="neg_fraud"/>
    <tableColumn id="4" name="pos_fraud"/>
    <tableColumn id="5" name="other_fraud"/>
    <tableColumn id="6" name="lookup" dataDxfId="6">
      <calculatedColumnFormula>_xlfn.CONCAT(fraud[[#This Row],[lob]], " ",fraud[[#This Row],[time]])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ll" displayName="dll" ref="A1:K188" headerRowCount="1" totalsRowShown="0" dataCellStyle="Percent">
  <autoFilter ref="A1:K188"/>
  <sortState ref="A2:J188">
    <sortCondition descending="1" ref="A1:A188"/>
  </sortState>
  <tableColumns count="11">
    <tableColumn id="1" name="valid_vintage"/>
    <tableColumn id="2" name="lob"/>
    <tableColumn id="3" name="a_dealers" dataDxfId="15" dataCellStyle="Percent"/>
    <tableColumn id="4" name="b_dealers" dataDxfId="14" dataCellStyle="Percent"/>
    <tableColumn id="5" name="c_dealers" dataDxfId="13" dataCellStyle="Percent"/>
    <tableColumn id="6" name="d_dealers" dataDxfId="12" dataCellStyle="Percent"/>
    <tableColumn id="7" name="e_dealers" dataDxfId="11" dataCellStyle="Percent"/>
    <tableColumn id="8" name="f_dealers" dataDxfId="10" dataCellStyle="Percent"/>
    <tableColumn id="9" name="good_dealer" dataDxfId="9" dataCellStyle="Percent"/>
    <tableColumn id="10" name="bad_dealer" dataDxfId="8" dataCellStyle="Percent"/>
    <tableColumn id="11" name="lookup" dataDxfId="7" dataCellStyle="Percent">
      <calculatedColumnFormula>_xlfn.CONCAT(dll[[#This Row],[lob]], " ", dll[[#This Row],[valid_vintage]])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dq" displayName="dq" ref="A1:G55" headerRowCount="1" totalsRowShown="0">
  <autoFilter ref="A1:G55"/>
  <tableColumns count="7">
    <tableColumn id="1" name="vintage"/>
    <tableColumn id="2" name="lob"/>
    <tableColumn id="3" name="dq_3"/>
    <tableColumn id="4" name="dq_6"/>
    <tableColumn id="5" name="co_6"/>
    <tableColumn id="6" name="co_12"/>
    <tableColumn id="7" name="lookup" dataDxfId="5">
      <calculatedColumnFormula>_xlfn.CONCAT(dq[[#This Row],[lob]]," ", dq[[#This Row],[vintage]])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tabSelected="1" zoomScale="145" zoomScaleNormal="145" workbookViewId="0">
      <selection activeCell="I16" sqref="I16"/>
    </sheetView>
  </sheetViews>
  <sheetFormatPr baseColWidth="8" defaultRowHeight="14.5"/>
  <cols>
    <col width="21.7265625" customWidth="1" style="43" min="1" max="1"/>
    <col width="10.36328125" customWidth="1" style="43" min="2" max="2"/>
    <col width="8.7265625" customWidth="1" style="43" min="3" max="3"/>
    <col width="23.36328125" customWidth="1" style="43" min="4" max="4"/>
    <col width="13.08984375" customWidth="1" style="43" min="5" max="6"/>
    <col width="17.26953125" customWidth="1" style="43" min="7" max="7"/>
    <col width="17.36328125" customWidth="1" style="43" min="8" max="8"/>
    <col width="12.7265625" customWidth="1" style="43" min="9" max="9"/>
    <col width="12.453125" customWidth="1" style="43" min="10" max="10"/>
    <col width="8.7265625" customWidth="1" style="43" min="11" max="11"/>
    <col width="13.90625" customWidth="1" style="43" min="12" max="12"/>
    <col width="14.6328125" bestFit="1" customWidth="1" style="43" min="13" max="13"/>
    <col width="19.7265625" customWidth="1" style="43" min="14" max="17"/>
    <col width="8.7265625" customWidth="1" style="43" min="18" max="23"/>
  </cols>
  <sheetData>
    <row r="1" ht="16" customHeight="1" s="43" thickBot="1">
      <c r="A1" s="111" t="inlineStr">
        <is>
          <t>LOB</t>
        </is>
      </c>
      <c r="B1" s="82" t="inlineStr">
        <is>
          <t>STG</t>
        </is>
      </c>
    </row>
    <row r="2" ht="16" customHeight="1" s="43" thickBot="1">
      <c r="A2" s="111" t="inlineStr">
        <is>
          <t>Start</t>
        </is>
      </c>
      <c r="B2" s="82" t="inlineStr">
        <is>
          <t>2024 Q1</t>
        </is>
      </c>
      <c r="D2" s="112">
        <f>B1</f>
        <v/>
      </c>
      <c r="E2" s="113">
        <f>B2</f>
        <v/>
      </c>
      <c r="F2" s="114">
        <f>B3</f>
        <v/>
      </c>
      <c r="G2" s="99" t="inlineStr">
        <is>
          <t>Delta</t>
        </is>
      </c>
    </row>
    <row r="3" ht="16" customHeight="1" s="43" thickBot="1">
      <c r="A3" s="111" t="inlineStr">
        <is>
          <t>End</t>
        </is>
      </c>
      <c r="B3" s="82" t="inlineStr">
        <is>
          <t>2025 Q3</t>
        </is>
      </c>
      <c r="D3" s="115" t="inlineStr">
        <is>
          <t>Model Score</t>
        </is>
      </c>
      <c r="E3" s="116">
        <f>factory!M27</f>
        <v/>
      </c>
      <c r="F3" s="117">
        <f>factory!N27</f>
        <v/>
      </c>
      <c r="G3" s="118">
        <f>F3-E3</f>
        <v/>
      </c>
    </row>
    <row r="4" ht="15.5" customHeight="1" s="43" thickBot="1" thickTop="1">
      <c r="D4" s="119" t="inlineStr">
        <is>
          <t>Gross Loss</t>
        </is>
      </c>
      <c r="E4" s="103">
        <f>factory!M28</f>
        <v/>
      </c>
      <c r="F4" s="104">
        <f>factory!N28</f>
        <v/>
      </c>
      <c r="G4" s="120">
        <f>F4-E4</f>
        <v/>
      </c>
    </row>
    <row r="5" ht="15.5" customHeight="1" s="43" thickBot="1" thickTop="1">
      <c r="A5" s="83" t="inlineStr">
        <is>
          <t>LOB Dictionary</t>
        </is>
      </c>
      <c r="D5" s="115" t="inlineStr">
        <is>
          <t>Recovery + LTV</t>
        </is>
      </c>
      <c r="E5" s="116">
        <f>factory!M29</f>
        <v/>
      </c>
      <c r="F5" s="117">
        <f>factory!N29</f>
        <v/>
      </c>
      <c r="G5" s="121">
        <f>F5-E5</f>
        <v/>
      </c>
    </row>
    <row r="6" ht="16" customHeight="1" s="43" thickBot="1">
      <c r="A6" s="47" t="inlineStr">
        <is>
          <t>AN</t>
        </is>
      </c>
      <c r="D6" s="122" t="inlineStr">
        <is>
          <t>RAGU Score</t>
        </is>
      </c>
      <c r="E6" s="123">
        <f>factory!M30</f>
        <v/>
      </c>
      <c r="F6" s="124">
        <f>factory!N30</f>
        <v/>
      </c>
      <c r="G6" s="125">
        <f>F6-E6</f>
        <v/>
      </c>
      <c r="K6" s="41" t="n"/>
    </row>
    <row r="7" ht="14.5" customHeight="1" s="43" thickBot="1">
      <c r="A7" s="48" t="inlineStr">
        <is>
          <t>STG</t>
        </is>
      </c>
      <c r="K7" s="41" t="n"/>
    </row>
    <row r="8" ht="14.5" customHeight="1" s="43" thickBot="1">
      <c r="A8" s="48" t="inlineStr">
        <is>
          <t>ENT</t>
        </is>
      </c>
      <c r="D8" s="50">
        <f>B1</f>
        <v/>
      </c>
      <c r="E8" s="51">
        <f>B2</f>
        <v/>
      </c>
      <c r="F8" s="52">
        <f>B3</f>
        <v/>
      </c>
      <c r="G8" s="53" t="inlineStr">
        <is>
          <t>Delta</t>
        </is>
      </c>
      <c r="K8" s="126" t="n"/>
    </row>
    <row r="9" ht="15.5" customHeight="1" s="43">
      <c r="A9" s="48" t="inlineStr">
        <is>
          <t>FLD</t>
        </is>
      </c>
      <c r="D9" s="84" t="inlineStr">
        <is>
          <t>Chime</t>
        </is>
      </c>
      <c r="E9" s="44">
        <f>factory!H49</f>
        <v/>
      </c>
      <c r="F9" s="45">
        <f>factory!H74</f>
        <v/>
      </c>
      <c r="G9" s="127">
        <f>F9-E9</f>
        <v/>
      </c>
    </row>
    <row r="10" ht="14.5" customHeight="1" s="43" thickBot="1">
      <c r="A10" s="49" t="inlineStr">
        <is>
          <t>FRN</t>
        </is>
      </c>
      <c r="D10" s="110" t="inlineStr">
        <is>
          <t xml:space="preserve"> population %</t>
        </is>
      </c>
      <c r="E10" s="128">
        <f>factory!I22</f>
        <v/>
      </c>
      <c r="F10" s="128">
        <f>factory!J22</f>
        <v/>
      </c>
      <c r="G10" s="129">
        <f>F10-E10</f>
        <v/>
      </c>
    </row>
    <row r="11" ht="14.5" customHeight="1" s="43">
      <c r="D11" s="87" t="inlineStr">
        <is>
          <t>Student Loans</t>
        </is>
      </c>
      <c r="E11" s="44">
        <f>factory!H47</f>
        <v/>
      </c>
      <c r="F11" s="45">
        <f>factory!H72</f>
        <v/>
      </c>
      <c r="G11" s="130">
        <f>F11-E11</f>
        <v/>
      </c>
      <c r="K11" s="126" t="n"/>
    </row>
    <row r="12" ht="15" customHeight="1" s="43" thickBot="1">
      <c r="D12" s="85" t="inlineStr">
        <is>
          <t xml:space="preserve"> population %</t>
        </is>
      </c>
      <c r="E12" s="128">
        <f>factory!I19</f>
        <v/>
      </c>
      <c r="F12" s="128">
        <f>factory!J19</f>
        <v/>
      </c>
      <c r="G12" s="129">
        <f>F12-E12</f>
        <v/>
      </c>
    </row>
    <row r="13" ht="18" customHeight="1" s="43">
      <c r="D13" s="87" t="inlineStr">
        <is>
          <t>Toyota/Honda</t>
        </is>
      </c>
      <c r="E13" s="46">
        <f>factory!H43</f>
        <v/>
      </c>
      <c r="F13" s="46">
        <f>factory!H68</f>
        <v/>
      </c>
      <c r="G13" s="130">
        <f>F13-E13</f>
        <v/>
      </c>
      <c r="K13" s="126" t="n"/>
    </row>
    <row r="14" ht="15" customHeight="1" s="43" thickBot="1">
      <c r="D14" s="85" t="inlineStr">
        <is>
          <t xml:space="preserve"> population %</t>
        </is>
      </c>
      <c r="E14" s="128">
        <f>factory!I14</f>
        <v/>
      </c>
      <c r="F14" s="128">
        <f>factory!J14</f>
        <v/>
      </c>
      <c r="G14" s="131">
        <f>F14-E14</f>
        <v/>
      </c>
    </row>
    <row r="15" ht="15.5" customHeight="1" s="43">
      <c r="D15" s="87" t="inlineStr">
        <is>
          <t>Fraud</t>
        </is>
      </c>
      <c r="E15" s="44">
        <f>factory!H52</f>
        <v/>
      </c>
      <c r="F15" s="45">
        <f>factory!H77</f>
        <v/>
      </c>
      <c r="G15" s="130">
        <f>F15-E15</f>
        <v/>
      </c>
      <c r="K15" s="126" t="n"/>
    </row>
    <row r="16">
      <c r="D16" s="88" t="inlineStr">
        <is>
          <t xml:space="preserve"> Low Fraud %</t>
        </is>
      </c>
      <c r="E16" s="132">
        <f>factory!M13</f>
        <v/>
      </c>
      <c r="F16" s="132">
        <f>factory!N13</f>
        <v/>
      </c>
      <c r="G16" s="133">
        <f>F16-E16</f>
        <v/>
      </c>
    </row>
    <row r="17" ht="15" customHeight="1" s="43" thickBot="1">
      <c r="D17" s="89" t="inlineStr">
        <is>
          <t xml:space="preserve"> High Fraud %</t>
        </is>
      </c>
      <c r="E17" s="128">
        <f>factory!M14</f>
        <v/>
      </c>
      <c r="F17" s="128">
        <f>factory!N14</f>
        <v/>
      </c>
      <c r="G17" s="129">
        <f>F17-E17</f>
        <v/>
      </c>
      <c r="P17" s="25" t="n"/>
      <c r="Q17" s="25" t="n"/>
    </row>
    <row r="18" ht="15.5" customHeight="1" s="43">
      <c r="D18" s="87" t="inlineStr">
        <is>
          <t>Dealer Level Loss</t>
        </is>
      </c>
      <c r="E18" s="44">
        <f>factory!H54</f>
        <v/>
      </c>
      <c r="F18" s="45">
        <f>factory!H79</f>
        <v/>
      </c>
      <c r="G18" s="130">
        <f>F18-E18</f>
        <v/>
      </c>
    </row>
    <row r="19">
      <c r="D19" s="88" t="inlineStr">
        <is>
          <t xml:space="preserve"> Good Dealer %</t>
        </is>
      </c>
      <c r="E19" s="132">
        <f>factory!M7</f>
        <v/>
      </c>
      <c r="F19" s="132">
        <f>factory!N7</f>
        <v/>
      </c>
      <c r="G19" s="133">
        <f>F19-E19</f>
        <v/>
      </c>
    </row>
    <row r="20" ht="15" customHeight="1" s="43" thickBot="1">
      <c r="D20" s="88" t="inlineStr">
        <is>
          <t xml:space="preserve"> Bad Dealer %</t>
        </is>
      </c>
      <c r="E20" s="132">
        <f>factory!M8</f>
        <v/>
      </c>
      <c r="F20" s="132">
        <f>factory!N8</f>
        <v/>
      </c>
      <c r="G20" s="134">
        <f>F20-E20</f>
        <v/>
      </c>
    </row>
    <row r="21" ht="17.5" customHeight="1" s="43" thickBot="1">
      <c r="D21" s="90" t="inlineStr">
        <is>
          <t>Other Adjustments</t>
        </is>
      </c>
      <c r="E21" s="65">
        <f>SUM(factory!H38:H57,-factory!H43-factory!H47-factory!H49-factory!H52-factory!H54)</f>
        <v/>
      </c>
      <c r="F21" s="66">
        <f>SUM(factory!H63:H82,-factory!H68-factory!H72-factory!H74-factory!H77-factory!H79)</f>
        <v/>
      </c>
      <c r="G21" s="135">
        <f>F21-E21</f>
        <v/>
      </c>
    </row>
    <row r="22">
      <c r="D22" s="136" t="inlineStr">
        <is>
          <t>Final Gross Loss</t>
        </is>
      </c>
      <c r="E22" s="65">
        <f>SUM(E9,E11,E13,E15,E18,E21)</f>
        <v/>
      </c>
      <c r="F22" s="65">
        <f>SUM(F9,F11,F13,F15,F18,F21)</f>
        <v/>
      </c>
      <c r="G22" s="135">
        <f>F22-E22</f>
        <v/>
      </c>
    </row>
    <row r="23" ht="15" customHeight="1" s="43" thickBot="1">
      <c r="D23" s="137" t="n"/>
      <c r="E23" s="38" t="n"/>
      <c r="F23" s="38" t="n"/>
      <c r="G23" s="138" t="n"/>
    </row>
    <row r="24" ht="18" customHeight="1" s="43"/>
    <row r="25" ht="18" customHeight="1" s="43" thickBot="1"/>
    <row r="26" ht="15" customHeight="1" s="43" thickBot="1">
      <c r="D26" s="81">
        <f>B1</f>
        <v/>
      </c>
      <c r="E26" s="77">
        <f>B2</f>
        <v/>
      </c>
      <c r="F26" s="78">
        <f>B3</f>
        <v/>
      </c>
    </row>
    <row r="27">
      <c r="D27" s="79" t="inlineStr">
        <is>
          <t>DQ @ 3 MOB</t>
        </is>
      </c>
      <c r="E27" s="139">
        <f>factory!M20</f>
        <v/>
      </c>
      <c r="F27" s="140">
        <f>factory!N20</f>
        <v/>
      </c>
    </row>
    <row r="28">
      <c r="D28" s="79" t="inlineStr">
        <is>
          <t>DQ @ 6 MOB</t>
        </is>
      </c>
      <c r="E28" s="141">
        <f>factory!M21</f>
        <v/>
      </c>
      <c r="F28" s="142">
        <f>factory!N21</f>
        <v/>
      </c>
      <c r="G28" s="17" t="n"/>
    </row>
    <row r="29">
      <c r="D29" s="79" t="inlineStr">
        <is>
          <t>CO @ 6 MOB</t>
        </is>
      </c>
      <c r="E29" s="141">
        <f>factory!M22</f>
        <v/>
      </c>
      <c r="F29" s="142">
        <f>factory!N22</f>
        <v/>
      </c>
    </row>
    <row r="30" ht="15" customHeight="1" s="43" thickBot="1">
      <c r="D30" s="80" t="inlineStr">
        <is>
          <t>CO @ 12 MOB</t>
        </is>
      </c>
      <c r="E30" s="143">
        <f>factory!M23</f>
        <v/>
      </c>
      <c r="F30" s="144">
        <f>factory!N23</f>
        <v/>
      </c>
    </row>
  </sheetData>
  <mergeCells count="4">
    <mergeCell ref="G22:G23"/>
    <mergeCell ref="D22:D23"/>
    <mergeCell ref="F22:F23"/>
    <mergeCell ref="E22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topLeftCell="A81" zoomScale="145" zoomScaleNormal="145" workbookViewId="0">
      <selection activeCell="G89" sqref="F89:G89"/>
    </sheetView>
  </sheetViews>
  <sheetFormatPr baseColWidth="8" defaultRowHeight="14.5"/>
  <cols>
    <col width="21.90625" bestFit="1" customWidth="1" style="43" min="3" max="3"/>
    <col width="20.7265625" bestFit="1" customWidth="1" style="43" min="4" max="4"/>
    <col width="13.90625" bestFit="1" customWidth="1" style="43" min="5" max="5"/>
    <col width="13.453125" customWidth="1" style="43" min="6" max="6"/>
    <col width="20.6328125" bestFit="1" customWidth="1" style="43" min="7" max="7"/>
    <col width="26" bestFit="1" customWidth="1" style="43" min="8" max="8"/>
    <col width="12.54296875" bestFit="1" customWidth="1" style="43" min="9" max="10"/>
    <col width="13.26953125" bestFit="1" customWidth="1" style="43" min="12" max="12"/>
  </cols>
  <sheetData>
    <row r="1">
      <c r="A1" t="inlineStr">
        <is>
          <t>LOB</t>
        </is>
      </c>
      <c r="B1">
        <f>Main!B1</f>
        <v/>
      </c>
    </row>
    <row r="2">
      <c r="A2" t="inlineStr">
        <is>
          <t>Start</t>
        </is>
      </c>
      <c r="B2">
        <f>Main!B2</f>
        <v/>
      </c>
    </row>
    <row r="3">
      <c r="A3" t="inlineStr">
        <is>
          <t>End</t>
        </is>
      </c>
      <c r="B3">
        <f>Main!B3</f>
        <v/>
      </c>
    </row>
    <row r="5">
      <c r="B5" t="inlineStr">
        <is>
          <t> </t>
        </is>
      </c>
    </row>
    <row r="6">
      <c r="C6" s="14" t="inlineStr">
        <is>
          <t>adjustment snapshots</t>
        </is>
      </c>
      <c r="D6">
        <f>B2</f>
        <v/>
      </c>
      <c r="E6">
        <f>B3</f>
        <v/>
      </c>
      <c r="H6" s="14" t="inlineStr">
        <is>
          <t>population %</t>
        </is>
      </c>
      <c r="I6">
        <f>B2</f>
        <v/>
      </c>
      <c r="J6">
        <f>B3</f>
        <v/>
      </c>
      <c r="L6" s="14" t="n"/>
      <c r="M6">
        <f>B2</f>
        <v/>
      </c>
      <c r="N6">
        <f>B3</f>
        <v/>
      </c>
    </row>
    <row r="7">
      <c r="C7" s="20" t="inlineStr">
        <is>
          <t>Previous ACA Chargeoff</t>
        </is>
      </c>
      <c r="D7" s="2">
        <f>INDEX(multipliers!$A3:$BD3,MATCH($B$1&amp;" | "&amp;D$6,Mult[#Headers], 0))</f>
        <v/>
      </c>
      <c r="E7" s="2">
        <f>INDEX(multipliers!$A3:$BD3,MATCH($B$1&amp;" | "&amp;E$6,Mult[#Headers], 0))</f>
        <v/>
      </c>
      <c r="H7">
        <f>populations!A2</f>
        <v/>
      </c>
      <c r="I7" s="145">
        <f>INDEX(populations!$A2:$BD2,MATCH($B$1&amp;" | "&amp;I$6,flag[#Headers], 0))</f>
        <v/>
      </c>
      <c r="J7" s="145">
        <f>INDEX(populations!$A2:$BD2,MATCH($B$1&amp;" | "&amp;J$6,flag[#Headers], 0))</f>
        <v/>
      </c>
      <c r="L7" t="inlineStr">
        <is>
          <t>Good Dealer %</t>
        </is>
      </c>
      <c r="M7" s="145">
        <f>INDEX(dll[good_dealer],MATCH($B$1&amp;" "&amp;M$6,dll[lookup], 0))</f>
        <v/>
      </c>
      <c r="N7" s="145">
        <f>INDEX(dll[good_dealer],MATCH($B$1&amp;" "&amp;N$6,dll[lookup], 0))</f>
        <v/>
      </c>
    </row>
    <row r="8">
      <c r="C8" s="20" t="inlineStr">
        <is>
          <t>Small Amount Financed</t>
        </is>
      </c>
      <c r="D8" s="2">
        <f>INDEX(multipliers!$A4:$BD4,MATCH($B$1&amp;" | "&amp;D$6,Mult[#Headers], 0))</f>
        <v/>
      </c>
      <c r="E8" s="2">
        <f>INDEX(multipliers!$A4:$BD4,MATCH($B$1&amp;" | "&amp;E$6,Mult[#Headers], 0))</f>
        <v/>
      </c>
      <c r="H8">
        <f>populations!A3</f>
        <v/>
      </c>
      <c r="I8" s="145">
        <f>INDEX(populations!$A3:$BD3,MATCH($B$1&amp;" | "&amp;I$6,flag[#Headers], 0))</f>
        <v/>
      </c>
      <c r="J8" s="145">
        <f>INDEX(populations!$A3:$BD3,MATCH($B$1&amp;" | "&amp;J$6,flag[#Headers], 0))</f>
        <v/>
      </c>
      <c r="L8" t="inlineStr">
        <is>
          <t>Bad Dealer %</t>
        </is>
      </c>
      <c r="M8" s="145">
        <f>INDEX(dll[bad_dealer],MATCH($B$1&amp;" "&amp;M$6,dll[lookup], 0))</f>
        <v/>
      </c>
      <c r="N8" s="145">
        <f>INDEX(dll[bad_dealer],MATCH($B$1&amp;" "&amp;N$6,dll[lookup], 0))</f>
        <v/>
      </c>
    </row>
    <row r="9">
      <c r="C9" s="20" t="inlineStr">
        <is>
          <t>Zero Cash Down</t>
        </is>
      </c>
      <c r="D9" s="2">
        <f>INDEX(multipliers!$A5:$BD5,MATCH($B$1&amp;" | "&amp;D$6,Mult[#Headers], 0))</f>
        <v/>
      </c>
      <c r="E9" s="2">
        <f>INDEX(multipliers!$A5:$BD5,MATCH($B$1&amp;" | "&amp;E$6,Mult[#Headers], 0))</f>
        <v/>
      </c>
      <c r="H9">
        <f>populations!A4</f>
        <v/>
      </c>
      <c r="I9" s="145">
        <f>INDEX(populations!$A4:$BD4,MATCH($B$1&amp;" | "&amp;I$6,flag[#Headers], 0))</f>
        <v/>
      </c>
      <c r="J9" s="145">
        <f>INDEX(populations!$A4:$BD4,MATCH($B$1&amp;" | "&amp;J$6,flag[#Headers], 0))</f>
        <v/>
      </c>
    </row>
    <row r="10">
      <c r="C10" s="20" t="inlineStr">
        <is>
          <t>High Mileage</t>
        </is>
      </c>
      <c r="D10" s="2">
        <f>INDEX(multipliers!$A6:$BD6,MATCH($B$1&amp;" | "&amp;D$6,Mult[#Headers], 0))</f>
        <v/>
      </c>
      <c r="E10" s="2">
        <f>INDEX(multipliers!$A6:$BD6,MATCH($B$1&amp;" | "&amp;E$6,Mult[#Headers], 0))</f>
        <v/>
      </c>
      <c r="H10">
        <f>populations!A5</f>
        <v/>
      </c>
      <c r="I10" s="145">
        <f>INDEX(populations!$A5:$BD5,MATCH($B$1&amp;" | "&amp;I$6,flag[#Headers], 0))</f>
        <v/>
      </c>
      <c r="J10" s="145">
        <f>INDEX(populations!$A5:$BD5,MATCH($B$1&amp;" | "&amp;J$6,flag[#Headers], 0))</f>
        <v/>
      </c>
    </row>
    <row r="11" ht="15" customHeight="1" s="43" thickBot="1">
      <c r="C11" s="20" t="inlineStr">
        <is>
          <t>High PTI</t>
        </is>
      </c>
      <c r="D11" s="2">
        <f>INDEX(multipliers!$A7:$BD7,MATCH($B$1&amp;" | "&amp;D$6,Mult[#Headers], 0))</f>
        <v/>
      </c>
      <c r="E11" s="2">
        <f>INDEX(multipliers!$A7:$BD7,MATCH($B$1&amp;" | "&amp;E$6,Mult[#Headers], 0))</f>
        <v/>
      </c>
      <c r="H11">
        <f>populations!A6</f>
        <v/>
      </c>
      <c r="I11" s="145">
        <f>INDEX(populations!$A6:$BD6,MATCH($B$1&amp;" | "&amp;I$6,flag[#Headers], 0))</f>
        <v/>
      </c>
      <c r="J11" s="145">
        <f>INDEX(populations!$A6:$BD6,MATCH($B$1&amp;" | "&amp;J$6,flag[#Headers], 0))</f>
        <v/>
      </c>
    </row>
    <row r="12">
      <c r="C12" s="20" t="inlineStr">
        <is>
          <t>Toyota/Honda</t>
        </is>
      </c>
      <c r="D12" s="2">
        <f>INDEX(multipliers!$A8:$BD8,MATCH($B$1&amp;" | "&amp;D$6,Mult[#Headers], 0))</f>
        <v/>
      </c>
      <c r="E12" s="2">
        <f>INDEX(multipliers!$A8:$BD8,MATCH($B$1&amp;" | "&amp;E$6,Mult[#Headers], 0))</f>
        <v/>
      </c>
      <c r="H12">
        <f>populations!A7</f>
        <v/>
      </c>
      <c r="I12" s="145">
        <f>INDEX(populations!$A7:$BD7,MATCH($B$1&amp;" | "&amp;I$6,flag[#Headers], 0))</f>
        <v/>
      </c>
      <c r="J12" s="145">
        <f>INDEX(populations!$A7:$BD7,MATCH($B$1&amp;" | "&amp;J$6,flag[#Headers], 0))</f>
        <v/>
      </c>
      <c r="L12" s="109" t="n"/>
      <c r="M12" s="26">
        <f>B2</f>
        <v/>
      </c>
      <c r="N12" s="27">
        <f>B3</f>
        <v/>
      </c>
    </row>
    <row r="13">
      <c r="C13" s="20" t="inlineStr">
        <is>
          <t>Theft Risk</t>
        </is>
      </c>
      <c r="D13" s="2">
        <f>INDEX(multipliers!$A9:$BD9,MATCH($B$1&amp;" | "&amp;D$6,Mult[#Headers], 0))</f>
        <v/>
      </c>
      <c r="E13" s="2">
        <f>INDEX(multipliers!$A9:$BD9,MATCH($B$1&amp;" | "&amp;E$6,Mult[#Headers], 0))</f>
        <v/>
      </c>
      <c r="H13">
        <f>populations!A8</f>
        <v/>
      </c>
      <c r="I13" s="145">
        <f>INDEX(populations!$A8:$BD8,MATCH($B$1&amp;" | "&amp;I$6,flag[#Headers], 0))</f>
        <v/>
      </c>
      <c r="J13" s="145">
        <f>INDEX(populations!$A8:$BD8,MATCH($B$1&amp;" | "&amp;J$6,flag[#Headers], 0))</f>
        <v/>
      </c>
      <c r="L13" s="28" t="inlineStr">
        <is>
          <t>Positive Fraud</t>
        </is>
      </c>
      <c r="M13" s="145">
        <f>INDEX(fraud[pos_fraud],MATCH($B$1&amp;" "&amp;M$12,fraud[lookup], 0))</f>
        <v/>
      </c>
      <c r="N13" s="146">
        <f>INDEX(fraud[pos_fraud],MATCH($B$1&amp;" "&amp;N$12,fraud[lookup], 0))</f>
        <v/>
      </c>
    </row>
    <row r="14" ht="15" customHeight="1" s="43" thickBot="1">
      <c r="C14" s="13" t="inlineStr">
        <is>
          <t>08_mcy_low_mileage</t>
        </is>
      </c>
      <c r="D14" s="2">
        <f>INDEX(multipliers!$A10:$BD10,MATCH($B$1&amp;" | "&amp;D$6,Mult[#Headers], 0))</f>
        <v/>
      </c>
      <c r="E14" s="2">
        <f>INDEX(multipliers!$A10:$BD10,MATCH($B$1&amp;" | "&amp;E$6,Mult[#Headers], 0))</f>
        <v/>
      </c>
      <c r="H14">
        <f>populations!A9</f>
        <v/>
      </c>
      <c r="I14" s="145">
        <f>INDEX(populations!$A9:$BD9,MATCH($B$1&amp;" | "&amp;I$6,flag[#Headers], 0))</f>
        <v/>
      </c>
      <c r="J14" s="145">
        <f>INDEX(populations!$A9:$BD9,MATCH($B$1&amp;" | "&amp;J$6,flag[#Headers], 0))</f>
        <v/>
      </c>
      <c r="L14" s="30" t="inlineStr">
        <is>
          <t>Negative Fraud</t>
        </is>
      </c>
      <c r="M14" s="147">
        <f>INDEX(fraud[neg_fraud],MATCH($B$1&amp;" "&amp;M$12,fraud[lookup], 0))</f>
        <v/>
      </c>
      <c r="N14" s="148">
        <f>INDEX(fraud[neg_fraud],MATCH($B$1&amp;" "&amp;N$12,fraud[lookup], 0))</f>
        <v/>
      </c>
    </row>
    <row r="15">
      <c r="C15" s="20" t="inlineStr">
        <is>
          <t>Weekday/Weekend</t>
        </is>
      </c>
      <c r="D15" s="2">
        <f>INDEX(multipliers!$A11:$BD11,MATCH($B$1&amp;" | "&amp;D$6,Mult[#Headers], 0))</f>
        <v/>
      </c>
      <c r="E15" s="2">
        <f>INDEX(multipliers!$A11:$BD11,MATCH($B$1&amp;" | "&amp;E$6,Mult[#Headers], 0))</f>
        <v/>
      </c>
      <c r="H15">
        <f>populations!A10</f>
        <v/>
      </c>
      <c r="I15" s="145">
        <f>INDEX(populations!$A10:$BD10,MATCH($B$1&amp;" | "&amp;I$6,flag[#Headers], 0))</f>
        <v/>
      </c>
      <c r="J15" s="145">
        <f>INDEX(populations!$A10:$BD10,MATCH($B$1&amp;" | "&amp;J$6,flag[#Headers], 0))</f>
        <v/>
      </c>
    </row>
    <row r="16">
      <c r="C16" s="20" t="inlineStr">
        <is>
          <t>Student Loans</t>
        </is>
      </c>
      <c r="D16" s="2">
        <f>INDEX(multipliers!$A12:$BD12,MATCH($B$1&amp;" | "&amp;D$6,Mult[#Headers], 0))</f>
        <v/>
      </c>
      <c r="E16" s="2">
        <f>INDEX(multipliers!$A12:$BD12,MATCH($B$1&amp;" | "&amp;E$6,Mult[#Headers], 0))</f>
        <v/>
      </c>
      <c r="H16">
        <f>populations!A11</f>
        <v/>
      </c>
      <c r="I16" s="145">
        <f>INDEX(populations!$A11:$BD11,MATCH($B$1&amp;" | "&amp;I$6,flag[#Headers], 0))</f>
        <v/>
      </c>
      <c r="J16" s="145">
        <f>INDEX(populations!$A11:$BD11,MATCH($B$1&amp;" | "&amp;J$6,flag[#Headers], 0))</f>
        <v/>
      </c>
    </row>
    <row r="17">
      <c r="C17" s="20" t="inlineStr">
        <is>
          <t>Low PTI</t>
        </is>
      </c>
      <c r="D17" s="2">
        <f>INDEX(multipliers!$A13:$BD13,MATCH($B$1&amp;" | "&amp;D$6,Mult[#Headers], 0))</f>
        <v/>
      </c>
      <c r="E17" s="2">
        <f>INDEX(multipliers!$A13:$BD13,MATCH($B$1&amp;" | "&amp;E$6,Mult[#Headers], 0))</f>
        <v/>
      </c>
      <c r="H17">
        <f>populations!A12</f>
        <v/>
      </c>
      <c r="I17" s="145">
        <f>INDEX(populations!$A12:$BD12,MATCH($B$1&amp;" | "&amp;I$6,flag[#Headers], 0))</f>
        <v/>
      </c>
      <c r="J17" s="145">
        <f>INDEX(populations!$A12:$BD12,MATCH($B$1&amp;" | "&amp;J$6,flag[#Headers], 0))</f>
        <v/>
      </c>
    </row>
    <row r="18" ht="15" customHeight="1" s="43" thickBot="1">
      <c r="C18" s="20" t="inlineStr">
        <is>
          <t>Chime</t>
        </is>
      </c>
      <c r="D18" s="2">
        <f>INDEX(multipliers!$A14:$BD14,MATCH($B$1&amp;" | "&amp;D$6,Mult[#Headers], 0))</f>
        <v/>
      </c>
      <c r="E18" s="2">
        <f>INDEX(multipliers!$A14:$BD14,MATCH($B$1&amp;" | "&amp;E$6,Mult[#Headers], 0))</f>
        <v/>
      </c>
      <c r="H18">
        <f>populations!A13</f>
        <v/>
      </c>
      <c r="I18" s="145">
        <f>INDEX(populations!$A13:$BD13,MATCH($B$1&amp;" | "&amp;I$6,flag[#Headers], 0))</f>
        <v/>
      </c>
      <c r="J18" s="145">
        <f>INDEX(populations!$A13:$BD13,MATCH($B$1&amp;" | "&amp;J$6,flag[#Headers], 0))</f>
        <v/>
      </c>
    </row>
    <row r="19">
      <c r="C19" s="20" t="inlineStr">
        <is>
          <t>Waiter/Seasonal</t>
        </is>
      </c>
      <c r="D19" s="2">
        <f>INDEX(multipliers!$A15:$BD15,MATCH($B$1&amp;" | "&amp;D$6,Mult[#Headers], 0))</f>
        <v/>
      </c>
      <c r="E19" s="2">
        <f>INDEX(multipliers!$A15:$BD15,MATCH($B$1&amp;" | "&amp;E$6,Mult[#Headers], 0))</f>
        <v/>
      </c>
      <c r="H19">
        <f>populations!A14</f>
        <v/>
      </c>
      <c r="I19" s="145">
        <f>INDEX(populations!$A14:$BD14,MATCH($B$1&amp;" | "&amp;I$6,flag[#Headers], 0))</f>
        <v/>
      </c>
      <c r="J19" s="145">
        <f>INDEX(populations!$A14:$BD14,MATCH($B$1&amp;" | "&amp;J$6,flag[#Headers], 0))</f>
        <v/>
      </c>
      <c r="L19" s="109" t="n"/>
      <c r="M19" s="26">
        <f>B2</f>
        <v/>
      </c>
      <c r="N19" s="27">
        <f>B3</f>
        <v/>
      </c>
    </row>
    <row r="20">
      <c r="C20" s="20" t="inlineStr">
        <is>
          <t>Authorized Tradelines</t>
        </is>
      </c>
      <c r="D20" s="2">
        <f>INDEX(multipliers!$A16:$BD16,MATCH($B$1&amp;" | "&amp;D$6,Mult[#Headers], 0))</f>
        <v/>
      </c>
      <c r="E20" s="2">
        <f>INDEX(multipliers!$A16:$BD16,MATCH($B$1&amp;" | "&amp;E$6,Mult[#Headers], 0))</f>
        <v/>
      </c>
      <c r="H20">
        <f>populations!A15</f>
        <v/>
      </c>
      <c r="I20" s="145">
        <f>INDEX(populations!$A15:$BD15,MATCH($B$1&amp;" | "&amp;I$6,flag[#Headers], 0))</f>
        <v/>
      </c>
      <c r="J20" s="145">
        <f>INDEX(populations!$A15:$BD15,MATCH($B$1&amp;" | "&amp;J$6,flag[#Headers], 0))</f>
        <v/>
      </c>
      <c r="L20" s="33" t="inlineStr">
        <is>
          <t>DQ MOB 3</t>
        </is>
      </c>
      <c r="M20" s="145">
        <f>INDEX(dq[dq_3],MATCH($B$1&amp;" "&amp;M$19,dq[lookup], 0))</f>
        <v/>
      </c>
      <c r="N20" s="146">
        <f>INDEX(dq[dq_3],MATCH($B$1&amp;" "&amp;N$19,dq[lookup], 0))</f>
        <v/>
      </c>
    </row>
    <row r="21">
      <c r="C21" s="20" t="inlineStr">
        <is>
          <t>Fraud</t>
        </is>
      </c>
      <c r="D21" s="2">
        <f>INDEX(multipliers!$A17:$BD17,MATCH($B$1&amp;" | "&amp;D$6,Mult[#Headers], 0))</f>
        <v/>
      </c>
      <c r="E21" s="2">
        <f>INDEX(multipliers!$A17:$BD17,MATCH($B$1&amp;" | "&amp;E$6,Mult[#Headers], 0))</f>
        <v/>
      </c>
      <c r="H21">
        <f>populations!A16</f>
        <v/>
      </c>
      <c r="I21" s="145">
        <f>INDEX(populations!$A16:$BD16,MATCH($B$1&amp;" | "&amp;I$6,flag[#Headers], 0))</f>
        <v/>
      </c>
      <c r="J21" s="145">
        <f>INDEX(populations!$A16:$BD16,MATCH($B$1&amp;" | "&amp;J$6,flag[#Headers], 0))</f>
        <v/>
      </c>
      <c r="L21" s="33" t="inlineStr">
        <is>
          <t>DQ MOB 6</t>
        </is>
      </c>
      <c r="M21" s="145">
        <f>INDEX(dq[dq_6],MATCH($B$1&amp;" "&amp;M$19,dq[lookup], 0))</f>
        <v/>
      </c>
      <c r="N21" s="146">
        <f>INDEX(dq[dq_6],MATCH($B$1&amp;" "&amp;N$19,dq[lookup], 0))</f>
        <v/>
      </c>
    </row>
    <row r="22">
      <c r="C22" s="20" t="inlineStr">
        <is>
          <t>Driver</t>
        </is>
      </c>
      <c r="D22" s="2">
        <f>INDEX(multipliers!$A18:$BD18,MATCH($B$1&amp;" | "&amp;D$6,Mult[#Headers], 0))</f>
        <v/>
      </c>
      <c r="E22" s="2">
        <f>INDEX(multipliers!$A18:$BD18,MATCH($B$1&amp;" | "&amp;E$6,Mult[#Headers], 0))</f>
        <v/>
      </c>
      <c r="H22">
        <f>populations!A17</f>
        <v/>
      </c>
      <c r="I22" s="145">
        <f>INDEX(populations!$A17:$BD17,MATCH($B$1&amp;" | "&amp;I$6,flag[#Headers], 0))</f>
        <v/>
      </c>
      <c r="J22" s="145">
        <f>INDEX(populations!$A17:$BD17,MATCH($B$1&amp;" | "&amp;J$6,flag[#Headers], 0))</f>
        <v/>
      </c>
      <c r="L22" s="33" t="inlineStr">
        <is>
          <t>CO Rate MOB 6</t>
        </is>
      </c>
      <c r="M22" s="145">
        <f>INDEX(dq[co_6],MATCH($B$1&amp;" "&amp;M$19,dq[lookup], 0))</f>
        <v/>
      </c>
      <c r="N22" s="146">
        <f>INDEX(dq[co_6],MATCH($B$1&amp;" "&amp;N$19,dq[lookup], 0))</f>
        <v/>
      </c>
    </row>
    <row r="23" ht="15" customHeight="1" s="43" thickBot="1">
      <c r="C23" s="20" t="inlineStr">
        <is>
          <t>Dealer Level Loss</t>
        </is>
      </c>
      <c r="D23" s="2">
        <f>INDEX(multipliers!$A19:$BD19,MATCH($B$1&amp;" | "&amp;D$6,Mult[#Headers], 0))</f>
        <v/>
      </c>
      <c r="E23" s="2">
        <f>INDEX(multipliers!$A19:$BD19,MATCH($B$1&amp;" | "&amp;E$6,Mult[#Headers], 0))</f>
        <v/>
      </c>
      <c r="H23">
        <f>populations!A18</f>
        <v/>
      </c>
      <c r="I23" s="145">
        <f>INDEX(populations!$A18:$BD18,MATCH($B$1&amp;" | "&amp;I$6,flag[#Headers], 0))</f>
        <v/>
      </c>
      <c r="J23" s="145">
        <f>INDEX(populations!$A18:$BD18,MATCH($B$1&amp;" | "&amp;J$6,flag[#Headers], 0))</f>
        <v/>
      </c>
      <c r="L23" s="34" t="inlineStr">
        <is>
          <t>CO Rate MOB 12</t>
        </is>
      </c>
      <c r="M23" s="147">
        <f>INDEX(dq[co_12],MATCH($B$1&amp;" "&amp;M$19,dq[lookup], 0))</f>
        <v/>
      </c>
      <c r="N23" s="35">
        <f>INDEX(dq[co_12],MATCH($B$1&amp;" "&amp;N$19,dq[lookup], 0))</f>
        <v/>
      </c>
    </row>
    <row r="24">
      <c r="C24" s="20" t="inlineStr">
        <is>
          <t>Clip</t>
        </is>
      </c>
      <c r="D24" s="2">
        <f>INDEX(multipliers!$A20:$BD20,MATCH($B$1&amp;" | "&amp;D$6,Mult[#Headers], 0))</f>
        <v/>
      </c>
      <c r="E24" s="2">
        <f>INDEX(multipliers!$A20:$BD20,MATCH($B$1&amp;" | "&amp;E$6,Mult[#Headers], 0))</f>
        <v/>
      </c>
      <c r="H24">
        <f>populations!A19</f>
        <v/>
      </c>
      <c r="I24" s="145">
        <f>INDEX(populations!$A19:$BD19,MATCH($B$1&amp;" | "&amp;I$6,flag[#Headers], 0))</f>
        <v/>
      </c>
      <c r="J24" s="145">
        <f>INDEX(populations!$A19:$BD19,MATCH($B$1&amp;" | "&amp;J$6,flag[#Headers], 0))</f>
        <v/>
      </c>
    </row>
    <row r="25" ht="15" customHeight="1" s="43" thickBot="1">
      <c r="C25" s="20" t="inlineStr">
        <is>
          <t>Final Multplier</t>
        </is>
      </c>
      <c r="D25" s="2">
        <f>INDEX(multipliers!$A21:$BD21,MATCH($B$1&amp;" | "&amp;D$6,Mult[#Headers], 0))</f>
        <v/>
      </c>
      <c r="E25" s="2">
        <f>INDEX(multipliers!$A21:$BD21,MATCH($B$1&amp;" | "&amp;E$6,Mult[#Headers], 0))</f>
        <v/>
      </c>
      <c r="H25">
        <f>populations!A20</f>
        <v/>
      </c>
      <c r="I25" s="145">
        <f>INDEX(populations!$A20:$BD20,MATCH($B$1&amp;" | "&amp;I$6,flag[#Headers], 0))</f>
        <v/>
      </c>
      <c r="J25" s="145">
        <f>INDEX(populations!$A20:$BD20,MATCH($B$1&amp;" | "&amp;J$6,flag[#Headers], 0))</f>
        <v/>
      </c>
    </row>
    <row r="26">
      <c r="C26" s="20" t="inlineStr">
        <is>
          <t>Weighted Multiplier</t>
        </is>
      </c>
      <c r="D26" s="2">
        <f>INDEX(multipliers!$A22:$BD22,MATCH($B$1&amp;" | "&amp;D$6,Mult[#Headers], 0))</f>
        <v/>
      </c>
      <c r="E26" s="2">
        <f>INDEX(multipliers!$A22:$BD22,MATCH($B$1&amp;" | "&amp;E$6,Mult[#Headers], 0))</f>
        <v/>
      </c>
      <c r="H26">
        <f>populations!A21</f>
        <v/>
      </c>
      <c r="I26" s="145">
        <f>INDEX(populations!$A21:$BD21,MATCH($B$1&amp;" | "&amp;I$6,flag[#Headers], 0))</f>
        <v/>
      </c>
      <c r="J26" s="145">
        <f>INDEX(populations!$A21:$BD21,MATCH($B$1&amp;" | "&amp;J$6,flag[#Headers], 0))</f>
        <v/>
      </c>
      <c r="L26" s="109">
        <f>B1</f>
        <v/>
      </c>
      <c r="M26" s="26">
        <f>B2</f>
        <v/>
      </c>
      <c r="N26" s="27">
        <f>B3</f>
        <v/>
      </c>
    </row>
    <row r="27">
      <c r="C27" s="20" t="inlineStr">
        <is>
          <t>RAGU Impact</t>
        </is>
      </c>
      <c r="D27" s="2">
        <f>INDEX(multipliers!$A23:$BD23,MATCH($B$1&amp;" | "&amp;D$6,Mult[#Headers], 0))</f>
        <v/>
      </c>
      <c r="E27" s="2">
        <f>INDEX(multipliers!$A23:$BD23,MATCH($B$1&amp;" | "&amp;E$6,Mult[#Headers], 0))</f>
        <v/>
      </c>
      <c r="H27">
        <f>populations!A22</f>
        <v/>
      </c>
      <c r="I27" s="145">
        <f>INDEX(populations!$A22:$BD22,MATCH($B$1&amp;" | "&amp;I$6,flag[#Headers], 0))</f>
        <v/>
      </c>
      <c r="J27" s="145">
        <f>INDEX(populations!$A22:$BD22,MATCH($B$1&amp;" | "&amp;J$6,flag[#Headers], 0))</f>
        <v/>
      </c>
      <c r="L27" s="28" t="inlineStr">
        <is>
          <t>Model Score</t>
        </is>
      </c>
      <c r="M27">
        <f>INDEX(ragu!$B3:$BD3,MATCH($B$1&amp;" "&amp;M$26,ragu!$B$1:$BD$1, 0))</f>
        <v/>
      </c>
      <c r="N27" s="37">
        <f>INDEX(ragu!$B3:$BD3,MATCH($B$1&amp;" "&amp;N$26,ragu!$B$1:$BD$1, 0))</f>
        <v/>
      </c>
    </row>
    <row r="28">
      <c r="C28" s="20" t="n"/>
      <c r="H28">
        <f>populations!A23</f>
        <v/>
      </c>
      <c r="I28" s="145">
        <f>INDEX(populations!$A23:$BD23,MATCH($B$1&amp;" | "&amp;I$6,flag[#Headers], 0))</f>
        <v/>
      </c>
      <c r="J28" s="145">
        <f>INDEX(populations!$A23:$BD23,MATCH($B$1&amp;" | "&amp;J$6,flag[#Headers], 0))</f>
        <v/>
      </c>
      <c r="L28" s="28" t="inlineStr">
        <is>
          <t>Gross Loss</t>
        </is>
      </c>
      <c r="M28">
        <f>INDEX(ragu!$B4:$BD4,MATCH($B$1&amp;" "&amp;M$26,ragu!$B$1:$BD$1, 0))</f>
        <v/>
      </c>
      <c r="N28" s="37">
        <f>INDEX(ragu!$B4:$BD4,MATCH($B$1&amp;" "&amp;N$26,ragu!$B$1:$BD$1, 0))</f>
        <v/>
      </c>
    </row>
    <row r="29">
      <c r="I29" s="145" t="n"/>
      <c r="J29" s="145" t="n"/>
      <c r="L29" s="28" t="inlineStr">
        <is>
          <t>Recovery + LTV</t>
        </is>
      </c>
      <c r="M29">
        <f>INDEX(ragu!$B7:$BD7,MATCH($B$1&amp;" "&amp;M$26,ragu!$B$1:$BD$1, 0))</f>
        <v/>
      </c>
      <c r="N29" s="37">
        <f>INDEX(ragu!$B7:$BD7,MATCH($B$1&amp;" "&amp;N$26,ragu!$B$1:$BD$1, 0))</f>
        <v/>
      </c>
    </row>
    <row r="30" ht="15" customHeight="1" s="43" thickBot="1">
      <c r="L30" s="30" t="inlineStr">
        <is>
          <t>RAGU Score</t>
        </is>
      </c>
      <c r="M30" s="38">
        <f>INDEX(ragu!$B8:$BD8,MATCH($B$1&amp;" "&amp;M$26,ragu!$B$1:$BD$1, 0))</f>
        <v/>
      </c>
      <c r="N30" s="39">
        <f>INDEX(ragu!$B8:$BD8,MATCH($B$1&amp;" "&amp;N$26,ragu!$B$1:$BD$1, 0))</f>
        <v/>
      </c>
    </row>
    <row r="32">
      <c r="M32">
        <f>SUM(M27:M29)</f>
        <v/>
      </c>
    </row>
    <row r="37">
      <c r="C37" s="14">
        <f>B2</f>
        <v/>
      </c>
      <c r="D37" t="inlineStr">
        <is>
          <t>mult before adjustment</t>
        </is>
      </c>
      <c r="E37" t="inlineStr">
        <is>
          <t>adjustment size</t>
        </is>
      </c>
      <c r="F37" t="inlineStr">
        <is>
          <t>ln</t>
        </is>
      </c>
      <c r="G37" t="inlineStr">
        <is>
          <t>share</t>
        </is>
      </c>
      <c r="H37" t="inlineStr">
        <is>
          <t>Ragu impact per adjustment</t>
        </is>
      </c>
    </row>
    <row r="38">
      <c r="C38" s="20" t="inlineStr">
        <is>
          <t>Previous ACA Chargeoff</t>
        </is>
      </c>
      <c r="D38" s="5">
        <f>$D$26/D7</f>
        <v/>
      </c>
      <c r="E38" s="5">
        <f>D7/1</f>
        <v/>
      </c>
      <c r="F38" s="5">
        <f>LN(E38)</f>
        <v/>
      </c>
      <c r="G38">
        <f>F38/SUM($F$38:$F$57)</f>
        <v/>
      </c>
      <c r="H38" s="1">
        <f>25*G38*(1-$D$26)</f>
        <v/>
      </c>
    </row>
    <row r="39">
      <c r="C39" s="20" t="inlineStr">
        <is>
          <t>Small Amount Financed</t>
        </is>
      </c>
      <c r="D39" s="5">
        <f>$D$26/D8</f>
        <v/>
      </c>
      <c r="E39" s="5">
        <f>D8/D7</f>
        <v/>
      </c>
      <c r="F39" s="5">
        <f>LN(E39)</f>
        <v/>
      </c>
      <c r="G39">
        <f>F39/SUM($F$38:$F$57)</f>
        <v/>
      </c>
      <c r="H39" s="1">
        <f>25*G39*(1-$D$26)</f>
        <v/>
      </c>
    </row>
    <row r="40">
      <c r="C40" s="20" t="inlineStr">
        <is>
          <t>Zero Cash Down</t>
        </is>
      </c>
      <c r="D40" s="5">
        <f>$D$26/D9</f>
        <v/>
      </c>
      <c r="E40" s="5">
        <f>D9/D8</f>
        <v/>
      </c>
      <c r="F40" s="5">
        <f>LN(E40)</f>
        <v/>
      </c>
      <c r="G40">
        <f>F40/SUM($F$38:$F$57)</f>
        <v/>
      </c>
      <c r="H40" s="1">
        <f>25*G40*(1-$D$26)</f>
        <v/>
      </c>
    </row>
    <row r="41">
      <c r="C41" s="20" t="inlineStr">
        <is>
          <t>High Mileage</t>
        </is>
      </c>
      <c r="D41" s="5">
        <f>$D$26/D10</f>
        <v/>
      </c>
      <c r="E41" s="5">
        <f>D10/D9</f>
        <v/>
      </c>
      <c r="F41" s="5">
        <f>LN(E41)</f>
        <v/>
      </c>
      <c r="G41">
        <f>F41/SUM($F$38:$F$57)</f>
        <v/>
      </c>
      <c r="H41" s="1">
        <f>25*G41*(1-$D$26)</f>
        <v/>
      </c>
    </row>
    <row r="42">
      <c r="C42" s="20" t="inlineStr">
        <is>
          <t>High PTI</t>
        </is>
      </c>
      <c r="D42" s="5">
        <f>$D$26/D11</f>
        <v/>
      </c>
      <c r="E42" s="5">
        <f>D11/D10</f>
        <v/>
      </c>
      <c r="F42" s="5">
        <f>LN(E42)</f>
        <v/>
      </c>
      <c r="G42">
        <f>F42/SUM($F$38:$F$57)</f>
        <v/>
      </c>
      <c r="H42" s="1">
        <f>25*G42*(1-$D$26)</f>
        <v/>
      </c>
    </row>
    <row r="43">
      <c r="C43" s="18" t="inlineStr">
        <is>
          <t>Toyota/Honda</t>
        </is>
      </c>
      <c r="D43" s="5">
        <f>$D$26/D12</f>
        <v/>
      </c>
      <c r="E43" s="5">
        <f>D12/D11</f>
        <v/>
      </c>
      <c r="F43" s="5">
        <f>LN(E43)</f>
        <v/>
      </c>
      <c r="G43">
        <f>F43/SUM($F$38:$F$57)</f>
        <v/>
      </c>
      <c r="H43" s="1">
        <f>25*G43*(1-$D$26)</f>
        <v/>
      </c>
    </row>
    <row r="44">
      <c r="C44" s="20" t="inlineStr">
        <is>
          <t>Theft Risk</t>
        </is>
      </c>
      <c r="D44" s="5">
        <f>$D$26/D13</f>
        <v/>
      </c>
      <c r="E44" s="5">
        <f>D13/D12</f>
        <v/>
      </c>
      <c r="F44" s="5">
        <f>LN(E44)</f>
        <v/>
      </c>
      <c r="G44">
        <f>F44/SUM($F$38:$F$57)</f>
        <v/>
      </c>
      <c r="H44" s="1">
        <f>25*G44*(1-$D$26)</f>
        <v/>
      </c>
    </row>
    <row r="45">
      <c r="C45" s="13" t="inlineStr">
        <is>
          <t>08_mcy_low_mileage</t>
        </is>
      </c>
      <c r="D45" s="5">
        <f>$D$26/D14</f>
        <v/>
      </c>
      <c r="E45" s="5">
        <f>D14/D13</f>
        <v/>
      </c>
      <c r="F45" s="5">
        <f>LN(E45)</f>
        <v/>
      </c>
      <c r="G45">
        <f>F45/SUM($F$38:$F$57)</f>
        <v/>
      </c>
      <c r="H45" s="1">
        <f>25*G45*(1-$D$26)</f>
        <v/>
      </c>
    </row>
    <row r="46">
      <c r="C46" s="20" t="inlineStr">
        <is>
          <t>Weekday/Weekend</t>
        </is>
      </c>
      <c r="D46" s="5">
        <f>$D$26/D15</f>
        <v/>
      </c>
      <c r="E46" s="5">
        <f>D15/D14</f>
        <v/>
      </c>
      <c r="F46" s="5">
        <f>LN(E46)</f>
        <v/>
      </c>
      <c r="G46">
        <f>F46/SUM($F$38:$F$57)</f>
        <v/>
      </c>
      <c r="H46" s="1">
        <f>25*G46*(1-$D$26)</f>
        <v/>
      </c>
    </row>
    <row r="47">
      <c r="C47" s="18" t="inlineStr">
        <is>
          <t>Student Loans</t>
        </is>
      </c>
      <c r="D47" s="5">
        <f>$D$26/D16</f>
        <v/>
      </c>
      <c r="E47" s="5">
        <f>D16/D15</f>
        <v/>
      </c>
      <c r="F47" s="5">
        <f>LN(E47)</f>
        <v/>
      </c>
      <c r="G47">
        <f>F47/SUM($F$38:$F$57)</f>
        <v/>
      </c>
      <c r="H47" s="1">
        <f>25*G47*(1-$D$26)</f>
        <v/>
      </c>
    </row>
    <row r="48">
      <c r="C48" s="20" t="inlineStr">
        <is>
          <t>Low PTI</t>
        </is>
      </c>
      <c r="D48" s="5">
        <f>$D$26/D17</f>
        <v/>
      </c>
      <c r="E48" s="5">
        <f>D17/D16</f>
        <v/>
      </c>
      <c r="F48" s="5">
        <f>LN(E48)</f>
        <v/>
      </c>
      <c r="G48">
        <f>F48/SUM($F$38:$F$57)</f>
        <v/>
      </c>
      <c r="H48" s="1">
        <f>25*G48*(1-$D$26)</f>
        <v/>
      </c>
    </row>
    <row r="49">
      <c r="C49" s="18" t="inlineStr">
        <is>
          <t>Chime</t>
        </is>
      </c>
      <c r="D49" s="5">
        <f>$D$26/D18</f>
        <v/>
      </c>
      <c r="E49" s="5">
        <f>D18/D17</f>
        <v/>
      </c>
      <c r="F49" s="5">
        <f>LN(E49)</f>
        <v/>
      </c>
      <c r="G49">
        <f>F49/SUM($F$38:$F$57)</f>
        <v/>
      </c>
      <c r="H49" s="1">
        <f>25*G49*(1-$D$26)</f>
        <v/>
      </c>
    </row>
    <row r="50">
      <c r="C50" s="20" t="inlineStr">
        <is>
          <t>Waiter/Seasonal</t>
        </is>
      </c>
      <c r="D50" s="5">
        <f>$D$26/D19</f>
        <v/>
      </c>
      <c r="E50" s="5">
        <f>D19/D18</f>
        <v/>
      </c>
      <c r="F50" s="5">
        <f>LN(E50)</f>
        <v/>
      </c>
      <c r="G50">
        <f>F50/SUM($F$38:$F$57)</f>
        <v/>
      </c>
      <c r="H50" s="1">
        <f>25*G50*(1-$D$26)</f>
        <v/>
      </c>
    </row>
    <row r="51">
      <c r="C51" s="20" t="inlineStr">
        <is>
          <t>Authorized Tradelines</t>
        </is>
      </c>
      <c r="D51" s="5">
        <f>$D$26/D20</f>
        <v/>
      </c>
      <c r="E51" s="5">
        <f>D20/D19</f>
        <v/>
      </c>
      <c r="F51" s="5">
        <f>LN(E51)</f>
        <v/>
      </c>
      <c r="G51">
        <f>F51/SUM($F$38:$F$57)</f>
        <v/>
      </c>
      <c r="H51" s="1">
        <f>25*G51*(1-$D$26)</f>
        <v/>
      </c>
    </row>
    <row r="52">
      <c r="C52" s="18" t="inlineStr">
        <is>
          <t>Fraud</t>
        </is>
      </c>
      <c r="D52" s="5">
        <f>$D$26/D21</f>
        <v/>
      </c>
      <c r="E52" s="5">
        <f>D21/D20</f>
        <v/>
      </c>
      <c r="F52" s="5">
        <f>LN(E52)</f>
        <v/>
      </c>
      <c r="G52">
        <f>F52/SUM($F$38:$F$57)</f>
        <v/>
      </c>
      <c r="H52" s="1">
        <f>25*G52*(1-$D$26)</f>
        <v/>
      </c>
    </row>
    <row r="53">
      <c r="C53" s="20" t="inlineStr">
        <is>
          <t>Driver</t>
        </is>
      </c>
      <c r="D53" s="5">
        <f>$D$26/D22</f>
        <v/>
      </c>
      <c r="E53" s="5">
        <f>D22/D21</f>
        <v/>
      </c>
      <c r="F53" s="5">
        <f>LN(E53)</f>
        <v/>
      </c>
      <c r="G53">
        <f>F53/SUM($F$38:$F$57)</f>
        <v/>
      </c>
      <c r="H53" s="1">
        <f>25*G53*(1-$D$26)</f>
        <v/>
      </c>
    </row>
    <row r="54">
      <c r="C54" s="18" t="inlineStr">
        <is>
          <t>Dealer Level Loss</t>
        </is>
      </c>
      <c r="D54" s="5">
        <f>$D$26/D23</f>
        <v/>
      </c>
      <c r="E54" s="5">
        <f>D23/D22</f>
        <v/>
      </c>
      <c r="F54" s="5">
        <f>LN(E54)</f>
        <v/>
      </c>
      <c r="G54">
        <f>F54/SUM($F$38:$F$57)</f>
        <v/>
      </c>
      <c r="H54" s="1">
        <f>25*G54*(1-$D$26)</f>
        <v/>
      </c>
    </row>
    <row r="55">
      <c r="C55" s="20" t="inlineStr">
        <is>
          <t>Clip</t>
        </is>
      </c>
      <c r="D55" s="5">
        <f>$D$26/D24</f>
        <v/>
      </c>
      <c r="E55" s="5">
        <f>D24/D23</f>
        <v/>
      </c>
      <c r="F55" s="5">
        <f>LN(E55)</f>
        <v/>
      </c>
      <c r="G55">
        <f>F55/SUM($F$38:$F$57)</f>
        <v/>
      </c>
      <c r="H55" s="1">
        <f>25*G55*(1-$D$26)</f>
        <v/>
      </c>
    </row>
    <row r="56">
      <c r="C56" s="20" t="inlineStr">
        <is>
          <t>Final Multplier</t>
        </is>
      </c>
      <c r="D56" s="5">
        <f>$D$26/D25</f>
        <v/>
      </c>
      <c r="E56" s="5">
        <f>D25/D24</f>
        <v/>
      </c>
      <c r="F56" s="5">
        <f>LN(E56)</f>
        <v/>
      </c>
      <c r="G56">
        <f>F56/SUM($F$38:$F$57)</f>
        <v/>
      </c>
      <c r="H56" s="1">
        <f>25*G56*(1-$D$26)</f>
        <v/>
      </c>
    </row>
    <row r="57">
      <c r="C57" s="20" t="inlineStr">
        <is>
          <t>Weighted Multiplier</t>
        </is>
      </c>
      <c r="D57" s="5">
        <f>$D$26/D26</f>
        <v/>
      </c>
      <c r="E57" s="5">
        <f>D26/D25</f>
        <v/>
      </c>
      <c r="F57" s="5">
        <f>LN(E57)</f>
        <v/>
      </c>
      <c r="G57">
        <f>F57/SUM($F$38:$F$57)</f>
        <v/>
      </c>
      <c r="H57" s="1">
        <f>25*G57*(1-$D$26)</f>
        <v/>
      </c>
    </row>
    <row r="58">
      <c r="G58" s="22">
        <f>SUM(G38:G57)</f>
        <v/>
      </c>
      <c r="H58" s="15">
        <f>SUM(H38:H57)</f>
        <v/>
      </c>
    </row>
    <row r="62">
      <c r="C62" s="14">
        <f>B3</f>
        <v/>
      </c>
      <c r="D62" t="inlineStr">
        <is>
          <t>mult before adjustment</t>
        </is>
      </c>
      <c r="E62" t="inlineStr">
        <is>
          <t>adjustment size</t>
        </is>
      </c>
      <c r="F62" t="inlineStr">
        <is>
          <t>ln</t>
        </is>
      </c>
      <c r="G62" t="inlineStr">
        <is>
          <t>share</t>
        </is>
      </c>
      <c r="H62" t="inlineStr">
        <is>
          <t>Ragu impact per adjustment</t>
        </is>
      </c>
    </row>
    <row r="63">
      <c r="C63" s="20" t="inlineStr">
        <is>
          <t>Previous ACA Chargeoff</t>
        </is>
      </c>
      <c r="D63" s="5">
        <f>$E$26/E7</f>
        <v/>
      </c>
      <c r="E63" s="5">
        <f>E7/1</f>
        <v/>
      </c>
      <c r="F63" s="5">
        <f>LN(E63)</f>
        <v/>
      </c>
      <c r="G63">
        <f>F63/SUM($F$63:$F$82)</f>
        <v/>
      </c>
      <c r="H63" s="1">
        <f>25*G63*(1-$E$26)</f>
        <v/>
      </c>
    </row>
    <row r="64">
      <c r="C64" s="20" t="inlineStr">
        <is>
          <t>Small Amount Financed</t>
        </is>
      </c>
      <c r="D64" s="5">
        <f>$E$26/E8</f>
        <v/>
      </c>
      <c r="E64" s="5">
        <f>E8/E7</f>
        <v/>
      </c>
      <c r="F64" s="5">
        <f>LN(E64)</f>
        <v/>
      </c>
      <c r="G64">
        <f>F64/SUM($F$63:$F$82)</f>
        <v/>
      </c>
      <c r="H64" s="1">
        <f>25*G64*(1-$E$26)</f>
        <v/>
      </c>
    </row>
    <row r="65">
      <c r="C65" s="20" t="inlineStr">
        <is>
          <t>Zero Cash Down</t>
        </is>
      </c>
      <c r="D65" s="5">
        <f>$E$26/E9</f>
        <v/>
      </c>
      <c r="E65" s="5">
        <f>E9/E8</f>
        <v/>
      </c>
      <c r="F65" s="5">
        <f>LN(E65)</f>
        <v/>
      </c>
      <c r="G65">
        <f>F65/SUM($F$63:$F$82)</f>
        <v/>
      </c>
      <c r="H65" s="1">
        <f>25*G65*(1-$E$26)</f>
        <v/>
      </c>
    </row>
    <row r="66">
      <c r="C66" s="20" t="inlineStr">
        <is>
          <t>High Mileage</t>
        </is>
      </c>
      <c r="D66" s="5">
        <f>$E$26/E10</f>
        <v/>
      </c>
      <c r="E66" s="5">
        <f>E10/E9</f>
        <v/>
      </c>
      <c r="F66" s="5">
        <f>LN(E66)</f>
        <v/>
      </c>
      <c r="G66">
        <f>F66/SUM($F$63:$F$82)</f>
        <v/>
      </c>
      <c r="H66" s="1">
        <f>25*G66*(1-$E$26)</f>
        <v/>
      </c>
    </row>
    <row r="67">
      <c r="C67" s="20" t="inlineStr">
        <is>
          <t>High PTI</t>
        </is>
      </c>
      <c r="D67" s="5">
        <f>$E$26/E11</f>
        <v/>
      </c>
      <c r="E67" s="5">
        <f>E11/E10</f>
        <v/>
      </c>
      <c r="F67" s="5">
        <f>LN(E67)</f>
        <v/>
      </c>
      <c r="G67">
        <f>F67/SUM($F$63:$F$82)</f>
        <v/>
      </c>
      <c r="H67" s="1">
        <f>25*G67*(1-$E$26)</f>
        <v/>
      </c>
    </row>
    <row r="68">
      <c r="C68" s="18" t="inlineStr">
        <is>
          <t>Toyota/Honda</t>
        </is>
      </c>
      <c r="D68" s="5">
        <f>$E$26/E12</f>
        <v/>
      </c>
      <c r="E68" s="5">
        <f>E12/E11</f>
        <v/>
      </c>
      <c r="F68" s="5">
        <f>LN(E68)</f>
        <v/>
      </c>
      <c r="G68">
        <f>F68/SUM($F$63:$F$82)</f>
        <v/>
      </c>
      <c r="H68" s="1">
        <f>25*G68*(1-$E$26)</f>
        <v/>
      </c>
    </row>
    <row r="69">
      <c r="C69" s="20" t="inlineStr">
        <is>
          <t>Theft Risk</t>
        </is>
      </c>
      <c r="D69" s="5">
        <f>$E$26/E13</f>
        <v/>
      </c>
      <c r="E69" s="5">
        <f>E13/E12</f>
        <v/>
      </c>
      <c r="F69" s="5">
        <f>LN(E69)</f>
        <v/>
      </c>
      <c r="G69">
        <f>F69/SUM($F$63:$F$82)</f>
        <v/>
      </c>
      <c r="H69" s="1">
        <f>25*G69*(1-$E$26)</f>
        <v/>
      </c>
    </row>
    <row r="70">
      <c r="C70" s="13" t="inlineStr">
        <is>
          <t>08_mcy_low_mileage</t>
        </is>
      </c>
      <c r="D70" s="5">
        <f>$E$26/E14</f>
        <v/>
      </c>
      <c r="E70" s="5">
        <f>E14/E13</f>
        <v/>
      </c>
      <c r="F70" s="5">
        <f>LN(E70)</f>
        <v/>
      </c>
      <c r="G70">
        <f>F70/SUM($F$63:$F$82)</f>
        <v/>
      </c>
      <c r="H70" s="1">
        <f>25*G70*(1-$E$26)</f>
        <v/>
      </c>
    </row>
    <row r="71">
      <c r="C71" s="20" t="inlineStr">
        <is>
          <t>Weekday/Weekend</t>
        </is>
      </c>
      <c r="D71" s="5">
        <f>$E$26/E15</f>
        <v/>
      </c>
      <c r="E71" s="5">
        <f>E15/E14</f>
        <v/>
      </c>
      <c r="F71" s="5">
        <f>LN(E71)</f>
        <v/>
      </c>
      <c r="G71">
        <f>F71/SUM($F$63:$F$82)</f>
        <v/>
      </c>
      <c r="H71" s="1">
        <f>25*G71*(1-$E$26)</f>
        <v/>
      </c>
    </row>
    <row r="72">
      <c r="C72" s="18" t="inlineStr">
        <is>
          <t>Student Loans</t>
        </is>
      </c>
      <c r="D72" s="5">
        <f>$E$26/E16</f>
        <v/>
      </c>
      <c r="E72" s="5">
        <f>E16/E15</f>
        <v/>
      </c>
      <c r="F72" s="5">
        <f>LN(E72)</f>
        <v/>
      </c>
      <c r="G72">
        <f>F72/SUM($F$63:$F$82)</f>
        <v/>
      </c>
      <c r="H72" s="1">
        <f>25*G72*(1-$E$26)</f>
        <v/>
      </c>
    </row>
    <row r="73">
      <c r="C73" s="20" t="inlineStr">
        <is>
          <t>Low PTI</t>
        </is>
      </c>
      <c r="D73" s="5">
        <f>$E$26/E17</f>
        <v/>
      </c>
      <c r="E73" s="5">
        <f>E17/E16</f>
        <v/>
      </c>
      <c r="F73" s="5">
        <f>LN(E73)</f>
        <v/>
      </c>
      <c r="G73">
        <f>F73/SUM($F$63:$F$82)</f>
        <v/>
      </c>
      <c r="H73" s="1">
        <f>25*G73*(1-$E$26)</f>
        <v/>
      </c>
    </row>
    <row r="74">
      <c r="C74" s="18" t="inlineStr">
        <is>
          <t>Chime</t>
        </is>
      </c>
      <c r="D74" s="5">
        <f>$E$26/E18</f>
        <v/>
      </c>
      <c r="E74" s="5">
        <f>E18/E17</f>
        <v/>
      </c>
      <c r="F74" s="5">
        <f>LN(E74)</f>
        <v/>
      </c>
      <c r="G74">
        <f>F74/SUM($F$63:$F$82)</f>
        <v/>
      </c>
      <c r="H74" s="1">
        <f>25*G74*(1-$E$26)</f>
        <v/>
      </c>
    </row>
    <row r="75">
      <c r="C75" s="20" t="inlineStr">
        <is>
          <t>Waiter/Seasonal</t>
        </is>
      </c>
      <c r="D75" s="5">
        <f>$E$26/E19</f>
        <v/>
      </c>
      <c r="E75" s="5">
        <f>E19/E18</f>
        <v/>
      </c>
      <c r="F75" s="5">
        <f>LN(E75)</f>
        <v/>
      </c>
      <c r="G75">
        <f>F75/SUM($F$63:$F$82)</f>
        <v/>
      </c>
      <c r="H75" s="1">
        <f>25*G75*(1-$E$26)</f>
        <v/>
      </c>
    </row>
    <row r="76">
      <c r="C76" s="20" t="inlineStr">
        <is>
          <t>Authorized Tradelines</t>
        </is>
      </c>
      <c r="D76" s="5">
        <f>$E$26/E20</f>
        <v/>
      </c>
      <c r="E76" s="5">
        <f>E20/E19</f>
        <v/>
      </c>
      <c r="F76" s="5">
        <f>LN(E76)</f>
        <v/>
      </c>
      <c r="G76">
        <f>F76/SUM($F$63:$F$82)</f>
        <v/>
      </c>
      <c r="H76" s="1">
        <f>25*G76*(1-$E$26)</f>
        <v/>
      </c>
    </row>
    <row r="77">
      <c r="C77" s="18" t="inlineStr">
        <is>
          <t>Fraud</t>
        </is>
      </c>
      <c r="D77" s="5">
        <f>$E$26/E21</f>
        <v/>
      </c>
      <c r="E77" s="5">
        <f>E21/E20</f>
        <v/>
      </c>
      <c r="F77" s="5">
        <f>LN(E77)</f>
        <v/>
      </c>
      <c r="G77">
        <f>F77/SUM($F$63:$F$82)</f>
        <v/>
      </c>
      <c r="H77" s="1">
        <f>25*G77*(1-$E$26)</f>
        <v/>
      </c>
    </row>
    <row r="78">
      <c r="C78" s="20" t="inlineStr">
        <is>
          <t>Driver</t>
        </is>
      </c>
      <c r="D78" s="5">
        <f>$E$26/E22</f>
        <v/>
      </c>
      <c r="E78" s="5">
        <f>E22/E21</f>
        <v/>
      </c>
      <c r="F78" s="5">
        <f>LN(E78)</f>
        <v/>
      </c>
      <c r="G78">
        <f>F78/SUM($F$63:$F$82)</f>
        <v/>
      </c>
      <c r="H78" s="1">
        <f>25*G78*(1-$E$26)</f>
        <v/>
      </c>
    </row>
    <row r="79">
      <c r="C79" s="18" t="inlineStr">
        <is>
          <t>Dealer Level Loss</t>
        </is>
      </c>
      <c r="D79" s="5">
        <f>$E$26/E23</f>
        <v/>
      </c>
      <c r="E79" s="5">
        <f>E23/E22</f>
        <v/>
      </c>
      <c r="F79" s="5">
        <f>LN(E79)</f>
        <v/>
      </c>
      <c r="G79">
        <f>F79/SUM($F$63:$F$82)</f>
        <v/>
      </c>
      <c r="H79" s="1">
        <f>25*G79*(1-$E$26)</f>
        <v/>
      </c>
    </row>
    <row r="80">
      <c r="C80" s="20" t="inlineStr">
        <is>
          <t>Clip</t>
        </is>
      </c>
      <c r="D80" s="5">
        <f>$E$26/E24</f>
        <v/>
      </c>
      <c r="E80" s="5">
        <f>E24/E23</f>
        <v/>
      </c>
      <c r="F80" s="5">
        <f>LN(E80)</f>
        <v/>
      </c>
      <c r="G80">
        <f>F80/SUM($F$63:$F$82)</f>
        <v/>
      </c>
      <c r="H80" s="1">
        <f>25*G80*(1-$E$26)</f>
        <v/>
      </c>
    </row>
    <row r="81">
      <c r="C81" s="20" t="inlineStr">
        <is>
          <t>Final Multplier</t>
        </is>
      </c>
      <c r="D81" s="5">
        <f>$E$26/E25</f>
        <v/>
      </c>
      <c r="E81" s="5">
        <f>E25/E24</f>
        <v/>
      </c>
      <c r="F81" s="5">
        <f>LN(E81)</f>
        <v/>
      </c>
      <c r="G81">
        <f>F81/SUM($F$63:$F$82)</f>
        <v/>
      </c>
      <c r="H81" s="1">
        <f>25*G81*(1-$E$26)</f>
        <v/>
      </c>
    </row>
    <row r="82">
      <c r="C82" s="20" t="inlineStr">
        <is>
          <t>Weighted Multiplier</t>
        </is>
      </c>
      <c r="D82" s="5">
        <f>$E$26/E26</f>
        <v/>
      </c>
      <c r="E82" s="5">
        <f>E26/E25</f>
        <v/>
      </c>
      <c r="F82" s="5">
        <f>LN(E82)</f>
        <v/>
      </c>
      <c r="G82">
        <f>F82/SUM($F$63:$F$82)</f>
        <v/>
      </c>
      <c r="H82" s="1">
        <f>25*G82*(1-$E$26)</f>
        <v/>
      </c>
    </row>
    <row r="83">
      <c r="H83" s="15">
        <f>SUM(H63:H82)</f>
        <v/>
      </c>
    </row>
    <row r="86">
      <c r="D86" t="inlineStr">
        <is>
          <t>Delta</t>
        </is>
      </c>
    </row>
    <row r="87">
      <c r="C87" s="20" t="inlineStr">
        <is>
          <t>Previous ACA Chargeoff</t>
        </is>
      </c>
      <c r="D87" s="1">
        <f>H63-H38</f>
        <v/>
      </c>
      <c r="E87">
        <f>-ABS(D87)</f>
        <v/>
      </c>
      <c r="F87" s="149">
        <f t="array" ref="F87:F106">_xlfn._xlws.SORT(E87:E106)</f>
        <v/>
      </c>
      <c r="G87">
        <f t="array" ref="G87:G106">_xlfn.XLOOKUP(_xlfn.ANCHORARRAY(F87),E87:E106,C87:C106)</f>
        <v/>
      </c>
    </row>
    <row r="88">
      <c r="C88" s="20" t="inlineStr">
        <is>
          <t>Small Amount Financed</t>
        </is>
      </c>
      <c r="D88" s="1">
        <f>H64-H39</f>
        <v/>
      </c>
      <c r="E88">
        <f>-ABS(D88)</f>
        <v/>
      </c>
      <c r="F88" s="149" t="n">
        <v>-0.6313617294765799</v>
      </c>
      <c r="G88" t="inlineStr">
        <is>
          <t>Fraud</t>
        </is>
      </c>
    </row>
    <row r="89">
      <c r="C89" s="20" t="inlineStr">
        <is>
          <t>Zero Cash Down</t>
        </is>
      </c>
      <c r="D89" s="1">
        <f>H65-H40</f>
        <v/>
      </c>
      <c r="E89">
        <f>-ABS(D89)</f>
        <v/>
      </c>
      <c r="F89" s="149" t="n">
        <v>-0.1829845377446718</v>
      </c>
      <c r="G89" t="inlineStr">
        <is>
          <t>Weighted Multiplier</t>
        </is>
      </c>
    </row>
    <row r="90">
      <c r="C90" s="20" t="inlineStr">
        <is>
          <t>High Mileage</t>
        </is>
      </c>
      <c r="D90" s="1">
        <f>H66-H41</f>
        <v/>
      </c>
      <c r="E90">
        <f>-ABS(D90)</f>
        <v/>
      </c>
      <c r="F90" s="149" t="n">
        <v>-0.1621769955084546</v>
      </c>
      <c r="G90" t="inlineStr">
        <is>
          <t>Theft Risk</t>
        </is>
      </c>
    </row>
    <row r="91">
      <c r="C91" s="20" t="inlineStr">
        <is>
          <t>High PTI</t>
        </is>
      </c>
      <c r="D91" s="1">
        <f>H67-H42</f>
        <v/>
      </c>
      <c r="E91">
        <f>-ABS(D91)</f>
        <v/>
      </c>
      <c r="F91" s="149" t="n">
        <v>-0.1413108270540369</v>
      </c>
      <c r="G91" t="inlineStr">
        <is>
          <t>Dealer Level Loss</t>
        </is>
      </c>
    </row>
    <row r="92">
      <c r="C92" s="18" t="inlineStr">
        <is>
          <t>Toyota/Honda</t>
        </is>
      </c>
      <c r="D92" s="1">
        <f>H68-H43</f>
        <v/>
      </c>
      <c r="E92">
        <f>-ABS(D92)</f>
        <v/>
      </c>
      <c r="F92" s="149" t="n">
        <v>-0.1363414379028756</v>
      </c>
      <c r="G92" t="inlineStr">
        <is>
          <t>Clip</t>
        </is>
      </c>
    </row>
    <row r="93">
      <c r="C93" s="20" t="inlineStr">
        <is>
          <t>Theft Risk</t>
        </is>
      </c>
      <c r="D93" s="1">
        <f>H69-H44</f>
        <v/>
      </c>
      <c r="E93">
        <f>-ABS(D93)</f>
        <v/>
      </c>
      <c r="F93" s="149" t="n">
        <v>-0.05204375722062146</v>
      </c>
      <c r="G93" t="inlineStr">
        <is>
          <t>High Mileage</t>
        </is>
      </c>
    </row>
    <row r="94">
      <c r="C94" s="13" t="inlineStr">
        <is>
          <t>08_mcy_low_mileage</t>
        </is>
      </c>
      <c r="D94" s="1">
        <f>H70-H45</f>
        <v/>
      </c>
      <c r="E94">
        <f>-ABS(D94)</f>
        <v/>
      </c>
      <c r="F94" s="149" t="n">
        <v>-0.04928478826009146</v>
      </c>
      <c r="G94" t="inlineStr">
        <is>
          <t>Zero Cash Down</t>
        </is>
      </c>
    </row>
    <row r="95">
      <c r="C95" s="20" t="inlineStr">
        <is>
          <t>Weekday/Weekend</t>
        </is>
      </c>
      <c r="D95" s="1">
        <f>H71-H46</f>
        <v/>
      </c>
      <c r="E95">
        <f>-ABS(D95)</f>
        <v/>
      </c>
      <c r="F95" s="149" t="n">
        <v>-0.04818560089035827</v>
      </c>
      <c r="G95" t="inlineStr">
        <is>
          <t>Student Loans</t>
        </is>
      </c>
    </row>
    <row r="96">
      <c r="C96" s="18" t="inlineStr">
        <is>
          <t>Student Loans</t>
        </is>
      </c>
      <c r="D96" s="1">
        <f>H72-H47</f>
        <v/>
      </c>
      <c r="E96">
        <f>-ABS(D96)</f>
        <v/>
      </c>
      <c r="F96" s="149" t="n">
        <v>-0.03708126664899755</v>
      </c>
      <c r="G96" t="inlineStr">
        <is>
          <t>Weekday/Weekend</t>
        </is>
      </c>
    </row>
    <row r="97">
      <c r="C97" s="20" t="inlineStr">
        <is>
          <t>Low PTI</t>
        </is>
      </c>
      <c r="D97" s="1">
        <f>H73-H48</f>
        <v/>
      </c>
      <c r="E97">
        <f>-ABS(D97)</f>
        <v/>
      </c>
      <c r="F97" s="149" t="n">
        <v>-0.02801569979404797</v>
      </c>
      <c r="G97" t="inlineStr">
        <is>
          <t>Driver</t>
        </is>
      </c>
    </row>
    <row r="98">
      <c r="C98" s="18" t="inlineStr">
        <is>
          <t>Chime</t>
        </is>
      </c>
      <c r="D98" s="1">
        <f>H74-H49</f>
        <v/>
      </c>
      <c r="E98">
        <f>-ABS(D98)</f>
        <v/>
      </c>
      <c r="F98" s="149" t="n">
        <v>-0.02253885521935274</v>
      </c>
      <c r="G98" t="inlineStr">
        <is>
          <t>Low PTI</t>
        </is>
      </c>
    </row>
    <row r="99">
      <c r="C99" s="20" t="inlineStr">
        <is>
          <t>Waiter/Seasonal</t>
        </is>
      </c>
      <c r="D99" s="1">
        <f>H75-H50</f>
        <v/>
      </c>
      <c r="E99">
        <f>-ABS(D99)</f>
        <v/>
      </c>
      <c r="F99" s="149" t="n">
        <v>-0.01749859268026636</v>
      </c>
      <c r="G99" t="inlineStr">
        <is>
          <t>Authorized Tradelines</t>
        </is>
      </c>
    </row>
    <row r="100">
      <c r="C100" s="20" t="inlineStr">
        <is>
          <t>Authorized Tradelines</t>
        </is>
      </c>
      <c r="D100" s="1">
        <f>H76-H51</f>
        <v/>
      </c>
      <c r="E100">
        <f>-ABS(D100)</f>
        <v/>
      </c>
      <c r="F100" s="149" t="n">
        <v>-0.01735301101427162</v>
      </c>
      <c r="G100" t="inlineStr">
        <is>
          <t>Small Amount Financed</t>
        </is>
      </c>
    </row>
    <row r="101">
      <c r="C101" s="18" t="inlineStr">
        <is>
          <t>Fraud</t>
        </is>
      </c>
      <c r="D101" s="1">
        <f>H77-H52</f>
        <v/>
      </c>
      <c r="E101">
        <f>-ABS(D101)</f>
        <v/>
      </c>
      <c r="F101" s="149" t="n">
        <v>-0.01510013215746725</v>
      </c>
      <c r="G101" t="inlineStr">
        <is>
          <t>Chime</t>
        </is>
      </c>
    </row>
    <row r="102">
      <c r="C102" s="20" t="inlineStr">
        <is>
          <t>Driver</t>
        </is>
      </c>
      <c r="D102" s="1">
        <f>H78-H53</f>
        <v/>
      </c>
      <c r="E102">
        <f>-ABS(D102)</f>
        <v/>
      </c>
      <c r="F102" s="149" t="n">
        <v>-0.009020860707426763</v>
      </c>
      <c r="G102" t="inlineStr">
        <is>
          <t>Waiter/Seasonal</t>
        </is>
      </c>
    </row>
    <row r="103">
      <c r="C103" s="18" t="inlineStr">
        <is>
          <t>Dealer Level Loss</t>
        </is>
      </c>
      <c r="D103" s="1">
        <f>H79-H54</f>
        <v/>
      </c>
      <c r="E103">
        <f>-ABS(D103)</f>
        <v/>
      </c>
      <c r="F103" s="149" t="n">
        <v>-0.003657532113094449</v>
      </c>
      <c r="G103" t="inlineStr">
        <is>
          <t>Previous ACA Chargeoff</t>
        </is>
      </c>
    </row>
    <row r="104">
      <c r="C104" s="20" t="inlineStr">
        <is>
          <t>Clip</t>
        </is>
      </c>
      <c r="D104" s="1">
        <f>H80-H55</f>
        <v/>
      </c>
      <c r="E104">
        <f>-ABS(D104)</f>
        <v/>
      </c>
      <c r="F104" s="149" t="n">
        <v>-0.003452537842041157</v>
      </c>
      <c r="G104" t="inlineStr">
        <is>
          <t>High PTI</t>
        </is>
      </c>
    </row>
    <row r="105">
      <c r="C105" s="20" t="inlineStr">
        <is>
          <t>Final Multplier</t>
        </is>
      </c>
      <c r="D105" s="1">
        <f>H81-H56</f>
        <v/>
      </c>
      <c r="E105">
        <f>-ABS(D105)</f>
        <v/>
      </c>
      <c r="F105" s="149" t="n">
        <v>0</v>
      </c>
      <c r="G105" t="inlineStr">
        <is>
          <t>08_mcy_low_mileage</t>
        </is>
      </c>
    </row>
    <row r="106">
      <c r="C106" s="20" t="inlineStr">
        <is>
          <t>Weighted Multiplier</t>
        </is>
      </c>
      <c r="D106" s="1">
        <f>H82-H57</f>
        <v/>
      </c>
      <c r="E106">
        <f>-ABS(D106)</f>
        <v/>
      </c>
      <c r="F106" s="149" t="n">
        <v>0</v>
      </c>
      <c r="G106" t="inlineStr">
        <is>
          <t>08_mcy_low_mileage</t>
        </is>
      </c>
    </row>
    <row r="107">
      <c r="D107" s="1">
        <f>H83-H58</f>
        <v/>
      </c>
    </row>
    <row r="108">
      <c r="H108" s="1" t="n"/>
    </row>
    <row r="109">
      <c r="H109" s="1" t="n"/>
    </row>
  </sheetData>
  <conditionalFormatting sqref="H38:H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3:H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24"/>
  <sheetViews>
    <sheetView zoomScale="134" zoomScaleNormal="160" workbookViewId="0">
      <pane xSplit="1" topLeftCell="B1" activePane="topRight" state="frozen"/>
      <selection pane="topRight" activeCell="B1" sqref="B1"/>
    </sheetView>
  </sheetViews>
  <sheetFormatPr baseColWidth="8" defaultRowHeight="14.5"/>
  <cols>
    <col width="22.1796875" bestFit="1" customWidth="1" style="43" min="1" max="1"/>
    <col width="14.453125" customWidth="1" style="43" min="2" max="2"/>
    <col width="13.54296875" customWidth="1" style="43" min="3" max="3"/>
    <col width="14.26953125" customWidth="1" style="43" min="4" max="4"/>
    <col width="14.08984375" customWidth="1" style="43" min="5" max="5"/>
    <col width="14.36328125" customWidth="1" style="43" min="6" max="6"/>
    <col width="14.453125" customWidth="1" style="43" min="7" max="7"/>
    <col width="13.54296875" customWidth="1" style="43" min="8" max="8"/>
    <col width="14.26953125" customWidth="1" style="43" min="9" max="9"/>
    <col width="14.08984375" customWidth="1" style="43" min="10" max="10"/>
    <col width="14.36328125" customWidth="1" style="43" min="11" max="11"/>
    <col width="14.453125" customWidth="1" style="43" min="12" max="12"/>
    <col width="13.54296875" customWidth="1" style="43" min="13" max="13"/>
    <col width="14.26953125" customWidth="1" style="43" min="14" max="14"/>
    <col width="14.08984375" customWidth="1" style="43" min="15" max="15"/>
    <col width="14.36328125" customWidth="1" style="43" min="16" max="16"/>
    <col width="14.453125" customWidth="1" style="43" min="17" max="17"/>
    <col width="13.54296875" customWidth="1" style="43" min="18" max="18"/>
    <col width="14.26953125" customWidth="1" style="43" min="19" max="19"/>
    <col width="14.08984375" customWidth="1" style="43" min="20" max="20"/>
    <col width="14.36328125" customWidth="1" style="43" min="21" max="21"/>
    <col width="14.453125" customWidth="1" style="43" min="22" max="22"/>
    <col width="13.54296875" customWidth="1" style="43" min="23" max="23"/>
    <col width="14.26953125" customWidth="1" style="43" min="24" max="24"/>
    <col width="14.08984375" customWidth="1" style="43" min="25" max="25"/>
    <col width="14.36328125" customWidth="1" style="43" min="26" max="26"/>
    <col width="14.453125" customWidth="1" style="43" min="27" max="27"/>
    <col width="13.54296875" customWidth="1" style="43" min="28" max="28"/>
    <col width="14.26953125" customWidth="1" style="43" min="29" max="29"/>
    <col width="14.08984375" customWidth="1" style="43" min="30" max="30"/>
    <col width="14.36328125" customWidth="1" style="43" min="31" max="31"/>
    <col width="14.453125" customWidth="1" style="43" min="32" max="32"/>
    <col width="13.54296875" customWidth="1" style="43" min="33" max="33"/>
    <col width="14.26953125" customWidth="1" style="43" min="34" max="34"/>
    <col width="14.08984375" customWidth="1" style="43" min="35" max="35"/>
    <col width="14.36328125" customWidth="1" style="43" min="36" max="36"/>
    <col width="14.453125" customWidth="1" style="43" min="37" max="37"/>
    <col width="13.54296875" customWidth="1" style="43" min="38" max="38"/>
    <col width="14.26953125" customWidth="1" style="43" min="39" max="39"/>
    <col width="14.08984375" customWidth="1" style="43" min="40" max="40"/>
    <col width="14.36328125" customWidth="1" style="43" min="41" max="41"/>
    <col width="14.453125" customWidth="1" style="43" min="42" max="42"/>
    <col width="13.54296875" customWidth="1" style="43" min="43" max="43"/>
    <col width="14.26953125" customWidth="1" style="43" min="44" max="44"/>
    <col width="14.08984375" customWidth="1" style="43" min="45" max="45"/>
    <col width="14.36328125" customWidth="1" style="43" min="46" max="46"/>
    <col width="14.453125" customWidth="1" style="43" min="47" max="47"/>
    <col width="13.54296875" customWidth="1" style="43" min="48" max="48"/>
    <col width="14.26953125" customWidth="1" style="43" min="49" max="49"/>
    <col width="17" bestFit="1" customWidth="1" style="43" min="50" max="50"/>
    <col width="17.26953125" bestFit="1" customWidth="1" style="43" min="51" max="52"/>
    <col width="16.453125" bestFit="1" customWidth="1" style="43" min="53" max="53"/>
    <col width="17.1796875" bestFit="1" customWidth="1" style="43" min="54" max="54"/>
    <col width="17" bestFit="1" customWidth="1" style="43" min="55" max="55"/>
    <col width="17.26953125" bestFit="1" customWidth="1" style="43" min="56" max="56"/>
  </cols>
  <sheetData>
    <row r="1">
      <c r="A1" t="inlineStr">
        <is>
          <t>Column1</t>
        </is>
      </c>
      <c r="B1" s="4" t="inlineStr">
        <is>
          <t>FRN | 2023 Q3</t>
        </is>
      </c>
      <c r="C1" s="4" t="inlineStr">
        <is>
          <t>AN | 2023 Q3</t>
        </is>
      </c>
      <c r="D1" s="4" t="inlineStr">
        <is>
          <t>STG | 2023 Q3</t>
        </is>
      </c>
      <c r="E1" s="4" t="inlineStr">
        <is>
          <t>FLD | 2023 Q3</t>
        </is>
      </c>
      <c r="F1" s="4" t="inlineStr">
        <is>
          <t>ENT | 2023 Q3</t>
        </is>
      </c>
      <c r="G1" s="4" t="inlineStr">
        <is>
          <t>FRN | 2023 Q4</t>
        </is>
      </c>
      <c r="H1" s="4" t="inlineStr">
        <is>
          <t>AN | 2023 Q4</t>
        </is>
      </c>
      <c r="I1" s="4" t="inlineStr">
        <is>
          <t>STG | 2023 Q4</t>
        </is>
      </c>
      <c r="J1" s="4" t="inlineStr">
        <is>
          <t>FLD | 2023 Q4</t>
        </is>
      </c>
      <c r="K1" s="4" t="inlineStr">
        <is>
          <t>ENT | 2023 Q4</t>
        </is>
      </c>
      <c r="L1" s="4" t="inlineStr">
        <is>
          <t>FRN | 2024 Q1</t>
        </is>
      </c>
      <c r="M1" s="4" t="inlineStr">
        <is>
          <t>AN | 2024 Q1</t>
        </is>
      </c>
      <c r="N1" s="4" t="inlineStr">
        <is>
          <t>STG | 2024 Q1</t>
        </is>
      </c>
      <c r="O1" s="4" t="inlineStr">
        <is>
          <t>FLD | 2024 Q1</t>
        </is>
      </c>
      <c r="P1" s="4" t="inlineStr">
        <is>
          <t>ENT | 2024 Q1</t>
        </is>
      </c>
      <c r="Q1" s="4" t="inlineStr">
        <is>
          <t>FRN | 2024 Q2</t>
        </is>
      </c>
      <c r="R1" s="4" t="inlineStr">
        <is>
          <t>AN | 2024 Q2</t>
        </is>
      </c>
      <c r="S1" s="4" t="inlineStr">
        <is>
          <t>STG | 2024 Q2</t>
        </is>
      </c>
      <c r="T1" s="4" t="inlineStr">
        <is>
          <t>FLD | 2024 Q2</t>
        </is>
      </c>
      <c r="U1" s="4" t="inlineStr">
        <is>
          <t>ENT | 2024 Q2</t>
        </is>
      </c>
      <c r="V1" s="4" t="inlineStr">
        <is>
          <t>FRN | 2024 Q3</t>
        </is>
      </c>
      <c r="W1" s="4" t="inlineStr">
        <is>
          <t>AN | 2024 Q3</t>
        </is>
      </c>
      <c r="X1" s="4" t="inlineStr">
        <is>
          <t>STG | 2024 Q3</t>
        </is>
      </c>
      <c r="Y1" s="4" t="inlineStr">
        <is>
          <t>FLD | 2024 Q3</t>
        </is>
      </c>
      <c r="Z1" s="4" t="inlineStr">
        <is>
          <t>ENT | 2024 Q3</t>
        </is>
      </c>
      <c r="AA1" s="4" t="inlineStr">
        <is>
          <t>FRN | 2024 Q4</t>
        </is>
      </c>
      <c r="AB1" s="4" t="inlineStr">
        <is>
          <t>AN | 2024 Q4</t>
        </is>
      </c>
      <c r="AC1" s="4" t="inlineStr">
        <is>
          <t>STG | 2024 Q4</t>
        </is>
      </c>
      <c r="AD1" s="4" t="inlineStr">
        <is>
          <t>FLD | 2024 Q4</t>
        </is>
      </c>
      <c r="AE1" s="4" t="inlineStr">
        <is>
          <t>ENT | 2024 Q4</t>
        </is>
      </c>
      <c r="AF1" s="4" t="inlineStr">
        <is>
          <t>FRN | 2025 Q1</t>
        </is>
      </c>
      <c r="AG1" s="4" t="inlineStr">
        <is>
          <t>AN | 2025 Q1</t>
        </is>
      </c>
      <c r="AH1" s="4" t="inlineStr">
        <is>
          <t>STG | 2025 Q1</t>
        </is>
      </c>
      <c r="AI1" s="4" t="inlineStr">
        <is>
          <t>FLD | 2025 Q1</t>
        </is>
      </c>
      <c r="AJ1" s="4" t="inlineStr">
        <is>
          <t>ENT | 2025 Q1</t>
        </is>
      </c>
      <c r="AK1" s="4" t="inlineStr">
        <is>
          <t>FRN | 2025 Q2</t>
        </is>
      </c>
      <c r="AL1" s="4" t="inlineStr">
        <is>
          <t>AN | 2025 Q2</t>
        </is>
      </c>
      <c r="AM1" s="4" t="inlineStr">
        <is>
          <t>STG | 2025 Q2</t>
        </is>
      </c>
      <c r="AN1" s="4" t="inlineStr">
        <is>
          <t>FLD | 2025 Q2</t>
        </is>
      </c>
      <c r="AO1" s="4" t="inlineStr">
        <is>
          <t>ENT | 2025 Q2</t>
        </is>
      </c>
      <c r="AP1" s="4" t="inlineStr">
        <is>
          <t>FRN | 2025 Q3</t>
        </is>
      </c>
      <c r="AQ1" s="4" t="inlineStr">
        <is>
          <t>AN | 2025 Q3</t>
        </is>
      </c>
      <c r="AR1" s="4" t="inlineStr">
        <is>
          <t>STG | 2025 Q3</t>
        </is>
      </c>
      <c r="AS1" s="4" t="inlineStr">
        <is>
          <t>FLD | 2025 Q3</t>
        </is>
      </c>
      <c r="AT1" s="4" t="inlineStr">
        <is>
          <t>ENT | 2025 Q3</t>
        </is>
      </c>
      <c r="AU1" s="4" t="inlineStr">
        <is>
          <t>FRN | 2025 Q4</t>
        </is>
      </c>
      <c r="AV1" s="4" t="inlineStr">
        <is>
          <t>AN | 2025 Q4</t>
        </is>
      </c>
      <c r="AW1" s="4" t="inlineStr">
        <is>
          <t>STG | 2025 Q4</t>
        </is>
      </c>
      <c r="AX1" s="4" t="inlineStr">
        <is>
          <t>FLD | 2025 Q4</t>
        </is>
      </c>
      <c r="AY1" s="4" t="inlineStr">
        <is>
          <t>ENT | 2025 Q4</t>
        </is>
      </c>
      <c r="AZ1" s="4" t="inlineStr">
        <is>
          <t>FRN | 2026 Q1</t>
        </is>
      </c>
      <c r="BA1" s="4" t="inlineStr">
        <is>
          <t>AN | 2026 Q1</t>
        </is>
      </c>
      <c r="BB1" s="4" t="inlineStr">
        <is>
          <t>STG | 2026 Q1</t>
        </is>
      </c>
      <c r="BC1" s="4" t="inlineStr">
        <is>
          <t>FLD | 2026 Q1</t>
        </is>
      </c>
      <c r="BD1" s="4" t="inlineStr">
        <is>
          <t>ENT | 2026 Q1</t>
        </is>
      </c>
    </row>
    <row r="2">
      <c r="A2" s="4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F2">
        <f>AVERAGE(B2:BD2)</f>
        <v/>
      </c>
    </row>
    <row r="3">
      <c r="A3" s="4" t="inlineStr">
        <is>
          <t>01_prev_aca_chargeoff</t>
        </is>
      </c>
      <c r="B3" t="n">
        <v>1.000170357751277</v>
      </c>
      <c r="C3" t="n">
        <v>1.000232738557021</v>
      </c>
      <c r="D3" t="n">
        <v>1.000142857142857</v>
      </c>
      <c r="E3" t="n">
        <v>1.000151745068285</v>
      </c>
      <c r="F3" t="n">
        <v>1.000151103052282</v>
      </c>
      <c r="G3" t="n">
        <v>1.000236282488842</v>
      </c>
      <c r="H3" t="n">
        <v>1.000190114068441</v>
      </c>
      <c r="I3" t="n">
        <v>1.00023596035866</v>
      </c>
      <c r="J3" t="n">
        <v>1.000148148148148</v>
      </c>
      <c r="K3" t="n">
        <v>1.000056866647711</v>
      </c>
      <c r="L3" t="n">
        <v>1.000203311065931</v>
      </c>
      <c r="M3" t="n">
        <v>1.000314836678473</v>
      </c>
      <c r="N3" t="n">
        <v>1.000085154697701</v>
      </c>
      <c r="O3" t="n">
        <v>1.000224047796863</v>
      </c>
      <c r="P3" t="n">
        <v>1.000196008553101</v>
      </c>
      <c r="Q3" t="n">
        <v>1.000180280127583</v>
      </c>
      <c r="R3" t="n">
        <v>1.00030487804878</v>
      </c>
      <c r="S3" t="n">
        <v>1.000234137204402</v>
      </c>
      <c r="T3" t="n">
        <v>1.000121285627653</v>
      </c>
      <c r="U3" t="n">
        <v>1.000147897739277</v>
      </c>
      <c r="V3" t="n">
        <v>1.000294225818316</v>
      </c>
      <c r="W3" t="n">
        <v>1.000367872470877</v>
      </c>
      <c r="X3" t="n">
        <v>1.000159642401022</v>
      </c>
      <c r="Y3" t="n">
        <v>1.000661625708885</v>
      </c>
      <c r="Z3" t="n">
        <v>1.00013698630137</v>
      </c>
      <c r="AA3" t="n">
        <v>1.000347101700798</v>
      </c>
      <c r="AB3" t="n">
        <v>1.000248756218906</v>
      </c>
      <c r="AC3" t="n">
        <v>1.000191693290735</v>
      </c>
      <c r="AD3" t="n">
        <v>1.000408580183861</v>
      </c>
      <c r="AE3" t="n">
        <v>1.000151362260343</v>
      </c>
      <c r="AF3" t="n">
        <v>1.000338231863774</v>
      </c>
      <c r="AG3" t="n">
        <v>1.000320170757737</v>
      </c>
      <c r="AH3" t="n">
        <v>1.000342811050615</v>
      </c>
      <c r="AI3" t="n">
        <v>1.000548081714001</v>
      </c>
      <c r="AJ3" t="n">
        <v>1.000176444640494</v>
      </c>
      <c r="AK3" t="n">
        <v>1.000569476082005</v>
      </c>
      <c r="AL3" t="n">
        <v>1.000474279460051</v>
      </c>
      <c r="AM3" t="n">
        <v>1.000368625844767</v>
      </c>
      <c r="AN3" t="n">
        <v>1.000422609614369</v>
      </c>
      <c r="AO3" t="n">
        <v>1.000140523449851</v>
      </c>
      <c r="AP3" t="n">
        <v>1.00029752583777</v>
      </c>
      <c r="AQ3" t="n">
        <v>1.000393184796854</v>
      </c>
      <c r="AR3" t="n">
        <v>1.000240706071142</v>
      </c>
      <c r="AS3" t="n">
        <v>1.000159574468085</v>
      </c>
      <c r="AT3" t="n">
        <v>1.000221385875581</v>
      </c>
      <c r="AU3" t="n">
        <v>1.000270551508845</v>
      </c>
      <c r="AV3" t="n">
        <v>1.000286697247706</v>
      </c>
      <c r="AW3" s="1" t="n">
        <v>1.000278164116829</v>
      </c>
      <c r="AX3" s="1" t="n">
        <v>1.000211528291909</v>
      </c>
      <c r="AY3" s="1" t="n">
        <v>1.000344736144259</v>
      </c>
      <c r="AZ3" s="1" t="n">
        <v>1.0005</v>
      </c>
      <c r="BA3" s="1" t="n">
        <v>1.000336700336701</v>
      </c>
      <c r="BB3" s="1" t="n">
        <v>1.000293542074364</v>
      </c>
      <c r="BC3" s="1" t="n">
        <v>1.000650406504065</v>
      </c>
      <c r="BD3" s="1" t="n">
        <v>1.000329760923331</v>
      </c>
      <c r="BF3">
        <f>AVERAGE(B3:BD3)</f>
        <v/>
      </c>
      <c r="BG3">
        <f>BF3/BF2</f>
        <v/>
      </c>
      <c r="BH3" s="2">
        <f>1-BG3</f>
        <v/>
      </c>
      <c r="BI3">
        <f>A3</f>
        <v/>
      </c>
    </row>
    <row r="4">
      <c r="A4" s="4" t="inlineStr">
        <is>
          <t>02_small_amt_financed</t>
        </is>
      </c>
      <c r="B4" t="n">
        <v>1.00217206132879</v>
      </c>
      <c r="C4" t="n">
        <v>1.000698215671063</v>
      </c>
      <c r="D4" t="n">
        <v>1.000785714285714</v>
      </c>
      <c r="E4" t="n">
        <v>1.000303490136571</v>
      </c>
      <c r="F4" t="n">
        <v>1.000151103052282</v>
      </c>
      <c r="G4" t="n">
        <v>1.001286426883697</v>
      </c>
      <c r="H4" t="n">
        <v>1.000380228136882</v>
      </c>
      <c r="I4" t="n">
        <v>1.001038225578103</v>
      </c>
      <c r="J4" t="n">
        <v>1.000592592592592</v>
      </c>
      <c r="K4" t="n">
        <v>1.000056866647711</v>
      </c>
      <c r="L4" t="n">
        <v>1.001045599767645</v>
      </c>
      <c r="M4" t="n">
        <v>1.000590318772137</v>
      </c>
      <c r="N4" t="n">
        <v>1.000794777178541</v>
      </c>
      <c r="O4" t="n">
        <v>1.000746825989544</v>
      </c>
      <c r="P4" t="n">
        <v>1.000196008553101</v>
      </c>
      <c r="Q4" t="n">
        <v>1.000998474552766</v>
      </c>
      <c r="R4" t="n">
        <v>1.000566202090592</v>
      </c>
      <c r="S4" t="n">
        <v>1.000655584172325</v>
      </c>
      <c r="T4" t="n">
        <v>1.000485142510612</v>
      </c>
      <c r="U4" t="n">
        <v>1.000147897739277</v>
      </c>
      <c r="V4" t="n">
        <v>1.001121735932328</v>
      </c>
      <c r="W4" t="n">
        <v>1.000858369098713</v>
      </c>
      <c r="X4" t="n">
        <v>1.000893997445722</v>
      </c>
      <c r="Y4" t="n">
        <v>1.000850661625709</v>
      </c>
      <c r="Z4" t="n">
        <v>1.00013698630137</v>
      </c>
      <c r="AA4" t="n">
        <v>1.000347101700798</v>
      </c>
      <c r="AB4" t="n">
        <v>1.000248756218906</v>
      </c>
      <c r="AC4" t="n">
        <v>1.000191693290735</v>
      </c>
      <c r="AD4" t="n">
        <v>1.000408580183861</v>
      </c>
      <c r="AE4" t="n">
        <v>1.000151362260343</v>
      </c>
      <c r="AF4" t="n">
        <v>1.000338231863774</v>
      </c>
      <c r="AG4" t="n">
        <v>1.000320170757737</v>
      </c>
      <c r="AH4" t="n">
        <v>1.000342811050615</v>
      </c>
      <c r="AI4" t="n">
        <v>1.000548081714001</v>
      </c>
      <c r="AJ4" t="n">
        <v>1.000176444640494</v>
      </c>
      <c r="AK4" t="n">
        <v>1.000569476082005</v>
      </c>
      <c r="AL4" t="n">
        <v>1.000474279460051</v>
      </c>
      <c r="AM4" t="n">
        <v>1.000368625844767</v>
      </c>
      <c r="AN4" t="n">
        <v>1.000422609614369</v>
      </c>
      <c r="AO4" t="n">
        <v>1.000140523449851</v>
      </c>
      <c r="AP4" t="n">
        <v>1.00029752583777</v>
      </c>
      <c r="AQ4" t="n">
        <v>1.000393184796854</v>
      </c>
      <c r="AR4" t="n">
        <v>1.000240706071142</v>
      </c>
      <c r="AS4" t="n">
        <v>1.000159574468085</v>
      </c>
      <c r="AT4" t="n">
        <v>1.000221385875581</v>
      </c>
      <c r="AU4" t="n">
        <v>1.000270551508845</v>
      </c>
      <c r="AV4" t="n">
        <v>1.000286697247706</v>
      </c>
      <c r="AW4" s="1" t="n">
        <v>1.000278164116829</v>
      </c>
      <c r="AX4" s="1" t="n">
        <v>1.000211528291909</v>
      </c>
      <c r="AY4" s="1" t="n">
        <v>1.000344736144259</v>
      </c>
      <c r="AZ4" s="1" t="n">
        <v>1.0005</v>
      </c>
      <c r="BA4" s="1" t="n">
        <v>1.000336700336701</v>
      </c>
      <c r="BB4" s="1" t="n">
        <v>1.000293542074364</v>
      </c>
      <c r="BC4" s="1" t="n">
        <v>1.000650406504065</v>
      </c>
      <c r="BD4" s="1" t="n">
        <v>1.000329760923331</v>
      </c>
      <c r="BF4">
        <f>AVERAGE(B4:BD4)</f>
        <v/>
      </c>
      <c r="BG4">
        <f>BF4/BF3</f>
        <v/>
      </c>
      <c r="BH4" s="2">
        <f>1-BG4</f>
        <v/>
      </c>
      <c r="BI4">
        <f>A4</f>
        <v/>
      </c>
    </row>
    <row r="5">
      <c r="A5" s="4" t="inlineStr">
        <is>
          <t>03_zero_cash_down</t>
        </is>
      </c>
      <c r="B5" t="n">
        <v>1.002947189097104</v>
      </c>
      <c r="C5" t="n">
        <v>1.002249806051203</v>
      </c>
      <c r="D5" t="n">
        <v>1.00315</v>
      </c>
      <c r="E5" t="n">
        <v>1.002276176024279</v>
      </c>
      <c r="F5" t="n">
        <v>1.006829857963131</v>
      </c>
      <c r="G5" t="n">
        <v>1.002231556839065</v>
      </c>
      <c r="H5" t="n">
        <v>1.003548795944233</v>
      </c>
      <c r="I5" t="n">
        <v>1.003690420009439</v>
      </c>
      <c r="J5" t="n">
        <v>1.004014814814815</v>
      </c>
      <c r="K5" t="n">
        <v>1.007023030992323</v>
      </c>
      <c r="L5" t="n">
        <v>1.001426081905315</v>
      </c>
      <c r="M5" t="n">
        <v>1.003266430539158</v>
      </c>
      <c r="N5" t="n">
        <v>1.002812943514051</v>
      </c>
      <c r="O5" t="n">
        <v>1.002837938760269</v>
      </c>
      <c r="P5" t="n">
        <v>1.004330007127584</v>
      </c>
      <c r="Q5" t="n">
        <v>1.001651643322701</v>
      </c>
      <c r="R5" t="n">
        <v>1.002482578397212</v>
      </c>
      <c r="S5" t="n">
        <v>1.002980566612035</v>
      </c>
      <c r="T5" t="n">
        <v>1.004608853850819</v>
      </c>
      <c r="U5" t="n">
        <v>1.003676315233467</v>
      </c>
      <c r="V5" t="n">
        <v>1.001860978300846</v>
      </c>
      <c r="W5" t="n">
        <v>1.003004291845494</v>
      </c>
      <c r="X5" t="n">
        <v>1.003100255427842</v>
      </c>
      <c r="Y5" t="n">
        <v>1.003506616257089</v>
      </c>
      <c r="Z5" t="n">
        <v>1.00613698630137</v>
      </c>
      <c r="AA5" t="n">
        <v>1.000347101700798</v>
      </c>
      <c r="AB5" t="n">
        <v>1.000248756218906</v>
      </c>
      <c r="AC5" t="n">
        <v>1.000191693290735</v>
      </c>
      <c r="AD5" t="n">
        <v>1.000408580183861</v>
      </c>
      <c r="AE5" t="n">
        <v>1.000151362260343</v>
      </c>
      <c r="AF5" t="n">
        <v>1.000338231863774</v>
      </c>
      <c r="AG5" t="n">
        <v>1.000320170757737</v>
      </c>
      <c r="AH5" t="n">
        <v>1.000342811050615</v>
      </c>
      <c r="AI5" t="n">
        <v>1.000548081714001</v>
      </c>
      <c r="AJ5" t="n">
        <v>1.000176444640494</v>
      </c>
      <c r="AK5" t="n">
        <v>1.000569476082005</v>
      </c>
      <c r="AL5" t="n">
        <v>1.000474279460051</v>
      </c>
      <c r="AM5" t="n">
        <v>1.000368625844767</v>
      </c>
      <c r="AN5" t="n">
        <v>1.000422609614369</v>
      </c>
      <c r="AO5" t="n">
        <v>1.000140523449851</v>
      </c>
      <c r="AP5" t="n">
        <v>1.00029752583777</v>
      </c>
      <c r="AQ5" t="n">
        <v>1.000393184796854</v>
      </c>
      <c r="AR5" t="n">
        <v>1.000240706071142</v>
      </c>
      <c r="AS5" t="n">
        <v>1.000159574468085</v>
      </c>
      <c r="AT5" t="n">
        <v>1.000221385875581</v>
      </c>
      <c r="AU5" t="n">
        <v>1.000270551508845</v>
      </c>
      <c r="AV5" t="n">
        <v>1.000286697247706</v>
      </c>
      <c r="AW5" s="1" t="n">
        <v>1.000278164116829</v>
      </c>
      <c r="AX5" s="1" t="n">
        <v>1.000211528291909</v>
      </c>
      <c r="AY5" s="1" t="n">
        <v>1.000344736144259</v>
      </c>
      <c r="AZ5" s="1" t="n">
        <v>1.0005</v>
      </c>
      <c r="BA5" s="1" t="n">
        <v>1.000336700336701</v>
      </c>
      <c r="BB5" s="1" t="n">
        <v>1.000293542074364</v>
      </c>
      <c r="BC5" s="1" t="n">
        <v>1.000650406504065</v>
      </c>
      <c r="BD5" s="1" t="n">
        <v>1.000329760923331</v>
      </c>
      <c r="BF5">
        <f>AVERAGE(B5:BD5)</f>
        <v/>
      </c>
      <c r="BG5">
        <f>BF5/BF4</f>
        <v/>
      </c>
      <c r="BH5" s="2">
        <f>1-BG5</f>
        <v/>
      </c>
      <c r="BI5">
        <f>A5</f>
        <v/>
      </c>
    </row>
    <row r="6">
      <c r="A6" s="4" t="inlineStr">
        <is>
          <t>04_high_mileage</t>
        </is>
      </c>
      <c r="B6" t="n">
        <v>1.004701873935264</v>
      </c>
      <c r="C6" t="n">
        <v>1.006826997672614</v>
      </c>
      <c r="D6" t="n">
        <v>1.006400714285714</v>
      </c>
      <c r="E6" t="n">
        <v>1.002731411229135</v>
      </c>
      <c r="F6" t="n">
        <v>1.006829857963131</v>
      </c>
      <c r="G6" t="n">
        <v>1.003439222893148</v>
      </c>
      <c r="H6" t="n">
        <v>1.007927756653992</v>
      </c>
      <c r="I6" t="n">
        <v>1.006616328456819</v>
      </c>
      <c r="J6" t="n">
        <v>1.004325925925926</v>
      </c>
      <c r="K6" t="n">
        <v>1.007023030992323</v>
      </c>
      <c r="L6" t="n">
        <v>1.003068544873657</v>
      </c>
      <c r="M6" t="n">
        <v>1.006662731208186</v>
      </c>
      <c r="N6" t="n">
        <v>1.005603462957706</v>
      </c>
      <c r="O6" t="n">
        <v>1.003211351755041</v>
      </c>
      <c r="P6" t="n">
        <v>1.004330007127584</v>
      </c>
      <c r="Q6" t="n">
        <v>1.002457356815976</v>
      </c>
      <c r="R6" t="n">
        <v>1.004320557491289</v>
      </c>
      <c r="S6" t="n">
        <v>1.004638726293608</v>
      </c>
      <c r="T6" t="n">
        <v>1.004972710733778</v>
      </c>
      <c r="U6" t="n">
        <v>1.003676315233467</v>
      </c>
      <c r="V6" t="n">
        <v>1.002214049282825</v>
      </c>
      <c r="W6" t="n">
        <v>1.004604537093807</v>
      </c>
      <c r="X6" t="n">
        <v>1.004294380587484</v>
      </c>
      <c r="Y6" t="n">
        <v>1.003695652173913</v>
      </c>
      <c r="Z6" t="n">
        <v>1.00613698630137</v>
      </c>
      <c r="AA6" t="n">
        <v>1.001093370357515</v>
      </c>
      <c r="AB6" t="n">
        <v>1.003109452736318</v>
      </c>
      <c r="AC6" t="n">
        <v>1.002268370607029</v>
      </c>
      <c r="AD6" t="n">
        <v>1.000715015321757</v>
      </c>
      <c r="AE6" t="n">
        <v>1.000151362260343</v>
      </c>
      <c r="AF6" t="n">
        <v>1.00073477956613</v>
      </c>
      <c r="AG6" t="n">
        <v>1.0017075773746</v>
      </c>
      <c r="AH6" t="n">
        <v>1.001835047388586</v>
      </c>
      <c r="AI6" t="n">
        <v>1.001295465869457</v>
      </c>
      <c r="AJ6" t="n">
        <v>1.000176444640494</v>
      </c>
      <c r="AK6" t="n">
        <v>1.000809921538851</v>
      </c>
      <c r="AL6" t="n">
        <v>1.001167457132433</v>
      </c>
      <c r="AM6" t="n">
        <v>1.000921564611919</v>
      </c>
      <c r="AN6" t="n">
        <v>1.000581088219757</v>
      </c>
      <c r="AO6" t="n">
        <v>1.000140523449851</v>
      </c>
      <c r="AP6" t="n">
        <v>1.000563733166301</v>
      </c>
      <c r="AQ6" t="n">
        <v>1.001179554390563</v>
      </c>
      <c r="AR6" t="n">
        <v>1.000909334046536</v>
      </c>
      <c r="AS6" t="n">
        <v>1.000212765957447</v>
      </c>
      <c r="AT6" t="n">
        <v>1.000221385875581</v>
      </c>
      <c r="AU6" t="n">
        <v>1.000582726326743</v>
      </c>
      <c r="AV6" t="n">
        <v>1.000974770642202</v>
      </c>
      <c r="AW6" s="1" t="n">
        <v>1.00076495132128</v>
      </c>
      <c r="AX6" s="1" t="n">
        <v>1.000211528291909</v>
      </c>
      <c r="AY6" s="1" t="n">
        <v>1.000344736144259</v>
      </c>
      <c r="AZ6" s="1" t="n">
        <v>1.0009375</v>
      </c>
      <c r="BA6" s="1" t="n">
        <v>1.001010101010101</v>
      </c>
      <c r="BB6" s="1" t="n">
        <v>1.000587084148728</v>
      </c>
      <c r="BC6" s="1" t="n">
        <v>1.000813008130081</v>
      </c>
      <c r="BD6" s="1" t="n">
        <v>1.000329760923331</v>
      </c>
      <c r="BF6">
        <f>AVERAGE(B6:BD6)</f>
        <v/>
      </c>
      <c r="BG6">
        <f>BF6/BF5</f>
        <v/>
      </c>
      <c r="BH6" s="2">
        <f>1-BG6</f>
        <v/>
      </c>
      <c r="BI6">
        <f>A6</f>
        <v/>
      </c>
    </row>
    <row r="7">
      <c r="A7" s="4" t="inlineStr">
        <is>
          <t>05_high_pti</t>
        </is>
      </c>
      <c r="B7" t="n">
        <v>1.005</v>
      </c>
      <c r="C7" t="n">
        <v>1.007455391776571</v>
      </c>
      <c r="D7" t="n">
        <v>1.006686428571429</v>
      </c>
      <c r="E7" t="n">
        <v>1.004704097116844</v>
      </c>
      <c r="F7" t="n">
        <v>1.008890903596253</v>
      </c>
      <c r="G7" t="n">
        <v>1.00367550538199</v>
      </c>
      <c r="H7" t="n">
        <v>1.008117870722433</v>
      </c>
      <c r="I7" t="n">
        <v>1.006757904672015</v>
      </c>
      <c r="J7" t="n">
        <v>1.005066666666667</v>
      </c>
      <c r="K7" t="n">
        <v>1.008564117145294</v>
      </c>
      <c r="L7" t="n">
        <v>1.003228289282603</v>
      </c>
      <c r="M7" t="n">
        <v>1.007099567099567</v>
      </c>
      <c r="N7" t="n">
        <v>1.005745387453874</v>
      </c>
      <c r="O7" t="n">
        <v>1.003659447348768</v>
      </c>
      <c r="P7" t="n">
        <v>1.005258374910905</v>
      </c>
      <c r="Q7" t="n">
        <v>1.002623769241437</v>
      </c>
      <c r="R7" t="n">
        <v>1.004581881533101</v>
      </c>
      <c r="S7" t="n">
        <v>1.005060173261531</v>
      </c>
      <c r="T7" t="n">
        <v>1.005518496058217</v>
      </c>
      <c r="U7" t="n">
        <v>1.004944010141559</v>
      </c>
      <c r="V7" t="n">
        <v>1.002453107760206</v>
      </c>
      <c r="W7" t="n">
        <v>1.005229920294298</v>
      </c>
      <c r="X7" t="n">
        <v>1.004805236270754</v>
      </c>
      <c r="Y7" t="n">
        <v>1.004262759924386</v>
      </c>
      <c r="Z7" t="n">
        <v>1.007372602739726</v>
      </c>
      <c r="AA7" t="n">
        <v>1.001093370357515</v>
      </c>
      <c r="AB7" t="n">
        <v>1.003109452736318</v>
      </c>
      <c r="AC7" t="n">
        <v>1.002268370607029</v>
      </c>
      <c r="AD7" t="n">
        <v>1.000715015321757</v>
      </c>
      <c r="AE7" t="n">
        <v>1.000151362260343</v>
      </c>
      <c r="AF7" t="n">
        <v>1.00073477956613</v>
      </c>
      <c r="AG7" t="n">
        <v>1.0017075773746</v>
      </c>
      <c r="AH7" t="n">
        <v>1.001835047388586</v>
      </c>
      <c r="AI7" t="n">
        <v>1.001295465869457</v>
      </c>
      <c r="AJ7" t="n">
        <v>1.000176444640494</v>
      </c>
      <c r="AK7" t="n">
        <v>1.000809921538851</v>
      </c>
      <c r="AL7" t="n">
        <v>1.001167457132433</v>
      </c>
      <c r="AM7" t="n">
        <v>1.000921564611919</v>
      </c>
      <c r="AN7" t="n">
        <v>1.000581088219757</v>
      </c>
      <c r="AO7" t="n">
        <v>1.000140523449851</v>
      </c>
      <c r="AP7" t="n">
        <v>1.000563733166301</v>
      </c>
      <c r="AQ7" t="n">
        <v>1.001179554390563</v>
      </c>
      <c r="AR7" t="n">
        <v>1.000909334046536</v>
      </c>
      <c r="AS7" t="n">
        <v>1.000212765957447</v>
      </c>
      <c r="AT7" t="n">
        <v>1.000221385875581</v>
      </c>
      <c r="AU7" t="n">
        <v>1.000582726326743</v>
      </c>
      <c r="AV7" t="n">
        <v>1.000974770642202</v>
      </c>
      <c r="AW7" s="1" t="n">
        <v>1.00076495132128</v>
      </c>
      <c r="AX7" s="1" t="n">
        <v>1.000211528291909</v>
      </c>
      <c r="AY7" s="1" t="n">
        <v>1.000344736144259</v>
      </c>
      <c r="AZ7" s="1" t="n">
        <v>1.0009375</v>
      </c>
      <c r="BA7" s="1" t="n">
        <v>1.001010101010101</v>
      </c>
      <c r="BB7" s="1" t="n">
        <v>1.000587084148728</v>
      </c>
      <c r="BC7" s="1" t="n">
        <v>1.000813008130081</v>
      </c>
      <c r="BD7" s="1" t="n">
        <v>1.000329760923331</v>
      </c>
      <c r="BF7">
        <f>AVERAGE(B7:BD7)</f>
        <v/>
      </c>
      <c r="BG7">
        <f>BF7/BF6</f>
        <v/>
      </c>
      <c r="BH7" s="2">
        <f>1-BG7</f>
        <v/>
      </c>
      <c r="BI7">
        <f>A7</f>
        <v/>
      </c>
    </row>
    <row r="8">
      <c r="A8" s="4" t="inlineStr">
        <is>
          <t>06_car_make</t>
        </is>
      </c>
      <c r="B8" t="n">
        <v>0.9931384156729132</v>
      </c>
      <c r="C8" t="n">
        <v>0.9927618308766486</v>
      </c>
      <c r="D8" t="n">
        <v>0.9931514285714286</v>
      </c>
      <c r="E8" t="n">
        <v>0.9888922610015175</v>
      </c>
      <c r="F8" t="n">
        <v>1.005581746751284</v>
      </c>
      <c r="G8" t="n">
        <v>0.9931399317406143</v>
      </c>
      <c r="H8" t="n">
        <v>0.9908555133079847</v>
      </c>
      <c r="I8" t="n">
        <v>0.9915285512033978</v>
      </c>
      <c r="J8" t="n">
        <v>0.9914962962962963</v>
      </c>
      <c r="K8" t="n">
        <v>1.001703156098948</v>
      </c>
      <c r="L8" t="n">
        <v>0.9937670636073191</v>
      </c>
      <c r="M8" t="n">
        <v>0.9902833530106259</v>
      </c>
      <c r="N8" t="n">
        <v>0.9890275617371559</v>
      </c>
      <c r="O8" t="n">
        <v>0.9906646751306946</v>
      </c>
      <c r="P8" t="n">
        <v>0.9999821810406272</v>
      </c>
      <c r="Q8" t="n">
        <v>0.9901288309527111</v>
      </c>
      <c r="R8" t="n">
        <v>0.9848824041811847</v>
      </c>
      <c r="S8" t="n">
        <v>0.9867974713181925</v>
      </c>
      <c r="T8" t="n">
        <v>0.9922680412371134</v>
      </c>
      <c r="U8" t="n">
        <v>0.9973885484893301</v>
      </c>
      <c r="V8" t="n">
        <v>0.9872269216623759</v>
      </c>
      <c r="W8" t="n">
        <v>0.9834144696505212</v>
      </c>
      <c r="X8" t="n">
        <v>0.9832151979565774</v>
      </c>
      <c r="Y8" t="n">
        <v>0.9881190926275993</v>
      </c>
      <c r="Z8" t="n">
        <v>0.9974904109589041</v>
      </c>
      <c r="AA8" t="n">
        <v>0.9565359250260327</v>
      </c>
      <c r="AB8" t="n">
        <v>0.9542972636815922</v>
      </c>
      <c r="AC8" t="n">
        <v>0.9533801916932907</v>
      </c>
      <c r="AD8" t="n">
        <v>0.9590398365679266</v>
      </c>
      <c r="AE8" t="n">
        <v>0.9712663975782039</v>
      </c>
      <c r="AF8" t="n">
        <v>0.9519897364124097</v>
      </c>
      <c r="AG8" t="n">
        <v>0.9548879402347921</v>
      </c>
      <c r="AH8" t="n">
        <v>0.9529138939302279</v>
      </c>
      <c r="AI8" t="n">
        <v>0.960039860488291</v>
      </c>
      <c r="AJ8" t="n">
        <v>0.9646581385090428</v>
      </c>
      <c r="AK8" t="n">
        <v>0.9491698304226778</v>
      </c>
      <c r="AL8" t="n">
        <v>0.9493104706311565</v>
      </c>
      <c r="AM8" t="n">
        <v>0.9443784558672946</v>
      </c>
      <c r="AN8" t="n">
        <v>0.9518647649234021</v>
      </c>
      <c r="AO8" t="n">
        <v>0.9475320569119974</v>
      </c>
      <c r="AP8" t="n">
        <v>0.9455934857500782</v>
      </c>
      <c r="AQ8" t="n">
        <v>0.9413193534294451</v>
      </c>
      <c r="AR8" t="n">
        <v>0.942928590532228</v>
      </c>
      <c r="AS8" t="n">
        <v>0.9511063829787234</v>
      </c>
      <c r="AT8" t="n">
        <v>0.9435997343369492</v>
      </c>
      <c r="AU8" t="n">
        <v>0.9359375650364204</v>
      </c>
      <c r="AV8" t="n">
        <v>0.9378841743119266</v>
      </c>
      <c r="AW8" s="1" t="n">
        <v>0.9306988873435329</v>
      </c>
      <c r="AX8" s="1" t="n">
        <v>0.9498677948175569</v>
      </c>
      <c r="AY8" s="1" t="n">
        <v>0.933009811721029</v>
      </c>
      <c r="AZ8" s="1" t="n">
        <v>0.9365625</v>
      </c>
      <c r="BA8" s="1" t="n">
        <v>0.9323232323232322</v>
      </c>
      <c r="BB8" s="1" t="n">
        <v>0.9218982387475538</v>
      </c>
      <c r="BC8" s="1" t="n">
        <v>0.951382113821138</v>
      </c>
      <c r="BD8" s="1" t="n">
        <v>0.9340478153338829</v>
      </c>
      <c r="BF8">
        <f>AVERAGE(B8:BD8)</f>
        <v/>
      </c>
      <c r="BG8">
        <f>BF8/BF7</f>
        <v/>
      </c>
      <c r="BH8" s="2">
        <f>1-BG8</f>
        <v/>
      </c>
      <c r="BI8" s="3">
        <f>A8</f>
        <v/>
      </c>
    </row>
    <row r="9">
      <c r="A9" s="4" t="inlineStr">
        <is>
          <t>07_theft_risk</t>
        </is>
      </c>
      <c r="B9" t="n">
        <v>0.9856751460817718</v>
      </c>
      <c r="C9" t="n">
        <v>0.9845716757176105</v>
      </c>
      <c r="D9" t="n">
        <v>0.9858551742857142</v>
      </c>
      <c r="E9" t="n">
        <v>0.9830973596358119</v>
      </c>
      <c r="F9" t="n">
        <v>1.010535321849501</v>
      </c>
      <c r="G9" t="n">
        <v>0.9859835363612496</v>
      </c>
      <c r="H9" t="n">
        <v>0.9830184980988594</v>
      </c>
      <c r="I9" t="n">
        <v>0.9834555276073619</v>
      </c>
      <c r="J9" t="n">
        <v>0.985221511111111</v>
      </c>
      <c r="K9" t="n">
        <v>0.99970415979528</v>
      </c>
      <c r="L9" t="n">
        <v>0.9882033633459193</v>
      </c>
      <c r="M9" t="n">
        <v>0.9831525265643446</v>
      </c>
      <c r="N9" t="n">
        <v>0.9824929397388588</v>
      </c>
      <c r="O9" t="n">
        <v>0.9863921583271098</v>
      </c>
      <c r="P9" t="n">
        <v>0.9957269422665715</v>
      </c>
      <c r="Q9" t="n">
        <v>0.9835148457911523</v>
      </c>
      <c r="R9" t="n">
        <v>0.9771841594076655</v>
      </c>
      <c r="S9" t="n">
        <v>0.9789503966284241</v>
      </c>
      <c r="T9" t="n">
        <v>0.9881638872043663</v>
      </c>
      <c r="U9" t="n">
        <v>0.9914296809634483</v>
      </c>
      <c r="V9" t="n">
        <v>0.9803806693637366</v>
      </c>
      <c r="W9" t="n">
        <v>0.9745390944206008</v>
      </c>
      <c r="X9" t="n">
        <v>0.9736354118773944</v>
      </c>
      <c r="Y9" t="n">
        <v>0.9811779867674857</v>
      </c>
      <c r="Z9" t="n">
        <v>0.9885101589041095</v>
      </c>
      <c r="AA9" t="n">
        <v>0.9565359250260327</v>
      </c>
      <c r="AB9" t="n">
        <v>0.9542972636815922</v>
      </c>
      <c r="AC9" t="n">
        <v>0.9533801916932907</v>
      </c>
      <c r="AD9" t="n">
        <v>0.9590398365679266</v>
      </c>
      <c r="AE9" t="n">
        <v>0.9712663975782039</v>
      </c>
      <c r="AF9" t="n">
        <v>0.9519897364124097</v>
      </c>
      <c r="AG9" t="n">
        <v>0.9548879402347921</v>
      </c>
      <c r="AH9" t="n">
        <v>0.9529138939302279</v>
      </c>
      <c r="AI9" t="n">
        <v>0.960039860488291</v>
      </c>
      <c r="AJ9" t="n">
        <v>0.9646581385090428</v>
      </c>
      <c r="AK9" t="n">
        <v>0.9491698304226778</v>
      </c>
      <c r="AL9" t="n">
        <v>0.9493104706311565</v>
      </c>
      <c r="AM9" t="n">
        <v>0.9443784558672946</v>
      </c>
      <c r="AN9" t="n">
        <v>0.9518647649234021</v>
      </c>
      <c r="AO9" t="n">
        <v>0.9475320569119974</v>
      </c>
      <c r="AP9" t="n">
        <v>0.9455934857500782</v>
      </c>
      <c r="AQ9" t="n">
        <v>0.9413193534294451</v>
      </c>
      <c r="AR9" t="n">
        <v>0.942928590532228</v>
      </c>
      <c r="AS9" t="n">
        <v>0.9511063829787234</v>
      </c>
      <c r="AT9" t="n">
        <v>0.9435997343369492</v>
      </c>
      <c r="AU9" t="n">
        <v>0.9359375650364204</v>
      </c>
      <c r="AV9" t="n">
        <v>0.9378841743119266</v>
      </c>
      <c r="AW9" s="1" t="n">
        <v>0.9306988873435329</v>
      </c>
      <c r="AX9" s="1" t="n">
        <v>0.9498677948175569</v>
      </c>
      <c r="AY9" s="1" t="n">
        <v>0.933009811721029</v>
      </c>
      <c r="AZ9" s="1" t="n">
        <v>0.9365625</v>
      </c>
      <c r="BA9" s="1" t="n">
        <v>0.9323232323232322</v>
      </c>
      <c r="BB9" s="1" t="n">
        <v>0.9218982387475538</v>
      </c>
      <c r="BC9" s="1" t="n">
        <v>0.951382113821138</v>
      </c>
      <c r="BD9" s="1" t="n">
        <v>0.9340478153338829</v>
      </c>
      <c r="BF9">
        <f>AVERAGE(B9:BD9)</f>
        <v/>
      </c>
      <c r="BG9">
        <f>BF9/BF8</f>
        <v/>
      </c>
      <c r="BH9" s="2">
        <f>1-BG9</f>
        <v/>
      </c>
      <c r="BI9" s="3">
        <f>A9</f>
        <v/>
      </c>
    </row>
    <row r="10">
      <c r="A10" s="4" t="inlineStr">
        <is>
          <t>08_mcy_low_mileage</t>
        </is>
      </c>
      <c r="B10" t="n">
        <v>0.9856751460817718</v>
      </c>
      <c r="C10" t="n">
        <v>0.9845716757176105</v>
      </c>
      <c r="D10" t="n">
        <v>0.9858551742857142</v>
      </c>
      <c r="E10" t="n">
        <v>0.9830973596358119</v>
      </c>
      <c r="F10" t="n">
        <v>1.010535321849501</v>
      </c>
      <c r="G10" t="n">
        <v>0.9859835363612496</v>
      </c>
      <c r="H10" t="n">
        <v>0.9830184980988594</v>
      </c>
      <c r="I10" t="n">
        <v>0.9834555276073619</v>
      </c>
      <c r="J10" t="n">
        <v>0.985221511111111</v>
      </c>
      <c r="K10" t="n">
        <v>0.99970415979528</v>
      </c>
      <c r="L10" t="n">
        <v>0.9882033633459193</v>
      </c>
      <c r="M10" t="n">
        <v>0.9831525265643446</v>
      </c>
      <c r="N10" t="n">
        <v>0.9824929397388588</v>
      </c>
      <c r="O10" t="n">
        <v>0.9863921583271098</v>
      </c>
      <c r="P10" t="n">
        <v>0.9957269422665715</v>
      </c>
      <c r="Q10" t="n">
        <v>0.9835148457911523</v>
      </c>
      <c r="R10" t="n">
        <v>0.9771841594076655</v>
      </c>
      <c r="S10" t="n">
        <v>0.9789503966284241</v>
      </c>
      <c r="T10" t="n">
        <v>0.9881638872043663</v>
      </c>
      <c r="U10" t="n">
        <v>0.9914296809634483</v>
      </c>
      <c r="V10" t="n">
        <v>0.9803806693637366</v>
      </c>
      <c r="W10" t="n">
        <v>0.9745390944206008</v>
      </c>
      <c r="X10" t="n">
        <v>0.9736354118773944</v>
      </c>
      <c r="Y10" t="n">
        <v>0.9811779867674857</v>
      </c>
      <c r="Z10" t="n">
        <v>0.9885101589041095</v>
      </c>
      <c r="AA10" t="n">
        <v>0.9565359250260327</v>
      </c>
      <c r="AB10" t="n">
        <v>0.9542972636815922</v>
      </c>
      <c r="AC10" t="n">
        <v>0.9533801916932907</v>
      </c>
      <c r="AD10" t="n">
        <v>0.9590398365679266</v>
      </c>
      <c r="AE10" t="n">
        <v>0.9712663975782039</v>
      </c>
      <c r="AF10" t="n">
        <v>0.9519897364124097</v>
      </c>
      <c r="AG10" t="n">
        <v>0.9548879402347921</v>
      </c>
      <c r="AH10" t="n">
        <v>0.9529138939302279</v>
      </c>
      <c r="AI10" t="n">
        <v>0.960039860488291</v>
      </c>
      <c r="AJ10" t="n">
        <v>0.9646581385090428</v>
      </c>
      <c r="AK10" t="n">
        <v>0.9491698304226778</v>
      </c>
      <c r="AL10" t="n">
        <v>0.9493104706311565</v>
      </c>
      <c r="AM10" t="n">
        <v>0.9443784558672946</v>
      </c>
      <c r="AN10" t="n">
        <v>0.9518647649234021</v>
      </c>
      <c r="AO10" t="n">
        <v>0.9475320569119974</v>
      </c>
      <c r="AP10" t="n">
        <v>0.9455934857500782</v>
      </c>
      <c r="AQ10" t="n">
        <v>0.9413193534294451</v>
      </c>
      <c r="AR10" t="n">
        <v>0.942928590532228</v>
      </c>
      <c r="AS10" t="n">
        <v>0.9511063829787234</v>
      </c>
      <c r="AT10" t="n">
        <v>0.9435997343369492</v>
      </c>
      <c r="AU10" t="n">
        <v>0.9359375650364204</v>
      </c>
      <c r="AV10" t="n">
        <v>0.9378841743119266</v>
      </c>
      <c r="AW10" s="1" t="n">
        <v>0.9306988873435329</v>
      </c>
      <c r="AX10" s="1" t="n">
        <v>0.9498677948175569</v>
      </c>
      <c r="AY10" s="1" t="n">
        <v>0.933009811721029</v>
      </c>
      <c r="AZ10" s="1" t="n">
        <v>0.9365625</v>
      </c>
      <c r="BA10" s="1" t="n">
        <v>0.9323232323232322</v>
      </c>
      <c r="BB10" s="1" t="n">
        <v>0.9218982387475538</v>
      </c>
      <c r="BC10" s="1" t="n">
        <v>0.951382113821138</v>
      </c>
      <c r="BD10" s="1" t="n">
        <v>0.9340478153338829</v>
      </c>
      <c r="BF10">
        <f>AVERAGE(B10:BD10)</f>
        <v/>
      </c>
      <c r="BG10">
        <f>BF10/BF9</f>
        <v/>
      </c>
      <c r="BH10" s="2">
        <f>1-BG10</f>
        <v/>
      </c>
      <c r="BI10">
        <f>A10</f>
        <v/>
      </c>
    </row>
    <row r="11">
      <c r="A11" s="4" t="inlineStr">
        <is>
          <t>09_weekend_weekday</t>
        </is>
      </c>
      <c r="B11" t="n">
        <v>0.9899293307708689</v>
      </c>
      <c r="C11" t="n">
        <v>0.9846666521334368</v>
      </c>
      <c r="D11" t="n">
        <v>0.9888472627714286</v>
      </c>
      <c r="E11" t="n">
        <v>0.9814353810318663</v>
      </c>
      <c r="F11" t="n">
        <v>1.018941965729828</v>
      </c>
      <c r="G11" t="n">
        <v>0.9907840765817801</v>
      </c>
      <c r="H11" t="n">
        <v>0.9836910699619772</v>
      </c>
      <c r="I11" t="n">
        <v>0.9852327709579991</v>
      </c>
      <c r="J11" t="n">
        <v>0.9830715057777777</v>
      </c>
      <c r="K11" t="n">
        <v>1.004672122007393</v>
      </c>
      <c r="L11" t="n">
        <v>0.9922167224803952</v>
      </c>
      <c r="M11" t="n">
        <v>0.9837818316410861</v>
      </c>
      <c r="N11" t="n">
        <v>0.9843243331064436</v>
      </c>
      <c r="O11" t="n">
        <v>0.9876901662434653</v>
      </c>
      <c r="P11" t="n">
        <v>1.000535316339986</v>
      </c>
      <c r="Q11" t="n">
        <v>0.9872308023103593</v>
      </c>
      <c r="R11" t="n">
        <v>0.9772595557055749</v>
      </c>
      <c r="S11" t="n">
        <v>0.9806328501030203</v>
      </c>
      <c r="T11" t="n">
        <v>0.9893000452395392</v>
      </c>
      <c r="U11" t="n">
        <v>0.9980037663004437</v>
      </c>
      <c r="V11" t="n">
        <v>0.9830494649503494</v>
      </c>
      <c r="W11" t="n">
        <v>0.9751132089270387</v>
      </c>
      <c r="X11" t="n">
        <v>0.975291667816092</v>
      </c>
      <c r="Y11" t="n">
        <v>0.9851939396030245</v>
      </c>
      <c r="Z11" t="n">
        <v>0.9936632234794521</v>
      </c>
      <c r="AA11" t="n">
        <v>0.9586406803193335</v>
      </c>
      <c r="AB11" t="n">
        <v>0.9538502487562189</v>
      </c>
      <c r="AC11" t="n">
        <v>0.9545116932907347</v>
      </c>
      <c r="AD11" t="n">
        <v>0.9592226762002043</v>
      </c>
      <c r="AE11" t="n">
        <v>0.976167255297679</v>
      </c>
      <c r="AF11" t="n">
        <v>0.9521905994868205</v>
      </c>
      <c r="AG11" t="n">
        <v>0.9520199928850942</v>
      </c>
      <c r="AH11" t="n">
        <v>0.9524795926598103</v>
      </c>
      <c r="AI11" t="n">
        <v>0.9588649725959141</v>
      </c>
      <c r="AJ11" t="n">
        <v>0.9674606969563299</v>
      </c>
      <c r="AK11" t="n">
        <v>0.9502351050366995</v>
      </c>
      <c r="AL11" t="n">
        <v>0.9475421014228382</v>
      </c>
      <c r="AM11" t="n">
        <v>0.9443029490067583</v>
      </c>
      <c r="AN11" t="n">
        <v>0.9516252509244584</v>
      </c>
      <c r="AO11" t="n">
        <v>0.9514363253117865</v>
      </c>
      <c r="AP11" t="n">
        <v>0.9464125587222048</v>
      </c>
      <c r="AQ11" t="n">
        <v>0.9409775447793796</v>
      </c>
      <c r="AR11" t="n">
        <v>0.9432638405990905</v>
      </c>
      <c r="AS11" t="n">
        <v>0.9510051063829786</v>
      </c>
      <c r="AT11" t="n">
        <v>0.9480610582244852</v>
      </c>
      <c r="AU11" t="n">
        <v>0.9356987721123831</v>
      </c>
      <c r="AV11" t="n">
        <v>0.9354776949541282</v>
      </c>
      <c r="AW11" s="1" t="n">
        <v>0.9296464186369957</v>
      </c>
      <c r="AX11" s="1" t="n">
        <v>0.9491533580116339</v>
      </c>
      <c r="AY11" s="1" t="n">
        <v>0.9369182179793157</v>
      </c>
      <c r="AZ11" s="1" t="n">
        <v>0.9358949999999999</v>
      </c>
      <c r="BA11" s="1" t="n">
        <v>0.9292744107744109</v>
      </c>
      <c r="BB11" s="1" t="n">
        <v>0.9207677103718199</v>
      </c>
      <c r="BC11" s="1" t="n">
        <v>0.950969105691057</v>
      </c>
      <c r="BD11" s="1" t="n">
        <v>0.9366166529266282</v>
      </c>
      <c r="BF11">
        <f>AVERAGE(B11:BD11)</f>
        <v/>
      </c>
      <c r="BG11">
        <f>BF11/BF10</f>
        <v/>
      </c>
      <c r="BH11" s="2">
        <f>1-BG11</f>
        <v/>
      </c>
      <c r="BI11">
        <f>A11</f>
        <v/>
      </c>
    </row>
    <row r="12">
      <c r="A12" s="4" t="inlineStr">
        <is>
          <t>10_student_loans</t>
        </is>
      </c>
      <c r="B12" t="n">
        <v>0.9637578929297274</v>
      </c>
      <c r="C12" t="n">
        <v>0.9636267802999224</v>
      </c>
      <c r="D12" t="n">
        <v>0.9656426874227142</v>
      </c>
      <c r="E12" t="n">
        <v>0.957088324347496</v>
      </c>
      <c r="F12" t="n">
        <v>0.9947895997802356</v>
      </c>
      <c r="G12" t="n">
        <v>0.9726909449655025</v>
      </c>
      <c r="H12" t="n">
        <v>0.9772653680806083</v>
      </c>
      <c r="I12" t="n">
        <v>0.9726445188122321</v>
      </c>
      <c r="J12" t="n">
        <v>0.9672463354808888</v>
      </c>
      <c r="K12" t="n">
        <v>0.9951325039056013</v>
      </c>
      <c r="L12" t="n">
        <v>0.9890473030645948</v>
      </c>
      <c r="M12" t="n">
        <v>0.9866727494441558</v>
      </c>
      <c r="N12" t="n">
        <v>0.9813929760723815</v>
      </c>
      <c r="O12" t="n">
        <v>0.9864021652382374</v>
      </c>
      <c r="P12" t="n">
        <v>1.005663276159301</v>
      </c>
      <c r="Q12" t="n">
        <v>0.9800602087943695</v>
      </c>
      <c r="R12" t="n">
        <v>0.9773274847899827</v>
      </c>
      <c r="S12" t="n">
        <v>0.9768837880950596</v>
      </c>
      <c r="T12" t="n">
        <v>0.989734581302001</v>
      </c>
      <c r="U12" t="n">
        <v>1.002176804911261</v>
      </c>
      <c r="V12" t="n">
        <v>0.9753167322828612</v>
      </c>
      <c r="W12" t="n">
        <v>0.972427328613366</v>
      </c>
      <c r="X12" t="n">
        <v>0.9706634611952105</v>
      </c>
      <c r="Y12" t="n">
        <v>0.9860640009810965</v>
      </c>
      <c r="Z12" t="n">
        <v>0.9988711275139724</v>
      </c>
      <c r="AA12" t="n">
        <v>0.9548067834085385</v>
      </c>
      <c r="AB12" t="n">
        <v>0.9552870062189055</v>
      </c>
      <c r="AC12" t="n">
        <v>0.9561035925878594</v>
      </c>
      <c r="AD12" t="n">
        <v>0.9635674443309499</v>
      </c>
      <c r="AE12" t="n">
        <v>0.9860220504540868</v>
      </c>
      <c r="AF12" t="n">
        <v>0.9489095654303709</v>
      </c>
      <c r="AG12" t="n">
        <v>0.9548254343649948</v>
      </c>
      <c r="AH12" t="n">
        <v>0.9544867320024201</v>
      </c>
      <c r="AI12" t="n">
        <v>0.9674719103139012</v>
      </c>
      <c r="AJ12" t="n">
        <v>0.9784484161152772</v>
      </c>
      <c r="AK12" t="n">
        <v>0.9406435942799292</v>
      </c>
      <c r="AL12" t="n">
        <v>0.9427608018971179</v>
      </c>
      <c r="AM12" t="n">
        <v>0.9393285672742168</v>
      </c>
      <c r="AN12" t="n">
        <v>0.9547269212889592</v>
      </c>
      <c r="AO12" t="n">
        <v>0.9544623983839803</v>
      </c>
      <c r="AP12" t="n">
        <v>0.9375981534606953</v>
      </c>
      <c r="AQ12" t="n">
        <v>0.936900994320664</v>
      </c>
      <c r="AR12" t="n">
        <v>0.9384849644289917</v>
      </c>
      <c r="AS12" t="n">
        <v>0.9509522627659575</v>
      </c>
      <c r="AT12" t="n">
        <v>0.9494221483285367</v>
      </c>
      <c r="AU12" t="n">
        <v>0.9142060029136316</v>
      </c>
      <c r="AV12" t="n">
        <v>0.9168578646788991</v>
      </c>
      <c r="AW12" s="1" t="n">
        <v>0.9113791481223922</v>
      </c>
      <c r="AX12" s="1" t="n">
        <v>0.9340702665256477</v>
      </c>
      <c r="AY12" s="1" t="n">
        <v>0.9205377438345266</v>
      </c>
      <c r="AZ12" s="1" t="n">
        <v>0.9091371225</v>
      </c>
      <c r="BA12" s="1" t="n">
        <v>0.904182228956229</v>
      </c>
      <c r="BB12" s="1" t="n">
        <v>0.8947651252446184</v>
      </c>
      <c r="BC12" s="1" t="n">
        <v>0.9239694373983739</v>
      </c>
      <c r="BD12" s="1" t="n">
        <v>0.9096316900247322</v>
      </c>
      <c r="BF12">
        <f>AVERAGE(B12:BD12)</f>
        <v/>
      </c>
      <c r="BG12">
        <f>BF12/BF11</f>
        <v/>
      </c>
      <c r="BH12" s="2">
        <f>1-BG12</f>
        <v/>
      </c>
      <c r="BI12" s="3">
        <f>A12</f>
        <v/>
      </c>
    </row>
    <row r="13">
      <c r="A13" s="4" t="inlineStr">
        <is>
          <t>11_low_pti</t>
        </is>
      </c>
      <c r="B13" t="n">
        <v>0.95651152534339</v>
      </c>
      <c r="C13" t="n">
        <v>0.9568578707790536</v>
      </c>
      <c r="D13" t="n">
        <v>0.9599240026343568</v>
      </c>
      <c r="E13" t="n">
        <v>0.9533496793887403</v>
      </c>
      <c r="F13" t="n">
        <v>0.9947895997802356</v>
      </c>
      <c r="G13" t="n">
        <v>0.9663913472757335</v>
      </c>
      <c r="H13" t="n">
        <v>0.9721594768874143</v>
      </c>
      <c r="I13" t="n">
        <v>0.9683992162288404</v>
      </c>
      <c r="J13" t="n">
        <v>0.9646419060408886</v>
      </c>
      <c r="K13" t="n">
        <v>0.9951325039056013</v>
      </c>
      <c r="L13" t="n">
        <v>0.9829783050480103</v>
      </c>
      <c r="M13" t="n">
        <v>0.979697893568052</v>
      </c>
      <c r="N13" t="n">
        <v>0.9764863721951801</v>
      </c>
      <c r="O13" t="n">
        <v>0.9803368600859597</v>
      </c>
      <c r="P13" t="n">
        <v>1.005663276159301</v>
      </c>
      <c r="Q13" t="n">
        <v>0.9727783647577201</v>
      </c>
      <c r="R13" t="n">
        <v>0.9690569193910846</v>
      </c>
      <c r="S13" t="n">
        <v>0.9710206990670895</v>
      </c>
      <c r="T13" t="n">
        <v>0.9817057357288053</v>
      </c>
      <c r="U13" t="n">
        <v>1.002176804911261</v>
      </c>
      <c r="V13" t="n">
        <v>0.9675067821965426</v>
      </c>
      <c r="W13" t="n">
        <v>0.9650619476516247</v>
      </c>
      <c r="X13" t="n">
        <v>0.9646992988688312</v>
      </c>
      <c r="Y13" t="n">
        <v>0.9781864123675802</v>
      </c>
      <c r="Z13" t="n">
        <v>0.9988711275139724</v>
      </c>
      <c r="AA13" t="n">
        <v>0.9474598064213815</v>
      </c>
      <c r="AB13" t="n">
        <v>0.9474925230099502</v>
      </c>
      <c r="AC13" t="n">
        <v>0.9504522308115017</v>
      </c>
      <c r="AD13" t="n">
        <v>0.9564535152196117</v>
      </c>
      <c r="AE13" t="n">
        <v>0.9860220504540868</v>
      </c>
      <c r="AF13" t="n">
        <v>0.9410647244646606</v>
      </c>
      <c r="AG13" t="n">
        <v>0.9473214091782285</v>
      </c>
      <c r="AH13" t="n">
        <v>0.9481678529219602</v>
      </c>
      <c r="AI13" t="n">
        <v>0.9613123680717488</v>
      </c>
      <c r="AJ13" t="n">
        <v>0.9784484161152772</v>
      </c>
      <c r="AK13" t="n">
        <v>0.934191532100734</v>
      </c>
      <c r="AL13" t="n">
        <v>0.9344713294053265</v>
      </c>
      <c r="AM13" t="n">
        <v>0.9341023288961703</v>
      </c>
      <c r="AN13" t="n">
        <v>0.9469566987216059</v>
      </c>
      <c r="AO13" t="n">
        <v>0.9544623983839803</v>
      </c>
      <c r="AP13" t="n">
        <v>0.9316577591293452</v>
      </c>
      <c r="AQ13" t="n">
        <v>0.9300321266142421</v>
      </c>
      <c r="AR13" t="n">
        <v>0.932790917539449</v>
      </c>
      <c r="AS13" t="n">
        <v>0.9439143096170213</v>
      </c>
      <c r="AT13" t="n">
        <v>0.9494221483285367</v>
      </c>
      <c r="AU13" t="n">
        <v>0.9090226059354839</v>
      </c>
      <c r="AV13" t="n">
        <v>0.9109462188073394</v>
      </c>
      <c r="AW13" s="1" t="n">
        <v>0.9057337879694021</v>
      </c>
      <c r="AX13" s="1" t="n">
        <v>0.9277210551031201</v>
      </c>
      <c r="AY13" s="1" t="n">
        <v>0.9205377438345266</v>
      </c>
      <c r="AZ13" s="1" t="n">
        <v>0.9035285478749999</v>
      </c>
      <c r="BA13" s="1" t="n">
        <v>0.8986423845117844</v>
      </c>
      <c r="BB13" s="1" t="n">
        <v>0.8889078248532288</v>
      </c>
      <c r="BC13" s="1" t="n">
        <v>0.9188202471544714</v>
      </c>
      <c r="BD13" s="1" t="n">
        <v>0.9096316900247322</v>
      </c>
      <c r="BF13">
        <f>AVERAGE(B13:BD13)</f>
        <v/>
      </c>
      <c r="BG13">
        <f>BF13/BF12</f>
        <v/>
      </c>
      <c r="BH13" s="2">
        <f>1-BG13</f>
        <v/>
      </c>
      <c r="BI13" s="3">
        <f>A13</f>
        <v/>
      </c>
    </row>
    <row r="14">
      <c r="A14" s="4" t="inlineStr">
        <is>
          <t>12_chime</t>
        </is>
      </c>
      <c r="B14" t="n">
        <v>0.9493779944199678</v>
      </c>
      <c r="C14" t="n">
        <v>0.9415455443930387</v>
      </c>
      <c r="D14" t="n">
        <v>0.946146664604313</v>
      </c>
      <c r="E14" t="n">
        <v>0.9407280380408373</v>
      </c>
      <c r="F14" t="n">
        <v>0.9867749019650786</v>
      </c>
      <c r="G14" t="n">
        <v>0.9639422096072625</v>
      </c>
      <c r="H14" t="n">
        <v>0.9601613480914059</v>
      </c>
      <c r="I14" t="n">
        <v>0.9546608286869581</v>
      </c>
      <c r="J14" t="n">
        <v>0.947215778475792</v>
      </c>
      <c r="K14" t="n">
        <v>0.9905452738144674</v>
      </c>
      <c r="L14" t="n">
        <v>0.9960284159305275</v>
      </c>
      <c r="M14" t="n">
        <v>0.9759046887805991</v>
      </c>
      <c r="N14" t="n">
        <v>0.9791428919686407</v>
      </c>
      <c r="O14" t="n">
        <v>0.9772724482363961</v>
      </c>
      <c r="P14" t="n">
        <v>1.016237569985734</v>
      </c>
      <c r="Q14" t="n">
        <v>0.9744881902112572</v>
      </c>
      <c r="R14" t="n">
        <v>0.9623192140718851</v>
      </c>
      <c r="S14" t="n">
        <v>0.9655925162331208</v>
      </c>
      <c r="T14" t="n">
        <v>0.97385396804248</v>
      </c>
      <c r="U14" t="n">
        <v>1.005377292412977</v>
      </c>
      <c r="V14" t="n">
        <v>0.9638858249896264</v>
      </c>
      <c r="W14" t="n">
        <v>0.9581358546525938</v>
      </c>
      <c r="X14" t="n">
        <v>0.9584205452318917</v>
      </c>
      <c r="Y14" t="n">
        <v>0.9696851853281082</v>
      </c>
      <c r="Z14" t="n">
        <v>1.001732097097326</v>
      </c>
      <c r="AA14" t="n">
        <v>0.9485663728786879</v>
      </c>
      <c r="AB14" t="n">
        <v>0.9499365485932836</v>
      </c>
      <c r="AC14" t="n">
        <v>0.9503671187130095</v>
      </c>
      <c r="AD14" t="n">
        <v>0.9615992587562819</v>
      </c>
      <c r="AE14" t="n">
        <v>0.9990039402593339</v>
      </c>
      <c r="AF14" t="n">
        <v>0.9640984823700769</v>
      </c>
      <c r="AG14" t="n">
        <v>0.9603847732384204</v>
      </c>
      <c r="AH14" t="n">
        <v>0.9640172965118451</v>
      </c>
      <c r="AI14" t="n">
        <v>0.9896549614744993</v>
      </c>
      <c r="AJ14" t="n">
        <v>1.014337655288046</v>
      </c>
      <c r="AK14" t="n">
        <v>0.939670734908322</v>
      </c>
      <c r="AL14" t="n">
        <v>0.9324725283834001</v>
      </c>
      <c r="AM14" t="n">
        <v>0.9339920545845095</v>
      </c>
      <c r="AN14" t="n">
        <v>0.9563666156893185</v>
      </c>
      <c r="AO14" t="n">
        <v>0.9704151209457229</v>
      </c>
      <c r="AP14" t="n">
        <v>0.9402228427998434</v>
      </c>
      <c r="AQ14" t="n">
        <v>0.9316276940873396</v>
      </c>
      <c r="AR14" t="n">
        <v>0.9359861453272746</v>
      </c>
      <c r="AS14" t="n">
        <v>0.9589601949506807</v>
      </c>
      <c r="AT14" t="n">
        <v>0.964810164640248</v>
      </c>
      <c r="AU14" t="n">
        <v>0.9102330972082164</v>
      </c>
      <c r="AV14" t="n">
        <v>0.9102681551442662</v>
      </c>
      <c r="AW14" s="1" t="n">
        <v>0.9041971721766342</v>
      </c>
      <c r="AX14" s="1" t="n">
        <v>0.9408595879586462</v>
      </c>
      <c r="AY14" s="1" t="n">
        <v>0.9292210337661099</v>
      </c>
      <c r="AZ14" s="1" t="n">
        <v>0.9016490239391248</v>
      </c>
      <c r="BA14" s="1" t="n">
        <v>0.8968863521474748</v>
      </c>
      <c r="BB14" s="1" t="n">
        <v>0.8849154898561644</v>
      </c>
      <c r="BC14" s="1" t="n">
        <v>0.9261049361951218</v>
      </c>
      <c r="BD14" s="1" t="n">
        <v>0.913175056075845</v>
      </c>
      <c r="BF14">
        <f>AVERAGE(B14:BD14)</f>
        <v/>
      </c>
      <c r="BG14">
        <f>BF14/BF13</f>
        <v/>
      </c>
      <c r="BH14" s="2">
        <f>1-BG14</f>
        <v/>
      </c>
      <c r="BI14" s="3">
        <f>A14</f>
        <v/>
      </c>
    </row>
    <row r="15">
      <c r="A15" s="4" t="inlineStr">
        <is>
          <t>13_employment_type</t>
        </is>
      </c>
      <c r="B15" t="n">
        <v>0.9493779944199678</v>
      </c>
      <c r="C15" t="n">
        <v>0.9415455443930387</v>
      </c>
      <c r="D15" t="n">
        <v>0.946146664604313</v>
      </c>
      <c r="E15" t="n">
        <v>0.9407280380408373</v>
      </c>
      <c r="F15" t="n">
        <v>0.9867749019650786</v>
      </c>
      <c r="G15" t="n">
        <v>0.9639422096072625</v>
      </c>
      <c r="H15" t="n">
        <v>0.9601613480914059</v>
      </c>
      <c r="I15" t="n">
        <v>0.9546608286869581</v>
      </c>
      <c r="J15" t="n">
        <v>0.947215778475792</v>
      </c>
      <c r="K15" t="n">
        <v>0.9905452738144674</v>
      </c>
      <c r="L15" t="n">
        <v>0.9960284159305275</v>
      </c>
      <c r="M15" t="n">
        <v>0.9759046887805991</v>
      </c>
      <c r="N15" t="n">
        <v>0.9791428919686407</v>
      </c>
      <c r="O15" t="n">
        <v>0.9772724482363961</v>
      </c>
      <c r="P15" t="n">
        <v>1.016237569985734</v>
      </c>
      <c r="Q15" t="n">
        <v>0.9744881902112572</v>
      </c>
      <c r="R15" t="n">
        <v>0.9623192140718851</v>
      </c>
      <c r="S15" t="n">
        <v>0.9655925162331208</v>
      </c>
      <c r="T15" t="n">
        <v>0.97385396804248</v>
      </c>
      <c r="U15" t="n">
        <v>1.005377292412977</v>
      </c>
      <c r="V15" t="n">
        <v>0.9638858249896264</v>
      </c>
      <c r="W15" t="n">
        <v>0.9581358546525938</v>
      </c>
      <c r="X15" t="n">
        <v>0.9584205452318917</v>
      </c>
      <c r="Y15" t="n">
        <v>0.9696851853281082</v>
      </c>
      <c r="Z15" t="n">
        <v>1.001732097097326</v>
      </c>
      <c r="AA15" t="n">
        <v>0.9485663728786879</v>
      </c>
      <c r="AB15" t="n">
        <v>0.9499365485932836</v>
      </c>
      <c r="AC15" t="n">
        <v>0.9503671187130095</v>
      </c>
      <c r="AD15" t="n">
        <v>0.9615992587562819</v>
      </c>
      <c r="AE15" t="n">
        <v>0.9990039402593339</v>
      </c>
      <c r="AF15" t="n">
        <v>0.9636280971582505</v>
      </c>
      <c r="AG15" t="n">
        <v>0.9595010454722732</v>
      </c>
      <c r="AH15" t="n">
        <v>0.9631912161943619</v>
      </c>
      <c r="AI15" t="n">
        <v>0.9889856807484902</v>
      </c>
      <c r="AJ15" t="n">
        <v>1.013551014734892</v>
      </c>
      <c r="AK15" t="n">
        <v>0.9394657075480713</v>
      </c>
      <c r="AL15" t="n">
        <v>0.9317424301036482</v>
      </c>
      <c r="AM15" t="n">
        <v>0.9335365016085931</v>
      </c>
      <c r="AN15" t="n">
        <v>0.9553187953428843</v>
      </c>
      <c r="AO15" t="n">
        <v>0.9696385361208502</v>
      </c>
      <c r="AP15" t="n">
        <v>0.9407066452024115</v>
      </c>
      <c r="AQ15" t="n">
        <v>0.9308611032212843</v>
      </c>
      <c r="AR15" t="n">
        <v>0.9356322265299493</v>
      </c>
      <c r="AS15" t="n">
        <v>0.9579128874991915</v>
      </c>
      <c r="AT15" t="n">
        <v>0.9643641623816691</v>
      </c>
      <c r="AU15" t="n">
        <v>0.9107703783556669</v>
      </c>
      <c r="AV15" t="n">
        <v>0.910308206503211</v>
      </c>
      <c r="AW15" s="1" t="n">
        <v>0.9037383472241725</v>
      </c>
      <c r="AX15" s="1" t="n">
        <v>0.9401043272741407</v>
      </c>
      <c r="AY15" s="1" t="n">
        <v>0.9287340409928401</v>
      </c>
      <c r="AZ15" s="1" t="n">
        <v>0.9016308894285</v>
      </c>
      <c r="BA15" s="1" t="n">
        <v>0.8965673998484849</v>
      </c>
      <c r="BB15" s="1" t="n">
        <v>0.8847831535273972</v>
      </c>
      <c r="BC15" s="1" t="n">
        <v>0.9259877474208781</v>
      </c>
      <c r="BD15" s="1" t="n">
        <v>0.9126302110931573</v>
      </c>
      <c r="BF15">
        <f>AVERAGE(B15:BD15)</f>
        <v/>
      </c>
      <c r="BG15">
        <f>BF15/BF14</f>
        <v/>
      </c>
      <c r="BH15" s="2">
        <f>1-BG15</f>
        <v/>
      </c>
      <c r="BI15">
        <f>A15</f>
        <v/>
      </c>
    </row>
    <row r="16">
      <c r="A16" s="4" t="inlineStr">
        <is>
          <t>14_auth_tradelines</t>
        </is>
      </c>
      <c r="B16" t="n">
        <v>0.951351111747613</v>
      </c>
      <c r="C16" t="n">
        <v>0.9439176943528687</v>
      </c>
      <c r="D16" t="n">
        <v>0.947309511369177</v>
      </c>
      <c r="E16" t="n">
        <v>0.942080191457448</v>
      </c>
      <c r="F16" t="n">
        <v>0.9888339838962125</v>
      </c>
      <c r="G16" t="n">
        <v>0.9657179601061657</v>
      </c>
      <c r="H16" t="n">
        <v>0.9616075668957474</v>
      </c>
      <c r="I16" t="n">
        <v>0.956581887991921</v>
      </c>
      <c r="J16" t="n">
        <v>0.9486456845026185</v>
      </c>
      <c r="K16" t="n">
        <v>0.9924333912219382</v>
      </c>
      <c r="L16" t="n">
        <v>0.9978001943191401</v>
      </c>
      <c r="M16" t="n">
        <v>0.9780635352561581</v>
      </c>
      <c r="N16" t="n">
        <v>0.9808538218275306</v>
      </c>
      <c r="O16" t="n">
        <v>0.9794187404388174</v>
      </c>
      <c r="P16" t="n">
        <v>1.01772503092121</v>
      </c>
      <c r="Q16" t="n">
        <v>0.9762526512302045</v>
      </c>
      <c r="R16" t="n">
        <v>0.9646709168695407</v>
      </c>
      <c r="S16" t="n">
        <v>0.9676916685915963</v>
      </c>
      <c r="T16" t="n">
        <v>0.9763695489431252</v>
      </c>
      <c r="U16" t="n">
        <v>1.006933769468155</v>
      </c>
      <c r="V16" t="n">
        <v>0.9658560909929447</v>
      </c>
      <c r="W16" t="n">
        <v>0.961039821837229</v>
      </c>
      <c r="X16" t="n">
        <v>0.960548016140122</v>
      </c>
      <c r="Y16" t="n">
        <v>0.9716199841180343</v>
      </c>
      <c r="Z16" t="n">
        <v>1.003590056242402</v>
      </c>
      <c r="AA16" t="n">
        <v>0.9503151279880944</v>
      </c>
      <c r="AB16" t="n">
        <v>0.9516892265451493</v>
      </c>
      <c r="AC16" t="n">
        <v>0.9522815317484089</v>
      </c>
      <c r="AD16" t="n">
        <v>0.9648174884641471</v>
      </c>
      <c r="AE16" t="n">
        <v>1.000702201634712</v>
      </c>
      <c r="AF16" t="n">
        <v>0.965554996007201</v>
      </c>
      <c r="AG16" t="n">
        <v>0.9614689063019424</v>
      </c>
      <c r="AH16" t="n">
        <v>0.9651236804922928</v>
      </c>
      <c r="AI16" t="n">
        <v>0.9907361061275037</v>
      </c>
      <c r="AJ16" t="n">
        <v>1.014955821028143</v>
      </c>
      <c r="AK16" t="n">
        <v>0.9412833630503493</v>
      </c>
      <c r="AL16" t="n">
        <v>0.9335697957809923</v>
      </c>
      <c r="AM16" t="n">
        <v>0.9353104815448617</v>
      </c>
      <c r="AN16" t="n">
        <v>0.9576624880479557</v>
      </c>
      <c r="AO16" t="n">
        <v>0.9713572953188127</v>
      </c>
      <c r="AP16" t="n">
        <v>0.9425628013505167</v>
      </c>
      <c r="AQ16" t="n">
        <v>0.9332927284561469</v>
      </c>
      <c r="AR16" t="n">
        <v>0.9379970108076171</v>
      </c>
      <c r="AS16" t="n">
        <v>0.9600543465391915</v>
      </c>
      <c r="AT16" t="n">
        <v>0.9658940477055569</v>
      </c>
      <c r="AU16" t="n">
        <v>0.9131115314321706</v>
      </c>
      <c r="AV16" t="n">
        <v>0.9125603298866973</v>
      </c>
      <c r="AW16" s="1" t="n">
        <v>0.9053669167638109</v>
      </c>
      <c r="AX16" s="1" t="n">
        <v>0.9421043722515071</v>
      </c>
      <c r="AY16" s="1" t="n">
        <v>0.9304132877371519</v>
      </c>
      <c r="AZ16" s="1" t="n">
        <v>0.9028537356667501</v>
      </c>
      <c r="BA16" s="1" t="n">
        <v>0.8975863412020203</v>
      </c>
      <c r="BB16" s="1" t="n">
        <v>0.8865180172479453</v>
      </c>
      <c r="BC16" s="1" t="n">
        <v>0.9281282077486829</v>
      </c>
      <c r="BD16" s="1" t="n">
        <v>0.9140677319010717</v>
      </c>
      <c r="BF16">
        <f>AVERAGE(B16:BD16)</f>
        <v/>
      </c>
      <c r="BG16">
        <f>BF16/BF15</f>
        <v/>
      </c>
      <c r="BH16" s="2">
        <f>1-BG16</f>
        <v/>
      </c>
      <c r="BI16">
        <f>A16</f>
        <v/>
      </c>
    </row>
    <row r="17">
      <c r="A17" s="4" t="inlineStr">
        <is>
          <t>15_fraud</t>
        </is>
      </c>
      <c r="B17" t="n">
        <v>0.9583601102118039</v>
      </c>
      <c r="C17" t="n">
        <v>0.9553397266763864</v>
      </c>
      <c r="D17" t="n">
        <v>0.9560544921457027</v>
      </c>
      <c r="E17" t="n">
        <v>0.9374074788727874</v>
      </c>
      <c r="F17" t="n">
        <v>0.9930171943686021</v>
      </c>
      <c r="G17" t="n">
        <v>0.969959340535557</v>
      </c>
      <c r="H17" t="n">
        <v>0.9766805550801689</v>
      </c>
      <c r="I17" t="n">
        <v>0.9734879300404418</v>
      </c>
      <c r="J17" t="n">
        <v>0.9535196652631551</v>
      </c>
      <c r="K17" t="n">
        <v>0.9855814905183599</v>
      </c>
      <c r="L17" t="n">
        <v>0.9969217713479427</v>
      </c>
      <c r="M17" t="n">
        <v>0.9798839602855735</v>
      </c>
      <c r="N17" t="n">
        <v>0.9907990426454735</v>
      </c>
      <c r="O17" t="n">
        <v>0.9775983200765895</v>
      </c>
      <c r="P17" t="n">
        <v>1.00300506700852</v>
      </c>
      <c r="Q17" t="n">
        <v>0.9697725605176678</v>
      </c>
      <c r="R17" t="n">
        <v>0.9714721807787282</v>
      </c>
      <c r="S17" t="n">
        <v>0.9795870502156304</v>
      </c>
      <c r="T17" t="n">
        <v>0.9672058535031168</v>
      </c>
      <c r="U17" t="n">
        <v>0.9926562067914424</v>
      </c>
      <c r="V17" t="n">
        <v>0.9622704609368994</v>
      </c>
      <c r="W17" t="n">
        <v>0.9641827939877075</v>
      </c>
      <c r="X17" t="n">
        <v>0.9664581955282289</v>
      </c>
      <c r="Y17" t="n">
        <v>0.9603284482882039</v>
      </c>
      <c r="Z17" t="n">
        <v>0.9906057799965925</v>
      </c>
      <c r="AA17" t="n">
        <v>0.9465014394782333</v>
      </c>
      <c r="AB17" t="n">
        <v>0.9513808047000746</v>
      </c>
      <c r="AC17" t="n">
        <v>0.9568144788661228</v>
      </c>
      <c r="AD17" t="n">
        <v>0.9486340223151788</v>
      </c>
      <c r="AE17" t="n">
        <v>0.9921623580712916</v>
      </c>
      <c r="AF17" t="n">
        <v>0.9682951499847954</v>
      </c>
      <c r="AG17" t="n">
        <v>0.9563634694888217</v>
      </c>
      <c r="AH17" t="n">
        <v>0.9576040315133794</v>
      </c>
      <c r="AI17" t="n">
        <v>0.982155218153175</v>
      </c>
      <c r="AJ17" t="n">
        <v>1.014964842876215</v>
      </c>
      <c r="AK17" t="n">
        <v>0.9404957691543026</v>
      </c>
      <c r="AL17" t="n">
        <v>0.9217644569828558</v>
      </c>
      <c r="AM17" t="n">
        <v>0.9270056315894156</v>
      </c>
      <c r="AN17" t="n">
        <v>0.9493624147578194</v>
      </c>
      <c r="AO17" t="n">
        <v>0.9653426063607307</v>
      </c>
      <c r="AP17" t="n">
        <v>0.9336338764707143</v>
      </c>
      <c r="AQ17" t="n">
        <v>0.916405280536521</v>
      </c>
      <c r="AR17" t="n">
        <v>0.9229955827330879</v>
      </c>
      <c r="AS17" t="n">
        <v>0.9493480236686586</v>
      </c>
      <c r="AT17" t="n">
        <v>0.9594258492735488</v>
      </c>
      <c r="AU17" t="n">
        <v>0.9072528619024793</v>
      </c>
      <c r="AV17" t="n">
        <v>0.9007077540774668</v>
      </c>
      <c r="AW17" s="1" t="n">
        <v>0.8936307419664492</v>
      </c>
      <c r="AX17" s="1" t="n">
        <v>0.935132950634773</v>
      </c>
      <c r="AY17" s="1" t="n">
        <v>0.928874906114988</v>
      </c>
      <c r="AZ17" s="1" t="n">
        <v>0.900945647623455</v>
      </c>
      <c r="BA17" s="1" t="n">
        <v>0.8829747608589091</v>
      </c>
      <c r="BB17" s="1" t="n">
        <v>0.8747404541149314</v>
      </c>
      <c r="BC17" s="1" t="n">
        <v>0.9220150038065367</v>
      </c>
      <c r="BD17" s="1" t="n">
        <v>0.9077972001647486</v>
      </c>
      <c r="BF17">
        <f>AVERAGE(B17:BD17)</f>
        <v/>
      </c>
      <c r="BG17">
        <f>BF17/BF16</f>
        <v/>
      </c>
      <c r="BH17" s="2">
        <f>1-BG17</f>
        <v/>
      </c>
      <c r="BI17" s="3">
        <f>A17</f>
        <v/>
      </c>
    </row>
    <row r="18">
      <c r="A18" s="4" t="inlineStr">
        <is>
          <t>16_driver_flag</t>
        </is>
      </c>
      <c r="B18" t="n">
        <v>0.9620372456416325</v>
      </c>
      <c r="C18" t="n">
        <v>0.9581308384507993</v>
      </c>
      <c r="D18" t="n">
        <v>0.9591310454211189</v>
      </c>
      <c r="E18" t="n">
        <v>0.9414208353903712</v>
      </c>
      <c r="F18" t="n">
        <v>0.9949291041880891</v>
      </c>
      <c r="G18" t="n">
        <v>0.9730167281414455</v>
      </c>
      <c r="H18" t="n">
        <v>0.9801034317408557</v>
      </c>
      <c r="I18" t="n">
        <v>0.9777972842683624</v>
      </c>
      <c r="J18" t="n">
        <v>0.9558431769897696</v>
      </c>
      <c r="K18" t="n">
        <v>0.9868417396499262</v>
      </c>
      <c r="L18" t="n">
        <v>1.000066875042808</v>
      </c>
      <c r="M18" t="n">
        <v>0.9828302520393823</v>
      </c>
      <c r="N18" t="n">
        <v>0.9934708538571145</v>
      </c>
      <c r="O18" t="n">
        <v>0.9797791132424777</v>
      </c>
      <c r="P18" t="n">
        <v>1.004570158880129</v>
      </c>
      <c r="Q18" t="n">
        <v>0.974258385974226</v>
      </c>
      <c r="R18" t="n">
        <v>0.9746281586393123</v>
      </c>
      <c r="S18" t="n">
        <v>0.9825116870184083</v>
      </c>
      <c r="T18" t="n">
        <v>0.9696604560705802</v>
      </c>
      <c r="U18" t="n">
        <v>0.9941449243849518</v>
      </c>
      <c r="V18" t="n">
        <v>0.9692096299417854</v>
      </c>
      <c r="W18" t="n">
        <v>0.9675491743866803</v>
      </c>
      <c r="X18" t="n">
        <v>0.9693440035803422</v>
      </c>
      <c r="Y18" t="n">
        <v>0.9619768295153355</v>
      </c>
      <c r="Z18" t="n">
        <v>0.9924619134823519</v>
      </c>
      <c r="AA18" t="n">
        <v>0.954815947698325</v>
      </c>
      <c r="AB18" t="n">
        <v>0.9548953812438433</v>
      </c>
      <c r="AC18" t="n">
        <v>0.9596088423851195</v>
      </c>
      <c r="AD18" t="n">
        <v>0.9508571555234525</v>
      </c>
      <c r="AE18" t="n">
        <v>0.9938264197256609</v>
      </c>
      <c r="AF18" t="n">
        <v>0.9746002709597299</v>
      </c>
      <c r="AG18" t="n">
        <v>0.9603243909790992</v>
      </c>
      <c r="AH18" t="n">
        <v>0.960577256606147</v>
      </c>
      <c r="AI18" t="n">
        <v>0.9848065440909327</v>
      </c>
      <c r="AJ18" t="n">
        <v>1.016715154276474</v>
      </c>
      <c r="AK18" t="n">
        <v>0.9475697146482588</v>
      </c>
      <c r="AL18" t="n">
        <v>0.9262312291135119</v>
      </c>
      <c r="AM18" t="n">
        <v>0.9302946595313076</v>
      </c>
      <c r="AN18" t="n">
        <v>0.9524148262775023</v>
      </c>
      <c r="AO18" t="n">
        <v>0.9672416748726577</v>
      </c>
      <c r="AP18" t="n">
        <v>0.9396784494070334</v>
      </c>
      <c r="AQ18" t="n">
        <v>0.9207543074855852</v>
      </c>
      <c r="AR18" t="n">
        <v>0.9266362664947655</v>
      </c>
      <c r="AS18" t="n">
        <v>0.95359008096345</v>
      </c>
      <c r="AT18" t="n">
        <v>0.9615862003053011</v>
      </c>
      <c r="AU18" t="n">
        <v>0.9136896822805117</v>
      </c>
      <c r="AV18" t="n">
        <v>0.9043988689875069</v>
      </c>
      <c r="AW18" s="1" t="n">
        <v>0.8971921320699304</v>
      </c>
      <c r="AX18" s="1" t="n">
        <v>0.9388595747940753</v>
      </c>
      <c r="AY18" s="1" t="n">
        <v>0.9309148317811264</v>
      </c>
      <c r="AZ18" s="1" t="n">
        <v>0.907540755455355</v>
      </c>
      <c r="BA18" s="1" t="n">
        <v>0.8864312338152726</v>
      </c>
      <c r="BB18" s="1" t="n">
        <v>0.879441056849589</v>
      </c>
      <c r="BC18" s="1" t="n">
        <v>0.9259879879900487</v>
      </c>
      <c r="BD18" s="1" t="n">
        <v>0.9103899184169825</v>
      </c>
      <c r="BF18">
        <f>AVERAGE(B18:BD18)</f>
        <v/>
      </c>
      <c r="BG18">
        <f>BF18/BF17</f>
        <v/>
      </c>
      <c r="BH18" s="2">
        <f>1-BG18</f>
        <v/>
      </c>
      <c r="BI18" s="3">
        <f>A18</f>
        <v/>
      </c>
    </row>
    <row r="19">
      <c r="A19" s="4" t="inlineStr">
        <is>
          <t>17_pricing_scalar</t>
        </is>
      </c>
      <c r="B19" t="n">
        <v>0.9561137556531094</v>
      </c>
      <c r="C19" t="n">
        <v>0.9721120904562042</v>
      </c>
      <c r="D19" t="n">
        <v>0.9408632944447105</v>
      </c>
      <c r="E19" t="n">
        <v>0.9245919818026507</v>
      </c>
      <c r="F19" t="n">
        <v>1.032953699222971</v>
      </c>
      <c r="G19" t="n">
        <v>0.9854133671864435</v>
      </c>
      <c r="H19" t="n">
        <v>0.9833125546773935</v>
      </c>
      <c r="I19" t="n">
        <v>0.9619568482883625</v>
      </c>
      <c r="J19" t="n">
        <v>0.9296137432884044</v>
      </c>
      <c r="K19" t="n">
        <v>1.000560790596551</v>
      </c>
      <c r="L19" t="n">
        <v>1.028868340997342</v>
      </c>
      <c r="M19" t="n">
        <v>0.9769601488176675</v>
      </c>
      <c r="N19" t="n">
        <v>0.96925981169078</v>
      </c>
      <c r="O19" t="n">
        <v>0.936937492905202</v>
      </c>
      <c r="P19" t="n">
        <v>1.034295953244121</v>
      </c>
      <c r="Q19" t="n">
        <v>0.9998624652731695</v>
      </c>
      <c r="R19" t="n">
        <v>0.9551665373175675</v>
      </c>
      <c r="S19" t="n">
        <v>0.9273068181900014</v>
      </c>
      <c r="T19" t="n">
        <v>0.8903037423223673</v>
      </c>
      <c r="U19" t="n">
        <v>1.023679618402558</v>
      </c>
      <c r="V19" t="n">
        <v>0.9799242441578483</v>
      </c>
      <c r="W19" t="n">
        <v>0.9670689980296707</v>
      </c>
      <c r="X19" t="n">
        <v>0.9224249068451498</v>
      </c>
      <c r="Y19" t="n">
        <v>0.8599698861196945</v>
      </c>
      <c r="Z19" t="n">
        <v>1.02691371125308</v>
      </c>
      <c r="AA19" t="n">
        <v>0.9844008308831177</v>
      </c>
      <c r="AB19" t="n">
        <v>0.9610598238410852</v>
      </c>
      <c r="AC19" t="n">
        <v>0.9242765350320844</v>
      </c>
      <c r="AD19" t="n">
        <v>0.8787287570387998</v>
      </c>
      <c r="AE19" t="n">
        <v>1.016396363878692</v>
      </c>
      <c r="AF19" t="n">
        <v>0.9832425692003617</v>
      </c>
      <c r="AG19" t="n">
        <v>0.9424281312423815</v>
      </c>
      <c r="AH19" t="n">
        <v>0.932844521409473</v>
      </c>
      <c r="AI19" t="n">
        <v>0.9005620344573096</v>
      </c>
      <c r="AJ19" t="n">
        <v>1.050028830188007</v>
      </c>
      <c r="AK19" t="n">
        <v>0.9558366427707613</v>
      </c>
      <c r="AL19" t="n">
        <v>0.9003702676179507</v>
      </c>
      <c r="AM19" t="n">
        <v>0.9198000369853944</v>
      </c>
      <c r="AN19" t="n">
        <v>0.8964100060874496</v>
      </c>
      <c r="AO19" t="n">
        <v>0.9973903693728529</v>
      </c>
      <c r="AP19" t="n">
        <v>0.9259529296116898</v>
      </c>
      <c r="AQ19" t="n">
        <v>0.8807551505221523</v>
      </c>
      <c r="AR19" t="n">
        <v>0.9088501185686479</v>
      </c>
      <c r="AS19" t="n">
        <v>0.8703325668268029</v>
      </c>
      <c r="AT19" t="n">
        <v>0.9997465795580225</v>
      </c>
      <c r="AU19" t="n">
        <v>0.8767506796009877</v>
      </c>
      <c r="AV19" t="n">
        <v>0.8605793868137668</v>
      </c>
      <c r="AW19" s="1" t="n">
        <v>0.8785870980195023</v>
      </c>
      <c r="AX19" s="1" t="n">
        <v>0.9195426344242562</v>
      </c>
      <c r="AY19" s="1" t="n">
        <v>0.9362218848955258</v>
      </c>
      <c r="AZ19" s="1" t="n">
        <v>0.9055864304376618</v>
      </c>
      <c r="BA19" s="1" t="n">
        <v>0.909055817184229</v>
      </c>
      <c r="BB19" s="1" t="n">
        <v>0.9032643193222113</v>
      </c>
      <c r="BC19" s="1" t="n">
        <v>0.9392154145033821</v>
      </c>
      <c r="BD19" s="1" t="n">
        <v>0.9250730262601484</v>
      </c>
      <c r="BF19">
        <f>AVERAGE(B19:BD19)</f>
        <v/>
      </c>
      <c r="BG19">
        <f>BF19/BF18</f>
        <v/>
      </c>
      <c r="BH19" s="2">
        <f>1-BG19</f>
        <v/>
      </c>
      <c r="BI19" s="3">
        <f>A19</f>
        <v/>
      </c>
    </row>
    <row r="20">
      <c r="A20" s="4" t="inlineStr">
        <is>
          <t>18_final</t>
        </is>
      </c>
      <c r="B20" t="n">
        <v>0.95125989018429</v>
      </c>
      <c r="C20" t="n">
        <v>0.9662587302879647</v>
      </c>
      <c r="D20" t="n">
        <v>0.939649219774641</v>
      </c>
      <c r="E20" t="n">
        <v>0.9267510959421972</v>
      </c>
      <c r="F20" t="n">
        <v>1.027706554452424</v>
      </c>
      <c r="G20" t="n">
        <v>0.9780922327476089</v>
      </c>
      <c r="H20" t="n">
        <v>0.9780737860809153</v>
      </c>
      <c r="I20" t="n">
        <v>0.9581353099824632</v>
      </c>
      <c r="J20" t="n">
        <v>0.9273808084504466</v>
      </c>
      <c r="K20" t="n">
        <v>0.9971908421599792</v>
      </c>
      <c r="L20" t="n">
        <v>1.012631103856323</v>
      </c>
      <c r="M20" t="n">
        <v>0.9724921449442302</v>
      </c>
      <c r="N20" t="n">
        <v>0.9634912655951753</v>
      </c>
      <c r="O20" t="n">
        <v>0.9331437190307897</v>
      </c>
      <c r="P20" t="n">
        <v>1.027678503566551</v>
      </c>
      <c r="Q20" t="n">
        <v>0.9911996496255711</v>
      </c>
      <c r="R20" t="n">
        <v>0.951589068100129</v>
      </c>
      <c r="S20" t="n">
        <v>0.9261934466873301</v>
      </c>
      <c r="T20" t="n">
        <v>0.8962471281997425</v>
      </c>
      <c r="U20" t="n">
        <v>1.016450032900668</v>
      </c>
      <c r="V20" t="n">
        <v>0.9748123634765493</v>
      </c>
      <c r="W20" t="n">
        <v>0.9631072419380128</v>
      </c>
      <c r="X20" t="n">
        <v>0.9227077100657456</v>
      </c>
      <c r="Y20" t="n">
        <v>0.868136700804007</v>
      </c>
      <c r="Z20" t="n">
        <v>1.020987510954181</v>
      </c>
      <c r="AA20" t="n">
        <v>0.9773193653269561</v>
      </c>
      <c r="AB20" t="n">
        <v>0.9587144505461945</v>
      </c>
      <c r="AC20" t="n">
        <v>0.9233081504657235</v>
      </c>
      <c r="AD20" t="n">
        <v>0.8817916053527118</v>
      </c>
      <c r="AE20" t="n">
        <v>1.011704681933818</v>
      </c>
      <c r="AF20" t="n">
        <v>0.975067195835527</v>
      </c>
      <c r="AG20" t="n">
        <v>0.9401346129924307</v>
      </c>
      <c r="AH20" t="n">
        <v>0.9314045041436014</v>
      </c>
      <c r="AI20" t="n">
        <v>0.9040556170766354</v>
      </c>
      <c r="AJ20" t="n">
        <v>1.041716521389967</v>
      </c>
      <c r="AK20" t="n">
        <v>0.9511477285054023</v>
      </c>
      <c r="AL20" t="n">
        <v>0.900886876036738</v>
      </c>
      <c r="AM20" t="n">
        <v>0.9190767229677618</v>
      </c>
      <c r="AN20" t="n">
        <v>0.9002049705922883</v>
      </c>
      <c r="AO20" t="n">
        <v>0.9927633571733969</v>
      </c>
      <c r="AP20" t="n">
        <v>0.9277709804836273</v>
      </c>
      <c r="AQ20" t="n">
        <v>0.884162049740929</v>
      </c>
      <c r="AR20" t="n">
        <v>0.9084807967631708</v>
      </c>
      <c r="AS20" t="n">
        <v>0.8811324427389964</v>
      </c>
      <c r="AT20" t="n">
        <v>0.9947915030485365</v>
      </c>
      <c r="AU20" t="n">
        <v>0.8844665400670091</v>
      </c>
      <c r="AV20" t="n">
        <v>0.8658441050955124</v>
      </c>
      <c r="AW20" s="1" t="n">
        <v>0.8811693506287958</v>
      </c>
      <c r="AX20" s="1" t="n">
        <v>0.9206879251208279</v>
      </c>
      <c r="AY20" s="1" t="n">
        <v>0.9351357096005537</v>
      </c>
      <c r="AZ20" s="1" t="n">
        <v>0.9040280385130811</v>
      </c>
      <c r="BA20" s="1" t="n">
        <v>0.9090394087835555</v>
      </c>
      <c r="BB20" s="1" t="n">
        <v>0.902874711555636</v>
      </c>
      <c r="BC20" s="1" t="n">
        <v>0.9387258468588942</v>
      </c>
      <c r="BD20" s="1" t="n">
        <v>0.9239456437965377</v>
      </c>
      <c r="BF20">
        <f>AVERAGE(B20:BD20)</f>
        <v/>
      </c>
      <c r="BG20">
        <f>BF20/BF19</f>
        <v/>
      </c>
      <c r="BH20" s="2">
        <f>1-BG20</f>
        <v/>
      </c>
      <c r="BI20">
        <f>A20</f>
        <v/>
      </c>
    </row>
    <row r="21">
      <c r="A21" s="4" t="inlineStr">
        <is>
          <t>--- FINAL_MULT (mean)</t>
        </is>
      </c>
      <c r="B21" t="n">
        <v>0.95125989018429</v>
      </c>
      <c r="C21" t="n">
        <v>0.9662587302879647</v>
      </c>
      <c r="D21" t="n">
        <v>0.939649219774641</v>
      </c>
      <c r="E21" t="n">
        <v>0.9267510959421972</v>
      </c>
      <c r="F21" t="n">
        <v>1.027706554452424</v>
      </c>
      <c r="G21" t="n">
        <v>0.9780922327476089</v>
      </c>
      <c r="H21" t="n">
        <v>0.9780737860809153</v>
      </c>
      <c r="I21" t="n">
        <v>0.9581353099824632</v>
      </c>
      <c r="J21" t="n">
        <v>0.9273808084504466</v>
      </c>
      <c r="K21" t="n">
        <v>0.9971908421599792</v>
      </c>
      <c r="L21" t="n">
        <v>1.012631103856323</v>
      </c>
      <c r="M21" t="n">
        <v>0.9724921449442302</v>
      </c>
      <c r="N21" t="n">
        <v>0.9634912655951753</v>
      </c>
      <c r="O21" t="n">
        <v>0.9331437190307897</v>
      </c>
      <c r="P21" t="n">
        <v>1.027678503566551</v>
      </c>
      <c r="Q21" t="n">
        <v>0.9911996496255711</v>
      </c>
      <c r="R21" t="n">
        <v>0.951589068100129</v>
      </c>
      <c r="S21" t="n">
        <v>0.9261934466873301</v>
      </c>
      <c r="T21" t="n">
        <v>0.8962471281997425</v>
      </c>
      <c r="U21" t="n">
        <v>1.016450032900668</v>
      </c>
      <c r="V21" t="n">
        <v>0.9748123634765493</v>
      </c>
      <c r="W21" t="n">
        <v>0.9631072419380128</v>
      </c>
      <c r="X21" t="n">
        <v>0.9227077100657456</v>
      </c>
      <c r="Y21" t="n">
        <v>0.868136700804007</v>
      </c>
      <c r="Z21" t="n">
        <v>1.020987510954181</v>
      </c>
      <c r="AA21" t="n">
        <v>0.9773193653269561</v>
      </c>
      <c r="AB21" t="n">
        <v>0.9587144505461945</v>
      </c>
      <c r="AC21" t="n">
        <v>0.9233081504657235</v>
      </c>
      <c r="AD21" t="n">
        <v>0.8817916053527118</v>
      </c>
      <c r="AE21" t="n">
        <v>1.011704681933818</v>
      </c>
      <c r="AF21" t="n">
        <v>0.975067195835527</v>
      </c>
      <c r="AG21" t="n">
        <v>0.9401346129924307</v>
      </c>
      <c r="AH21" t="n">
        <v>0.9314045041436014</v>
      </c>
      <c r="AI21" t="n">
        <v>0.9040556170766354</v>
      </c>
      <c r="AJ21" t="n">
        <v>1.041716521389967</v>
      </c>
      <c r="AK21" t="n">
        <v>0.9511477285054023</v>
      </c>
      <c r="AL21" t="n">
        <v>0.900886876036738</v>
      </c>
      <c r="AM21" t="n">
        <v>0.9190767229677618</v>
      </c>
      <c r="AN21" t="n">
        <v>0.9002049705922883</v>
      </c>
      <c r="AO21" t="n">
        <v>0.9927633571733969</v>
      </c>
      <c r="AP21" t="n">
        <v>0.9277709804836273</v>
      </c>
      <c r="AQ21" t="n">
        <v>0.884162049740929</v>
      </c>
      <c r="AR21" t="n">
        <v>0.9084807967631708</v>
      </c>
      <c r="AS21" t="n">
        <v>0.8811324427389964</v>
      </c>
      <c r="AT21" t="n">
        <v>0.9947915030485365</v>
      </c>
      <c r="AU21" t="n">
        <v>0.8844665400670091</v>
      </c>
      <c r="AV21" t="n">
        <v>0.8658441050955124</v>
      </c>
      <c r="AW21" s="1" t="n">
        <v>0.8811693506287958</v>
      </c>
      <c r="AX21" s="1" t="n">
        <v>0.9206879251208279</v>
      </c>
      <c r="AY21" s="1" t="n">
        <v>0.9351357096005537</v>
      </c>
      <c r="AZ21" s="1" t="n">
        <v>0.9040280385130811</v>
      </c>
      <c r="BA21" s="1" t="n">
        <v>0.9090394087835555</v>
      </c>
      <c r="BB21" s="1" t="n">
        <v>0.902874711555636</v>
      </c>
      <c r="BC21" s="1" t="n">
        <v>0.9387258468588942</v>
      </c>
      <c r="BD21" s="1" t="n">
        <v>0.9239456437965377</v>
      </c>
    </row>
    <row r="22">
      <c r="A22" s="4" t="inlineStr">
        <is>
          <t>--- WTD_MULT_RAGU</t>
        </is>
      </c>
      <c r="B22" t="n">
        <v>0.9341649167428916</v>
      </c>
      <c r="C22" t="n">
        <v>0.9701124841029773</v>
      </c>
      <c r="D22" t="n">
        <v>0.9404370886097957</v>
      </c>
      <c r="E22" t="n">
        <v>0.9566552233548298</v>
      </c>
      <c r="F22" t="n">
        <v>1.025486596965866</v>
      </c>
      <c r="G22" t="n">
        <v>0.9679074895212925</v>
      </c>
      <c r="H22" t="n">
        <v>0.9774044847612534</v>
      </c>
      <c r="I22" t="n">
        <v>0.9549859644573268</v>
      </c>
      <c r="J22" t="n">
        <v>0.9437792849266677</v>
      </c>
      <c r="K22" t="n">
        <v>0.9937071843343145</v>
      </c>
      <c r="L22" t="n">
        <v>1.005008602423664</v>
      </c>
      <c r="M22" t="n">
        <v>0.9728590563521357</v>
      </c>
      <c r="N22" t="n">
        <v>0.9574776209669034</v>
      </c>
      <c r="O22" t="n">
        <v>0.9361545190436394</v>
      </c>
      <c r="P22" t="n">
        <v>1.023593180584854</v>
      </c>
      <c r="Q22" t="n">
        <v>0.987227685142449</v>
      </c>
      <c r="R22" t="n">
        <v>0.9524923292387044</v>
      </c>
      <c r="S22" t="n">
        <v>0.9190177847864279</v>
      </c>
      <c r="T22" t="n">
        <v>0.9024115622759069</v>
      </c>
      <c r="U22" t="n">
        <v>1.013042105726989</v>
      </c>
      <c r="V22" t="n">
        <v>0.969547319844721</v>
      </c>
      <c r="W22" t="n">
        <v>0.9611389182537251</v>
      </c>
      <c r="X22" t="n">
        <v>0.9090647769774614</v>
      </c>
      <c r="Y22" t="n">
        <v>0.8686964322447414</v>
      </c>
      <c r="Z22" t="n">
        <v>1.019045083647524</v>
      </c>
      <c r="AA22" t="n">
        <v>0.9788218473246717</v>
      </c>
      <c r="AB22" t="n">
        <v>0.9527886400342965</v>
      </c>
      <c r="AC22" t="n">
        <v>0.9173228373869245</v>
      </c>
      <c r="AD22" t="n">
        <v>0.8812298482156321</v>
      </c>
      <c r="AE22" t="n">
        <v>1.011152095912022</v>
      </c>
      <c r="AF22" t="n">
        <v>0.9725907147920644</v>
      </c>
      <c r="AG22" t="n">
        <v>0.941267991147934</v>
      </c>
      <c r="AH22" t="n">
        <v>0.925826348270109</v>
      </c>
      <c r="AI22" t="n">
        <v>0.9034696394133205</v>
      </c>
      <c r="AJ22" t="n">
        <v>1.038353630205506</v>
      </c>
      <c r="AK22" t="n">
        <v>0.9488611135928642</v>
      </c>
      <c r="AL22" t="n">
        <v>0.9008958930307385</v>
      </c>
      <c r="AM22" t="n">
        <v>0.9186497197695053</v>
      </c>
      <c r="AN22" t="n">
        <v>0.9001901308222165</v>
      </c>
      <c r="AO22" t="n">
        <v>0.9913875296024414</v>
      </c>
      <c r="AP22" t="n">
        <v>0.9277897040919821</v>
      </c>
      <c r="AQ22" t="n">
        <v>0.8824694235082148</v>
      </c>
      <c r="AR22" t="n">
        <v>0.9096168890258868</v>
      </c>
      <c r="AS22" t="n">
        <v>0.8793143321428371</v>
      </c>
      <c r="AT22" t="n">
        <v>0.9921852263730455</v>
      </c>
      <c r="AU22" t="n">
        <v>0.8824391138677159</v>
      </c>
      <c r="AV22" t="n">
        <v>0.8601539976370897</v>
      </c>
      <c r="AW22" s="1" t="n">
        <v>0.8754085276915547</v>
      </c>
      <c r="AX22" s="1" t="n">
        <v>0.925410487775757</v>
      </c>
      <c r="AY22" s="1" t="n">
        <v>0.9327602850190501</v>
      </c>
      <c r="AZ22" s="1" t="n">
        <v>0.8979411876760189</v>
      </c>
      <c r="BA22" s="1" t="n">
        <v>0.906671806310398</v>
      </c>
      <c r="BB22" s="1" t="n">
        <v>0.8960818293052798</v>
      </c>
      <c r="BC22" s="1" t="n">
        <v>0.9359649506069918</v>
      </c>
      <c r="BD22" s="1" t="n">
        <v>0.9209541603941366</v>
      </c>
    </row>
    <row r="23">
      <c r="A23" s="4" t="inlineStr">
        <is>
          <t>--- GROSS_LOSS_IMPACT</t>
        </is>
      </c>
      <c r="B23" t="n">
        <v>1.64587708142771</v>
      </c>
      <c r="C23" t="n">
        <v>0.7471878974255663</v>
      </c>
      <c r="D23" t="n">
        <v>1.489072784755108</v>
      </c>
      <c r="E23" t="n">
        <v>1.083619416129256</v>
      </c>
      <c r="F23" t="n">
        <v>-0.6371649241466382</v>
      </c>
      <c r="G23" t="n">
        <v>0.8023127619676884</v>
      </c>
      <c r="H23" t="n">
        <v>0.5648878809686647</v>
      </c>
      <c r="I23" t="n">
        <v>1.125350888566831</v>
      </c>
      <c r="J23" t="n">
        <v>1.405517876833307</v>
      </c>
      <c r="K23" t="n">
        <v>0.1573203916421378</v>
      </c>
      <c r="L23" t="n">
        <v>-0.1252150605915991</v>
      </c>
      <c r="M23" t="n">
        <v>0.6785235911966087</v>
      </c>
      <c r="N23" t="n">
        <v>1.063059475827416</v>
      </c>
      <c r="O23" t="n">
        <v>1.596137023909014</v>
      </c>
      <c r="P23" t="n">
        <v>-0.5898295146213428</v>
      </c>
      <c r="Q23" t="n">
        <v>0.3193078714387759</v>
      </c>
      <c r="R23" t="n">
        <v>1.18769176903239</v>
      </c>
      <c r="S23" t="n">
        <v>2.024555380339302</v>
      </c>
      <c r="T23" t="n">
        <v>2.439710943102327</v>
      </c>
      <c r="U23" t="n">
        <v>-0.326052643174729</v>
      </c>
      <c r="V23" t="n">
        <v>0.7613170038819755</v>
      </c>
      <c r="W23" t="n">
        <v>0.9715270436568724</v>
      </c>
      <c r="X23" t="n">
        <v>2.273380575563466</v>
      </c>
      <c r="Y23" t="n">
        <v>3.282589193881466</v>
      </c>
      <c r="Z23" t="n">
        <v>-0.4761270911880944</v>
      </c>
      <c r="AA23" t="n">
        <v>0.5294538168832075</v>
      </c>
      <c r="AB23" t="n">
        <v>1.180283999142587</v>
      </c>
      <c r="AC23" t="n">
        <v>2.066929065326886</v>
      </c>
      <c r="AD23" t="n">
        <v>2.969253794609197</v>
      </c>
      <c r="AE23" t="n">
        <v>-0.2788023978005538</v>
      </c>
      <c r="AF23" t="n">
        <v>0.6852321301983905</v>
      </c>
      <c r="AG23" t="n">
        <v>1.468300221301649</v>
      </c>
      <c r="AH23" t="n">
        <v>1.854341293247275</v>
      </c>
      <c r="AI23" t="n">
        <v>2.413259014666988</v>
      </c>
      <c r="AJ23" t="n">
        <v>-0.958840755137641</v>
      </c>
      <c r="AK23" t="n">
        <v>1.278472160178395</v>
      </c>
      <c r="AL23" t="n">
        <v>2.477602674231538</v>
      </c>
      <c r="AM23" t="n">
        <v>2.033757005762368</v>
      </c>
      <c r="AN23" t="n">
        <v>2.495246729444586</v>
      </c>
      <c r="AO23" t="n">
        <v>0.2153117599389659</v>
      </c>
      <c r="AP23" t="n">
        <v>1.805257397700446</v>
      </c>
      <c r="AQ23" t="n">
        <v>2.938264412294631</v>
      </c>
      <c r="AR23" t="n">
        <v>2.25957777435283</v>
      </c>
      <c r="AS23" t="n">
        <v>3.017141696429074</v>
      </c>
      <c r="AT23" t="n">
        <v>0.1953693406738621</v>
      </c>
      <c r="AU23" t="n">
        <v>2.939022153307103</v>
      </c>
      <c r="AV23" t="n">
        <v>3.496150059072758</v>
      </c>
      <c r="AW23" s="1" t="n">
        <v>3.114786807711131</v>
      </c>
      <c r="AX23" s="1" t="n">
        <v>1.864737805606076</v>
      </c>
      <c r="AY23" s="1" t="n">
        <v>1.680992874523748</v>
      </c>
      <c r="AZ23" s="1" t="n">
        <v>2.551470308099526</v>
      </c>
      <c r="BA23" s="1" t="n">
        <v>2.33320484224005</v>
      </c>
      <c r="BB23" s="1" t="n">
        <v>2.597954267368005</v>
      </c>
      <c r="BC23" s="1" t="n">
        <v>1.600876234825205</v>
      </c>
      <c r="BD23" s="1" t="n">
        <v>1.976145990146585</v>
      </c>
    </row>
    <row r="24">
      <c r="A24" s="4" t="inlineStr">
        <is>
          <t>--- N_RECORDS</t>
        </is>
      </c>
      <c r="B24" t="n">
        <v>2348</v>
      </c>
      <c r="C24" t="n">
        <v>1289</v>
      </c>
      <c r="D24" t="n">
        <v>1400</v>
      </c>
      <c r="E24" t="n">
        <v>659</v>
      </c>
      <c r="F24" t="n">
        <v>3309</v>
      </c>
      <c r="G24" t="n">
        <v>3809</v>
      </c>
      <c r="H24" t="n">
        <v>1578</v>
      </c>
      <c r="I24" t="n">
        <v>2119</v>
      </c>
      <c r="J24" t="n">
        <v>675</v>
      </c>
      <c r="K24" t="n">
        <v>3517</v>
      </c>
      <c r="L24" t="n">
        <v>6886</v>
      </c>
      <c r="M24" t="n">
        <v>2541</v>
      </c>
      <c r="N24" t="n">
        <v>3523</v>
      </c>
      <c r="O24" t="n">
        <v>1339</v>
      </c>
      <c r="P24" t="n">
        <v>5612</v>
      </c>
      <c r="Q24" t="n">
        <v>7211</v>
      </c>
      <c r="R24" t="n">
        <v>2296</v>
      </c>
      <c r="S24" t="n">
        <v>4271</v>
      </c>
      <c r="T24" t="n">
        <v>1649</v>
      </c>
      <c r="U24" t="n">
        <v>4733</v>
      </c>
      <c r="V24" t="n">
        <v>5438</v>
      </c>
      <c r="W24" t="n">
        <v>1631</v>
      </c>
      <c r="X24" t="n">
        <v>3132</v>
      </c>
      <c r="Y24" t="n">
        <v>1058</v>
      </c>
      <c r="Z24" t="n">
        <v>3650</v>
      </c>
      <c r="AA24" t="n">
        <v>5762</v>
      </c>
      <c r="AB24" t="n">
        <v>1608</v>
      </c>
      <c r="AC24" t="n">
        <v>3130</v>
      </c>
      <c r="AD24" t="n">
        <v>979</v>
      </c>
      <c r="AE24" t="n">
        <v>3964</v>
      </c>
      <c r="AF24" t="n">
        <v>8574</v>
      </c>
      <c r="AG24" t="n">
        <v>2811</v>
      </c>
      <c r="AH24" t="n">
        <v>4959</v>
      </c>
      <c r="AI24" t="n">
        <v>2007</v>
      </c>
      <c r="AJ24" t="n">
        <v>6801</v>
      </c>
      <c r="AK24" t="n">
        <v>7902</v>
      </c>
      <c r="AL24" t="n">
        <v>2741</v>
      </c>
      <c r="AM24" t="n">
        <v>4883</v>
      </c>
      <c r="AN24" t="n">
        <v>1893</v>
      </c>
      <c r="AO24" t="n">
        <v>5693</v>
      </c>
      <c r="AP24" t="n">
        <v>6386</v>
      </c>
      <c r="AQ24" t="n">
        <v>2289</v>
      </c>
      <c r="AR24" t="n">
        <v>3739</v>
      </c>
      <c r="AS24" t="n">
        <v>1880</v>
      </c>
      <c r="AT24" t="n">
        <v>4517</v>
      </c>
      <c r="AU24" t="n">
        <v>4805</v>
      </c>
      <c r="AV24" t="n">
        <v>1744</v>
      </c>
      <c r="AW24" t="n">
        <v>2876</v>
      </c>
      <c r="AX24" t="n">
        <v>1891</v>
      </c>
      <c r="AY24" t="n">
        <v>3771</v>
      </c>
      <c r="AZ24" t="n">
        <v>1600</v>
      </c>
      <c r="BA24" t="n">
        <v>594</v>
      </c>
      <c r="BB24" t="n">
        <v>1022</v>
      </c>
      <c r="BC24" t="n">
        <v>615</v>
      </c>
      <c r="BD24" t="n">
        <v>1213</v>
      </c>
    </row>
  </sheetData>
  <conditionalFormatting sqref="BH3:B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5"/>
  <sheetViews>
    <sheetView zoomScale="160" zoomScaleNormal="160" workbookViewId="0">
      <pane xSplit="21" topLeftCell="AB1" activePane="topRight" state="frozen"/>
      <selection pane="topRight" activeCell="BD25" sqref="BD25"/>
    </sheetView>
  </sheetViews>
  <sheetFormatPr baseColWidth="8" defaultRowHeight="14.5"/>
  <cols>
    <col width="27.453125" customWidth="1" style="43" min="1" max="1"/>
    <col hidden="1" width="13.453125" customWidth="1" style="43" min="2" max="4"/>
    <col hidden="1" width="12.6328125" customWidth="1" style="43" min="5" max="5"/>
    <col hidden="1" width="13.453125" customWidth="1" style="43" min="6" max="9"/>
    <col hidden="1" width="12.6328125" customWidth="1" style="43" min="10" max="10"/>
    <col hidden="1" width="13.453125" customWidth="1" style="43" min="11" max="21"/>
    <col width="15.36328125" customWidth="1" style="43" min="22" max="22"/>
    <col width="14.54296875" customWidth="1" style="43" min="23" max="23"/>
    <col width="15.08984375" customWidth="1" style="43" min="24" max="24"/>
    <col width="15" customWidth="1" style="43" min="25" max="25"/>
    <col width="15.1796875" customWidth="1" style="43" min="26" max="26"/>
    <col width="15.36328125" customWidth="1" style="43" min="27" max="27"/>
    <col width="14.54296875" customWidth="1" style="43" min="28" max="28"/>
    <col width="15.08984375" customWidth="1" style="43" min="29" max="29"/>
    <col width="15" customWidth="1" style="43" min="30" max="30"/>
    <col width="15.1796875" customWidth="1" style="43" min="31" max="31"/>
    <col width="15.36328125" customWidth="1" style="43" min="32" max="32"/>
    <col width="14.54296875" customWidth="1" style="43" min="33" max="33"/>
    <col width="15.08984375" customWidth="1" style="43" min="34" max="34"/>
    <col width="15" customWidth="1" style="43" min="35" max="35"/>
    <col width="15.1796875" customWidth="1" style="43" min="36" max="36"/>
    <col width="15.36328125" customWidth="1" style="43" min="37" max="37"/>
    <col width="14.54296875" customWidth="1" style="43" min="38" max="38"/>
    <col width="15.08984375" customWidth="1" style="43" min="39" max="39"/>
    <col width="15" customWidth="1" style="43" min="40" max="40"/>
    <col width="15.1796875" customWidth="1" style="43" min="41" max="41"/>
    <col width="15.36328125" customWidth="1" style="43" min="42" max="42"/>
    <col width="14.54296875" customWidth="1" style="43" min="43" max="43"/>
    <col width="15.08984375" customWidth="1" style="43" min="44" max="44"/>
    <col width="15" customWidth="1" style="43" min="45" max="45"/>
    <col width="15.1796875" customWidth="1" style="43" min="46" max="46"/>
    <col width="15.36328125" customWidth="1" style="43" min="47" max="47"/>
    <col width="14.54296875" customWidth="1" style="43" min="48" max="48"/>
    <col width="15.08984375" customWidth="1" style="43" min="49" max="49"/>
    <col width="15" customWidth="1" style="43" min="50" max="50"/>
    <col width="15.1796875" customWidth="1" style="43" min="51" max="51"/>
    <col width="15.36328125" customWidth="1" style="43" min="52" max="52"/>
    <col width="14.54296875" customWidth="1" style="43" min="53" max="53"/>
    <col width="15.08984375" customWidth="1" style="43" min="54" max="54"/>
    <col width="15" customWidth="1" style="43" min="55" max="55"/>
    <col width="15.1796875" customWidth="1" style="43" min="56" max="56"/>
  </cols>
  <sheetData>
    <row r="1">
      <c r="A1" t="inlineStr">
        <is>
          <t>Column1</t>
        </is>
      </c>
      <c r="B1" s="4" t="inlineStr">
        <is>
          <t>FRN | 2023 Q3</t>
        </is>
      </c>
      <c r="C1" s="4" t="inlineStr">
        <is>
          <t>AN | 2023 Q3</t>
        </is>
      </c>
      <c r="D1" s="4" t="inlineStr">
        <is>
          <t>STG | 2023 Q3</t>
        </is>
      </c>
      <c r="E1" s="4" t="inlineStr">
        <is>
          <t>FLD | 2023 Q3</t>
        </is>
      </c>
      <c r="F1" s="6" t="inlineStr">
        <is>
          <t>ENT | 2023 Q3</t>
        </is>
      </c>
      <c r="G1" s="4" t="inlineStr">
        <is>
          <t>FRN | 2023 Q4</t>
        </is>
      </c>
      <c r="H1" s="4" t="inlineStr">
        <is>
          <t>AN | 2023 Q4</t>
        </is>
      </c>
      <c r="I1" s="4" t="inlineStr">
        <is>
          <t>STG | 2023 Q4</t>
        </is>
      </c>
      <c r="J1" s="4" t="inlineStr">
        <is>
          <t>FLD | 2023 Q4</t>
        </is>
      </c>
      <c r="K1" s="4" t="inlineStr">
        <is>
          <t>ENT | 2023 Q4</t>
        </is>
      </c>
      <c r="L1" s="4" t="inlineStr">
        <is>
          <t>FRN | 2024 Q1</t>
        </is>
      </c>
      <c r="M1" s="4" t="inlineStr">
        <is>
          <t>AN | 2024 Q1</t>
        </is>
      </c>
      <c r="N1" s="4" t="inlineStr">
        <is>
          <t>STG | 2024 Q1</t>
        </is>
      </c>
      <c r="O1" s="4" t="inlineStr">
        <is>
          <t>FLD | 2024 Q1</t>
        </is>
      </c>
      <c r="P1" s="4" t="inlineStr">
        <is>
          <t>ENT | 2024 Q1</t>
        </is>
      </c>
      <c r="Q1" s="4" t="inlineStr">
        <is>
          <t>FRN | 2024 Q2</t>
        </is>
      </c>
      <c r="R1" s="4" t="inlineStr">
        <is>
          <t>AN | 2024 Q2</t>
        </is>
      </c>
      <c r="S1" s="4" t="inlineStr">
        <is>
          <t>STG | 2024 Q2</t>
        </is>
      </c>
      <c r="T1" s="4" t="inlineStr">
        <is>
          <t>FLD | 2024 Q2</t>
        </is>
      </c>
      <c r="U1" s="4" t="inlineStr">
        <is>
          <t>ENT | 2024 Q2</t>
        </is>
      </c>
      <c r="V1" s="4" t="inlineStr">
        <is>
          <t>FRN | 2024 Q3</t>
        </is>
      </c>
      <c r="W1" s="4" t="inlineStr">
        <is>
          <t>AN | 2024 Q3</t>
        </is>
      </c>
      <c r="X1" s="4" t="inlineStr">
        <is>
          <t>STG | 2024 Q3</t>
        </is>
      </c>
      <c r="Y1" s="4" t="inlineStr">
        <is>
          <t>FLD | 2024 Q3</t>
        </is>
      </c>
      <c r="Z1" s="4" t="inlineStr">
        <is>
          <t>ENT | 2024 Q3</t>
        </is>
      </c>
      <c r="AA1" s="4" t="inlineStr">
        <is>
          <t>FRN | 2024 Q4</t>
        </is>
      </c>
      <c r="AB1" s="4" t="inlineStr">
        <is>
          <t>AN | 2024 Q4</t>
        </is>
      </c>
      <c r="AC1" s="4" t="inlineStr">
        <is>
          <t>STG | 2024 Q4</t>
        </is>
      </c>
      <c r="AD1" s="4" t="inlineStr">
        <is>
          <t>FLD | 2024 Q4</t>
        </is>
      </c>
      <c r="AE1" s="4" t="inlineStr">
        <is>
          <t>ENT | 2024 Q4</t>
        </is>
      </c>
      <c r="AF1" s="4" t="inlineStr">
        <is>
          <t>FRN | 2025 Q1</t>
        </is>
      </c>
      <c r="AG1" s="4" t="inlineStr">
        <is>
          <t>AN | 2025 Q1</t>
        </is>
      </c>
      <c r="AH1" s="4" t="inlineStr">
        <is>
          <t>STG | 2025 Q1</t>
        </is>
      </c>
      <c r="AI1" s="4" t="inlineStr">
        <is>
          <t>FLD | 2025 Q1</t>
        </is>
      </c>
      <c r="AJ1" s="4" t="inlineStr">
        <is>
          <t>ENT | 2025 Q1</t>
        </is>
      </c>
      <c r="AK1" s="4" t="inlineStr">
        <is>
          <t>FRN | 2025 Q2</t>
        </is>
      </c>
      <c r="AL1" s="4" t="inlineStr">
        <is>
          <t>AN | 2025 Q2</t>
        </is>
      </c>
      <c r="AM1" s="4" t="inlineStr">
        <is>
          <t>STG | 2025 Q2</t>
        </is>
      </c>
      <c r="AN1" s="4" t="inlineStr">
        <is>
          <t>FLD | 2025 Q2</t>
        </is>
      </c>
      <c r="AO1" s="4" t="inlineStr">
        <is>
          <t>ENT | 2025 Q2</t>
        </is>
      </c>
      <c r="AP1" s="4" t="inlineStr">
        <is>
          <t>FRN | 2025 Q3</t>
        </is>
      </c>
      <c r="AQ1" s="4" t="inlineStr">
        <is>
          <t>AN | 2025 Q3</t>
        </is>
      </c>
      <c r="AR1" s="4" t="inlineStr">
        <is>
          <t>STG | 2025 Q3</t>
        </is>
      </c>
      <c r="AS1" s="4" t="inlineStr">
        <is>
          <t>FLD | 2025 Q3</t>
        </is>
      </c>
      <c r="AT1" s="4" t="inlineStr">
        <is>
          <t>ENT | 2025 Q3</t>
        </is>
      </c>
      <c r="AU1" s="4" t="inlineStr">
        <is>
          <t>FRN | 2025 Q4</t>
        </is>
      </c>
      <c r="AV1" s="4" t="inlineStr">
        <is>
          <t>AN | 2025 Q4</t>
        </is>
      </c>
      <c r="AW1" s="4" t="inlineStr">
        <is>
          <t>STG | 2025 Q4</t>
        </is>
      </c>
      <c r="AX1" s="4" t="inlineStr">
        <is>
          <t>FLD | 2025 Q4</t>
        </is>
      </c>
      <c r="AY1" s="4" t="inlineStr">
        <is>
          <t>ENT | 2025 Q4</t>
        </is>
      </c>
      <c r="AZ1" s="4" t="inlineStr">
        <is>
          <t>FRN | 2026 Q1</t>
        </is>
      </c>
      <c r="BA1" s="4" t="inlineStr">
        <is>
          <t>AN | 2026 Q1</t>
        </is>
      </c>
      <c r="BB1" s="4" t="inlineStr">
        <is>
          <t>STG | 2026 Q1</t>
        </is>
      </c>
      <c r="BC1" s="4" t="inlineStr">
        <is>
          <t>FLD | 2026 Q1</t>
        </is>
      </c>
      <c r="BD1" s="4" t="inlineStr">
        <is>
          <t>ENT | 2026 Q1</t>
        </is>
      </c>
    </row>
    <row r="2">
      <c r="A2" s="4" t="inlineStr">
        <is>
          <t>prev_co_flag</t>
        </is>
      </c>
      <c r="B2" s="1" t="n">
        <v>0.001703577512776831</v>
      </c>
      <c r="C2" s="1" t="n">
        <v>0.002327385570209465</v>
      </c>
      <c r="D2" s="1" t="n">
        <v>0.001428571428571429</v>
      </c>
      <c r="E2" s="1" t="n">
        <v>0.001517450682852807</v>
      </c>
      <c r="F2" s="1" t="n">
        <v>0.001511030522816561</v>
      </c>
      <c r="G2" s="1" t="n">
        <v>0.002362824888422158</v>
      </c>
      <c r="H2" s="1" t="n">
        <v>0.001901140684410646</v>
      </c>
      <c r="I2" s="1" t="n">
        <v>0.002359603586597452</v>
      </c>
      <c r="J2" s="1" t="n">
        <v>0.001481481481481481</v>
      </c>
      <c r="K2" s="1" t="n">
        <v>0.0005686664771111743</v>
      </c>
      <c r="L2" s="1" t="n">
        <v>0.002033110659308742</v>
      </c>
      <c r="M2" s="1" t="n">
        <v>0.003148366784730421</v>
      </c>
      <c r="N2" s="1" t="n">
        <v>0.0008515469770082316</v>
      </c>
      <c r="O2" s="1" t="n">
        <v>0.002240477968633308</v>
      </c>
      <c r="P2" s="1" t="n">
        <v>0.001960085531004989</v>
      </c>
      <c r="Q2" s="1" t="n">
        <v>0.001802801275828595</v>
      </c>
      <c r="R2" s="1" t="n">
        <v>0.003048780487804878</v>
      </c>
      <c r="S2" s="1" t="n">
        <v>0.002341372044017795</v>
      </c>
      <c r="T2" s="1" t="n">
        <v>0.001212856276531231</v>
      </c>
      <c r="U2" s="1" t="n">
        <v>0.001478977392774139</v>
      </c>
      <c r="V2" s="1" t="n">
        <v>0.002942258183155572</v>
      </c>
      <c r="W2" s="1" t="n">
        <v>0.003678724708767627</v>
      </c>
      <c r="X2" s="1" t="n">
        <v>0.001596424010217114</v>
      </c>
      <c r="Y2" s="1" t="n">
        <v>0.006616257088846881</v>
      </c>
      <c r="Z2" s="1" t="n">
        <v>0.00136986301369863</v>
      </c>
      <c r="AA2" s="1" t="n">
        <v>0.003471017007983339</v>
      </c>
      <c r="AB2" s="1" t="n">
        <v>0.002487562189054726</v>
      </c>
      <c r="AC2" s="1" t="n">
        <v>0.001916932907348243</v>
      </c>
      <c r="AD2" s="1" t="n">
        <v>0.004085801838610827</v>
      </c>
      <c r="AE2" s="1" t="n">
        <v>0.001513622603430878</v>
      </c>
      <c r="AF2" s="1" t="n">
        <v>0.003382318637742011</v>
      </c>
      <c r="AG2" s="1" t="n">
        <v>0.0032017075773746</v>
      </c>
      <c r="AH2" s="1" t="n">
        <v>0.003428110506150433</v>
      </c>
      <c r="AI2" s="1" t="n">
        <v>0.005480817140009965</v>
      </c>
      <c r="AJ2" s="1" t="n">
        <v>0.00176444640494045</v>
      </c>
      <c r="AK2" s="1" t="n">
        <v>0.005694760820045558</v>
      </c>
      <c r="AL2" s="1" t="n">
        <v>0.004742794600510762</v>
      </c>
      <c r="AM2" s="1" t="n">
        <v>0.003686258447675609</v>
      </c>
      <c r="AN2" s="1" t="n">
        <v>0.004226096143687269</v>
      </c>
      <c r="AO2" s="1" t="n">
        <v>0.001405234498506938</v>
      </c>
      <c r="AP2" s="1" t="n">
        <v>0.002975258377701222</v>
      </c>
      <c r="AQ2" s="1" t="n">
        <v>0.003931847968545216</v>
      </c>
      <c r="AR2" s="1" t="n">
        <v>0.002407060711420166</v>
      </c>
      <c r="AS2" s="1" t="n">
        <v>0.001595744680851064</v>
      </c>
      <c r="AT2" s="1" t="n">
        <v>0.002213858755811379</v>
      </c>
      <c r="AU2" s="1" t="n">
        <v>0.002705515088449532</v>
      </c>
      <c r="AV2" s="1" t="n">
        <v>0.00286697247706422</v>
      </c>
      <c r="AW2" s="1" t="n">
        <v>0.002781641168289291</v>
      </c>
      <c r="AX2" s="1" t="n">
        <v>0.002115282919090428</v>
      </c>
      <c r="AY2" s="1" t="n">
        <v>0.003447361442588173</v>
      </c>
      <c r="AZ2" s="1" t="n">
        <v>0.005</v>
      </c>
      <c r="BA2" s="1" t="n">
        <v>0.003367003367003367</v>
      </c>
      <c r="BB2" s="1" t="n">
        <v>0.002935420743639922</v>
      </c>
      <c r="BC2" s="1" t="n">
        <v>0.006504065040650406</v>
      </c>
      <c r="BD2" s="1" t="n">
        <v>0.003297609233305853</v>
      </c>
    </row>
    <row r="3">
      <c r="A3" s="4" t="inlineStr">
        <is>
          <t>small_amt_financed_flag</t>
        </is>
      </c>
      <c r="B3" s="1" t="n">
        <v>0.02001703577512777</v>
      </c>
      <c r="C3" s="1" t="n">
        <v>0.004654771140418929</v>
      </c>
      <c r="D3" s="1" t="n">
        <v>0.006428571428571428</v>
      </c>
      <c r="E3" s="1" t="n">
        <v>0.001517450682852807</v>
      </c>
      <c r="F3" s="1" t="n">
        <v>0</v>
      </c>
      <c r="G3" s="1" t="n">
        <v>0.01050144394854292</v>
      </c>
      <c r="H3" s="1" t="n">
        <v>0.001901140684410646</v>
      </c>
      <c r="I3" s="1" t="n">
        <v>0.008022652194431336</v>
      </c>
      <c r="J3" s="1" t="n">
        <v>0.004444444444444444</v>
      </c>
      <c r="K3" s="1" t="n">
        <v>0</v>
      </c>
      <c r="L3" s="1" t="n">
        <v>0.008422887017136218</v>
      </c>
      <c r="M3" s="1" t="n">
        <v>0.002754820936639119</v>
      </c>
      <c r="N3" s="1" t="n">
        <v>0.00709622480840193</v>
      </c>
      <c r="O3" s="1" t="n">
        <v>0.005227781926811053</v>
      </c>
      <c r="P3" s="1" t="n">
        <v>0</v>
      </c>
      <c r="Q3" s="1" t="n">
        <v>0.008181944251837471</v>
      </c>
      <c r="R3" s="1" t="n">
        <v>0.002613240418118467</v>
      </c>
      <c r="S3" s="1" t="n">
        <v>0.00421446967923203</v>
      </c>
      <c r="T3" s="1" t="n">
        <v>0.003638568829593693</v>
      </c>
      <c r="U3" s="1" t="n">
        <v>0</v>
      </c>
      <c r="V3" s="1" t="n">
        <v>0.008275101140125045</v>
      </c>
      <c r="W3" s="1" t="n">
        <v>0.004904966278356836</v>
      </c>
      <c r="X3" s="1" t="n">
        <v>0.007343550446998723</v>
      </c>
      <c r="Y3" s="1" t="n">
        <v>0.001890359168241966</v>
      </c>
      <c r="Z3" s="1" t="n">
        <v>0</v>
      </c>
      <c r="AA3" s="1" t="n">
        <v>0.01110725442554669</v>
      </c>
      <c r="AB3" s="1" t="n">
        <v>0.001865671641791045</v>
      </c>
      <c r="AC3" s="1" t="n">
        <v>0.006070287539936103</v>
      </c>
      <c r="AD3" s="1" t="n">
        <v>0.004085801838610827</v>
      </c>
      <c r="AE3" s="1" t="n">
        <v>0</v>
      </c>
      <c r="AF3" s="1" t="n">
        <v>0.008047585724282715</v>
      </c>
      <c r="AG3" s="1" t="n">
        <v>0.002845962290999644</v>
      </c>
      <c r="AH3" s="1" t="n">
        <v>0.007461181689856826</v>
      </c>
      <c r="AI3" s="1" t="n">
        <v>0.0004982561036372695</v>
      </c>
      <c r="AJ3" s="1" t="n">
        <v>0</v>
      </c>
      <c r="AK3" s="1" t="n">
        <v>0.008225765628954695</v>
      </c>
      <c r="AL3" s="1" t="n">
        <v>0.004377964246625319</v>
      </c>
      <c r="AM3" s="1" t="n">
        <v>0.005529387671513414</v>
      </c>
      <c r="AN3" s="1" t="n">
        <v>0.001584786053882726</v>
      </c>
      <c r="AO3" s="1" t="n">
        <v>0</v>
      </c>
      <c r="AP3" s="1" t="n">
        <v>0.007516442217350454</v>
      </c>
      <c r="AQ3" s="1" t="n">
        <v>0.003494975972040192</v>
      </c>
      <c r="AR3" s="1" t="n">
        <v>0.007221182134260497</v>
      </c>
      <c r="AS3" s="1" t="n">
        <v>0.002127659574468085</v>
      </c>
      <c r="AT3" s="1" t="n">
        <v>0</v>
      </c>
      <c r="AU3" s="1" t="n">
        <v>0.008532778355879293</v>
      </c>
      <c r="AV3" s="1" t="n">
        <v>0.004013761467889908</v>
      </c>
      <c r="AW3" s="1" t="n">
        <v>0.009388038942976356</v>
      </c>
      <c r="AX3" s="1" t="n">
        <v>0.0005288207297726071</v>
      </c>
      <c r="AY3" s="1" t="n">
        <v>0</v>
      </c>
      <c r="AZ3" s="1" t="n">
        <v>0.01125</v>
      </c>
      <c r="BA3" s="1" t="n">
        <v>0.005050505050505051</v>
      </c>
      <c r="BB3" s="1" t="n">
        <v>0.01076320939334638</v>
      </c>
      <c r="BC3" s="1" t="n">
        <v>0.003252032520325203</v>
      </c>
      <c r="BD3" s="1" t="n">
        <v>0</v>
      </c>
    </row>
    <row r="4">
      <c r="A4" s="4" t="inlineStr">
        <is>
          <t>pricing_change_flag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>
      <c r="A5" s="4" t="inlineStr">
        <is>
          <t>zero_cash_down_flag</t>
        </is>
      </c>
      <c r="B5" s="1" t="n">
        <v>0.007666098807495741</v>
      </c>
      <c r="C5" s="1" t="n">
        <v>0.01551590380139643</v>
      </c>
      <c r="D5" s="1" t="n">
        <v>0.02357142857142857</v>
      </c>
      <c r="E5" s="1" t="n">
        <v>0.01972685887708649</v>
      </c>
      <c r="F5" s="1" t="n">
        <v>0.06678754910849199</v>
      </c>
      <c r="G5" s="1" t="n">
        <v>0.009451299553688633</v>
      </c>
      <c r="H5" s="1" t="n">
        <v>0.03168567807351078</v>
      </c>
      <c r="I5" s="1" t="n">
        <v>0.02642756016989146</v>
      </c>
      <c r="J5" s="1" t="n">
        <v>0.03407407407407408</v>
      </c>
      <c r="K5" s="1" t="n">
        <v>0.06966164344611885</v>
      </c>
      <c r="L5" s="1" t="n">
        <v>0.003775776938716236</v>
      </c>
      <c r="M5" s="1" t="n">
        <v>0.02676111767020858</v>
      </c>
      <c r="N5" s="1" t="n">
        <v>0.02015327845586148</v>
      </c>
      <c r="O5" s="1" t="n">
        <v>0.02091112770724421</v>
      </c>
      <c r="P5" s="1" t="n">
        <v>0.0413399857448325</v>
      </c>
      <c r="Q5" s="1" t="n">
        <v>0.00651781999722646</v>
      </c>
      <c r="R5" s="1" t="n">
        <v>0.01916376306620209</v>
      </c>
      <c r="S5" s="1" t="n">
        <v>0.02317958323577617</v>
      </c>
      <c r="T5" s="1" t="n">
        <v>0.04123711340206185</v>
      </c>
      <c r="U5" s="1" t="n">
        <v>0.03528417494189732</v>
      </c>
      <c r="V5" s="1" t="n">
        <v>0.00735564545788893</v>
      </c>
      <c r="W5" s="1" t="n">
        <v>0.02145922746781116</v>
      </c>
      <c r="X5" s="1" t="n">
        <v>0.02203065134099617</v>
      </c>
      <c r="Y5" s="1" t="n">
        <v>0.02646502835538752</v>
      </c>
      <c r="Z5" s="1" t="n">
        <v>0.06</v>
      </c>
      <c r="AA5" s="1" t="n">
        <v>0.02117320374869837</v>
      </c>
      <c r="AB5" s="1" t="n">
        <v>0.05223880597014925</v>
      </c>
      <c r="AC5" s="1" t="n">
        <v>0.04920127795527156</v>
      </c>
      <c r="AD5" s="1" t="n">
        <v>0.06230847803881512</v>
      </c>
      <c r="AE5" s="1" t="n">
        <v>0.1251261352169526</v>
      </c>
      <c r="AF5" s="1" t="n">
        <v>0.01166316771635176</v>
      </c>
      <c r="AG5" s="1" t="n">
        <v>0.03877623621487016</v>
      </c>
      <c r="AH5" s="1" t="n">
        <v>0.03690260133091349</v>
      </c>
      <c r="AI5" s="1" t="n">
        <v>0.06975585450921774</v>
      </c>
      <c r="AJ5" s="1" t="n">
        <v>0.1024849286869578</v>
      </c>
      <c r="AK5" s="1" t="n">
        <v>0.0137939762085548</v>
      </c>
      <c r="AL5" s="1" t="n">
        <v>0.04596862458956585</v>
      </c>
      <c r="AM5" s="1" t="n">
        <v>0.04505426991603522</v>
      </c>
      <c r="AN5" s="1" t="n">
        <v>0.06814580031695722</v>
      </c>
      <c r="AO5" s="1" t="n">
        <v>0.1203232039346566</v>
      </c>
      <c r="AP5" s="1" t="n">
        <v>0.02489821484497338</v>
      </c>
      <c r="AQ5" s="1" t="n">
        <v>0.08169506334643949</v>
      </c>
      <c r="AR5" s="1" t="n">
        <v>0.05536239636266382</v>
      </c>
      <c r="AS5" s="1" t="n">
        <v>0.1143617021276596</v>
      </c>
      <c r="AT5" s="1" t="n">
        <v>0.1698029665707328</v>
      </c>
      <c r="AU5" s="1" t="n">
        <v>0.02601456815816857</v>
      </c>
      <c r="AV5" s="1" t="n">
        <v>0.07855504587155963</v>
      </c>
      <c r="AW5" s="1" t="n">
        <v>0.05737134909596662</v>
      </c>
      <c r="AX5" s="1" t="n">
        <v>0.133262823902697</v>
      </c>
      <c r="AY5" s="1" t="n">
        <v>0.1710421638822593</v>
      </c>
      <c r="AZ5" s="1" t="n">
        <v>0.03125</v>
      </c>
      <c r="BA5" s="1" t="n">
        <v>0.101010101010101</v>
      </c>
      <c r="BB5" s="1" t="n">
        <v>0.08023483365949119</v>
      </c>
      <c r="BC5" s="1" t="n">
        <v>0.167479674796748</v>
      </c>
      <c r="BD5" s="1" t="n">
        <v>0.1673536685902721</v>
      </c>
    </row>
    <row r="6">
      <c r="A6" s="4" t="inlineStr">
        <is>
          <t>high_mileage_vehicle_flag</t>
        </is>
      </c>
      <c r="B6" s="1" t="n">
        <v>0.01746166950596252</v>
      </c>
      <c r="C6" s="1" t="n">
        <v>0.04577191621411947</v>
      </c>
      <c r="D6" s="1" t="n">
        <v>0.03214285714285714</v>
      </c>
      <c r="E6" s="1" t="n">
        <v>0.004552352048558422</v>
      </c>
      <c r="F6" s="1" t="n">
        <v>0</v>
      </c>
      <c r="G6" s="1" t="n">
        <v>0.01207666054082436</v>
      </c>
      <c r="H6" s="1" t="n">
        <v>0.04372623574144487</v>
      </c>
      <c r="I6" s="1" t="n">
        <v>0.0292590844738084</v>
      </c>
      <c r="J6" s="1" t="n">
        <v>0.002962962962962963</v>
      </c>
      <c r="K6" s="1" t="n">
        <v>0</v>
      </c>
      <c r="L6" s="1" t="n">
        <v>0.01641010746442056</v>
      </c>
      <c r="M6" s="1" t="n">
        <v>0.03384494293585202</v>
      </c>
      <c r="N6" s="1" t="n">
        <v>0.02781720124893557</v>
      </c>
      <c r="O6" s="1" t="n">
        <v>0.003734129947722181</v>
      </c>
      <c r="P6" s="1" t="n">
        <v>0</v>
      </c>
      <c r="Q6" s="1" t="n">
        <v>0.008043267230619886</v>
      </c>
      <c r="R6" s="1" t="n">
        <v>0.01829268292682927</v>
      </c>
      <c r="S6" s="1" t="n">
        <v>0.01638960430812456</v>
      </c>
      <c r="T6" s="1" t="n">
        <v>0.003638568829593693</v>
      </c>
      <c r="U6" s="1" t="n">
        <v>0</v>
      </c>
      <c r="V6" s="1" t="n">
        <v>0.003493931592497242</v>
      </c>
      <c r="W6" s="1" t="n">
        <v>0.01594114040465972</v>
      </c>
      <c r="X6" s="1" t="n">
        <v>0.01181353767560664</v>
      </c>
      <c r="Y6" s="1" t="n">
        <v>0.001890359168241966</v>
      </c>
      <c r="Z6" s="1" t="n">
        <v>0</v>
      </c>
      <c r="AA6" s="1" t="n">
        <v>0.007462686567164179</v>
      </c>
      <c r="AB6" s="1" t="n">
        <v>0.02860696517412935</v>
      </c>
      <c r="AC6" s="1" t="n">
        <v>0.0207667731629393</v>
      </c>
      <c r="AD6" s="1" t="n">
        <v>0.00306435137895812</v>
      </c>
      <c r="AE6" s="1" t="n">
        <v>0</v>
      </c>
      <c r="AF6" s="1" t="n">
        <v>0.003965477023559599</v>
      </c>
      <c r="AG6" s="1" t="n">
        <v>0.01387406616862327</v>
      </c>
      <c r="AH6" s="1" t="n">
        <v>0.01492236337971365</v>
      </c>
      <c r="AI6" s="1" t="n">
        <v>0.007473841554559043</v>
      </c>
      <c r="AJ6" s="1" t="n">
        <v>0</v>
      </c>
      <c r="AK6" s="1" t="n">
        <v>0.00240445456846368</v>
      </c>
      <c r="AL6" s="1" t="n">
        <v>0.006931776723823422</v>
      </c>
      <c r="AM6" s="1" t="n">
        <v>0.005529387671513414</v>
      </c>
      <c r="AN6" s="1" t="n">
        <v>0.001584786053882726</v>
      </c>
      <c r="AO6" s="1" t="n">
        <v>0</v>
      </c>
      <c r="AP6" s="1" t="n">
        <v>0.002662073285311619</v>
      </c>
      <c r="AQ6" s="1" t="n">
        <v>0.007863695937090432</v>
      </c>
      <c r="AR6" s="1" t="n">
        <v>0.006686279753944905</v>
      </c>
      <c r="AS6" s="1" t="n">
        <v>0.0005319148936170213</v>
      </c>
      <c r="AT6" s="1" t="n">
        <v>0</v>
      </c>
      <c r="AU6" s="1" t="n">
        <v>0.003121748178980229</v>
      </c>
      <c r="AV6" s="1" t="n">
        <v>0.006880733944954129</v>
      </c>
      <c r="AW6" s="1" t="n">
        <v>0.004867872044506259</v>
      </c>
      <c r="AX6" s="1" t="n">
        <v>0</v>
      </c>
      <c r="AY6" s="1" t="n">
        <v>0</v>
      </c>
      <c r="AZ6" s="1" t="n">
        <v>0.004375</v>
      </c>
      <c r="BA6" s="1" t="n">
        <v>0.006734006734006734</v>
      </c>
      <c r="BB6" s="1" t="n">
        <v>0.002935420743639922</v>
      </c>
      <c r="BC6" s="1" t="n">
        <v>0.001626016260162602</v>
      </c>
      <c r="BD6" s="1" t="n">
        <v>0</v>
      </c>
    </row>
    <row r="7">
      <c r="A7" s="4" t="inlineStr">
        <is>
          <t>high_pti_flag</t>
        </is>
      </c>
      <c r="B7" s="1" t="n">
        <v>0.002981260647359455</v>
      </c>
      <c r="C7" s="1" t="n">
        <v>0.006206361520558572</v>
      </c>
      <c r="D7" s="1" t="n">
        <v>0.002857142857142857</v>
      </c>
      <c r="E7" s="1" t="n">
        <v>0.01972685887708649</v>
      </c>
      <c r="F7" s="1" t="n">
        <v>0.02055001511030523</v>
      </c>
      <c r="G7" s="1" t="n">
        <v>0.002362824888422158</v>
      </c>
      <c r="H7" s="1" t="n">
        <v>0.001901140684410646</v>
      </c>
      <c r="I7" s="1" t="n">
        <v>0.001415762151958471</v>
      </c>
      <c r="J7" s="1" t="n">
        <v>0.007407407407407408</v>
      </c>
      <c r="K7" s="1" t="n">
        <v>0.01535399488200171</v>
      </c>
      <c r="L7" s="1" t="n">
        <v>0.001597444089456869</v>
      </c>
      <c r="M7" s="1" t="n">
        <v>0.004329004329004329</v>
      </c>
      <c r="N7" s="1" t="n">
        <v>0.001419244961680386</v>
      </c>
      <c r="O7" s="1" t="n">
        <v>0.004480955937266617</v>
      </c>
      <c r="P7" s="1" t="n">
        <v>0.009265858873841768</v>
      </c>
      <c r="Q7" s="1" t="n">
        <v>0.001664124254611011</v>
      </c>
      <c r="R7" s="1" t="n">
        <v>0.002613240418118467</v>
      </c>
      <c r="S7" s="1" t="n">
        <v>0.00421446967923203</v>
      </c>
      <c r="T7" s="1" t="n">
        <v>0.005457853244390539</v>
      </c>
      <c r="U7" s="1" t="n">
        <v>0.01267694908092119</v>
      </c>
      <c r="V7" s="1" t="n">
        <v>0.002390584773813902</v>
      </c>
      <c r="W7" s="1" t="n">
        <v>0.006131207847946045</v>
      </c>
      <c r="X7" s="1" t="n">
        <v>0.005108556832694764</v>
      </c>
      <c r="Y7" s="1" t="n">
        <v>0.005671077504725898</v>
      </c>
      <c r="Z7" s="1" t="n">
        <v>0.01232876712328767</v>
      </c>
      <c r="AA7" s="1" t="n">
        <v>0.004685872960777508</v>
      </c>
      <c r="AB7" s="1" t="n">
        <v>0.006840796019900498</v>
      </c>
      <c r="AC7" s="1" t="n">
        <v>0.00670926517571885</v>
      </c>
      <c r="AD7" s="1" t="n">
        <v>0.005107252298263534</v>
      </c>
      <c r="AE7" s="1" t="n">
        <v>0.01866801210898083</v>
      </c>
      <c r="AF7" s="1" t="n">
        <v>0.004432003732213669</v>
      </c>
      <c r="AG7" s="1" t="n">
        <v>0.004268943436499467</v>
      </c>
      <c r="AH7" s="1" t="n">
        <v>0.005847953216374269</v>
      </c>
      <c r="AI7" s="1" t="n">
        <v>0.009965122072745391</v>
      </c>
      <c r="AJ7" s="1" t="n">
        <v>0.01588001764446405</v>
      </c>
      <c r="AK7" s="1" t="n">
        <v>0.005821311060491015</v>
      </c>
      <c r="AL7" s="1" t="n">
        <v>0.006566946369937978</v>
      </c>
      <c r="AM7" s="1" t="n">
        <v>0.01003481466311694</v>
      </c>
      <c r="AN7" s="1" t="n">
        <v>0.008980454305335447</v>
      </c>
      <c r="AO7" s="1" t="n">
        <v>0.02055155454066397</v>
      </c>
      <c r="AP7" s="1" t="n">
        <v>0.007986219855934857</v>
      </c>
      <c r="AQ7" s="1" t="n">
        <v>0.005242463958060288</v>
      </c>
      <c r="AR7" s="1" t="n">
        <v>0.008290986894891682</v>
      </c>
      <c r="AS7" s="1" t="n">
        <v>0.01223404255319149</v>
      </c>
      <c r="AT7" s="1" t="n">
        <v>0.01815364179765331</v>
      </c>
      <c r="AU7" s="1" t="n">
        <v>0.007284079084287201</v>
      </c>
      <c r="AV7" s="1" t="n">
        <v>0.005160550458715597</v>
      </c>
      <c r="AW7" s="1" t="n">
        <v>0.007997218358831711</v>
      </c>
      <c r="AX7" s="1" t="n">
        <v>0.01322051824431518</v>
      </c>
      <c r="AY7" s="1" t="n">
        <v>0.01431980906921241</v>
      </c>
      <c r="AZ7" s="1" t="n">
        <v>0.0025</v>
      </c>
      <c r="BA7" s="1" t="n">
        <v>0.006734006734006734</v>
      </c>
      <c r="BB7" s="1" t="n">
        <v>0.003913894324853229</v>
      </c>
      <c r="BC7" s="1" t="n">
        <v>0.006504065040650406</v>
      </c>
      <c r="BD7" s="1" t="n">
        <v>0.01813685078318219</v>
      </c>
    </row>
    <row r="8">
      <c r="A8" s="4" t="inlineStr">
        <is>
          <t>car_make_penalty_flag</t>
        </is>
      </c>
      <c r="B8" s="1" t="n">
        <v>0.002555366269165247</v>
      </c>
      <c r="C8" s="1" t="n">
        <v>0.006982156710628394</v>
      </c>
      <c r="D8" s="1" t="n">
        <v>0.001428571428571429</v>
      </c>
      <c r="E8" s="1" t="n">
        <v>0.001517450682852807</v>
      </c>
      <c r="F8" s="1" t="n">
        <v>0.006044122091266244</v>
      </c>
      <c r="G8" s="1" t="n">
        <v>0.002362824888422158</v>
      </c>
      <c r="H8" s="1" t="n">
        <v>0.005703422053231939</v>
      </c>
      <c r="I8" s="1" t="n">
        <v>0.005663048607833884</v>
      </c>
      <c r="J8" s="1" t="n">
        <v>0.002962962962962963</v>
      </c>
      <c r="K8" s="1" t="n">
        <v>0.001137332954222349</v>
      </c>
      <c r="L8" s="1" t="n">
        <v>0.006099331977926227</v>
      </c>
      <c r="M8" s="1" t="n">
        <v>0.00747737111373475</v>
      </c>
      <c r="N8" s="1" t="n">
        <v>0.003690036900369004</v>
      </c>
      <c r="O8" s="1" t="n">
        <v>0.002240477968633308</v>
      </c>
      <c r="P8" s="1" t="n">
        <v>0.001781895937277263</v>
      </c>
      <c r="Q8" s="1" t="n">
        <v>0.001941478297046179</v>
      </c>
      <c r="R8" s="1" t="n">
        <v>0.0008710801393728223</v>
      </c>
      <c r="S8" s="1" t="n">
        <v>0.001404823226410677</v>
      </c>
      <c r="T8" s="1" t="n">
        <v>0</v>
      </c>
      <c r="U8" s="1" t="n">
        <v>0.001478977392774139</v>
      </c>
      <c r="V8" s="1" t="n">
        <v>0</v>
      </c>
      <c r="W8" s="1" t="n">
        <v>0.003065603923973023</v>
      </c>
      <c r="X8" s="1" t="n">
        <v>0.0006385696040868455</v>
      </c>
      <c r="Y8" s="1" t="n">
        <v>0.000945179584120983</v>
      </c>
      <c r="Z8" s="1" t="n">
        <v>0.000273972602739726</v>
      </c>
      <c r="AA8" s="1" t="n">
        <v>0.000173550850399167</v>
      </c>
      <c r="AB8" s="1" t="n">
        <v>0.001865671641791045</v>
      </c>
      <c r="AC8" s="1" t="n">
        <v>0.0006389776357827476</v>
      </c>
      <c r="AD8" s="1" t="n">
        <v>0</v>
      </c>
      <c r="AE8" s="1" t="n">
        <v>0.001261352169525732</v>
      </c>
      <c r="AF8" s="1" t="n">
        <v>0.000583158385817588</v>
      </c>
      <c r="AG8" s="1" t="n">
        <v>0.001422981145499822</v>
      </c>
      <c r="AH8" s="1" t="n">
        <v>0.001613228473482557</v>
      </c>
      <c r="AI8" s="1" t="n">
        <v>0</v>
      </c>
      <c r="AJ8" s="1" t="n">
        <v>0.0001470372004117042</v>
      </c>
      <c r="AK8" s="1" t="n">
        <v>0.0002531004808909137</v>
      </c>
      <c r="AL8" s="1" t="n">
        <v>0.001824151769427216</v>
      </c>
      <c r="AM8" s="1" t="n">
        <v>0.001023960679909891</v>
      </c>
      <c r="AN8" s="1" t="n">
        <v>0</v>
      </c>
      <c r="AO8" s="1" t="n">
        <v>0.0005269629369401019</v>
      </c>
      <c r="AP8" s="1" t="n">
        <v>0</v>
      </c>
      <c r="AQ8" s="1" t="n">
        <v>0</v>
      </c>
      <c r="AR8" s="1" t="n">
        <v>0.001069804760631185</v>
      </c>
      <c r="AS8" s="1" t="n">
        <v>0.0005319148936170213</v>
      </c>
      <c r="AT8" s="1" t="n">
        <v>0.0002213858755811379</v>
      </c>
      <c r="AU8" s="1" t="n">
        <v>0.0008324661810613944</v>
      </c>
      <c r="AV8" s="1" t="n">
        <v>0.001146788990825688</v>
      </c>
      <c r="AW8" s="1" t="n">
        <v>0.001043115438108484</v>
      </c>
      <c r="AX8" s="1" t="n">
        <v>0</v>
      </c>
      <c r="AY8" s="1" t="n">
        <v>0.0002651816494298595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</row>
    <row r="9">
      <c r="A9" s="4" t="inlineStr">
        <is>
          <t>car_make_benefit_flag</t>
        </is>
      </c>
      <c r="B9" s="1" t="n">
        <v>0.120954003407155</v>
      </c>
      <c r="C9" s="1" t="n">
        <v>0.1536074476338247</v>
      </c>
      <c r="D9" s="1" t="n">
        <v>0.1364285714285714</v>
      </c>
      <c r="E9" s="1" t="n">
        <v>0.1593323216995448</v>
      </c>
      <c r="F9" s="1" t="n">
        <v>0.03898458748866727</v>
      </c>
      <c r="G9" s="1" t="n">
        <v>0.107639800472565</v>
      </c>
      <c r="H9" s="1" t="n">
        <v>0.1774397972116603</v>
      </c>
      <c r="I9" s="1" t="n">
        <v>0.1571495988673903</v>
      </c>
      <c r="J9" s="1" t="n">
        <v>0.1377777777777778</v>
      </c>
      <c r="K9" s="1" t="n">
        <v>0.06880864373045209</v>
      </c>
      <c r="L9" s="1" t="n">
        <v>0.1004937554458321</v>
      </c>
      <c r="M9" s="1" t="n">
        <v>0.1751279024006297</v>
      </c>
      <c r="N9" s="1" t="n">
        <v>0.1705932443939824</v>
      </c>
      <c r="O9" s="1" t="n">
        <v>0.1314413741598208</v>
      </c>
      <c r="P9" s="1" t="n">
        <v>0.05399144689950107</v>
      </c>
      <c r="Q9" s="1" t="n">
        <v>0.1266121203716544</v>
      </c>
      <c r="R9" s="1" t="n">
        <v>0.1968641114982578</v>
      </c>
      <c r="S9" s="1" t="n">
        <v>0.1833294310465933</v>
      </c>
      <c r="T9" s="1" t="n">
        <v>0.1315949060036386</v>
      </c>
      <c r="U9" s="1" t="n">
        <v>0.07648425945489119</v>
      </c>
      <c r="V9" s="145" t="n">
        <v>0.1518940787054064</v>
      </c>
      <c r="W9" s="145" t="n">
        <v>0.220110361741263</v>
      </c>
      <c r="X9" s="145" t="n">
        <v>0.2155172413793103</v>
      </c>
      <c r="Y9" s="145" t="n">
        <v>0.1616257088846881</v>
      </c>
      <c r="Z9" s="145" t="n">
        <v>0.09808219178082192</v>
      </c>
      <c r="AA9" s="145" t="n">
        <v>0.2228392919125304</v>
      </c>
      <c r="AB9" s="145" t="n">
        <v>0.2450248756218905</v>
      </c>
      <c r="AC9" s="145" t="n">
        <v>0.2447284345047923</v>
      </c>
      <c r="AD9" s="145" t="n">
        <v>0.2083758937691522</v>
      </c>
      <c r="AE9" s="145" t="n">
        <v>0.1450554994954591</v>
      </c>
      <c r="AF9" s="145" t="n">
        <v>0.2439934686260788</v>
      </c>
      <c r="AG9" s="145" t="n">
        <v>0.2347918890074706</v>
      </c>
      <c r="AH9" s="145" t="n">
        <v>0.245412381528534</v>
      </c>
      <c r="AI9" s="145" t="n">
        <v>0.2062780269058296</v>
      </c>
      <c r="AJ9" s="145" t="n">
        <v>0.1776209380973386</v>
      </c>
      <c r="AK9" s="145" t="n">
        <v>0.2582890407491774</v>
      </c>
      <c r="AL9" s="145" t="n">
        <v>0.260124042320321</v>
      </c>
      <c r="AM9" s="145" t="n">
        <v>0.283227524063076</v>
      </c>
      <c r="AN9" s="145" t="n">
        <v>0.2435287902799789</v>
      </c>
      <c r="AO9" s="145" t="n">
        <v>0.2633058141577376</v>
      </c>
      <c r="AP9" s="145" t="n">
        <v>0.274819918571876</v>
      </c>
      <c r="AQ9" s="145" t="n">
        <v>0.2992573176059415</v>
      </c>
      <c r="AR9" s="145" t="n">
        <v>0.2904519925113667</v>
      </c>
      <c r="AS9" s="145" t="n">
        <v>0.2457446808510638</v>
      </c>
      <c r="AT9" s="145" t="n">
        <v>0.2831525348682754</v>
      </c>
      <c r="AU9" s="145" t="n">
        <v>0.323621227887617</v>
      </c>
      <c r="AV9" s="145" t="n">
        <v>0.3159403669724771</v>
      </c>
      <c r="AW9" s="145" t="n">
        <v>0.3508344923504868</v>
      </c>
      <c r="AX9" s="145" t="n">
        <v>0.251718667371761</v>
      </c>
      <c r="AY9" s="145" t="n">
        <v>0.3367806947759215</v>
      </c>
      <c r="AZ9" s="145" t="n">
        <v>0.321875</v>
      </c>
      <c r="BA9" s="145" t="n">
        <v>0.3434343434343434</v>
      </c>
      <c r="BB9" s="145" t="n">
        <v>0.3933463796477495</v>
      </c>
      <c r="BC9" s="145" t="n">
        <v>0.2471544715447155</v>
      </c>
      <c r="BD9" s="145" t="n">
        <v>0.3314097279472383</v>
      </c>
    </row>
    <row r="10">
      <c r="A10" s="4" t="inlineStr">
        <is>
          <t>theft_risk_flag</t>
        </is>
      </c>
      <c r="B10" s="1" t="n">
        <v>0.05494037478705281</v>
      </c>
      <c r="C10" s="1" t="n">
        <v>0.04732350659425912</v>
      </c>
      <c r="D10" s="1" t="n">
        <v>0.05642857142857143</v>
      </c>
      <c r="E10" s="1" t="n">
        <v>0.07132018209408195</v>
      </c>
      <c r="F10" s="1" t="n">
        <v>0.1801148383197341</v>
      </c>
      <c r="G10" s="1" t="n">
        <v>0.05802047781569966</v>
      </c>
      <c r="H10" s="1" t="n">
        <v>0.05069708491761724</v>
      </c>
      <c r="I10" s="1" t="n">
        <v>0.04860783388390751</v>
      </c>
      <c r="J10" s="1" t="n">
        <v>0.06666666666666667</v>
      </c>
      <c r="K10" s="1" t="n">
        <v>0.1103212965595678</v>
      </c>
      <c r="L10" s="1" t="n">
        <v>0.0742085390647691</v>
      </c>
      <c r="M10" s="1" t="n">
        <v>0.05785123966942149</v>
      </c>
      <c r="N10" s="1" t="n">
        <v>0.06358217428328129</v>
      </c>
      <c r="O10" s="1" t="n">
        <v>0.08663181478715459</v>
      </c>
      <c r="P10" s="1" t="n">
        <v>0.08784746970776906</v>
      </c>
      <c r="Q10" s="1" t="n">
        <v>0.06309804465400083</v>
      </c>
      <c r="R10" s="1" t="n">
        <v>0.05139372822299652</v>
      </c>
      <c r="S10" s="1" t="n">
        <v>0.0501053617419808</v>
      </c>
      <c r="T10" s="1" t="n">
        <v>0.08853850818677987</v>
      </c>
      <c r="U10" s="1" t="n">
        <v>0.07035706739911261</v>
      </c>
      <c r="V10" s="1" t="n">
        <v>0.06031629275468922</v>
      </c>
      <c r="W10" s="1" t="n">
        <v>0.03923973022685469</v>
      </c>
      <c r="X10" s="1" t="n">
        <v>0.0322477650063857</v>
      </c>
      <c r="Y10" s="1" t="n">
        <v>0.05954631379962193</v>
      </c>
      <c r="Z10" s="1" t="n">
        <v>0.04</v>
      </c>
      <c r="AA10" s="1" t="n">
        <v>0.05553627212773343</v>
      </c>
      <c r="AB10" s="1" t="n">
        <v>0.05286069651741294</v>
      </c>
      <c r="AC10" s="1" t="n">
        <v>0.04281150159744409</v>
      </c>
      <c r="AD10" s="1" t="n">
        <v>0.04085801838610827</v>
      </c>
      <c r="AE10" s="1" t="n">
        <v>0.02573158425832493</v>
      </c>
      <c r="AF10" s="1" t="n">
        <v>0.05574994168416142</v>
      </c>
      <c r="AG10" s="1" t="n">
        <v>0.05265030238349342</v>
      </c>
      <c r="AH10" s="1" t="n">
        <v>0.04759023996773543</v>
      </c>
      <c r="AI10" s="1" t="n">
        <v>0.06427503736920777</v>
      </c>
      <c r="AJ10" s="1" t="n">
        <v>0.009263343625937363</v>
      </c>
      <c r="AK10" s="1" t="n">
        <v>0.05036699569729183</v>
      </c>
      <c r="AL10" s="1" t="n">
        <v>0.04633345494345129</v>
      </c>
      <c r="AM10" s="1" t="n">
        <v>0.04566864632398116</v>
      </c>
      <c r="AN10" s="1" t="n">
        <v>0.06550449022715267</v>
      </c>
      <c r="AO10" s="1" t="n">
        <v>0.007553135429474793</v>
      </c>
      <c r="AP10" s="1" t="n">
        <v>0.03867835891011588</v>
      </c>
      <c r="AQ10" s="1" t="n">
        <v>0.03713411970292704</v>
      </c>
      <c r="AR10" s="1" t="n">
        <v>0.04439689756619417</v>
      </c>
      <c r="AS10" s="1" t="n">
        <v>0.05851063829787234</v>
      </c>
      <c r="AT10" s="1" t="n">
        <v>0.004427717511622758</v>
      </c>
      <c r="AU10" s="1" t="n">
        <v>0.02476586888657648</v>
      </c>
      <c r="AV10" s="1" t="n">
        <v>0.04759174311926605</v>
      </c>
      <c r="AW10" s="1" t="n">
        <v>0.03129346314325452</v>
      </c>
      <c r="AX10" s="1" t="n">
        <v>0.03648863035430989</v>
      </c>
      <c r="AY10" s="1" t="n">
        <v>0.002651816494298595</v>
      </c>
      <c r="AZ10" s="1" t="n">
        <v>0.028125</v>
      </c>
      <c r="BA10" s="1" t="n">
        <v>0.04377104377104377</v>
      </c>
      <c r="BB10" s="1" t="n">
        <v>0.03424657534246575</v>
      </c>
      <c r="BC10" s="1" t="n">
        <v>0.03902439024390244</v>
      </c>
      <c r="BD10" s="1" t="n">
        <v>0.003297609233305853</v>
      </c>
    </row>
    <row r="11">
      <c r="A11" s="4" t="inlineStr">
        <is>
          <t>mcy_low_mileage_flag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</row>
    <row r="12">
      <c r="A12" s="4" t="inlineStr">
        <is>
          <t>weekend_flag</t>
        </is>
      </c>
      <c r="B12" s="1" t="n">
        <v>0.2235945485519591</v>
      </c>
      <c r="C12" s="1" t="n">
        <v>0.2839410395655547</v>
      </c>
      <c r="D12" s="1" t="n">
        <v>0.2421428571428571</v>
      </c>
      <c r="E12" s="1" t="n">
        <v>0.3095599393019727</v>
      </c>
      <c r="F12" s="1" t="n">
        <v>0.166515563614385</v>
      </c>
      <c r="G12" s="1" t="n">
        <v>0.2160672092412707</v>
      </c>
      <c r="H12" s="1" t="n">
        <v>0.2762991128010139</v>
      </c>
      <c r="I12" s="1" t="n">
        <v>0.2590844738084002</v>
      </c>
      <c r="J12" s="1" t="n">
        <v>0.3155555555555555</v>
      </c>
      <c r="K12" s="1" t="n">
        <v>0.2143872618709127</v>
      </c>
      <c r="L12" s="1" t="n">
        <v>0.2274179494626779</v>
      </c>
      <c r="M12" s="1" t="n">
        <v>0.2758756395120032</v>
      </c>
      <c r="N12" s="1" t="n">
        <v>0.2591541300028385</v>
      </c>
      <c r="O12" s="1" t="n">
        <v>0.2666168782673637</v>
      </c>
      <c r="P12" s="1" t="n">
        <v>0.2165003563791875</v>
      </c>
      <c r="Q12" s="1" t="n">
        <v>0.2318679794758009</v>
      </c>
      <c r="R12" s="1" t="n">
        <v>0.2839721254355401</v>
      </c>
      <c r="S12" s="1" t="n">
        <v>0.2610629829079841</v>
      </c>
      <c r="T12" s="1" t="n">
        <v>0.2698605215281989</v>
      </c>
      <c r="U12" s="1" t="n">
        <v>0.190999366152546</v>
      </c>
      <c r="V12" s="1" t="n">
        <v>0.2469657962486208</v>
      </c>
      <c r="W12" s="1" t="n">
        <v>0.2783568362967505</v>
      </c>
      <c r="X12" s="1" t="n">
        <v>0.2614942528735632</v>
      </c>
      <c r="Y12" s="1" t="n">
        <v>0.2268431001890359</v>
      </c>
      <c r="Z12" s="1" t="n">
        <v>0.210958904109589</v>
      </c>
      <c r="AA12" s="1" t="n">
        <v>0.2552933009371746</v>
      </c>
      <c r="AB12" s="1" t="n">
        <v>0.2916666666666667</v>
      </c>
      <c r="AC12" s="1" t="n">
        <v>0.2680511182108626</v>
      </c>
      <c r="AD12" s="1" t="n">
        <v>0.2839632277834525</v>
      </c>
      <c r="AE12" s="1" t="n">
        <v>0.2131685166498486</v>
      </c>
      <c r="AF12" s="1" t="n">
        <v>0.2828318171215302</v>
      </c>
      <c r="AG12" s="1" t="n">
        <v>0.3269299181785841</v>
      </c>
      <c r="AH12" s="1" t="n">
        <v>0.2911877394636015</v>
      </c>
      <c r="AI12" s="1" t="n">
        <v>0.3029397110114599</v>
      </c>
      <c r="AJ12" s="1" t="n">
        <v>0.2427584178797236</v>
      </c>
      <c r="AK12" s="1" t="n">
        <v>0.2695520121488231</v>
      </c>
      <c r="AL12" s="1" t="n">
        <v>0.3122947829259394</v>
      </c>
      <c r="AM12" s="1" t="n">
        <v>0.2850706532869138</v>
      </c>
      <c r="AN12" s="1" t="n">
        <v>0.2884310618066561</v>
      </c>
      <c r="AO12" s="1" t="n">
        <v>0.2255401370103636</v>
      </c>
      <c r="AP12" s="1" t="n">
        <v>0.2730974005637332</v>
      </c>
      <c r="AQ12" s="1" t="n">
        <v>0.290083005679336</v>
      </c>
      <c r="AR12" s="1" t="n">
        <v>0.2789515913345814</v>
      </c>
      <c r="AS12" s="1" t="n">
        <v>0.2851063829787234</v>
      </c>
      <c r="AT12" s="1" t="n">
        <v>0.2165153863183529</v>
      </c>
      <c r="AU12" s="1" t="n">
        <v>0.2896982310093653</v>
      </c>
      <c r="AV12" s="1" t="n">
        <v>0.3222477064220183</v>
      </c>
      <c r="AW12" s="1" t="n">
        <v>0.301808066759388</v>
      </c>
      <c r="AX12" s="1" t="n">
        <v>0.29613960867266</v>
      </c>
      <c r="AY12" s="1" t="n">
        <v>0.224608857067091</v>
      </c>
      <c r="AZ12" s="1" t="n">
        <v>0.294375</v>
      </c>
      <c r="BA12" s="1" t="n">
        <v>0.3333333333333333</v>
      </c>
      <c r="BB12" s="1" t="n">
        <v>0.3033268101761252</v>
      </c>
      <c r="BC12" s="1" t="n">
        <v>0.2910569105691057</v>
      </c>
      <c r="BD12" s="1" t="n">
        <v>0.2448474855729596</v>
      </c>
    </row>
    <row r="13">
      <c r="A13" s="4" t="inlineStr">
        <is>
          <t>weekday_flag</t>
        </is>
      </c>
      <c r="B13" s="1" t="n">
        <v>0.7764054514480409</v>
      </c>
      <c r="C13" s="1" t="n">
        <v>0.7160589604344453</v>
      </c>
      <c r="D13" s="1" t="n">
        <v>0.7578571428571429</v>
      </c>
      <c r="E13" s="1" t="n">
        <v>0.6904400606980273</v>
      </c>
      <c r="F13" s="1" t="n">
        <v>0.833484436385615</v>
      </c>
      <c r="G13" s="1" t="n">
        <v>0.7839327907587293</v>
      </c>
      <c r="H13" s="1" t="n">
        <v>0.7237008871989861</v>
      </c>
      <c r="I13" s="1" t="n">
        <v>0.7409155261915998</v>
      </c>
      <c r="J13" s="1" t="n">
        <v>0.6844444444444444</v>
      </c>
      <c r="K13" s="1" t="n">
        <v>0.7856127381290873</v>
      </c>
      <c r="L13" s="1" t="n">
        <v>0.7725820505373221</v>
      </c>
      <c r="M13" s="1" t="n">
        <v>0.7241243604879969</v>
      </c>
      <c r="N13" s="1" t="n">
        <v>0.7408458699971615</v>
      </c>
      <c r="O13" s="1" t="n">
        <v>0.7333831217326363</v>
      </c>
      <c r="P13" s="1" t="n">
        <v>0.7834996436208126</v>
      </c>
      <c r="Q13" s="1" t="n">
        <v>0.7681320205241992</v>
      </c>
      <c r="R13" s="1" t="n">
        <v>0.7160278745644599</v>
      </c>
      <c r="S13" s="1" t="n">
        <v>0.7389370170920159</v>
      </c>
      <c r="T13" s="1" t="n">
        <v>0.7301394784718011</v>
      </c>
      <c r="U13" s="1" t="n">
        <v>0.809000633847454</v>
      </c>
      <c r="V13" s="1" t="n">
        <v>0.7530342037513792</v>
      </c>
      <c r="W13" s="1" t="n">
        <v>0.7216431637032495</v>
      </c>
      <c r="X13" s="1" t="n">
        <v>0.7385057471264368</v>
      </c>
      <c r="Y13" s="1" t="n">
        <v>0.7731568998109641</v>
      </c>
      <c r="Z13" s="1" t="n">
        <v>0.7890410958904109</v>
      </c>
      <c r="AA13" s="1" t="n">
        <v>0.7447066990628254</v>
      </c>
      <c r="AB13" s="1" t="n">
        <v>0.7083333333333334</v>
      </c>
      <c r="AC13" s="1" t="n">
        <v>0.7319488817891374</v>
      </c>
      <c r="AD13" s="1" t="n">
        <v>0.7160367722165475</v>
      </c>
      <c r="AE13" s="1" t="n">
        <v>0.7868314833501514</v>
      </c>
      <c r="AF13" s="1" t="n">
        <v>0.7171681828784698</v>
      </c>
      <c r="AG13" s="1" t="n">
        <v>0.6730700818214158</v>
      </c>
      <c r="AH13" s="1" t="n">
        <v>0.7088122605363985</v>
      </c>
      <c r="AI13" s="1" t="n">
        <v>0.6970602889885401</v>
      </c>
      <c r="AJ13" s="1" t="n">
        <v>0.7572415821202765</v>
      </c>
      <c r="AK13" s="1" t="n">
        <v>0.7304479878511769</v>
      </c>
      <c r="AL13" s="1" t="n">
        <v>0.6877052170740605</v>
      </c>
      <c r="AM13" s="1" t="n">
        <v>0.7149293467130862</v>
      </c>
      <c r="AN13" s="1" t="n">
        <v>0.7115689381933439</v>
      </c>
      <c r="AO13" s="1" t="n">
        <v>0.7744598629896364</v>
      </c>
      <c r="AP13" s="1" t="n">
        <v>0.7269025994362668</v>
      </c>
      <c r="AQ13" s="1" t="n">
        <v>0.709916994320664</v>
      </c>
      <c r="AR13" s="1" t="n">
        <v>0.7210484086654185</v>
      </c>
      <c r="AS13" s="1" t="n">
        <v>0.7148936170212766</v>
      </c>
      <c r="AT13" s="1" t="n">
        <v>0.7834846136816471</v>
      </c>
      <c r="AU13" s="1" t="n">
        <v>0.7103017689906348</v>
      </c>
      <c r="AV13" s="1" t="n">
        <v>0.6777522935779816</v>
      </c>
      <c r="AW13" s="1" t="n">
        <v>0.6981919332406119</v>
      </c>
      <c r="AX13" s="1" t="n">
        <v>0.70386039132734</v>
      </c>
      <c r="AY13" s="1" t="n">
        <v>0.775391142932909</v>
      </c>
      <c r="AZ13" s="1" t="n">
        <v>0.7056249999999999</v>
      </c>
      <c r="BA13" s="1" t="n">
        <v>0.6666666666666666</v>
      </c>
      <c r="BB13" s="1" t="n">
        <v>0.6966731898238747</v>
      </c>
      <c r="BC13" s="1" t="n">
        <v>0.7089430894308943</v>
      </c>
      <c r="BD13" s="1" t="n">
        <v>0.7551525144270403</v>
      </c>
    </row>
    <row r="14">
      <c r="A14" s="4" t="inlineStr">
        <is>
          <t>student_loan_flag</t>
        </is>
      </c>
      <c r="B14" s="10" t="n">
        <v>0.004684838160136286</v>
      </c>
      <c r="C14" s="10" t="n">
        <v>0.002327385570209465</v>
      </c>
      <c r="D14" s="10" t="n">
        <v>0</v>
      </c>
      <c r="E14" s="10" t="n">
        <v>0.001517450682852807</v>
      </c>
      <c r="F14" s="10" t="n">
        <v>0.001511030522816561</v>
      </c>
      <c r="G14" s="10" t="n">
        <v>0.05854555001312681</v>
      </c>
      <c r="H14" s="10" t="n">
        <v>0.1292775665399239</v>
      </c>
      <c r="I14" s="10" t="n">
        <v>0.08258612553091081</v>
      </c>
      <c r="J14" s="10" t="n">
        <v>0.08296296296296296</v>
      </c>
      <c r="K14" s="10" t="n">
        <v>0.132214955928348</v>
      </c>
      <c r="L14" s="10" t="n">
        <v>0.1704908510020331</v>
      </c>
      <c r="M14" s="10" t="n">
        <v>0.2066115702479339</v>
      </c>
      <c r="N14" s="10" t="n">
        <v>0.1600908316775475</v>
      </c>
      <c r="O14" s="10" t="n">
        <v>0.1994025392083645</v>
      </c>
      <c r="P14" s="10" t="n">
        <v>0.25784034212402</v>
      </c>
      <c r="Q14" s="10" t="n">
        <v>0.1578144501456109</v>
      </c>
      <c r="R14" s="10" t="n">
        <v>0.1942508710801394</v>
      </c>
      <c r="S14" s="10" t="n">
        <v>0.1631936314680403</v>
      </c>
      <c r="T14" s="10" t="n">
        <v>0.212856276531231</v>
      </c>
      <c r="U14" s="10" t="n">
        <v>0.2537502641031059</v>
      </c>
      <c r="V14" s="10" t="n">
        <v>0.1594336152997426</v>
      </c>
      <c r="W14" s="10" t="n">
        <v>0.1784181483752299</v>
      </c>
      <c r="X14" s="10" t="n">
        <v>0.1660280970625798</v>
      </c>
      <c r="Y14" s="10" t="n">
        <v>0.224952741020794</v>
      </c>
      <c r="Z14" s="10" t="n">
        <v>0.2580821917808219</v>
      </c>
      <c r="AA14" s="10" t="n">
        <v>0.1768483165567511</v>
      </c>
      <c r="AB14" s="10" t="n">
        <v>0.2008706467661691</v>
      </c>
      <c r="AC14" s="10" t="n">
        <v>0.2006389776357828</v>
      </c>
      <c r="AD14" s="10" t="n">
        <v>0.2349336057201226</v>
      </c>
      <c r="AE14" s="10" t="n">
        <v>0.2737134207870838</v>
      </c>
      <c r="AF14" s="10" t="n">
        <v>0.1838115232097038</v>
      </c>
      <c r="AG14" s="10" t="n">
        <v>0.2134471718249733</v>
      </c>
      <c r="AH14" s="10" t="n">
        <v>0.2020568663036903</v>
      </c>
      <c r="AI14" s="10" t="n">
        <v>0.2590931738913801</v>
      </c>
      <c r="AJ14" s="10" t="n">
        <v>0.2774591971768858</v>
      </c>
      <c r="AK14" s="10" t="n">
        <v>0.1365477094406479</v>
      </c>
      <c r="AL14" s="10" t="n">
        <v>0.1594308646479387</v>
      </c>
      <c r="AM14" s="10" t="n">
        <v>0.1558468154822855</v>
      </c>
      <c r="AN14" s="10" t="n">
        <v>0.2329635499207607</v>
      </c>
      <c r="AO14" s="10" t="n">
        <v>0.2371333216230458</v>
      </c>
      <c r="AP14" s="10" t="n">
        <v>0.1445349201378014</v>
      </c>
      <c r="AQ14" s="10" t="n">
        <v>0.1681957186544343</v>
      </c>
      <c r="AR14" s="10" t="n">
        <v>0.1612730676651511</v>
      </c>
      <c r="AS14" s="10" t="n">
        <v>0.1984042553191489</v>
      </c>
      <c r="AT14" s="10" t="n">
        <v>0.2273632942218287</v>
      </c>
      <c r="AU14" s="10" t="n">
        <v>0.03870967741935484</v>
      </c>
      <c r="AV14" s="10" t="n">
        <v>0.04587155963302753</v>
      </c>
      <c r="AW14" s="10" t="n">
        <v>0.05076495132127955</v>
      </c>
      <c r="AX14" s="10" t="n">
        <v>0.07615018508725542</v>
      </c>
      <c r="AY14" s="10" t="n">
        <v>0.08008485812781756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</row>
    <row r="15">
      <c r="A15" s="4" t="inlineStr">
        <is>
          <t>student_loans_cutoff_date</t>
        </is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1" t="n">
        <v>1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>
        <v>1</v>
      </c>
      <c r="AU15" s="1" t="n">
        <v>1</v>
      </c>
      <c r="AV15" s="1" t="n">
        <v>1</v>
      </c>
      <c r="AW15" s="1" t="n">
        <v>1</v>
      </c>
      <c r="AX15" s="1" t="n">
        <v>1</v>
      </c>
      <c r="AY15" s="1" t="n">
        <v>1</v>
      </c>
      <c r="AZ15" s="1" t="n">
        <v>1</v>
      </c>
      <c r="BA15" s="1" t="n">
        <v>1</v>
      </c>
      <c r="BB15" s="1" t="n">
        <v>1</v>
      </c>
      <c r="BC15" s="1" t="n">
        <v>1</v>
      </c>
      <c r="BD15" s="1" t="n">
        <v>1</v>
      </c>
    </row>
    <row r="16">
      <c r="A16" s="4" t="inlineStr">
        <is>
          <t>low_pti_flag</t>
        </is>
      </c>
      <c r="B16" s="1" t="n">
        <v>0.05281090289608177</v>
      </c>
      <c r="C16" s="1" t="n">
        <v>0.05430566330488751</v>
      </c>
      <c r="D16" s="1" t="n">
        <v>0.04428571428571428</v>
      </c>
      <c r="E16" s="1" t="n">
        <v>0.02883156297420334</v>
      </c>
      <c r="F16" s="1" t="n">
        <v>0</v>
      </c>
      <c r="G16" s="1" t="n">
        <v>0.04463113678130743</v>
      </c>
      <c r="H16" s="1" t="n">
        <v>0.04119138149556401</v>
      </c>
      <c r="I16" s="1" t="n">
        <v>0.03303445021236432</v>
      </c>
      <c r="J16" s="1" t="n">
        <v>0.01777777777777778</v>
      </c>
      <c r="K16" s="1" t="n">
        <v>0</v>
      </c>
      <c r="L16" s="1" t="n">
        <v>0.04385710136508859</v>
      </c>
      <c r="M16" s="1" t="n">
        <v>0.05273514364423455</v>
      </c>
      <c r="N16" s="1" t="n">
        <v>0.03945500993471473</v>
      </c>
      <c r="O16" s="1" t="n">
        <v>0.04256908140403286</v>
      </c>
      <c r="P16" s="1" t="n">
        <v>0</v>
      </c>
      <c r="Q16" s="1" t="n">
        <v>0.051033143808071</v>
      </c>
      <c r="R16" s="1" t="n">
        <v>0.06054006968641115</v>
      </c>
      <c r="S16" s="1" t="n">
        <v>0.04144228517911496</v>
      </c>
      <c r="T16" s="1" t="n">
        <v>0.05700424499696786</v>
      </c>
      <c r="U16" s="1" t="n">
        <v>0</v>
      </c>
      <c r="V16" s="1" t="n">
        <v>0.05351232070614197</v>
      </c>
      <c r="W16" s="1" t="n">
        <v>0.05272838749233599</v>
      </c>
      <c r="X16" s="1" t="n">
        <v>0.04469987228607918</v>
      </c>
      <c r="Y16" s="1" t="n">
        <v>0.05482041587901702</v>
      </c>
      <c r="Z16" s="1" t="n">
        <v>0</v>
      </c>
      <c r="AA16" s="1" t="n">
        <v>0.05189170426935092</v>
      </c>
      <c r="AB16" s="1" t="n">
        <v>0.05659203980099502</v>
      </c>
      <c r="AC16" s="1" t="n">
        <v>0.04376996805111821</v>
      </c>
      <c r="AD16" s="1" t="n">
        <v>0.04800817160367722</v>
      </c>
      <c r="AE16" s="1" t="n">
        <v>0</v>
      </c>
      <c r="AF16" s="1" t="n">
        <v>0.0556333100069979</v>
      </c>
      <c r="AG16" s="1" t="n">
        <v>0.05407328352899324</v>
      </c>
      <c r="AH16" s="1" t="n">
        <v>0.04738858640855011</v>
      </c>
      <c r="AI16" s="1" t="n">
        <v>0.04534130543099153</v>
      </c>
      <c r="AJ16" s="1" t="n">
        <v>0</v>
      </c>
      <c r="AK16" s="1" t="n">
        <v>0.04467223487724627</v>
      </c>
      <c r="AL16" s="1" t="n">
        <v>0.05837285662167092</v>
      </c>
      <c r="AM16" s="1" t="n">
        <v>0.03809133729264796</v>
      </c>
      <c r="AN16" s="1" t="n">
        <v>0.05441098784997359</v>
      </c>
      <c r="AO16" s="1" t="n">
        <v>0</v>
      </c>
      <c r="AP16" s="1" t="n">
        <v>0.0413404321954275</v>
      </c>
      <c r="AQ16" s="1" t="n">
        <v>0.05067715159458279</v>
      </c>
      <c r="AR16" s="1" t="n">
        <v>0.04065258090398502</v>
      </c>
      <c r="AS16" s="1" t="n">
        <v>0.05053191489361702</v>
      </c>
      <c r="AT16" s="1" t="n">
        <v>0</v>
      </c>
      <c r="AU16" s="1" t="n">
        <v>0.0372528616024974</v>
      </c>
      <c r="AV16" s="1" t="n">
        <v>0.0430045871559633</v>
      </c>
      <c r="AW16" s="1" t="n">
        <v>0.04102920723226704</v>
      </c>
      <c r="AX16" s="1" t="n">
        <v>0.0449497620306716</v>
      </c>
      <c r="AY16" s="1" t="n">
        <v>0</v>
      </c>
      <c r="AZ16" s="1" t="n">
        <v>0.04</v>
      </c>
      <c r="BA16" s="1" t="n">
        <v>0.04040404040404041</v>
      </c>
      <c r="BB16" s="1" t="n">
        <v>0.04207436399217221</v>
      </c>
      <c r="BC16" s="1" t="n">
        <v>0.03739837398373984</v>
      </c>
      <c r="BD16" s="1" t="n">
        <v>0</v>
      </c>
    </row>
    <row r="17">
      <c r="A17" s="4" t="inlineStr">
        <is>
          <t>nonkmx_chime_flag</t>
        </is>
      </c>
      <c r="B17" s="11" t="n">
        <v>0.09582623509369677</v>
      </c>
      <c r="C17" s="11" t="n">
        <v>0.06516679596586501</v>
      </c>
      <c r="D17" s="11" t="n">
        <v>0.07142857142857142</v>
      </c>
      <c r="E17" s="11" t="n">
        <v>0.07587253414264036</v>
      </c>
      <c r="F17" s="11" t="n">
        <v>0.09519492293744333</v>
      </c>
      <c r="G17" s="11" t="n">
        <v>0.1136781307429772</v>
      </c>
      <c r="H17" s="11" t="n">
        <v>0.07731305449936629</v>
      </c>
      <c r="I17" s="11" t="n">
        <v>0.07173194903256253</v>
      </c>
      <c r="J17" s="11" t="n">
        <v>0.05777777777777778</v>
      </c>
      <c r="K17" s="11" t="n">
        <v>0.1074779641740119</v>
      </c>
      <c r="L17" s="11" t="n">
        <v>0.1694742956723787</v>
      </c>
      <c r="M17" s="11" t="n">
        <v>0.1078315623770169</v>
      </c>
      <c r="N17" s="11" t="n">
        <v>0.1319897814362759</v>
      </c>
      <c r="O17" s="11" t="n">
        <v>0.1127707244212099</v>
      </c>
      <c r="P17" s="11" t="n">
        <v>0.1623307198859587</v>
      </c>
      <c r="Q17" s="11" t="n">
        <v>0.1291083067535709</v>
      </c>
      <c r="R17" s="11" t="n">
        <v>0.09712543554006968</v>
      </c>
      <c r="S17" s="11" t="n">
        <v>0.1023179583235776</v>
      </c>
      <c r="T17" s="11" t="n">
        <v>0.09460278956943602</v>
      </c>
      <c r="U17" s="11" t="n">
        <v>0.1356433551658567</v>
      </c>
      <c r="V17" s="11" t="n">
        <v>0.1083118793674145</v>
      </c>
      <c r="W17" s="11" t="n">
        <v>0.09687308399754752</v>
      </c>
      <c r="X17" s="11" t="n">
        <v>0.0983397190293742</v>
      </c>
      <c r="Y17" s="11" t="n">
        <v>0.08979206049149338</v>
      </c>
      <c r="Z17" s="11" t="n">
        <v>0.1347945205479452</v>
      </c>
      <c r="AA17" s="11" t="n">
        <v>0.125824366539396</v>
      </c>
      <c r="AB17" s="11" t="n">
        <v>0.1293532338308458</v>
      </c>
      <c r="AC17" s="11" t="n">
        <v>0.1217252396166134</v>
      </c>
      <c r="AD17" s="11" t="n">
        <v>0.1440245148110317</v>
      </c>
      <c r="AE17" s="11" t="n">
        <v>0.1723007063572149</v>
      </c>
      <c r="AF17" s="11" t="n">
        <v>0.2130860741777467</v>
      </c>
      <c r="AG17" s="11" t="n">
        <v>0.1725364638918534</v>
      </c>
      <c r="AH17" s="11" t="n">
        <v>0.1824964710627142</v>
      </c>
      <c r="AI17" s="11" t="n">
        <v>0.2272047832585949</v>
      </c>
      <c r="AJ17" s="11" t="n">
        <v>0.2592265843258345</v>
      </c>
      <c r="AK17" s="11" t="n">
        <v>0.1452796760313844</v>
      </c>
      <c r="AL17" s="11" t="n">
        <v>0.1149215614739146</v>
      </c>
      <c r="AM17" s="11" t="n">
        <v>0.1232848658611509</v>
      </c>
      <c r="AN17" s="11" t="n">
        <v>0.1648177496038035</v>
      </c>
      <c r="AO17" s="11" t="n">
        <v>0.1900579659230634</v>
      </c>
      <c r="AP17" s="11" t="n">
        <v>0.1554963983714375</v>
      </c>
      <c r="AQ17" s="11" t="n">
        <v>0.1297509829619921</v>
      </c>
      <c r="AR17" s="11" t="n">
        <v>0.1350628510296871</v>
      </c>
      <c r="AS17" s="11" t="n">
        <v>0.1819148936170213</v>
      </c>
      <c r="AT17" s="11" t="n">
        <v>0.1872924507416427</v>
      </c>
      <c r="AU17" s="11" t="n">
        <v>0.1317377731529657</v>
      </c>
      <c r="AV17" s="11" t="n">
        <v>0.1232798165137615</v>
      </c>
      <c r="AW17" s="11" t="n">
        <v>0.1182197496522949</v>
      </c>
      <c r="AX17" s="11" t="n">
        <v>0.1808566895822316</v>
      </c>
      <c r="AY17" s="11" t="n">
        <v>0.1646778042959427</v>
      </c>
      <c r="AZ17" s="11" t="n">
        <v>0.118125</v>
      </c>
      <c r="BA17" s="11" t="n">
        <v>0.1161616161616162</v>
      </c>
      <c r="BB17" s="11" t="n">
        <v>0.1066536203522505</v>
      </c>
      <c r="BC17" s="11" t="n">
        <v>0.1528455284552845</v>
      </c>
      <c r="BD17" s="11" t="n">
        <v>0.1434460016488046</v>
      </c>
    </row>
    <row r="18">
      <c r="A18" s="4" t="inlineStr">
        <is>
          <t>seasonal_employment_pct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0.01049685094471658</v>
      </c>
      <c r="AG18" s="1" t="n">
        <v>0.01422981145499822</v>
      </c>
      <c r="AH18" s="1" t="n">
        <v>0.01008267795926598</v>
      </c>
      <c r="AI18" s="1" t="n">
        <v>0.006975585450921774</v>
      </c>
      <c r="AJ18" s="1" t="n">
        <v>0.005587413615644759</v>
      </c>
      <c r="AK18" s="1" t="n">
        <v>0.01354087572766388</v>
      </c>
      <c r="AL18" s="1" t="n">
        <v>0.01422838380153229</v>
      </c>
      <c r="AM18" s="1" t="n">
        <v>0.01454024165472046</v>
      </c>
      <c r="AN18" s="1" t="n">
        <v>0.009508716323296355</v>
      </c>
      <c r="AO18" s="1" t="n">
        <v>0.00843140699104163</v>
      </c>
      <c r="AP18" s="1" t="n">
        <v>0.01675540244284372</v>
      </c>
      <c r="AQ18" s="1" t="n">
        <v>0.01135867190913062</v>
      </c>
      <c r="AR18" s="1" t="n">
        <v>0.01337255950788981</v>
      </c>
      <c r="AS18" s="1" t="n">
        <v>0.007446808510638298</v>
      </c>
      <c r="AT18" s="1" t="n">
        <v>0.009962364401151207</v>
      </c>
      <c r="AU18" s="1" t="n">
        <v>0.01727367325702393</v>
      </c>
      <c r="AV18" s="1" t="n">
        <v>0.01834862385321101</v>
      </c>
      <c r="AW18" s="1" t="n">
        <v>0.009735744089012517</v>
      </c>
      <c r="AX18" s="1" t="n">
        <v>0.01163405605499736</v>
      </c>
      <c r="AY18" s="1" t="n">
        <v>0.01060726597719438</v>
      </c>
      <c r="AZ18" s="1" t="n">
        <v>0.006875</v>
      </c>
      <c r="BA18" s="1" t="n">
        <v>0.01515151515151515</v>
      </c>
      <c r="BB18" s="1" t="n">
        <v>0.003913894324853229</v>
      </c>
      <c r="BC18" s="1" t="n">
        <v>0.003252032520325203</v>
      </c>
      <c r="BD18" s="1" t="n">
        <v>0.004122011541632316</v>
      </c>
    </row>
    <row r="19">
      <c r="A19" s="4" t="inlineStr">
        <is>
          <t>waiter_employment_pct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0.01481222299976674</v>
      </c>
      <c r="AG19" s="1" t="n">
        <v>0.02205620775524724</v>
      </c>
      <c r="AH19" s="1" t="n">
        <v>0.01774551320830813</v>
      </c>
      <c r="AI19" s="1" t="n">
        <v>0.01444942700548082</v>
      </c>
      <c r="AJ19" s="1" t="n">
        <v>0.01293927363622997</v>
      </c>
      <c r="AK19" s="1" t="n">
        <v>0.01543912933434573</v>
      </c>
      <c r="AL19" s="1" t="n">
        <v>0.02152499087924115</v>
      </c>
      <c r="AM19" s="1" t="n">
        <v>0.01863608437436003</v>
      </c>
      <c r="AN19" s="1" t="n">
        <v>0.02113048071843635</v>
      </c>
      <c r="AO19" s="1" t="n">
        <v>0.01563323379588969</v>
      </c>
      <c r="AP19" s="1" t="n">
        <v>0.01158784841841528</v>
      </c>
      <c r="AQ19" s="1" t="n">
        <v>0.01878549584971603</v>
      </c>
      <c r="AR19" s="1" t="n">
        <v>0.01658197378978336</v>
      </c>
      <c r="AS19" s="1" t="n">
        <v>0.01861702127659574</v>
      </c>
      <c r="AT19" s="1" t="n">
        <v>0.01416869603719283</v>
      </c>
      <c r="AU19" s="1" t="n">
        <v>0.01103017689906348</v>
      </c>
      <c r="AV19" s="1" t="n">
        <v>0.01548165137614679</v>
      </c>
      <c r="AW19" s="1" t="n">
        <v>0.01495132127955494</v>
      </c>
      <c r="AX19" s="1" t="n">
        <v>0.01850872554204125</v>
      </c>
      <c r="AY19" s="1" t="n">
        <v>0.01564571731636171</v>
      </c>
      <c r="AZ19" s="1" t="n">
        <v>0.00625</v>
      </c>
      <c r="BA19" s="1" t="n">
        <v>0.01851851851851852</v>
      </c>
      <c r="BB19" s="1" t="n">
        <v>0.005870841487279843</v>
      </c>
      <c r="BC19" s="1" t="n">
        <v>0.004878048780487805</v>
      </c>
      <c r="BD19" s="1" t="n">
        <v>0.00989282769991756</v>
      </c>
    </row>
    <row r="20">
      <c r="A20" s="4" t="inlineStr">
        <is>
          <t>other_employment_pct</t>
        </is>
      </c>
      <c r="B20" s="1" t="n">
        <v>1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1</v>
      </c>
      <c r="AE20" s="1" t="n">
        <v>1</v>
      </c>
      <c r="AF20" s="1" t="n">
        <v>0.9746909260555168</v>
      </c>
      <c r="AG20" s="1" t="n">
        <v>0.9637139807897546</v>
      </c>
      <c r="AH20" s="1" t="n">
        <v>0.9721718088324259</v>
      </c>
      <c r="AI20" s="1" t="n">
        <v>0.9785749875435974</v>
      </c>
      <c r="AJ20" s="1" t="n">
        <v>0.9814733127481253</v>
      </c>
      <c r="AK20" s="1" t="n">
        <v>0.9710199949379903</v>
      </c>
      <c r="AL20" s="1" t="n">
        <v>0.9642466253192266</v>
      </c>
      <c r="AM20" s="1" t="n">
        <v>0.9668236739709195</v>
      </c>
      <c r="AN20" s="1" t="n">
        <v>0.9693608029582673</v>
      </c>
      <c r="AO20" s="1" t="n">
        <v>0.9759353592130687</v>
      </c>
      <c r="AP20" s="1" t="n">
        <v>0.971656749138741</v>
      </c>
      <c r="AQ20" s="1" t="n">
        <v>0.9698558322411533</v>
      </c>
      <c r="AR20" s="1" t="n">
        <v>0.9700454667023268</v>
      </c>
      <c r="AS20" s="1" t="n">
        <v>0.973936170212766</v>
      </c>
      <c r="AT20" s="1" t="n">
        <v>0.975868939561656</v>
      </c>
      <c r="AU20" s="1" t="n">
        <v>0.9716961498439126</v>
      </c>
      <c r="AV20" s="1" t="n">
        <v>0.9661697247706422</v>
      </c>
      <c r="AW20" s="1" t="n">
        <v>0.9753129346314325</v>
      </c>
      <c r="AX20" s="1" t="n">
        <v>0.9698572184029615</v>
      </c>
      <c r="AY20" s="1" t="n">
        <v>0.9737470167064439</v>
      </c>
      <c r="AZ20" s="1" t="n">
        <v>0.9868750000000001</v>
      </c>
      <c r="BA20" s="1" t="n">
        <v>0.9663299663299664</v>
      </c>
      <c r="BB20" s="1" t="n">
        <v>0.990215264187867</v>
      </c>
      <c r="BC20" s="1" t="n">
        <v>0.9918699186991869</v>
      </c>
      <c r="BD20" s="1" t="n">
        <v>0.9859851607584502</v>
      </c>
    </row>
    <row r="21">
      <c r="A21" s="4" t="inlineStr">
        <is>
          <t>nonkmx_auth_tradelines_flag</t>
        </is>
      </c>
      <c r="B21" s="1" t="n">
        <v>0.02129471890971039</v>
      </c>
      <c r="C21" s="1" t="n">
        <v>0.02482544608223429</v>
      </c>
      <c r="D21" s="1" t="n">
        <v>0.01214285714285714</v>
      </c>
      <c r="E21" s="1" t="n">
        <v>0.01365705614567527</v>
      </c>
      <c r="F21" s="1" t="n">
        <v>0.02115442731943185</v>
      </c>
      <c r="G21" s="1" t="n">
        <v>0.01864006300866369</v>
      </c>
      <c r="H21" s="1" t="n">
        <v>0.01584283903675539</v>
      </c>
      <c r="I21" s="1" t="n">
        <v>0.02076451156205757</v>
      </c>
      <c r="J21" s="1" t="n">
        <v>0.01481481481481482</v>
      </c>
      <c r="K21" s="1" t="n">
        <v>0.01961899346033551</v>
      </c>
      <c r="L21" s="1" t="n">
        <v>0.01844321812372931</v>
      </c>
      <c r="M21" s="1" t="n">
        <v>0.02282565918929555</v>
      </c>
      <c r="N21" s="1" t="n">
        <v>0.01845018450184502</v>
      </c>
      <c r="O21" s="1" t="n">
        <v>0.02165795369678865</v>
      </c>
      <c r="P21" s="1" t="n">
        <v>0.01568068424803992</v>
      </c>
      <c r="Q21" s="1" t="n">
        <v>0.01886007488559146</v>
      </c>
      <c r="R21" s="1" t="n">
        <v>0.02482578397212544</v>
      </c>
      <c r="S21" s="1" t="n">
        <v>0.02247717162257083</v>
      </c>
      <c r="T21" s="1" t="n">
        <v>0.02668283808368708</v>
      </c>
      <c r="U21" s="1" t="n">
        <v>0.01584618635115149</v>
      </c>
      <c r="V21" s="1" t="n">
        <v>0.02096358955498345</v>
      </c>
      <c r="W21" s="1" t="n">
        <v>0.03065603923973023</v>
      </c>
      <c r="X21" s="1" t="n">
        <v>0.02266922094508302</v>
      </c>
      <c r="Y21" s="1" t="n">
        <v>0.01984877126654064</v>
      </c>
      <c r="Z21" s="1" t="n">
        <v>0.01917808219178082</v>
      </c>
      <c r="AA21" s="1" t="n">
        <v>0.01909059354390837</v>
      </c>
      <c r="AB21" s="1" t="n">
        <v>0.01927860696517413</v>
      </c>
      <c r="AC21" s="1" t="n">
        <v>0.0207667731629393</v>
      </c>
      <c r="AD21" s="1" t="n">
        <v>0.03472931562819203</v>
      </c>
      <c r="AE21" s="1" t="n">
        <v>0.01791120080726539</v>
      </c>
      <c r="AF21" s="1" t="n">
        <v>0.02087707021226965</v>
      </c>
      <c r="AG21" s="1" t="n">
        <v>0.02098897189612238</v>
      </c>
      <c r="AH21" s="1" t="n">
        <v>0.02097197015527324</v>
      </c>
      <c r="AI21" s="1" t="n">
        <v>0.01893373193821624</v>
      </c>
      <c r="AJ21" s="1" t="n">
        <v>0.01514483164240553</v>
      </c>
      <c r="AK21" s="1" t="n">
        <v>0.01999493799038218</v>
      </c>
      <c r="AL21" s="1" t="n">
        <v>0.02043049981758482</v>
      </c>
      <c r="AM21" s="1" t="n">
        <v>0.01925046078230596</v>
      </c>
      <c r="AN21" s="1" t="n">
        <v>0.02535657686212361</v>
      </c>
      <c r="AO21" s="1" t="n">
        <v>0.0187950114175303</v>
      </c>
      <c r="AP21" s="1" t="n">
        <v>0.02035703100532415</v>
      </c>
      <c r="AQ21" s="1" t="n">
        <v>0.02664919178680647</v>
      </c>
      <c r="AR21" s="1" t="n">
        <v>0.02594276544530623</v>
      </c>
      <c r="AS21" s="1" t="n">
        <v>0.02393617021276596</v>
      </c>
      <c r="AT21" s="1" t="n">
        <v>0.01682532654416648</v>
      </c>
      <c r="AU21" s="1" t="n">
        <v>0.02601456815816857</v>
      </c>
      <c r="AV21" s="1" t="n">
        <v>0.02522935779816514</v>
      </c>
      <c r="AW21" s="1" t="n">
        <v>0.01842837273991655</v>
      </c>
      <c r="AX21" s="1" t="n">
        <v>0.0222104706504495</v>
      </c>
      <c r="AY21" s="1" t="n">
        <v>0.01882789710952002</v>
      </c>
      <c r="AZ21" s="1" t="n">
        <v>0.014375</v>
      </c>
      <c r="BA21" s="1" t="n">
        <v>0.01178451178451178</v>
      </c>
      <c r="BB21" s="1" t="n">
        <v>0.02054794520547945</v>
      </c>
      <c r="BC21" s="1" t="n">
        <v>0.02276422764227642</v>
      </c>
      <c r="BD21" s="1" t="n">
        <v>0.0156636438582028</v>
      </c>
    </row>
    <row r="22">
      <c r="A22" s="4" t="inlineStr">
        <is>
          <t>fraud_adjustment_mean</t>
        </is>
      </c>
      <c r="B22" s="1" t="n">
        <v>1.007478705281091</v>
      </c>
      <c r="C22" s="1" t="n">
        <v>1.011466252909232</v>
      </c>
      <c r="D22" s="1" t="n">
        <v>1.008957142857143</v>
      </c>
      <c r="E22" s="1" t="n">
        <v>0.9950986342943856</v>
      </c>
      <c r="F22" s="1" t="n">
        <v>1.004170444242974</v>
      </c>
      <c r="G22" s="1" t="n">
        <v>1.003893410343922</v>
      </c>
      <c r="H22" s="1" t="n">
        <v>1.015475285171103</v>
      </c>
      <c r="I22" s="1" t="n">
        <v>1.017862199150543</v>
      </c>
      <c r="J22" s="1" t="n">
        <v>1.005125925925926</v>
      </c>
      <c r="K22" s="1" t="n">
        <v>0.9935257321580893</v>
      </c>
      <c r="L22" s="1" t="n">
        <v>0.9994626778971826</v>
      </c>
      <c r="M22" s="1" t="n">
        <v>1.001916568280205</v>
      </c>
      <c r="N22" s="1" t="n">
        <v>1.010184501845018</v>
      </c>
      <c r="O22" s="1" t="n">
        <v>0.9989320388349516</v>
      </c>
      <c r="P22" s="1" t="n">
        <v>0.9861974340698503</v>
      </c>
      <c r="Q22" s="1" t="n">
        <v>0.9936874219941756</v>
      </c>
      <c r="R22" s="1" t="n">
        <v>1.007460801393728</v>
      </c>
      <c r="S22" s="1" t="n">
        <v>1.01296651837977</v>
      </c>
      <c r="T22" s="1" t="n">
        <v>0.9913098847786538</v>
      </c>
      <c r="U22" s="1" t="n">
        <v>0.9865032748785127</v>
      </c>
      <c r="V22" s="1" t="n">
        <v>0.9972214049282825</v>
      </c>
      <c r="W22" s="1" t="n">
        <v>1.004175352544451</v>
      </c>
      <c r="X22" s="1" t="n">
        <v>1.00661558109834</v>
      </c>
      <c r="Y22" s="1" t="n">
        <v>0.9894234404536861</v>
      </c>
      <c r="Z22" s="1" t="n">
        <v>0.9880191780821918</v>
      </c>
      <c r="AA22" s="1" t="n">
        <v>0.996259979173898</v>
      </c>
      <c r="AB22" s="1" t="n">
        <v>0.99943407960199</v>
      </c>
      <c r="AC22" s="1" t="n">
        <v>1.004466453674121</v>
      </c>
      <c r="AD22" s="1" t="n">
        <v>0.9831256384065373</v>
      </c>
      <c r="AE22" s="1" t="n">
        <v>0.9918995963673057</v>
      </c>
      <c r="AF22" s="1" t="n">
        <v>1.00273151387917</v>
      </c>
      <c r="AG22" s="1" t="n">
        <v>0.9937175382426183</v>
      </c>
      <c r="AH22" s="1" t="n">
        <v>0.9917261544666264</v>
      </c>
      <c r="AI22" s="1" t="n">
        <v>0.9903388141504734</v>
      </c>
      <c r="AJ22" s="1" t="n">
        <v>0.9998294368475225</v>
      </c>
      <c r="AK22" s="1" t="n">
        <v>0.9988863578840801</v>
      </c>
      <c r="AL22" s="1" t="n">
        <v>0.9867420649398031</v>
      </c>
      <c r="AM22" s="1" t="n">
        <v>0.9904730698341183</v>
      </c>
      <c r="AN22" s="1" t="n">
        <v>0.9912097200211304</v>
      </c>
      <c r="AO22" s="1" t="n">
        <v>0.9938310205515547</v>
      </c>
      <c r="AP22" s="1" t="n">
        <v>0.990151894769809</v>
      </c>
      <c r="AQ22" s="1" t="n">
        <v>0.9809960681520314</v>
      </c>
      <c r="AR22" s="1" t="n">
        <v>0.9832147633056967</v>
      </c>
      <c r="AS22" s="1" t="n">
        <v>0.9883191489361702</v>
      </c>
      <c r="AT22" s="1" t="n">
        <v>0.9933008634049147</v>
      </c>
      <c r="AU22" s="1" t="n">
        <v>0.9928761706555672</v>
      </c>
      <c r="AV22" s="1" t="n">
        <v>0.9863933486238532</v>
      </c>
      <c r="AW22" s="1" t="n">
        <v>0.98615438108484</v>
      </c>
      <c r="AX22" s="1" t="n">
        <v>0.9920782654680065</v>
      </c>
      <c r="AY22" s="1" t="n">
        <v>0.9986528772208964</v>
      </c>
      <c r="AZ22" s="1" t="n">
        <v>0.99753125</v>
      </c>
      <c r="BA22" s="1" t="n">
        <v>0.9832828282828282</v>
      </c>
      <c r="BB22" s="1" t="n">
        <v>0.9864090019569473</v>
      </c>
      <c r="BC22" s="1" t="n">
        <v>0.9934308943089432</v>
      </c>
      <c r="BD22" s="1" t="n">
        <v>0.9932399010717231</v>
      </c>
    </row>
    <row r="23">
      <c r="A23" s="4" t="inlineStr">
        <is>
          <t>driver_flag</t>
        </is>
      </c>
      <c r="B23" s="1" t="n">
        <v>0.02640545144804089</v>
      </c>
      <c r="C23" s="1" t="n">
        <v>0.01939487975174554</v>
      </c>
      <c r="D23" s="1" t="n">
        <v>0.02142857142857143</v>
      </c>
      <c r="E23" s="1" t="n">
        <v>0.02731411229135053</v>
      </c>
      <c r="F23" s="1" t="n">
        <v>0.0123904502870958</v>
      </c>
      <c r="G23" s="1" t="n">
        <v>0.02126542399579942</v>
      </c>
      <c r="H23" s="1" t="n">
        <v>0.02281368821292776</v>
      </c>
      <c r="I23" s="1" t="n">
        <v>0.02784332232184993</v>
      </c>
      <c r="J23" s="1" t="n">
        <v>0.01629629629629629</v>
      </c>
      <c r="K23" s="1" t="n">
        <v>0.008814330395223202</v>
      </c>
      <c r="L23" s="1" t="n">
        <v>0.02178332849259367</v>
      </c>
      <c r="M23" s="1" t="n">
        <v>0.01967729240456513</v>
      </c>
      <c r="N23" s="1" t="n">
        <v>0.01816633550950894</v>
      </c>
      <c r="O23" s="1" t="n">
        <v>0.01418969380134429</v>
      </c>
      <c r="P23" s="1" t="n">
        <v>0.01051318602993585</v>
      </c>
      <c r="Q23" s="1" t="n">
        <v>0.03161836083760921</v>
      </c>
      <c r="R23" s="1" t="n">
        <v>0.02221254355400697</v>
      </c>
      <c r="S23" s="1" t="n">
        <v>0.01990166237415125</v>
      </c>
      <c r="T23" s="1" t="n">
        <v>0.01758641600970285</v>
      </c>
      <c r="U23" s="1" t="n">
        <v>0.01014155926473695</v>
      </c>
      <c r="V23" s="1" t="n">
        <v>0.04799558661272527</v>
      </c>
      <c r="W23" s="1" t="n">
        <v>0.02391171060698958</v>
      </c>
      <c r="X23" s="1" t="n">
        <v>0.02043422733077906</v>
      </c>
      <c r="Y23" s="1" t="n">
        <v>0.0113421550094518</v>
      </c>
      <c r="Z23" s="1" t="n">
        <v>0.01315068493150685</v>
      </c>
      <c r="AA23" s="1" t="n">
        <v>0.06299895869489761</v>
      </c>
      <c r="AB23" s="1" t="n">
        <v>0.0236318407960199</v>
      </c>
      <c r="AC23" s="1" t="n">
        <v>0.0194888178913738</v>
      </c>
      <c r="AD23" s="1" t="n">
        <v>0.01634320735444331</v>
      </c>
      <c r="AE23" s="1" t="n">
        <v>0.01185671039354188</v>
      </c>
      <c r="AF23" s="1" t="n">
        <v>0.04583624912526242</v>
      </c>
      <c r="AG23" s="1" t="n">
        <v>0.02845962290999644</v>
      </c>
      <c r="AH23" s="1" t="n">
        <v>0.0215769308328292</v>
      </c>
      <c r="AI23" s="1" t="n">
        <v>0.01943198804185351</v>
      </c>
      <c r="AJ23" s="1" t="n">
        <v>0.01205705043375974</v>
      </c>
      <c r="AK23" s="1" t="n">
        <v>0.05315110098709187</v>
      </c>
      <c r="AL23" s="1" t="n">
        <v>0.03246990149580445</v>
      </c>
      <c r="AM23" s="1" t="n">
        <v>0.02416547204587344</v>
      </c>
      <c r="AN23" s="1" t="n">
        <v>0.02165874273639725</v>
      </c>
      <c r="AO23" s="1" t="n">
        <v>0.01370103636044265</v>
      </c>
      <c r="AP23" s="1" t="n">
        <v>0.04713435640463514</v>
      </c>
      <c r="AQ23" s="1" t="n">
        <v>0.03189165574486676</v>
      </c>
      <c r="AR23" s="1" t="n">
        <v>0.02728002139609521</v>
      </c>
      <c r="AS23" s="1" t="n">
        <v>0.03031914893617021</v>
      </c>
      <c r="AT23" s="1" t="n">
        <v>0.01549701129067966</v>
      </c>
      <c r="AU23" s="1" t="n">
        <v>0.0514047866805411</v>
      </c>
      <c r="AV23" s="1" t="n">
        <v>0.02809633027522936</v>
      </c>
      <c r="AW23" s="1" t="n">
        <v>0.02746870653685675</v>
      </c>
      <c r="AX23" s="1" t="n">
        <v>0.02696985721840296</v>
      </c>
      <c r="AY23" s="1" t="n">
        <v>0.01511535401750199</v>
      </c>
      <c r="AZ23" s="1" t="n">
        <v>0.05125</v>
      </c>
      <c r="BA23" s="1" t="n">
        <v>0.02693602693602693</v>
      </c>
      <c r="BB23" s="1" t="n">
        <v>0.03620352250489237</v>
      </c>
      <c r="BC23" s="1" t="n">
        <v>0.02926829268292683</v>
      </c>
      <c r="BD23" s="1" t="n">
        <v>0.01896125309150866</v>
      </c>
    </row>
    <row r="24">
      <c r="A24" s="4" t="inlineStr">
        <is>
          <t>pricing_scalar_mean</t>
        </is>
      </c>
      <c r="B24" s="1" t="n">
        <v>0.9888426320272572</v>
      </c>
      <c r="C24" s="1" t="n">
        <v>1.010628394103956</v>
      </c>
      <c r="D24" s="1" t="n">
        <v>0.9781428571428572</v>
      </c>
      <c r="E24" s="1" t="n">
        <v>0.9789074355083458</v>
      </c>
      <c r="F24" s="1" t="n">
        <v>1.038697491689332</v>
      </c>
      <c r="G24" s="1" t="n">
        <v>1.00889800472565</v>
      </c>
      <c r="H24" s="1" t="n">
        <v>1.00063371356147</v>
      </c>
      <c r="I24" s="1" t="n">
        <v>0.9831288343558282</v>
      </c>
      <c r="J24" s="1" t="n">
        <v>0.9694074074074073</v>
      </c>
      <c r="K24" s="1" t="n">
        <v>1.014728461757179</v>
      </c>
      <c r="L24" s="1" t="n">
        <v>1.025552207377287</v>
      </c>
      <c r="M24" s="1" t="n">
        <v>0.9911452184179457</v>
      </c>
      <c r="N24" s="1" t="n">
        <v>0.9731904626738576</v>
      </c>
      <c r="O24" s="1" t="n">
        <v>0.9555265123226286</v>
      </c>
      <c r="P24" s="1" t="n">
        <v>1.029641838916607</v>
      </c>
      <c r="Q24" s="1" t="n">
        <v>1.023301553182638</v>
      </c>
      <c r="R24" s="1" t="n">
        <v>0.977243031358885</v>
      </c>
      <c r="S24" s="1" t="n">
        <v>0.9419808007492391</v>
      </c>
      <c r="T24" s="1" t="n">
        <v>0.9174348089751364</v>
      </c>
      <c r="U24" s="1" t="n">
        <v>1.030530319036552</v>
      </c>
      <c r="V24" s="1" t="n">
        <v>1.007875137918352</v>
      </c>
      <c r="W24" s="1" t="n">
        <v>0.9959534028203555</v>
      </c>
      <c r="X24" s="1" t="n">
        <v>0.9474936143039592</v>
      </c>
      <c r="Y24" s="1" t="n">
        <v>0.8921550094517958</v>
      </c>
      <c r="Z24" s="1" t="n">
        <v>1.036041095890411</v>
      </c>
      <c r="AA24" s="1" t="n">
        <v>1.018992971190559</v>
      </c>
      <c r="AB24" s="1" t="n">
        <v>0.9922574626865672</v>
      </c>
      <c r="AC24" s="1" t="n">
        <v>0.9523162939297123</v>
      </c>
      <c r="AD24" s="1" t="n">
        <v>0.9153728294177731</v>
      </c>
      <c r="AE24" s="1" t="n">
        <v>1.01813824419778</v>
      </c>
      <c r="AF24" s="1" t="n">
        <v>0.997659202239328</v>
      </c>
      <c r="AG24" s="1" t="n">
        <v>0.9677516897901103</v>
      </c>
      <c r="AH24" s="1" t="n">
        <v>0.9559618874773139</v>
      </c>
      <c r="AI24" s="1" t="n">
        <v>0.9053064275037368</v>
      </c>
      <c r="AJ24" s="1" t="n">
        <v>1.027804734597853</v>
      </c>
      <c r="AK24" s="1" t="n">
        <v>0.9936076309794988</v>
      </c>
      <c r="AL24" s="1" t="n">
        <v>0.9551258664720905</v>
      </c>
      <c r="AM24" s="1" t="n">
        <v>0.970156154003686</v>
      </c>
      <c r="AN24" s="1" t="n">
        <v>0.9307448494453247</v>
      </c>
      <c r="AO24" s="1" t="n">
        <v>1.022501317407343</v>
      </c>
      <c r="AP24" s="1" t="n">
        <v>0.9714105073598497</v>
      </c>
      <c r="AQ24" s="1" t="n">
        <v>0.9385321100917432</v>
      </c>
      <c r="AR24" s="1" t="n">
        <v>0.9627788178657394</v>
      </c>
      <c r="AS24" s="1" t="n">
        <v>0.9003191489361702</v>
      </c>
      <c r="AT24" s="1" t="n">
        <v>1.029267212751827</v>
      </c>
      <c r="AU24" s="1" t="n">
        <v>0.9425437044745059</v>
      </c>
      <c r="AV24" s="1" t="n">
        <v>0.931077981651376</v>
      </c>
      <c r="AW24" s="1" t="n">
        <v>0.9537752086230876</v>
      </c>
      <c r="AX24" s="1" t="n">
        <v>0.9648863035430988</v>
      </c>
      <c r="AY24" s="1" t="n">
        <v>0.9928400954653939</v>
      </c>
      <c r="AZ24" s="1" t="n">
        <v>0.9791249999999999</v>
      </c>
      <c r="BA24" s="1" t="n">
        <v>1</v>
      </c>
      <c r="BB24" s="1" t="n">
        <v>0.9997064579256361</v>
      </c>
      <c r="BC24" s="1" t="n">
        <v>1</v>
      </c>
      <c r="BD24" s="1" t="n">
        <v>1</v>
      </c>
    </row>
    <row r="25">
      <c r="A25" s="4" t="inlineStr">
        <is>
          <t>--- N_RECORDS</t>
        </is>
      </c>
      <c r="B25" s="1" t="n">
        <v>2348</v>
      </c>
      <c r="C25" s="1" t="n">
        <v>1289</v>
      </c>
      <c r="D25" s="1" t="n">
        <v>1400</v>
      </c>
      <c r="E25" s="1" t="n">
        <v>659</v>
      </c>
      <c r="F25" s="1" t="n">
        <v>3309</v>
      </c>
      <c r="G25" s="1" t="n">
        <v>3809</v>
      </c>
      <c r="H25" s="1" t="n">
        <v>1578</v>
      </c>
      <c r="I25" s="1" t="n">
        <v>2119</v>
      </c>
      <c r="J25" s="1" t="n">
        <v>675</v>
      </c>
      <c r="K25" s="1" t="n">
        <v>3517</v>
      </c>
      <c r="L25" s="1" t="n">
        <v>6886</v>
      </c>
      <c r="M25" s="1" t="n">
        <v>2541</v>
      </c>
      <c r="N25" s="1" t="n">
        <v>3523</v>
      </c>
      <c r="O25" s="1" t="n">
        <v>1339</v>
      </c>
      <c r="P25" s="1" t="n">
        <v>5612</v>
      </c>
      <c r="Q25" s="1" t="n">
        <v>7211</v>
      </c>
      <c r="R25" s="1" t="n">
        <v>2296</v>
      </c>
      <c r="S25" s="1" t="n">
        <v>4271</v>
      </c>
      <c r="T25" s="1" t="n">
        <v>1649</v>
      </c>
      <c r="U25" s="1" t="n">
        <v>4733</v>
      </c>
      <c r="V25" s="1" t="n">
        <v>5438</v>
      </c>
      <c r="W25" s="1" t="n">
        <v>1631</v>
      </c>
      <c r="X25" s="1" t="n">
        <v>3132</v>
      </c>
      <c r="Y25" s="1" t="n">
        <v>1058</v>
      </c>
      <c r="Z25" s="1" t="n">
        <v>3650</v>
      </c>
      <c r="AA25" s="1" t="n">
        <v>5762</v>
      </c>
      <c r="AB25" s="1" t="n">
        <v>1608</v>
      </c>
      <c r="AC25" s="1" t="n">
        <v>3130</v>
      </c>
      <c r="AD25" s="1" t="n">
        <v>979</v>
      </c>
      <c r="AE25" s="1" t="n">
        <v>3964</v>
      </c>
      <c r="AF25" s="1" t="n">
        <v>8574</v>
      </c>
      <c r="AG25" s="1" t="n">
        <v>2811</v>
      </c>
      <c r="AH25" s="1" t="n">
        <v>4959</v>
      </c>
      <c r="AI25" s="1" t="n">
        <v>2007</v>
      </c>
      <c r="AJ25" s="1" t="n">
        <v>6801</v>
      </c>
      <c r="AK25" s="1" t="n">
        <v>7902</v>
      </c>
      <c r="AL25" s="1" t="n">
        <v>2741</v>
      </c>
      <c r="AM25" s="1" t="n">
        <v>4883</v>
      </c>
      <c r="AN25" s="1" t="n">
        <v>1893</v>
      </c>
      <c r="AO25" s="1" t="n">
        <v>5693</v>
      </c>
      <c r="AP25" s="1" t="n">
        <v>6386</v>
      </c>
      <c r="AQ25" s="1" t="n">
        <v>2289</v>
      </c>
      <c r="AR25" s="1" t="n">
        <v>3739</v>
      </c>
      <c r="AS25" s="1" t="n">
        <v>1880</v>
      </c>
      <c r="AT25" s="1" t="n">
        <v>4517</v>
      </c>
      <c r="AU25" s="1" t="n">
        <v>4805</v>
      </c>
      <c r="AV25" s="1" t="n">
        <v>1744</v>
      </c>
      <c r="AW25" s="1" t="n">
        <v>2876</v>
      </c>
      <c r="AX25" s="1" t="n">
        <v>1891</v>
      </c>
      <c r="AY25" s="1" t="n">
        <v>3771</v>
      </c>
      <c r="AZ25" s="1" t="n">
        <v>1600</v>
      </c>
      <c r="BA25" s="1" t="n">
        <v>594</v>
      </c>
      <c r="BB25" s="1" t="n">
        <v>1022</v>
      </c>
      <c r="BC25" s="1" t="n">
        <v>615</v>
      </c>
      <c r="BD25" s="1" t="n">
        <v>1213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7"/>
  <sheetViews>
    <sheetView zoomScale="108" zoomScaleNormal="145" workbookViewId="0">
      <selection activeCell="B4" sqref="B4"/>
    </sheetView>
  </sheetViews>
  <sheetFormatPr baseColWidth="8" defaultRowHeight="14.5"/>
  <cols>
    <col width="50.81640625" bestFit="1" customWidth="1" style="43" min="1" max="1"/>
    <col width="12.6328125" bestFit="1" customWidth="1" style="43" min="2" max="2"/>
    <col width="15" bestFit="1" customWidth="1" style="43" min="3" max="12"/>
    <col width="15.36328125" bestFit="1" customWidth="1" style="43" min="34" max="34"/>
    <col width="15.08984375" customWidth="1" style="43" min="35" max="35"/>
    <col width="15.36328125" bestFit="1" customWidth="1" style="43" min="36" max="36"/>
  </cols>
  <sheetData>
    <row r="1">
      <c r="B1">
        <f>_xlfn.CONCAT($A$2," ",B2)</f>
        <v/>
      </c>
      <c r="C1">
        <f>_xlfn.CONCAT($A$2," ",C2)</f>
        <v/>
      </c>
      <c r="D1">
        <f>_xlfn.CONCAT($A$2," ",D2)</f>
        <v/>
      </c>
      <c r="E1">
        <f>_xlfn.CONCAT($A$2," ",E2)</f>
        <v/>
      </c>
      <c r="F1">
        <f>_xlfn.CONCAT($A$2," ",F2)</f>
        <v/>
      </c>
      <c r="G1">
        <f>_xlfn.CONCAT($A$2," ",G2)</f>
        <v/>
      </c>
      <c r="H1">
        <f>_xlfn.CONCAT($A$2," ",H2)</f>
        <v/>
      </c>
      <c r="I1">
        <f>_xlfn.CONCAT($A$2," ",I2)</f>
        <v/>
      </c>
      <c r="J1">
        <f>_xlfn.CONCAT($A$2," ",J2)</f>
        <v/>
      </c>
      <c r="K1">
        <f>_xlfn.CONCAT($A$2," ",K2)</f>
        <v/>
      </c>
      <c r="L1">
        <f>_xlfn.CONCAT($A$2," ",L2)</f>
        <v/>
      </c>
      <c r="M1">
        <f>_xlfn.CONCAT($A$11," ",M2)</f>
        <v/>
      </c>
      <c r="N1">
        <f>_xlfn.CONCAT($A$11," ",N2)</f>
        <v/>
      </c>
      <c r="O1">
        <f>_xlfn.CONCAT($A$11," ",O2)</f>
        <v/>
      </c>
      <c r="P1">
        <f>_xlfn.CONCAT($A$11," ",P2)</f>
        <v/>
      </c>
      <c r="Q1">
        <f>_xlfn.CONCAT($A$11," ",Q2)</f>
        <v/>
      </c>
      <c r="R1">
        <f>_xlfn.CONCAT($A$11," ",R2)</f>
        <v/>
      </c>
      <c r="S1">
        <f>_xlfn.CONCAT($A$11," ",S2)</f>
        <v/>
      </c>
      <c r="T1">
        <f>_xlfn.CONCAT($A$11," ",T2)</f>
        <v/>
      </c>
      <c r="U1">
        <f>_xlfn.CONCAT($A$11," ",U2)</f>
        <v/>
      </c>
      <c r="V1">
        <f>_xlfn.CONCAT($A$11," ",V2)</f>
        <v/>
      </c>
      <c r="W1">
        <f>_xlfn.CONCAT($A$11," ",W2)</f>
        <v/>
      </c>
      <c r="X1">
        <f>_xlfn.CONCAT($A$21," ",X2)</f>
        <v/>
      </c>
      <c r="Y1">
        <f>_xlfn.CONCAT($A$21," ",Y2)</f>
        <v/>
      </c>
      <c r="Z1">
        <f>_xlfn.CONCAT($A$21," ",Z2)</f>
        <v/>
      </c>
      <c r="AA1">
        <f>_xlfn.CONCAT($A$21," ",AA2)</f>
        <v/>
      </c>
      <c r="AB1">
        <f>_xlfn.CONCAT($A$21," ",AB2)</f>
        <v/>
      </c>
      <c r="AC1">
        <f>_xlfn.CONCAT($A$21," ",AC2)</f>
        <v/>
      </c>
      <c r="AD1">
        <f>_xlfn.CONCAT($A$21," ",AD2)</f>
        <v/>
      </c>
      <c r="AE1">
        <f>_xlfn.CONCAT($A$21," ",AE2)</f>
        <v/>
      </c>
      <c r="AF1">
        <f>_xlfn.CONCAT($A$21," ",AF2)</f>
        <v/>
      </c>
      <c r="AG1">
        <f>_xlfn.CONCAT($A$21," ",AG2)</f>
        <v/>
      </c>
      <c r="AH1">
        <f>_xlfn.CONCAT($A$21," ",AH2)</f>
        <v/>
      </c>
      <c r="AI1">
        <f>_xlfn.CONCAT($A$30," ",AI2)</f>
        <v/>
      </c>
      <c r="AJ1">
        <f>_xlfn.CONCAT($A$30," ",AJ2)</f>
        <v/>
      </c>
      <c r="AK1">
        <f>_xlfn.CONCAT($A$30," ",AK2)</f>
        <v/>
      </c>
      <c r="AL1">
        <f>_xlfn.CONCAT($A$30," ",AL2)</f>
        <v/>
      </c>
      <c r="AM1">
        <f>_xlfn.CONCAT($A$30," ",AM2)</f>
        <v/>
      </c>
      <c r="AN1">
        <f>_xlfn.CONCAT($A$30," ",AN2)</f>
        <v/>
      </c>
      <c r="AO1">
        <f>_xlfn.CONCAT($A$30," ",AO2)</f>
        <v/>
      </c>
      <c r="AP1">
        <f>_xlfn.CONCAT($A$30," ",AP2)</f>
        <v/>
      </c>
      <c r="AQ1">
        <f>_xlfn.CONCAT($A$30," ",AQ2)</f>
        <v/>
      </c>
      <c r="AR1">
        <f>_xlfn.CONCAT($A$30," ",AR2)</f>
        <v/>
      </c>
      <c r="AS1">
        <f>_xlfn.CONCAT($A$30," ",AS2)</f>
        <v/>
      </c>
      <c r="AT1">
        <f>_xlfn.CONCAT($A$41," ",AT2)</f>
        <v/>
      </c>
      <c r="AU1">
        <f>_xlfn.CONCAT($A$41," ",AU2)</f>
        <v/>
      </c>
      <c r="AV1">
        <f>_xlfn.CONCAT($A$41," ",AV2)</f>
        <v/>
      </c>
      <c r="AW1">
        <f>_xlfn.CONCAT($A$41," ",AW2)</f>
        <v/>
      </c>
      <c r="AX1">
        <f>_xlfn.CONCAT($A$41," ",AX2)</f>
        <v/>
      </c>
      <c r="AY1">
        <f>_xlfn.CONCAT($A$41," ",AY2)</f>
        <v/>
      </c>
      <c r="AZ1">
        <f>_xlfn.CONCAT($A$41," ",AZ2)</f>
        <v/>
      </c>
      <c r="BA1">
        <f>_xlfn.CONCAT($A$41," ",BA2)</f>
        <v/>
      </c>
      <c r="BB1">
        <f>_xlfn.CONCAT($A$41," ",BB2)</f>
        <v/>
      </c>
      <c r="BC1">
        <f>_xlfn.CONCAT($A$41," ",BC2)</f>
        <v/>
      </c>
      <c r="BD1">
        <f>_xlfn.CONCAT($A$41," ",BD2)</f>
        <v/>
      </c>
    </row>
    <row r="2">
      <c r="A2" t="inlineStr">
        <is>
          <t>AN</t>
        </is>
      </c>
      <c r="B2" t="inlineStr">
        <is>
          <t>2023 Q3</t>
        </is>
      </c>
      <c r="C2" t="inlineStr">
        <is>
          <t>2023 Q4</t>
        </is>
      </c>
      <c r="D2" t="inlineStr">
        <is>
          <t>2024 Q1</t>
        </is>
      </c>
      <c r="E2" t="inlineStr">
        <is>
          <t>2024 Q2</t>
        </is>
      </c>
      <c r="F2" t="inlineStr">
        <is>
          <t>2024 Q3</t>
        </is>
      </c>
      <c r="G2" t="inlineStr">
        <is>
          <t>2024 Q4</t>
        </is>
      </c>
      <c r="H2" t="inlineStr">
        <is>
          <t>2025 Q1</t>
        </is>
      </c>
      <c r="I2" t="inlineStr">
        <is>
          <t>2025 Q2</t>
        </is>
      </c>
      <c r="J2" t="inlineStr">
        <is>
          <t>2025 Q3</t>
        </is>
      </c>
      <c r="K2" t="inlineStr">
        <is>
          <t>2025 Q4</t>
        </is>
      </c>
      <c r="L2" t="inlineStr">
        <is>
          <t>2026 Q1</t>
        </is>
      </c>
      <c r="M2" s="1" t="inlineStr">
        <is>
          <t>2023 Q3</t>
        </is>
      </c>
      <c r="N2" s="1" t="inlineStr">
        <is>
          <t>2023 Q4</t>
        </is>
      </c>
      <c r="O2" s="1" t="inlineStr">
        <is>
          <t>2024 Q1</t>
        </is>
      </c>
      <c r="P2" s="1" t="inlineStr">
        <is>
          <t>2024 Q2</t>
        </is>
      </c>
      <c r="Q2" s="1" t="inlineStr">
        <is>
          <t>2024 Q3</t>
        </is>
      </c>
      <c r="R2" s="1" t="inlineStr">
        <is>
          <t>2024 Q4</t>
        </is>
      </c>
      <c r="S2" s="1" t="inlineStr">
        <is>
          <t>2025 Q1</t>
        </is>
      </c>
      <c r="T2" s="1" t="inlineStr">
        <is>
          <t>2025 Q2</t>
        </is>
      </c>
      <c r="U2" s="1" t="inlineStr">
        <is>
          <t>2025 Q3</t>
        </is>
      </c>
      <c r="V2" s="1" t="inlineStr">
        <is>
          <t>2025 Q4</t>
        </is>
      </c>
      <c r="W2" s="1" t="inlineStr">
        <is>
          <t>2026 Q1</t>
        </is>
      </c>
      <c r="X2" s="1" t="inlineStr">
        <is>
          <t>2023 Q3</t>
        </is>
      </c>
      <c r="Y2" s="1" t="inlineStr">
        <is>
          <t>2023 Q4</t>
        </is>
      </c>
      <c r="Z2" s="1" t="inlineStr">
        <is>
          <t>2024 Q1</t>
        </is>
      </c>
      <c r="AA2" s="1" t="inlineStr">
        <is>
          <t>2024 Q2</t>
        </is>
      </c>
      <c r="AB2" s="1" t="inlineStr">
        <is>
          <t>2024 Q3</t>
        </is>
      </c>
      <c r="AC2" s="1" t="inlineStr">
        <is>
          <t>2024 Q4</t>
        </is>
      </c>
      <c r="AD2" s="1" t="inlineStr">
        <is>
          <t>2025 Q1</t>
        </is>
      </c>
      <c r="AE2" s="1" t="inlineStr">
        <is>
          <t>2025 Q2</t>
        </is>
      </c>
      <c r="AF2" s="1" t="inlineStr">
        <is>
          <t>2025 Q3</t>
        </is>
      </c>
      <c r="AG2" s="1" t="inlineStr">
        <is>
          <t>2025 Q4</t>
        </is>
      </c>
      <c r="AH2" s="1" t="inlineStr">
        <is>
          <t>2026 Q1</t>
        </is>
      </c>
      <c r="AI2" s="1" t="inlineStr">
        <is>
          <t>2023 Q3</t>
        </is>
      </c>
      <c r="AJ2" s="1" t="inlineStr">
        <is>
          <t>2023 Q4</t>
        </is>
      </c>
      <c r="AK2" s="1" t="inlineStr">
        <is>
          <t>2024 Q1</t>
        </is>
      </c>
      <c r="AL2" s="1" t="inlineStr">
        <is>
          <t>2024 Q2</t>
        </is>
      </c>
      <c r="AM2" s="1" t="inlineStr">
        <is>
          <t>2024 Q3</t>
        </is>
      </c>
      <c r="AN2" s="1" t="inlineStr">
        <is>
          <t>2024 Q4</t>
        </is>
      </c>
      <c r="AO2" s="1" t="inlineStr">
        <is>
          <t>2025 Q1</t>
        </is>
      </c>
      <c r="AP2" s="1" t="inlineStr">
        <is>
          <t>2025 Q2</t>
        </is>
      </c>
      <c r="AQ2" s="1" t="inlineStr">
        <is>
          <t>2025 Q3</t>
        </is>
      </c>
      <c r="AR2" s="1" t="inlineStr">
        <is>
          <t>2025 Q4</t>
        </is>
      </c>
      <c r="AS2" s="1" t="inlineStr">
        <is>
          <t>2026 Q1</t>
        </is>
      </c>
      <c r="AT2" s="1" t="inlineStr">
        <is>
          <t>2023 Q3</t>
        </is>
      </c>
      <c r="AU2" s="1" t="inlineStr">
        <is>
          <t>2023 Q4</t>
        </is>
      </c>
      <c r="AV2" s="1" t="inlineStr">
        <is>
          <t>2024 Q1</t>
        </is>
      </c>
      <c r="AW2" s="1" t="inlineStr">
        <is>
          <t>2024 Q2</t>
        </is>
      </c>
      <c r="AX2" s="1" t="inlineStr">
        <is>
          <t>2024 Q3</t>
        </is>
      </c>
      <c r="AY2" s="1" t="inlineStr">
        <is>
          <t>2024 Q4</t>
        </is>
      </c>
      <c r="AZ2" s="1" t="inlineStr">
        <is>
          <t>2025 Q1</t>
        </is>
      </c>
      <c r="BA2" s="1" t="inlineStr">
        <is>
          <t>2025 Q2</t>
        </is>
      </c>
      <c r="BB2" s="1" t="inlineStr">
        <is>
          <t>2025 Q3</t>
        </is>
      </c>
      <c r="BC2" s="1" t="inlineStr">
        <is>
          <t>2025 Q4</t>
        </is>
      </c>
      <c r="BD2" s="1" t="inlineStr">
        <is>
          <t>2026 Q1</t>
        </is>
      </c>
    </row>
    <row r="3">
      <c r="A3" t="inlineStr">
        <is>
          <t>ms</t>
        </is>
      </c>
      <c r="B3" s="1" t="n">
        <v>136.4384935666058</v>
      </c>
      <c r="C3" s="1" t="n">
        <v>137.0213509130023</v>
      </c>
      <c r="D3" s="1" t="n">
        <v>136.3721183056237</v>
      </c>
      <c r="E3" s="1" t="n">
        <v>137.1219832649336</v>
      </c>
      <c r="F3" s="1" t="n">
        <v>138.0905208354299</v>
      </c>
      <c r="G3" s="1" t="n">
        <v>136.8013556580202</v>
      </c>
      <c r="H3" s="1" t="n">
        <v>136.8370249449572</v>
      </c>
      <c r="I3" s="1" t="n">
        <v>138.0338190269167</v>
      </c>
      <c r="J3" s="1" t="n">
        <v>138.5580809339625</v>
      </c>
      <c r="K3" s="1" t="n">
        <v>139.3761012547063</v>
      </c>
      <c r="L3" s="1" t="n">
        <v>140.4407289400185</v>
      </c>
      <c r="M3" s="1" t="n">
        <v>140.7210258075156</v>
      </c>
      <c r="N3" s="1" t="n">
        <v>139.0251422865111</v>
      </c>
      <c r="O3" s="1" t="n">
        <v>138.131634820861</v>
      </c>
      <c r="P3" s="1" t="n">
        <v>140.1735622972094</v>
      </c>
      <c r="Q3" s="1" t="n">
        <v>141.5537522412373</v>
      </c>
      <c r="R3" s="1" t="n">
        <v>139.9709736928341</v>
      </c>
      <c r="S3" s="1" t="n">
        <v>139.8331504010449</v>
      </c>
      <c r="T3" s="1" t="n">
        <v>140.6343356036855</v>
      </c>
      <c r="U3" s="1" t="n">
        <v>140.9638839291236</v>
      </c>
      <c r="V3" s="1" t="n">
        <v>141.8574881843083</v>
      </c>
      <c r="W3" s="1" t="n">
        <v>142.9114368604263</v>
      </c>
      <c r="X3" s="1" t="n">
        <v>138.539836220195</v>
      </c>
      <c r="Y3" s="1" t="n">
        <v>137.4874727196197</v>
      </c>
      <c r="Z3" s="1" t="n">
        <v>136.7602328443263</v>
      </c>
      <c r="AA3" s="1" t="n">
        <v>137.4780242783808</v>
      </c>
      <c r="AB3" s="1" t="n">
        <v>138.5435356947864</v>
      </c>
      <c r="AC3" s="1" t="n">
        <v>137.2090482829978</v>
      </c>
      <c r="AD3" s="1" t="n">
        <v>136.6683984146269</v>
      </c>
      <c r="AE3" s="1" t="n">
        <v>137.947192238537</v>
      </c>
      <c r="AF3" s="1" t="n">
        <v>138.6605471792442</v>
      </c>
      <c r="AG3" s="1" t="n">
        <v>140.0375169754368</v>
      </c>
      <c r="AH3" s="1" t="n">
        <v>141.566142580675</v>
      </c>
      <c r="AI3" s="1" t="n">
        <v>137.9566586474825</v>
      </c>
      <c r="AJ3" s="1" t="n">
        <v>139.566199147824</v>
      </c>
      <c r="AK3" s="1" t="n">
        <v>138.5243999113925</v>
      </c>
      <c r="AL3" s="1" t="n">
        <v>138.4097814248108</v>
      </c>
      <c r="AM3" s="1" t="n">
        <v>140.3633073736207</v>
      </c>
      <c r="AN3" s="1" t="n">
        <v>138.3876859223873</v>
      </c>
      <c r="AO3" s="1" t="n">
        <v>136.7074293203177</v>
      </c>
      <c r="AP3" s="1" t="n">
        <v>138.3477967395484</v>
      </c>
      <c r="AQ3" s="1" t="n">
        <v>138.1020962153943</v>
      </c>
      <c r="AR3" s="1" t="n">
        <v>138.9455515120214</v>
      </c>
      <c r="AS3" s="1" t="n">
        <v>141.1331997487314</v>
      </c>
      <c r="AT3" s="1" t="n">
        <v>133.7675545284876</v>
      </c>
      <c r="AU3" s="1" t="n">
        <v>135.3136659257851</v>
      </c>
      <c r="AV3" s="1" t="n">
        <v>136.174564953763</v>
      </c>
      <c r="AW3" s="1" t="n">
        <v>136.8170999933916</v>
      </c>
      <c r="AX3" s="1" t="n">
        <v>136.692412626705</v>
      </c>
      <c r="AY3" s="1" t="n">
        <v>134.948750294055</v>
      </c>
      <c r="AZ3" s="1" t="n">
        <v>134.5714799684362</v>
      </c>
      <c r="BA3" s="1" t="n">
        <v>136.4179223286813</v>
      </c>
      <c r="BB3" s="1" t="n">
        <v>137.0062956216543</v>
      </c>
      <c r="BC3" s="1" t="n">
        <v>137.2072148391119</v>
      </c>
      <c r="BD3" s="1" t="n">
        <v>139.551505877495</v>
      </c>
    </row>
    <row r="4">
      <c r="A4" t="inlineStr">
        <is>
          <t>gl</t>
        </is>
      </c>
      <c r="B4" s="1" t="n">
        <v>0.7471878974255617</v>
      </c>
      <c r="C4" s="1" t="n">
        <v>0.5648878809686551</v>
      </c>
      <c r="D4" s="1" t="n">
        <v>0.6785235911966083</v>
      </c>
      <c r="E4" s="1" t="n">
        <v>1.187691769032398</v>
      </c>
      <c r="F4" s="1" t="n">
        <v>0.971527043656863</v>
      </c>
      <c r="G4" s="1" t="n">
        <v>1.180283999142574</v>
      </c>
      <c r="H4" s="1" t="n">
        <v>1.468300221301661</v>
      </c>
      <c r="I4" s="1" t="n">
        <v>2.477602674231548</v>
      </c>
      <c r="J4" s="1" t="n">
        <v>2.938264412294643</v>
      </c>
      <c r="K4" s="1" t="n">
        <v>3.496150059072761</v>
      </c>
      <c r="L4" s="1" t="n">
        <v>2.333204842240036</v>
      </c>
      <c r="M4" s="1" t="n">
        <v>1.645877081427699</v>
      </c>
      <c r="N4" s="1" t="n">
        <v>0.8023127619676984</v>
      </c>
      <c r="O4" s="1" t="n">
        <v>-0.1252150605915858</v>
      </c>
      <c r="P4" s="1" t="n">
        <v>0.3193078714387809</v>
      </c>
      <c r="Q4" s="1" t="n">
        <v>0.7613170038819703</v>
      </c>
      <c r="R4" s="1" t="n">
        <v>0.5294538168832048</v>
      </c>
      <c r="S4" s="1" t="n">
        <v>0.6852321301983864</v>
      </c>
      <c r="T4" s="1" t="n">
        <v>1.278472160178382</v>
      </c>
      <c r="U4" s="1" t="n">
        <v>1.805257397700444</v>
      </c>
      <c r="V4" s="1" t="n">
        <v>2.939022153307093</v>
      </c>
      <c r="W4" s="1" t="n">
        <v>2.551470308099539</v>
      </c>
      <c r="X4" s="1" t="n">
        <v>1.489072784755109</v>
      </c>
      <c r="Y4" s="1" t="n">
        <v>1.125350888566828</v>
      </c>
      <c r="Z4" s="1" t="n">
        <v>1.06305947582743</v>
      </c>
      <c r="AA4" s="1" t="n">
        <v>2.024555380339308</v>
      </c>
      <c r="AB4" s="1" t="n">
        <v>2.273380575563465</v>
      </c>
      <c r="AC4" s="1" t="n">
        <v>2.066929065326889</v>
      </c>
      <c r="AD4" s="1" t="n">
        <v>1.854341293247273</v>
      </c>
      <c r="AE4" s="1" t="n">
        <v>2.033757005762368</v>
      </c>
      <c r="AF4" s="1" t="n">
        <v>2.259577774352834</v>
      </c>
      <c r="AG4" s="1" t="n">
        <v>3.114786807711141</v>
      </c>
      <c r="AH4" s="1" t="n">
        <v>2.59795426736801</v>
      </c>
      <c r="AI4" s="1" t="n">
        <v>1.083619416129267</v>
      </c>
      <c r="AJ4" s="1" t="n">
        <v>1.405517876833301</v>
      </c>
      <c r="AK4" s="1" t="n">
        <v>1.596137023909023</v>
      </c>
      <c r="AL4" s="1" t="n">
        <v>2.439710943102341</v>
      </c>
      <c r="AM4" s="1" t="n">
        <v>3.282589193881478</v>
      </c>
      <c r="AN4" s="1" t="n">
        <v>2.969253794609187</v>
      </c>
      <c r="AO4" s="1" t="n">
        <v>2.413259014666977</v>
      </c>
      <c r="AP4" s="1" t="n">
        <v>2.495246729444574</v>
      </c>
      <c r="AQ4" s="1" t="n">
        <v>3.017141696429064</v>
      </c>
      <c r="AR4" s="1" t="n">
        <v>1.864737805606069</v>
      </c>
      <c r="AS4" s="1" t="n">
        <v>1.600876234825193</v>
      </c>
      <c r="AT4" s="1" t="n">
        <v>-0.6371649241466457</v>
      </c>
      <c r="AU4" s="1" t="n">
        <v>0.1573203916421448</v>
      </c>
      <c r="AV4" s="1" t="n">
        <v>-0.5898295146213286</v>
      </c>
      <c r="AW4" s="1" t="n">
        <v>-0.3260526431747337</v>
      </c>
      <c r="AX4" s="1" t="n">
        <v>-0.4761270911880899</v>
      </c>
      <c r="AY4" s="1" t="n">
        <v>-0.2788023978005469</v>
      </c>
      <c r="AZ4" s="1" t="n">
        <v>-0.9588407551376292</v>
      </c>
      <c r="BA4" s="1" t="n">
        <v>0.2153117599389702</v>
      </c>
      <c r="BB4" s="1" t="n">
        <v>0.1953693406738637</v>
      </c>
      <c r="BC4" s="1" t="n">
        <v>1.680992874523753</v>
      </c>
      <c r="BD4" s="1" t="n">
        <v>1.976145990146591</v>
      </c>
    </row>
    <row r="5">
      <c r="A5" t="inlineStr">
        <is>
          <t>rec</t>
        </is>
      </c>
      <c r="B5" s="1" t="n">
        <v>-1.413635378208539</v>
      </c>
      <c r="C5" s="1" t="n">
        <v>-1.547276519445631</v>
      </c>
      <c r="D5" s="1" t="n">
        <v>-1.710954222899574</v>
      </c>
      <c r="E5" s="1" t="n">
        <v>-0.9372902043276099</v>
      </c>
      <c r="F5" s="1" t="n">
        <v>-0.8790204847033181</v>
      </c>
      <c r="G5" s="1" t="n">
        <v>0.2845454626738615</v>
      </c>
      <c r="H5" s="1" t="n">
        <v>0.1954039121930862</v>
      </c>
      <c r="I5" s="1" t="n">
        <v>0.7670126606856229</v>
      </c>
      <c r="J5" s="1" t="n">
        <v>0.7551015305564874</v>
      </c>
      <c r="K5" s="1" t="n">
        <v>1.446326544402552</v>
      </c>
      <c r="L5" s="1" t="n">
        <v>0.8890084654898089</v>
      </c>
      <c r="M5" s="1" t="n">
        <v>-1.499374136103796</v>
      </c>
      <c r="N5" s="1" t="n">
        <v>-1.177288210958494</v>
      </c>
      <c r="O5" s="1" t="n">
        <v>-1.62669205528033</v>
      </c>
      <c r="P5" s="1" t="n">
        <v>-1.190204355476652</v>
      </c>
      <c r="Q5" s="1" t="n">
        <v>-0.525177264735305</v>
      </c>
      <c r="R5" s="1" t="n">
        <v>0.134428140821484</v>
      </c>
      <c r="S5" s="1" t="n">
        <v>0.2584863410326932</v>
      </c>
      <c r="T5" s="1" t="n">
        <v>0.3710951563345759</v>
      </c>
      <c r="U5" s="1" t="n">
        <v>1.014454078951672</v>
      </c>
      <c r="V5" s="1" t="n">
        <v>1.687620240898354</v>
      </c>
      <c r="W5" s="1" t="n">
        <v>1.507433932902245</v>
      </c>
      <c r="X5" s="1" t="n">
        <v>-1.602003264603582</v>
      </c>
      <c r="Y5" s="1" t="n">
        <v>-1.340370885487658</v>
      </c>
      <c r="Z5" s="1" t="n">
        <v>-1.393875278698488</v>
      </c>
      <c r="AA5" s="1" t="n">
        <v>-1.026304282028548</v>
      </c>
      <c r="AB5" s="1" t="n">
        <v>-0.6144004247078669</v>
      </c>
      <c r="AC5" s="1" t="n">
        <v>0.5238390048671988</v>
      </c>
      <c r="AD5" s="1" t="n">
        <v>0.2378777955592852</v>
      </c>
      <c r="AE5" s="1" t="n">
        <v>0.4935639172709614</v>
      </c>
      <c r="AF5" s="1" t="n">
        <v>0.9956850134128956</v>
      </c>
      <c r="AG5" s="1" t="n">
        <v>1.466777705310506</v>
      </c>
      <c r="AH5" s="1" t="n">
        <v>1.303020932307419</v>
      </c>
      <c r="AI5" s="1" t="n">
        <v>-1.515339213572986</v>
      </c>
      <c r="AJ5" s="1" t="n">
        <v>-1.432080743841539</v>
      </c>
      <c r="AK5" s="1" t="n">
        <v>-1.59091441175849</v>
      </c>
      <c r="AL5" s="1" t="n">
        <v>-0.7682353629820398</v>
      </c>
      <c r="AM5" s="1" t="n">
        <v>-0.5819299655601355</v>
      </c>
      <c r="AN5" s="1" t="n">
        <v>0.4423233584065258</v>
      </c>
      <c r="AO5" s="1" t="n">
        <v>0.1502916931746938</v>
      </c>
      <c r="AP5" s="1" t="n">
        <v>0.2472083951752779</v>
      </c>
      <c r="AQ5" s="1" t="n">
        <v>0.5040165565808365</v>
      </c>
      <c r="AR5" s="1" t="n">
        <v>1.605871273125672</v>
      </c>
      <c r="AS5" s="1" t="n">
        <v>1.383290372312132</v>
      </c>
      <c r="AT5" s="1" t="n">
        <v>-3.52871450035525</v>
      </c>
      <c r="AU5" s="1" t="n">
        <v>-2.998475911601531</v>
      </c>
      <c r="AV5" s="1" t="n">
        <v>-3.589593937658265</v>
      </c>
      <c r="AW5" s="1" t="n">
        <v>-3.204688998417652</v>
      </c>
      <c r="AX5" s="1" t="n">
        <v>-2.420209354607124</v>
      </c>
      <c r="AY5" s="1" t="n">
        <v>0.138343921062841</v>
      </c>
      <c r="AZ5" s="1" t="n">
        <v>1.106959753465731</v>
      </c>
      <c r="BA5" s="1" t="n">
        <v>0.09957065659813225</v>
      </c>
      <c r="BB5" s="1" t="n">
        <v>0.329215037194075</v>
      </c>
      <c r="BC5" s="1" t="n">
        <v>1.211526218874468</v>
      </c>
      <c r="BD5" s="1" t="n">
        <v>0.6222818631551661</v>
      </c>
    </row>
    <row r="6">
      <c r="A6" t="inlineStr">
        <is>
          <t>ltv</t>
        </is>
      </c>
      <c r="B6" s="1" t="n">
        <v>2.707214768640378</v>
      </c>
      <c r="C6" s="1" t="n">
        <v>2.288039468277758</v>
      </c>
      <c r="D6" s="1" t="n">
        <v>2.002720695679409</v>
      </c>
      <c r="E6" s="1" t="n">
        <v>2.593153652403113</v>
      </c>
      <c r="F6" s="1" t="n">
        <v>3.744650177559637</v>
      </c>
      <c r="G6" s="1" t="n">
        <v>3.388185742525025</v>
      </c>
      <c r="H6" s="1" t="n">
        <v>3.507379275468877</v>
      </c>
      <c r="I6" s="1" t="n">
        <v>4.040281597693084</v>
      </c>
      <c r="J6" s="1" t="n">
        <v>3.970231342331939</v>
      </c>
      <c r="K6" s="1" t="n">
        <v>4.25379133480338</v>
      </c>
      <c r="L6" s="1" t="n">
        <v>4.086147331621819</v>
      </c>
      <c r="M6" s="1" t="n">
        <v>5.03329262208155</v>
      </c>
      <c r="N6" s="1" t="n">
        <v>5.567832149584941</v>
      </c>
      <c r="O6" s="1" t="n">
        <v>5.235130974919084</v>
      </c>
      <c r="P6" s="1" t="n">
        <v>5.328628903686397</v>
      </c>
      <c r="Q6" s="1" t="n">
        <v>5.124575648710535</v>
      </c>
      <c r="R6" s="1" t="n">
        <v>5.209834414838022</v>
      </c>
      <c r="S6" s="1" t="n">
        <v>5.16664690206778</v>
      </c>
      <c r="T6" s="1" t="n">
        <v>6.084851566024007</v>
      </c>
      <c r="U6" s="1" t="n">
        <v>6.151073099935392</v>
      </c>
      <c r="V6" s="1" t="n">
        <v>6.208097831968492</v>
      </c>
      <c r="W6" s="1" t="n">
        <v>5.675012782598318</v>
      </c>
      <c r="X6" s="1" t="n">
        <v>6.135479062504245</v>
      </c>
      <c r="Y6" s="1" t="n">
        <v>6.071753546995335</v>
      </c>
      <c r="Z6" s="1" t="n">
        <v>4.5804623728312</v>
      </c>
      <c r="AA6" s="1" t="n">
        <v>5.137836553915891</v>
      </c>
      <c r="AB6" s="1" t="n">
        <v>5.70664588566481</v>
      </c>
      <c r="AC6" s="1" t="n">
        <v>5.548369545177378</v>
      </c>
      <c r="AD6" s="1" t="n">
        <v>5.216681256538715</v>
      </c>
      <c r="AE6" s="1" t="n">
        <v>6.140363692352224</v>
      </c>
      <c r="AF6" s="1" t="n">
        <v>6.038260826449445</v>
      </c>
      <c r="AG6" s="1" t="n">
        <v>6.253472294638576</v>
      </c>
      <c r="AH6" s="1" t="n">
        <v>5.290101790381589</v>
      </c>
      <c r="AI6" s="1" t="n">
        <v>2.476731199854522</v>
      </c>
      <c r="AJ6" s="1" t="n">
        <v>2.156631681762926</v>
      </c>
      <c r="AK6" s="1" t="n">
        <v>0.827512269508127</v>
      </c>
      <c r="AL6" s="1" t="n">
        <v>1.06853514949163</v>
      </c>
      <c r="AM6" s="1" t="n">
        <v>1.323960017190275</v>
      </c>
      <c r="AN6" s="1" t="n">
        <v>1.397666726815066</v>
      </c>
      <c r="AO6" s="1" t="n">
        <v>0.8663164569306705</v>
      </c>
      <c r="AP6" s="1" t="n">
        <v>0.4739865492493105</v>
      </c>
      <c r="AQ6" s="1" t="n">
        <v>0.4552775740937534</v>
      </c>
      <c r="AR6" s="1" t="n">
        <v>0.4868577921773234</v>
      </c>
      <c r="AS6" s="1" t="n">
        <v>-0.2787113947185931</v>
      </c>
      <c r="AT6" s="1" t="n">
        <v>2.627381898272783</v>
      </c>
      <c r="AU6" s="1" t="n">
        <v>1.848239107875393</v>
      </c>
      <c r="AV6" s="1" t="n">
        <v>1.717044760541001</v>
      </c>
      <c r="AW6" s="1" t="n">
        <v>1.962711305673598</v>
      </c>
      <c r="AX6" s="1" t="n">
        <v>1.751938538894655</v>
      </c>
      <c r="AY6" s="1" t="n">
        <v>1.323535205619052</v>
      </c>
      <c r="AZ6" s="1" t="n">
        <v>1.517698026409076</v>
      </c>
      <c r="BA6" s="1" t="n">
        <v>1.921507309584155</v>
      </c>
      <c r="BB6" s="1" t="n">
        <v>1.847753623055248</v>
      </c>
      <c r="BC6" s="1" t="n">
        <v>1.696327277433514</v>
      </c>
      <c r="BD6" s="1" t="n">
        <v>1.216382087726189</v>
      </c>
    </row>
    <row r="7">
      <c r="A7" t="inlineStr">
        <is>
          <t>recltv</t>
        </is>
      </c>
      <c r="B7" s="1">
        <f>B5+B6</f>
        <v/>
      </c>
      <c r="C7" s="1">
        <f>C5+C6</f>
        <v/>
      </c>
      <c r="D7" s="1">
        <f>D5+D6</f>
        <v/>
      </c>
      <c r="E7" s="1">
        <f>E5+E6</f>
        <v/>
      </c>
      <c r="F7" s="1">
        <f>F5+F6</f>
        <v/>
      </c>
      <c r="G7" s="1">
        <f>G5+G6</f>
        <v/>
      </c>
      <c r="H7" s="1">
        <f>H5+H6</f>
        <v/>
      </c>
      <c r="I7" s="1">
        <f>I5+I6</f>
        <v/>
      </c>
      <c r="J7" s="1">
        <f>J5+J6</f>
        <v/>
      </c>
      <c r="K7" s="1">
        <f>K5+K6</f>
        <v/>
      </c>
      <c r="L7" s="1">
        <f>L5+L6</f>
        <v/>
      </c>
      <c r="M7" s="1">
        <f>M5+M6</f>
        <v/>
      </c>
      <c r="N7" s="1">
        <f>N5+N6</f>
        <v/>
      </c>
      <c r="O7" s="1">
        <f>O5+O6</f>
        <v/>
      </c>
      <c r="P7" s="1">
        <f>P5+P6</f>
        <v/>
      </c>
      <c r="Q7" s="1">
        <f>Q5+Q6</f>
        <v/>
      </c>
      <c r="R7" s="1">
        <f>R5+R6</f>
        <v/>
      </c>
      <c r="S7" s="1">
        <f>S5+S6</f>
        <v/>
      </c>
      <c r="T7" s="1">
        <f>T5+T6</f>
        <v/>
      </c>
      <c r="U7" s="1">
        <f>U5+U6</f>
        <v/>
      </c>
      <c r="V7" s="1">
        <f>V5+V6</f>
        <v/>
      </c>
      <c r="W7" s="1">
        <f>W5+W6</f>
        <v/>
      </c>
      <c r="X7" s="1">
        <f>X5+X6</f>
        <v/>
      </c>
      <c r="Y7" s="1">
        <f>Y5+Y6</f>
        <v/>
      </c>
      <c r="Z7" s="1">
        <f>Z5+Z6</f>
        <v/>
      </c>
      <c r="AA7" s="1">
        <f>AA5+AA6</f>
        <v/>
      </c>
      <c r="AB7" s="1">
        <f>AB5+AB6</f>
        <v/>
      </c>
      <c r="AC7" s="1">
        <f>AC5+AC6</f>
        <v/>
      </c>
      <c r="AD7" s="1">
        <f>AD5+AD6</f>
        <v/>
      </c>
      <c r="AE7" s="1">
        <f>AE5+AE6</f>
        <v/>
      </c>
      <c r="AF7" s="1">
        <f>AF5+AF6</f>
        <v/>
      </c>
      <c r="AG7" s="1">
        <f>AG5+AG6</f>
        <v/>
      </c>
      <c r="AH7" s="1">
        <f>AH5+AH6</f>
        <v/>
      </c>
      <c r="AI7" s="1">
        <f>AI5+AI6</f>
        <v/>
      </c>
      <c r="AJ7" s="1">
        <f>AJ5+AJ6</f>
        <v/>
      </c>
      <c r="AK7" s="1">
        <f>AK5+AK6</f>
        <v/>
      </c>
      <c r="AL7" s="1">
        <f>AL5+AL6</f>
        <v/>
      </c>
      <c r="AM7" s="1">
        <f>AM5+AM6</f>
        <v/>
      </c>
      <c r="AN7" s="1">
        <f>AN5+AN6</f>
        <v/>
      </c>
      <c r="AO7" s="1">
        <f>AO5+AO6</f>
        <v/>
      </c>
      <c r="AP7" s="1">
        <f>AP5+AP6</f>
        <v/>
      </c>
      <c r="AQ7" s="1">
        <f>AQ5+AQ6</f>
        <v/>
      </c>
      <c r="AR7" s="1">
        <f>AR5+AR6</f>
        <v/>
      </c>
      <c r="AS7" s="1">
        <f>AS5+AS6</f>
        <v/>
      </c>
      <c r="AT7" s="1">
        <f>AT5+AT6</f>
        <v/>
      </c>
      <c r="AU7" s="1">
        <f>AU5+AU6</f>
        <v/>
      </c>
      <c r="AV7" s="1">
        <f>AV5+AV6</f>
        <v/>
      </c>
      <c r="AW7" s="1">
        <f>AW5+AW6</f>
        <v/>
      </c>
      <c r="AX7" s="1">
        <f>AX5+AX6</f>
        <v/>
      </c>
      <c r="AY7" s="1">
        <f>AY5+AY6</f>
        <v/>
      </c>
      <c r="AZ7" s="1">
        <f>AZ5+AZ6</f>
        <v/>
      </c>
      <c r="BA7" s="1">
        <f>BA5+BA6</f>
        <v/>
      </c>
      <c r="BB7" s="1">
        <f>BB5+BB6</f>
        <v/>
      </c>
      <c r="BC7" s="1">
        <f>BC5+BC6</f>
        <v/>
      </c>
      <c r="BD7" s="1">
        <f>BD5+BD6</f>
        <v/>
      </c>
    </row>
    <row r="8">
      <c r="A8" t="inlineStr">
        <is>
          <t>RAGU Score</t>
        </is>
      </c>
      <c r="B8" s="1" t="n">
        <v>138.4792608544632</v>
      </c>
      <c r="C8" s="1" t="n">
        <v>138.3270017428031</v>
      </c>
      <c r="D8" s="1" t="n">
        <v>137.3424083696002</v>
      </c>
      <c r="E8" s="1" t="n">
        <v>139.9655384820415</v>
      </c>
      <c r="F8" s="1" t="n">
        <v>141.9276775719431</v>
      </c>
      <c r="G8" s="1" t="n">
        <v>141.6543708623617</v>
      </c>
      <c r="H8" s="1" t="n">
        <v>142.0081083539208</v>
      </c>
      <c r="I8" s="1" t="n">
        <v>145.3187159595269</v>
      </c>
      <c r="J8" s="1" t="n">
        <v>146.2216782191456</v>
      </c>
      <c r="K8" s="1" t="n">
        <v>148.572369192985</v>
      </c>
      <c r="L8" s="1" t="n">
        <v>147.7490895793701</v>
      </c>
      <c r="M8" s="1" t="n">
        <v>145.900821374921</v>
      </c>
      <c r="N8" s="1" t="n">
        <v>144.2179989871053</v>
      </c>
      <c r="O8" s="1" t="n">
        <v>141.6148586799082</v>
      </c>
      <c r="P8" s="1" t="n">
        <v>144.6312947168579</v>
      </c>
      <c r="Q8" s="1" t="n">
        <v>146.9144676290945</v>
      </c>
      <c r="R8" s="1" t="n">
        <v>145.8446900653768</v>
      </c>
      <c r="S8" s="1" t="n">
        <v>145.9435157743438</v>
      </c>
      <c r="T8" s="1" t="n">
        <v>148.3687544862225</v>
      </c>
      <c r="U8" s="1" t="n">
        <v>149.9346685057111</v>
      </c>
      <c r="V8" s="1" t="n">
        <v>152.6922284104822</v>
      </c>
      <c r="W8" s="1" t="n">
        <v>152.6453538840264</v>
      </c>
      <c r="X8" s="1" t="n">
        <v>144.5623848028508</v>
      </c>
      <c r="Y8" s="1" t="n">
        <v>143.3442062696942</v>
      </c>
      <c r="Z8" s="1" t="n">
        <v>141.0098794142864</v>
      </c>
      <c r="AA8" s="1" t="n">
        <v>143.6141119306074</v>
      </c>
      <c r="AB8" s="1" t="n">
        <v>145.9091617313068</v>
      </c>
      <c r="AC8" s="1" t="n">
        <v>145.3481858983693</v>
      </c>
      <c r="AD8" s="1" t="n">
        <v>143.9772987599722</v>
      </c>
      <c r="AE8" s="1" t="n">
        <v>146.6148768539226</v>
      </c>
      <c r="AF8" s="1" t="n">
        <v>147.9540707934594</v>
      </c>
      <c r="AG8" s="1" t="n">
        <v>150.872553783097</v>
      </c>
      <c r="AH8" s="1" t="n">
        <v>150.757219570732</v>
      </c>
      <c r="AI8" s="1" t="n">
        <v>140.0016700498933</v>
      </c>
      <c r="AJ8" s="1" t="n">
        <v>141.6962679625787</v>
      </c>
      <c r="AK8" s="1" t="n">
        <v>139.3571347930512</v>
      </c>
      <c r="AL8" s="1" t="n">
        <v>141.1497921544227</v>
      </c>
      <c r="AM8" s="1" t="n">
        <v>144.3879266191323</v>
      </c>
      <c r="AN8" s="1" t="n">
        <v>143.1969298022181</v>
      </c>
      <c r="AO8" s="1" t="n">
        <v>140.13729648509</v>
      </c>
      <c r="AP8" s="1" t="n">
        <v>141.5642384134175</v>
      </c>
      <c r="AQ8" s="1" t="n">
        <v>142.078532042498</v>
      </c>
      <c r="AR8" s="1" t="n">
        <v>142.9030183829305</v>
      </c>
      <c r="AS8" s="1" t="n">
        <v>143.8386549611502</v>
      </c>
      <c r="AT8" s="1" t="n">
        <v>132.2290570022585</v>
      </c>
      <c r="AU8" s="1" t="n">
        <v>134.3207495137011</v>
      </c>
      <c r="AV8" s="1" t="n">
        <v>133.7121862620244</v>
      </c>
      <c r="AW8" s="1" t="n">
        <v>135.2490696574728</v>
      </c>
      <c r="AX8" s="1" t="n">
        <v>135.5480147198044</v>
      </c>
      <c r="AY8" s="1" t="n">
        <v>136.1318270229364</v>
      </c>
      <c r="AZ8" s="1" t="n">
        <v>136.2372969931734</v>
      </c>
      <c r="BA8" s="1" t="n">
        <v>138.6543120548025</v>
      </c>
      <c r="BB8" s="1" t="n">
        <v>139.3786336225775</v>
      </c>
      <c r="BC8" s="1" t="n">
        <v>141.7960612099436</v>
      </c>
      <c r="BD8" s="1" t="n">
        <v>143.366315818523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>
      <c r="A11" t="inlineStr">
        <is>
          <t>FRN</t>
        </is>
      </c>
    </row>
    <row r="12">
      <c r="A12" t="inlineStr">
        <is>
          <t>Contract Model Score¹</t>
        </is>
      </c>
    </row>
    <row r="13">
      <c r="A13" t="inlineStr">
        <is>
          <t>Shift to FRN 3.1 Score²</t>
        </is>
      </c>
    </row>
    <row r="14">
      <c r="A14" t="inlineStr">
        <is>
          <t>Gross Loss Adjustments (Dealer Level, vehicle age, etc.)²</t>
        </is>
      </c>
    </row>
    <row r="15">
      <c r="A15" t="inlineStr">
        <is>
          <t>Recovery Adjustments excluding LTV (Mileage, LOB, etc.)³</t>
        </is>
      </c>
    </row>
    <row r="16">
      <c r="A16" t="inlineStr">
        <is>
          <t>BBLTV Adjustments⁴</t>
        </is>
      </c>
    </row>
    <row r="17">
      <c r="A17" t="inlineStr">
        <is>
          <t>RAGU Score</t>
        </is>
      </c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1">
      <c r="A21" t="inlineStr">
        <is>
          <t>STG</t>
        </is>
      </c>
    </row>
    <row r="22">
      <c r="A22" t="inlineStr">
        <is>
          <t>Contract Model Score¹</t>
        </is>
      </c>
    </row>
    <row r="23">
      <c r="A23" t="inlineStr">
        <is>
          <t>Shift to FRN 3.1 Score²</t>
        </is>
      </c>
    </row>
    <row r="24">
      <c r="A24" t="inlineStr">
        <is>
          <t>Gross Loss Adjustments (Dealer Level, vehicle age, etc.)²</t>
        </is>
      </c>
    </row>
    <row r="25">
      <c r="A25" t="inlineStr">
        <is>
          <t>Recovery Adjustments excluding LTV (Mileage, LOB, etc.)³</t>
        </is>
      </c>
    </row>
    <row r="26">
      <c r="A26" t="inlineStr">
        <is>
          <t>BBLTV Adjustments⁴</t>
        </is>
      </c>
    </row>
    <row r="27">
      <c r="A27" t="inlineStr">
        <is>
          <t>RAGU Score</t>
        </is>
      </c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30">
      <c r="A30" t="inlineStr">
        <is>
          <t>FLD</t>
        </is>
      </c>
    </row>
    <row r="31">
      <c r="A31" t="inlineStr">
        <is>
          <t>Contract Model Score¹</t>
        </is>
      </c>
    </row>
    <row r="32">
      <c r="A32" t="inlineStr">
        <is>
          <t>Shift to FRN 3.1 Score²</t>
        </is>
      </c>
    </row>
    <row r="33">
      <c r="A33" t="inlineStr">
        <is>
          <t>Gross Loss Adjustments (Dealer Level, vehicle age, etc.)²</t>
        </is>
      </c>
    </row>
    <row r="34">
      <c r="A34" t="inlineStr">
        <is>
          <t>Recovery Adjustments excluding LTV (Mileage, LOB, etc.)³</t>
        </is>
      </c>
    </row>
    <row r="35">
      <c r="A35" t="inlineStr">
        <is>
          <t>BBLTV Adjustments⁴</t>
        </is>
      </c>
    </row>
    <row r="36">
      <c r="A36" t="inlineStr">
        <is>
          <t>RAGU Score</t>
        </is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1">
      <c r="A41" t="inlineStr">
        <is>
          <t>ENT</t>
        </is>
      </c>
    </row>
    <row r="42">
      <c r="A42" t="inlineStr">
        <is>
          <t>Contract Model Score¹</t>
        </is>
      </c>
    </row>
    <row r="43">
      <c r="A43" t="inlineStr">
        <is>
          <t>Shift to FRN 3.1 Score²</t>
        </is>
      </c>
    </row>
    <row r="44">
      <c r="A44" t="inlineStr">
        <is>
          <t>Gross Loss Adjustments (Dealer Level, vehicle age, etc.)²</t>
        </is>
      </c>
    </row>
    <row r="45">
      <c r="A45" t="inlineStr">
        <is>
          <t>Recovery Adjustments excluding LTV (Mileage, LOB, etc.)³</t>
        </is>
      </c>
    </row>
    <row r="46">
      <c r="A46" t="inlineStr">
        <is>
          <t>BBLTV Adjustments⁴</t>
        </is>
      </c>
    </row>
    <row r="47">
      <c r="A47" t="inlineStr">
        <is>
          <t>RAGU Score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zoomScale="190" zoomScaleNormal="190" workbookViewId="0">
      <selection activeCell="B8" sqref="B8"/>
    </sheetView>
  </sheetViews>
  <sheetFormatPr baseColWidth="8" defaultRowHeight="14.5"/>
  <cols>
    <col width="16.08984375" customWidth="1" style="43" min="1" max="5"/>
    <col width="12" bestFit="1" customWidth="1" style="43" min="6" max="6"/>
  </cols>
  <sheetData>
    <row r="1">
      <c r="A1" t="inlineStr">
        <is>
          <t>time</t>
        </is>
      </c>
      <c r="B1" t="inlineStr">
        <is>
          <t>lob</t>
        </is>
      </c>
      <c r="C1" t="inlineStr">
        <is>
          <t>neg_fraud</t>
        </is>
      </c>
      <c r="D1" t="inlineStr">
        <is>
          <t>pos_fraud</t>
        </is>
      </c>
      <c r="E1" t="inlineStr">
        <is>
          <t>other_fraud</t>
        </is>
      </c>
      <c r="F1" t="inlineStr">
        <is>
          <t>lookup</t>
        </is>
      </c>
    </row>
    <row r="2">
      <c r="A2" t="inlineStr">
        <is>
          <t>2023 Q3</t>
        </is>
      </c>
      <c r="B2" t="inlineStr">
        <is>
          <t>FRN</t>
        </is>
      </c>
      <c r="C2" t="n">
        <v>0.0891</v>
      </c>
      <c r="D2" t="n">
        <v>0.2678</v>
      </c>
      <c r="E2" t="n">
        <v>0.643</v>
      </c>
      <c r="F2">
        <f>_xlfn.CONCAT(fraud[[#This Row],[lob]], " ",fraud[[#This Row],[time]])</f>
        <v/>
      </c>
    </row>
    <row r="3">
      <c r="A3" t="inlineStr">
        <is>
          <t>2023 Q3</t>
        </is>
      </c>
      <c r="B3" t="inlineStr">
        <is>
          <t>FLD</t>
        </is>
      </c>
      <c r="C3" t="n">
        <v>0.0634</v>
      </c>
      <c r="D3" t="n">
        <v>0.2698</v>
      </c>
      <c r="E3" t="n">
        <v>0.6666</v>
      </c>
      <c r="F3">
        <f>_xlfn.CONCAT(fraud[[#This Row],[lob]], " ",fraud[[#This Row],[time]])</f>
        <v/>
      </c>
    </row>
    <row r="4">
      <c r="A4" t="inlineStr">
        <is>
          <t>2023 Q3</t>
        </is>
      </c>
      <c r="B4" t="inlineStr">
        <is>
          <t>KMX</t>
        </is>
      </c>
      <c r="C4" t="n">
        <v>0.08400000000000001</v>
      </c>
      <c r="D4" t="n">
        <v>0.26</v>
      </c>
      <c r="E4" t="n">
        <v>0.6558</v>
      </c>
      <c r="F4">
        <f>_xlfn.CONCAT(fraud[[#This Row],[lob]], " ",fraud[[#This Row],[time]])</f>
        <v/>
      </c>
    </row>
    <row r="5">
      <c r="A5" t="inlineStr">
        <is>
          <t>2023 Q3</t>
        </is>
      </c>
      <c r="B5" t="inlineStr">
        <is>
          <t>ENT</t>
        </is>
      </c>
      <c r="C5" t="n">
        <v>0.0585</v>
      </c>
      <c r="D5" t="n">
        <v>0.1723</v>
      </c>
      <c r="E5" t="n">
        <v>0.769</v>
      </c>
      <c r="F5">
        <f>_xlfn.CONCAT(fraud[[#This Row],[lob]], " ",fraud[[#This Row],[time]])</f>
        <v/>
      </c>
    </row>
    <row r="6">
      <c r="A6" t="inlineStr">
        <is>
          <t>2023 Q3</t>
        </is>
      </c>
      <c r="B6" t="inlineStr">
        <is>
          <t>AN</t>
        </is>
      </c>
      <c r="C6" t="n">
        <v>0.0798</v>
      </c>
      <c r="D6" t="n">
        <v>0.1857</v>
      </c>
      <c r="E6" t="n">
        <v>0.7343</v>
      </c>
      <c r="F6">
        <f>_xlfn.CONCAT(fraud[[#This Row],[lob]], " ",fraud[[#This Row],[time]])</f>
        <v/>
      </c>
    </row>
    <row r="7">
      <c r="A7" t="inlineStr">
        <is>
          <t>2023 Q3</t>
        </is>
      </c>
      <c r="B7" t="inlineStr">
        <is>
          <t>STG</t>
        </is>
      </c>
      <c r="C7" t="n">
        <v>0.0881</v>
      </c>
      <c r="D7" t="n">
        <v>0.22</v>
      </c>
      <c r="E7" t="n">
        <v>0.6917</v>
      </c>
      <c r="F7">
        <f>_xlfn.CONCAT(fraud[[#This Row],[lob]], " ",fraud[[#This Row],[time]])</f>
        <v/>
      </c>
    </row>
    <row r="8">
      <c r="A8" t="inlineStr">
        <is>
          <t>2023 Q4</t>
        </is>
      </c>
      <c r="B8" t="inlineStr">
        <is>
          <t>AN</t>
        </is>
      </c>
      <c r="C8" t="n">
        <v>0.0905</v>
      </c>
      <c r="D8" t="n">
        <v>0.1865</v>
      </c>
      <c r="E8" t="n">
        <v>0.7229</v>
      </c>
      <c r="F8">
        <f>_xlfn.CONCAT(fraud[[#This Row],[lob]], " ",fraud[[#This Row],[time]])</f>
        <v/>
      </c>
    </row>
    <row r="9">
      <c r="A9" t="inlineStr">
        <is>
          <t>2023 Q4</t>
        </is>
      </c>
      <c r="B9" t="inlineStr">
        <is>
          <t>FRN</t>
        </is>
      </c>
      <c r="C9" t="n">
        <v>0.0794</v>
      </c>
      <c r="D9" t="n">
        <v>0.2455</v>
      </c>
      <c r="E9" t="n">
        <v>0.675</v>
      </c>
      <c r="F9">
        <f>_xlfn.CONCAT(fraud[[#This Row],[lob]], " ",fraud[[#This Row],[time]])</f>
        <v/>
      </c>
    </row>
    <row r="10">
      <c r="A10" t="inlineStr">
        <is>
          <t>2023 Q4</t>
        </is>
      </c>
      <c r="B10" t="inlineStr">
        <is>
          <t>FLD</t>
        </is>
      </c>
      <c r="C10" t="n">
        <v>0.09370000000000001</v>
      </c>
      <c r="D10" t="n">
        <v>0.2755</v>
      </c>
      <c r="E10" t="n">
        <v>0.6306</v>
      </c>
      <c r="F10">
        <f>_xlfn.CONCAT(fraud[[#This Row],[lob]], " ",fraud[[#This Row],[time]])</f>
        <v/>
      </c>
    </row>
    <row r="11">
      <c r="A11" t="inlineStr">
        <is>
          <t>2023 Q4</t>
        </is>
      </c>
      <c r="B11" t="inlineStr">
        <is>
          <t>KMX</t>
        </is>
      </c>
      <c r="C11" t="n">
        <v>0.0856</v>
      </c>
      <c r="D11" t="n">
        <v>0.2775</v>
      </c>
      <c r="E11" t="n">
        <v>0.6368</v>
      </c>
      <c r="F11">
        <f>_xlfn.CONCAT(fraud[[#This Row],[lob]], " ",fraud[[#This Row],[time]])</f>
        <v/>
      </c>
    </row>
    <row r="12">
      <c r="A12" t="inlineStr">
        <is>
          <t>2023 Q4</t>
        </is>
      </c>
      <c r="B12" t="inlineStr">
        <is>
          <t>ENT</t>
        </is>
      </c>
      <c r="C12" t="n">
        <v>0.0503</v>
      </c>
      <c r="D12" t="n">
        <v>0.2688</v>
      </c>
      <c r="E12" t="n">
        <v>0.6807</v>
      </c>
      <c r="F12">
        <f>_xlfn.CONCAT(fraud[[#This Row],[lob]], " ",fraud[[#This Row],[time]])</f>
        <v/>
      </c>
    </row>
    <row r="13">
      <c r="A13" t="inlineStr">
        <is>
          <t>2023 Q4</t>
        </is>
      </c>
      <c r="B13" t="inlineStr">
        <is>
          <t>STG</t>
        </is>
      </c>
      <c r="C13" t="n">
        <v>0.0936</v>
      </c>
      <c r="D13" t="n">
        <v>0.1773</v>
      </c>
      <c r="E13" t="n">
        <v>0.7289</v>
      </c>
      <c r="F13">
        <f>_xlfn.CONCAT(fraud[[#This Row],[lob]], " ",fraud[[#This Row],[time]])</f>
        <v/>
      </c>
    </row>
    <row r="14">
      <c r="A14" t="inlineStr">
        <is>
          <t>2024 Q1</t>
        </is>
      </c>
      <c r="B14" t="inlineStr">
        <is>
          <t>KMX</t>
        </is>
      </c>
      <c r="C14" t="n">
        <v>0.0614</v>
      </c>
      <c r="D14" t="n">
        <v>0.3047</v>
      </c>
      <c r="E14" t="n">
        <v>0.6337</v>
      </c>
      <c r="F14">
        <f>_xlfn.CONCAT(fraud[[#This Row],[lob]], " ",fraud[[#This Row],[time]])</f>
        <v/>
      </c>
    </row>
    <row r="15">
      <c r="A15" t="inlineStr">
        <is>
          <t>2024 Q1</t>
        </is>
      </c>
      <c r="B15" t="inlineStr">
        <is>
          <t>FRN</t>
        </is>
      </c>
      <c r="C15" t="n">
        <v>0.06560000000000001</v>
      </c>
      <c r="D15" t="n">
        <v>0.268</v>
      </c>
      <c r="E15" t="n">
        <v>0.6662</v>
      </c>
      <c r="F15">
        <f>_xlfn.CONCAT(fraud[[#This Row],[lob]], " ",fraud[[#This Row],[time]])</f>
        <v/>
      </c>
    </row>
    <row r="16">
      <c r="A16" t="inlineStr">
        <is>
          <t>2024 Q1</t>
        </is>
      </c>
      <c r="B16" t="inlineStr">
        <is>
          <t>ENT</t>
        </is>
      </c>
      <c r="C16" t="n">
        <v>0.0416</v>
      </c>
      <c r="D16" t="n">
        <v>0.3102</v>
      </c>
      <c r="E16" t="n">
        <v>0.6481</v>
      </c>
      <c r="F16">
        <f>_xlfn.CONCAT(fraud[[#This Row],[lob]], " ",fraud[[#This Row],[time]])</f>
        <v/>
      </c>
    </row>
    <row r="17">
      <c r="A17" t="inlineStr">
        <is>
          <t>2024 Q1</t>
        </is>
      </c>
      <c r="B17" t="inlineStr">
        <is>
          <t>AN</t>
        </is>
      </c>
      <c r="C17" t="n">
        <v>0.0617</v>
      </c>
      <c r="D17" t="n">
        <v>0.1979</v>
      </c>
      <c r="E17" t="n">
        <v>0.7402</v>
      </c>
      <c r="F17">
        <f>_xlfn.CONCAT(fraud[[#This Row],[lob]], " ",fraud[[#This Row],[time]])</f>
        <v/>
      </c>
    </row>
    <row r="18">
      <c r="A18" t="inlineStr">
        <is>
          <t>2024 Q1</t>
        </is>
      </c>
      <c r="B18" t="inlineStr">
        <is>
          <t>FLD</t>
        </is>
      </c>
      <c r="C18" t="n">
        <v>0.0645</v>
      </c>
      <c r="D18" t="n">
        <v>0.2819</v>
      </c>
      <c r="E18" t="n">
        <v>0.6535</v>
      </c>
      <c r="F18">
        <f>_xlfn.CONCAT(fraud[[#This Row],[lob]], " ",fraud[[#This Row],[time]])</f>
        <v/>
      </c>
    </row>
    <row r="19">
      <c r="A19" t="inlineStr">
        <is>
          <t>2024 Q1</t>
        </is>
      </c>
      <c r="B19" t="inlineStr">
        <is>
          <t>STG</t>
        </is>
      </c>
      <c r="C19" t="n">
        <v>0.0839</v>
      </c>
      <c r="D19" t="n">
        <v>0.1985</v>
      </c>
      <c r="E19" t="n">
        <v>0.7174</v>
      </c>
      <c r="F19">
        <f>_xlfn.CONCAT(fraud[[#This Row],[lob]], " ",fraud[[#This Row],[time]])</f>
        <v/>
      </c>
    </row>
    <row r="20">
      <c r="A20" t="inlineStr">
        <is>
          <t>2024 Q2</t>
        </is>
      </c>
      <c r="B20" t="inlineStr">
        <is>
          <t>ENT</t>
        </is>
      </c>
      <c r="C20" t="n">
        <v>0.0454</v>
      </c>
      <c r="D20" t="n">
        <v>0.3407</v>
      </c>
      <c r="E20" t="n">
        <v>0.6137</v>
      </c>
      <c r="F20">
        <f>_xlfn.CONCAT(fraud[[#This Row],[lob]], " ",fraud[[#This Row],[time]])</f>
        <v/>
      </c>
    </row>
    <row r="21">
      <c r="A21" t="inlineStr">
        <is>
          <t>2024 Q2</t>
        </is>
      </c>
      <c r="B21" t="inlineStr">
        <is>
          <t>KMX</t>
        </is>
      </c>
      <c r="C21" t="n">
        <v>0.0581</v>
      </c>
      <c r="D21" t="n">
        <v>0.3306</v>
      </c>
      <c r="E21" t="n">
        <v>0.6111</v>
      </c>
      <c r="F21">
        <f>_xlfn.CONCAT(fraud[[#This Row],[lob]], " ",fraud[[#This Row],[time]])</f>
        <v/>
      </c>
    </row>
    <row r="22">
      <c r="A22" t="inlineStr">
        <is>
          <t>2024 Q2</t>
        </is>
      </c>
      <c r="B22" t="inlineStr">
        <is>
          <t>FLD</t>
        </is>
      </c>
      <c r="C22" t="n">
        <v>0.0598</v>
      </c>
      <c r="D22" t="n">
        <v>0.3062</v>
      </c>
      <c r="E22" t="n">
        <v>0.6339</v>
      </c>
      <c r="F22">
        <f>_xlfn.CONCAT(fraud[[#This Row],[lob]], " ",fraud[[#This Row],[time]])</f>
        <v/>
      </c>
    </row>
    <row r="23">
      <c r="A23" t="inlineStr">
        <is>
          <t>2024 Q2</t>
        </is>
      </c>
      <c r="B23" t="inlineStr">
        <is>
          <t>AN</t>
        </is>
      </c>
      <c r="C23" t="n">
        <v>0.0806</v>
      </c>
      <c r="D23" t="n">
        <v>0.213</v>
      </c>
      <c r="E23" t="n">
        <v>0.7062</v>
      </c>
      <c r="F23">
        <f>_xlfn.CONCAT(fraud[[#This Row],[lob]], " ",fraud[[#This Row],[time]])</f>
        <v/>
      </c>
    </row>
    <row r="24">
      <c r="A24" t="inlineStr">
        <is>
          <t>2024 Q2</t>
        </is>
      </c>
      <c r="B24" t="inlineStr">
        <is>
          <t>STG</t>
        </is>
      </c>
      <c r="C24" t="n">
        <v>0.0917</v>
      </c>
      <c r="D24" t="n">
        <v>0.2119</v>
      </c>
      <c r="E24" t="n">
        <v>0.6962</v>
      </c>
      <c r="F24">
        <f>_xlfn.CONCAT(fraud[[#This Row],[lob]], " ",fraud[[#This Row],[time]])</f>
        <v/>
      </c>
    </row>
    <row r="25">
      <c r="A25" t="inlineStr">
        <is>
          <t>2024 Q2</t>
        </is>
      </c>
      <c r="B25" t="inlineStr">
        <is>
          <t>FRN</t>
        </is>
      </c>
      <c r="C25" t="n">
        <v>0.0638</v>
      </c>
      <c r="D25" t="n">
        <v>0.3249</v>
      </c>
      <c r="E25" t="n">
        <v>0.6111</v>
      </c>
      <c r="F25">
        <f>_xlfn.CONCAT(fraud[[#This Row],[lob]], " ",fraud[[#This Row],[time]])</f>
        <v/>
      </c>
    </row>
    <row r="26">
      <c r="A26" t="inlineStr">
        <is>
          <t>2024 Q3</t>
        </is>
      </c>
      <c r="B26" t="inlineStr">
        <is>
          <t>ENT</t>
        </is>
      </c>
      <c r="C26" t="n">
        <v>0.044</v>
      </c>
      <c r="D26" t="n">
        <v>0.3346</v>
      </c>
      <c r="E26" t="n">
        <v>0.6212</v>
      </c>
      <c r="F26">
        <f>_xlfn.CONCAT(fraud[[#This Row],[lob]], " ",fraud[[#This Row],[time]])</f>
        <v/>
      </c>
    </row>
    <row r="27">
      <c r="A27" t="inlineStr">
        <is>
          <t>2024 Q3</t>
        </is>
      </c>
      <c r="B27" t="inlineStr">
        <is>
          <t>FRN</t>
        </is>
      </c>
      <c r="C27" t="n">
        <v>0.0798</v>
      </c>
      <c r="D27" t="n">
        <v>0.3503</v>
      </c>
      <c r="E27" t="n">
        <v>0.5697</v>
      </c>
      <c r="F27">
        <f>_xlfn.CONCAT(fraud[[#This Row],[lob]], " ",fraud[[#This Row],[time]])</f>
        <v/>
      </c>
    </row>
    <row r="28">
      <c r="A28" t="inlineStr">
        <is>
          <t>2024 Q3</t>
        </is>
      </c>
      <c r="B28" t="inlineStr">
        <is>
          <t>STG</t>
        </is>
      </c>
      <c r="C28" t="n">
        <v>0.0864</v>
      </c>
      <c r="D28" t="n">
        <v>0.2292</v>
      </c>
      <c r="E28" t="n">
        <v>0.6842</v>
      </c>
      <c r="F28">
        <f>_xlfn.CONCAT(fraud[[#This Row],[lob]], " ",fraud[[#This Row],[time]])</f>
        <v/>
      </c>
    </row>
    <row r="29">
      <c r="A29" t="inlineStr">
        <is>
          <t>2024 Q3</t>
        </is>
      </c>
      <c r="B29" t="inlineStr">
        <is>
          <t>AN</t>
        </is>
      </c>
      <c r="C29" t="n">
        <v>0.0838</v>
      </c>
      <c r="D29" t="n">
        <v>0.2516</v>
      </c>
      <c r="E29" t="n">
        <v>0.6644</v>
      </c>
      <c r="F29">
        <f>_xlfn.CONCAT(fraud[[#This Row],[lob]], " ",fraud[[#This Row],[time]])</f>
        <v/>
      </c>
    </row>
    <row r="30">
      <c r="A30" t="inlineStr">
        <is>
          <t>2024 Q3</t>
        </is>
      </c>
      <c r="B30" t="inlineStr">
        <is>
          <t>FLD</t>
        </is>
      </c>
      <c r="C30" t="n">
        <v>0.0569</v>
      </c>
      <c r="D30" t="n">
        <v>0.3316</v>
      </c>
      <c r="E30" t="n">
        <v>0.6113</v>
      </c>
      <c r="F30">
        <f>_xlfn.CONCAT(fraud[[#This Row],[lob]], " ",fraud[[#This Row],[time]])</f>
        <v/>
      </c>
    </row>
    <row r="31">
      <c r="A31" t="inlineStr">
        <is>
          <t>2024 Q3</t>
        </is>
      </c>
      <c r="B31" t="inlineStr">
        <is>
          <t>KMX</t>
        </is>
      </c>
      <c r="C31" t="n">
        <v>0.0673</v>
      </c>
      <c r="D31" t="n">
        <v>0.3002</v>
      </c>
      <c r="E31" t="n">
        <v>0.6324</v>
      </c>
      <c r="F31">
        <f>_xlfn.CONCAT(fraud[[#This Row],[lob]], " ",fraud[[#This Row],[time]])</f>
        <v/>
      </c>
    </row>
    <row r="32">
      <c r="A32" t="inlineStr">
        <is>
          <t>2024 Q4</t>
        </is>
      </c>
      <c r="B32" t="inlineStr">
        <is>
          <t>FRN</t>
        </is>
      </c>
      <c r="C32" t="n">
        <v>0.06900000000000001</v>
      </c>
      <c r="D32" t="n">
        <v>0.2692</v>
      </c>
      <c r="E32" t="n">
        <v>0.6617</v>
      </c>
      <c r="F32">
        <f>_xlfn.CONCAT(fraud[[#This Row],[lob]], " ",fraud[[#This Row],[time]])</f>
        <v/>
      </c>
    </row>
    <row r="33">
      <c r="A33" t="inlineStr">
        <is>
          <t>2024 Q4</t>
        </is>
      </c>
      <c r="B33" t="inlineStr">
        <is>
          <t>STG</t>
        </is>
      </c>
      <c r="C33" t="n">
        <v>0.06279999999999999</v>
      </c>
      <c r="D33" t="n">
        <v>0.2121</v>
      </c>
      <c r="E33" t="n">
        <v>0.725</v>
      </c>
      <c r="F33">
        <f>_xlfn.CONCAT(fraud[[#This Row],[lob]], " ",fraud[[#This Row],[time]])</f>
        <v/>
      </c>
    </row>
    <row r="34">
      <c r="A34" t="inlineStr">
        <is>
          <t>2024 Q4</t>
        </is>
      </c>
      <c r="B34" t="inlineStr">
        <is>
          <t>KMX</t>
        </is>
      </c>
      <c r="C34" t="n">
        <v>0.0608</v>
      </c>
      <c r="D34" t="n">
        <v>0.2379</v>
      </c>
      <c r="E34" t="n">
        <v>0.7012</v>
      </c>
      <c r="F34">
        <f>_xlfn.CONCAT(fraud[[#This Row],[lob]], " ",fraud[[#This Row],[time]])</f>
        <v/>
      </c>
    </row>
    <row r="35">
      <c r="A35" t="inlineStr">
        <is>
          <t>2024 Q4</t>
        </is>
      </c>
      <c r="B35" t="inlineStr">
        <is>
          <t>AN</t>
        </is>
      </c>
      <c r="C35" t="n">
        <v>0.0523</v>
      </c>
      <c r="D35" t="n">
        <v>0.1854</v>
      </c>
      <c r="E35" t="n">
        <v>0.7622</v>
      </c>
      <c r="F35">
        <f>_xlfn.CONCAT(fraud[[#This Row],[lob]], " ",fraud[[#This Row],[time]])</f>
        <v/>
      </c>
    </row>
    <row r="36">
      <c r="A36" t="inlineStr">
        <is>
          <t>2024 Q4</t>
        </is>
      </c>
      <c r="B36" t="inlineStr">
        <is>
          <t>FLD</t>
        </is>
      </c>
      <c r="C36" t="n">
        <v>0.0258</v>
      </c>
      <c r="D36" t="n">
        <v>0.2654</v>
      </c>
      <c r="E36" t="n">
        <v>0.7086</v>
      </c>
      <c r="F36">
        <f>_xlfn.CONCAT(fraud[[#This Row],[lob]], " ",fraud[[#This Row],[time]])</f>
        <v/>
      </c>
    </row>
    <row r="37">
      <c r="A37" t="inlineStr">
        <is>
          <t>2024 Q4</t>
        </is>
      </c>
      <c r="B37" t="inlineStr">
        <is>
          <t>ENT</t>
        </is>
      </c>
      <c r="C37" t="n">
        <v>0.038</v>
      </c>
      <c r="D37" t="n">
        <v>0.212</v>
      </c>
      <c r="E37" t="n">
        <v>0.7499</v>
      </c>
      <c r="F37">
        <f>_xlfn.CONCAT(fraud[[#This Row],[lob]], " ",fraud[[#This Row],[time]])</f>
        <v/>
      </c>
    </row>
    <row r="38">
      <c r="A38" t="inlineStr">
        <is>
          <t>2025 Q1</t>
        </is>
      </c>
      <c r="B38" t="inlineStr">
        <is>
          <t>FRN</t>
        </is>
      </c>
      <c r="C38" t="n">
        <v>0.0815</v>
      </c>
      <c r="D38" t="n">
        <v>0.2023</v>
      </c>
      <c r="E38" t="n">
        <v>0.716</v>
      </c>
      <c r="F38">
        <f>_xlfn.CONCAT(fraud[[#This Row],[lob]], " ",fraud[[#This Row],[time]])</f>
        <v/>
      </c>
    </row>
    <row r="39">
      <c r="A39" t="inlineStr">
        <is>
          <t>2025 Q1</t>
        </is>
      </c>
      <c r="B39" t="inlineStr">
        <is>
          <t>ENT</t>
        </is>
      </c>
      <c r="C39" t="n">
        <v>0.0465</v>
      </c>
      <c r="D39" t="n">
        <v>0.1185</v>
      </c>
      <c r="E39" t="n">
        <v>0.8348</v>
      </c>
      <c r="F39">
        <f>_xlfn.CONCAT(fraud[[#This Row],[lob]], " ",fraud[[#This Row],[time]])</f>
        <v/>
      </c>
    </row>
    <row r="40">
      <c r="A40" t="inlineStr">
        <is>
          <t>2025 Q1</t>
        </is>
      </c>
      <c r="B40" t="inlineStr">
        <is>
          <t>FLD</t>
        </is>
      </c>
      <c r="C40" t="n">
        <v>0.032</v>
      </c>
      <c r="D40" t="n">
        <v>0.2137</v>
      </c>
      <c r="E40" t="n">
        <v>0.7541</v>
      </c>
      <c r="F40">
        <f>_xlfn.CONCAT(fraud[[#This Row],[lob]], " ",fraud[[#This Row],[time]])</f>
        <v/>
      </c>
    </row>
    <row r="41">
      <c r="A41" t="inlineStr">
        <is>
          <t>2025 Q1</t>
        </is>
      </c>
      <c r="B41" t="inlineStr">
        <is>
          <t>STG</t>
        </is>
      </c>
      <c r="C41" t="n">
        <v>0.042</v>
      </c>
      <c r="D41" t="n">
        <v>0.2025</v>
      </c>
      <c r="E41" t="n">
        <v>0.7553</v>
      </c>
      <c r="F41">
        <f>_xlfn.CONCAT(fraud[[#This Row],[lob]], " ",fraud[[#This Row],[time]])</f>
        <v/>
      </c>
    </row>
    <row r="42">
      <c r="A42" t="inlineStr">
        <is>
          <t>2025 Q1</t>
        </is>
      </c>
      <c r="B42" t="inlineStr">
        <is>
          <t>AN</t>
        </is>
      </c>
      <c r="C42" t="n">
        <v>0.0531</v>
      </c>
      <c r="D42" t="n">
        <v>0.19</v>
      </c>
      <c r="E42" t="n">
        <v>0.7567</v>
      </c>
      <c r="F42">
        <f>_xlfn.CONCAT(fraud[[#This Row],[lob]], " ",fraud[[#This Row],[time]])</f>
        <v/>
      </c>
    </row>
    <row r="43">
      <c r="A43" t="inlineStr">
        <is>
          <t>2025 Q1</t>
        </is>
      </c>
      <c r="B43" t="inlineStr">
        <is>
          <t>KMX</t>
        </is>
      </c>
      <c r="C43" t="n">
        <v>0.0532</v>
      </c>
      <c r="D43" t="n">
        <v>0.1857</v>
      </c>
      <c r="E43" t="n">
        <v>0.761</v>
      </c>
      <c r="F43">
        <f>_xlfn.CONCAT(fraud[[#This Row],[lob]], " ",fraud[[#This Row],[time]])</f>
        <v/>
      </c>
    </row>
    <row r="44">
      <c r="A44" t="inlineStr">
        <is>
          <t>2025 Q2</t>
        </is>
      </c>
      <c r="B44" t="inlineStr">
        <is>
          <t>ENT</t>
        </is>
      </c>
      <c r="C44" t="n">
        <v>0.0529</v>
      </c>
      <c r="D44" t="n">
        <v>0.1475</v>
      </c>
      <c r="E44" t="n">
        <v>0.7994</v>
      </c>
      <c r="F44">
        <f>_xlfn.CONCAT(fraud[[#This Row],[lob]], " ",fraud[[#This Row],[time]])</f>
        <v/>
      </c>
    </row>
    <row r="45">
      <c r="A45" t="inlineStr">
        <is>
          <t>2025 Q2</t>
        </is>
      </c>
      <c r="B45" t="inlineStr">
        <is>
          <t>AN</t>
        </is>
      </c>
      <c r="C45" t="n">
        <v>0.0414</v>
      </c>
      <c r="D45" t="n">
        <v>0.2215</v>
      </c>
      <c r="E45" t="n">
        <v>0.7369</v>
      </c>
      <c r="F45">
        <f>_xlfn.CONCAT(fraud[[#This Row],[lob]], " ",fraud[[#This Row],[time]])</f>
        <v/>
      </c>
    </row>
    <row r="46">
      <c r="A46" t="inlineStr">
        <is>
          <t>2025 Q2</t>
        </is>
      </c>
      <c r="B46" t="inlineStr">
        <is>
          <t>FLD</t>
        </is>
      </c>
      <c r="C46" t="n">
        <v>0.0534</v>
      </c>
      <c r="D46" t="n">
        <v>0.1971</v>
      </c>
      <c r="E46" t="n">
        <v>0.7493</v>
      </c>
      <c r="F46">
        <f>_xlfn.CONCAT(fraud[[#This Row],[lob]], " ",fraud[[#This Row],[time]])</f>
        <v/>
      </c>
    </row>
    <row r="47">
      <c r="A47" t="inlineStr">
        <is>
          <t>2025 Q2</t>
        </is>
      </c>
      <c r="B47" t="inlineStr">
        <is>
          <t>FRN</t>
        </is>
      </c>
      <c r="C47" t="n">
        <v>0.08690000000000001</v>
      </c>
      <c r="D47" t="n">
        <v>0.2228</v>
      </c>
      <c r="E47" t="n">
        <v>0.6901</v>
      </c>
      <c r="F47">
        <f>_xlfn.CONCAT(fraud[[#This Row],[lob]], " ",fraud[[#This Row],[time]])</f>
        <v/>
      </c>
    </row>
    <row r="48">
      <c r="A48" t="inlineStr">
        <is>
          <t>2025 Q2</t>
        </is>
      </c>
      <c r="B48" t="inlineStr">
        <is>
          <t>STG</t>
        </is>
      </c>
      <c r="C48" t="n">
        <v>0.0589</v>
      </c>
      <c r="D48" t="n">
        <v>0.2188</v>
      </c>
      <c r="E48" t="n">
        <v>0.7221</v>
      </c>
      <c r="F48">
        <f>_xlfn.CONCAT(fraud[[#This Row],[lob]], " ",fraud[[#This Row],[time]])</f>
        <v/>
      </c>
    </row>
    <row r="49">
      <c r="A49" t="inlineStr">
        <is>
          <t>2025 Q2</t>
        </is>
      </c>
      <c r="B49" t="inlineStr">
        <is>
          <t>KMX</t>
        </is>
      </c>
      <c r="C49" t="n">
        <v>0.0659</v>
      </c>
      <c r="D49" t="n">
        <v>0.1875</v>
      </c>
      <c r="E49" t="n">
        <v>0.7465000000000001</v>
      </c>
      <c r="F49">
        <f>_xlfn.CONCAT(fraud[[#This Row],[lob]], " ",fraud[[#This Row],[time]])</f>
        <v/>
      </c>
    </row>
    <row r="50">
      <c r="A50" t="inlineStr">
        <is>
          <t>2025 Q3</t>
        </is>
      </c>
      <c r="B50" t="inlineStr">
        <is>
          <t>KMX</t>
        </is>
      </c>
      <c r="C50" t="n">
        <v>0.1047</v>
      </c>
      <c r="D50" t="n">
        <v>0.1606</v>
      </c>
      <c r="E50" t="n">
        <v>0.7345</v>
      </c>
      <c r="F50">
        <f>_xlfn.CONCAT(fraud[[#This Row],[lob]], " ",fraud[[#This Row],[time]])</f>
        <v/>
      </c>
    </row>
    <row r="51">
      <c r="A51" t="inlineStr">
        <is>
          <t>2025 Q3</t>
        </is>
      </c>
      <c r="B51" t="inlineStr">
        <is>
          <t>FLD</t>
        </is>
      </c>
      <c r="C51" t="n">
        <v>0.0677</v>
      </c>
      <c r="D51" t="n">
        <v>0.1621</v>
      </c>
      <c r="E51" t="n">
        <v>0.77</v>
      </c>
      <c r="F51">
        <f>_xlfn.CONCAT(fraud[[#This Row],[lob]], " ",fraud[[#This Row],[time]])</f>
        <v/>
      </c>
    </row>
    <row r="52">
      <c r="A52" t="inlineStr">
        <is>
          <t>2025 Q3</t>
        </is>
      </c>
      <c r="B52" t="inlineStr">
        <is>
          <t>STG</t>
        </is>
      </c>
      <c r="C52" t="n">
        <v>0.0495</v>
      </c>
      <c r="D52" t="n">
        <v>0.2217</v>
      </c>
      <c r="E52" t="n">
        <v>0.7287</v>
      </c>
      <c r="F52">
        <f>_xlfn.CONCAT(fraud[[#This Row],[lob]], " ",fraud[[#This Row],[time]])</f>
        <v/>
      </c>
    </row>
    <row r="53">
      <c r="A53" t="inlineStr">
        <is>
          <t>2025 Q3</t>
        </is>
      </c>
      <c r="B53" t="inlineStr">
        <is>
          <t>ENT</t>
        </is>
      </c>
      <c r="C53" t="n">
        <v>0.0658</v>
      </c>
      <c r="D53" t="n">
        <v>0.1393</v>
      </c>
      <c r="E53" t="n">
        <v>0.7948</v>
      </c>
      <c r="F53">
        <f>_xlfn.CONCAT(fraud[[#This Row],[lob]], " ",fraud[[#This Row],[time]])</f>
        <v/>
      </c>
    </row>
    <row r="54">
      <c r="A54" t="inlineStr">
        <is>
          <t>2025 Q3</t>
        </is>
      </c>
      <c r="B54" t="inlineStr">
        <is>
          <t>FRN</t>
        </is>
      </c>
      <c r="C54" t="n">
        <v>0.06469999999999999</v>
      </c>
      <c r="D54" t="n">
        <v>0.2203</v>
      </c>
      <c r="E54" t="n">
        <v>0.7148</v>
      </c>
      <c r="F54">
        <f>_xlfn.CONCAT(fraud[[#This Row],[lob]], " ",fraud[[#This Row],[time]])</f>
        <v/>
      </c>
    </row>
    <row r="55">
      <c r="A55" t="inlineStr">
        <is>
          <t>2025 Q3</t>
        </is>
      </c>
      <c r="B55" t="inlineStr">
        <is>
          <t>AN</t>
        </is>
      </c>
      <c r="C55" t="n">
        <v>0.0519</v>
      </c>
      <c r="D55" t="n">
        <v>0.2325</v>
      </c>
      <c r="E55" t="n">
        <v>0.7155</v>
      </c>
      <c r="F55">
        <f>_xlfn.CONCAT(fraud[[#This Row],[lob]], " ",fraud[[#This Row],[time]])</f>
        <v/>
      </c>
    </row>
    <row r="56">
      <c r="A56" t="inlineStr">
        <is>
          <t>2025 Q4</t>
        </is>
      </c>
      <c r="B56" t="inlineStr">
        <is>
          <t>FLD</t>
        </is>
      </c>
      <c r="C56" t="n">
        <v>0.07389999999999999</v>
      </c>
      <c r="D56" t="n">
        <v>0.1659</v>
      </c>
      <c r="E56" t="n">
        <v>0.76</v>
      </c>
      <c r="F56">
        <f>_xlfn.CONCAT(fraud[[#This Row],[lob]], " ",fraud[[#This Row],[time]])</f>
        <v/>
      </c>
    </row>
    <row r="57">
      <c r="A57" t="inlineStr">
        <is>
          <t>2025 Q4</t>
        </is>
      </c>
      <c r="B57" t="inlineStr">
        <is>
          <t>AN</t>
        </is>
      </c>
      <c r="C57" t="n">
        <v>0.0694</v>
      </c>
      <c r="D57" t="n">
        <v>0.2162</v>
      </c>
      <c r="E57" t="n">
        <v>0.7143</v>
      </c>
      <c r="F57">
        <f>_xlfn.CONCAT(fraud[[#This Row],[lob]], " ",fraud[[#This Row],[time]])</f>
        <v/>
      </c>
    </row>
    <row r="58">
      <c r="A58" t="inlineStr">
        <is>
          <t>2025 Q4</t>
        </is>
      </c>
      <c r="B58" t="inlineStr">
        <is>
          <t>FRN</t>
        </is>
      </c>
      <c r="C58" t="n">
        <v>0.082</v>
      </c>
      <c r="D58" t="n">
        <v>0.2204</v>
      </c>
      <c r="E58" t="n">
        <v>0.6975</v>
      </c>
      <c r="F58">
        <f>_xlfn.CONCAT(fraud[[#This Row],[lob]], " ",fraud[[#This Row],[time]])</f>
        <v/>
      </c>
    </row>
    <row r="59">
      <c r="A59" t="inlineStr">
        <is>
          <t>2025 Q4</t>
        </is>
      </c>
      <c r="B59" t="inlineStr">
        <is>
          <t>ENT</t>
        </is>
      </c>
      <c r="C59" t="n">
        <v>0.07870000000000001</v>
      </c>
      <c r="D59" t="n">
        <v>0.1151</v>
      </c>
      <c r="E59" t="n">
        <v>0.806</v>
      </c>
      <c r="F59">
        <f>_xlfn.CONCAT(fraud[[#This Row],[lob]], " ",fraud[[#This Row],[time]])</f>
        <v/>
      </c>
    </row>
    <row r="60">
      <c r="A60" t="inlineStr">
        <is>
          <t>2025 Q4</t>
        </is>
      </c>
      <c r="B60" t="inlineStr">
        <is>
          <t>KMX</t>
        </is>
      </c>
      <c r="C60" t="n">
        <v>0.1117</v>
      </c>
      <c r="D60" t="n">
        <v>0.1319</v>
      </c>
      <c r="E60" t="n">
        <v>0.7563</v>
      </c>
      <c r="F60">
        <f>_xlfn.CONCAT(fraud[[#This Row],[lob]], " ",fraud[[#This Row],[time]])</f>
        <v/>
      </c>
    </row>
    <row r="61">
      <c r="A61" t="inlineStr">
        <is>
          <t>2025 Q4</t>
        </is>
      </c>
      <c r="B61" t="inlineStr">
        <is>
          <t>STG</t>
        </is>
      </c>
      <c r="C61" t="n">
        <v>0.0616</v>
      </c>
      <c r="D61" t="n">
        <v>0.2253</v>
      </c>
      <c r="E61" t="n">
        <v>0.713</v>
      </c>
      <c r="F61">
        <f>_xlfn.CONCAT(fraud[[#This Row],[lob]], " ",fraud[[#This Row],[time]])</f>
        <v/>
      </c>
    </row>
    <row r="62">
      <c r="A62" t="inlineStr">
        <is>
          <t>2026 Q1</t>
        </is>
      </c>
      <c r="B62" t="inlineStr">
        <is>
          <t>AN</t>
        </is>
      </c>
      <c r="C62" t="n">
        <v>0.0424</v>
      </c>
      <c r="D62" t="n">
        <v>0.1942</v>
      </c>
      <c r="E62" t="n">
        <v>0.7633</v>
      </c>
      <c r="F62">
        <f>_xlfn.CONCAT(fraud[[#This Row],[lob]], " ",fraud[[#This Row],[time]])</f>
        <v/>
      </c>
    </row>
    <row r="63">
      <c r="A63" t="inlineStr">
        <is>
          <t>2026 Q1</t>
        </is>
      </c>
      <c r="B63" t="inlineStr">
        <is>
          <t>KMX</t>
        </is>
      </c>
      <c r="C63" t="n">
        <v>0.0674</v>
      </c>
      <c r="D63" t="n">
        <v>0.1211</v>
      </c>
      <c r="E63" t="n">
        <v>0.8114</v>
      </c>
      <c r="F63">
        <f>_xlfn.CONCAT(fraud[[#This Row],[lob]], " ",fraud[[#This Row],[time]])</f>
        <v/>
      </c>
    </row>
    <row r="64">
      <c r="A64" t="inlineStr">
        <is>
          <t>2026 Q1</t>
        </is>
      </c>
      <c r="B64" t="inlineStr">
        <is>
          <t>ENT</t>
        </is>
      </c>
      <c r="C64" t="n">
        <v>0.068</v>
      </c>
      <c r="D64" t="n">
        <v>0.1417</v>
      </c>
      <c r="E64" t="n">
        <v>0.7901</v>
      </c>
      <c r="F64">
        <f>_xlfn.CONCAT(fraud[[#This Row],[lob]], " ",fraud[[#This Row],[time]])</f>
        <v/>
      </c>
    </row>
    <row r="65">
      <c r="A65" t="inlineStr">
        <is>
          <t>2026 Q1</t>
        </is>
      </c>
      <c r="B65" t="inlineStr">
        <is>
          <t>FRN</t>
        </is>
      </c>
      <c r="C65" t="n">
        <v>0.1025</v>
      </c>
      <c r="D65" t="n">
        <v>0.2111</v>
      </c>
      <c r="E65" t="n">
        <v>0.6862</v>
      </c>
      <c r="F65">
        <f>_xlfn.CONCAT(fraud[[#This Row],[lob]], " ",fraud[[#This Row],[time]])</f>
        <v/>
      </c>
    </row>
    <row r="66">
      <c r="A66" t="inlineStr">
        <is>
          <t>2026 Q1</t>
        </is>
      </c>
      <c r="B66" t="inlineStr">
        <is>
          <t>STG</t>
        </is>
      </c>
      <c r="C66" t="n">
        <v>0.0439</v>
      </c>
      <c r="D66" t="n">
        <v>0.2273</v>
      </c>
      <c r="E66" t="n">
        <v>0.7286</v>
      </c>
      <c r="F66">
        <f>_xlfn.CONCAT(fraud[[#This Row],[lob]], " ",fraud[[#This Row],[time]])</f>
        <v/>
      </c>
    </row>
    <row r="67">
      <c r="A67" t="inlineStr">
        <is>
          <t>2026 Q1</t>
        </is>
      </c>
      <c r="B67" t="inlineStr">
        <is>
          <t>FLD</t>
        </is>
      </c>
      <c r="C67" t="n">
        <v>0.0563</v>
      </c>
      <c r="D67" t="n">
        <v>0.1437</v>
      </c>
      <c r="E67" t="n">
        <v>0.7998</v>
      </c>
      <c r="F67">
        <f>_xlfn.CONCAT(fraud[[#This Row],[lob]], " ",fraud[[#This Row],[time]])</f>
        <v/>
      </c>
    </row>
    <row r="68">
      <c r="A68" t="inlineStr">
        <is>
          <t>2026 Q1</t>
        </is>
      </c>
      <c r="B68" t="inlineStr">
        <is>
          <t>ORL</t>
        </is>
      </c>
      <c r="C68" t="n">
        <v>0</v>
      </c>
      <c r="D68" t="n">
        <v>0</v>
      </c>
      <c r="E68" t="n">
        <v>1</v>
      </c>
      <c r="F68">
        <f>_xlfn.CONCAT(fraud[[#This Row],[lob]], " ",fraud[[#This Row],[time]])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8"/>
  <sheetViews>
    <sheetView topLeftCell="A93" zoomScale="175" zoomScaleNormal="175" workbookViewId="0">
      <selection activeCell="J29" sqref="J29"/>
    </sheetView>
  </sheetViews>
  <sheetFormatPr baseColWidth="8" defaultRowHeight="14.5"/>
  <cols>
    <col width="14.1796875" customWidth="1" style="43" min="1" max="1"/>
    <col width="11.08984375" customWidth="1" style="43" min="3" max="3"/>
    <col width="11.1796875" customWidth="1" style="43" min="4" max="4"/>
    <col width="10.90625" customWidth="1" style="43" min="5" max="5"/>
    <col width="11.1796875" customWidth="1" style="43" min="6" max="7"/>
    <col width="10.81640625" customWidth="1" style="43" min="8" max="8"/>
    <col width="13.54296875" customWidth="1" style="43" min="9" max="9"/>
    <col width="12.453125" customWidth="1" style="43" min="10" max="10"/>
    <col width="11.7265625" bestFit="1" customWidth="1" style="43" min="11" max="11"/>
  </cols>
  <sheetData>
    <row r="1">
      <c r="A1" t="inlineStr">
        <is>
          <t>valid_vintage</t>
        </is>
      </c>
      <c r="B1" t="inlineStr">
        <is>
          <t>lob</t>
        </is>
      </c>
      <c r="C1" t="inlineStr">
        <is>
          <t>a_dealers</t>
        </is>
      </c>
      <c r="D1" t="inlineStr">
        <is>
          <t>b_dealers</t>
        </is>
      </c>
      <c r="E1" t="inlineStr">
        <is>
          <t>c_dealers</t>
        </is>
      </c>
      <c r="F1" t="inlineStr">
        <is>
          <t>d_dealers</t>
        </is>
      </c>
      <c r="G1" t="inlineStr">
        <is>
          <t>e_dealers</t>
        </is>
      </c>
      <c r="H1" t="inlineStr">
        <is>
          <t>f_dealers</t>
        </is>
      </c>
      <c r="I1" t="inlineStr">
        <is>
          <t>good_dealer</t>
        </is>
      </c>
      <c r="J1" t="inlineStr">
        <is>
          <t>bad_dealer</t>
        </is>
      </c>
      <c r="K1" t="inlineStr">
        <is>
          <t>lookup</t>
        </is>
      </c>
    </row>
    <row r="2">
      <c r="A2" t="inlineStr">
        <is>
          <t>2026 Q1</t>
        </is>
      </c>
      <c r="B2" t="inlineStr">
        <is>
          <t>ENT</t>
        </is>
      </c>
      <c r="C2" s="22" t="n">
        <v>0.017</v>
      </c>
      <c r="D2" s="22" t="n">
        <v>0.176136363636363</v>
      </c>
      <c r="E2" s="22" t="n">
        <v>0.681818181818181</v>
      </c>
      <c r="F2" s="22" t="n">
        <v>0.125</v>
      </c>
      <c r="G2" s="22" t="n">
        <v>0</v>
      </c>
      <c r="H2" s="22" t="n">
        <v>0</v>
      </c>
      <c r="I2" s="22" t="n">
        <v>0.193136363636363</v>
      </c>
      <c r="J2" s="22" t="inlineStr">
        <is>
          <t> </t>
        </is>
      </c>
      <c r="K2" s="22">
        <f>_xlfn.CONCAT(dll[[#This Row],[lob]], " ", dll[[#This Row],[valid_vintage]])</f>
        <v/>
      </c>
    </row>
    <row r="3">
      <c r="A3" t="inlineStr">
        <is>
          <t>2026 Q1</t>
        </is>
      </c>
      <c r="B3" t="inlineStr">
        <is>
          <t>STG</t>
        </is>
      </c>
      <c r="C3" s="22" t="n">
        <v>0.0264</v>
      </c>
      <c r="D3" s="22" t="n">
        <v>0.235894357743097</v>
      </c>
      <c r="E3" s="22" t="n">
        <v>0.599039615846338</v>
      </c>
      <c r="F3" s="22" t="n">
        <v>0.08523409363745491</v>
      </c>
      <c r="G3" s="22" t="n">
        <v>0.0444177671068427</v>
      </c>
      <c r="H3" s="22" t="n">
        <v>0.00900360144057623</v>
      </c>
      <c r="I3" s="22" t="n">
        <v>0.262294357743097</v>
      </c>
      <c r="J3" s="22" t="n">
        <v>0.138655462184873</v>
      </c>
      <c r="K3" s="22">
        <f>_xlfn.CONCAT(dll[[#This Row],[lob]], " ", dll[[#This Row],[valid_vintage]])</f>
        <v/>
      </c>
    </row>
    <row r="4">
      <c r="A4" t="inlineStr">
        <is>
          <t>2026 Q1</t>
        </is>
      </c>
      <c r="B4" t="inlineStr">
        <is>
          <t>FRN</t>
        </is>
      </c>
      <c r="C4" s="22" t="n">
        <v>0.012</v>
      </c>
      <c r="D4" s="22" t="n">
        <v>0.167465111435117</v>
      </c>
      <c r="E4" s="22" t="n">
        <v>0.752759841699645</v>
      </c>
      <c r="F4" s="22" t="n">
        <v>0.0408248281607998</v>
      </c>
      <c r="G4" s="22" t="n">
        <v>0.0260362424494896</v>
      </c>
      <c r="H4" s="22" t="n">
        <v>0.00083315975838367</v>
      </c>
      <c r="I4" s="22" t="n">
        <v>0.179465111435117</v>
      </c>
      <c r="J4" s="22" t="n">
        <v>0.0676942303686731</v>
      </c>
      <c r="K4" s="22">
        <f>_xlfn.CONCAT(dll[[#This Row],[lob]], " ", dll[[#This Row],[valid_vintage]])</f>
        <v/>
      </c>
    </row>
    <row r="5">
      <c r="A5" t="inlineStr">
        <is>
          <t>2026 Q1</t>
        </is>
      </c>
      <c r="B5" t="inlineStr">
        <is>
          <t>AN</t>
        </is>
      </c>
      <c r="C5" s="22" t="n">
        <v>0.0643</v>
      </c>
      <c r="D5" s="22" t="n">
        <v>0.251461988304093</v>
      </c>
      <c r="E5" s="22" t="n">
        <v>0.567251461988304</v>
      </c>
      <c r="F5" s="22" t="n">
        <v>0.08187134502923971</v>
      </c>
      <c r="G5" s="22" t="n">
        <v>0.0350877192982456</v>
      </c>
      <c r="H5" s="22" t="n">
        <v>0</v>
      </c>
      <c r="I5" s="22" t="n">
        <v>0.315761988304093</v>
      </c>
      <c r="J5" s="22" t="n">
        <v>0.116959064327485</v>
      </c>
      <c r="K5" s="22">
        <f>_xlfn.CONCAT(dll[[#This Row],[lob]], " ", dll[[#This Row],[valid_vintage]])</f>
        <v/>
      </c>
    </row>
    <row r="6">
      <c r="A6" t="inlineStr">
        <is>
          <t>2026 Q1</t>
        </is>
      </c>
      <c r="B6" t="inlineStr">
        <is>
          <t>FLD</t>
        </is>
      </c>
      <c r="C6" s="22" t="n">
        <v>0.1156</v>
      </c>
      <c r="D6" s="22" t="n">
        <v>0.346875</v>
      </c>
      <c r="E6" s="22" t="n">
        <v>0.475</v>
      </c>
      <c r="F6" s="22" t="n">
        <v>0.0375</v>
      </c>
      <c r="G6" s="22" t="n">
        <v>0.025</v>
      </c>
      <c r="H6" s="22" t="n">
        <v>0</v>
      </c>
      <c r="I6" s="22" t="n">
        <v>0.462475</v>
      </c>
      <c r="J6" s="22" t="n">
        <v>0.0625</v>
      </c>
      <c r="K6" s="22">
        <f>_xlfn.CONCAT(dll[[#This Row],[lob]], " ", dll[[#This Row],[valid_vintage]])</f>
        <v/>
      </c>
    </row>
    <row r="7">
      <c r="A7" t="inlineStr">
        <is>
          <t>2025 Q4</t>
        </is>
      </c>
      <c r="B7" t="inlineStr">
        <is>
          <t>STG</t>
        </is>
      </c>
      <c r="C7" s="22" t="n">
        <v>0.0264</v>
      </c>
      <c r="D7" s="22" t="n">
        <v>0.212484993997599</v>
      </c>
      <c r="E7" s="22" t="n">
        <v>0.626050420168067</v>
      </c>
      <c r="F7" s="22" t="n">
        <v>0.0834333733493397</v>
      </c>
      <c r="G7" s="22" t="n">
        <v>0.0426170468187274</v>
      </c>
      <c r="H7" s="22" t="n">
        <v>0.00900360144057623</v>
      </c>
      <c r="I7" s="22" t="n">
        <v>0.238884993997599</v>
      </c>
      <c r="J7" s="22" t="n">
        <v>0.135054021608643</v>
      </c>
      <c r="K7" s="22">
        <f>_xlfn.CONCAT(dll[[#This Row],[lob]], " ", dll[[#This Row],[valid_vintage]])</f>
        <v/>
      </c>
    </row>
    <row r="8">
      <c r="A8" t="inlineStr">
        <is>
          <t>2025 Q4</t>
        </is>
      </c>
      <c r="B8" t="inlineStr">
        <is>
          <t>FRN</t>
        </is>
      </c>
      <c r="C8" s="22" t="n">
        <v>0.009299999999999999</v>
      </c>
      <c r="D8" s="22" t="n">
        <v>0.17142262028744</v>
      </c>
      <c r="E8" s="22" t="n">
        <v>0.757967090189543</v>
      </c>
      <c r="F8" s="22" t="n">
        <v>0.0347844199125182</v>
      </c>
      <c r="G8" s="22" t="n">
        <v>0.0260362424494896</v>
      </c>
      <c r="H8" s="22" t="n">
        <v>0.00041657987919183</v>
      </c>
      <c r="I8" s="22" t="n">
        <v>0.18072262028744</v>
      </c>
      <c r="J8" s="22" t="n">
        <v>0.0612372422411997</v>
      </c>
      <c r="K8" s="22">
        <f>_xlfn.CONCAT(dll[[#This Row],[lob]], " ", dll[[#This Row],[valid_vintage]])</f>
        <v/>
      </c>
    </row>
    <row r="9">
      <c r="A9" t="inlineStr">
        <is>
          <t>2025 Q4</t>
        </is>
      </c>
      <c r="B9" t="inlineStr">
        <is>
          <t>AN</t>
        </is>
      </c>
      <c r="C9" s="22" t="n">
        <v>0.0672</v>
      </c>
      <c r="D9" s="22" t="n">
        <v>0.251461988304093</v>
      </c>
      <c r="E9" s="22" t="n">
        <v>0.546783625730994</v>
      </c>
      <c r="F9" s="22" t="n">
        <v>0.0994152046783625</v>
      </c>
      <c r="G9" s="22" t="n">
        <v>0.0350877192982456</v>
      </c>
      <c r="H9" s="22" t="n">
        <v>0</v>
      </c>
      <c r="I9" s="22" t="n">
        <v>0.318661988304093</v>
      </c>
      <c r="J9" s="22" t="n">
        <v>0.134502923976608</v>
      </c>
      <c r="K9" s="22">
        <f>_xlfn.CONCAT(dll[[#This Row],[lob]], " ", dll[[#This Row],[valid_vintage]])</f>
        <v/>
      </c>
    </row>
    <row r="10">
      <c r="A10" t="inlineStr">
        <is>
          <t>2025 Q4</t>
        </is>
      </c>
      <c r="B10" t="inlineStr">
        <is>
          <t>FLD</t>
        </is>
      </c>
      <c r="C10" s="22" t="n">
        <v>0.1093</v>
      </c>
      <c r="D10" s="22" t="n">
        <v>0.425</v>
      </c>
      <c r="E10" s="22" t="n">
        <v>0.40625</v>
      </c>
      <c r="F10" s="22" t="n">
        <v>0.0375</v>
      </c>
      <c r="G10" s="22" t="n">
        <v>0.01875</v>
      </c>
      <c r="H10" s="22" t="n">
        <v>0.003125</v>
      </c>
      <c r="I10" s="22" t="n">
        <v>0.5343</v>
      </c>
      <c r="J10" s="22" t="n">
        <v>0.059375</v>
      </c>
      <c r="K10" s="22">
        <f>_xlfn.CONCAT(dll[[#This Row],[lob]], " ", dll[[#This Row],[valid_vintage]])</f>
        <v/>
      </c>
    </row>
    <row r="11">
      <c r="A11" t="inlineStr">
        <is>
          <t>2025 Q4</t>
        </is>
      </c>
      <c r="B11" t="inlineStr">
        <is>
          <t>ENT</t>
        </is>
      </c>
      <c r="C11" s="22" t="n">
        <v>0</v>
      </c>
      <c r="D11" s="22" t="n">
        <v>0.176136363636363</v>
      </c>
      <c r="E11" s="22" t="n">
        <v>0.693181818181818</v>
      </c>
      <c r="F11" s="22" t="n">
        <v>0.130681818181818</v>
      </c>
      <c r="G11" s="22" t="n">
        <v>0</v>
      </c>
      <c r="H11" s="22" t="n">
        <v>0</v>
      </c>
      <c r="I11" s="22" t="n">
        <v>0.176136363636363</v>
      </c>
      <c r="J11" s="22" t="n">
        <v>0.130681818181818</v>
      </c>
      <c r="K11" s="22">
        <f>_xlfn.CONCAT(dll[[#This Row],[lob]], " ", dll[[#This Row],[valid_vintage]])</f>
        <v/>
      </c>
    </row>
    <row r="12">
      <c r="A12" t="inlineStr">
        <is>
          <t>2025 Q3</t>
        </is>
      </c>
      <c r="B12" t="inlineStr">
        <is>
          <t>AN</t>
        </is>
      </c>
      <c r="C12" s="22" t="n">
        <v>0.0351</v>
      </c>
      <c r="D12" s="22" t="n">
        <v>0.284457478005865</v>
      </c>
      <c r="E12" s="22" t="n">
        <v>0.563049853372434</v>
      </c>
      <c r="F12" s="22" t="n">
        <v>0.0909090909090909</v>
      </c>
      <c r="G12" s="22" t="n">
        <v>0.0263929618768328</v>
      </c>
      <c r="H12" s="22" t="n">
        <v>0</v>
      </c>
      <c r="I12" s="22" t="n">
        <v>0.319557478005865</v>
      </c>
      <c r="J12" s="22" t="n">
        <v>0.117302052785923</v>
      </c>
      <c r="K12" s="22">
        <f>_xlfn.CONCAT(dll[[#This Row],[lob]], " ", dll[[#This Row],[valid_vintage]])</f>
        <v/>
      </c>
    </row>
    <row r="13">
      <c r="A13" t="inlineStr">
        <is>
          <t>2025 Q3</t>
        </is>
      </c>
      <c r="B13" t="inlineStr">
        <is>
          <t>FRN</t>
        </is>
      </c>
      <c r="C13" s="22" t="n">
        <v>0.009900000000000001</v>
      </c>
      <c r="D13" s="22" t="n">
        <v>0.160600931019889</v>
      </c>
      <c r="E13" s="22" t="n">
        <v>0.752433347439695</v>
      </c>
      <c r="F13" s="22" t="n">
        <v>0.052475666525603</v>
      </c>
      <c r="G13" s="22" t="n">
        <v>0.0241218789674143</v>
      </c>
      <c r="H13" s="22" t="n">
        <v>0.00042319085907744</v>
      </c>
      <c r="I13" s="22" t="n">
        <v>0.170500931019889</v>
      </c>
      <c r="J13" s="22" t="n">
        <v>0.07702073635209471</v>
      </c>
      <c r="K13" s="22">
        <f>_xlfn.CONCAT(dll[[#This Row],[lob]], " ", dll[[#This Row],[valid_vintage]])</f>
        <v/>
      </c>
    </row>
    <row r="14">
      <c r="A14" t="inlineStr">
        <is>
          <t>2025 Q3</t>
        </is>
      </c>
      <c r="B14" t="inlineStr">
        <is>
          <t>ENT</t>
        </is>
      </c>
      <c r="C14" s="22" t="n">
        <v>0</v>
      </c>
      <c r="D14" s="22" t="n">
        <v>0.21590909090909</v>
      </c>
      <c r="E14" s="22" t="n">
        <v>0.511363636363636</v>
      </c>
      <c r="F14" s="22" t="n">
        <v>0.244318181818181</v>
      </c>
      <c r="G14" s="22" t="n">
        <v>0.0284090909090909</v>
      </c>
      <c r="H14" s="22" t="n">
        <v>0</v>
      </c>
      <c r="I14" s="22" t="n">
        <v>0.21590909090909</v>
      </c>
      <c r="J14" s="22" t="n">
        <v>0.272727272727272</v>
      </c>
      <c r="K14" s="22">
        <f>_xlfn.CONCAT(dll[[#This Row],[lob]], " ", dll[[#This Row],[valid_vintage]])</f>
        <v/>
      </c>
    </row>
    <row r="15">
      <c r="A15" t="inlineStr">
        <is>
          <t>2025 Q3</t>
        </is>
      </c>
      <c r="B15" t="inlineStr">
        <is>
          <t>FLD</t>
        </is>
      </c>
      <c r="C15" s="22" t="n">
        <v>0.1163</v>
      </c>
      <c r="D15" s="22" t="n">
        <v>0.481132075471698</v>
      </c>
      <c r="E15" s="22" t="n">
        <v>0.367924528301886</v>
      </c>
      <c r="F15" s="22" t="n">
        <v>0.0283018867924528</v>
      </c>
      <c r="G15" s="22" t="n">
        <v>0.00314465408805031</v>
      </c>
      <c r="H15" s="22" t="n">
        <v>0.00314465408805031</v>
      </c>
      <c r="I15" s="22" t="n">
        <v>0.597432075471698</v>
      </c>
      <c r="J15" s="22" t="n">
        <v>0.0345911949685534</v>
      </c>
      <c r="K15" s="22">
        <f>_xlfn.CONCAT(dll[[#This Row],[lob]], " ", dll[[#This Row],[valid_vintage]])</f>
        <v/>
      </c>
    </row>
    <row r="16">
      <c r="A16" t="inlineStr">
        <is>
          <t>2025 Q3</t>
        </is>
      </c>
      <c r="B16" t="inlineStr">
        <is>
          <t>STG</t>
        </is>
      </c>
      <c r="C16" s="22" t="n">
        <v>0.0139</v>
      </c>
      <c r="D16" s="22" t="n">
        <v>0.287530266343825</v>
      </c>
      <c r="E16" s="22" t="n">
        <v>0.59140435835351</v>
      </c>
      <c r="F16" s="22" t="n">
        <v>0.0817191283292978</v>
      </c>
      <c r="G16" s="22" t="n">
        <v>0.0163438256658595</v>
      </c>
      <c r="H16" s="22" t="n">
        <v>0.00907990314769975</v>
      </c>
      <c r="I16" s="22" t="n">
        <v>0.301430266343825</v>
      </c>
      <c r="J16" s="22" t="n">
        <v>0.107142857142857</v>
      </c>
      <c r="K16" s="22">
        <f>_xlfn.CONCAT(dll[[#This Row],[lob]], " ", dll[[#This Row],[valid_vintage]])</f>
        <v/>
      </c>
    </row>
    <row r="17">
      <c r="A17" t="inlineStr">
        <is>
          <t>2025 Q2</t>
        </is>
      </c>
      <c r="B17" t="inlineStr">
        <is>
          <t>FRN</t>
        </is>
      </c>
      <c r="C17" s="22" t="n">
        <v>0.0098</v>
      </c>
      <c r="D17" s="22" t="n">
        <v>0.172338568935427</v>
      </c>
      <c r="E17" s="22" t="n">
        <v>0.732111692844677</v>
      </c>
      <c r="F17" s="22" t="n">
        <v>0.0490837696335078</v>
      </c>
      <c r="G17" s="22" t="n">
        <v>0.0362129144851657</v>
      </c>
      <c r="H17" s="22" t="n">
        <v>0.00043630017452006</v>
      </c>
      <c r="I17" s="22" t="n">
        <v>0.182138568935427</v>
      </c>
      <c r="J17" s="22" t="n">
        <v>0.0857329842931937</v>
      </c>
      <c r="K17" s="22">
        <f>_xlfn.CONCAT(dll[[#This Row],[lob]], " ", dll[[#This Row],[valid_vintage]])</f>
        <v/>
      </c>
    </row>
    <row r="18">
      <c r="A18" t="inlineStr">
        <is>
          <t>2025 Q2</t>
        </is>
      </c>
      <c r="B18" t="inlineStr">
        <is>
          <t>AN</t>
        </is>
      </c>
      <c r="C18" s="22" t="n">
        <v>0.0382</v>
      </c>
      <c r="D18" s="22" t="n">
        <v>0.273529411764705</v>
      </c>
      <c r="E18" s="22" t="n">
        <v>0.526470588235294</v>
      </c>
      <c r="F18" s="22" t="n">
        <v>0.15</v>
      </c>
      <c r="G18" s="22" t="n">
        <v>0.0117647058823529</v>
      </c>
      <c r="H18" s="22" t="n">
        <v>0</v>
      </c>
      <c r="I18" s="22" t="n">
        <v>0.311729411764705</v>
      </c>
      <c r="J18" s="22" t="n">
        <v>0.161764705882352</v>
      </c>
      <c r="K18" s="22">
        <f>_xlfn.CONCAT(dll[[#This Row],[lob]], " ", dll[[#This Row],[valid_vintage]])</f>
        <v/>
      </c>
    </row>
    <row r="19">
      <c r="A19" t="inlineStr">
        <is>
          <t>2025 Q2</t>
        </is>
      </c>
      <c r="B19" t="inlineStr">
        <is>
          <t>ENT</t>
        </is>
      </c>
      <c r="C19" s="22" t="n">
        <v>0</v>
      </c>
      <c r="D19" s="22" t="n">
        <v>0.171428571428571</v>
      </c>
      <c r="E19" s="22" t="n">
        <v>0.582857142857142</v>
      </c>
      <c r="F19" s="22" t="n">
        <v>0.211428571428571</v>
      </c>
      <c r="G19" s="22" t="n">
        <v>0.0342857142857142</v>
      </c>
      <c r="H19" s="22" t="n">
        <v>0</v>
      </c>
      <c r="I19" s="22" t="n">
        <v>0.171428571428571</v>
      </c>
      <c r="J19" s="22" t="n">
        <v>0.245714285714285</v>
      </c>
      <c r="K19" s="22">
        <f>_xlfn.CONCAT(dll[[#This Row],[lob]], " ", dll[[#This Row],[valid_vintage]])</f>
        <v/>
      </c>
    </row>
    <row r="20">
      <c r="A20" t="inlineStr">
        <is>
          <t>2025 Q2</t>
        </is>
      </c>
      <c r="B20" t="inlineStr">
        <is>
          <t>FLD</t>
        </is>
      </c>
      <c r="C20" s="22" t="n">
        <v>0.0379</v>
      </c>
      <c r="D20" s="22" t="n">
        <v>0.518987341772151</v>
      </c>
      <c r="E20" s="22" t="n">
        <v>0.341772151898734</v>
      </c>
      <c r="F20" s="22" t="n">
        <v>0.0316455696202531</v>
      </c>
      <c r="G20" s="22" t="n">
        <v>0.0664556962025316</v>
      </c>
      <c r="H20" s="22" t="n">
        <v>0.00316455696202531</v>
      </c>
      <c r="I20" s="22" t="n">
        <v>0.556887341772151</v>
      </c>
      <c r="J20" s="22" t="n">
        <v>0.10126582278481</v>
      </c>
      <c r="K20" s="22">
        <f>_xlfn.CONCAT(dll[[#This Row],[lob]], " ", dll[[#This Row],[valid_vintage]])</f>
        <v/>
      </c>
    </row>
    <row r="21">
      <c r="A21" t="inlineStr">
        <is>
          <t>2025 Q2</t>
        </is>
      </c>
      <c r="B21" t="inlineStr">
        <is>
          <t>STG</t>
        </is>
      </c>
      <c r="C21" s="22" t="n">
        <v>0.016</v>
      </c>
      <c r="D21" s="22" t="n">
        <v>0.269468479604449</v>
      </c>
      <c r="E21" s="22" t="n">
        <v>0.619283065512978</v>
      </c>
      <c r="F21" s="22" t="n">
        <v>0.0673671199011124</v>
      </c>
      <c r="G21" s="22" t="n">
        <v>0.0210135970333745</v>
      </c>
      <c r="H21" s="22" t="n">
        <v>0.00679851668726823</v>
      </c>
      <c r="I21" s="22" t="n">
        <v>0.285468479604449</v>
      </c>
      <c r="J21" s="22" t="n">
        <v>0.0951792336217552</v>
      </c>
      <c r="K21" s="22">
        <f>_xlfn.CONCAT(dll[[#This Row],[lob]], " ", dll[[#This Row],[valid_vintage]])</f>
        <v/>
      </c>
    </row>
    <row r="22">
      <c r="A22" t="inlineStr">
        <is>
          <t>2025 Q1</t>
        </is>
      </c>
      <c r="B22" t="inlineStr">
        <is>
          <t>AN</t>
        </is>
      </c>
      <c r="C22" s="22" t="n">
        <v>0.0147</v>
      </c>
      <c r="D22" s="22" t="n">
        <v>0.289940828402366</v>
      </c>
      <c r="E22" s="22" t="n">
        <v>0.600591715976331</v>
      </c>
      <c r="F22" s="22" t="n">
        <v>0.0769230769230769</v>
      </c>
      <c r="G22" s="22" t="n">
        <v>0.0177514792899408</v>
      </c>
      <c r="H22" s="22" t="n">
        <v>0</v>
      </c>
      <c r="I22" s="22" t="n">
        <v>0.304640828402366</v>
      </c>
      <c r="J22" s="22" t="n">
        <v>0.09467455621301769</v>
      </c>
      <c r="K22" s="22">
        <f>_xlfn.CONCAT(dll[[#This Row],[lob]], " ", dll[[#This Row],[valid_vintage]])</f>
        <v/>
      </c>
    </row>
    <row r="23">
      <c r="A23" t="inlineStr">
        <is>
          <t>2025 Q1</t>
        </is>
      </c>
      <c r="B23" t="inlineStr">
        <is>
          <t>ENT</t>
        </is>
      </c>
      <c r="C23" s="22" t="n">
        <v>0</v>
      </c>
      <c r="D23" s="22" t="n">
        <v>0.178160919540229</v>
      </c>
      <c r="E23" s="22" t="n">
        <v>0.522988505747126</v>
      </c>
      <c r="F23" s="22" t="n">
        <v>0.293103448275862</v>
      </c>
      <c r="G23" s="22" t="n">
        <v>0.0057471264367816</v>
      </c>
      <c r="H23" s="22" t="n">
        <v>0</v>
      </c>
      <c r="I23" s="22" t="n">
        <v>0.178160919540229</v>
      </c>
      <c r="J23" s="22" t="n">
        <v>0.298850574712643</v>
      </c>
      <c r="K23" s="22">
        <f>_xlfn.CONCAT(dll[[#This Row],[lob]], " ", dll[[#This Row],[valid_vintage]])</f>
        <v/>
      </c>
    </row>
    <row r="24">
      <c r="A24" t="inlineStr">
        <is>
          <t>2025 Q1</t>
        </is>
      </c>
      <c r="B24" t="inlineStr">
        <is>
          <t>FRN</t>
        </is>
      </c>
      <c r="C24" s="22" t="n">
        <v>0.0097</v>
      </c>
      <c r="D24" s="22" t="n">
        <v>0.164402173913043</v>
      </c>
      <c r="E24" s="22" t="n">
        <v>0.74615036231884</v>
      </c>
      <c r="F24" s="22" t="n">
        <v>0.0446105072463768</v>
      </c>
      <c r="G24" s="22" t="n">
        <v>0.0344202898550724</v>
      </c>
      <c r="H24" s="22" t="n">
        <v>0.00067934782608695</v>
      </c>
      <c r="I24" s="22" t="n">
        <v>0.174102173913043</v>
      </c>
      <c r="J24" s="22" t="n">
        <v>0.0797101449275362</v>
      </c>
      <c r="K24" s="22">
        <f>_xlfn.CONCAT(dll[[#This Row],[lob]], " ", dll[[#This Row],[valid_vintage]])</f>
        <v/>
      </c>
    </row>
    <row r="25">
      <c r="A25" t="inlineStr">
        <is>
          <t>2025 Q1</t>
        </is>
      </c>
      <c r="B25" t="inlineStr">
        <is>
          <t>STG</t>
        </is>
      </c>
      <c r="C25" s="22" t="n">
        <v>0.023</v>
      </c>
      <c r="D25" s="22" t="n">
        <v>0.307980049875311</v>
      </c>
      <c r="E25" s="22" t="n">
        <v>0.5679551122194511</v>
      </c>
      <c r="F25" s="22" t="n">
        <v>0.07668329177057349</v>
      </c>
      <c r="G25" s="22" t="n">
        <v>0.0174563591022443</v>
      </c>
      <c r="H25" s="22" t="n">
        <v>0.006857855361596</v>
      </c>
      <c r="I25" s="22" t="n">
        <v>0.330980049875311</v>
      </c>
      <c r="J25" s="22" t="n">
        <v>0.100997506234413</v>
      </c>
      <c r="K25" s="22">
        <f>_xlfn.CONCAT(dll[[#This Row],[lob]], " ", dll[[#This Row],[valid_vintage]])</f>
        <v/>
      </c>
    </row>
    <row r="26">
      <c r="A26" t="inlineStr">
        <is>
          <t>2025 Q1</t>
        </is>
      </c>
      <c r="B26" t="inlineStr">
        <is>
          <t>FLD</t>
        </is>
      </c>
      <c r="C26" s="22" t="n">
        <v>0.0384</v>
      </c>
      <c r="D26" s="22" t="n">
        <v>0.44551282051282</v>
      </c>
      <c r="E26" s="22" t="n">
        <v>0.464743589743589</v>
      </c>
      <c r="F26" s="22" t="n">
        <v>0.0416666666666666</v>
      </c>
      <c r="G26" s="22" t="n">
        <v>0.00641025641025641</v>
      </c>
      <c r="H26" s="22" t="n">
        <v>0.0032051282051282</v>
      </c>
      <c r="I26" s="22" t="n">
        <v>0.48391282051282</v>
      </c>
      <c r="J26" s="22" t="n">
        <v>0.0512820512820512</v>
      </c>
      <c r="K26" s="22">
        <f>_xlfn.CONCAT(dll[[#This Row],[lob]], " ", dll[[#This Row],[valid_vintage]])</f>
        <v/>
      </c>
    </row>
    <row r="27">
      <c r="A27" t="inlineStr">
        <is>
          <t>2024 Q4</t>
        </is>
      </c>
      <c r="B27" t="inlineStr">
        <is>
          <t>AN</t>
        </is>
      </c>
      <c r="C27" s="22" t="n">
        <v>0.0089</v>
      </c>
      <c r="D27" s="22" t="n">
        <v>0.276785714285714</v>
      </c>
      <c r="E27" s="22" t="n">
        <v>0.532738095238095</v>
      </c>
      <c r="F27" s="22" t="n">
        <v>0.166666666666666</v>
      </c>
      <c r="G27" s="22" t="n">
        <v>0.0148809523809523</v>
      </c>
      <c r="H27" s="22" t="n">
        <v>0</v>
      </c>
      <c r="I27" s="22" t="n">
        <v>0.285685714285714</v>
      </c>
      <c r="J27" s="22" t="n">
        <v>0.181547619047619</v>
      </c>
      <c r="K27" s="22">
        <f>_xlfn.CONCAT(dll[[#This Row],[lob]], " ", dll[[#This Row],[valid_vintage]])</f>
        <v/>
      </c>
    </row>
    <row r="28">
      <c r="A28" t="inlineStr">
        <is>
          <t>2024 Q4</t>
        </is>
      </c>
      <c r="B28" t="inlineStr">
        <is>
          <t>FLD</t>
        </is>
      </c>
      <c r="C28" s="22" t="n">
        <v>0.0129</v>
      </c>
      <c r="D28" s="22" t="n">
        <v>0.444805194805194</v>
      </c>
      <c r="E28" s="22" t="n">
        <v>0.48051948051948</v>
      </c>
      <c r="F28" s="22" t="n">
        <v>0.0487012987012987</v>
      </c>
      <c r="G28" s="22" t="n">
        <v>0.0129870129870129</v>
      </c>
      <c r="H28" s="22" t="n">
        <v>0</v>
      </c>
      <c r="I28" s="22" t="n">
        <v>0.457705194805194</v>
      </c>
      <c r="J28" s="22" t="n">
        <v>0.0616883116883116</v>
      </c>
      <c r="K28" s="22">
        <f>_xlfn.CONCAT(dll[[#This Row],[lob]], " ", dll[[#This Row],[valid_vintage]])</f>
        <v/>
      </c>
    </row>
    <row r="29">
      <c r="A29" t="inlineStr">
        <is>
          <t>2024 Q4</t>
        </is>
      </c>
      <c r="B29" t="inlineStr">
        <is>
          <t>ENT</t>
        </is>
      </c>
      <c r="C29" s="22" t="n">
        <v>0</v>
      </c>
      <c r="D29" s="22" t="n">
        <v>0.271676300578034</v>
      </c>
      <c r="E29" s="22" t="n">
        <v>0.514450867052023</v>
      </c>
      <c r="F29" s="22" t="n">
        <v>0.179190751445086</v>
      </c>
      <c r="G29" s="22" t="n">
        <v>0.0346820809248554</v>
      </c>
      <c r="H29" s="22" t="n">
        <v>0</v>
      </c>
      <c r="I29" s="22" t="n">
        <v>0.271676300578034</v>
      </c>
      <c r="J29" s="22" t="n">
        <v>0.213872832369942</v>
      </c>
      <c r="K29" s="22">
        <f>_xlfn.CONCAT(dll[[#This Row],[lob]], " ", dll[[#This Row],[valid_vintage]])</f>
        <v/>
      </c>
    </row>
    <row r="30">
      <c r="A30" t="inlineStr">
        <is>
          <t>2024 Q4</t>
        </is>
      </c>
      <c r="B30" t="inlineStr">
        <is>
          <t>STG</t>
        </is>
      </c>
      <c r="C30" s="22" t="n">
        <v>0.0214</v>
      </c>
      <c r="D30" s="22" t="n">
        <v>0.339848675914249</v>
      </c>
      <c r="E30" s="22" t="n">
        <v>0.522698612862547</v>
      </c>
      <c r="F30" s="22" t="n">
        <v>0.06620428751576291</v>
      </c>
      <c r="G30" s="22" t="n">
        <v>0.0428751576292559</v>
      </c>
      <c r="H30" s="22" t="n">
        <v>0.00693568726355611</v>
      </c>
      <c r="I30" s="22" t="n">
        <v>0.361248675914249</v>
      </c>
      <c r="J30" s="22" t="n">
        <v>0.116015132408575</v>
      </c>
      <c r="K30" s="22">
        <f>_xlfn.CONCAT(dll[[#This Row],[lob]], " ", dll[[#This Row],[valid_vintage]])</f>
        <v/>
      </c>
    </row>
    <row r="31">
      <c r="A31" t="inlineStr">
        <is>
          <t>2024 Q4</t>
        </is>
      </c>
      <c r="B31" t="inlineStr">
        <is>
          <t>FRN</t>
        </is>
      </c>
      <c r="C31" s="22" t="n">
        <v>0.0077</v>
      </c>
      <c r="D31" s="22" t="n">
        <v>0.146025005897617</v>
      </c>
      <c r="E31" s="22" t="n">
        <v>0.777070063694267</v>
      </c>
      <c r="F31" s="22" t="n">
        <v>0.0233545647558386</v>
      </c>
      <c r="G31" s="22" t="n">
        <v>0.0452937013446567</v>
      </c>
      <c r="H31" s="22" t="n">
        <v>0.00047180938900684</v>
      </c>
      <c r="I31" s="22" t="n">
        <v>0.153725005897617</v>
      </c>
      <c r="J31" s="22" t="n">
        <v>0.06912007548950221</v>
      </c>
      <c r="K31" s="22">
        <f>_xlfn.CONCAT(dll[[#This Row],[lob]], " ", dll[[#This Row],[valid_vintage]])</f>
        <v/>
      </c>
    </row>
    <row r="32">
      <c r="A32" t="inlineStr">
        <is>
          <t>2024 Q3</t>
        </is>
      </c>
      <c r="B32" t="inlineStr">
        <is>
          <t>AN</t>
        </is>
      </c>
      <c r="C32" s="22" t="n">
        <v>0.0089</v>
      </c>
      <c r="D32" s="22" t="n">
        <v>0.173652694610778</v>
      </c>
      <c r="E32" s="22" t="n">
        <v>0.634730538922155</v>
      </c>
      <c r="F32" s="22" t="n">
        <v>0.131736526946107</v>
      </c>
      <c r="G32" s="22" t="n">
        <v>0.0508982035928143</v>
      </c>
      <c r="H32" s="22" t="n">
        <v>0</v>
      </c>
      <c r="I32" s="22" t="n">
        <v>0.182552694610778</v>
      </c>
      <c r="J32" s="22" t="n">
        <v>0.182634730538922</v>
      </c>
      <c r="K32" s="22">
        <f>_xlfn.CONCAT(dll[[#This Row],[lob]], " ", dll[[#This Row],[valid_vintage]])</f>
        <v/>
      </c>
    </row>
    <row r="33">
      <c r="A33" t="inlineStr">
        <is>
          <t>2024 Q3</t>
        </is>
      </c>
      <c r="B33" t="inlineStr">
        <is>
          <t>FLD</t>
        </is>
      </c>
      <c r="C33" s="22" t="n">
        <v>0.0298</v>
      </c>
      <c r="D33" s="22" t="n">
        <v>0.5198675496688741</v>
      </c>
      <c r="E33" s="22" t="n">
        <v>0.367549668874172</v>
      </c>
      <c r="F33" s="22" t="n">
        <v>0.0629139072847682</v>
      </c>
      <c r="G33" s="22" t="n">
        <v>0.0198675496688741</v>
      </c>
      <c r="H33" s="22" t="n">
        <v>0</v>
      </c>
      <c r="I33" s="22" t="n">
        <v>0.549667549668874</v>
      </c>
      <c r="J33" s="22" t="n">
        <v>0.08278145695364229</v>
      </c>
      <c r="K33" s="22">
        <f>_xlfn.CONCAT(dll[[#This Row],[lob]], " ", dll[[#This Row],[valid_vintage]])</f>
        <v/>
      </c>
    </row>
    <row r="34">
      <c r="A34" t="inlineStr">
        <is>
          <t>2024 Q3</t>
        </is>
      </c>
      <c r="B34" t="inlineStr">
        <is>
          <t>ENT</t>
        </is>
      </c>
      <c r="C34" s="22" t="n">
        <v>0</v>
      </c>
      <c r="D34" s="22" t="n">
        <v>0.210526315789473</v>
      </c>
      <c r="E34" s="22" t="n">
        <v>0.502923976608187</v>
      </c>
      <c r="F34" s="22" t="n">
        <v>0.257309941520467</v>
      </c>
      <c r="G34" s="22" t="n">
        <v>0.0292397660818713</v>
      </c>
      <c r="H34" s="22" t="n">
        <v>0</v>
      </c>
      <c r="I34" s="22" t="n">
        <v>0.210526315789473</v>
      </c>
      <c r="J34" s="22" t="n">
        <v>0.286549707602339</v>
      </c>
      <c r="K34" s="22">
        <f>_xlfn.CONCAT(dll[[#This Row],[lob]], " ", dll[[#This Row],[valid_vintage]])</f>
        <v/>
      </c>
    </row>
    <row r="35">
      <c r="A35" t="inlineStr">
        <is>
          <t>2024 Q3</t>
        </is>
      </c>
      <c r="B35" t="inlineStr">
        <is>
          <t>STG</t>
        </is>
      </c>
      <c r="C35" s="22" t="n">
        <v>0.0246</v>
      </c>
      <c r="D35" s="22" t="n">
        <v>0.276124129195693</v>
      </c>
      <c r="E35" s="22" t="n">
        <v>0.595313489550348</v>
      </c>
      <c r="F35" s="22" t="n">
        <v>0.0702976567447751</v>
      </c>
      <c r="G35" s="22" t="n">
        <v>0.0265991133628879</v>
      </c>
      <c r="H35" s="22" t="n">
        <v>0.00696643445218492</v>
      </c>
      <c r="I35" s="22" t="n">
        <v>0.300724129195693</v>
      </c>
      <c r="J35" s="22" t="n">
        <v>0.103863204559847</v>
      </c>
      <c r="K35" s="22">
        <f>_xlfn.CONCAT(dll[[#This Row],[lob]], " ", dll[[#This Row],[valid_vintage]])</f>
        <v/>
      </c>
    </row>
    <row r="36">
      <c r="A36" t="inlineStr">
        <is>
          <t>2024 Q3</t>
        </is>
      </c>
      <c r="B36" t="inlineStr">
        <is>
          <t>FRN</t>
        </is>
      </c>
      <c r="C36" s="22" t="n">
        <v>0.008399999999999999</v>
      </c>
      <c r="D36" s="22" t="n">
        <v>0.134892981582877</v>
      </c>
      <c r="E36" s="22" t="n">
        <v>0.787705326032852</v>
      </c>
      <c r="F36" s="22" t="n">
        <v>0.0408163265306122</v>
      </c>
      <c r="G36" s="22" t="n">
        <v>0.0276256844201095</v>
      </c>
      <c r="H36" s="22" t="n">
        <v>0.00049776007964161</v>
      </c>
      <c r="I36" s="22" t="n">
        <v>0.143292981582877</v>
      </c>
      <c r="J36" s="22" t="n">
        <v>0.06893977103036331</v>
      </c>
      <c r="K36" s="22">
        <f>_xlfn.CONCAT(dll[[#This Row],[lob]], " ", dll[[#This Row],[valid_vintage]])</f>
        <v/>
      </c>
    </row>
    <row r="37">
      <c r="A37" t="inlineStr">
        <is>
          <t>2024 Q2</t>
        </is>
      </c>
      <c r="B37" t="inlineStr">
        <is>
          <t>FRN</t>
        </is>
      </c>
      <c r="C37" s="22" t="n">
        <v>0.0089</v>
      </c>
      <c r="D37" s="22" t="n">
        <v>0.117940635671132</v>
      </c>
      <c r="E37" s="22" t="n">
        <v>0.80929866036249</v>
      </c>
      <c r="F37" s="22" t="n">
        <v>0.04675597583399</v>
      </c>
      <c r="G37" s="22" t="n">
        <v>0.0165484633569739</v>
      </c>
      <c r="H37" s="22" t="n">
        <v>0.00052534804307853</v>
      </c>
      <c r="I37" s="22" t="n">
        <v>0.126840635671132</v>
      </c>
      <c r="J37" s="22" t="n">
        <v>0.06382978723404251</v>
      </c>
      <c r="K37" s="22">
        <f>_xlfn.CONCAT(dll[[#This Row],[lob]], " ", dll[[#This Row],[valid_vintage]])</f>
        <v/>
      </c>
    </row>
    <row r="38">
      <c r="A38" t="inlineStr">
        <is>
          <t>2024 Q2</t>
        </is>
      </c>
      <c r="B38" t="inlineStr">
        <is>
          <t>FLD</t>
        </is>
      </c>
      <c r="C38" s="22" t="n">
        <v>0.0265</v>
      </c>
      <c r="D38" s="22" t="n">
        <v>0.192691029900332</v>
      </c>
      <c r="E38" s="22" t="n">
        <v>0.677740863787375</v>
      </c>
      <c r="F38" s="22" t="n">
        <v>0.0431893687707641</v>
      </c>
      <c r="G38" s="22" t="n">
        <v>0.0598006644518272</v>
      </c>
      <c r="H38" s="22" t="n">
        <v>0</v>
      </c>
      <c r="I38" s="22" t="n">
        <v>0.219191029900332</v>
      </c>
      <c r="J38" s="22" t="n">
        <v>0.102990033222591</v>
      </c>
      <c r="K38" s="22">
        <f>_xlfn.CONCAT(dll[[#This Row],[lob]], " ", dll[[#This Row],[valid_vintage]])</f>
        <v/>
      </c>
    </row>
    <row r="39">
      <c r="A39" t="inlineStr">
        <is>
          <t>2024 Q2</t>
        </is>
      </c>
      <c r="B39" t="inlineStr">
        <is>
          <t>ENT</t>
        </is>
      </c>
      <c r="C39" s="22" t="n">
        <v>0</v>
      </c>
      <c r="D39" s="22" t="n">
        <v>0.294117647058823</v>
      </c>
      <c r="E39" s="22" t="n">
        <v>0.417647058823529</v>
      </c>
      <c r="F39" s="22" t="n">
        <v>0.229411764705882</v>
      </c>
      <c r="G39" s="22" t="n">
        <v>0.0588235294117647</v>
      </c>
      <c r="H39" s="22" t="n">
        <v>0</v>
      </c>
      <c r="I39" s="22" t="n">
        <v>0.294117647058823</v>
      </c>
      <c r="J39" s="22" t="n">
        <v>0.288235294117647</v>
      </c>
      <c r="K39" s="22">
        <f>_xlfn.CONCAT(dll[[#This Row],[lob]], " ", dll[[#This Row],[valid_vintage]])</f>
        <v/>
      </c>
    </row>
    <row r="40">
      <c r="A40" t="inlineStr">
        <is>
          <t>2024 Q2</t>
        </is>
      </c>
      <c r="B40" t="inlineStr">
        <is>
          <t>STG</t>
        </is>
      </c>
      <c r="C40" s="22" t="n">
        <v>0.0318</v>
      </c>
      <c r="D40" s="22" t="n">
        <v>0.413749204328453</v>
      </c>
      <c r="E40" s="22" t="n">
        <v>0.458943348185868</v>
      </c>
      <c r="F40" s="22" t="n">
        <v>0.0324633991088478</v>
      </c>
      <c r="G40" s="22" t="n">
        <v>0.0560152768936982</v>
      </c>
      <c r="H40" s="22" t="n">
        <v>0.00700190961171228</v>
      </c>
      <c r="I40" s="22" t="n">
        <v>0.445549204328453</v>
      </c>
      <c r="J40" s="22" t="n">
        <v>0.0954805856142584</v>
      </c>
      <c r="K40" s="22">
        <f>_xlfn.CONCAT(dll[[#This Row],[lob]], " ", dll[[#This Row],[valid_vintage]])</f>
        <v/>
      </c>
    </row>
    <row r="41">
      <c r="A41" t="inlineStr">
        <is>
          <t>2024 Q2</t>
        </is>
      </c>
      <c r="B41" t="inlineStr">
        <is>
          <t>AN</t>
        </is>
      </c>
      <c r="C41" s="22" t="n">
        <v>0.0029</v>
      </c>
      <c r="D41" s="22" t="n">
        <v>0.206586826347305</v>
      </c>
      <c r="E41" s="22" t="n">
        <v>0.55688622754491</v>
      </c>
      <c r="F41" s="22" t="n">
        <v>0.176646706586826</v>
      </c>
      <c r="G41" s="22" t="n">
        <v>0.0568862275449101</v>
      </c>
      <c r="H41" s="22" t="n">
        <v>0</v>
      </c>
      <c r="I41" s="22" t="n">
        <v>0.209486826347305</v>
      </c>
      <c r="J41" s="22" t="n">
        <v>0.233532934131736</v>
      </c>
      <c r="K41" s="22">
        <f>_xlfn.CONCAT(dll[[#This Row],[lob]], " ", dll[[#This Row],[valid_vintage]])</f>
        <v/>
      </c>
    </row>
    <row r="42">
      <c r="A42" t="inlineStr">
        <is>
          <t>2024 Q1</t>
        </is>
      </c>
      <c r="B42" t="inlineStr">
        <is>
          <t>STG</t>
        </is>
      </c>
      <c r="C42" s="22" t="n">
        <v>0.0364</v>
      </c>
      <c r="D42" s="22" t="n">
        <v>0.416773367477592</v>
      </c>
      <c r="E42" s="22" t="n">
        <v>0.348911651728553</v>
      </c>
      <c r="F42" s="22" t="n">
        <v>0.14404609475032</v>
      </c>
      <c r="G42" s="22" t="n">
        <v>0.0409731113956466</v>
      </c>
      <c r="H42" s="22" t="n">
        <v>0.0128040973111395</v>
      </c>
      <c r="I42" s="22" t="n">
        <v>0.453173367477592</v>
      </c>
      <c r="J42" s="22" t="n">
        <v>0.197823303457106</v>
      </c>
      <c r="K42" s="22">
        <f>_xlfn.CONCAT(dll[[#This Row],[lob]], " ", dll[[#This Row],[valid_vintage]])</f>
        <v/>
      </c>
    </row>
    <row r="43">
      <c r="A43" t="inlineStr">
        <is>
          <t>2024 Q1</t>
        </is>
      </c>
      <c r="B43" t="inlineStr">
        <is>
          <t>FRN</t>
        </is>
      </c>
      <c r="C43" s="22" t="n">
        <v>0.0128</v>
      </c>
      <c r="D43" s="22" t="n">
        <v>0.136185682326621</v>
      </c>
      <c r="E43" s="22" t="n">
        <v>0.766219239373601</v>
      </c>
      <c r="F43" s="22" t="n">
        <v>0.0595637583892617</v>
      </c>
      <c r="G43" s="22" t="n">
        <v>0.0246085011185682</v>
      </c>
      <c r="H43" s="22" t="n">
        <v>0.00055928411633109</v>
      </c>
      <c r="I43" s="22" t="n">
        <v>0.148985682326621</v>
      </c>
      <c r="J43" s="22" t="n">
        <v>0.08473154362416099</v>
      </c>
      <c r="K43" s="22">
        <f>_xlfn.CONCAT(dll[[#This Row],[lob]], " ", dll[[#This Row],[valid_vintage]])</f>
        <v/>
      </c>
    </row>
    <row r="44">
      <c r="A44" t="inlineStr">
        <is>
          <t>2024 Q1</t>
        </is>
      </c>
      <c r="B44" t="inlineStr">
        <is>
          <t>AN</t>
        </is>
      </c>
      <c r="C44" s="22" t="n">
        <v>0.0239</v>
      </c>
      <c r="D44" s="22" t="n">
        <v>0.188622754491017</v>
      </c>
      <c r="E44" s="22" t="n">
        <v>0.574850299401197</v>
      </c>
      <c r="F44" s="22" t="n">
        <v>0.0718562874251497</v>
      </c>
      <c r="G44" s="22" t="n">
        <v>0.140718562874251</v>
      </c>
      <c r="H44" s="22" t="n">
        <v>0</v>
      </c>
      <c r="I44" s="22" t="n">
        <v>0.212522754491017</v>
      </c>
      <c r="J44" s="22" t="n">
        <v>0.212574850299401</v>
      </c>
      <c r="K44" s="22">
        <f>_xlfn.CONCAT(dll[[#This Row],[lob]], " ", dll[[#This Row],[valid_vintage]])</f>
        <v/>
      </c>
    </row>
    <row r="45">
      <c r="A45" t="inlineStr">
        <is>
          <t>2024 Q1</t>
        </is>
      </c>
      <c r="B45" t="inlineStr">
        <is>
          <t>ENT</t>
        </is>
      </c>
      <c r="C45" s="22" t="n">
        <v>0</v>
      </c>
      <c r="D45" s="22" t="n">
        <v>0.152941176470588</v>
      </c>
      <c r="E45" s="22" t="n">
        <v>0.6</v>
      </c>
      <c r="F45" s="22" t="n">
        <v>0.188235294117647</v>
      </c>
      <c r="G45" s="22" t="n">
        <v>0.0588235294117647</v>
      </c>
      <c r="H45" s="22" t="n">
        <v>0</v>
      </c>
      <c r="I45" s="22" t="n">
        <v>0.152941176470588</v>
      </c>
      <c r="J45" s="22" t="n">
        <v>0.247058823529411</v>
      </c>
      <c r="K45" s="22">
        <f>_xlfn.CONCAT(dll[[#This Row],[lob]], " ", dll[[#This Row],[valid_vintage]])</f>
        <v/>
      </c>
    </row>
    <row r="46">
      <c r="A46" t="inlineStr">
        <is>
          <t>2024 Q1</t>
        </is>
      </c>
      <c r="B46" t="inlineStr">
        <is>
          <t>FLD</t>
        </is>
      </c>
      <c r="C46" s="22" t="n">
        <v>0.0302</v>
      </c>
      <c r="D46" s="22" t="n">
        <v>0.167785234899328</v>
      </c>
      <c r="E46" s="22" t="n">
        <v>0.6879194630872481</v>
      </c>
      <c r="F46" s="22" t="n">
        <v>0.0335570469798657</v>
      </c>
      <c r="G46" s="22" t="n">
        <v>0.046979865771812</v>
      </c>
      <c r="H46" s="22" t="n">
        <v>0.0335570469798657</v>
      </c>
      <c r="I46" s="22" t="n">
        <v>0.197985234899328</v>
      </c>
      <c r="J46" s="22" t="n">
        <v>0.114093959731543</v>
      </c>
      <c r="K46" s="22">
        <f>_xlfn.CONCAT(dll[[#This Row],[lob]], " ", dll[[#This Row],[valid_vintage]])</f>
        <v/>
      </c>
    </row>
    <row r="47">
      <c r="A47" t="inlineStr">
        <is>
          <t>2023 Q4</t>
        </is>
      </c>
      <c r="B47" t="inlineStr">
        <is>
          <t>STG</t>
        </is>
      </c>
      <c r="C47" s="22" t="n">
        <v>0.0446</v>
      </c>
      <c r="D47" s="22" t="n">
        <v>0.329883570504527</v>
      </c>
      <c r="E47" s="22" t="n">
        <v>0.409443725743855</v>
      </c>
      <c r="F47" s="22" t="n">
        <v>0.167529107373868</v>
      </c>
      <c r="G47" s="22" t="n">
        <v>0.0394566623544631</v>
      </c>
      <c r="H47" s="22" t="n">
        <v>0.00905562742561448</v>
      </c>
      <c r="I47" s="22" t="n">
        <v>0.374483570504527</v>
      </c>
      <c r="J47" s="22" t="n">
        <v>0.216041397153945</v>
      </c>
      <c r="K47" s="22">
        <f>_xlfn.CONCAT(dll[[#This Row],[lob]], " ", dll[[#This Row],[valid_vintage]])</f>
        <v/>
      </c>
    </row>
    <row r="48">
      <c r="A48" t="inlineStr">
        <is>
          <t>2023 Q4</t>
        </is>
      </c>
      <c r="B48" t="inlineStr">
        <is>
          <t>AN</t>
        </is>
      </c>
      <c r="C48" s="22" t="n">
        <v>0.0333</v>
      </c>
      <c r="D48" s="22" t="n">
        <v>0.157575757575757</v>
      </c>
      <c r="E48" s="22" t="n">
        <v>0.575757575757575</v>
      </c>
      <c r="F48" s="22" t="n">
        <v>0.0848484848484848</v>
      </c>
      <c r="G48" s="22" t="n">
        <v>0.13030303030303</v>
      </c>
      <c r="H48" s="22" t="n">
        <v>0.0181818181818181</v>
      </c>
      <c r="I48" s="22" t="n">
        <v>0.190875757575757</v>
      </c>
      <c r="J48" s="22" t="n">
        <v>0.233333333333333</v>
      </c>
      <c r="K48" s="22">
        <f>_xlfn.CONCAT(dll[[#This Row],[lob]], " ", dll[[#This Row],[valid_vintage]])</f>
        <v/>
      </c>
    </row>
    <row r="49">
      <c r="A49" t="inlineStr">
        <is>
          <t>2023 Q4</t>
        </is>
      </c>
      <c r="B49" t="inlineStr">
        <is>
          <t>FRN</t>
        </is>
      </c>
      <c r="C49" s="22" t="n">
        <v>0.0127</v>
      </c>
      <c r="D49" s="22" t="n">
        <v>0.141330166270783</v>
      </c>
      <c r="E49" s="22" t="n">
        <v>0.764548693586698</v>
      </c>
      <c r="F49" s="22" t="n">
        <v>0.0540380047505938</v>
      </c>
      <c r="G49" s="22" t="n">
        <v>0.0264251781472684</v>
      </c>
      <c r="H49" s="22" t="n">
        <v>0.00089073634204275</v>
      </c>
      <c r="I49" s="22" t="n">
        <v>0.154030166270783</v>
      </c>
      <c r="J49" s="22" t="n">
        <v>0.0813539192399049</v>
      </c>
      <c r="K49" s="22">
        <f>_xlfn.CONCAT(dll[[#This Row],[lob]], " ", dll[[#This Row],[valid_vintage]])</f>
        <v/>
      </c>
    </row>
    <row r="50">
      <c r="A50" t="inlineStr">
        <is>
          <t>2023 Q4</t>
        </is>
      </c>
      <c r="B50" t="inlineStr">
        <is>
          <t>FLD</t>
        </is>
      </c>
      <c r="C50" s="22" t="n">
        <v>0.0337</v>
      </c>
      <c r="D50" s="22" t="n">
        <v>0.179054054054054</v>
      </c>
      <c r="E50" s="22" t="n">
        <v>0.672297297297297</v>
      </c>
      <c r="F50" s="22" t="n">
        <v>0.0236486486486486</v>
      </c>
      <c r="G50" s="22" t="n">
        <v>0.0574324324324324</v>
      </c>
      <c r="H50" s="22" t="n">
        <v>0.0337837837837837</v>
      </c>
      <c r="I50" s="22" t="n">
        <v>0.212754054054054</v>
      </c>
      <c r="J50" s="22" t="n">
        <v>0.114864864864864</v>
      </c>
      <c r="K50" s="22">
        <f>_xlfn.CONCAT(dll[[#This Row],[lob]], " ", dll[[#This Row],[valid_vintage]])</f>
        <v/>
      </c>
    </row>
    <row r="51">
      <c r="A51" t="inlineStr">
        <is>
          <t>2023 Q4</t>
        </is>
      </c>
      <c r="B51" t="inlineStr">
        <is>
          <t>ENT</t>
        </is>
      </c>
      <c r="C51" s="22" t="n">
        <v>0</v>
      </c>
      <c r="D51" s="22" t="n">
        <v>0.216867469879518</v>
      </c>
      <c r="E51" s="22" t="n">
        <v>0.542168674698795</v>
      </c>
      <c r="F51" s="22" t="n">
        <v>0.228915662650602</v>
      </c>
      <c r="G51" s="22" t="n">
        <v>0.0120481927710843</v>
      </c>
      <c r="H51" s="22" t="n">
        <v>0</v>
      </c>
      <c r="I51" s="22" t="n">
        <v>0.216867469879518</v>
      </c>
      <c r="J51" s="22" t="n">
        <v>0.240963855421686</v>
      </c>
      <c r="K51" s="22">
        <f>_xlfn.CONCAT(dll[[#This Row],[lob]], " ", dll[[#This Row],[valid_vintage]])</f>
        <v/>
      </c>
    </row>
    <row r="52">
      <c r="A52" t="inlineStr">
        <is>
          <t>2023 Q3</t>
        </is>
      </c>
      <c r="B52" t="inlineStr">
        <is>
          <t>STG</t>
        </is>
      </c>
      <c r="C52" s="22" t="n">
        <v>0.045</v>
      </c>
      <c r="D52" s="22" t="n">
        <v>0.345953002610966</v>
      </c>
      <c r="E52" s="22" t="n">
        <v>0.390339425587467</v>
      </c>
      <c r="F52" s="22" t="n">
        <v>0.165143603133159</v>
      </c>
      <c r="G52" s="22" t="n">
        <v>0.04177545691906</v>
      </c>
      <c r="H52" s="22" t="n">
        <v>0.0117493472584856</v>
      </c>
      <c r="I52" s="22" t="n">
        <v>0.390953002610966</v>
      </c>
      <c r="J52" s="22" t="n">
        <v>0.218668407310704</v>
      </c>
      <c r="K52" s="22">
        <f>_xlfn.CONCAT(dll[[#This Row],[lob]], " ", dll[[#This Row],[valid_vintage]])</f>
        <v/>
      </c>
    </row>
    <row r="53">
      <c r="A53" t="inlineStr">
        <is>
          <t>2023 Q3</t>
        </is>
      </c>
      <c r="B53" t="inlineStr">
        <is>
          <t>FRN</t>
        </is>
      </c>
      <c r="C53" s="22" t="n">
        <v>0.0138</v>
      </c>
      <c r="D53" s="22" t="n">
        <v>0.156554542596667</v>
      </c>
      <c r="E53" s="22" t="n">
        <v>0.7551084564602319</v>
      </c>
      <c r="F53" s="22" t="n">
        <v>0.040867651681861</v>
      </c>
      <c r="G53" s="22" t="n">
        <v>0.0326941213454888</v>
      </c>
      <c r="H53" s="22" t="n">
        <v>0.00094309965419679</v>
      </c>
      <c r="I53" s="22" t="n">
        <v>0.170354542596667</v>
      </c>
      <c r="J53" s="22" t="n">
        <v>0.0745048726815466</v>
      </c>
      <c r="K53" s="22">
        <f>_xlfn.CONCAT(dll[[#This Row],[lob]], " ", dll[[#This Row],[valid_vintage]])</f>
        <v/>
      </c>
    </row>
    <row r="54">
      <c r="A54" t="inlineStr">
        <is>
          <t>2023 Q3</t>
        </is>
      </c>
      <c r="B54" t="inlineStr">
        <is>
          <t>FLD</t>
        </is>
      </c>
      <c r="C54" s="22" t="n">
        <v>0.0135</v>
      </c>
      <c r="D54" s="22" t="n">
        <v>0.2</v>
      </c>
      <c r="E54" s="22" t="n">
        <v>0.6610169491525421</v>
      </c>
      <c r="F54" s="22" t="n">
        <v>0.0576271186440677</v>
      </c>
      <c r="G54" s="22" t="n">
        <v>0.0677966101694915</v>
      </c>
      <c r="H54" s="22" t="n">
        <v>0</v>
      </c>
      <c r="I54" s="22" t="n">
        <v>0.2135</v>
      </c>
      <c r="J54" s="22" t="n">
        <v>0.125423728813559</v>
      </c>
      <c r="K54" s="22">
        <f>_xlfn.CONCAT(dll[[#This Row],[lob]], " ", dll[[#This Row],[valid_vintage]])</f>
        <v/>
      </c>
    </row>
    <row r="55">
      <c r="A55" t="inlineStr">
        <is>
          <t>2023 Q3</t>
        </is>
      </c>
      <c r="B55" t="inlineStr">
        <is>
          <t>AN</t>
        </is>
      </c>
      <c r="C55" s="22" t="n">
        <v>0.0365</v>
      </c>
      <c r="D55" s="22" t="n">
        <v>0.204268292682926</v>
      </c>
      <c r="E55" s="22" t="n">
        <v>0.503048780487804</v>
      </c>
      <c r="F55" s="22" t="n">
        <v>0.140243902439024</v>
      </c>
      <c r="G55" s="22" t="n">
        <v>0.097560975609756</v>
      </c>
      <c r="H55" s="22" t="n">
        <v>0.0182926829268292</v>
      </c>
      <c r="I55" s="22" t="n">
        <v>0.240768292682926</v>
      </c>
      <c r="J55" s="22" t="n">
        <v>0.256097560975609</v>
      </c>
      <c r="K55" s="22">
        <f>_xlfn.CONCAT(dll[[#This Row],[lob]], " ", dll[[#This Row],[valid_vintage]])</f>
        <v/>
      </c>
    </row>
    <row r="56">
      <c r="A56" t="inlineStr">
        <is>
          <t>2023 Q3</t>
        </is>
      </c>
      <c r="B56" t="inlineStr">
        <is>
          <t>ENT</t>
        </is>
      </c>
      <c r="C56" s="22" t="n">
        <v>0</v>
      </c>
      <c r="D56" s="22" t="n">
        <v>0.181818181818181</v>
      </c>
      <c r="E56" s="22" t="n">
        <v>0.503030303030303</v>
      </c>
      <c r="F56" s="22" t="n">
        <v>0.284848484848484</v>
      </c>
      <c r="G56" s="22" t="n">
        <v>0.0303030303030303</v>
      </c>
      <c r="H56" s="22" t="n">
        <v>0</v>
      </c>
      <c r="I56" s="22" t="n">
        <v>0.181818181818181</v>
      </c>
      <c r="J56" s="22" t="n">
        <v>0.315151515151515</v>
      </c>
      <c r="K56" s="22">
        <f>_xlfn.CONCAT(dll[[#This Row],[lob]], " ", dll[[#This Row],[valid_vintage]])</f>
        <v/>
      </c>
    </row>
    <row r="57">
      <c r="A57" t="inlineStr">
        <is>
          <t>2023 Q2</t>
        </is>
      </c>
      <c r="B57" t="inlineStr">
        <is>
          <t>STG</t>
        </is>
      </c>
      <c r="C57" s="22" t="n">
        <v>0.0507</v>
      </c>
      <c r="D57" s="22" t="n">
        <v>0.320369149637442</v>
      </c>
      <c r="E57" s="22" t="n">
        <v>0.394199077125906</v>
      </c>
      <c r="F57" s="22" t="n">
        <v>0.173368490441661</v>
      </c>
      <c r="G57" s="22" t="n">
        <v>0.050758075148319</v>
      </c>
      <c r="H57" s="22" t="n">
        <v>0.010547132498352</v>
      </c>
      <c r="I57" s="22" t="n">
        <v>0.371069149637442</v>
      </c>
      <c r="J57" s="22" t="n">
        <v>0.234673698088332</v>
      </c>
      <c r="K57" s="22">
        <f>_xlfn.CONCAT(dll[[#This Row],[lob]], " ", dll[[#This Row],[valid_vintage]])</f>
        <v/>
      </c>
    </row>
    <row r="58">
      <c r="A58" t="inlineStr">
        <is>
          <t>2023 Q2</t>
        </is>
      </c>
      <c r="B58" t="inlineStr">
        <is>
          <t>AN</t>
        </is>
      </c>
      <c r="C58" s="22" t="n">
        <v>0.0464</v>
      </c>
      <c r="D58" s="22" t="n">
        <v>0.207430340557275</v>
      </c>
      <c r="E58" s="22" t="n">
        <v>0.479876160990712</v>
      </c>
      <c r="F58" s="22" t="n">
        <v>0.123839009287925</v>
      </c>
      <c r="G58" s="22" t="n">
        <v>0.142414860681114</v>
      </c>
      <c r="H58" s="22" t="n">
        <v>0</v>
      </c>
      <c r="I58" s="22" t="n">
        <v>0.253830340557275</v>
      </c>
      <c r="J58" s="22" t="n">
        <v>0.26625386996904</v>
      </c>
      <c r="K58" s="22">
        <f>_xlfn.CONCAT(dll[[#This Row],[lob]], " ", dll[[#This Row],[valid_vintage]])</f>
        <v/>
      </c>
    </row>
    <row r="59">
      <c r="A59" t="inlineStr">
        <is>
          <t>2023 Q2</t>
        </is>
      </c>
      <c r="B59" t="inlineStr">
        <is>
          <t>FRN</t>
        </is>
      </c>
      <c r="C59" s="22" t="n">
        <v>0.0159</v>
      </c>
      <c r="D59" s="22" t="n">
        <v>0.186331179870792</v>
      </c>
      <c r="E59" s="22" t="n">
        <v>0.723563413804828</v>
      </c>
      <c r="F59" s="22" t="n">
        <v>0.0503230193811628</v>
      </c>
      <c r="G59" s="22" t="n">
        <v>0.0227813668820129</v>
      </c>
      <c r="H59" s="22" t="n">
        <v>0.00102006120367222</v>
      </c>
      <c r="I59" s="22" t="n">
        <v>0.202231179870792</v>
      </c>
      <c r="J59" s="22" t="n">
        <v>0.074124447466848</v>
      </c>
      <c r="K59" s="22">
        <f>_xlfn.CONCAT(dll[[#This Row],[lob]], " ", dll[[#This Row],[valid_vintage]])</f>
        <v/>
      </c>
    </row>
    <row r="60">
      <c r="A60" t="inlineStr">
        <is>
          <t>2023 Q2</t>
        </is>
      </c>
      <c r="B60" t="inlineStr">
        <is>
          <t>ENT</t>
        </is>
      </c>
      <c r="C60" s="22" t="n">
        <v>0</v>
      </c>
      <c r="D60" s="22" t="n">
        <v>0.204968944099378</v>
      </c>
      <c r="E60" s="22" t="n">
        <v>0.440993788819875</v>
      </c>
      <c r="F60" s="22" t="n">
        <v>0.285714285714285</v>
      </c>
      <c r="G60" s="22" t="n">
        <v>0.0683229813664596</v>
      </c>
      <c r="H60" s="22" t="n">
        <v>0</v>
      </c>
      <c r="I60" s="22" t="n">
        <v>0.204968944099378</v>
      </c>
      <c r="J60" s="22" t="n">
        <v>0.354037267080745</v>
      </c>
      <c r="K60" s="22">
        <f>_xlfn.CONCAT(dll[[#This Row],[lob]], " ", dll[[#This Row],[valid_vintage]])</f>
        <v/>
      </c>
    </row>
    <row r="61">
      <c r="A61" t="inlineStr">
        <is>
          <t>2023 Q2</t>
        </is>
      </c>
      <c r="B61" t="inlineStr">
        <is>
          <t>FLD</t>
        </is>
      </c>
      <c r="C61" s="22" t="n">
        <v>0.0205</v>
      </c>
      <c r="D61" s="22" t="n">
        <v>0.195205479452054</v>
      </c>
      <c r="E61" s="22" t="n">
        <v>0.616438356164383</v>
      </c>
      <c r="F61" s="22" t="n">
        <v>0.116438356164383</v>
      </c>
      <c r="G61" s="22" t="n">
        <v>0.0513698630136986</v>
      </c>
      <c r="H61" s="22" t="n">
        <v>0</v>
      </c>
      <c r="I61" s="22" t="n">
        <v>0.215705479452054</v>
      </c>
      <c r="J61" s="22" t="n">
        <v>0.167808219178082</v>
      </c>
      <c r="K61" s="22">
        <f>_xlfn.CONCAT(dll[[#This Row],[lob]], " ", dll[[#This Row],[valid_vintage]])</f>
        <v/>
      </c>
    </row>
    <row r="62">
      <c r="A62" t="inlineStr">
        <is>
          <t>2023 Q1</t>
        </is>
      </c>
      <c r="B62" t="inlineStr">
        <is>
          <t>FRN</t>
        </is>
      </c>
      <c r="C62" s="22" t="n">
        <v>0.0204</v>
      </c>
      <c r="D62" s="22" t="n">
        <v>0.168089053803339</v>
      </c>
      <c r="E62" s="22" t="n">
        <v>0.7387755102040811</v>
      </c>
      <c r="F62" s="22" t="n">
        <v>0.0419294990723562</v>
      </c>
      <c r="G62" s="22" t="n">
        <v>0.0296846011131725</v>
      </c>
      <c r="H62" s="22" t="n">
        <v>0.00111317254174397</v>
      </c>
      <c r="I62" s="22" t="n">
        <v>0.188489053803339</v>
      </c>
      <c r="J62" s="22" t="n">
        <v>0.0727272727272727</v>
      </c>
      <c r="K62" s="22">
        <f>_xlfn.CONCAT(dll[[#This Row],[lob]], " ", dll[[#This Row],[valid_vintage]])</f>
        <v/>
      </c>
    </row>
    <row r="63">
      <c r="A63" t="inlineStr">
        <is>
          <t>2023 Q1</t>
        </is>
      </c>
      <c r="B63" t="inlineStr">
        <is>
          <t>ENT</t>
        </is>
      </c>
      <c r="C63" s="22" t="n">
        <v>0</v>
      </c>
      <c r="D63" s="22" t="n">
        <v>0.16875</v>
      </c>
      <c r="E63" s="22" t="n">
        <v>0.45625</v>
      </c>
      <c r="F63" s="22" t="n">
        <v>0.3125</v>
      </c>
      <c r="G63" s="22" t="n">
        <v>0.0625</v>
      </c>
      <c r="H63" s="22" t="n">
        <v>0</v>
      </c>
      <c r="I63" s="22" t="n">
        <v>0.16875</v>
      </c>
      <c r="J63" s="22" t="n">
        <v>0.375</v>
      </c>
      <c r="K63" s="22">
        <f>_xlfn.CONCAT(dll[[#This Row],[lob]], " ", dll[[#This Row],[valid_vintage]])</f>
        <v/>
      </c>
    </row>
    <row r="64">
      <c r="A64" t="inlineStr">
        <is>
          <t>2023 Q1</t>
        </is>
      </c>
      <c r="B64" t="inlineStr">
        <is>
          <t>STG</t>
        </is>
      </c>
      <c r="C64" s="22" t="n">
        <v>0.0635</v>
      </c>
      <c r="D64" s="22" t="n">
        <v>0.349163879598662</v>
      </c>
      <c r="E64" s="22" t="n">
        <v>0.356521739130434</v>
      </c>
      <c r="F64" s="22" t="n">
        <v>0.169230769230769</v>
      </c>
      <c r="G64" s="22" t="n">
        <v>0.0521739130434782</v>
      </c>
      <c r="H64" s="22" t="n">
        <v>0.00936454849498327</v>
      </c>
      <c r="I64" s="22" t="n">
        <v>0.412663879598662</v>
      </c>
      <c r="J64" s="22" t="n">
        <v>0.23076923076923</v>
      </c>
      <c r="K64" s="22">
        <f>_xlfn.CONCAT(dll[[#This Row],[lob]], " ", dll[[#This Row],[valid_vintage]])</f>
        <v/>
      </c>
    </row>
    <row r="65">
      <c r="A65" t="inlineStr">
        <is>
          <t>2023 Q1</t>
        </is>
      </c>
      <c r="B65" t="inlineStr">
        <is>
          <t>AN</t>
        </is>
      </c>
      <c r="C65" s="22" t="n">
        <v>0.06850000000000001</v>
      </c>
      <c r="D65" s="22" t="n">
        <v>0.180685358255451</v>
      </c>
      <c r="E65" s="22" t="n">
        <v>0.529595015576323</v>
      </c>
      <c r="F65" s="22" t="n">
        <v>0.0996884735202492</v>
      </c>
      <c r="G65" s="22" t="n">
        <v>0.115264797507788</v>
      </c>
      <c r="H65" s="22" t="n">
        <v>0.00623052959501557</v>
      </c>
      <c r="I65" s="22" t="n">
        <v>0.249185358255451</v>
      </c>
      <c r="J65" s="22" t="n">
        <v>0.221183800623052</v>
      </c>
      <c r="K65" s="22">
        <f>_xlfn.CONCAT(dll[[#This Row],[lob]], " ", dll[[#This Row],[valid_vintage]])</f>
        <v/>
      </c>
    </row>
    <row r="66">
      <c r="A66" t="inlineStr">
        <is>
          <t>2023 Q1</t>
        </is>
      </c>
      <c r="B66" t="inlineStr">
        <is>
          <t>FLD</t>
        </is>
      </c>
      <c r="C66" s="22" t="n">
        <v>0.0449</v>
      </c>
      <c r="D66" s="22" t="n">
        <v>0.197231833910034</v>
      </c>
      <c r="E66" s="22" t="n">
        <v>0.5847750865051899</v>
      </c>
      <c r="F66" s="22" t="n">
        <v>0.107266435986159</v>
      </c>
      <c r="G66" s="22" t="n">
        <v>0.0588235294117647</v>
      </c>
      <c r="H66" s="22" t="n">
        <v>0.00692041522491349</v>
      </c>
      <c r="I66" s="22" t="n">
        <v>0.242131833910034</v>
      </c>
      <c r="J66" s="22" t="n">
        <v>0.173010380622837</v>
      </c>
      <c r="K66" s="22">
        <f>_xlfn.CONCAT(dll[[#This Row],[lob]], " ", dll[[#This Row],[valid_vintage]])</f>
        <v/>
      </c>
    </row>
    <row r="67">
      <c r="A67" t="inlineStr">
        <is>
          <t>2022 Q4</t>
        </is>
      </c>
      <c r="B67" t="inlineStr">
        <is>
          <t>STG</t>
        </is>
      </c>
      <c r="C67" s="22" t="n">
        <v>0.0728</v>
      </c>
      <c r="D67" s="22" t="n">
        <v>0.372892784895482</v>
      </c>
      <c r="E67" s="22" t="n">
        <v>0.318273769386378</v>
      </c>
      <c r="F67" s="22" t="n">
        <v>0.183412002697235</v>
      </c>
      <c r="G67" s="22" t="n">
        <v>0.0438300741739716</v>
      </c>
      <c r="H67" s="22" t="n">
        <v>0.00876601483479433</v>
      </c>
      <c r="I67" s="22" t="n">
        <v>0.445692784895482</v>
      </c>
      <c r="J67" s="22" t="n">
        <v>0.236008091706001</v>
      </c>
      <c r="K67" s="22">
        <f>_xlfn.CONCAT(dll[[#This Row],[lob]], " ", dll[[#This Row],[valid_vintage]])</f>
        <v/>
      </c>
    </row>
    <row r="68">
      <c r="A68" t="inlineStr">
        <is>
          <t>2022 Q4</t>
        </is>
      </c>
      <c r="B68" t="inlineStr">
        <is>
          <t>FLD</t>
        </is>
      </c>
      <c r="C68" s="22" t="n">
        <v>0.0561</v>
      </c>
      <c r="D68" s="22" t="n">
        <v>0.189473684210526</v>
      </c>
      <c r="E68" s="22" t="n">
        <v>0.645614035087719</v>
      </c>
      <c r="F68" s="22" t="n">
        <v>0.0456140350877192</v>
      </c>
      <c r="G68" s="22" t="n">
        <v>0.0491228070175438</v>
      </c>
      <c r="H68" s="22" t="n">
        <v>0.0140350877192982</v>
      </c>
      <c r="I68" s="22" t="n">
        <v>0.245573684210526</v>
      </c>
      <c r="J68" s="22" t="n">
        <v>0.108771929824561</v>
      </c>
      <c r="K68" s="22">
        <f>_xlfn.CONCAT(dll[[#This Row],[lob]], " ", dll[[#This Row],[valid_vintage]])</f>
        <v/>
      </c>
    </row>
    <row r="69">
      <c r="A69" t="inlineStr">
        <is>
          <t>2022 Q4</t>
        </is>
      </c>
      <c r="B69" t="inlineStr">
        <is>
          <t>FRN</t>
        </is>
      </c>
      <c r="C69" s="22" t="n">
        <v>0.0224</v>
      </c>
      <c r="D69" s="22" t="n">
        <v>0.174979558462796</v>
      </c>
      <c r="E69" s="22" t="n">
        <v>0.7191332788225669</v>
      </c>
      <c r="F69" s="22" t="n">
        <v>0.0498773507767784</v>
      </c>
      <c r="G69" s="22" t="n">
        <v>0.0322976287816843</v>
      </c>
      <c r="H69" s="22" t="n">
        <v>0.00122649223221586</v>
      </c>
      <c r="I69" s="22" t="n">
        <v>0.197379558462796</v>
      </c>
      <c r="J69" s="22" t="n">
        <v>0.0834014717906786</v>
      </c>
      <c r="K69" s="22">
        <f>_xlfn.CONCAT(dll[[#This Row],[lob]], " ", dll[[#This Row],[valid_vintage]])</f>
        <v/>
      </c>
    </row>
    <row r="70">
      <c r="A70" t="inlineStr">
        <is>
          <t>2022 Q4</t>
        </is>
      </c>
      <c r="B70" t="inlineStr">
        <is>
          <t>AN</t>
        </is>
      </c>
      <c r="C70" s="22" t="n">
        <v>0.06619999999999999</v>
      </c>
      <c r="D70" s="22" t="n">
        <v>0.195583596214511</v>
      </c>
      <c r="E70" s="22" t="n">
        <v>0.498422712933753</v>
      </c>
      <c r="F70" s="22" t="n">
        <v>0.217665615141955</v>
      </c>
      <c r="G70" s="22" t="n">
        <v>0.0157728706624605</v>
      </c>
      <c r="H70" s="22" t="n">
        <v>0.00630914826498422</v>
      </c>
      <c r="I70" s="22" t="n">
        <v>0.261783596214511</v>
      </c>
      <c r="J70" s="22" t="n">
        <v>0.2397476340694</v>
      </c>
      <c r="K70" s="22">
        <f>_xlfn.CONCAT(dll[[#This Row],[lob]], " ", dll[[#This Row],[valid_vintage]])</f>
        <v/>
      </c>
    </row>
    <row r="71">
      <c r="A71" t="inlineStr">
        <is>
          <t>2022 Q4</t>
        </is>
      </c>
      <c r="B71" t="inlineStr">
        <is>
          <t>ENT</t>
        </is>
      </c>
      <c r="C71" s="22" t="n">
        <v>0</v>
      </c>
      <c r="D71" s="22" t="n">
        <v>0.222929936305732</v>
      </c>
      <c r="E71" s="22" t="n">
        <v>0.490445859872611</v>
      </c>
      <c r="F71" s="22" t="n">
        <v>0.267515923566878</v>
      </c>
      <c r="G71" s="22" t="n">
        <v>0.019108280254777</v>
      </c>
      <c r="H71" s="22" t="n">
        <v>0</v>
      </c>
      <c r="I71" s="22" t="n">
        <v>0.222929936305732</v>
      </c>
      <c r="J71" s="22" t="n">
        <v>0.286624203821656</v>
      </c>
      <c r="K71" s="22">
        <f>_xlfn.CONCAT(dll[[#This Row],[lob]], " ", dll[[#This Row],[valid_vintage]])</f>
        <v/>
      </c>
    </row>
    <row r="72">
      <c r="A72" t="inlineStr">
        <is>
          <t>2022 Q3</t>
        </is>
      </c>
      <c r="B72" t="inlineStr">
        <is>
          <t>FLD</t>
        </is>
      </c>
      <c r="C72" s="22" t="n">
        <v>0.0563</v>
      </c>
      <c r="D72" s="22" t="n">
        <v>0.179577464788732</v>
      </c>
      <c r="E72" s="22" t="n">
        <v>0.637323943661971</v>
      </c>
      <c r="F72" s="22" t="n">
        <v>0.0528169014084507</v>
      </c>
      <c r="G72" s="22" t="n">
        <v>0.0633802816901408</v>
      </c>
      <c r="H72" s="22" t="n">
        <v>0.0105633802816901</v>
      </c>
      <c r="I72" s="22" t="n">
        <v>0.235877464788732</v>
      </c>
      <c r="J72" s="22" t="n">
        <v>0.126760563380281</v>
      </c>
      <c r="K72" s="22">
        <f>_xlfn.CONCAT(dll[[#This Row],[lob]], " ", dll[[#This Row],[valid_vintage]])</f>
        <v/>
      </c>
    </row>
    <row r="73">
      <c r="A73" t="inlineStr">
        <is>
          <t>2022 Q3</t>
        </is>
      </c>
      <c r="B73" t="inlineStr">
        <is>
          <t>AN</t>
        </is>
      </c>
      <c r="C73" s="22" t="n">
        <v>0.0223</v>
      </c>
      <c r="D73" s="22" t="n">
        <v>0.345047923322683</v>
      </c>
      <c r="E73" s="22" t="n">
        <v>0.40255591054313</v>
      </c>
      <c r="F73" s="22" t="n">
        <v>0.217252396166134</v>
      </c>
      <c r="G73" s="22" t="n">
        <v>0.00638977635782747</v>
      </c>
      <c r="H73" s="22" t="n">
        <v>0.00638977635782747</v>
      </c>
      <c r="I73" s="22" t="n">
        <v>0.367347923322683</v>
      </c>
      <c r="J73" s="22" t="n">
        <v>0.230031948881789</v>
      </c>
      <c r="K73" s="22">
        <f>_xlfn.CONCAT(dll[[#This Row],[lob]], " ", dll[[#This Row],[valid_vintage]])</f>
        <v/>
      </c>
    </row>
    <row r="74">
      <c r="A74" t="inlineStr">
        <is>
          <t>2022 Q3</t>
        </is>
      </c>
      <c r="B74" t="inlineStr">
        <is>
          <t>FRN</t>
        </is>
      </c>
      <c r="C74" s="22" t="n">
        <v>0.0254</v>
      </c>
      <c r="D74" s="22" t="n">
        <v>0.194907813871817</v>
      </c>
      <c r="E74" s="22" t="n">
        <v>0.69622475856014</v>
      </c>
      <c r="F74" s="22" t="n">
        <v>0.044776119402985</v>
      </c>
      <c r="G74" s="22" t="n">
        <v>0.035118525021949</v>
      </c>
      <c r="H74" s="22" t="n">
        <v>0.0035118525021949</v>
      </c>
      <c r="I74" s="22" t="n">
        <v>0.220307813871817</v>
      </c>
      <c r="J74" s="22" t="n">
        <v>0.083406496927129</v>
      </c>
      <c r="K74" s="22">
        <f>_xlfn.CONCAT(dll[[#This Row],[lob]], " ", dll[[#This Row],[valid_vintage]])</f>
        <v/>
      </c>
    </row>
    <row r="75">
      <c r="A75" t="inlineStr">
        <is>
          <t>2022 Q3</t>
        </is>
      </c>
      <c r="B75" t="inlineStr">
        <is>
          <t>ENT</t>
        </is>
      </c>
      <c r="C75" s="22" t="n">
        <v>0</v>
      </c>
      <c r="D75" s="22" t="n">
        <v>0.243589743589743</v>
      </c>
      <c r="E75" s="22" t="n">
        <v>0.474358974358974</v>
      </c>
      <c r="F75" s="22" t="n">
        <v>0.217948717948717</v>
      </c>
      <c r="G75" s="22" t="n">
        <v>0.0641025641025641</v>
      </c>
      <c r="H75" s="22" t="n">
        <v>0</v>
      </c>
      <c r="I75" s="22" t="n">
        <v>0.243589743589743</v>
      </c>
      <c r="J75" s="22" t="n">
        <v>0.282051282051282</v>
      </c>
      <c r="K75" s="22">
        <f>_xlfn.CONCAT(dll[[#This Row],[lob]], " ", dll[[#This Row],[valid_vintage]])</f>
        <v/>
      </c>
    </row>
    <row r="76">
      <c r="A76" t="inlineStr">
        <is>
          <t>2022 Q3</t>
        </is>
      </c>
      <c r="B76" t="inlineStr">
        <is>
          <t>STG</t>
        </is>
      </c>
      <c r="C76" s="22" t="n">
        <v>0.0634</v>
      </c>
      <c r="D76" s="22" t="n">
        <v>0.372413793103448</v>
      </c>
      <c r="E76" s="22" t="n">
        <v>0.315172413793103</v>
      </c>
      <c r="F76" s="22" t="n">
        <v>0.0882758620689655</v>
      </c>
      <c r="G76" s="22" t="n">
        <v>0.150344827586206</v>
      </c>
      <c r="H76" s="22" t="n">
        <v>0.0103448275862068</v>
      </c>
      <c r="I76" s="22" t="n">
        <v>0.435813793103448</v>
      </c>
      <c r="J76" s="22" t="n">
        <v>0.248965517241379</v>
      </c>
      <c r="K76" s="22">
        <f>_xlfn.CONCAT(dll[[#This Row],[lob]], " ", dll[[#This Row],[valid_vintage]])</f>
        <v/>
      </c>
    </row>
    <row r="77">
      <c r="A77" t="inlineStr">
        <is>
          <t>2022 Q2</t>
        </is>
      </c>
      <c r="B77" t="inlineStr">
        <is>
          <t>STG</t>
        </is>
      </c>
      <c r="C77" s="22" t="n">
        <v>0.0533</v>
      </c>
      <c r="D77" s="22" t="n">
        <v>0.358848314606741</v>
      </c>
      <c r="E77" s="22" t="n">
        <v>0.343398876404494</v>
      </c>
      <c r="F77" s="22" t="n">
        <v>0.09269662921348309</v>
      </c>
      <c r="G77" s="22" t="n">
        <v>0.141853932584269</v>
      </c>
      <c r="H77" s="22" t="n">
        <v>0.0098314606741573</v>
      </c>
      <c r="I77" s="22" t="n">
        <v>0.412148314606741</v>
      </c>
      <c r="J77" s="22" t="n">
        <v>0.24438202247191</v>
      </c>
      <c r="K77" s="22">
        <f>_xlfn.CONCAT(dll[[#This Row],[lob]], " ", dll[[#This Row],[valid_vintage]])</f>
        <v/>
      </c>
    </row>
    <row r="78">
      <c r="A78" t="inlineStr">
        <is>
          <t>2022 Q2</t>
        </is>
      </c>
      <c r="B78" t="inlineStr">
        <is>
          <t>FRN</t>
        </is>
      </c>
      <c r="C78" s="22" t="n">
        <v>0.0374</v>
      </c>
      <c r="D78" s="22" t="n">
        <v>0.191734742912061</v>
      </c>
      <c r="E78" s="22" t="n">
        <v>0.681403171552138</v>
      </c>
      <c r="F78" s="22" t="n">
        <v>0.0523786641037962</v>
      </c>
      <c r="G78" s="22" t="n">
        <v>0.0341182123978856</v>
      </c>
      <c r="H78" s="22" t="n">
        <v>0.00288322921672272</v>
      </c>
      <c r="I78" s="22" t="n">
        <v>0.229134742912061</v>
      </c>
      <c r="J78" s="22" t="n">
        <v>0.0893801057184046</v>
      </c>
      <c r="K78" s="22">
        <f>_xlfn.CONCAT(dll[[#This Row],[lob]], " ", dll[[#This Row],[valid_vintage]])</f>
        <v/>
      </c>
    </row>
    <row r="79">
      <c r="A79" t="inlineStr">
        <is>
          <t>2022 Q2</t>
        </is>
      </c>
      <c r="B79" t="inlineStr">
        <is>
          <t>FLD</t>
        </is>
      </c>
      <c r="C79" s="22" t="n">
        <v>0.06850000000000001</v>
      </c>
      <c r="D79" s="22" t="n">
        <v>0.209386281588447</v>
      </c>
      <c r="E79" s="22" t="n">
        <v>0.610108303249097</v>
      </c>
      <c r="F79" s="22" t="n">
        <v>0.0613718411552346</v>
      </c>
      <c r="G79" s="22" t="n">
        <v>0.0433212996389891</v>
      </c>
      <c r="H79" s="22" t="n">
        <v>0.00722021660649819</v>
      </c>
      <c r="I79" s="22" t="n">
        <v>0.277886281588447</v>
      </c>
      <c r="J79" s="22" t="n">
        <v>0.111913357400722</v>
      </c>
      <c r="K79" s="22">
        <f>_xlfn.CONCAT(dll[[#This Row],[lob]], " ", dll[[#This Row],[valid_vintage]])</f>
        <v/>
      </c>
    </row>
    <row r="80">
      <c r="A80" t="inlineStr">
        <is>
          <t>2022 Q2</t>
        </is>
      </c>
      <c r="B80" t="inlineStr">
        <is>
          <t>AN</t>
        </is>
      </c>
      <c r="C80" s="22" t="n">
        <v>0.0418</v>
      </c>
      <c r="D80" s="22" t="n">
        <v>0.35048231511254</v>
      </c>
      <c r="E80" s="22" t="n">
        <v>0.414790996784565</v>
      </c>
      <c r="F80" s="22" t="n">
        <v>0.163987138263665</v>
      </c>
      <c r="G80" s="22" t="n">
        <v>0.022508038585209</v>
      </c>
      <c r="H80" s="22" t="n">
        <v>0.00643086816720257</v>
      </c>
      <c r="I80" s="22" t="n">
        <v>0.39228231511254</v>
      </c>
      <c r="J80" s="22" t="n">
        <v>0.192926045016077</v>
      </c>
      <c r="K80" s="22">
        <f>_xlfn.CONCAT(dll[[#This Row],[lob]], " ", dll[[#This Row],[valid_vintage]])</f>
        <v/>
      </c>
    </row>
    <row r="81">
      <c r="A81" t="inlineStr">
        <is>
          <t>2022 Q2</t>
        </is>
      </c>
      <c r="B81" t="inlineStr">
        <is>
          <t>ENT</t>
        </is>
      </c>
      <c r="C81" s="22" t="n">
        <v>0</v>
      </c>
      <c r="D81" s="22" t="n">
        <v>0.219354838709677</v>
      </c>
      <c r="E81" s="22" t="n">
        <v>0.477419354838709</v>
      </c>
      <c r="F81" s="22" t="n">
        <v>0.232258064516129</v>
      </c>
      <c r="G81" s="22" t="n">
        <v>0.0709677419354838</v>
      </c>
      <c r="H81" s="22" t="n">
        <v>0</v>
      </c>
      <c r="I81" s="22" t="n">
        <v>0.219354838709677</v>
      </c>
      <c r="J81" s="22" t="n">
        <v>0.303225806451612</v>
      </c>
      <c r="K81" s="22">
        <f>_xlfn.CONCAT(dll[[#This Row],[lob]], " ", dll[[#This Row],[valid_vintage]])</f>
        <v/>
      </c>
    </row>
    <row r="82">
      <c r="A82" t="inlineStr">
        <is>
          <t>2022 Q1</t>
        </is>
      </c>
      <c r="B82" t="inlineStr">
        <is>
          <t>STG</t>
        </is>
      </c>
      <c r="C82" s="22" t="n">
        <v>0.0472</v>
      </c>
      <c r="D82" s="22" t="n">
        <v>0.390121689334287</v>
      </c>
      <c r="E82" s="22" t="n">
        <v>0.300644237652111</v>
      </c>
      <c r="F82" s="22" t="n">
        <v>0.0966356478167501</v>
      </c>
      <c r="G82" s="22" t="n">
        <v>0.155332856120257</v>
      </c>
      <c r="H82" s="22" t="n">
        <v>0.0100214745884037</v>
      </c>
      <c r="I82" s="22" t="n">
        <v>0.437321689334287</v>
      </c>
      <c r="J82" s="22" t="n">
        <v>0.261989978525411</v>
      </c>
      <c r="K82" s="22">
        <f>_xlfn.CONCAT(dll[[#This Row],[lob]], " ", dll[[#This Row],[valid_vintage]])</f>
        <v/>
      </c>
    </row>
    <row r="83">
      <c r="A83" t="inlineStr">
        <is>
          <t>2022 Q1</t>
        </is>
      </c>
      <c r="B83" t="inlineStr">
        <is>
          <t>FLD</t>
        </is>
      </c>
      <c r="C83" s="22" t="n">
        <v>0.0827</v>
      </c>
      <c r="D83" s="22" t="n">
        <v>0.195488721804511</v>
      </c>
      <c r="E83" s="22" t="n">
        <v>0.289473684210526</v>
      </c>
      <c r="F83" s="22" t="n">
        <v>0.278195488721804</v>
      </c>
      <c r="G83" s="22" t="n">
        <v>0.146616541353383</v>
      </c>
      <c r="H83" s="22" t="n">
        <v>0.0075187969924812</v>
      </c>
      <c r="I83" s="22" t="n">
        <v>0.278188721804511</v>
      </c>
      <c r="J83" s="22" t="n">
        <v>0.432330827067669</v>
      </c>
      <c r="K83" s="22">
        <f>_xlfn.CONCAT(dll[[#This Row],[lob]], " ", dll[[#This Row],[valid_vintage]])</f>
        <v/>
      </c>
    </row>
    <row r="84">
      <c r="A84" t="inlineStr">
        <is>
          <t>2022 Q1</t>
        </is>
      </c>
      <c r="B84" t="inlineStr">
        <is>
          <t>AN</t>
        </is>
      </c>
      <c r="C84" s="22" t="n">
        <v>0.0707</v>
      </c>
      <c r="D84" s="22" t="n">
        <v>0.337620578778135</v>
      </c>
      <c r="E84" s="22" t="n">
        <v>0.437299035369774</v>
      </c>
      <c r="F84" s="22" t="n">
        <v>0.115755627009646</v>
      </c>
      <c r="G84" s="22" t="n">
        <v>0.0385852090032154</v>
      </c>
      <c r="H84" s="22" t="n">
        <v>0</v>
      </c>
      <c r="I84" s="22" t="n">
        <v>0.408320578778135</v>
      </c>
      <c r="J84" s="22" t="n">
        <v>0.154340836012861</v>
      </c>
      <c r="K84" s="22">
        <f>_xlfn.CONCAT(dll[[#This Row],[lob]], " ", dll[[#This Row],[valid_vintage]])</f>
        <v/>
      </c>
    </row>
    <row r="85">
      <c r="A85" t="inlineStr">
        <is>
          <t>2022 Q1</t>
        </is>
      </c>
      <c r="B85" t="inlineStr">
        <is>
          <t>FRN</t>
        </is>
      </c>
      <c r="C85" s="22" t="n">
        <v>0.0296</v>
      </c>
      <c r="D85" s="22" t="n">
        <v>0.2015625</v>
      </c>
      <c r="E85" s="22" t="n">
        <v>0.671875</v>
      </c>
      <c r="F85" s="22" t="n">
        <v>0.04375</v>
      </c>
      <c r="G85" s="22" t="n">
        <v>0.0515625</v>
      </c>
      <c r="H85" s="22" t="n">
        <v>0.0015625</v>
      </c>
      <c r="I85" s="22" t="n">
        <v>0.2311625</v>
      </c>
      <c r="J85" s="22" t="n">
        <v>0.096875</v>
      </c>
      <c r="K85" s="22">
        <f>_xlfn.CONCAT(dll[[#This Row],[lob]], " ", dll[[#This Row],[valid_vintage]])</f>
        <v/>
      </c>
    </row>
    <row r="86">
      <c r="A86" t="inlineStr">
        <is>
          <t>2022 Q1</t>
        </is>
      </c>
      <c r="B86" t="inlineStr">
        <is>
          <t>ENT</t>
        </is>
      </c>
      <c r="C86" s="22" t="n">
        <v>0</v>
      </c>
      <c r="D86" s="22" t="n">
        <v>0.303225806451612</v>
      </c>
      <c r="E86" s="22" t="n">
        <v>0.419354838709677</v>
      </c>
      <c r="F86" s="22" t="n">
        <v>0.225806451612903</v>
      </c>
      <c r="G86" s="22" t="n">
        <v>0.0516129032258064</v>
      </c>
      <c r="H86" s="22" t="n">
        <v>0</v>
      </c>
      <c r="I86" s="22" t="n">
        <v>0.303225806451612</v>
      </c>
      <c r="J86" s="22" t="n">
        <v>0.277419354838709</v>
      </c>
      <c r="K86" s="22">
        <f>_xlfn.CONCAT(dll[[#This Row],[lob]], " ", dll[[#This Row],[valid_vintage]])</f>
        <v/>
      </c>
    </row>
    <row r="87">
      <c r="A87" t="inlineStr">
        <is>
          <t>2021 Q4</t>
        </is>
      </c>
      <c r="B87" t="inlineStr">
        <is>
          <t>STG</t>
        </is>
      </c>
      <c r="C87" s="22" t="n">
        <v>0.0553</v>
      </c>
      <c r="D87" s="22" t="n">
        <v>0.338070306656694</v>
      </c>
      <c r="E87" s="22" t="n">
        <v>0.333582647718773</v>
      </c>
      <c r="F87" s="22" t="n">
        <v>0.112939416604338</v>
      </c>
      <c r="G87" s="22" t="n">
        <v>0.152580403889304</v>
      </c>
      <c r="H87" s="22" t="n">
        <v>0.00747943156320119</v>
      </c>
      <c r="I87" s="22" t="n">
        <v>0.393370306656694</v>
      </c>
      <c r="J87" s="22" t="n">
        <v>0.272999252056843</v>
      </c>
      <c r="K87" s="22">
        <f>_xlfn.CONCAT(dll[[#This Row],[lob]], " ", dll[[#This Row],[valid_vintage]])</f>
        <v/>
      </c>
    </row>
    <row r="88">
      <c r="A88" t="inlineStr">
        <is>
          <t>2021 Q4</t>
        </is>
      </c>
      <c r="B88" t="inlineStr">
        <is>
          <t>AN</t>
        </is>
      </c>
      <c r="C88" s="22" t="n">
        <v>0.09470000000000001</v>
      </c>
      <c r="D88" s="22" t="n">
        <v>0.277777777777777</v>
      </c>
      <c r="E88" s="22" t="n">
        <v>0.464052287581699</v>
      </c>
      <c r="F88" s="22" t="n">
        <v>0.127450980392156</v>
      </c>
      <c r="G88" s="22" t="n">
        <v>0.009803921568627451</v>
      </c>
      <c r="H88" s="22" t="n">
        <v>0.0261437908496732</v>
      </c>
      <c r="I88" s="22" t="n">
        <v>0.372477777777777</v>
      </c>
      <c r="J88" s="22" t="n">
        <v>0.163398692810457</v>
      </c>
      <c r="K88" s="22">
        <f>_xlfn.CONCAT(dll[[#This Row],[lob]], " ", dll[[#This Row],[valid_vintage]])</f>
        <v/>
      </c>
    </row>
    <row r="89">
      <c r="A89" t="inlineStr">
        <is>
          <t>2021 Q4</t>
        </is>
      </c>
      <c r="B89" t="inlineStr">
        <is>
          <t>FLD</t>
        </is>
      </c>
      <c r="C89" s="22" t="n">
        <v>0.0866</v>
      </c>
      <c r="D89" s="22" t="n">
        <v>0.232283464566929</v>
      </c>
      <c r="E89" s="22" t="n">
        <v>0.24015748031496</v>
      </c>
      <c r="F89" s="22" t="n">
        <v>0.0354330708661417</v>
      </c>
      <c r="G89" s="22" t="n">
        <v>0.39763779527559</v>
      </c>
      <c r="H89" s="22" t="n">
        <v>0.007874015748031491</v>
      </c>
      <c r="I89" s="22" t="n">
        <v>0.318883464566929</v>
      </c>
      <c r="J89" s="22" t="n">
        <v>0.440944881889763</v>
      </c>
      <c r="K89" s="22">
        <f>_xlfn.CONCAT(dll[[#This Row],[lob]], " ", dll[[#This Row],[valid_vintage]])</f>
        <v/>
      </c>
    </row>
    <row r="90">
      <c r="A90" t="inlineStr">
        <is>
          <t>2021 Q4</t>
        </is>
      </c>
      <c r="B90" t="inlineStr">
        <is>
          <t>ENT</t>
        </is>
      </c>
      <c r="C90" s="22" t="n">
        <v>0</v>
      </c>
      <c r="D90" s="22" t="n">
        <v>0.253246753246753</v>
      </c>
      <c r="E90" s="22" t="n">
        <v>0.493506493506493</v>
      </c>
      <c r="F90" s="22" t="n">
        <v>0.181818181818181</v>
      </c>
      <c r="G90" s="22" t="n">
        <v>0.0714285714285714</v>
      </c>
      <c r="H90" s="22" t="n">
        <v>0</v>
      </c>
      <c r="I90" s="22" t="n">
        <v>0.253246753246753</v>
      </c>
      <c r="J90" s="22" t="n">
        <v>0.253246753246753</v>
      </c>
      <c r="K90" s="22">
        <f>_xlfn.CONCAT(dll[[#This Row],[lob]], " ", dll[[#This Row],[valid_vintage]])</f>
        <v/>
      </c>
    </row>
    <row r="91">
      <c r="A91" t="inlineStr">
        <is>
          <t>2021 Q4</t>
        </is>
      </c>
      <c r="B91" t="inlineStr">
        <is>
          <t>FRN</t>
        </is>
      </c>
      <c r="C91" s="22" t="n">
        <v>0.0283</v>
      </c>
      <c r="D91" s="22" t="n">
        <v>0.180400890868596</v>
      </c>
      <c r="E91" s="22" t="n">
        <v>0.714365256124721</v>
      </c>
      <c r="F91" s="22" t="n">
        <v>0.0356347438752783</v>
      </c>
      <c r="G91" s="22" t="n">
        <v>0.0400890868596881</v>
      </c>
      <c r="H91" s="22" t="n">
        <v>0.00111358574610244</v>
      </c>
      <c r="I91" s="22" t="n">
        <v>0.208700890868596</v>
      </c>
      <c r="J91" s="22" t="n">
        <v>0.076837416481069</v>
      </c>
      <c r="K91" s="22">
        <f>_xlfn.CONCAT(dll[[#This Row],[lob]], " ", dll[[#This Row],[valid_vintage]])</f>
        <v/>
      </c>
    </row>
    <row r="92">
      <c r="A92" t="inlineStr">
        <is>
          <t>2021 Q3</t>
        </is>
      </c>
      <c r="B92" t="inlineStr">
        <is>
          <t>FLD</t>
        </is>
      </c>
      <c r="C92" s="22" t="n">
        <v>0.0974</v>
      </c>
      <c r="D92" s="22" t="n">
        <v>0.156779661016949</v>
      </c>
      <c r="E92" s="22" t="n">
        <v>0.292372881355932</v>
      </c>
      <c r="F92" s="22" t="n">
        <v>0.0338983050847457</v>
      </c>
      <c r="G92" s="22" t="n">
        <v>0.406779661016949</v>
      </c>
      <c r="H92" s="22" t="n">
        <v>0.0127118644067796</v>
      </c>
      <c r="I92" s="22" t="n">
        <v>0.254179661016949</v>
      </c>
      <c r="J92" s="22" t="n">
        <v>0.453389830508474</v>
      </c>
      <c r="K92" s="22">
        <f>_xlfn.CONCAT(dll[[#This Row],[lob]], " ", dll[[#This Row],[valid_vintage]])</f>
        <v/>
      </c>
    </row>
    <row r="93">
      <c r="A93" t="inlineStr">
        <is>
          <t>2021 Q3</t>
        </is>
      </c>
      <c r="B93" t="inlineStr">
        <is>
          <t>FRN</t>
        </is>
      </c>
      <c r="C93" s="22" t="n">
        <v>0.018</v>
      </c>
      <c r="D93" s="22" t="n">
        <v>0.173155142359093</v>
      </c>
      <c r="E93" s="22" t="n">
        <v>0.7484020918070881</v>
      </c>
      <c r="F93" s="22" t="n">
        <v>0.0360255665310865</v>
      </c>
      <c r="G93" s="22" t="n">
        <v>0.0244044160371876</v>
      </c>
      <c r="H93" s="22" t="n">
        <v>0</v>
      </c>
      <c r="I93" s="22" t="n">
        <v>0.191155142359093</v>
      </c>
      <c r="J93" s="22" t="n">
        <v>0.0604299825682742</v>
      </c>
      <c r="K93" s="22">
        <f>_xlfn.CONCAT(dll[[#This Row],[lob]], " ", dll[[#This Row],[valid_vintage]])</f>
        <v/>
      </c>
    </row>
    <row r="94">
      <c r="A94" t="inlineStr">
        <is>
          <t>2021 Q3</t>
        </is>
      </c>
      <c r="B94" t="inlineStr">
        <is>
          <t>STG</t>
        </is>
      </c>
      <c r="C94" s="22" t="n">
        <v>0.0317</v>
      </c>
      <c r="D94" s="22" t="n">
        <v>0.383147853736089</v>
      </c>
      <c r="E94" s="22" t="n">
        <v>0.334658187599364</v>
      </c>
      <c r="F94" s="22" t="n">
        <v>0.194753577106518</v>
      </c>
      <c r="G94" s="22" t="n">
        <v>0.0421303656597774</v>
      </c>
      <c r="H94" s="22" t="n">
        <v>0.0135135135135135</v>
      </c>
      <c r="I94" s="22" t="n">
        <v>0.414847853736089</v>
      </c>
      <c r="J94" s="22" t="n">
        <v>0.250397456279809</v>
      </c>
      <c r="K94" s="22">
        <f>_xlfn.CONCAT(dll[[#This Row],[lob]], " ", dll[[#This Row],[valid_vintage]])</f>
        <v/>
      </c>
    </row>
    <row r="95">
      <c r="A95" t="inlineStr">
        <is>
          <t>2021 Q3</t>
        </is>
      </c>
      <c r="B95" t="inlineStr">
        <is>
          <t>ENT</t>
        </is>
      </c>
      <c r="C95" s="22" t="n">
        <v>0</v>
      </c>
      <c r="D95" s="22" t="n">
        <v>0.266233766233766</v>
      </c>
      <c r="E95" s="22" t="n">
        <v>0.409090909090909</v>
      </c>
      <c r="F95" s="22" t="n">
        <v>0.194805194805194</v>
      </c>
      <c r="G95" s="22" t="n">
        <v>0.129870129870129</v>
      </c>
      <c r="H95" s="22" t="n">
        <v>0</v>
      </c>
      <c r="I95" s="22" t="n">
        <v>0.266233766233766</v>
      </c>
      <c r="J95" s="22" t="n">
        <v>0.324675324675324</v>
      </c>
      <c r="K95" s="22">
        <f>_xlfn.CONCAT(dll[[#This Row],[lob]], " ", dll[[#This Row],[valid_vintage]])</f>
        <v/>
      </c>
    </row>
    <row r="96">
      <c r="A96" t="inlineStr">
        <is>
          <t>2021 Q3</t>
        </is>
      </c>
      <c r="B96" t="inlineStr">
        <is>
          <t>AN</t>
        </is>
      </c>
      <c r="C96" s="22" t="n">
        <v>0.0519</v>
      </c>
      <c r="D96" s="22" t="n">
        <v>0.311418685121107</v>
      </c>
      <c r="E96" s="22" t="n">
        <v>0.442906574394463</v>
      </c>
      <c r="F96" s="22" t="n">
        <v>0.124567474048442</v>
      </c>
      <c r="G96" s="22" t="n">
        <v>0.0346020761245674</v>
      </c>
      <c r="H96" s="22" t="n">
        <v>0.0346020761245674</v>
      </c>
      <c r="I96" s="22" t="n">
        <v>0.363318685121107</v>
      </c>
      <c r="J96" s="22" t="n">
        <v>0.193771626297577</v>
      </c>
      <c r="K96" s="22">
        <f>_xlfn.CONCAT(dll[[#This Row],[lob]], " ", dll[[#This Row],[valid_vintage]])</f>
        <v/>
      </c>
    </row>
    <row r="97">
      <c r="A97" t="inlineStr">
        <is>
          <t>2021 Q2</t>
        </is>
      </c>
      <c r="B97" t="inlineStr">
        <is>
          <t>AN</t>
        </is>
      </c>
      <c r="C97" s="22" t="n">
        <v>0.0348</v>
      </c>
      <c r="D97" s="22" t="n">
        <v>0.27177700348432</v>
      </c>
      <c r="E97" s="22" t="n">
        <v>0.51567944250871</v>
      </c>
      <c r="F97" s="22" t="n">
        <v>0.121951219512195</v>
      </c>
      <c r="G97" s="22" t="n">
        <v>0.0557491289198606</v>
      </c>
      <c r="H97" s="22" t="n">
        <v>0</v>
      </c>
      <c r="I97" s="22" t="n">
        <v>0.30657700348432</v>
      </c>
      <c r="J97" s="22" t="n">
        <v>0.177700348432055</v>
      </c>
      <c r="K97" s="22">
        <f>_xlfn.CONCAT(dll[[#This Row],[lob]], " ", dll[[#This Row],[valid_vintage]])</f>
        <v/>
      </c>
    </row>
    <row r="98">
      <c r="A98" t="inlineStr">
        <is>
          <t>2021 Q2</t>
        </is>
      </c>
      <c r="B98" t="inlineStr">
        <is>
          <t>FLD</t>
        </is>
      </c>
      <c r="C98" s="22" t="n">
        <v>0.0386</v>
      </c>
      <c r="D98" s="22" t="n">
        <v>0.214592274678111</v>
      </c>
      <c r="E98" s="22" t="n">
        <v>0.287553648068669</v>
      </c>
      <c r="F98" s="22" t="n">
        <v>0.0515021459227467</v>
      </c>
      <c r="G98" s="22" t="n">
        <v>0.394849785407725</v>
      </c>
      <c r="H98" s="22" t="n">
        <v>0.0128755364806866</v>
      </c>
      <c r="I98" s="22" t="n">
        <v>0.253192274678111</v>
      </c>
      <c r="J98" s="22" t="n">
        <v>0.459227467811158</v>
      </c>
      <c r="K98" s="22">
        <f>_xlfn.CONCAT(dll[[#This Row],[lob]], " ", dll[[#This Row],[valid_vintage]])</f>
        <v/>
      </c>
    </row>
    <row r="99">
      <c r="A99" t="inlineStr">
        <is>
          <t>2021 Q2</t>
        </is>
      </c>
      <c r="B99" t="inlineStr">
        <is>
          <t>FRN</t>
        </is>
      </c>
      <c r="C99" s="22" t="n">
        <v>0.0113</v>
      </c>
      <c r="D99" s="22" t="n">
        <v>0.181933038534428</v>
      </c>
      <c r="E99" s="22" t="n">
        <v>0.756790903348073</v>
      </c>
      <c r="F99" s="22" t="n">
        <v>0.0334807327858496</v>
      </c>
      <c r="G99" s="22" t="n">
        <v>0.01452937460518</v>
      </c>
      <c r="H99" s="22" t="n">
        <v>0.00189513581806696</v>
      </c>
      <c r="I99" s="22" t="n">
        <v>0.193233038534428</v>
      </c>
      <c r="J99" s="22" t="n">
        <v>0.0499052432090966</v>
      </c>
      <c r="K99" s="22">
        <f>_xlfn.CONCAT(dll[[#This Row],[lob]], " ", dll[[#This Row],[valid_vintage]])</f>
        <v/>
      </c>
    </row>
    <row r="100">
      <c r="A100" t="inlineStr">
        <is>
          <t>2021 Q2</t>
        </is>
      </c>
      <c r="B100" t="inlineStr">
        <is>
          <t>ENT</t>
        </is>
      </c>
      <c r="C100" s="22" t="n">
        <v>0</v>
      </c>
      <c r="D100" s="22" t="n">
        <v>0.287581699346405</v>
      </c>
      <c r="E100" s="22" t="n">
        <v>0.411764705882352</v>
      </c>
      <c r="F100" s="22" t="n">
        <v>0.156862745098039</v>
      </c>
      <c r="G100" s="22" t="n">
        <v>0.143790849673202</v>
      </c>
      <c r="H100" s="22" t="n">
        <v>0</v>
      </c>
      <c r="I100" s="22" t="n">
        <v>0.287581699346405</v>
      </c>
      <c r="J100" s="22" t="n">
        <v>0.300653594771241</v>
      </c>
      <c r="K100" s="22">
        <f>_xlfn.CONCAT(dll[[#This Row],[lob]], " ", dll[[#This Row],[valid_vintage]])</f>
        <v/>
      </c>
    </row>
    <row r="101">
      <c r="A101" t="inlineStr">
        <is>
          <t>2021 Q2</t>
        </is>
      </c>
      <c r="B101" t="inlineStr">
        <is>
          <t>STG</t>
        </is>
      </c>
      <c r="C101" s="22" t="n">
        <v>0.0267</v>
      </c>
      <c r="D101" s="22" t="n">
        <v>0.39546191247974</v>
      </c>
      <c r="E101" s="22" t="n">
        <v>0.346839546191247</v>
      </c>
      <c r="F101" s="22" t="n">
        <v>0.176661264181523</v>
      </c>
      <c r="G101" s="22" t="n">
        <v>0.0478119935170178</v>
      </c>
      <c r="H101" s="22" t="n">
        <v>0.00648298217179902</v>
      </c>
      <c r="I101" s="22" t="n">
        <v>0.42216191247974</v>
      </c>
      <c r="J101" s="22" t="n">
        <v>0.23095623987034</v>
      </c>
      <c r="K101" s="22">
        <f>_xlfn.CONCAT(dll[[#This Row],[lob]], " ", dll[[#This Row],[valid_vintage]])</f>
        <v/>
      </c>
    </row>
    <row r="102">
      <c r="A102" t="inlineStr">
        <is>
          <t>2021 Q1</t>
        </is>
      </c>
      <c r="B102" t="inlineStr">
        <is>
          <t>STG</t>
        </is>
      </c>
      <c r="C102" s="22" t="n">
        <v>0.0311</v>
      </c>
      <c r="D102" s="22" t="n">
        <v>0.271043771043771</v>
      </c>
      <c r="E102" s="22" t="n">
        <v>0.494949494949494</v>
      </c>
      <c r="F102" s="22" t="n">
        <v>0.154040404040404</v>
      </c>
      <c r="G102" s="22" t="n">
        <v>0.0488215488215488</v>
      </c>
      <c r="H102" s="22" t="n">
        <v>0</v>
      </c>
      <c r="I102" s="22" t="n">
        <v>0.302143771043771</v>
      </c>
      <c r="J102" s="22" t="n">
        <v>0.202861952861952</v>
      </c>
      <c r="K102" s="22">
        <f>_xlfn.CONCAT(dll[[#This Row],[lob]], " ", dll[[#This Row],[valid_vintage]])</f>
        <v/>
      </c>
    </row>
    <row r="103">
      <c r="A103" t="inlineStr">
        <is>
          <t>2021 Q1</t>
        </is>
      </c>
      <c r="B103" t="inlineStr">
        <is>
          <t>FLD</t>
        </is>
      </c>
      <c r="C103" s="22" t="n">
        <v>0.0265</v>
      </c>
      <c r="D103" s="22" t="n">
        <v>0.203539823008849</v>
      </c>
      <c r="E103" s="22" t="n">
        <v>0.641592920353982</v>
      </c>
      <c r="F103" s="22" t="n">
        <v>0.0221238938053097</v>
      </c>
      <c r="G103" s="22" t="n">
        <v>0.0973451327433628</v>
      </c>
      <c r="H103" s="22" t="n">
        <v>0.00884955752212389</v>
      </c>
      <c r="I103" s="22" t="n">
        <v>0.230039823008849</v>
      </c>
      <c r="J103" s="22" t="n">
        <v>0.128318584070796</v>
      </c>
      <c r="K103" s="22">
        <f>_xlfn.CONCAT(dll[[#This Row],[lob]], " ", dll[[#This Row],[valid_vintage]])</f>
        <v/>
      </c>
    </row>
    <row r="104">
      <c r="A104" t="inlineStr">
        <is>
          <t>2021 Q1</t>
        </is>
      </c>
      <c r="B104" t="inlineStr">
        <is>
          <t>AN</t>
        </is>
      </c>
      <c r="C104" s="22" t="n">
        <v>0.0104</v>
      </c>
      <c r="D104" s="22" t="n">
        <v>0.276223776223776</v>
      </c>
      <c r="E104" s="22" t="n">
        <v>0.51048951048951</v>
      </c>
      <c r="F104" s="22" t="n">
        <v>0.167832167832167</v>
      </c>
      <c r="G104" s="22" t="n">
        <v>0.0349650349650349</v>
      </c>
      <c r="H104" s="22" t="n">
        <v>0</v>
      </c>
      <c r="I104" s="22" t="n">
        <v>0.286623776223776</v>
      </c>
      <c r="J104" s="22" t="n">
        <v>0.202797202797202</v>
      </c>
      <c r="K104" s="22">
        <f>_xlfn.CONCAT(dll[[#This Row],[lob]], " ", dll[[#This Row],[valid_vintage]])</f>
        <v/>
      </c>
    </row>
    <row r="105">
      <c r="A105" t="inlineStr">
        <is>
          <t>2021 Q1</t>
        </is>
      </c>
      <c r="B105" t="inlineStr">
        <is>
          <t>ENT</t>
        </is>
      </c>
      <c r="C105" s="22" t="n">
        <v>0</v>
      </c>
      <c r="D105" s="22" t="n">
        <v>0.418300653594771</v>
      </c>
      <c r="E105" s="22" t="n">
        <v>0.22875816993464</v>
      </c>
      <c r="F105" s="22" t="n">
        <v>0.202614379084967</v>
      </c>
      <c r="G105" s="22" t="n">
        <v>0.15032679738562</v>
      </c>
      <c r="H105" s="22" t="n">
        <v>0</v>
      </c>
      <c r="I105" s="22" t="n">
        <v>0.418300653594771</v>
      </c>
      <c r="J105" s="22" t="n">
        <v>0.352941176470588</v>
      </c>
      <c r="K105" s="22">
        <f>_xlfn.CONCAT(dll[[#This Row],[lob]], " ", dll[[#This Row],[valid_vintage]])</f>
        <v/>
      </c>
    </row>
    <row r="106">
      <c r="A106" t="inlineStr">
        <is>
          <t>2021 Q1</t>
        </is>
      </c>
      <c r="B106" t="inlineStr">
        <is>
          <t>FRN</t>
        </is>
      </c>
      <c r="C106" s="22" t="n">
        <v>0.0097</v>
      </c>
      <c r="D106" s="22" t="n">
        <v>0.123869171885873</v>
      </c>
      <c r="E106" s="22" t="n">
        <v>0.805149617258176</v>
      </c>
      <c r="F106" s="22" t="n">
        <v>0.0424495476687543</v>
      </c>
      <c r="G106" s="22" t="n">
        <v>0.0187891440501043</v>
      </c>
      <c r="H106" s="22" t="n">
        <v>0</v>
      </c>
      <c r="I106" s="22" t="n">
        <v>0.133569171885873</v>
      </c>
      <c r="J106" s="22" t="n">
        <v>0.0612386917188587</v>
      </c>
      <c r="K106" s="22">
        <f>_xlfn.CONCAT(dll[[#This Row],[lob]], " ", dll[[#This Row],[valid_vintage]])</f>
        <v/>
      </c>
    </row>
    <row r="107">
      <c r="A107" t="inlineStr">
        <is>
          <t>2020 Q4</t>
        </is>
      </c>
      <c r="B107" t="inlineStr">
        <is>
          <t>STG</t>
        </is>
      </c>
      <c r="C107" s="22" t="n">
        <v>0.0412</v>
      </c>
      <c r="D107" s="22" t="n">
        <v>0.206185567010309</v>
      </c>
      <c r="E107" s="22" t="n">
        <v>0.533505154639175</v>
      </c>
      <c r="F107" s="22" t="n">
        <v>0.172680412371134</v>
      </c>
      <c r="G107" s="22" t="n">
        <v>0.0463917525773195</v>
      </c>
      <c r="H107" s="22" t="n">
        <v>0</v>
      </c>
      <c r="I107" s="22" t="n">
        <v>0.247385567010309</v>
      </c>
      <c r="J107" s="22" t="n">
        <v>0.219072164948453</v>
      </c>
      <c r="K107" s="22">
        <f>_xlfn.CONCAT(dll[[#This Row],[lob]], " ", dll[[#This Row],[valid_vintage]])</f>
        <v/>
      </c>
    </row>
    <row r="108">
      <c r="A108" t="inlineStr">
        <is>
          <t>2020 Q4</t>
        </is>
      </c>
      <c r="B108" t="inlineStr">
        <is>
          <t>AN</t>
        </is>
      </c>
      <c r="C108" s="22" t="n">
        <v>0.0069</v>
      </c>
      <c r="D108" s="22" t="n">
        <v>0.332167832167832</v>
      </c>
      <c r="E108" s="22" t="n">
        <v>0.433566433566433</v>
      </c>
      <c r="F108" s="22" t="n">
        <v>0.164335664335664</v>
      </c>
      <c r="G108" s="22" t="n">
        <v>0.0629370629370629</v>
      </c>
      <c r="H108" s="22" t="n">
        <v>0</v>
      </c>
      <c r="I108" s="22" t="n">
        <v>0.339067832167832</v>
      </c>
      <c r="J108" s="22" t="n">
        <v>0.227272727272727</v>
      </c>
      <c r="K108" s="22">
        <f>_xlfn.CONCAT(dll[[#This Row],[lob]], " ", dll[[#This Row],[valid_vintage]])</f>
        <v/>
      </c>
    </row>
    <row r="109">
      <c r="A109" t="inlineStr">
        <is>
          <t>2020 Q4</t>
        </is>
      </c>
      <c r="B109" t="inlineStr">
        <is>
          <t>ENT</t>
        </is>
      </c>
      <c r="C109" s="22" t="n">
        <v>0</v>
      </c>
      <c r="D109" s="22" t="n">
        <v>0.241610738255033</v>
      </c>
      <c r="E109" s="22" t="n">
        <v>0.382550335570469</v>
      </c>
      <c r="F109" s="22" t="n">
        <v>0.201342281879194</v>
      </c>
      <c r="G109" s="22" t="n">
        <v>0.174496644295302</v>
      </c>
      <c r="H109" s="22" t="n">
        <v>0</v>
      </c>
      <c r="I109" s="22" t="n">
        <v>0.241610738255033</v>
      </c>
      <c r="J109" s="22" t="n">
        <v>0.375838926174496</v>
      </c>
      <c r="K109" s="22">
        <f>_xlfn.CONCAT(dll[[#This Row],[lob]], " ", dll[[#This Row],[valid_vintage]])</f>
        <v/>
      </c>
    </row>
    <row r="110">
      <c r="A110" t="inlineStr">
        <is>
          <t>2020 Q4</t>
        </is>
      </c>
      <c r="B110" t="inlineStr">
        <is>
          <t>FLD</t>
        </is>
      </c>
      <c r="C110" s="22" t="n">
        <v>0.018</v>
      </c>
      <c r="D110" s="22" t="n">
        <v>0.23076923076923</v>
      </c>
      <c r="E110" s="22" t="n">
        <v>0.466063348416289</v>
      </c>
      <c r="F110" s="22" t="n">
        <v>0.226244343891402</v>
      </c>
      <c r="G110" s="22" t="n">
        <v>0.0542986425339366</v>
      </c>
      <c r="H110" s="22" t="n">
        <v>0.00452488687782805</v>
      </c>
      <c r="I110" s="22" t="n">
        <v>0.24876923076923</v>
      </c>
      <c r="J110" s="22" t="n">
        <v>0.285067873303167</v>
      </c>
      <c r="K110" s="22">
        <f>_xlfn.CONCAT(dll[[#This Row],[lob]], " ", dll[[#This Row],[valid_vintage]])</f>
        <v/>
      </c>
    </row>
    <row r="111">
      <c r="A111" t="inlineStr">
        <is>
          <t>2020 Q4</t>
        </is>
      </c>
      <c r="B111" t="inlineStr">
        <is>
          <t>FRN</t>
        </is>
      </c>
      <c r="C111" s="22" t="n">
        <v>0.009900000000000001</v>
      </c>
      <c r="D111" s="22" t="n">
        <v>0.10788064269319</v>
      </c>
      <c r="E111" s="22" t="n">
        <v>0.809487375669472</v>
      </c>
      <c r="F111" s="22" t="n">
        <v>0.0443764345830145</v>
      </c>
      <c r="G111" s="22" t="n">
        <v>0.0283091048201989</v>
      </c>
      <c r="H111" s="22" t="n">
        <v>0</v>
      </c>
      <c r="I111" s="22" t="n">
        <v>0.11778064269319</v>
      </c>
      <c r="J111" s="22" t="n">
        <v>0.0726855394032134</v>
      </c>
      <c r="K111" s="22">
        <f>_xlfn.CONCAT(dll[[#This Row],[lob]], " ", dll[[#This Row],[valid_vintage]])</f>
        <v/>
      </c>
    </row>
    <row r="112">
      <c r="A112" t="inlineStr">
        <is>
          <t>2020 Q3</t>
        </is>
      </c>
      <c r="B112" t="inlineStr">
        <is>
          <t>AN</t>
        </is>
      </c>
      <c r="C112" s="22" t="n">
        <v>0.0314</v>
      </c>
      <c r="D112" s="22" t="n">
        <v>0.279720279720279</v>
      </c>
      <c r="E112" s="22" t="n">
        <v>0.426573426573426</v>
      </c>
      <c r="F112" s="22" t="n">
        <v>0.188811188811188</v>
      </c>
      <c r="G112" s="22" t="n">
        <v>0.0734265734265734</v>
      </c>
      <c r="H112" s="22" t="n">
        <v>0</v>
      </c>
      <c r="I112" s="22" t="n">
        <v>0.311120279720279</v>
      </c>
      <c r="J112" s="22" t="n">
        <v>0.262237762237762</v>
      </c>
      <c r="K112" s="22">
        <f>_xlfn.CONCAT(dll[[#This Row],[lob]], " ", dll[[#This Row],[valid_vintage]])</f>
        <v/>
      </c>
    </row>
    <row r="113">
      <c r="A113" t="inlineStr">
        <is>
          <t>2020 Q3</t>
        </is>
      </c>
      <c r="B113" t="inlineStr">
        <is>
          <t>ENT</t>
        </is>
      </c>
      <c r="C113" s="22" t="n">
        <v>0</v>
      </c>
      <c r="D113" s="22" t="n">
        <v>0.197278911564625</v>
      </c>
      <c r="E113" s="22" t="n">
        <v>0.6802721088435369</v>
      </c>
      <c r="F113" s="22" t="n">
        <v>0.0612244897959183</v>
      </c>
      <c r="G113" s="22" t="n">
        <v>0.0612244897959183</v>
      </c>
      <c r="H113" s="22" t="n">
        <v>0</v>
      </c>
      <c r="I113" s="22" t="n">
        <v>0.197278911564625</v>
      </c>
      <c r="J113" s="22" t="n">
        <v>0.122448979591836</v>
      </c>
      <c r="K113" s="22">
        <f>_xlfn.CONCAT(dll[[#This Row],[lob]], " ", dll[[#This Row],[valid_vintage]])</f>
        <v/>
      </c>
    </row>
    <row r="114">
      <c r="A114" t="inlineStr">
        <is>
          <t>2020 Q3</t>
        </is>
      </c>
      <c r="B114" t="inlineStr">
        <is>
          <t>STG</t>
        </is>
      </c>
      <c r="C114" s="22" t="n">
        <v>0.0367</v>
      </c>
      <c r="D114" s="22" t="n">
        <v>0.216097987751531</v>
      </c>
      <c r="E114" s="22" t="n">
        <v>0.576552930883639</v>
      </c>
      <c r="F114" s="22" t="n">
        <v>0.139107611548556</v>
      </c>
      <c r="G114" s="22" t="n">
        <v>0.0314960629921259</v>
      </c>
      <c r="H114" s="22" t="n">
        <v>0</v>
      </c>
      <c r="I114" s="22" t="n">
        <v>0.252797987751531</v>
      </c>
      <c r="J114" s="22" t="n">
        <v>0.170603674540682</v>
      </c>
      <c r="K114" s="22">
        <f>_xlfn.CONCAT(dll[[#This Row],[lob]], " ", dll[[#This Row],[valid_vintage]])</f>
        <v/>
      </c>
    </row>
    <row r="115">
      <c r="A115" t="inlineStr">
        <is>
          <t>2020 Q3</t>
        </is>
      </c>
      <c r="B115" t="inlineStr">
        <is>
          <t>FRN</t>
        </is>
      </c>
      <c r="C115" s="22" t="n">
        <v>0.0095</v>
      </c>
      <c r="D115" s="22" t="n">
        <v>0.0797227036395147</v>
      </c>
      <c r="E115" s="22" t="n">
        <v>0.850953206239168</v>
      </c>
      <c r="F115" s="22" t="n">
        <v>0.0251299826689774</v>
      </c>
      <c r="G115" s="22" t="n">
        <v>0.0346620450606585</v>
      </c>
      <c r="H115" s="22" t="n">
        <v>0</v>
      </c>
      <c r="I115" s="22" t="n">
        <v>0.08922270363951471</v>
      </c>
      <c r="J115" s="22" t="n">
        <v>0.059792027729636</v>
      </c>
      <c r="K115" s="22">
        <f>_xlfn.CONCAT(dll[[#This Row],[lob]], " ", dll[[#This Row],[valid_vintage]])</f>
        <v/>
      </c>
    </row>
    <row r="116">
      <c r="A116" t="inlineStr">
        <is>
          <t>2020 Q3</t>
        </is>
      </c>
      <c r="B116" t="inlineStr">
        <is>
          <t>FLD</t>
        </is>
      </c>
      <c r="C116" s="22" t="n">
        <v>0.0092</v>
      </c>
      <c r="D116" s="22" t="n">
        <v>0.239631336405529</v>
      </c>
      <c r="E116" s="22" t="n">
        <v>0.483870967741935</v>
      </c>
      <c r="F116" s="22" t="n">
        <v>0.211981566820276</v>
      </c>
      <c r="G116" s="22" t="n">
        <v>0.0552995391705069</v>
      </c>
      <c r="H116" s="22" t="n">
        <v>0</v>
      </c>
      <c r="I116" s="22" t="n">
        <v>0.248831336405529</v>
      </c>
      <c r="J116" s="22" t="n">
        <v>0.267281105990783</v>
      </c>
      <c r="K116" s="22">
        <f>_xlfn.CONCAT(dll[[#This Row],[lob]], " ", dll[[#This Row],[valid_vintage]])</f>
        <v/>
      </c>
    </row>
    <row r="117">
      <c r="A117" t="inlineStr">
        <is>
          <t>2020 Q2</t>
        </is>
      </c>
      <c r="B117" t="inlineStr">
        <is>
          <t>FLD</t>
        </is>
      </c>
      <c r="C117" s="22" t="n">
        <v>0.0141</v>
      </c>
      <c r="D117" s="22" t="n">
        <v>0.177304964539007</v>
      </c>
      <c r="E117" s="22" t="n">
        <v>0.304964539007092</v>
      </c>
      <c r="F117" s="22" t="n">
        <v>0.446808510638297</v>
      </c>
      <c r="G117" s="22" t="n">
        <v>0.0567375886524822</v>
      </c>
      <c r="H117" s="22" t="n">
        <v>0</v>
      </c>
      <c r="I117" s="22" t="n">
        <v>0.191404964539007</v>
      </c>
      <c r="J117" s="22" t="n">
        <v>0.50354609929078</v>
      </c>
      <c r="K117" s="22">
        <f>_xlfn.CONCAT(dll[[#This Row],[lob]], " ", dll[[#This Row],[valid_vintage]])</f>
        <v/>
      </c>
    </row>
    <row r="118">
      <c r="A118" t="inlineStr">
        <is>
          <t>2020 Q2</t>
        </is>
      </c>
      <c r="B118" t="inlineStr">
        <is>
          <t>FRN</t>
        </is>
      </c>
      <c r="C118" s="22" t="n">
        <v>0.0048</v>
      </c>
      <c r="D118" s="22" t="n">
        <v>0.0875842155919153</v>
      </c>
      <c r="E118" s="22" t="n">
        <v>0.821944177093358</v>
      </c>
      <c r="F118" s="22" t="n">
        <v>0.0558229066410009</v>
      </c>
      <c r="G118" s="22" t="n">
        <v>0.0298363811357074</v>
      </c>
      <c r="H118" s="22" t="n">
        <v>0</v>
      </c>
      <c r="I118" s="22" t="n">
        <v>0.0923842155919153</v>
      </c>
      <c r="J118" s="22" t="n">
        <v>0.0856592877767083</v>
      </c>
      <c r="K118" s="22">
        <f>_xlfn.CONCAT(dll[[#This Row],[lob]], " ", dll[[#This Row],[valid_vintage]])</f>
        <v/>
      </c>
    </row>
    <row r="119">
      <c r="A119" t="inlineStr">
        <is>
          <t>2020 Q2</t>
        </is>
      </c>
      <c r="B119" t="inlineStr">
        <is>
          <t>STG</t>
        </is>
      </c>
      <c r="C119" s="22" t="n">
        <v>0.0305</v>
      </c>
      <c r="D119" s="22" t="n">
        <v>0.293800539083557</v>
      </c>
      <c r="E119" s="22" t="n">
        <v>0.513027852650494</v>
      </c>
      <c r="F119" s="22" t="n">
        <v>0.123090745732255</v>
      </c>
      <c r="G119" s="22" t="n">
        <v>0.0395327942497753</v>
      </c>
      <c r="H119" s="22" t="n">
        <v>0</v>
      </c>
      <c r="I119" s="22" t="n">
        <v>0.324300539083557</v>
      </c>
      <c r="J119" s="22" t="n">
        <v>0.16262353998203</v>
      </c>
      <c r="K119" s="22">
        <f>_xlfn.CONCAT(dll[[#This Row],[lob]], " ", dll[[#This Row],[valid_vintage]])</f>
        <v/>
      </c>
    </row>
    <row r="120">
      <c r="A120" t="inlineStr">
        <is>
          <t>2020 Q2</t>
        </is>
      </c>
      <c r="B120" t="inlineStr">
        <is>
          <t>AN</t>
        </is>
      </c>
      <c r="C120" s="22" t="n">
        <v>0.0385</v>
      </c>
      <c r="D120" s="22" t="n">
        <v>0.235087719298245</v>
      </c>
      <c r="E120" s="22" t="n">
        <v>0.550877192982456</v>
      </c>
      <c r="F120" s="22" t="n">
        <v>0.09824561403508771</v>
      </c>
      <c r="G120" s="22" t="n">
        <v>0.0771929824561403</v>
      </c>
      <c r="H120" s="22" t="n">
        <v>0</v>
      </c>
      <c r="I120" s="22" t="n">
        <v>0.273587719298245</v>
      </c>
      <c r="J120" s="22" t="n">
        <v>0.175438596491228</v>
      </c>
      <c r="K120" s="22">
        <f>_xlfn.CONCAT(dll[[#This Row],[lob]], " ", dll[[#This Row],[valid_vintage]])</f>
        <v/>
      </c>
    </row>
    <row r="121">
      <c r="A121" t="inlineStr">
        <is>
          <t>2020 Q1</t>
        </is>
      </c>
      <c r="B121" t="inlineStr">
        <is>
          <t>FLD</t>
        </is>
      </c>
      <c r="C121" s="22" t="n">
        <v>0.0145</v>
      </c>
      <c r="D121" s="22" t="n">
        <v>0.08029197080291969</v>
      </c>
      <c r="E121" s="22" t="n">
        <v>0.284671532846715</v>
      </c>
      <c r="F121" s="22" t="n">
        <v>0.598540145985401</v>
      </c>
      <c r="G121" s="22" t="n">
        <v>0.0218978102189781</v>
      </c>
      <c r="H121" s="22" t="n">
        <v>0</v>
      </c>
      <c r="I121" s="22" t="n">
        <v>0.09479197080291971</v>
      </c>
      <c r="J121" s="22" t="n">
        <v>0.620437956204379</v>
      </c>
      <c r="K121" s="22">
        <f>_xlfn.CONCAT(dll[[#This Row],[lob]], " ", dll[[#This Row],[valid_vintage]])</f>
        <v/>
      </c>
    </row>
    <row r="122">
      <c r="A122" t="inlineStr">
        <is>
          <t>2020 Q1</t>
        </is>
      </c>
      <c r="B122" t="inlineStr">
        <is>
          <t>STG</t>
        </is>
      </c>
      <c r="C122" s="22" t="n">
        <v>0.0244</v>
      </c>
      <c r="D122" s="22" t="n">
        <v>0.339673913043478</v>
      </c>
      <c r="E122" s="22" t="n">
        <v>0.446557971014492</v>
      </c>
      <c r="F122" s="22" t="n">
        <v>0.13677536231884</v>
      </c>
      <c r="G122" s="22" t="n">
        <v>0.0525362318840579</v>
      </c>
      <c r="H122" s="22" t="n">
        <v>0</v>
      </c>
      <c r="I122" s="22" t="n">
        <v>0.364073913043478</v>
      </c>
      <c r="J122" s="22" t="n">
        <v>0.189311594202898</v>
      </c>
      <c r="K122" s="22">
        <f>_xlfn.CONCAT(dll[[#This Row],[lob]], " ", dll[[#This Row],[valid_vintage]])</f>
        <v/>
      </c>
    </row>
    <row r="123">
      <c r="A123" t="inlineStr">
        <is>
          <t>2020 Q1</t>
        </is>
      </c>
      <c r="B123" t="inlineStr">
        <is>
          <t>FRN</t>
        </is>
      </c>
      <c r="C123" s="22" t="n">
        <v>0.0052</v>
      </c>
      <c r="D123" s="22" t="n">
        <v>0.0884495317377731</v>
      </c>
      <c r="E123" s="22" t="n">
        <v>0.83038501560874</v>
      </c>
      <c r="F123" s="22" t="n">
        <v>0.0312174817898022</v>
      </c>
      <c r="G123" s="22" t="n">
        <v>0.0447450572320499</v>
      </c>
      <c r="H123" s="22" t="n">
        <v>0</v>
      </c>
      <c r="I123" s="22" t="n">
        <v>0.0936495317377731</v>
      </c>
      <c r="J123" s="22" t="n">
        <v>0.0759625390218522</v>
      </c>
      <c r="K123" s="22">
        <f>_xlfn.CONCAT(dll[[#This Row],[lob]], " ", dll[[#This Row],[valid_vintage]])</f>
        <v/>
      </c>
    </row>
    <row r="124">
      <c r="A124" t="inlineStr">
        <is>
          <t>2020 Q1</t>
        </is>
      </c>
      <c r="B124" t="inlineStr">
        <is>
          <t>AN</t>
        </is>
      </c>
      <c r="C124" s="22" t="n">
        <v>0.0631</v>
      </c>
      <c r="D124" s="22" t="n">
        <v>0.217543859649122</v>
      </c>
      <c r="E124" s="22" t="n">
        <v>0.498245614035087</v>
      </c>
      <c r="F124" s="22" t="n">
        <v>0.171929824561403</v>
      </c>
      <c r="G124" s="22" t="n">
        <v>0.0491228070175438</v>
      </c>
      <c r="H124" s="22" t="n">
        <v>0</v>
      </c>
      <c r="I124" s="22" t="n">
        <v>0.280643859649122</v>
      </c>
      <c r="J124" s="22" t="n">
        <v>0.221052631578947</v>
      </c>
      <c r="K124" s="22">
        <f>_xlfn.CONCAT(dll[[#This Row],[lob]], " ", dll[[#This Row],[valid_vintage]])</f>
        <v/>
      </c>
    </row>
    <row r="125">
      <c r="A125" t="inlineStr">
        <is>
          <t>2019 Q4</t>
        </is>
      </c>
      <c r="B125" t="inlineStr">
        <is>
          <t>AN</t>
        </is>
      </c>
      <c r="C125" s="22" t="n">
        <v>0</v>
      </c>
      <c r="D125" s="22" t="n">
        <v>0.281124497991967</v>
      </c>
      <c r="E125" s="22" t="n">
        <v>0.626506024096385</v>
      </c>
      <c r="F125" s="22" t="n">
        <v>0.08835341365461841</v>
      </c>
      <c r="G125" s="22" t="n">
        <v>0.00401606425702811</v>
      </c>
      <c r="H125" s="22" t="n">
        <v>0</v>
      </c>
      <c r="I125" s="22" t="n">
        <v>0.281124497991967</v>
      </c>
      <c r="J125" s="22" t="n">
        <v>0.0923694779116465</v>
      </c>
      <c r="K125" s="22">
        <f>_xlfn.CONCAT(dll[[#This Row],[lob]], " ", dll[[#This Row],[valid_vintage]])</f>
        <v/>
      </c>
    </row>
    <row r="126">
      <c r="A126" t="inlineStr">
        <is>
          <t>2019 Q4</t>
        </is>
      </c>
      <c r="B126" t="inlineStr">
        <is>
          <t>FRN</t>
        </is>
      </c>
      <c r="C126" s="22" t="n">
        <v>0</v>
      </c>
      <c r="D126" s="22" t="n">
        <v>0.0307692307692307</v>
      </c>
      <c r="E126" s="22" t="n">
        <v>0.715384615384615</v>
      </c>
      <c r="F126" s="22" t="n">
        <v>0.176923076923076</v>
      </c>
      <c r="G126" s="22" t="n">
        <v>0.0769230769230769</v>
      </c>
      <c r="H126" s="22" t="n">
        <v>0</v>
      </c>
      <c r="I126" s="22" t="n">
        <v>0.0307692307692307</v>
      </c>
      <c r="J126" s="22" t="n">
        <v>0.253846153846153</v>
      </c>
      <c r="K126" s="22">
        <f>_xlfn.CONCAT(dll[[#This Row],[lob]], " ", dll[[#This Row],[valid_vintage]])</f>
        <v/>
      </c>
    </row>
    <row r="127">
      <c r="A127" t="inlineStr">
        <is>
          <t>2019 Q4</t>
        </is>
      </c>
      <c r="B127" t="inlineStr">
        <is>
          <t>FLD</t>
        </is>
      </c>
      <c r="C127" s="22" t="n">
        <v>0</v>
      </c>
      <c r="D127" s="22" t="n">
        <v>0.307692307692307</v>
      </c>
      <c r="E127" s="22" t="n">
        <v>0.576923076923076</v>
      </c>
      <c r="F127" s="22" t="n">
        <v>0.0384615384615384</v>
      </c>
      <c r="G127" s="22" t="n">
        <v>0.0769230769230769</v>
      </c>
      <c r="H127" s="22" t="n">
        <v>0</v>
      </c>
      <c r="I127" s="22" t="n">
        <v>0.307692307692307</v>
      </c>
      <c r="J127" s="22" t="n">
        <v>0.115384615384615</v>
      </c>
      <c r="K127" s="22">
        <f>_xlfn.CONCAT(dll[[#This Row],[lob]], " ", dll[[#This Row],[valid_vintage]])</f>
        <v/>
      </c>
    </row>
    <row r="128">
      <c r="A128" t="inlineStr">
        <is>
          <t>2019 Q4</t>
        </is>
      </c>
      <c r="B128" t="inlineStr">
        <is>
          <t>STG</t>
        </is>
      </c>
      <c r="C128" s="22" t="n">
        <v>0.013</v>
      </c>
      <c r="D128" s="22" t="n">
        <v>0.333333333333333</v>
      </c>
      <c r="E128" s="22" t="n">
        <v>0.502604166666666</v>
      </c>
      <c r="F128" s="22" t="n">
        <v>0.131510416666666</v>
      </c>
      <c r="G128" s="22" t="n">
        <v>0.01953125</v>
      </c>
      <c r="H128" s="22" t="n">
        <v>0</v>
      </c>
      <c r="I128" s="22" t="n">
        <v>0.346333333333333</v>
      </c>
      <c r="J128" s="22" t="n">
        <v>0.151041666666666</v>
      </c>
      <c r="K128" s="22">
        <f>_xlfn.CONCAT(dll[[#This Row],[lob]], " ", dll[[#This Row],[valid_vintage]])</f>
        <v/>
      </c>
    </row>
    <row r="129">
      <c r="A129" t="inlineStr">
        <is>
          <t>2019 Q3</t>
        </is>
      </c>
      <c r="B129" t="inlineStr">
        <is>
          <t>STG</t>
        </is>
      </c>
      <c r="C129" s="22" t="n">
        <v>0.0313</v>
      </c>
      <c r="D129" s="22" t="n">
        <v>0.304575163398692</v>
      </c>
      <c r="E129" s="22" t="n">
        <v>0.529411764705882</v>
      </c>
      <c r="F129" s="22" t="n">
        <v>0.105882352941176</v>
      </c>
      <c r="G129" s="22" t="n">
        <v>0.0287581699346405</v>
      </c>
      <c r="H129" s="22" t="n">
        <v>0</v>
      </c>
      <c r="I129" s="22" t="n">
        <v>0.335875163398692</v>
      </c>
      <c r="J129" s="22" t="n">
        <v>0.134640522875816</v>
      </c>
      <c r="K129" s="22">
        <f>_xlfn.CONCAT(dll[[#This Row],[lob]], " ", dll[[#This Row],[valid_vintage]])</f>
        <v/>
      </c>
    </row>
    <row r="130">
      <c r="A130" t="inlineStr">
        <is>
          <t>2019 Q3</t>
        </is>
      </c>
      <c r="B130" t="inlineStr">
        <is>
          <t>AN</t>
        </is>
      </c>
      <c r="C130" s="22" t="n">
        <v>0.004</v>
      </c>
      <c r="D130" s="22" t="n">
        <v>0.328</v>
      </c>
      <c r="E130" s="22" t="n">
        <v>0.5679999999999999</v>
      </c>
      <c r="F130" s="22" t="n">
        <v>0.08799999999999999</v>
      </c>
      <c r="G130" s="22" t="n">
        <v>0.012</v>
      </c>
      <c r="H130" s="22" t="n">
        <v>0</v>
      </c>
      <c r="I130" s="22" t="n">
        <v>0.332</v>
      </c>
      <c r="J130" s="22" t="n">
        <v>0.1</v>
      </c>
      <c r="K130" s="22">
        <f>_xlfn.CONCAT(dll[[#This Row],[lob]], " ", dll[[#This Row],[valid_vintage]])</f>
        <v/>
      </c>
    </row>
    <row r="131">
      <c r="A131" t="inlineStr">
        <is>
          <t>2019 Q3</t>
        </is>
      </c>
      <c r="B131" t="inlineStr">
        <is>
          <t>FLD</t>
        </is>
      </c>
      <c r="C131" s="22" t="n">
        <v>0</v>
      </c>
      <c r="D131" s="22" t="n">
        <v>0.277777777777777</v>
      </c>
      <c r="E131" s="22" t="n">
        <v>0.555555555555555</v>
      </c>
      <c r="F131" s="22" t="n">
        <v>0.166666666666666</v>
      </c>
      <c r="G131" s="22" t="n">
        <v>0</v>
      </c>
      <c r="H131" s="22" t="n">
        <v>0</v>
      </c>
      <c r="I131" s="22" t="n">
        <v>0.277777777777777</v>
      </c>
      <c r="J131" s="22" t="n">
        <v>0.166666666666666</v>
      </c>
      <c r="K131" s="22">
        <f>_xlfn.CONCAT(dll[[#This Row],[lob]], " ", dll[[#This Row],[valid_vintage]])</f>
        <v/>
      </c>
    </row>
    <row r="132">
      <c r="A132" t="inlineStr">
        <is>
          <t>2019 Q3</t>
        </is>
      </c>
      <c r="B132" t="inlineStr">
        <is>
          <t>FRN</t>
        </is>
      </c>
      <c r="C132" s="22" t="n">
        <v>0</v>
      </c>
      <c r="D132" s="22" t="n">
        <v>0.0578313253012048</v>
      </c>
      <c r="E132" s="22" t="n">
        <v>0.698795180722891</v>
      </c>
      <c r="F132" s="22" t="n">
        <v>0.180722891566265</v>
      </c>
      <c r="G132" s="22" t="n">
        <v>0.0626506024096385</v>
      </c>
      <c r="H132" s="22" t="n">
        <v>0</v>
      </c>
      <c r="I132" s="22" t="n">
        <v>0.0578313253012048</v>
      </c>
      <c r="J132" s="22" t="n">
        <v>0.243373493975903</v>
      </c>
      <c r="K132" s="22">
        <f>_xlfn.CONCAT(dll[[#This Row],[lob]], " ", dll[[#This Row],[valid_vintage]])</f>
        <v/>
      </c>
    </row>
    <row r="133">
      <c r="A133" t="inlineStr">
        <is>
          <t>2019 Q2</t>
        </is>
      </c>
      <c r="B133" t="inlineStr">
        <is>
          <t>AN</t>
        </is>
      </c>
      <c r="C133" s="22" t="n">
        <v>0</v>
      </c>
      <c r="D133" s="22" t="n">
        <v>0.326771653543307</v>
      </c>
      <c r="E133" s="22" t="n">
        <v>0.574803149606299</v>
      </c>
      <c r="F133" s="22" t="n">
        <v>0.0826771653543307</v>
      </c>
      <c r="G133" s="22" t="n">
        <v>0.0157480314960629</v>
      </c>
      <c r="H133" s="22" t="n">
        <v>0</v>
      </c>
      <c r="I133" s="22" t="n">
        <v>0.326771653543307</v>
      </c>
      <c r="J133" s="22" t="n">
        <v>0.0984251968503936</v>
      </c>
      <c r="K133" s="22">
        <f>_xlfn.CONCAT(dll[[#This Row],[lob]], " ", dll[[#This Row],[valid_vintage]])</f>
        <v/>
      </c>
    </row>
    <row r="134">
      <c r="A134" t="inlineStr">
        <is>
          <t>2019 Q2</t>
        </is>
      </c>
      <c r="B134" t="inlineStr">
        <is>
          <t>FLD</t>
        </is>
      </c>
      <c r="C134" s="22" t="n">
        <v>0</v>
      </c>
      <c r="D134" s="22" t="n">
        <v>0.266666666666666</v>
      </c>
      <c r="E134" s="22" t="n">
        <v>0.533333333333333</v>
      </c>
      <c r="F134" s="22" t="n">
        <v>0.2</v>
      </c>
      <c r="G134" s="22" t="n">
        <v>0</v>
      </c>
      <c r="H134" s="22" t="n">
        <v>0</v>
      </c>
      <c r="I134" s="22" t="n">
        <v>0.266666666666666</v>
      </c>
      <c r="J134" s="22" t="n">
        <v>0.2</v>
      </c>
      <c r="K134" s="22">
        <f>_xlfn.CONCAT(dll[[#This Row],[lob]], " ", dll[[#This Row],[valid_vintage]])</f>
        <v/>
      </c>
    </row>
    <row r="135">
      <c r="A135" t="inlineStr">
        <is>
          <t>2019 Q2</t>
        </is>
      </c>
      <c r="B135" t="inlineStr">
        <is>
          <t>FRN</t>
        </is>
      </c>
      <c r="C135" s="22" t="n">
        <v>0</v>
      </c>
      <c r="D135" s="22" t="n">
        <v>0.069377990430622</v>
      </c>
      <c r="E135" s="22" t="n">
        <v>0.672248803827751</v>
      </c>
      <c r="F135" s="22" t="n">
        <v>0.222488038277511</v>
      </c>
      <c r="G135" s="22" t="n">
        <v>0.0358851674641148</v>
      </c>
      <c r="H135" s="22" t="n">
        <v>0</v>
      </c>
      <c r="I135" s="22" t="n">
        <v>0.069377990430622</v>
      </c>
      <c r="J135" s="22" t="n">
        <v>0.258373205741626</v>
      </c>
      <c r="K135" s="22">
        <f>_xlfn.CONCAT(dll[[#This Row],[lob]], " ", dll[[#This Row],[valid_vintage]])</f>
        <v/>
      </c>
    </row>
    <row r="136">
      <c r="A136" t="inlineStr">
        <is>
          <t>2019 Q2</t>
        </is>
      </c>
      <c r="B136" t="inlineStr">
        <is>
          <t>STG</t>
        </is>
      </c>
      <c r="C136" s="22" t="n">
        <v>0.0303</v>
      </c>
      <c r="D136" s="22" t="n">
        <v>0.277044854881266</v>
      </c>
      <c r="E136" s="22" t="n">
        <v>0.5013192612137199</v>
      </c>
      <c r="F136" s="22" t="n">
        <v>0.143799472295514</v>
      </c>
      <c r="G136" s="22" t="n">
        <v>0.0474934036939313</v>
      </c>
      <c r="H136" s="22" t="n">
        <v>0</v>
      </c>
      <c r="I136" s="22" t="n">
        <v>0.307344854881266</v>
      </c>
      <c r="J136" s="22" t="n">
        <v>0.191292875989445</v>
      </c>
      <c r="K136" s="22">
        <f>_xlfn.CONCAT(dll[[#This Row],[lob]], " ", dll[[#This Row],[valid_vintage]])</f>
        <v/>
      </c>
    </row>
    <row r="137">
      <c r="A137" t="inlineStr">
        <is>
          <t>2019 Q1</t>
        </is>
      </c>
      <c r="B137" t="inlineStr">
        <is>
          <t>STG</t>
        </is>
      </c>
      <c r="C137" s="22" t="n">
        <v>0.0268</v>
      </c>
      <c r="D137" s="22" t="n">
        <v>0.295302013422818</v>
      </c>
      <c r="E137" s="22" t="n">
        <v>0.506040268456375</v>
      </c>
      <c r="F137" s="22" t="n">
        <v>0.120805369127516</v>
      </c>
      <c r="G137" s="22" t="n">
        <v>0.0510067114093959</v>
      </c>
      <c r="H137" s="22" t="n">
        <v>0</v>
      </c>
      <c r="I137" s="22" t="n">
        <v>0.322102013422818</v>
      </c>
      <c r="J137" s="22" t="n">
        <v>0.171812080536912</v>
      </c>
      <c r="K137" s="22">
        <f>_xlfn.CONCAT(dll[[#This Row],[lob]], " ", dll[[#This Row],[valid_vintage]])</f>
        <v/>
      </c>
    </row>
    <row r="138">
      <c r="A138" t="inlineStr">
        <is>
          <t>2019 Q1</t>
        </is>
      </c>
      <c r="B138" t="inlineStr">
        <is>
          <t>AN</t>
        </is>
      </c>
      <c r="C138" s="22" t="n">
        <v>0</v>
      </c>
      <c r="D138" s="22" t="n">
        <v>0.32156862745098</v>
      </c>
      <c r="E138" s="22" t="n">
        <v>0.580392156862745</v>
      </c>
      <c r="F138" s="22" t="n">
        <v>0.0823529411764705</v>
      </c>
      <c r="G138" s="22" t="n">
        <v>0.0156862745098039</v>
      </c>
      <c r="H138" s="22" t="n">
        <v>0</v>
      </c>
      <c r="I138" s="22" t="n">
        <v>0.32156862745098</v>
      </c>
      <c r="J138" s="22" t="n">
        <v>0.09803921568627449</v>
      </c>
      <c r="K138" s="22">
        <f>_xlfn.CONCAT(dll[[#This Row],[lob]], " ", dll[[#This Row],[valid_vintage]])</f>
        <v/>
      </c>
    </row>
    <row r="139">
      <c r="A139" t="inlineStr">
        <is>
          <t>2019 Q1</t>
        </is>
      </c>
      <c r="B139" t="inlineStr">
        <is>
          <t>FLD</t>
        </is>
      </c>
      <c r="C139" s="22" t="n">
        <v>0.06660000000000001</v>
      </c>
      <c r="D139" s="22" t="n">
        <v>0.333333333333333</v>
      </c>
      <c r="E139" s="22" t="n">
        <v>0.6</v>
      </c>
      <c r="F139" s="22" t="n">
        <v>0</v>
      </c>
      <c r="G139" s="22" t="n">
        <v>0</v>
      </c>
      <c r="H139" s="22" t="n">
        <v>0</v>
      </c>
      <c r="I139" s="22" t="n">
        <v>0.399933333333333</v>
      </c>
      <c r="J139" s="22" t="n">
        <v>0</v>
      </c>
      <c r="K139" s="22">
        <f>_xlfn.CONCAT(dll[[#This Row],[lob]], " ", dll[[#This Row],[valid_vintage]])</f>
        <v/>
      </c>
    </row>
    <row r="140">
      <c r="A140" t="inlineStr">
        <is>
          <t>2019 Q1</t>
        </is>
      </c>
      <c r="B140" t="inlineStr">
        <is>
          <t>FRN</t>
        </is>
      </c>
      <c r="C140" s="22" t="n">
        <v>0.0024</v>
      </c>
      <c r="D140" s="22" t="n">
        <v>0.0799031476997578</v>
      </c>
      <c r="E140" s="22" t="n">
        <v>0.675544794188861</v>
      </c>
      <c r="F140" s="22" t="n">
        <v>0.200968523002421</v>
      </c>
      <c r="G140" s="22" t="n">
        <v>0.0411622276029055</v>
      </c>
      <c r="H140" s="22" t="n">
        <v>0</v>
      </c>
      <c r="I140" s="22" t="n">
        <v>0.0823031476997578</v>
      </c>
      <c r="J140" s="22" t="n">
        <v>0.242130750605326</v>
      </c>
      <c r="K140" s="22">
        <f>_xlfn.CONCAT(dll[[#This Row],[lob]], " ", dll[[#This Row],[valid_vintage]])</f>
        <v/>
      </c>
    </row>
    <row r="141">
      <c r="A141" t="inlineStr">
        <is>
          <t>2018 Q4</t>
        </is>
      </c>
      <c r="B141" t="inlineStr">
        <is>
          <t>FLD</t>
        </is>
      </c>
      <c r="C141" s="22" t="n">
        <v>0</v>
      </c>
      <c r="D141" s="22" t="n">
        <v>0.3125</v>
      </c>
      <c r="E141" s="22" t="n">
        <v>0.625</v>
      </c>
      <c r="F141" s="22" t="n">
        <v>0.0625</v>
      </c>
      <c r="G141" s="22" t="n">
        <v>0</v>
      </c>
      <c r="H141" s="22" t="n">
        <v>0</v>
      </c>
      <c r="I141" s="22" t="n">
        <v>0.3125</v>
      </c>
      <c r="J141" s="22" t="n">
        <v>0.0625</v>
      </c>
      <c r="K141" s="22">
        <f>_xlfn.CONCAT(dll[[#This Row],[lob]], " ", dll[[#This Row],[valid_vintage]])</f>
        <v/>
      </c>
    </row>
    <row r="142">
      <c r="A142" t="inlineStr">
        <is>
          <t>2018 Q4</t>
        </is>
      </c>
      <c r="B142" t="inlineStr">
        <is>
          <t>AN</t>
        </is>
      </c>
      <c r="C142" s="22" t="n">
        <v>0</v>
      </c>
      <c r="D142" s="22" t="n">
        <v>0.373540856031128</v>
      </c>
      <c r="E142" s="22" t="n">
        <v>0.525291828793774</v>
      </c>
      <c r="F142" s="22" t="n">
        <v>0.0739299610894941</v>
      </c>
      <c r="G142" s="22" t="n">
        <v>0.0272373540856031</v>
      </c>
      <c r="H142" s="22" t="n">
        <v>0</v>
      </c>
      <c r="I142" s="22" t="n">
        <v>0.373540856031128</v>
      </c>
      <c r="J142" s="22" t="n">
        <v>0.101167315175097</v>
      </c>
      <c r="K142" s="22">
        <f>_xlfn.CONCAT(dll[[#This Row],[lob]], " ", dll[[#This Row],[valid_vintage]])</f>
        <v/>
      </c>
    </row>
    <row r="143">
      <c r="A143" t="inlineStr">
        <is>
          <t>2018 Q4</t>
        </is>
      </c>
      <c r="B143" t="inlineStr">
        <is>
          <t>FRN</t>
        </is>
      </c>
      <c r="C143" s="22" t="n">
        <v>0.0023</v>
      </c>
      <c r="D143" s="22" t="n">
        <v>0.100238663484486</v>
      </c>
      <c r="E143" s="22" t="n">
        <v>0.644391408114558</v>
      </c>
      <c r="F143" s="22" t="n">
        <v>0.217183770883054</v>
      </c>
      <c r="G143" s="22" t="n">
        <v>0.035799522673031</v>
      </c>
      <c r="H143" s="22" t="n">
        <v>0</v>
      </c>
      <c r="I143" s="22" t="n">
        <v>0.102538663484486</v>
      </c>
      <c r="J143" s="22" t="n">
        <v>0.252983293556085</v>
      </c>
      <c r="K143" s="22">
        <f>_xlfn.CONCAT(dll[[#This Row],[lob]], " ", dll[[#This Row],[valid_vintage]])</f>
        <v/>
      </c>
    </row>
    <row r="144">
      <c r="A144" t="inlineStr">
        <is>
          <t>2018 Q4</t>
        </is>
      </c>
      <c r="B144" t="inlineStr">
        <is>
          <t>STG</t>
        </is>
      </c>
      <c r="C144" s="22" t="n">
        <v>0.0139</v>
      </c>
      <c r="D144" s="22" t="n">
        <v>0.284518828451882</v>
      </c>
      <c r="E144" s="22" t="n">
        <v>0.495118549511854</v>
      </c>
      <c r="F144" s="22" t="n">
        <v>0.168758716875871</v>
      </c>
      <c r="G144" s="22" t="n">
        <v>0.0376569037656903</v>
      </c>
      <c r="H144" s="22" t="n">
        <v>0</v>
      </c>
      <c r="I144" s="22" t="n">
        <v>0.298418828451882</v>
      </c>
      <c r="J144" s="22" t="n">
        <v>0.206415620641562</v>
      </c>
      <c r="K144" s="22">
        <f>_xlfn.CONCAT(dll[[#This Row],[lob]], " ", dll[[#This Row],[valid_vintage]])</f>
        <v/>
      </c>
    </row>
    <row r="145">
      <c r="A145" t="inlineStr">
        <is>
          <t>2018 Q3</t>
        </is>
      </c>
      <c r="B145" t="inlineStr">
        <is>
          <t>STG</t>
        </is>
      </c>
      <c r="C145" s="22" t="n">
        <v>0.0146</v>
      </c>
      <c r="D145" s="22" t="n">
        <v>0.300146412884333</v>
      </c>
      <c r="E145" s="22" t="n">
        <v>0.5417276720351391</v>
      </c>
      <c r="F145" s="22" t="n">
        <v>0.115666178623718</v>
      </c>
      <c r="G145" s="22" t="n">
        <v>0.027818448023426</v>
      </c>
      <c r="H145" s="22" t="n">
        <v>0</v>
      </c>
      <c r="I145" s="22" t="n">
        <v>0.314746412884333</v>
      </c>
      <c r="J145" s="22" t="n">
        <v>0.143484626647144</v>
      </c>
      <c r="K145" s="22">
        <f>_xlfn.CONCAT(dll[[#This Row],[lob]], " ", dll[[#This Row],[valid_vintage]])</f>
        <v/>
      </c>
    </row>
    <row r="146">
      <c r="A146" t="inlineStr">
        <is>
          <t>2018 Q3</t>
        </is>
      </c>
      <c r="B146" t="inlineStr">
        <is>
          <t>FRN</t>
        </is>
      </c>
      <c r="C146" s="22" t="n">
        <v>0.0023</v>
      </c>
      <c r="D146" s="22" t="n">
        <v>0.0983213429256594</v>
      </c>
      <c r="E146" s="22" t="n">
        <v>0.630695443645083</v>
      </c>
      <c r="F146" s="22" t="n">
        <v>0.227817745803357</v>
      </c>
      <c r="G146" s="22" t="n">
        <v>0.040767386091127</v>
      </c>
      <c r="H146" s="22" t="n">
        <v>0</v>
      </c>
      <c r="I146" s="22" t="n">
        <v>0.100621342925659</v>
      </c>
      <c r="J146" s="22" t="n">
        <v>0.268585131894484</v>
      </c>
      <c r="K146" s="22">
        <f>_xlfn.CONCAT(dll[[#This Row],[lob]], " ", dll[[#This Row],[valid_vintage]])</f>
        <v/>
      </c>
    </row>
    <row r="147">
      <c r="A147" t="inlineStr">
        <is>
          <t>2018 Q3</t>
        </is>
      </c>
      <c r="B147" t="inlineStr">
        <is>
          <t>AN</t>
        </is>
      </c>
      <c r="C147" s="22" t="n">
        <v>0</v>
      </c>
      <c r="D147" s="22" t="n">
        <v>0.361111111111111</v>
      </c>
      <c r="E147" s="22" t="n">
        <v>0.571428571428571</v>
      </c>
      <c r="F147" s="22" t="n">
        <v>0.0476190476190476</v>
      </c>
      <c r="G147" s="22" t="n">
        <v>0.0198412698412698</v>
      </c>
      <c r="H147" s="22" t="n">
        <v>0</v>
      </c>
      <c r="I147" s="22" t="n">
        <v>0.361111111111111</v>
      </c>
      <c r="J147" s="22" t="n">
        <v>0.0674603174603174</v>
      </c>
      <c r="K147" s="22">
        <f>_xlfn.CONCAT(dll[[#This Row],[lob]], " ", dll[[#This Row],[valid_vintage]])</f>
        <v/>
      </c>
    </row>
    <row r="148">
      <c r="A148" t="inlineStr">
        <is>
          <t>2018 Q3</t>
        </is>
      </c>
      <c r="B148" t="inlineStr">
        <is>
          <t>FLD</t>
        </is>
      </c>
      <c r="C148" s="22" t="n">
        <v>0</v>
      </c>
      <c r="D148" s="22" t="n">
        <v>0.25</v>
      </c>
      <c r="E148" s="22" t="n">
        <v>0.6875</v>
      </c>
      <c r="F148" s="22" t="n">
        <v>0.0625</v>
      </c>
      <c r="G148" s="22" t="n">
        <v>0</v>
      </c>
      <c r="H148" s="22" t="n">
        <v>0</v>
      </c>
      <c r="I148" s="22" t="n">
        <v>0.25</v>
      </c>
      <c r="J148" s="22" t="n">
        <v>0.0625</v>
      </c>
      <c r="K148" s="22">
        <f>_xlfn.CONCAT(dll[[#This Row],[lob]], " ", dll[[#This Row],[valid_vintage]])</f>
        <v/>
      </c>
    </row>
    <row r="149">
      <c r="A149" t="inlineStr">
        <is>
          <t>2018 Q2</t>
        </is>
      </c>
      <c r="B149" t="inlineStr">
        <is>
          <t>AN</t>
        </is>
      </c>
      <c r="C149" s="22" t="n">
        <v>0.004</v>
      </c>
      <c r="D149" s="22" t="n">
        <v>0.352</v>
      </c>
      <c r="E149" s="22" t="n">
        <v>0.584</v>
      </c>
      <c r="F149" s="22" t="n">
        <v>0.04</v>
      </c>
      <c r="G149" s="22" t="n">
        <v>0.02</v>
      </c>
      <c r="H149" s="22" t="n">
        <v>0</v>
      </c>
      <c r="I149" s="22" t="n">
        <v>0.356</v>
      </c>
      <c r="J149" s="22" t="n">
        <v>0.06</v>
      </c>
      <c r="K149" s="22">
        <f>_xlfn.CONCAT(dll[[#This Row],[lob]], " ", dll[[#This Row],[valid_vintage]])</f>
        <v/>
      </c>
    </row>
    <row r="150">
      <c r="A150" t="inlineStr">
        <is>
          <t>2018 Q2</t>
        </is>
      </c>
      <c r="B150" t="inlineStr">
        <is>
          <t>FRN</t>
        </is>
      </c>
      <c r="C150" s="22" t="n">
        <v>0.0023</v>
      </c>
      <c r="D150" s="22" t="n">
        <v>0.0978520286396181</v>
      </c>
      <c r="E150" s="22" t="n">
        <v>0.651551312649164</v>
      </c>
      <c r="F150" s="22" t="n">
        <v>0.195704057279236</v>
      </c>
      <c r="G150" s="22" t="n">
        <v>0.0525059665871121</v>
      </c>
      <c r="H150" s="22" t="n">
        <v>0</v>
      </c>
      <c r="I150" s="22" t="n">
        <v>0.100152028639618</v>
      </c>
      <c r="J150" s="22" t="n">
        <v>0.248210023866348</v>
      </c>
      <c r="K150" s="22">
        <f>_xlfn.CONCAT(dll[[#This Row],[lob]], " ", dll[[#This Row],[valid_vintage]])</f>
        <v/>
      </c>
    </row>
    <row r="151">
      <c r="A151" t="inlineStr">
        <is>
          <t>2018 Q2</t>
        </is>
      </c>
      <c r="B151" t="inlineStr">
        <is>
          <t>STG</t>
        </is>
      </c>
      <c r="C151" s="22" t="n">
        <v>0</v>
      </c>
      <c r="D151" s="22" t="n">
        <v>0.329230769230769</v>
      </c>
      <c r="E151" s="22" t="n">
        <v>0.541538461538461</v>
      </c>
      <c r="F151" s="22" t="n">
        <v>0.1</v>
      </c>
      <c r="G151" s="22" t="n">
        <v>0.0292307692307692</v>
      </c>
      <c r="H151" s="22" t="n">
        <v>0</v>
      </c>
      <c r="I151" s="22" t="n">
        <v>0.329230769230769</v>
      </c>
      <c r="J151" s="22" t="n">
        <v>0.129230769230769</v>
      </c>
      <c r="K151" s="22">
        <f>_xlfn.CONCAT(dll[[#This Row],[lob]], " ", dll[[#This Row],[valid_vintage]])</f>
        <v/>
      </c>
    </row>
    <row r="152">
      <c r="A152" t="inlineStr">
        <is>
          <t>2018 Q2</t>
        </is>
      </c>
      <c r="B152" t="inlineStr">
        <is>
          <t>FLD</t>
        </is>
      </c>
      <c r="C152" s="22" t="n">
        <v>0</v>
      </c>
      <c r="D152" s="22" t="n">
        <v>0.4375</v>
      </c>
      <c r="E152" s="22" t="n">
        <v>0.4375</v>
      </c>
      <c r="F152" s="22" t="n">
        <v>0.125</v>
      </c>
      <c r="G152" s="22" t="n">
        <v>0</v>
      </c>
      <c r="H152" s="22" t="n">
        <v>0</v>
      </c>
      <c r="I152" s="22" t="n">
        <v>0.4375</v>
      </c>
      <c r="J152" s="22" t="n">
        <v>0.125</v>
      </c>
      <c r="K152" s="22">
        <f>_xlfn.CONCAT(dll[[#This Row],[lob]], " ", dll[[#This Row],[valid_vintage]])</f>
        <v/>
      </c>
    </row>
    <row r="153">
      <c r="A153" t="inlineStr">
        <is>
          <t>2018 Q1</t>
        </is>
      </c>
      <c r="B153" t="inlineStr">
        <is>
          <t>FRN</t>
        </is>
      </c>
      <c r="C153" s="22" t="n">
        <v>0.0023</v>
      </c>
      <c r="D153" s="22" t="n">
        <v>0.0943396226415094</v>
      </c>
      <c r="E153" s="22" t="n">
        <v>0.646226415094339</v>
      </c>
      <c r="F153" s="22" t="n">
        <v>0.219339622641509</v>
      </c>
      <c r="G153" s="22" t="n">
        <v>0.0377358490566037</v>
      </c>
      <c r="H153" s="22" t="n">
        <v>0</v>
      </c>
      <c r="I153" s="22" t="n">
        <v>0.0966396226415094</v>
      </c>
      <c r="J153" s="22" t="n">
        <v>0.257075471698113</v>
      </c>
      <c r="K153" s="22">
        <f>_xlfn.CONCAT(dll[[#This Row],[lob]], " ", dll[[#This Row],[valid_vintage]])</f>
        <v/>
      </c>
    </row>
    <row r="154">
      <c r="A154" t="inlineStr">
        <is>
          <t>2018 Q1</t>
        </is>
      </c>
      <c r="B154" t="inlineStr">
        <is>
          <t>AN</t>
        </is>
      </c>
      <c r="C154" s="22" t="n">
        <v>0</v>
      </c>
      <c r="D154" s="22" t="n">
        <v>0.336032388663967</v>
      </c>
      <c r="E154" s="22" t="n">
        <v>0.631578947368421</v>
      </c>
      <c r="F154" s="22" t="n">
        <v>0.020242914979757</v>
      </c>
      <c r="G154" s="22" t="n">
        <v>0.0121457489878542</v>
      </c>
      <c r="H154" s="22" t="n">
        <v>0</v>
      </c>
      <c r="I154" s="22" t="n">
        <v>0.336032388663967</v>
      </c>
      <c r="J154" s="22" t="n">
        <v>0.0323886639676113</v>
      </c>
      <c r="K154" s="22">
        <f>_xlfn.CONCAT(dll[[#This Row],[lob]], " ", dll[[#This Row],[valid_vintage]])</f>
        <v/>
      </c>
    </row>
    <row r="155">
      <c r="A155" t="inlineStr">
        <is>
          <t>2018 Q1</t>
        </is>
      </c>
      <c r="B155" t="inlineStr">
        <is>
          <t>FLD</t>
        </is>
      </c>
      <c r="C155" s="22" t="n">
        <v>0</v>
      </c>
      <c r="D155" s="22" t="n">
        <v>0.333333333333333</v>
      </c>
      <c r="E155" s="22" t="n">
        <v>0.6</v>
      </c>
      <c r="F155" s="22" t="n">
        <v>0.0666666666666666</v>
      </c>
      <c r="G155" s="22" t="n">
        <v>0</v>
      </c>
      <c r="H155" s="22" t="n">
        <v>0</v>
      </c>
      <c r="I155" s="22" t="n">
        <v>0.333333333333333</v>
      </c>
      <c r="J155" s="22" t="n">
        <v>0.0666666666666666</v>
      </c>
      <c r="K155" s="22">
        <f>_xlfn.CONCAT(dll[[#This Row],[lob]], " ", dll[[#This Row],[valid_vintage]])</f>
        <v/>
      </c>
    </row>
    <row r="156">
      <c r="A156" t="inlineStr">
        <is>
          <t>2018 Q1</t>
        </is>
      </c>
      <c r="B156" t="inlineStr">
        <is>
          <t>STG</t>
        </is>
      </c>
      <c r="C156" s="22" t="n">
        <v>0</v>
      </c>
      <c r="D156" s="22" t="n">
        <v>0.295934959349593</v>
      </c>
      <c r="E156" s="22" t="n">
        <v>0.564227642276422</v>
      </c>
      <c r="F156" s="22" t="n">
        <v>0.104065040650406</v>
      </c>
      <c r="G156" s="22" t="n">
        <v>0.0357723577235772</v>
      </c>
      <c r="H156" s="22" t="n">
        <v>0</v>
      </c>
      <c r="I156" s="22" t="n">
        <v>0.295934959349593</v>
      </c>
      <c r="J156" s="22" t="n">
        <v>0.139837398373983</v>
      </c>
      <c r="K156" s="22">
        <f>_xlfn.CONCAT(dll[[#This Row],[lob]], " ", dll[[#This Row],[valid_vintage]])</f>
        <v/>
      </c>
    </row>
    <row r="157">
      <c r="A157" t="inlineStr">
        <is>
          <t>2017 Q4</t>
        </is>
      </c>
      <c r="B157" t="inlineStr">
        <is>
          <t>AN</t>
        </is>
      </c>
      <c r="C157" s="22" t="n">
        <v>0</v>
      </c>
      <c r="D157" s="22" t="n">
        <v>0.31726907630522</v>
      </c>
      <c r="E157" s="22" t="n">
        <v>0.606425702811244</v>
      </c>
      <c r="F157" s="22" t="n">
        <v>0.0602409638554216</v>
      </c>
      <c r="G157" s="22" t="n">
        <v>0.0160642570281124</v>
      </c>
      <c r="H157" s="22" t="n">
        <v>0</v>
      </c>
      <c r="I157" s="22" t="n">
        <v>0.31726907630522</v>
      </c>
      <c r="J157" s="22" t="n">
        <v>0.0763052208835341</v>
      </c>
      <c r="K157" s="22">
        <f>_xlfn.CONCAT(dll[[#This Row],[lob]], " ", dll[[#This Row],[valid_vintage]])</f>
        <v/>
      </c>
    </row>
    <row r="158">
      <c r="A158" t="inlineStr">
        <is>
          <t>2017 Q4</t>
        </is>
      </c>
      <c r="B158" t="inlineStr">
        <is>
          <t>FRN</t>
        </is>
      </c>
      <c r="C158" s="22" t="n">
        <v>0</v>
      </c>
      <c r="D158" s="22" t="n">
        <v>0.0946882217090069</v>
      </c>
      <c r="E158" s="22" t="n">
        <v>0.662817551963048</v>
      </c>
      <c r="F158" s="22" t="n">
        <v>0.193995381062355</v>
      </c>
      <c r="G158" s="22" t="n">
        <v>0.0484988452655889</v>
      </c>
      <c r="H158" s="22" t="n">
        <v>0</v>
      </c>
      <c r="I158" s="22" t="n">
        <v>0.0946882217090069</v>
      </c>
      <c r="J158" s="22" t="n">
        <v>0.242494226327944</v>
      </c>
      <c r="K158" s="22">
        <f>_xlfn.CONCAT(dll[[#This Row],[lob]], " ", dll[[#This Row],[valid_vintage]])</f>
        <v/>
      </c>
    </row>
    <row r="159">
      <c r="A159" t="inlineStr">
        <is>
          <t>2017 Q4</t>
        </is>
      </c>
      <c r="B159" t="inlineStr">
        <is>
          <t>STG</t>
        </is>
      </c>
      <c r="C159" s="22" t="n">
        <v>0</v>
      </c>
      <c r="D159" s="22" t="n">
        <v>0.285472972972972</v>
      </c>
      <c r="E159" s="22" t="n">
        <v>0.58277027027027</v>
      </c>
      <c r="F159" s="22" t="n">
        <v>0.104729729729729</v>
      </c>
      <c r="G159" s="22" t="n">
        <v>0.027027027027027</v>
      </c>
      <c r="H159" s="22" t="n">
        <v>0</v>
      </c>
      <c r="I159" s="22" t="n">
        <v>0.285472972972972</v>
      </c>
      <c r="J159" s="22" t="n">
        <v>0.131756756756756</v>
      </c>
      <c r="K159" s="22">
        <f>_xlfn.CONCAT(dll[[#This Row],[lob]], " ", dll[[#This Row],[valid_vintage]])</f>
        <v/>
      </c>
    </row>
    <row r="160">
      <c r="A160" t="inlineStr">
        <is>
          <t>2017 Q4</t>
        </is>
      </c>
      <c r="B160" t="inlineStr">
        <is>
          <t>FLD</t>
        </is>
      </c>
      <c r="C160" s="22" t="n">
        <v>0</v>
      </c>
      <c r="D160" s="22" t="n">
        <v>0.615384615384615</v>
      </c>
      <c r="E160" s="22" t="n">
        <v>0.384615384615384</v>
      </c>
      <c r="F160" s="22" t="n">
        <v>0</v>
      </c>
      <c r="G160" s="22" t="n">
        <v>0</v>
      </c>
      <c r="H160" s="22" t="n">
        <v>0</v>
      </c>
      <c r="I160" s="22" t="n">
        <v>0.615384615384615</v>
      </c>
      <c r="J160" s="22" t="n">
        <v>0</v>
      </c>
      <c r="K160" s="22">
        <f>_xlfn.CONCAT(dll[[#This Row],[lob]], " ", dll[[#This Row],[valid_vintage]])</f>
        <v/>
      </c>
    </row>
    <row r="161">
      <c r="A161" t="inlineStr">
        <is>
          <t>2017 Q3</t>
        </is>
      </c>
      <c r="B161" t="inlineStr">
        <is>
          <t>FLD</t>
        </is>
      </c>
      <c r="C161" s="22" t="n">
        <v>0</v>
      </c>
      <c r="D161" s="22" t="n">
        <v>0.111111111111111</v>
      </c>
      <c r="E161" s="22" t="n">
        <v>0.888888888888888</v>
      </c>
      <c r="F161" s="22" t="n">
        <v>0</v>
      </c>
      <c r="G161" s="22" t="n">
        <v>0</v>
      </c>
      <c r="H161" s="22" t="n">
        <v>0</v>
      </c>
      <c r="I161" s="22" t="n">
        <v>0.111111111111111</v>
      </c>
      <c r="J161" s="22" t="n">
        <v>0</v>
      </c>
      <c r="K161" s="22">
        <f>_xlfn.CONCAT(dll[[#This Row],[lob]], " ", dll[[#This Row],[valid_vintage]])</f>
        <v/>
      </c>
    </row>
    <row r="162">
      <c r="A162" t="inlineStr">
        <is>
          <t>2017 Q3</t>
        </is>
      </c>
      <c r="B162" t="inlineStr">
        <is>
          <t>AN</t>
        </is>
      </c>
      <c r="C162" s="22" t="n">
        <v>0</v>
      </c>
      <c r="D162" s="22" t="n">
        <v>0.252</v>
      </c>
      <c r="E162" s="22" t="n">
        <v>0.696</v>
      </c>
      <c r="F162" s="22" t="n">
        <v>0.036</v>
      </c>
      <c r="G162" s="22" t="n">
        <v>0.016</v>
      </c>
      <c r="H162" s="22" t="n">
        <v>0</v>
      </c>
      <c r="I162" s="22" t="n">
        <v>0.252</v>
      </c>
      <c r="J162" s="22" t="n">
        <v>0.052</v>
      </c>
      <c r="K162" s="22">
        <f>_xlfn.CONCAT(dll[[#This Row],[lob]], " ", dll[[#This Row],[valid_vintage]])</f>
        <v/>
      </c>
    </row>
    <row r="163">
      <c r="A163" t="inlineStr">
        <is>
          <t>2017 Q3</t>
        </is>
      </c>
      <c r="B163" t="inlineStr">
        <is>
          <t>STG</t>
        </is>
      </c>
      <c r="C163" s="22" t="n">
        <v>0.0053</v>
      </c>
      <c r="D163" s="22" t="n">
        <v>0.330973451327433</v>
      </c>
      <c r="E163" s="22" t="n">
        <v>0.566371681415929</v>
      </c>
      <c r="F163" s="22" t="n">
        <v>0.0831858407079646</v>
      </c>
      <c r="G163" s="22" t="n">
        <v>0.0141592920353982</v>
      </c>
      <c r="H163" s="22" t="n">
        <v>0</v>
      </c>
      <c r="I163" s="22" t="n">
        <v>0.336273451327433</v>
      </c>
      <c r="J163" s="22" t="n">
        <v>0.0973451327433628</v>
      </c>
      <c r="K163" s="22">
        <f>_xlfn.CONCAT(dll[[#This Row],[lob]], " ", dll[[#This Row],[valid_vintage]])</f>
        <v/>
      </c>
    </row>
    <row r="164">
      <c r="A164" t="inlineStr">
        <is>
          <t>2017 Q3</t>
        </is>
      </c>
      <c r="B164" t="inlineStr">
        <is>
          <t>FRN</t>
        </is>
      </c>
      <c r="C164" s="22" t="n">
        <v>0</v>
      </c>
      <c r="D164" s="22" t="n">
        <v>0.0797101449275362</v>
      </c>
      <c r="E164" s="22" t="n">
        <v>0.685990338164251</v>
      </c>
      <c r="F164" s="22" t="n">
        <v>0.198067632850241</v>
      </c>
      <c r="G164" s="22" t="n">
        <v>0.036231884057971</v>
      </c>
      <c r="H164" s="22" t="n">
        <v>0</v>
      </c>
      <c r="I164" s="22" t="n">
        <v>0.0797101449275362</v>
      </c>
      <c r="J164" s="22" t="n">
        <v>0.234299516908212</v>
      </c>
      <c r="K164" s="22">
        <f>_xlfn.CONCAT(dll[[#This Row],[lob]], " ", dll[[#This Row],[valid_vintage]])</f>
        <v/>
      </c>
    </row>
    <row r="165">
      <c r="A165" t="inlineStr">
        <is>
          <t>2017 Q2</t>
        </is>
      </c>
      <c r="B165" t="inlineStr">
        <is>
          <t>FLD</t>
        </is>
      </c>
      <c r="C165" s="22" t="n">
        <v>0</v>
      </c>
      <c r="D165" s="22" t="n">
        <v>0.555555555555555</v>
      </c>
      <c r="E165" s="22" t="n">
        <v>0.444444444444444</v>
      </c>
      <c r="F165" s="22" t="n">
        <v>0</v>
      </c>
      <c r="G165" s="22" t="n">
        <v>0</v>
      </c>
      <c r="H165" s="22" t="n">
        <v>0</v>
      </c>
      <c r="I165" s="22" t="n">
        <v>0.555555555555555</v>
      </c>
      <c r="J165" s="22" t="n">
        <v>0</v>
      </c>
      <c r="K165" s="22">
        <f>_xlfn.CONCAT(dll[[#This Row],[lob]], " ", dll[[#This Row],[valid_vintage]])</f>
        <v/>
      </c>
    </row>
    <row r="166">
      <c r="A166" t="inlineStr">
        <is>
          <t>2017 Q2</t>
        </is>
      </c>
      <c r="B166" t="inlineStr">
        <is>
          <t>AN</t>
        </is>
      </c>
      <c r="C166" s="22" t="n">
        <v>0</v>
      </c>
      <c r="D166" s="22" t="n">
        <v>0.303149606299212</v>
      </c>
      <c r="E166" s="22" t="n">
        <v>0.606299212598425</v>
      </c>
      <c r="F166" s="22" t="n">
        <v>0.0905511811023622</v>
      </c>
      <c r="G166" s="22" t="n">
        <v>0</v>
      </c>
      <c r="H166" s="22" t="n">
        <v>0</v>
      </c>
      <c r="I166" s="22" t="n">
        <v>0.303149606299212</v>
      </c>
      <c r="J166" s="22" t="n">
        <v>0.0905511811023622</v>
      </c>
      <c r="K166" s="22">
        <f>_xlfn.CONCAT(dll[[#This Row],[lob]], " ", dll[[#This Row],[valid_vintage]])</f>
        <v/>
      </c>
    </row>
    <row r="167">
      <c r="A167" t="inlineStr">
        <is>
          <t>2017 Q2</t>
        </is>
      </c>
      <c r="B167" t="inlineStr">
        <is>
          <t>FRN</t>
        </is>
      </c>
      <c r="C167" s="22" t="n">
        <v>0</v>
      </c>
      <c r="D167" s="22" t="n">
        <v>0.0892388451443569</v>
      </c>
      <c r="E167" s="22" t="n">
        <v>0.695538057742782</v>
      </c>
      <c r="F167" s="22" t="n">
        <v>0.188976377952755</v>
      </c>
      <c r="G167" s="22" t="n">
        <v>0.0262467191601049</v>
      </c>
      <c r="H167" s="22" t="n">
        <v>0</v>
      </c>
      <c r="I167" s="22" t="n">
        <v>0.0892388451443569</v>
      </c>
      <c r="J167" s="22" t="n">
        <v>0.21522309711286</v>
      </c>
      <c r="K167" s="22">
        <f>_xlfn.CONCAT(dll[[#This Row],[lob]], " ", dll[[#This Row],[valid_vintage]])</f>
        <v/>
      </c>
    </row>
    <row r="168">
      <c r="A168" t="inlineStr">
        <is>
          <t>2017 Q2</t>
        </is>
      </c>
      <c r="B168" t="inlineStr">
        <is>
          <t>STG</t>
        </is>
      </c>
      <c r="C168" s="22" t="n">
        <v>0.0131</v>
      </c>
      <c r="D168" s="22" t="n">
        <v>0.289473684210526</v>
      </c>
      <c r="E168" s="22" t="n">
        <v>0.56578947368421</v>
      </c>
      <c r="F168" s="22" t="n">
        <v>0.120300751879699</v>
      </c>
      <c r="G168" s="22" t="n">
        <v>0.0112781954887218</v>
      </c>
      <c r="H168" s="22" t="n">
        <v>0</v>
      </c>
      <c r="I168" s="22" t="n">
        <v>0.302573684210526</v>
      </c>
      <c r="J168" s="22" t="n">
        <v>0.131578947368421</v>
      </c>
      <c r="K168" s="22">
        <f>_xlfn.CONCAT(dll[[#This Row],[lob]], " ", dll[[#This Row],[valid_vintage]])</f>
        <v/>
      </c>
    </row>
    <row r="169">
      <c r="A169" t="inlineStr">
        <is>
          <t>2017 Q1</t>
        </is>
      </c>
      <c r="B169" t="inlineStr">
        <is>
          <t>STG</t>
        </is>
      </c>
      <c r="C169" s="22" t="n">
        <v>0.0083</v>
      </c>
      <c r="D169" s="22" t="n">
        <v>0.345833333333333</v>
      </c>
      <c r="E169" s="22" t="n">
        <v>0.564583333333333</v>
      </c>
      <c r="F169" s="22" t="n">
        <v>0.0666666666666666</v>
      </c>
      <c r="G169" s="22" t="n">
        <v>0.0145833333333333</v>
      </c>
      <c r="H169" s="22" t="n">
        <v>0</v>
      </c>
      <c r="I169" s="22" t="n">
        <v>0.354133333333333</v>
      </c>
      <c r="J169" s="22" t="n">
        <v>0.08124999999999991</v>
      </c>
      <c r="K169" s="22">
        <f>_xlfn.CONCAT(dll[[#This Row],[lob]], " ", dll[[#This Row],[valid_vintage]])</f>
        <v/>
      </c>
    </row>
    <row r="170">
      <c r="A170" t="inlineStr">
        <is>
          <t>2017 Q1</t>
        </is>
      </c>
      <c r="B170" t="inlineStr">
        <is>
          <t>FLD</t>
        </is>
      </c>
      <c r="C170" s="22" t="n">
        <v>0</v>
      </c>
      <c r="D170" s="22" t="n">
        <v>0.25</v>
      </c>
      <c r="E170" s="22" t="n">
        <v>0.5</v>
      </c>
      <c r="F170" s="22" t="n">
        <v>0.25</v>
      </c>
      <c r="G170" s="22" t="n">
        <v>0</v>
      </c>
      <c r="H170" s="22" t="n">
        <v>0</v>
      </c>
      <c r="I170" s="22" t="n">
        <v>0.25</v>
      </c>
      <c r="J170" s="22" t="n">
        <v>0.25</v>
      </c>
      <c r="K170" s="22">
        <f>_xlfn.CONCAT(dll[[#This Row],[lob]], " ", dll[[#This Row],[valid_vintage]])</f>
        <v/>
      </c>
    </row>
    <row r="171">
      <c r="A171" t="inlineStr">
        <is>
          <t>2017 Q1</t>
        </is>
      </c>
      <c r="B171" t="inlineStr">
        <is>
          <t>AN</t>
        </is>
      </c>
      <c r="C171" s="22" t="n">
        <v>0</v>
      </c>
      <c r="D171" s="22" t="n">
        <v>0.37007874015748</v>
      </c>
      <c r="E171" s="22" t="n">
        <v>0.535433070866141</v>
      </c>
      <c r="F171" s="22" t="n">
        <v>0.0826771653543307</v>
      </c>
      <c r="G171" s="22" t="n">
        <v>0.0118110236220472</v>
      </c>
      <c r="H171" s="22" t="n">
        <v>0</v>
      </c>
      <c r="I171" s="22" t="n">
        <v>0.37007874015748</v>
      </c>
      <c r="J171" s="22" t="n">
        <v>0.0944881889763779</v>
      </c>
      <c r="K171" s="22">
        <f>_xlfn.CONCAT(dll[[#This Row],[lob]], " ", dll[[#This Row],[valid_vintage]])</f>
        <v/>
      </c>
    </row>
    <row r="172">
      <c r="A172" t="inlineStr">
        <is>
          <t>2017 Q1</t>
        </is>
      </c>
      <c r="B172" t="inlineStr">
        <is>
          <t>FRN</t>
        </is>
      </c>
      <c r="C172" s="22" t="n">
        <v>0</v>
      </c>
      <c r="D172" s="22" t="n">
        <v>0.0580110497237569</v>
      </c>
      <c r="E172" s="22" t="n">
        <v>0.740331491712707</v>
      </c>
      <c r="F172" s="22" t="n">
        <v>0.176795580110497</v>
      </c>
      <c r="G172" s="22" t="n">
        <v>0.0248618784530386</v>
      </c>
      <c r="H172" s="22" t="n">
        <v>0</v>
      </c>
      <c r="I172" s="22" t="n">
        <v>0.0580110497237569</v>
      </c>
      <c r="J172" s="22" t="n">
        <v>0.201657458563535</v>
      </c>
      <c r="K172" s="22">
        <f>_xlfn.CONCAT(dll[[#This Row],[lob]], " ", dll[[#This Row],[valid_vintage]])</f>
        <v/>
      </c>
    </row>
    <row r="173">
      <c r="A173" t="inlineStr">
        <is>
          <t>2016 Q4</t>
        </is>
      </c>
      <c r="B173" t="inlineStr">
        <is>
          <t>FLD</t>
        </is>
      </c>
      <c r="C173" s="22" t="n">
        <v>0</v>
      </c>
      <c r="D173" s="22" t="n">
        <v>0.285714285714285</v>
      </c>
      <c r="E173" s="22" t="n">
        <v>0.571428571428571</v>
      </c>
      <c r="F173" s="22" t="n">
        <v>0</v>
      </c>
      <c r="G173" s="22" t="n">
        <v>0.142857142857142</v>
      </c>
      <c r="H173" s="22" t="n">
        <v>0</v>
      </c>
      <c r="I173" s="22" t="n">
        <v>0.285714285714285</v>
      </c>
      <c r="J173" s="22" t="n">
        <v>0.142857142857142</v>
      </c>
      <c r="K173" s="22">
        <f>_xlfn.CONCAT(dll[[#This Row],[lob]], " ", dll[[#This Row],[valid_vintage]])</f>
        <v/>
      </c>
    </row>
    <row r="174">
      <c r="A174" t="inlineStr">
        <is>
          <t>2016 Q4</t>
        </is>
      </c>
      <c r="B174" t="inlineStr">
        <is>
          <t>STG</t>
        </is>
      </c>
      <c r="C174" s="22" t="n">
        <v>0.0091</v>
      </c>
      <c r="D174" s="22" t="n">
        <v>0.26255707762557</v>
      </c>
      <c r="E174" s="22" t="n">
        <v>0.668949771689497</v>
      </c>
      <c r="F174" s="22" t="n">
        <v>0.0547945205479452</v>
      </c>
      <c r="G174" s="22" t="n">
        <v>0.0045662100456621</v>
      </c>
      <c r="H174" s="22" t="n">
        <v>0</v>
      </c>
      <c r="I174" s="22" t="n">
        <v>0.27165707762557</v>
      </c>
      <c r="J174" s="22" t="n">
        <v>0.0593607305936073</v>
      </c>
      <c r="K174" s="22">
        <f>_xlfn.CONCAT(dll[[#This Row],[lob]], " ", dll[[#This Row],[valid_vintage]])</f>
        <v/>
      </c>
    </row>
    <row r="175">
      <c r="A175" t="inlineStr">
        <is>
          <t>2016 Q4</t>
        </is>
      </c>
      <c r="B175" t="inlineStr">
        <is>
          <t>FRN</t>
        </is>
      </c>
      <c r="C175" s="22" t="n">
        <v>0</v>
      </c>
      <c r="D175" s="22" t="n">
        <v>0.0526315789473684</v>
      </c>
      <c r="E175" s="22" t="n">
        <v>0.7485380116959059</v>
      </c>
      <c r="F175" s="22" t="n">
        <v>0.19298245614035</v>
      </c>
      <c r="G175" s="22" t="n">
        <v>0.00584795321637426</v>
      </c>
      <c r="H175" s="22" t="n">
        <v>0</v>
      </c>
      <c r="I175" s="22" t="n">
        <v>0.0526315789473684</v>
      </c>
      <c r="J175" s="22" t="n">
        <v>0.198830409356725</v>
      </c>
      <c r="K175" s="22">
        <f>_xlfn.CONCAT(dll[[#This Row],[lob]], " ", dll[[#This Row],[valid_vintage]])</f>
        <v/>
      </c>
    </row>
    <row r="176">
      <c r="A176" t="inlineStr">
        <is>
          <t>2016 Q4</t>
        </is>
      </c>
      <c r="B176" t="inlineStr">
        <is>
          <t>AN</t>
        </is>
      </c>
      <c r="C176" s="22" t="n">
        <v>0</v>
      </c>
      <c r="D176" s="22" t="n">
        <v>0.334661354581673</v>
      </c>
      <c r="E176" s="22" t="n">
        <v>0.585657370517928</v>
      </c>
      <c r="F176" s="22" t="n">
        <v>0.0717131474103585</v>
      </c>
      <c r="G176" s="22" t="n">
        <v>0.00796812749003984</v>
      </c>
      <c r="H176" s="22" t="n">
        <v>0</v>
      </c>
      <c r="I176" s="22" t="n">
        <v>0.334661354581673</v>
      </c>
      <c r="J176" s="22" t="n">
        <v>0.0796812749003984</v>
      </c>
      <c r="K176" s="22">
        <f>_xlfn.CONCAT(dll[[#This Row],[lob]], " ", dll[[#This Row],[valid_vintage]])</f>
        <v/>
      </c>
    </row>
    <row r="177">
      <c r="A177" t="inlineStr">
        <is>
          <t>2016 Q3</t>
        </is>
      </c>
      <c r="B177" t="inlineStr">
        <is>
          <t>FLD</t>
        </is>
      </c>
      <c r="C177" s="22" t="n">
        <v>0</v>
      </c>
      <c r="D177" s="22" t="n">
        <v>0.714285714285714</v>
      </c>
      <c r="E177" s="22" t="n">
        <v>0.142857142857142</v>
      </c>
      <c r="F177" s="22" t="n">
        <v>0.142857142857142</v>
      </c>
      <c r="G177" s="22" t="n">
        <v>0</v>
      </c>
      <c r="H177" s="22" t="n">
        <v>0</v>
      </c>
      <c r="I177" s="22" t="n">
        <v>0.714285714285714</v>
      </c>
      <c r="J177" s="22" t="n">
        <v>0.142857142857142</v>
      </c>
      <c r="K177" s="22">
        <f>_xlfn.CONCAT(dll[[#This Row],[lob]], " ", dll[[#This Row],[valid_vintage]])</f>
        <v/>
      </c>
    </row>
    <row r="178">
      <c r="A178" t="inlineStr">
        <is>
          <t>2016 Q3</t>
        </is>
      </c>
      <c r="B178" t="inlineStr">
        <is>
          <t>AN</t>
        </is>
      </c>
      <c r="C178" s="22" t="n">
        <v>0</v>
      </c>
      <c r="D178" s="22" t="n">
        <v>0.318965517241379</v>
      </c>
      <c r="E178" s="22" t="n">
        <v>0.625</v>
      </c>
      <c r="F178" s="22" t="n">
        <v>0.0474137931034482</v>
      </c>
      <c r="G178" s="22" t="n">
        <v>0.00862068965517241</v>
      </c>
      <c r="H178" s="22" t="n">
        <v>0</v>
      </c>
      <c r="I178" s="22" t="n">
        <v>0.318965517241379</v>
      </c>
      <c r="J178" s="22" t="n">
        <v>0.0560344827586206</v>
      </c>
      <c r="K178" s="22">
        <f>_xlfn.CONCAT(dll[[#This Row],[lob]], " ", dll[[#This Row],[valid_vintage]])</f>
        <v/>
      </c>
    </row>
    <row r="179">
      <c r="A179" t="inlineStr">
        <is>
          <t>2016 Q3</t>
        </is>
      </c>
      <c r="B179" t="inlineStr">
        <is>
          <t>FRN</t>
        </is>
      </c>
      <c r="C179" s="22" t="n">
        <v>0</v>
      </c>
      <c r="D179" s="22" t="n">
        <v>0.0599369085173501</v>
      </c>
      <c r="E179" s="22" t="n">
        <v>0.725552050473186</v>
      </c>
      <c r="F179" s="22" t="n">
        <v>0.173501577287066</v>
      </c>
      <c r="G179" s="22" t="n">
        <v>0.0410094637223974</v>
      </c>
      <c r="H179" s="22" t="n">
        <v>0</v>
      </c>
      <c r="I179" s="22" t="n">
        <v>0.0599369085173501</v>
      </c>
      <c r="J179" s="22" t="n">
        <v>0.214511041009463</v>
      </c>
      <c r="K179" s="22">
        <f>_xlfn.CONCAT(dll[[#This Row],[lob]], " ", dll[[#This Row],[valid_vintage]])</f>
        <v/>
      </c>
    </row>
    <row r="180">
      <c r="A180" t="inlineStr">
        <is>
          <t>2016 Q3</t>
        </is>
      </c>
      <c r="B180" t="inlineStr">
        <is>
          <t>STG</t>
        </is>
      </c>
      <c r="C180" s="22" t="n">
        <v>0</v>
      </c>
      <c r="D180" s="22" t="n">
        <v>0.384210526315789</v>
      </c>
      <c r="E180" s="22" t="n">
        <v>0.539473684210526</v>
      </c>
      <c r="F180" s="22" t="n">
        <v>0.0736842105263157</v>
      </c>
      <c r="G180" s="22" t="n">
        <v>0.00263157894736842</v>
      </c>
      <c r="H180" s="22" t="n">
        <v>0</v>
      </c>
      <c r="I180" s="22" t="n">
        <v>0.384210526315789</v>
      </c>
      <c r="J180" s="22" t="n">
        <v>0.0763157894736842</v>
      </c>
      <c r="K180" s="22">
        <f>_xlfn.CONCAT(dll[[#This Row],[lob]], " ", dll[[#This Row],[valid_vintage]])</f>
        <v/>
      </c>
    </row>
    <row r="181">
      <c r="A181" t="inlineStr">
        <is>
          <t>2016 Q2</t>
        </is>
      </c>
      <c r="B181" t="inlineStr">
        <is>
          <t>AN</t>
        </is>
      </c>
      <c r="C181" s="22" t="n">
        <v>0</v>
      </c>
      <c r="D181" s="22" t="n">
        <v>0.325991189427312</v>
      </c>
      <c r="E181" s="22" t="n">
        <v>0.621145374449339</v>
      </c>
      <c r="F181" s="22" t="n">
        <v>0.0484581497797356</v>
      </c>
      <c r="G181" s="22" t="n">
        <v>0.00440528634361233</v>
      </c>
      <c r="H181" s="22" t="n">
        <v>0</v>
      </c>
      <c r="I181" s="22" t="n">
        <v>0.325991189427312</v>
      </c>
      <c r="J181" s="22" t="n">
        <v>0.052863436123348</v>
      </c>
      <c r="K181" s="22">
        <f>_xlfn.CONCAT(dll[[#This Row],[lob]], " ", dll[[#This Row],[valid_vintage]])</f>
        <v/>
      </c>
    </row>
    <row r="182">
      <c r="A182" t="inlineStr">
        <is>
          <t>2016 Q2</t>
        </is>
      </c>
      <c r="B182" t="inlineStr">
        <is>
          <t>FRN</t>
        </is>
      </c>
      <c r="C182" s="22" t="n">
        <v>0.0032</v>
      </c>
      <c r="D182" s="22" t="n">
        <v>0.0451612903225806</v>
      </c>
      <c r="E182" s="22" t="n">
        <v>0.7225806451612899</v>
      </c>
      <c r="F182" s="22" t="n">
        <v>0.183870967741935</v>
      </c>
      <c r="G182" s="22" t="n">
        <v>0.0451612903225806</v>
      </c>
      <c r="H182" s="22" t="n">
        <v>0</v>
      </c>
      <c r="I182" s="22" t="n">
        <v>0.0483612903225806</v>
      </c>
      <c r="J182" s="22" t="n">
        <v>0.229032258064516</v>
      </c>
      <c r="K182" s="22">
        <f>_xlfn.CONCAT(dll[[#This Row],[lob]], " ", dll[[#This Row],[valid_vintage]])</f>
        <v/>
      </c>
    </row>
    <row r="183">
      <c r="A183" t="inlineStr">
        <is>
          <t>2016 Q2</t>
        </is>
      </c>
      <c r="B183" t="inlineStr">
        <is>
          <t>FLD</t>
        </is>
      </c>
      <c r="C183" s="22" t="n">
        <v>0</v>
      </c>
      <c r="D183" s="22" t="n">
        <v>0.714285714285714</v>
      </c>
      <c r="E183" s="22" t="n">
        <v>0.285714285714285</v>
      </c>
      <c r="F183" s="22" t="n">
        <v>0</v>
      </c>
      <c r="G183" s="22" t="n">
        <v>0</v>
      </c>
      <c r="H183" s="22" t="n">
        <v>0</v>
      </c>
      <c r="I183" s="22" t="n">
        <v>0.714285714285714</v>
      </c>
      <c r="J183" s="22" t="n">
        <v>0</v>
      </c>
      <c r="K183" s="22">
        <f>_xlfn.CONCAT(dll[[#This Row],[lob]], " ", dll[[#This Row],[valid_vintage]])</f>
        <v/>
      </c>
    </row>
    <row r="184">
      <c r="A184" t="inlineStr">
        <is>
          <t>2016 Q2</t>
        </is>
      </c>
      <c r="B184" t="inlineStr">
        <is>
          <t>STG</t>
        </is>
      </c>
      <c r="C184" s="22" t="n">
        <v>0.0342</v>
      </c>
      <c r="D184" s="22" t="n">
        <v>0.417445482866043</v>
      </c>
      <c r="E184" s="22" t="n">
        <v>0.470404984423676</v>
      </c>
      <c r="F184" s="22" t="n">
        <v>0.07165109034267909</v>
      </c>
      <c r="G184" s="22" t="n">
        <v>0.00623052959501557</v>
      </c>
      <c r="H184" s="22" t="n">
        <v>0</v>
      </c>
      <c r="I184" s="22" t="n">
        <v>0.451645482866043</v>
      </c>
      <c r="J184" s="22" t="n">
        <v>0.0778816199376946</v>
      </c>
      <c r="K184" s="22">
        <f>_xlfn.CONCAT(dll[[#This Row],[lob]], " ", dll[[#This Row],[valid_vintage]])</f>
        <v/>
      </c>
    </row>
    <row r="185">
      <c r="A185" t="inlineStr">
        <is>
          <t>2016 Q1</t>
        </is>
      </c>
      <c r="B185" t="inlineStr">
        <is>
          <t>FRN</t>
        </is>
      </c>
      <c r="C185" s="22" t="n">
        <v>0.0032</v>
      </c>
      <c r="D185" s="22" t="n">
        <v>0.0261437908496732</v>
      </c>
      <c r="E185" s="22" t="n">
        <v>0.725490196078431</v>
      </c>
      <c r="F185" s="22" t="n">
        <v>0.199346405228758</v>
      </c>
      <c r="G185" s="22" t="n">
        <v>0.0457516339869281</v>
      </c>
      <c r="H185" s="22" t="n">
        <v>0</v>
      </c>
      <c r="I185" s="22" t="n">
        <v>0.0293437908496732</v>
      </c>
      <c r="J185" s="22" t="n">
        <v>0.245098039215686</v>
      </c>
      <c r="K185" s="22">
        <f>_xlfn.CONCAT(dll[[#This Row],[lob]], " ", dll[[#This Row],[valid_vintage]])</f>
        <v/>
      </c>
    </row>
    <row r="186">
      <c r="A186" t="inlineStr">
        <is>
          <t>2016 Q1</t>
        </is>
      </c>
      <c r="B186" t="inlineStr">
        <is>
          <t>AN</t>
        </is>
      </c>
      <c r="C186" s="22" t="n">
        <v>0</v>
      </c>
      <c r="D186" s="22" t="n">
        <v>0.440528634361233</v>
      </c>
      <c r="E186" s="22" t="n">
        <v>0.480176211453744</v>
      </c>
      <c r="F186" s="22" t="n">
        <v>0.079295154185022</v>
      </c>
      <c r="G186" s="22" t="n">
        <v>0</v>
      </c>
      <c r="H186" s="22" t="n">
        <v>0</v>
      </c>
      <c r="I186" s="22" t="n">
        <v>0.440528634361233</v>
      </c>
      <c r="J186" s="22" t="n">
        <v>0.079295154185022</v>
      </c>
      <c r="K186" s="22">
        <f>_xlfn.CONCAT(dll[[#This Row],[lob]], " ", dll[[#This Row],[valid_vintage]])</f>
        <v/>
      </c>
    </row>
    <row r="187">
      <c r="A187" t="inlineStr">
        <is>
          <t>2016 Q1</t>
        </is>
      </c>
      <c r="B187" t="inlineStr">
        <is>
          <t>FLD</t>
        </is>
      </c>
      <c r="C187" s="22" t="n">
        <v>0</v>
      </c>
      <c r="D187" s="22" t="n">
        <v>0.428571428571428</v>
      </c>
      <c r="E187" s="22" t="n">
        <v>0.571428571428571</v>
      </c>
      <c r="F187" s="22" t="n">
        <v>0</v>
      </c>
      <c r="G187" s="22" t="n">
        <v>0</v>
      </c>
      <c r="H187" s="22" t="n">
        <v>0</v>
      </c>
      <c r="I187" s="22" t="n">
        <v>0.428571428571428</v>
      </c>
      <c r="J187" s="22" t="n">
        <v>0</v>
      </c>
      <c r="K187" s="22">
        <f>_xlfn.CONCAT(dll[[#This Row],[lob]], " ", dll[[#This Row],[valid_vintage]])</f>
        <v/>
      </c>
    </row>
    <row r="188">
      <c r="A188" t="inlineStr">
        <is>
          <t>2016 Q1</t>
        </is>
      </c>
      <c r="B188" t="inlineStr">
        <is>
          <t>STG</t>
        </is>
      </c>
      <c r="C188" s="22" t="n">
        <v>0.0283</v>
      </c>
      <c r="D188" s="22" t="n">
        <v>0.354609929078014</v>
      </c>
      <c r="E188" s="22" t="n">
        <v>0.546099290780141</v>
      </c>
      <c r="F188" s="22" t="n">
        <v>0.06382978723404251</v>
      </c>
      <c r="G188" s="22" t="n">
        <v>0.00709219858156028</v>
      </c>
      <c r="H188" s="22" t="n">
        <v>0</v>
      </c>
      <c r="I188" s="22" t="n">
        <v>0.382909929078014</v>
      </c>
      <c r="J188" s="22" t="n">
        <v>0.0709219858156028</v>
      </c>
      <c r="K188" s="22">
        <f>_xlfn.CONCAT(dll[[#This Row],[lob]], " ", dll[[#This Row],[valid_vintage]])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zoomScale="175" zoomScaleNormal="175" workbookViewId="0">
      <selection activeCell="I23" sqref="I23"/>
    </sheetView>
  </sheetViews>
  <sheetFormatPr baseColWidth="8" defaultRowHeight="14.5"/>
  <cols>
    <col width="14.90625" customWidth="1" style="43" min="1" max="1"/>
    <col width="13.26953125" customWidth="1" style="43" min="2" max="2"/>
    <col width="10.81640625" customWidth="1" style="43" min="3" max="6"/>
    <col width="12.08984375" bestFit="1" customWidth="1" style="43" min="7" max="7"/>
  </cols>
  <sheetData>
    <row r="1">
      <c r="A1" t="inlineStr">
        <is>
          <t>vintage</t>
        </is>
      </c>
      <c r="B1" t="inlineStr">
        <is>
          <t>lob</t>
        </is>
      </c>
      <c r="C1" t="inlineStr">
        <is>
          <t>dq_3</t>
        </is>
      </c>
      <c r="D1" t="inlineStr">
        <is>
          <t>dq_6</t>
        </is>
      </c>
      <c r="E1" t="inlineStr">
        <is>
          <t>co_6</t>
        </is>
      </c>
      <c r="F1" t="inlineStr">
        <is>
          <t>co_12</t>
        </is>
      </c>
      <c r="G1" t="inlineStr">
        <is>
          <t>lookup</t>
        </is>
      </c>
    </row>
    <row r="2">
      <c r="A2" t="inlineStr">
        <is>
          <t>2023 Q3</t>
        </is>
      </c>
      <c r="B2" t="inlineStr">
        <is>
          <t>AN</t>
        </is>
      </c>
      <c r="C2" t="n">
        <v>0.1846</v>
      </c>
      <c r="D2" t="n">
        <v>0.1658</v>
      </c>
      <c r="E2" t="n">
        <v>0.0528</v>
      </c>
      <c r="F2" t="n">
        <v>0.1322</v>
      </c>
      <c r="G2">
        <f>_xlfn.CONCAT(dq[[#This Row],[lob]]," ", dq[[#This Row],[vintage]])</f>
        <v/>
      </c>
    </row>
    <row r="3">
      <c r="A3" t="inlineStr">
        <is>
          <t>2023 Q4</t>
        </is>
      </c>
      <c r="B3" t="inlineStr">
        <is>
          <t>AN</t>
        </is>
      </c>
      <c r="C3" t="n">
        <v>0.1478</v>
      </c>
      <c r="D3" t="n">
        <v>0.138</v>
      </c>
      <c r="E3" t="n">
        <v>0.038</v>
      </c>
      <c r="F3" t="n">
        <v>0.1305</v>
      </c>
      <c r="G3">
        <f>_xlfn.CONCAT(dq[[#This Row],[lob]]," ", dq[[#This Row],[vintage]])</f>
        <v/>
      </c>
    </row>
    <row r="4">
      <c r="A4" t="inlineStr">
        <is>
          <t>2024 Q1</t>
        </is>
      </c>
      <c r="B4" t="inlineStr">
        <is>
          <t>AN</t>
        </is>
      </c>
      <c r="C4" t="n">
        <v>0.1518</v>
      </c>
      <c r="D4" t="n">
        <v>0.1625</v>
      </c>
      <c r="E4" t="n">
        <v>0.0364</v>
      </c>
      <c r="F4" t="n">
        <v>0.1368</v>
      </c>
      <c r="G4">
        <f>_xlfn.CONCAT(dq[[#This Row],[lob]]," ", dq[[#This Row],[vintage]])</f>
        <v/>
      </c>
    </row>
    <row r="5">
      <c r="A5" t="inlineStr">
        <is>
          <t>2024 Q2</t>
        </is>
      </c>
      <c r="B5" t="inlineStr">
        <is>
          <t>AN</t>
        </is>
      </c>
      <c r="C5" t="n">
        <v>0.1709</v>
      </c>
      <c r="D5" t="n">
        <v>0.1747</v>
      </c>
      <c r="E5" t="n">
        <v>0.0446</v>
      </c>
      <c r="F5" t="n">
        <v>0.1401</v>
      </c>
      <c r="G5">
        <f>_xlfn.CONCAT(dq[[#This Row],[lob]]," ", dq[[#This Row],[vintage]])</f>
        <v/>
      </c>
    </row>
    <row r="6">
      <c r="A6" t="inlineStr">
        <is>
          <t>2024 Q3</t>
        </is>
      </c>
      <c r="B6" t="inlineStr">
        <is>
          <t>AN</t>
        </is>
      </c>
      <c r="C6" t="n">
        <v>0.1679</v>
      </c>
      <c r="D6" t="n">
        <v>0.1688</v>
      </c>
      <c r="E6" t="n">
        <v>0.0449</v>
      </c>
      <c r="F6" t="n">
        <v>0.142</v>
      </c>
      <c r="G6">
        <f>_xlfn.CONCAT(dq[[#This Row],[lob]]," ", dq[[#This Row],[vintage]])</f>
        <v/>
      </c>
    </row>
    <row r="7">
      <c r="A7" t="inlineStr">
        <is>
          <t>2024 Q4</t>
        </is>
      </c>
      <c r="B7" t="inlineStr">
        <is>
          <t>AN</t>
        </is>
      </c>
      <c r="C7" t="n">
        <v>0.1683</v>
      </c>
      <c r="D7" t="n">
        <v>0.1494</v>
      </c>
      <c r="E7" t="n">
        <v>0.0358</v>
      </c>
      <c r="F7" t="n">
        <v>0.1521</v>
      </c>
      <c r="G7">
        <f>_xlfn.CONCAT(dq[[#This Row],[lob]]," ", dq[[#This Row],[vintage]])</f>
        <v/>
      </c>
    </row>
    <row r="8">
      <c r="A8" t="inlineStr">
        <is>
          <t>2025 Q1</t>
        </is>
      </c>
      <c r="B8" t="inlineStr">
        <is>
          <t>AN</t>
        </is>
      </c>
      <c r="C8" t="n">
        <v>0.1923</v>
      </c>
      <c r="D8" t="n">
        <v>0.1858</v>
      </c>
      <c r="E8" t="n">
        <v>0.0484</v>
      </c>
      <c r="F8" t="n">
        <v>0.1579</v>
      </c>
      <c r="G8">
        <f>_xlfn.CONCAT(dq[[#This Row],[lob]]," ", dq[[#This Row],[vintage]])</f>
        <v/>
      </c>
    </row>
    <row r="9">
      <c r="A9" t="inlineStr">
        <is>
          <t>2025 Q2</t>
        </is>
      </c>
      <c r="B9" t="inlineStr">
        <is>
          <t>AN</t>
        </is>
      </c>
      <c r="C9" t="n">
        <v>0.1683</v>
      </c>
      <c r="D9" t="n">
        <v>0.1775</v>
      </c>
      <c r="E9" t="n">
        <v>0.0382</v>
      </c>
      <c r="G9">
        <f>_xlfn.CONCAT(dq[[#This Row],[lob]]," ", dq[[#This Row],[vintage]])</f>
        <v/>
      </c>
    </row>
    <row r="10">
      <c r="A10" t="inlineStr">
        <is>
          <t>2025 Q3</t>
        </is>
      </c>
      <c r="B10" t="inlineStr">
        <is>
          <t>AN</t>
        </is>
      </c>
      <c r="C10" t="n">
        <v>0.1724</v>
      </c>
      <c r="D10" t="n">
        <v>0.1693</v>
      </c>
      <c r="E10" t="n">
        <v>0.0265</v>
      </c>
      <c r="G10">
        <f>_xlfn.CONCAT(dq[[#This Row],[lob]]," ", dq[[#This Row],[vintage]])</f>
        <v/>
      </c>
    </row>
    <row r="11">
      <c r="A11" t="inlineStr">
        <is>
          <t>2023 Q3</t>
        </is>
      </c>
      <c r="B11" t="inlineStr">
        <is>
          <t>ENT</t>
        </is>
      </c>
      <c r="C11" t="n">
        <v>0.1628</v>
      </c>
      <c r="D11" t="n">
        <v>0.1814</v>
      </c>
      <c r="E11" t="n">
        <v>0.0348</v>
      </c>
      <c r="F11" t="n">
        <v>0.1416</v>
      </c>
      <c r="G11">
        <f>_xlfn.CONCAT(dq[[#This Row],[lob]]," ", dq[[#This Row],[vintage]])</f>
        <v/>
      </c>
    </row>
    <row r="12">
      <c r="A12" t="inlineStr">
        <is>
          <t>2023 Q4</t>
        </is>
      </c>
      <c r="B12" t="inlineStr">
        <is>
          <t>ENT</t>
        </is>
      </c>
      <c r="C12" t="n">
        <v>0.1561</v>
      </c>
      <c r="D12" t="n">
        <v>0.1573</v>
      </c>
      <c r="E12" t="n">
        <v>0.0307</v>
      </c>
      <c r="F12" t="n">
        <v>0.1298</v>
      </c>
      <c r="G12">
        <f>_xlfn.CONCAT(dq[[#This Row],[lob]]," ", dq[[#This Row],[vintage]])</f>
        <v/>
      </c>
    </row>
    <row r="13">
      <c r="A13" t="inlineStr">
        <is>
          <t>2024 Q1</t>
        </is>
      </c>
      <c r="B13" t="inlineStr">
        <is>
          <t>ENT</t>
        </is>
      </c>
      <c r="C13" t="n">
        <v>0.1618</v>
      </c>
      <c r="D13" t="n">
        <v>0.181</v>
      </c>
      <c r="E13" t="n">
        <v>0.0322</v>
      </c>
      <c r="F13" t="n">
        <v>0.1311</v>
      </c>
      <c r="G13">
        <f>_xlfn.CONCAT(dq[[#This Row],[lob]]," ", dq[[#This Row],[vintage]])</f>
        <v/>
      </c>
    </row>
    <row r="14">
      <c r="A14" t="inlineStr">
        <is>
          <t>2024 Q2</t>
        </is>
      </c>
      <c r="B14" t="inlineStr">
        <is>
          <t>ENT</t>
        </is>
      </c>
      <c r="C14" t="n">
        <v>0.1946</v>
      </c>
      <c r="D14" t="n">
        <v>0.1839</v>
      </c>
      <c r="E14" t="n">
        <v>0.0366</v>
      </c>
      <c r="F14" t="n">
        <v>0.1248</v>
      </c>
      <c r="G14">
        <f>_xlfn.CONCAT(dq[[#This Row],[lob]]," ", dq[[#This Row],[vintage]])</f>
        <v/>
      </c>
    </row>
    <row r="15">
      <c r="A15" t="inlineStr">
        <is>
          <t>2024 Q3</t>
        </is>
      </c>
      <c r="B15" t="inlineStr">
        <is>
          <t>ENT</t>
        </is>
      </c>
      <c r="C15" t="n">
        <v>0.1733</v>
      </c>
      <c r="D15" t="n">
        <v>0.1842</v>
      </c>
      <c r="E15" t="n">
        <v>0.0303</v>
      </c>
      <c r="F15" t="n">
        <v>0.1244</v>
      </c>
      <c r="G15">
        <f>_xlfn.CONCAT(dq[[#This Row],[lob]]," ", dq[[#This Row],[vintage]])</f>
        <v/>
      </c>
    </row>
    <row r="16">
      <c r="A16" t="inlineStr">
        <is>
          <t>2024 Q4</t>
        </is>
      </c>
      <c r="B16" t="inlineStr">
        <is>
          <t>ENT</t>
        </is>
      </c>
      <c r="C16" t="n">
        <v>0.1977</v>
      </c>
      <c r="D16" t="n">
        <v>0.1731</v>
      </c>
      <c r="E16" t="n">
        <v>0.0341</v>
      </c>
      <c r="F16" t="n">
        <v>0.1492</v>
      </c>
      <c r="G16">
        <f>_xlfn.CONCAT(dq[[#This Row],[lob]]," ", dq[[#This Row],[vintage]])</f>
        <v/>
      </c>
    </row>
    <row r="17">
      <c r="A17" t="inlineStr">
        <is>
          <t>2025 Q1</t>
        </is>
      </c>
      <c r="B17" t="inlineStr">
        <is>
          <t>ENT</t>
        </is>
      </c>
      <c r="C17" t="n">
        <v>0.1988</v>
      </c>
      <c r="D17" t="n">
        <v>0.2152</v>
      </c>
      <c r="E17" t="n">
        <v>0.0412</v>
      </c>
      <c r="F17" t="n">
        <v>0.1358</v>
      </c>
      <c r="G17">
        <f>_xlfn.CONCAT(dq[[#This Row],[lob]]," ", dq[[#This Row],[vintage]])</f>
        <v/>
      </c>
    </row>
    <row r="18">
      <c r="A18" t="inlineStr">
        <is>
          <t>2025 Q2</t>
        </is>
      </c>
      <c r="B18" t="inlineStr">
        <is>
          <t>ENT</t>
        </is>
      </c>
      <c r="C18" t="n">
        <v>0.2357</v>
      </c>
      <c r="D18" t="n">
        <v>0.2179</v>
      </c>
      <c r="E18" t="n">
        <v>0.0468</v>
      </c>
      <c r="G18">
        <f>_xlfn.CONCAT(dq[[#This Row],[lob]]," ", dq[[#This Row],[vintage]])</f>
        <v/>
      </c>
    </row>
    <row r="19">
      <c r="A19" t="inlineStr">
        <is>
          <t>2025 Q3</t>
        </is>
      </c>
      <c r="B19" t="inlineStr">
        <is>
          <t>ENT</t>
        </is>
      </c>
      <c r="C19" t="n">
        <v>0.2254</v>
      </c>
      <c r="D19" t="n">
        <v>0.2302</v>
      </c>
      <c r="E19" t="n">
        <v>0.0398</v>
      </c>
      <c r="G19">
        <f>_xlfn.CONCAT(dq[[#This Row],[lob]]," ", dq[[#This Row],[vintage]])</f>
        <v/>
      </c>
    </row>
    <row r="20">
      <c r="A20" t="inlineStr">
        <is>
          <t>2023 Q3</t>
        </is>
      </c>
      <c r="B20" t="inlineStr">
        <is>
          <t>FLD</t>
        </is>
      </c>
      <c r="C20" t="n">
        <v>0.1258</v>
      </c>
      <c r="D20" t="n">
        <v>0.1402</v>
      </c>
      <c r="E20" t="n">
        <v>0.0429</v>
      </c>
      <c r="F20" t="n">
        <v>0.1213</v>
      </c>
      <c r="G20">
        <f>_xlfn.CONCAT(dq[[#This Row],[lob]]," ", dq[[#This Row],[vintage]])</f>
        <v/>
      </c>
    </row>
    <row r="21">
      <c r="A21" t="inlineStr">
        <is>
          <t>2023 Q4</t>
        </is>
      </c>
      <c r="B21" t="inlineStr">
        <is>
          <t>FLD</t>
        </is>
      </c>
      <c r="C21" t="n">
        <v>0.1218</v>
      </c>
      <c r="D21" t="n">
        <v>0.1206</v>
      </c>
      <c r="E21" t="n">
        <v>0.0492</v>
      </c>
      <c r="F21" t="n">
        <v>0.1141</v>
      </c>
      <c r="G21">
        <f>_xlfn.CONCAT(dq[[#This Row],[lob]]," ", dq[[#This Row],[vintage]])</f>
        <v/>
      </c>
    </row>
    <row r="22">
      <c r="A22" t="inlineStr">
        <is>
          <t>2024 Q1</t>
        </is>
      </c>
      <c r="B22" t="inlineStr">
        <is>
          <t>FLD</t>
        </is>
      </c>
      <c r="C22" t="n">
        <v>0.15</v>
      </c>
      <c r="D22" t="n">
        <v>0.1597</v>
      </c>
      <c r="E22" t="n">
        <v>0.0401</v>
      </c>
      <c r="F22" t="n">
        <v>0.1216</v>
      </c>
      <c r="G22">
        <f>_xlfn.CONCAT(dq[[#This Row],[lob]]," ", dq[[#This Row],[vintage]])</f>
        <v/>
      </c>
    </row>
    <row r="23">
      <c r="A23" t="inlineStr">
        <is>
          <t>2024 Q2</t>
        </is>
      </c>
      <c r="B23" t="inlineStr">
        <is>
          <t>FLD</t>
        </is>
      </c>
      <c r="C23" t="n">
        <v>0.1505</v>
      </c>
      <c r="D23" t="n">
        <v>0.1247</v>
      </c>
      <c r="E23" t="n">
        <v>0.0289</v>
      </c>
      <c r="F23" t="n">
        <v>0.0992</v>
      </c>
      <c r="G23">
        <f>_xlfn.CONCAT(dq[[#This Row],[lob]]," ", dq[[#This Row],[vintage]])</f>
        <v/>
      </c>
    </row>
    <row r="24">
      <c r="A24" t="inlineStr">
        <is>
          <t>2024 Q3</t>
        </is>
      </c>
      <c r="B24" t="inlineStr">
        <is>
          <t>FLD</t>
        </is>
      </c>
      <c r="C24" t="n">
        <v>0.126</v>
      </c>
      <c r="D24" t="n">
        <v>0.128</v>
      </c>
      <c r="E24" t="n">
        <v>0.0152</v>
      </c>
      <c r="F24" t="n">
        <v>0.1019</v>
      </c>
      <c r="G24">
        <f>_xlfn.CONCAT(dq[[#This Row],[lob]]," ", dq[[#This Row],[vintage]])</f>
        <v/>
      </c>
    </row>
    <row r="25">
      <c r="A25" t="inlineStr">
        <is>
          <t>2024 Q4</t>
        </is>
      </c>
      <c r="B25" t="inlineStr">
        <is>
          <t>FLD</t>
        </is>
      </c>
      <c r="C25" t="n">
        <v>0.1563</v>
      </c>
      <c r="D25" t="n">
        <v>0.143</v>
      </c>
      <c r="E25" t="n">
        <v>0.0229</v>
      </c>
      <c r="F25" t="n">
        <v>0.105</v>
      </c>
      <c r="G25">
        <f>_xlfn.CONCAT(dq[[#This Row],[lob]]," ", dq[[#This Row],[vintage]])</f>
        <v/>
      </c>
    </row>
    <row r="26">
      <c r="A26" t="inlineStr">
        <is>
          <t>2025 Q1</t>
        </is>
      </c>
      <c r="B26" t="inlineStr">
        <is>
          <t>FLD</t>
        </is>
      </c>
      <c r="C26" t="n">
        <v>0.186</v>
      </c>
      <c r="D26" t="n">
        <v>0.2091</v>
      </c>
      <c r="E26" t="n">
        <v>0.0356</v>
      </c>
      <c r="F26" t="n">
        <v>0.1288</v>
      </c>
      <c r="G26">
        <f>_xlfn.CONCAT(dq[[#This Row],[lob]]," ", dq[[#This Row],[vintage]])</f>
        <v/>
      </c>
    </row>
    <row r="27">
      <c r="A27" t="inlineStr">
        <is>
          <t>2025 Q2</t>
        </is>
      </c>
      <c r="B27" t="inlineStr">
        <is>
          <t>FLD</t>
        </is>
      </c>
      <c r="C27" t="n">
        <v>0.1884</v>
      </c>
      <c r="D27" t="n">
        <v>0.1962</v>
      </c>
      <c r="E27" t="n">
        <v>0.0506</v>
      </c>
      <c r="G27">
        <f>_xlfn.CONCAT(dq[[#This Row],[lob]]," ", dq[[#This Row],[vintage]])</f>
        <v/>
      </c>
    </row>
    <row r="28">
      <c r="A28" t="inlineStr">
        <is>
          <t>2025 Q3</t>
        </is>
      </c>
      <c r="B28" t="inlineStr">
        <is>
          <t>FLD</t>
        </is>
      </c>
      <c r="C28" t="n">
        <v>0.1902</v>
      </c>
      <c r="D28" t="n">
        <v>0.1584</v>
      </c>
      <c r="E28" t="n">
        <v>0.0296</v>
      </c>
      <c r="G28">
        <f>_xlfn.CONCAT(dq[[#This Row],[lob]]," ", dq[[#This Row],[vintage]])</f>
        <v/>
      </c>
    </row>
    <row r="29">
      <c r="A29" t="inlineStr">
        <is>
          <t>2023 Q3</t>
        </is>
      </c>
      <c r="B29" t="inlineStr">
        <is>
          <t>FRN</t>
        </is>
      </c>
      <c r="C29" t="n">
        <v>0.1996</v>
      </c>
      <c r="D29" t="n">
        <v>0.2113</v>
      </c>
      <c r="E29" t="n">
        <v>0.0644</v>
      </c>
      <c r="F29" t="n">
        <v>0.1942</v>
      </c>
      <c r="G29">
        <f>_xlfn.CONCAT(dq[[#This Row],[lob]]," ", dq[[#This Row],[vintage]])</f>
        <v/>
      </c>
    </row>
    <row r="30">
      <c r="A30" t="inlineStr">
        <is>
          <t>2023 Q4</t>
        </is>
      </c>
      <c r="B30" t="inlineStr">
        <is>
          <t>FRN</t>
        </is>
      </c>
      <c r="C30" t="n">
        <v>0.1961</v>
      </c>
      <c r="D30" t="n">
        <v>0.1961</v>
      </c>
      <c r="E30" t="n">
        <v>0.0513</v>
      </c>
      <c r="F30" t="n">
        <v>0.1876</v>
      </c>
      <c r="G30">
        <f>_xlfn.CONCAT(dq[[#This Row],[lob]]," ", dq[[#This Row],[vintage]])</f>
        <v/>
      </c>
    </row>
    <row r="31">
      <c r="A31" t="inlineStr">
        <is>
          <t>2024 Q1</t>
        </is>
      </c>
      <c r="B31" t="inlineStr">
        <is>
          <t>FRN</t>
        </is>
      </c>
      <c r="C31" t="n">
        <v>0.2093</v>
      </c>
      <c r="D31" t="n">
        <v>0.2312</v>
      </c>
      <c r="E31" t="n">
        <v>0.0578</v>
      </c>
      <c r="F31" t="n">
        <v>0.1871</v>
      </c>
      <c r="G31">
        <f>_xlfn.CONCAT(dq[[#This Row],[lob]]," ", dq[[#This Row],[vintage]])</f>
        <v/>
      </c>
    </row>
    <row r="32">
      <c r="A32" t="inlineStr">
        <is>
          <t>2024 Q2</t>
        </is>
      </c>
      <c r="B32" t="inlineStr">
        <is>
          <t>FRN</t>
        </is>
      </c>
      <c r="C32" t="n">
        <v>0.1922</v>
      </c>
      <c r="D32" t="n">
        <v>0.2045</v>
      </c>
      <c r="E32" t="n">
        <v>0.0558</v>
      </c>
      <c r="F32" t="n">
        <v>0.1756</v>
      </c>
      <c r="G32">
        <f>_xlfn.CONCAT(dq[[#This Row],[lob]]," ", dq[[#This Row],[vintage]])</f>
        <v/>
      </c>
    </row>
    <row r="33">
      <c r="A33" t="inlineStr">
        <is>
          <t>2024 Q3</t>
        </is>
      </c>
      <c r="B33" t="inlineStr">
        <is>
          <t>FRN</t>
        </is>
      </c>
      <c r="C33" t="n">
        <v>0.182</v>
      </c>
      <c r="D33" t="n">
        <v>0.2</v>
      </c>
      <c r="E33" t="n">
        <v>0.0498</v>
      </c>
      <c r="F33" t="n">
        <v>0.1821</v>
      </c>
      <c r="G33">
        <f>_xlfn.CONCAT(dq[[#This Row],[lob]]," ", dq[[#This Row],[vintage]])</f>
        <v/>
      </c>
    </row>
    <row r="34">
      <c r="A34" t="inlineStr">
        <is>
          <t>2024 Q4</t>
        </is>
      </c>
      <c r="B34" t="inlineStr">
        <is>
          <t>FRN</t>
        </is>
      </c>
      <c r="C34" t="n">
        <v>0.2089</v>
      </c>
      <c r="D34" t="n">
        <v>0.2197</v>
      </c>
      <c r="E34" t="n">
        <v>0.0663</v>
      </c>
      <c r="F34" t="n">
        <v>0.2139</v>
      </c>
      <c r="G34">
        <f>_xlfn.CONCAT(dq[[#This Row],[lob]]," ", dq[[#This Row],[vintage]])</f>
        <v/>
      </c>
    </row>
    <row r="35">
      <c r="A35" t="inlineStr">
        <is>
          <t>2025 Q1</t>
        </is>
      </c>
      <c r="B35" t="inlineStr">
        <is>
          <t>FRN</t>
        </is>
      </c>
      <c r="C35" t="n">
        <v>0.216</v>
      </c>
      <c r="D35" t="n">
        <v>0.2396</v>
      </c>
      <c r="E35" t="n">
        <v>0.06900000000000001</v>
      </c>
      <c r="F35" t="n">
        <v>0.2069</v>
      </c>
      <c r="G35">
        <f>_xlfn.CONCAT(dq[[#This Row],[lob]]," ", dq[[#This Row],[vintage]])</f>
        <v/>
      </c>
    </row>
    <row r="36">
      <c r="A36" t="inlineStr">
        <is>
          <t>2025 Q2</t>
        </is>
      </c>
      <c r="B36" t="inlineStr">
        <is>
          <t>FRN</t>
        </is>
      </c>
      <c r="C36" t="n">
        <v>0.2386</v>
      </c>
      <c r="D36" t="n">
        <v>0.25</v>
      </c>
      <c r="E36" t="n">
        <v>0.0786</v>
      </c>
      <c r="G36">
        <f>_xlfn.CONCAT(dq[[#This Row],[lob]]," ", dq[[#This Row],[vintage]])</f>
        <v/>
      </c>
    </row>
    <row r="37">
      <c r="A37" t="inlineStr">
        <is>
          <t>2025 Q3</t>
        </is>
      </c>
      <c r="B37" t="inlineStr">
        <is>
          <t>FRN</t>
        </is>
      </c>
      <c r="C37" t="n">
        <v>0.2324</v>
      </c>
      <c r="D37" t="n">
        <v>0.2651</v>
      </c>
      <c r="E37" t="n">
        <v>0.07340000000000001</v>
      </c>
      <c r="G37">
        <f>_xlfn.CONCAT(dq[[#This Row],[lob]]," ", dq[[#This Row],[vintage]])</f>
        <v/>
      </c>
    </row>
    <row r="38">
      <c r="A38" t="inlineStr">
        <is>
          <t>2023 Q3</t>
        </is>
      </c>
      <c r="B38" t="inlineStr">
        <is>
          <t>MCY</t>
        </is>
      </c>
      <c r="C38" t="n">
        <v>0.1817</v>
      </c>
      <c r="D38" t="n">
        <v>0.2431</v>
      </c>
      <c r="E38" t="n">
        <v>0.1087</v>
      </c>
      <c r="F38" t="n">
        <v>0.219</v>
      </c>
      <c r="G38">
        <f>_xlfn.CONCAT(dq[[#This Row],[lob]]," ", dq[[#This Row],[vintage]])</f>
        <v/>
      </c>
    </row>
    <row r="39">
      <c r="A39" t="inlineStr">
        <is>
          <t>2023 Q4</t>
        </is>
      </c>
      <c r="B39" t="inlineStr">
        <is>
          <t>MCY</t>
        </is>
      </c>
      <c r="C39" t="n">
        <v>0.1785</v>
      </c>
      <c r="D39" t="n">
        <v>0.2059</v>
      </c>
      <c r="E39" t="n">
        <v>0.08110000000000001</v>
      </c>
      <c r="F39" t="n">
        <v>0.2623</v>
      </c>
      <c r="G39">
        <f>_xlfn.CONCAT(dq[[#This Row],[lob]]," ", dq[[#This Row],[vintage]])</f>
        <v/>
      </c>
    </row>
    <row r="40">
      <c r="A40" t="inlineStr">
        <is>
          <t>2024 Q1</t>
        </is>
      </c>
      <c r="B40" t="inlineStr">
        <is>
          <t>MCY</t>
        </is>
      </c>
      <c r="C40" t="n">
        <v>0.1893</v>
      </c>
      <c r="D40" t="n">
        <v>0.2291</v>
      </c>
      <c r="E40" t="n">
        <v>0.0941</v>
      </c>
      <c r="F40" t="n">
        <v>0.264</v>
      </c>
      <c r="G40">
        <f>_xlfn.CONCAT(dq[[#This Row],[lob]]," ", dq[[#This Row],[vintage]])</f>
        <v/>
      </c>
    </row>
    <row r="41">
      <c r="A41" t="inlineStr">
        <is>
          <t>2024 Q2</t>
        </is>
      </c>
      <c r="B41" t="inlineStr">
        <is>
          <t>MCY</t>
        </is>
      </c>
      <c r="C41" t="n">
        <v>0.1826</v>
      </c>
      <c r="D41" t="n">
        <v>0.2152</v>
      </c>
      <c r="E41" t="n">
        <v>0.0964</v>
      </c>
      <c r="F41" t="n">
        <v>0.2806</v>
      </c>
      <c r="G41">
        <f>_xlfn.CONCAT(dq[[#This Row],[lob]]," ", dq[[#This Row],[vintage]])</f>
        <v/>
      </c>
    </row>
    <row r="42">
      <c r="A42" t="inlineStr">
        <is>
          <t>2024 Q3</t>
        </is>
      </c>
      <c r="B42" t="inlineStr">
        <is>
          <t>MCY</t>
        </is>
      </c>
      <c r="C42" t="n">
        <v>0.1966</v>
      </c>
      <c r="D42" t="n">
        <v>0.2121</v>
      </c>
      <c r="E42" t="n">
        <v>0.094</v>
      </c>
      <c r="F42" t="n">
        <v>0.2285</v>
      </c>
      <c r="G42">
        <f>_xlfn.CONCAT(dq[[#This Row],[lob]]," ", dq[[#This Row],[vintage]])</f>
        <v/>
      </c>
    </row>
    <row r="43">
      <c r="A43" t="inlineStr">
        <is>
          <t>2024 Q4</t>
        </is>
      </c>
      <c r="B43" t="inlineStr">
        <is>
          <t>MCY</t>
        </is>
      </c>
      <c r="C43" t="n">
        <v>0.1957</v>
      </c>
      <c r="D43" t="n">
        <v>0.2166</v>
      </c>
      <c r="E43" t="n">
        <v>0.0955</v>
      </c>
      <c r="F43" t="n">
        <v>0.2449</v>
      </c>
      <c r="G43">
        <f>_xlfn.CONCAT(dq[[#This Row],[lob]]," ", dq[[#This Row],[vintage]])</f>
        <v/>
      </c>
    </row>
    <row r="44">
      <c r="A44" t="inlineStr">
        <is>
          <t>2025 Q1</t>
        </is>
      </c>
      <c r="B44" t="inlineStr">
        <is>
          <t>MCY</t>
        </is>
      </c>
      <c r="C44" t="n">
        <v>0.1336</v>
      </c>
      <c r="D44" t="n">
        <v>0.193</v>
      </c>
      <c r="E44" t="n">
        <v>0.0634</v>
      </c>
      <c r="F44" t="n">
        <v>0.2361</v>
      </c>
      <c r="G44">
        <f>_xlfn.CONCAT(dq[[#This Row],[lob]]," ", dq[[#This Row],[vintage]])</f>
        <v/>
      </c>
    </row>
    <row r="45">
      <c r="A45" t="inlineStr">
        <is>
          <t>2025 Q2</t>
        </is>
      </c>
      <c r="B45" t="inlineStr">
        <is>
          <t>MCY</t>
        </is>
      </c>
      <c r="C45" t="n">
        <v>0.1744</v>
      </c>
      <c r="D45" t="n">
        <v>0.2301</v>
      </c>
      <c r="E45" t="n">
        <v>0.07770000000000001</v>
      </c>
      <c r="G45">
        <f>_xlfn.CONCAT(dq[[#This Row],[lob]]," ", dq[[#This Row],[vintage]])</f>
        <v/>
      </c>
    </row>
    <row r="46">
      <c r="A46" t="inlineStr">
        <is>
          <t>2025 Q3</t>
        </is>
      </c>
      <c r="B46" t="inlineStr">
        <is>
          <t>MCY</t>
        </is>
      </c>
      <c r="C46" t="n">
        <v>0.2148</v>
      </c>
      <c r="D46" t="n">
        <v>0.2753</v>
      </c>
      <c r="E46" t="n">
        <v>0.09180000000000001</v>
      </c>
      <c r="G46">
        <f>_xlfn.CONCAT(dq[[#This Row],[lob]]," ", dq[[#This Row],[vintage]])</f>
        <v/>
      </c>
    </row>
    <row r="47">
      <c r="A47" t="inlineStr">
        <is>
          <t>2023 Q3</t>
        </is>
      </c>
      <c r="B47" t="inlineStr">
        <is>
          <t>STG</t>
        </is>
      </c>
      <c r="C47" t="n">
        <v>0.1679</v>
      </c>
      <c r="D47" t="n">
        <v>0.1576</v>
      </c>
      <c r="E47" t="n">
        <v>0.0516</v>
      </c>
      <c r="F47" t="n">
        <v>0.1514</v>
      </c>
      <c r="G47">
        <f>_xlfn.CONCAT(dq[[#This Row],[lob]]," ", dq[[#This Row],[vintage]])</f>
        <v/>
      </c>
    </row>
    <row r="48">
      <c r="A48" t="inlineStr">
        <is>
          <t>2023 Q4</t>
        </is>
      </c>
      <c r="B48" t="inlineStr">
        <is>
          <t>STG</t>
        </is>
      </c>
      <c r="C48" t="n">
        <v>0.1774</v>
      </c>
      <c r="D48" t="n">
        <v>0.1675</v>
      </c>
      <c r="E48" t="n">
        <v>0.0537</v>
      </c>
      <c r="F48" t="n">
        <v>0.1687</v>
      </c>
      <c r="G48">
        <f>_xlfn.CONCAT(dq[[#This Row],[lob]]," ", dq[[#This Row],[vintage]])</f>
        <v/>
      </c>
    </row>
    <row r="49">
      <c r="A49" t="inlineStr">
        <is>
          <t>2024 Q1</t>
        </is>
      </c>
      <c r="B49" t="inlineStr">
        <is>
          <t>STG</t>
        </is>
      </c>
      <c r="C49" t="n">
        <v>0.1538</v>
      </c>
      <c r="D49" t="n">
        <v>0.1756</v>
      </c>
      <c r="E49" t="n">
        <v>0.0415</v>
      </c>
      <c r="F49" t="n">
        <v>0.1558</v>
      </c>
      <c r="G49">
        <f>_xlfn.CONCAT(dq[[#This Row],[lob]]," ", dq[[#This Row],[vintage]])</f>
        <v/>
      </c>
    </row>
    <row r="50">
      <c r="A50" t="inlineStr">
        <is>
          <t>2024 Q2</t>
        </is>
      </c>
      <c r="B50" t="inlineStr">
        <is>
          <t>STG</t>
        </is>
      </c>
      <c r="C50" t="n">
        <v>0.1737</v>
      </c>
      <c r="D50" t="n">
        <v>0.176</v>
      </c>
      <c r="E50" t="n">
        <v>0.0535</v>
      </c>
      <c r="F50" t="n">
        <v>0.1542</v>
      </c>
      <c r="G50">
        <f>_xlfn.CONCAT(dq[[#This Row],[lob]]," ", dq[[#This Row],[vintage]])</f>
        <v/>
      </c>
    </row>
    <row r="51">
      <c r="A51" t="inlineStr">
        <is>
          <t>2024 Q3</t>
        </is>
      </c>
      <c r="B51" t="inlineStr">
        <is>
          <t>STG</t>
        </is>
      </c>
      <c r="C51" t="n">
        <v>0.1673</v>
      </c>
      <c r="D51" t="n">
        <v>0.1715</v>
      </c>
      <c r="E51" t="n">
        <v>0.0489</v>
      </c>
      <c r="F51" t="n">
        <v>0.1591</v>
      </c>
      <c r="G51">
        <f>_xlfn.CONCAT(dq[[#This Row],[lob]]," ", dq[[#This Row],[vintage]])</f>
        <v/>
      </c>
    </row>
    <row r="52">
      <c r="A52" t="inlineStr">
        <is>
          <t>2024 Q4</t>
        </is>
      </c>
      <c r="B52" t="inlineStr">
        <is>
          <t>STG</t>
        </is>
      </c>
      <c r="C52" t="n">
        <v>0.1688</v>
      </c>
      <c r="D52" t="n">
        <v>0.1622</v>
      </c>
      <c r="E52" t="n">
        <v>0.0516</v>
      </c>
      <c r="F52" t="n">
        <v>0.1675</v>
      </c>
      <c r="G52">
        <f>_xlfn.CONCAT(dq[[#This Row],[lob]]," ", dq[[#This Row],[vintage]])</f>
        <v/>
      </c>
    </row>
    <row r="53">
      <c r="A53" t="inlineStr">
        <is>
          <t>2025 Q1</t>
        </is>
      </c>
      <c r="B53" t="inlineStr">
        <is>
          <t>STG</t>
        </is>
      </c>
      <c r="C53" t="n">
        <v>0.1719</v>
      </c>
      <c r="D53" t="n">
        <v>0.1851</v>
      </c>
      <c r="E53" t="n">
        <v>0.0479</v>
      </c>
      <c r="F53" t="n">
        <v>0.1565</v>
      </c>
      <c r="G53">
        <f>_xlfn.CONCAT(dq[[#This Row],[lob]]," ", dq[[#This Row],[vintage]])</f>
        <v/>
      </c>
    </row>
    <row r="54">
      <c r="A54" t="inlineStr">
        <is>
          <t>2025 Q2</t>
        </is>
      </c>
      <c r="B54" t="inlineStr">
        <is>
          <t>STG</t>
        </is>
      </c>
      <c r="C54" t="n">
        <v>0.204</v>
      </c>
      <c r="D54" t="n">
        <v>0.1961</v>
      </c>
      <c r="E54" t="n">
        <v>0.0525</v>
      </c>
      <c r="G54">
        <f>_xlfn.CONCAT(dq[[#This Row],[lob]]," ", dq[[#This Row],[vintage]])</f>
        <v/>
      </c>
    </row>
    <row r="55">
      <c r="A55" t="inlineStr">
        <is>
          <t>2025 Q3</t>
        </is>
      </c>
      <c r="B55" t="inlineStr">
        <is>
          <t>STG</t>
        </is>
      </c>
      <c r="C55" t="n">
        <v>0.2058</v>
      </c>
      <c r="D55" t="n">
        <v>0.2154</v>
      </c>
      <c r="E55" t="n">
        <v>0.0545</v>
      </c>
      <c r="G55">
        <f>_xlfn.CONCAT(dq[[#This Row],[lob]]," ", dq[[#This Row],[vintage]])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24"/>
  <sheetViews>
    <sheetView workbookViewId="0">
      <selection activeCell="A1" sqref="A1"/>
    </sheetView>
  </sheetViews>
  <sheetFormatPr baseColWidth="8" defaultRowHeight="15"/>
  <sheetData>
    <row r="1">
      <c r="B1" s="150" t="inlineStr">
        <is>
          <t>FRN | 2023 Q3</t>
        </is>
      </c>
      <c r="C1" s="150" t="inlineStr">
        <is>
          <t>AN | 2023 Q3</t>
        </is>
      </c>
      <c r="D1" s="150" t="inlineStr">
        <is>
          <t>STG | 2023 Q3</t>
        </is>
      </c>
      <c r="E1" s="150" t="inlineStr">
        <is>
          <t>FLD | 2023 Q3</t>
        </is>
      </c>
      <c r="F1" s="150" t="inlineStr">
        <is>
          <t>ENT | 2023 Q3</t>
        </is>
      </c>
      <c r="G1" s="150" t="inlineStr">
        <is>
          <t>FRN | 2023 Q4</t>
        </is>
      </c>
      <c r="H1" s="150" t="inlineStr">
        <is>
          <t>AN | 2023 Q4</t>
        </is>
      </c>
      <c r="I1" s="150" t="inlineStr">
        <is>
          <t>STG | 2023 Q4</t>
        </is>
      </c>
      <c r="J1" s="150" t="inlineStr">
        <is>
          <t>FLD | 2023 Q4</t>
        </is>
      </c>
      <c r="K1" s="150" t="inlineStr">
        <is>
          <t>ENT | 2023 Q4</t>
        </is>
      </c>
      <c r="L1" s="150" t="inlineStr">
        <is>
          <t>FRN | 2024 Q1</t>
        </is>
      </c>
      <c r="M1" s="150" t="inlineStr">
        <is>
          <t>AN | 2024 Q1</t>
        </is>
      </c>
      <c r="N1" s="150" t="inlineStr">
        <is>
          <t>STG | 2024 Q1</t>
        </is>
      </c>
      <c r="O1" s="150" t="inlineStr">
        <is>
          <t>FLD | 2024 Q1</t>
        </is>
      </c>
      <c r="P1" s="150" t="inlineStr">
        <is>
          <t>ENT | 2024 Q1</t>
        </is>
      </c>
      <c r="Q1" s="150" t="inlineStr">
        <is>
          <t>FRN | 2024 Q2</t>
        </is>
      </c>
      <c r="R1" s="150" t="inlineStr">
        <is>
          <t>AN | 2024 Q2</t>
        </is>
      </c>
      <c r="S1" s="150" t="inlineStr">
        <is>
          <t>STG | 2024 Q2</t>
        </is>
      </c>
      <c r="T1" s="150" t="inlineStr">
        <is>
          <t>FLD | 2024 Q2</t>
        </is>
      </c>
      <c r="U1" s="150" t="inlineStr">
        <is>
          <t>ENT | 2024 Q2</t>
        </is>
      </c>
      <c r="V1" s="150" t="inlineStr">
        <is>
          <t>FRN | 2024 Q3</t>
        </is>
      </c>
      <c r="W1" s="150" t="inlineStr">
        <is>
          <t>AN | 2024 Q3</t>
        </is>
      </c>
      <c r="X1" s="150" t="inlineStr">
        <is>
          <t>STG | 2024 Q3</t>
        </is>
      </c>
      <c r="Y1" s="150" t="inlineStr">
        <is>
          <t>FLD | 2024 Q3</t>
        </is>
      </c>
      <c r="Z1" s="150" t="inlineStr">
        <is>
          <t>ENT | 2024 Q3</t>
        </is>
      </c>
      <c r="AA1" s="150" t="inlineStr">
        <is>
          <t>FRN | 2024 Q4</t>
        </is>
      </c>
      <c r="AB1" s="150" t="inlineStr">
        <is>
          <t>AN | 2024 Q4</t>
        </is>
      </c>
      <c r="AC1" s="150" t="inlineStr">
        <is>
          <t>STG | 2024 Q4</t>
        </is>
      </c>
      <c r="AD1" s="150" t="inlineStr">
        <is>
          <t>FLD | 2024 Q4</t>
        </is>
      </c>
      <c r="AE1" s="150" t="inlineStr">
        <is>
          <t>ENT | 2024 Q4</t>
        </is>
      </c>
      <c r="AF1" s="150" t="inlineStr">
        <is>
          <t>FRN | 2025 Q1</t>
        </is>
      </c>
      <c r="AG1" s="150" t="inlineStr">
        <is>
          <t>AN | 2025 Q1</t>
        </is>
      </c>
      <c r="AH1" s="150" t="inlineStr">
        <is>
          <t>STG | 2025 Q1</t>
        </is>
      </c>
      <c r="AI1" s="150" t="inlineStr">
        <is>
          <t>FLD | 2025 Q1</t>
        </is>
      </c>
      <c r="AJ1" s="150" t="inlineStr">
        <is>
          <t>ENT | 2025 Q1</t>
        </is>
      </c>
      <c r="AK1" s="150" t="inlineStr">
        <is>
          <t>FRN | 2025 Q2</t>
        </is>
      </c>
      <c r="AL1" s="150" t="inlineStr">
        <is>
          <t>AN | 2025 Q2</t>
        </is>
      </c>
      <c r="AM1" s="150" t="inlineStr">
        <is>
          <t>STG | 2025 Q2</t>
        </is>
      </c>
      <c r="AN1" s="150" t="inlineStr">
        <is>
          <t>FLD | 2025 Q2</t>
        </is>
      </c>
      <c r="AO1" s="150" t="inlineStr">
        <is>
          <t>ENT | 2025 Q2</t>
        </is>
      </c>
      <c r="AP1" s="150" t="inlineStr">
        <is>
          <t>FRN | 2025 Q3</t>
        </is>
      </c>
      <c r="AQ1" s="150" t="inlineStr">
        <is>
          <t>AN | 2025 Q3</t>
        </is>
      </c>
      <c r="AR1" s="150" t="inlineStr">
        <is>
          <t>STG | 2025 Q3</t>
        </is>
      </c>
      <c r="AS1" s="150" t="inlineStr">
        <is>
          <t>FLD | 2025 Q3</t>
        </is>
      </c>
      <c r="AT1" s="150" t="inlineStr">
        <is>
          <t>ENT | 2025 Q3</t>
        </is>
      </c>
      <c r="AU1" s="150" t="inlineStr">
        <is>
          <t>FRN | 2025 Q4</t>
        </is>
      </c>
      <c r="AV1" s="150" t="inlineStr">
        <is>
          <t>AN | 2025 Q4</t>
        </is>
      </c>
      <c r="AW1" s="150" t="inlineStr">
        <is>
          <t>STG | 2025 Q4</t>
        </is>
      </c>
      <c r="AX1" s="150" t="inlineStr">
        <is>
          <t>FLD | 2025 Q4</t>
        </is>
      </c>
      <c r="AY1" s="150" t="inlineStr">
        <is>
          <t>ENT | 2025 Q4</t>
        </is>
      </c>
      <c r="AZ1" s="150" t="inlineStr">
        <is>
          <t>FRN | 2026 Q1</t>
        </is>
      </c>
      <c r="BA1" s="150" t="inlineStr">
        <is>
          <t>AN | 2026 Q1</t>
        </is>
      </c>
      <c r="BB1" s="150" t="inlineStr">
        <is>
          <t>STG | 2026 Q1</t>
        </is>
      </c>
      <c r="BC1" s="150" t="inlineStr">
        <is>
          <t>FLD | 2026 Q1</t>
        </is>
      </c>
      <c r="BD1" s="150" t="inlineStr">
        <is>
          <t>ENT | 2026 Q1</t>
        </is>
      </c>
    </row>
    <row r="2">
      <c r="A2" s="150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s="150" t="inlineStr">
        <is>
          <t>01_prev_aca_chargeoff</t>
        </is>
      </c>
      <c r="B3" t="n">
        <v>1.000170357751278</v>
      </c>
      <c r="C3" t="n">
        <v>1.000232738557021</v>
      </c>
      <c r="D3" t="n">
        <v>1.000142857142857</v>
      </c>
      <c r="E3" t="n">
        <v>1.000151745068285</v>
      </c>
      <c r="F3" t="n">
        <v>1.000151103052282</v>
      </c>
      <c r="G3" t="n">
        <v>1.000236282488842</v>
      </c>
      <c r="H3" t="n">
        <v>1.000190114068441</v>
      </c>
      <c r="I3" t="n">
        <v>1.00023596035866</v>
      </c>
      <c r="J3" t="n">
        <v>1.000148148148148</v>
      </c>
      <c r="K3" t="n">
        <v>1.000056866647711</v>
      </c>
      <c r="L3" t="n">
        <v>1.000203311065931</v>
      </c>
      <c r="M3" t="n">
        <v>1.000314836678473</v>
      </c>
      <c r="N3" t="n">
        <v>1.000085154697701</v>
      </c>
      <c r="O3" t="n">
        <v>1.000224047796863</v>
      </c>
      <c r="P3" t="n">
        <v>1.000196008553101</v>
      </c>
      <c r="Q3" t="n">
        <v>1.000180280127583</v>
      </c>
      <c r="R3" t="n">
        <v>1.00030487804878</v>
      </c>
      <c r="S3" t="n">
        <v>1.000234137204402</v>
      </c>
      <c r="T3" t="n">
        <v>1.000121285627653</v>
      </c>
      <c r="U3" t="n">
        <v>1.000147897739277</v>
      </c>
      <c r="V3" t="n">
        <v>1.000294225818316</v>
      </c>
      <c r="W3" t="n">
        <v>1.000367872470877</v>
      </c>
      <c r="X3" t="n">
        <v>1.000159642401022</v>
      </c>
      <c r="Y3" t="n">
        <v>1.000661625708885</v>
      </c>
      <c r="Z3" t="n">
        <v>1.00013698630137</v>
      </c>
      <c r="AA3" t="n">
        <v>1.000347101700798</v>
      </c>
      <c r="AB3" t="n">
        <v>1.000248756218906</v>
      </c>
      <c r="AC3" t="n">
        <v>1.000191693290735</v>
      </c>
      <c r="AD3" t="n">
        <v>1.000408580183861</v>
      </c>
      <c r="AE3" t="n">
        <v>1.000151362260343</v>
      </c>
      <c r="AF3" t="n">
        <v>1.000338231863774</v>
      </c>
      <c r="AG3" t="n">
        <v>1.000320170757737</v>
      </c>
      <c r="AH3" t="n">
        <v>1.000342811050615</v>
      </c>
      <c r="AI3" t="n">
        <v>1.000548081714001</v>
      </c>
      <c r="AJ3" t="n">
        <v>1.000176444640494</v>
      </c>
      <c r="AK3" t="n">
        <v>1.000569476082005</v>
      </c>
      <c r="AL3" t="n">
        <v>1.000474279460051</v>
      </c>
      <c r="AM3" t="n">
        <v>1.000368625844767</v>
      </c>
      <c r="AN3" t="n">
        <v>1.000422609614369</v>
      </c>
      <c r="AO3" t="n">
        <v>1.000140523449851</v>
      </c>
      <c r="AP3" t="n">
        <v>1.00029752583777</v>
      </c>
      <c r="AQ3" t="n">
        <v>1.000393184796854</v>
      </c>
      <c r="AR3" t="n">
        <v>1.000240706071142</v>
      </c>
      <c r="AS3" t="n">
        <v>1.000159574468085</v>
      </c>
      <c r="AT3" t="n">
        <v>1.000221385875581</v>
      </c>
      <c r="AU3" t="n">
        <v>1.000270551508845</v>
      </c>
      <c r="AV3" t="n">
        <v>1.000286697247706</v>
      </c>
      <c r="AW3" t="n">
        <v>1.000278164116829</v>
      </c>
      <c r="AX3" t="n">
        <v>1.000211528291909</v>
      </c>
      <c r="AY3" t="n">
        <v>1.000344736144259</v>
      </c>
      <c r="AZ3" t="n">
        <v>1.000434782608696</v>
      </c>
      <c r="BA3" t="n">
        <v>1.000248447204969</v>
      </c>
      <c r="BB3" t="n">
        <v>1.000208333333333</v>
      </c>
      <c r="BC3" t="n">
        <v>1.000449438202247</v>
      </c>
      <c r="BD3" t="n">
        <v>1.000251414204903</v>
      </c>
    </row>
    <row r="4">
      <c r="A4" s="150" t="inlineStr">
        <is>
          <t>02_small_amt_financed</t>
        </is>
      </c>
      <c r="B4" t="n">
        <v>1.002172061328791</v>
      </c>
      <c r="C4" t="n">
        <v>1.000698215671063</v>
      </c>
      <c r="D4" t="n">
        <v>1.000785714285714</v>
      </c>
      <c r="E4" t="n">
        <v>1.000303490136571</v>
      </c>
      <c r="F4" t="n">
        <v>1.000151103052282</v>
      </c>
      <c r="G4" t="n">
        <v>1.001286426883697</v>
      </c>
      <c r="H4" t="n">
        <v>1.000380228136882</v>
      </c>
      <c r="I4" t="n">
        <v>1.001038225578103</v>
      </c>
      <c r="J4" t="n">
        <v>1.000592592592593</v>
      </c>
      <c r="K4" t="n">
        <v>1.000056866647711</v>
      </c>
      <c r="L4" t="n">
        <v>1.001045599767644</v>
      </c>
      <c r="M4" t="n">
        <v>1.000590318772137</v>
      </c>
      <c r="N4" t="n">
        <v>1.000794777178541</v>
      </c>
      <c r="O4" t="n">
        <v>1.000746825989544</v>
      </c>
      <c r="P4" t="n">
        <v>1.000196008553101</v>
      </c>
      <c r="Q4" t="n">
        <v>1.000998474552767</v>
      </c>
      <c r="R4" t="n">
        <v>1.000566202090592</v>
      </c>
      <c r="S4" t="n">
        <v>1.000655584172325</v>
      </c>
      <c r="T4" t="n">
        <v>1.000485142510612</v>
      </c>
      <c r="U4" t="n">
        <v>1.000147897739277</v>
      </c>
      <c r="V4" t="n">
        <v>1.001121735932328</v>
      </c>
      <c r="W4" t="n">
        <v>1.000858369098713</v>
      </c>
      <c r="X4" t="n">
        <v>1.000893997445722</v>
      </c>
      <c r="Y4" t="n">
        <v>1.000850661625709</v>
      </c>
      <c r="Z4" t="n">
        <v>1.00013698630137</v>
      </c>
      <c r="AA4" t="n">
        <v>1.000347101700798</v>
      </c>
      <c r="AB4" t="n">
        <v>1.000248756218906</v>
      </c>
      <c r="AC4" t="n">
        <v>1.000191693290735</v>
      </c>
      <c r="AD4" t="n">
        <v>1.000408580183861</v>
      </c>
      <c r="AE4" t="n">
        <v>1.000151362260343</v>
      </c>
      <c r="AF4" t="n">
        <v>1.000338231863774</v>
      </c>
      <c r="AG4" t="n">
        <v>1.000320170757737</v>
      </c>
      <c r="AH4" t="n">
        <v>1.000342811050615</v>
      </c>
      <c r="AI4" t="n">
        <v>1.000548081714001</v>
      </c>
      <c r="AJ4" t="n">
        <v>1.000176444640494</v>
      </c>
      <c r="AK4" t="n">
        <v>1.000569476082005</v>
      </c>
      <c r="AL4" t="n">
        <v>1.000474279460051</v>
      </c>
      <c r="AM4" t="n">
        <v>1.000368625844767</v>
      </c>
      <c r="AN4" t="n">
        <v>1.000422609614369</v>
      </c>
      <c r="AO4" t="n">
        <v>1.000140523449851</v>
      </c>
      <c r="AP4" t="n">
        <v>1.00029752583777</v>
      </c>
      <c r="AQ4" t="n">
        <v>1.000393184796854</v>
      </c>
      <c r="AR4" t="n">
        <v>1.000240706071142</v>
      </c>
      <c r="AS4" t="n">
        <v>1.000159574468085</v>
      </c>
      <c r="AT4" t="n">
        <v>1.000221385875581</v>
      </c>
      <c r="AU4" t="n">
        <v>1.000270551508845</v>
      </c>
      <c r="AV4" t="n">
        <v>1.000286697247706</v>
      </c>
      <c r="AW4" t="n">
        <v>1.000278164116829</v>
      </c>
      <c r="AX4" t="n">
        <v>1.000211528291909</v>
      </c>
      <c r="AY4" t="n">
        <v>1.000344736144259</v>
      </c>
      <c r="AZ4" t="n">
        <v>1.000434782608696</v>
      </c>
      <c r="BA4" t="n">
        <v>1.000248447204969</v>
      </c>
      <c r="BB4" t="n">
        <v>1.000208333333333</v>
      </c>
      <c r="BC4" t="n">
        <v>1.000449438202247</v>
      </c>
      <c r="BD4" t="n">
        <v>1.000251414204903</v>
      </c>
    </row>
    <row r="5">
      <c r="A5" s="150" t="inlineStr">
        <is>
          <t>03_zero_cash_down</t>
        </is>
      </c>
      <c r="B5" t="n">
        <v>1.002947189097104</v>
      </c>
      <c r="C5" t="n">
        <v>1.002249806051203</v>
      </c>
      <c r="D5" t="n">
        <v>1.00315</v>
      </c>
      <c r="E5" t="n">
        <v>1.002276176024279</v>
      </c>
      <c r="F5" t="n">
        <v>1.006829857963131</v>
      </c>
      <c r="G5" t="n">
        <v>1.002231556839065</v>
      </c>
      <c r="H5" t="n">
        <v>1.003548795944233</v>
      </c>
      <c r="I5" t="n">
        <v>1.003690420009439</v>
      </c>
      <c r="J5" t="n">
        <v>1.004014814814815</v>
      </c>
      <c r="K5" t="n">
        <v>1.007023030992323</v>
      </c>
      <c r="L5" t="n">
        <v>1.001426081905315</v>
      </c>
      <c r="M5" t="n">
        <v>1.003266430539158</v>
      </c>
      <c r="N5" t="n">
        <v>1.00281294351405</v>
      </c>
      <c r="O5" t="n">
        <v>1.002837938760269</v>
      </c>
      <c r="P5" t="n">
        <v>1.004330007127584</v>
      </c>
      <c r="Q5" t="n">
        <v>1.001651643322701</v>
      </c>
      <c r="R5" t="n">
        <v>1.002482578397212</v>
      </c>
      <c r="S5" t="n">
        <v>1.002980566612035</v>
      </c>
      <c r="T5" t="n">
        <v>1.004608853850819</v>
      </c>
      <c r="U5" t="n">
        <v>1.003676315233467</v>
      </c>
      <c r="V5" t="n">
        <v>1.001860978300846</v>
      </c>
      <c r="W5" t="n">
        <v>1.003004291845494</v>
      </c>
      <c r="X5" t="n">
        <v>1.003100255427842</v>
      </c>
      <c r="Y5" t="n">
        <v>1.003506616257089</v>
      </c>
      <c r="Z5" t="n">
        <v>1.00613698630137</v>
      </c>
      <c r="AA5" t="n">
        <v>1.000347101700798</v>
      </c>
      <c r="AB5" t="n">
        <v>1.000248756218906</v>
      </c>
      <c r="AC5" t="n">
        <v>1.000191693290735</v>
      </c>
      <c r="AD5" t="n">
        <v>1.000408580183861</v>
      </c>
      <c r="AE5" t="n">
        <v>1.000151362260343</v>
      </c>
      <c r="AF5" t="n">
        <v>1.000338231863774</v>
      </c>
      <c r="AG5" t="n">
        <v>1.000320170757737</v>
      </c>
      <c r="AH5" t="n">
        <v>1.000342811050615</v>
      </c>
      <c r="AI5" t="n">
        <v>1.000548081714001</v>
      </c>
      <c r="AJ5" t="n">
        <v>1.000176444640494</v>
      </c>
      <c r="AK5" t="n">
        <v>1.000569476082005</v>
      </c>
      <c r="AL5" t="n">
        <v>1.000474279460051</v>
      </c>
      <c r="AM5" t="n">
        <v>1.000368625844767</v>
      </c>
      <c r="AN5" t="n">
        <v>1.000422609614369</v>
      </c>
      <c r="AO5" t="n">
        <v>1.000140523449851</v>
      </c>
      <c r="AP5" t="n">
        <v>1.00029752583777</v>
      </c>
      <c r="AQ5" t="n">
        <v>1.000393184796854</v>
      </c>
      <c r="AR5" t="n">
        <v>1.000240706071142</v>
      </c>
      <c r="AS5" t="n">
        <v>1.000159574468085</v>
      </c>
      <c r="AT5" t="n">
        <v>1.000221385875581</v>
      </c>
      <c r="AU5" t="n">
        <v>1.000270551508845</v>
      </c>
      <c r="AV5" t="n">
        <v>1.000286697247706</v>
      </c>
      <c r="AW5" t="n">
        <v>1.000278164116829</v>
      </c>
      <c r="AX5" t="n">
        <v>1.000211528291909</v>
      </c>
      <c r="AY5" t="n">
        <v>1.000344736144259</v>
      </c>
      <c r="AZ5" t="n">
        <v>1.000434782608696</v>
      </c>
      <c r="BA5" t="n">
        <v>1.000248447204969</v>
      </c>
      <c r="BB5" t="n">
        <v>1.000208333333333</v>
      </c>
      <c r="BC5" t="n">
        <v>1.000449438202247</v>
      </c>
      <c r="BD5" t="n">
        <v>1.000251414204903</v>
      </c>
    </row>
    <row r="6">
      <c r="A6" s="150" t="inlineStr">
        <is>
          <t>04_high_mileage</t>
        </is>
      </c>
      <c r="B6" t="n">
        <v>1.004701873935264</v>
      </c>
      <c r="C6" t="n">
        <v>1.006826997672614</v>
      </c>
      <c r="D6" t="n">
        <v>1.006400714285714</v>
      </c>
      <c r="E6" t="n">
        <v>1.002731411229135</v>
      </c>
      <c r="F6" t="n">
        <v>1.006829857963131</v>
      </c>
      <c r="G6" t="n">
        <v>1.003439222893148</v>
      </c>
      <c r="H6" t="n">
        <v>1.007927756653992</v>
      </c>
      <c r="I6" t="n">
        <v>1.006616328456819</v>
      </c>
      <c r="J6" t="n">
        <v>1.004325925925926</v>
      </c>
      <c r="K6" t="n">
        <v>1.007023030992323</v>
      </c>
      <c r="L6" t="n">
        <v>1.003068544873657</v>
      </c>
      <c r="M6" t="n">
        <v>1.006662731208186</v>
      </c>
      <c r="N6" t="n">
        <v>1.005603462957706</v>
      </c>
      <c r="O6" t="n">
        <v>1.003211351755041</v>
      </c>
      <c r="P6" t="n">
        <v>1.004330007127584</v>
      </c>
      <c r="Q6" t="n">
        <v>1.002457356815976</v>
      </c>
      <c r="R6" t="n">
        <v>1.004320557491289</v>
      </c>
      <c r="S6" t="n">
        <v>1.004638726293608</v>
      </c>
      <c r="T6" t="n">
        <v>1.004972710733778</v>
      </c>
      <c r="U6" t="n">
        <v>1.003676315233467</v>
      </c>
      <c r="V6" t="n">
        <v>1.002214049282825</v>
      </c>
      <c r="W6" t="n">
        <v>1.004604537093807</v>
      </c>
      <c r="X6" t="n">
        <v>1.004294380587484</v>
      </c>
      <c r="Y6" t="n">
        <v>1.003695652173913</v>
      </c>
      <c r="Z6" t="n">
        <v>1.00613698630137</v>
      </c>
      <c r="AA6" t="n">
        <v>1.001093370357515</v>
      </c>
      <c r="AB6" t="n">
        <v>1.003109452736318</v>
      </c>
      <c r="AC6" t="n">
        <v>1.002268370607029</v>
      </c>
      <c r="AD6" t="n">
        <v>1.000715015321757</v>
      </c>
      <c r="AE6" t="n">
        <v>1.000151362260343</v>
      </c>
      <c r="AF6" t="n">
        <v>1.00073477956613</v>
      </c>
      <c r="AG6" t="n">
        <v>1.0017075773746</v>
      </c>
      <c r="AH6" t="n">
        <v>1.001835047388586</v>
      </c>
      <c r="AI6" t="n">
        <v>1.001295465869457</v>
      </c>
      <c r="AJ6" t="n">
        <v>1.000176444640494</v>
      </c>
      <c r="AK6" t="n">
        <v>1.000809921538851</v>
      </c>
      <c r="AL6" t="n">
        <v>1.001167457132433</v>
      </c>
      <c r="AM6" t="n">
        <v>1.000921564611919</v>
      </c>
      <c r="AN6" t="n">
        <v>1.000581088219757</v>
      </c>
      <c r="AO6" t="n">
        <v>1.000140523449851</v>
      </c>
      <c r="AP6" t="n">
        <v>1.000563733166301</v>
      </c>
      <c r="AQ6" t="n">
        <v>1.001179554390563</v>
      </c>
      <c r="AR6" t="n">
        <v>1.000909334046536</v>
      </c>
      <c r="AS6" t="n">
        <v>1.000212765957447</v>
      </c>
      <c r="AT6" t="n">
        <v>1.000221385875581</v>
      </c>
      <c r="AU6" t="n">
        <v>1.000582726326743</v>
      </c>
      <c r="AV6" t="n">
        <v>1.000974770642202</v>
      </c>
      <c r="AW6" t="n">
        <v>1.00076495132128</v>
      </c>
      <c r="AX6" t="n">
        <v>1.000211528291909</v>
      </c>
      <c r="AY6" t="n">
        <v>1.000344736144259</v>
      </c>
      <c r="AZ6" t="n">
        <v>1.000913043478261</v>
      </c>
      <c r="BA6" t="n">
        <v>1.000745341614907</v>
      </c>
      <c r="BB6" t="n">
        <v>1.000625</v>
      </c>
      <c r="BC6" t="n">
        <v>1.000561797752809</v>
      </c>
      <c r="BD6" t="n">
        <v>1.000251414204903</v>
      </c>
    </row>
    <row r="7">
      <c r="A7" s="150" t="inlineStr">
        <is>
          <t>05_high_pti</t>
        </is>
      </c>
      <c r="B7" t="n">
        <v>1.005</v>
      </c>
      <c r="C7" t="n">
        <v>1.007455391776571</v>
      </c>
      <c r="D7" t="n">
        <v>1.006686428571429</v>
      </c>
      <c r="E7" t="n">
        <v>1.004704097116844</v>
      </c>
      <c r="F7" t="n">
        <v>1.008890903596253</v>
      </c>
      <c r="G7" t="n">
        <v>1.00367550538199</v>
      </c>
      <c r="H7" t="n">
        <v>1.008117870722433</v>
      </c>
      <c r="I7" t="n">
        <v>1.006757904672015</v>
      </c>
      <c r="J7" t="n">
        <v>1.005066666666667</v>
      </c>
      <c r="K7" t="n">
        <v>1.008564117145294</v>
      </c>
      <c r="L7" t="n">
        <v>1.003228289282602</v>
      </c>
      <c r="M7" t="n">
        <v>1.007099567099567</v>
      </c>
      <c r="N7" t="n">
        <v>1.005745387453874</v>
      </c>
      <c r="O7" t="n">
        <v>1.003659447348768</v>
      </c>
      <c r="P7" t="n">
        <v>1.005258374910905</v>
      </c>
      <c r="Q7" t="n">
        <v>1.002623769241437</v>
      </c>
      <c r="R7" t="n">
        <v>1.004581881533101</v>
      </c>
      <c r="S7" t="n">
        <v>1.005060173261531</v>
      </c>
      <c r="T7" t="n">
        <v>1.005518496058217</v>
      </c>
      <c r="U7" t="n">
        <v>1.004944010141559</v>
      </c>
      <c r="V7" t="n">
        <v>1.002453107760206</v>
      </c>
      <c r="W7" t="n">
        <v>1.005229920294298</v>
      </c>
      <c r="X7" t="n">
        <v>1.004805236270754</v>
      </c>
      <c r="Y7" t="n">
        <v>1.004262759924386</v>
      </c>
      <c r="Z7" t="n">
        <v>1.007372602739726</v>
      </c>
      <c r="AA7" t="n">
        <v>1.001093370357515</v>
      </c>
      <c r="AB7" t="n">
        <v>1.003109452736318</v>
      </c>
      <c r="AC7" t="n">
        <v>1.002268370607029</v>
      </c>
      <c r="AD7" t="n">
        <v>1.000715015321757</v>
      </c>
      <c r="AE7" t="n">
        <v>1.000151362260343</v>
      </c>
      <c r="AF7" t="n">
        <v>1.00073477956613</v>
      </c>
      <c r="AG7" t="n">
        <v>1.0017075773746</v>
      </c>
      <c r="AH7" t="n">
        <v>1.001835047388586</v>
      </c>
      <c r="AI7" t="n">
        <v>1.001295465869457</v>
      </c>
      <c r="AJ7" t="n">
        <v>1.000176444640494</v>
      </c>
      <c r="AK7" t="n">
        <v>1.000809921538851</v>
      </c>
      <c r="AL7" t="n">
        <v>1.001167457132433</v>
      </c>
      <c r="AM7" t="n">
        <v>1.000921564611919</v>
      </c>
      <c r="AN7" t="n">
        <v>1.000581088219757</v>
      </c>
      <c r="AO7" t="n">
        <v>1.000140523449851</v>
      </c>
      <c r="AP7" t="n">
        <v>1.000563733166301</v>
      </c>
      <c r="AQ7" t="n">
        <v>1.001179554390563</v>
      </c>
      <c r="AR7" t="n">
        <v>1.000909334046536</v>
      </c>
      <c r="AS7" t="n">
        <v>1.000212765957447</v>
      </c>
      <c r="AT7" t="n">
        <v>1.000221385875581</v>
      </c>
      <c r="AU7" t="n">
        <v>1.000582726326743</v>
      </c>
      <c r="AV7" t="n">
        <v>1.000974770642202</v>
      </c>
      <c r="AW7" t="n">
        <v>1.00076495132128</v>
      </c>
      <c r="AX7" t="n">
        <v>1.000211528291909</v>
      </c>
      <c r="AY7" t="n">
        <v>1.000344736144259</v>
      </c>
      <c r="AZ7" t="n">
        <v>1.000913043478261</v>
      </c>
      <c r="BA7" t="n">
        <v>1.000745341614907</v>
      </c>
      <c r="BB7" t="n">
        <v>1.000625</v>
      </c>
      <c r="BC7" t="n">
        <v>1.000561797752809</v>
      </c>
      <c r="BD7" t="n">
        <v>1.000251414204903</v>
      </c>
    </row>
    <row r="8">
      <c r="A8" s="150" t="inlineStr">
        <is>
          <t>06_car_make</t>
        </is>
      </c>
      <c r="B8" t="n">
        <v>0.9931384156729132</v>
      </c>
      <c r="C8" t="n">
        <v>0.9927618308766486</v>
      </c>
      <c r="D8" t="n">
        <v>0.9931514285714286</v>
      </c>
      <c r="E8" t="n">
        <v>0.9888922610015175</v>
      </c>
      <c r="F8" t="n">
        <v>1.005581746751284</v>
      </c>
      <c r="G8" t="n">
        <v>0.9931399317406144</v>
      </c>
      <c r="H8" t="n">
        <v>0.9908555133079849</v>
      </c>
      <c r="I8" t="n">
        <v>0.9915285512033978</v>
      </c>
      <c r="J8" t="n">
        <v>0.9914962962962963</v>
      </c>
      <c r="K8" t="n">
        <v>1.001703156098948</v>
      </c>
      <c r="L8" t="n">
        <v>0.9937670636073191</v>
      </c>
      <c r="M8" t="n">
        <v>0.9902833530106258</v>
      </c>
      <c r="N8" t="n">
        <v>0.9890275617371559</v>
      </c>
      <c r="O8" t="n">
        <v>0.9906646751306946</v>
      </c>
      <c r="P8" t="n">
        <v>0.9999821810406273</v>
      </c>
      <c r="Q8" t="n">
        <v>0.9901288309527112</v>
      </c>
      <c r="R8" t="n">
        <v>0.9848824041811847</v>
      </c>
      <c r="S8" t="n">
        <v>0.9867974713181925</v>
      </c>
      <c r="T8" t="n">
        <v>0.9922680412371135</v>
      </c>
      <c r="U8" t="n">
        <v>0.9973885484893301</v>
      </c>
      <c r="V8" t="n">
        <v>0.987226921662376</v>
      </c>
      <c r="W8" t="n">
        <v>0.9834144696505212</v>
      </c>
      <c r="X8" t="n">
        <v>0.9832151979565774</v>
      </c>
      <c r="Y8" t="n">
        <v>0.9881190926275993</v>
      </c>
      <c r="Z8" t="n">
        <v>0.997490410958904</v>
      </c>
      <c r="AA8" t="n">
        <v>0.9565359250260327</v>
      </c>
      <c r="AB8" t="n">
        <v>0.9542972636815921</v>
      </c>
      <c r="AC8" t="n">
        <v>0.9533801916932907</v>
      </c>
      <c r="AD8" t="n">
        <v>0.9590398365679265</v>
      </c>
      <c r="AE8" t="n">
        <v>0.9712663975782039</v>
      </c>
      <c r="AF8" t="n">
        <v>0.9519897364124097</v>
      </c>
      <c r="AG8" t="n">
        <v>0.9548879402347921</v>
      </c>
      <c r="AH8" t="n">
        <v>0.9529138939302279</v>
      </c>
      <c r="AI8" t="n">
        <v>0.960039860488291</v>
      </c>
      <c r="AJ8" t="n">
        <v>0.9646581385090428</v>
      </c>
      <c r="AK8" t="n">
        <v>0.9491698304226778</v>
      </c>
      <c r="AL8" t="n">
        <v>0.9493104706311567</v>
      </c>
      <c r="AM8" t="n">
        <v>0.9443784558672946</v>
      </c>
      <c r="AN8" t="n">
        <v>0.9518647649234021</v>
      </c>
      <c r="AO8" t="n">
        <v>0.947532056911997</v>
      </c>
      <c r="AP8" t="n">
        <v>0.9455934857500782</v>
      </c>
      <c r="AQ8" t="n">
        <v>0.9413193534294451</v>
      </c>
      <c r="AR8" t="n">
        <v>0.942928590532228</v>
      </c>
      <c r="AS8" t="n">
        <v>0.9511063829787235</v>
      </c>
      <c r="AT8" t="n">
        <v>0.9435997343369492</v>
      </c>
      <c r="AU8" t="n">
        <v>0.9359375650364204</v>
      </c>
      <c r="AV8" t="n">
        <v>0.9378841743119266</v>
      </c>
      <c r="AW8" t="n">
        <v>0.9306988873435327</v>
      </c>
      <c r="AX8" t="n">
        <v>0.949867794817557</v>
      </c>
      <c r="AY8" t="n">
        <v>0.9330098117210289</v>
      </c>
      <c r="AZ8" t="n">
        <v>0.9380000000000001</v>
      </c>
      <c r="BA8" t="n">
        <v>0.9341614906832298</v>
      </c>
      <c r="BB8" t="n">
        <v>0.9239444444444445</v>
      </c>
      <c r="BC8" t="n">
        <v>0.9551685393258427</v>
      </c>
      <c r="BD8" t="n">
        <v>0.9337523570081709</v>
      </c>
    </row>
    <row r="9">
      <c r="A9" s="150" t="inlineStr">
        <is>
          <t>07_theft_risk</t>
        </is>
      </c>
      <c r="B9" t="n">
        <v>0.9856751460817718</v>
      </c>
      <c r="C9" t="n">
        <v>0.9845716757176105</v>
      </c>
      <c r="D9" t="n">
        <v>0.9858551742857142</v>
      </c>
      <c r="E9" t="n">
        <v>0.9830973596358117</v>
      </c>
      <c r="F9" t="n">
        <v>1.010535321849501</v>
      </c>
      <c r="G9" t="n">
        <v>0.9859835363612496</v>
      </c>
      <c r="H9" t="n">
        <v>0.9830184980988593</v>
      </c>
      <c r="I9" t="n">
        <v>0.9834555276073619</v>
      </c>
      <c r="J9" t="n">
        <v>0.985221511111111</v>
      </c>
      <c r="K9" t="n">
        <v>0.99970415979528</v>
      </c>
      <c r="L9" t="n">
        <v>0.9882033633459193</v>
      </c>
      <c r="M9" t="n">
        <v>0.9831525265643448</v>
      </c>
      <c r="N9" t="n">
        <v>0.9824929397388589</v>
      </c>
      <c r="O9" t="n">
        <v>0.9863921583271098</v>
      </c>
      <c r="P9" t="n">
        <v>0.9957269422665715</v>
      </c>
      <c r="Q9" t="n">
        <v>0.9835148457911523</v>
      </c>
      <c r="R9" t="n">
        <v>0.9771841594076655</v>
      </c>
      <c r="S9" t="n">
        <v>0.9789503966284241</v>
      </c>
      <c r="T9" t="n">
        <v>0.9881638872043663</v>
      </c>
      <c r="U9" t="n">
        <v>0.9914296809634483</v>
      </c>
      <c r="V9" t="n">
        <v>0.9803806693637367</v>
      </c>
      <c r="W9" t="n">
        <v>0.9745390944206008</v>
      </c>
      <c r="X9" t="n">
        <v>0.9736354118773946</v>
      </c>
      <c r="Y9" t="n">
        <v>0.9811779867674857</v>
      </c>
      <c r="Z9" t="n">
        <v>0.9885101589041096</v>
      </c>
      <c r="AA9" t="n">
        <v>0.9565359250260327</v>
      </c>
      <c r="AB9" t="n">
        <v>0.9542972636815921</v>
      </c>
      <c r="AC9" t="n">
        <v>0.9533801916932907</v>
      </c>
      <c r="AD9" t="n">
        <v>0.9590398365679265</v>
      </c>
      <c r="AE9" t="n">
        <v>0.9712663975782039</v>
      </c>
      <c r="AF9" t="n">
        <v>0.9519897364124097</v>
      </c>
      <c r="AG9" t="n">
        <v>0.9548879402347921</v>
      </c>
      <c r="AH9" t="n">
        <v>0.9529138939302279</v>
      </c>
      <c r="AI9" t="n">
        <v>0.960039860488291</v>
      </c>
      <c r="AJ9" t="n">
        <v>0.9646581385090428</v>
      </c>
      <c r="AK9" t="n">
        <v>0.9491698304226778</v>
      </c>
      <c r="AL9" t="n">
        <v>0.9493104706311567</v>
      </c>
      <c r="AM9" t="n">
        <v>0.9443784558672946</v>
      </c>
      <c r="AN9" t="n">
        <v>0.9518647649234021</v>
      </c>
      <c r="AO9" t="n">
        <v>0.947532056911997</v>
      </c>
      <c r="AP9" t="n">
        <v>0.9455934857500782</v>
      </c>
      <c r="AQ9" t="n">
        <v>0.9413193534294451</v>
      </c>
      <c r="AR9" t="n">
        <v>0.942928590532228</v>
      </c>
      <c r="AS9" t="n">
        <v>0.9511063829787235</v>
      </c>
      <c r="AT9" t="n">
        <v>0.9435997343369492</v>
      </c>
      <c r="AU9" t="n">
        <v>0.9359375650364204</v>
      </c>
      <c r="AV9" t="n">
        <v>0.9378841743119266</v>
      </c>
      <c r="AW9" t="n">
        <v>0.9306988873435327</v>
      </c>
      <c r="AX9" t="n">
        <v>0.949867794817557</v>
      </c>
      <c r="AY9" t="n">
        <v>0.9330098117210289</v>
      </c>
      <c r="AZ9" t="n">
        <v>0.9380000000000001</v>
      </c>
      <c r="BA9" t="n">
        <v>0.9341614906832298</v>
      </c>
      <c r="BB9" t="n">
        <v>0.9239444444444445</v>
      </c>
      <c r="BC9" t="n">
        <v>0.9551685393258427</v>
      </c>
      <c r="BD9" t="n">
        <v>0.9337523570081709</v>
      </c>
    </row>
    <row r="10">
      <c r="A10" s="150" t="inlineStr">
        <is>
          <t>08_mcy_low_mileage</t>
        </is>
      </c>
      <c r="B10" t="n">
        <v>0.9856751460817718</v>
      </c>
      <c r="C10" t="n">
        <v>0.9845716757176105</v>
      </c>
      <c r="D10" t="n">
        <v>0.9858551742857142</v>
      </c>
      <c r="E10" t="n">
        <v>0.9830973596358117</v>
      </c>
      <c r="F10" t="n">
        <v>1.010535321849501</v>
      </c>
      <c r="G10" t="n">
        <v>0.9859835363612496</v>
      </c>
      <c r="H10" t="n">
        <v>0.9830184980988593</v>
      </c>
      <c r="I10" t="n">
        <v>0.9834555276073619</v>
      </c>
      <c r="J10" t="n">
        <v>0.985221511111111</v>
      </c>
      <c r="K10" t="n">
        <v>0.99970415979528</v>
      </c>
      <c r="L10" t="n">
        <v>0.9882033633459193</v>
      </c>
      <c r="M10" t="n">
        <v>0.9831525265643448</v>
      </c>
      <c r="N10" t="n">
        <v>0.9824929397388589</v>
      </c>
      <c r="O10" t="n">
        <v>0.9863921583271098</v>
      </c>
      <c r="P10" t="n">
        <v>0.9957269422665715</v>
      </c>
      <c r="Q10" t="n">
        <v>0.9835148457911523</v>
      </c>
      <c r="R10" t="n">
        <v>0.9771841594076655</v>
      </c>
      <c r="S10" t="n">
        <v>0.9789503966284241</v>
      </c>
      <c r="T10" t="n">
        <v>0.9881638872043663</v>
      </c>
      <c r="U10" t="n">
        <v>0.9914296809634483</v>
      </c>
      <c r="V10" t="n">
        <v>0.9803806693637367</v>
      </c>
      <c r="W10" t="n">
        <v>0.9745390944206008</v>
      </c>
      <c r="X10" t="n">
        <v>0.9736354118773946</v>
      </c>
      <c r="Y10" t="n">
        <v>0.9811779867674857</v>
      </c>
      <c r="Z10" t="n">
        <v>0.9885101589041096</v>
      </c>
      <c r="AA10" t="n">
        <v>0.9565359250260327</v>
      </c>
      <c r="AB10" t="n">
        <v>0.9542972636815921</v>
      </c>
      <c r="AC10" t="n">
        <v>0.9533801916932907</v>
      </c>
      <c r="AD10" t="n">
        <v>0.9590398365679265</v>
      </c>
      <c r="AE10" t="n">
        <v>0.9712663975782039</v>
      </c>
      <c r="AF10" t="n">
        <v>0.9519897364124097</v>
      </c>
      <c r="AG10" t="n">
        <v>0.9548879402347921</v>
      </c>
      <c r="AH10" t="n">
        <v>0.9529138939302279</v>
      </c>
      <c r="AI10" t="n">
        <v>0.960039860488291</v>
      </c>
      <c r="AJ10" t="n">
        <v>0.9646581385090428</v>
      </c>
      <c r="AK10" t="n">
        <v>0.9491698304226778</v>
      </c>
      <c r="AL10" t="n">
        <v>0.9493104706311567</v>
      </c>
      <c r="AM10" t="n">
        <v>0.9443784558672946</v>
      </c>
      <c r="AN10" t="n">
        <v>0.9518647649234021</v>
      </c>
      <c r="AO10" t="n">
        <v>0.947532056911997</v>
      </c>
      <c r="AP10" t="n">
        <v>0.9455934857500782</v>
      </c>
      <c r="AQ10" t="n">
        <v>0.9413193534294451</v>
      </c>
      <c r="AR10" t="n">
        <v>0.942928590532228</v>
      </c>
      <c r="AS10" t="n">
        <v>0.9511063829787235</v>
      </c>
      <c r="AT10" t="n">
        <v>0.9435997343369492</v>
      </c>
      <c r="AU10" t="n">
        <v>0.9359375650364204</v>
      </c>
      <c r="AV10" t="n">
        <v>0.9378841743119266</v>
      </c>
      <c r="AW10" t="n">
        <v>0.9306988873435327</v>
      </c>
      <c r="AX10" t="n">
        <v>0.949867794817557</v>
      </c>
      <c r="AY10" t="n">
        <v>0.9330098117210289</v>
      </c>
      <c r="AZ10" t="n">
        <v>0.9380000000000001</v>
      </c>
      <c r="BA10" t="n">
        <v>0.9341614906832298</v>
      </c>
      <c r="BB10" t="n">
        <v>0.9239444444444445</v>
      </c>
      <c r="BC10" t="n">
        <v>0.9551685393258427</v>
      </c>
      <c r="BD10" t="n">
        <v>0.9337523570081709</v>
      </c>
    </row>
    <row r="11">
      <c r="A11" s="150" t="inlineStr">
        <is>
          <t>09_weekend_weekday</t>
        </is>
      </c>
      <c r="B11" t="n">
        <v>0.9899293307708686</v>
      </c>
      <c r="C11" t="n">
        <v>0.9846666521334368</v>
      </c>
      <c r="D11" t="n">
        <v>0.9888472627714286</v>
      </c>
      <c r="E11" t="n">
        <v>0.9814353810318664</v>
      </c>
      <c r="F11" t="n">
        <v>1.018941965729828</v>
      </c>
      <c r="G11" t="n">
        <v>0.99078407658178</v>
      </c>
      <c r="H11" t="n">
        <v>0.9836910699619772</v>
      </c>
      <c r="I11" t="n">
        <v>0.9852327709579991</v>
      </c>
      <c r="J11" t="n">
        <v>0.9830715057777777</v>
      </c>
      <c r="K11" t="n">
        <v>1.004672122007393</v>
      </c>
      <c r="L11" t="n">
        <v>0.9922167224803952</v>
      </c>
      <c r="M11" t="n">
        <v>0.9837818316410861</v>
      </c>
      <c r="N11" t="n">
        <v>0.9843243331064434</v>
      </c>
      <c r="O11" t="n">
        <v>0.9876901662434653</v>
      </c>
      <c r="P11" t="n">
        <v>1.000535316339986</v>
      </c>
      <c r="Q11" t="n">
        <v>0.9872308023103592</v>
      </c>
      <c r="R11" t="n">
        <v>0.9772595557055749</v>
      </c>
      <c r="S11" t="n">
        <v>0.9806328501030203</v>
      </c>
      <c r="T11" t="n">
        <v>0.9893000452395392</v>
      </c>
      <c r="U11" t="n">
        <v>0.9980037663004437</v>
      </c>
      <c r="V11" t="n">
        <v>0.9830494649503494</v>
      </c>
      <c r="W11" t="n">
        <v>0.9751132089270387</v>
      </c>
      <c r="X11" t="n">
        <v>0.975291667816092</v>
      </c>
      <c r="Y11" t="n">
        <v>0.9851939396030245</v>
      </c>
      <c r="Z11" t="n">
        <v>0.9936632234794521</v>
      </c>
      <c r="AA11" t="n">
        <v>0.9586406803193335</v>
      </c>
      <c r="AB11" t="n">
        <v>0.9538502487562187</v>
      </c>
      <c r="AC11" t="n">
        <v>0.9545116932907347</v>
      </c>
      <c r="AD11" t="n">
        <v>0.9592226762002043</v>
      </c>
      <c r="AE11" t="n">
        <v>0.9761672552976789</v>
      </c>
      <c r="AF11" t="n">
        <v>0.9521905994868205</v>
      </c>
      <c r="AG11" t="n">
        <v>0.9520199928850942</v>
      </c>
      <c r="AH11" t="n">
        <v>0.9524795926598103</v>
      </c>
      <c r="AI11" t="n">
        <v>0.9588649725959141</v>
      </c>
      <c r="AJ11" t="n">
        <v>0.9674606969563299</v>
      </c>
      <c r="AK11" t="n">
        <v>0.9502351050366994</v>
      </c>
      <c r="AL11" t="n">
        <v>0.9475421014228382</v>
      </c>
      <c r="AM11" t="n">
        <v>0.944302949006758</v>
      </c>
      <c r="AN11" t="n">
        <v>0.9516252509244584</v>
      </c>
      <c r="AO11" t="n">
        <v>0.9514363253117862</v>
      </c>
      <c r="AP11" t="n">
        <v>0.9464125587222048</v>
      </c>
      <c r="AQ11" t="n">
        <v>0.9409775447793798</v>
      </c>
      <c r="AR11" t="n">
        <v>0.9432638405990905</v>
      </c>
      <c r="AS11" t="n">
        <v>0.9510051063829786</v>
      </c>
      <c r="AT11" t="n">
        <v>0.9480610582244852</v>
      </c>
      <c r="AU11" t="n">
        <v>0.9356987721123826</v>
      </c>
      <c r="AV11" t="n">
        <v>0.9354776949541284</v>
      </c>
      <c r="AW11" t="n">
        <v>0.9296464186369957</v>
      </c>
      <c r="AX11" t="n">
        <v>0.9491533580116339</v>
      </c>
      <c r="AY11" t="n">
        <v>0.9369182179793157</v>
      </c>
      <c r="AZ11" t="n">
        <v>0.9372086956521739</v>
      </c>
      <c r="BA11" t="n">
        <v>0.9301925465838509</v>
      </c>
      <c r="BB11" t="n">
        <v>0.9227941666666666</v>
      </c>
      <c r="BC11" t="n">
        <v>0.953791011235955</v>
      </c>
      <c r="BD11" t="n">
        <v>0.9361131363922061</v>
      </c>
    </row>
    <row r="12">
      <c r="A12" s="150" t="inlineStr">
        <is>
          <t>10_student_loans</t>
        </is>
      </c>
      <c r="B12" t="n">
        <v>0.9637578929297274</v>
      </c>
      <c r="C12" t="n">
        <v>0.9636267802999224</v>
      </c>
      <c r="D12" t="n">
        <v>0.9656426874227142</v>
      </c>
      <c r="E12" t="n">
        <v>0.957088324347496</v>
      </c>
      <c r="F12" t="n">
        <v>0.9947895997802356</v>
      </c>
      <c r="G12" t="n">
        <v>0.9726909449655025</v>
      </c>
      <c r="H12" t="n">
        <v>0.9772653680806083</v>
      </c>
      <c r="I12" t="n">
        <v>0.9726445188122321</v>
      </c>
      <c r="J12" t="n">
        <v>0.9672463354808888</v>
      </c>
      <c r="K12" t="n">
        <v>0.9951325039056013</v>
      </c>
      <c r="L12" t="n">
        <v>0.9890473030645947</v>
      </c>
      <c r="M12" t="n">
        <v>0.9866727494441558</v>
      </c>
      <c r="N12" t="n">
        <v>0.9813929760723812</v>
      </c>
      <c r="O12" t="n">
        <v>0.9864021652382374</v>
      </c>
      <c r="P12" t="n">
        <v>1.005663276159301</v>
      </c>
      <c r="Q12" t="n">
        <v>0.9800602087943695</v>
      </c>
      <c r="R12" t="n">
        <v>0.9773274847899827</v>
      </c>
      <c r="S12" t="n">
        <v>0.9768837880950596</v>
      </c>
      <c r="T12" t="n">
        <v>0.989734581302001</v>
      </c>
      <c r="U12" t="n">
        <v>1.002176804911262</v>
      </c>
      <c r="V12" t="n">
        <v>0.9753167322828612</v>
      </c>
      <c r="W12" t="n">
        <v>0.9724273286133658</v>
      </c>
      <c r="X12" t="n">
        <v>0.9706634611952105</v>
      </c>
      <c r="Y12" t="n">
        <v>0.986064000981096</v>
      </c>
      <c r="Z12" t="n">
        <v>0.9988711275139724</v>
      </c>
      <c r="AA12" t="n">
        <v>0.9548067834085386</v>
      </c>
      <c r="AB12" t="n">
        <v>0.9552870062189055</v>
      </c>
      <c r="AC12" t="n">
        <v>0.9561035925878594</v>
      </c>
      <c r="AD12" t="n">
        <v>0.9635674443309499</v>
      </c>
      <c r="AE12" t="n">
        <v>0.9860220504540869</v>
      </c>
      <c r="AF12" t="n">
        <v>0.9489095654303709</v>
      </c>
      <c r="AG12" t="n">
        <v>0.9548254343649946</v>
      </c>
      <c r="AH12" t="n">
        <v>0.9544867320024198</v>
      </c>
      <c r="AI12" t="n">
        <v>0.9674719103139013</v>
      </c>
      <c r="AJ12" t="n">
        <v>0.9784484161152772</v>
      </c>
      <c r="AK12" t="n">
        <v>0.9406435942799292</v>
      </c>
      <c r="AL12" t="n">
        <v>0.9427608018971179</v>
      </c>
      <c r="AM12" t="n">
        <v>0.9393285672742167</v>
      </c>
      <c r="AN12" t="n">
        <v>0.9547269212889593</v>
      </c>
      <c r="AO12" t="n">
        <v>0.9544623983839804</v>
      </c>
      <c r="AP12" t="n">
        <v>0.9375981534606953</v>
      </c>
      <c r="AQ12" t="n">
        <v>0.936900994320664</v>
      </c>
      <c r="AR12" t="n">
        <v>0.9384849644289917</v>
      </c>
      <c r="AS12" t="n">
        <v>0.9509522627659575</v>
      </c>
      <c r="AT12" t="n">
        <v>0.9494221483285368</v>
      </c>
      <c r="AU12" t="n">
        <v>0.9142060029136316</v>
      </c>
      <c r="AV12" t="n">
        <v>0.9168578646788992</v>
      </c>
      <c r="AW12" t="n">
        <v>0.9113791481223923</v>
      </c>
      <c r="AX12" t="n">
        <v>0.9340702665256477</v>
      </c>
      <c r="AY12" t="n">
        <v>0.9205377438345266</v>
      </c>
      <c r="AZ12" t="n">
        <v>0.9103094147826086</v>
      </c>
      <c r="BA12" t="n">
        <v>0.9052147627329191</v>
      </c>
      <c r="BB12" t="n">
        <v>0.8968146291666668</v>
      </c>
      <c r="BC12" t="n">
        <v>0.9268664898876404</v>
      </c>
      <c r="BD12" t="n">
        <v>0.909079685732244</v>
      </c>
    </row>
    <row r="13">
      <c r="A13" s="150" t="inlineStr">
        <is>
          <t>11_low_pti</t>
        </is>
      </c>
      <c r="B13" t="n">
        <v>0.95651152534339</v>
      </c>
      <c r="C13" t="n">
        <v>0.9568578707790534</v>
      </c>
      <c r="D13" t="n">
        <v>0.959924002634357</v>
      </c>
      <c r="E13" t="n">
        <v>0.9533496793887405</v>
      </c>
      <c r="F13" t="n">
        <v>0.9947895997802356</v>
      </c>
      <c r="G13" t="n">
        <v>0.9663913472757336</v>
      </c>
      <c r="H13" t="n">
        <v>0.9721594768874143</v>
      </c>
      <c r="I13" t="n">
        <v>0.9683992162288404</v>
      </c>
      <c r="J13" t="n">
        <v>0.9646419060408886</v>
      </c>
      <c r="K13" t="n">
        <v>0.9951325039056013</v>
      </c>
      <c r="L13" t="n">
        <v>0.9829783050480103</v>
      </c>
      <c r="M13" t="n">
        <v>0.979697893568052</v>
      </c>
      <c r="N13" t="n">
        <v>0.9764863721951803</v>
      </c>
      <c r="O13" t="n">
        <v>0.9803368600859597</v>
      </c>
      <c r="P13" t="n">
        <v>1.005663276159301</v>
      </c>
      <c r="Q13" t="n">
        <v>0.9727783647577198</v>
      </c>
      <c r="R13" t="n">
        <v>0.9690569193910844</v>
      </c>
      <c r="S13" t="n">
        <v>0.9710206990670895</v>
      </c>
      <c r="T13" t="n">
        <v>0.9817057357288053</v>
      </c>
      <c r="U13" t="n">
        <v>1.002176804911262</v>
      </c>
      <c r="V13" t="n">
        <v>0.9675067821965426</v>
      </c>
      <c r="W13" t="n">
        <v>0.9650619476516246</v>
      </c>
      <c r="X13" t="n">
        <v>0.9646992988688312</v>
      </c>
      <c r="Y13" t="n">
        <v>0.9781864123675802</v>
      </c>
      <c r="Z13" t="n">
        <v>0.9988711275139724</v>
      </c>
      <c r="AA13" t="n">
        <v>0.9474598064213815</v>
      </c>
      <c r="AB13" t="n">
        <v>0.9474925230099502</v>
      </c>
      <c r="AC13" t="n">
        <v>0.9504522308115015</v>
      </c>
      <c r="AD13" t="n">
        <v>0.9564535152196117</v>
      </c>
      <c r="AE13" t="n">
        <v>0.9860220504540869</v>
      </c>
      <c r="AF13" t="n">
        <v>0.9410647244646605</v>
      </c>
      <c r="AG13" t="n">
        <v>0.9473214091782283</v>
      </c>
      <c r="AH13" t="n">
        <v>0.94816785292196</v>
      </c>
      <c r="AI13" t="n">
        <v>0.9613123680717488</v>
      </c>
      <c r="AJ13" t="n">
        <v>0.9784484161152772</v>
      </c>
      <c r="AK13" t="n">
        <v>0.9341915321007339</v>
      </c>
      <c r="AL13" t="n">
        <v>0.9344713294053264</v>
      </c>
      <c r="AM13" t="n">
        <v>0.9341023288961703</v>
      </c>
      <c r="AN13" t="n">
        <v>0.9469566987216059</v>
      </c>
      <c r="AO13" t="n">
        <v>0.9544623983839804</v>
      </c>
      <c r="AP13" t="n">
        <v>0.9316577591293453</v>
      </c>
      <c r="AQ13" t="n">
        <v>0.9300321266142421</v>
      </c>
      <c r="AR13" t="n">
        <v>0.9327909175394489</v>
      </c>
      <c r="AS13" t="n">
        <v>0.9439143096170212</v>
      </c>
      <c r="AT13" t="n">
        <v>0.9494221483285368</v>
      </c>
      <c r="AU13" t="n">
        <v>0.9090226059354839</v>
      </c>
      <c r="AV13" t="n">
        <v>0.9109462188073394</v>
      </c>
      <c r="AW13" t="n">
        <v>0.9057337879694021</v>
      </c>
      <c r="AX13" t="n">
        <v>0.9277210551031201</v>
      </c>
      <c r="AY13" t="n">
        <v>0.9205377438345266</v>
      </c>
      <c r="AZ13" t="n">
        <v>0.9045952299999999</v>
      </c>
      <c r="BA13" t="n">
        <v>0.9000947316770187</v>
      </c>
      <c r="BB13" t="n">
        <v>0.8908309401666666</v>
      </c>
      <c r="BC13" t="n">
        <v>0.9220534449438201</v>
      </c>
      <c r="BD13" t="n">
        <v>0.909079685732244</v>
      </c>
    </row>
    <row r="14">
      <c r="A14" s="150" t="inlineStr">
        <is>
          <t>12_chime</t>
        </is>
      </c>
      <c r="B14" t="n">
        <v>0.9493779944199678</v>
      </c>
      <c r="C14" t="n">
        <v>0.9415455443930387</v>
      </c>
      <c r="D14" t="n">
        <v>0.946146664604313</v>
      </c>
      <c r="E14" t="n">
        <v>0.9407280380408373</v>
      </c>
      <c r="F14" t="n">
        <v>0.9867749019650784</v>
      </c>
      <c r="G14" t="n">
        <v>0.9639422096072625</v>
      </c>
      <c r="H14" t="n">
        <v>0.9601613480914059</v>
      </c>
      <c r="I14" t="n">
        <v>0.9546608286869581</v>
      </c>
      <c r="J14" t="n">
        <v>0.9472157784757919</v>
      </c>
      <c r="K14" t="n">
        <v>0.9905452738144672</v>
      </c>
      <c r="L14" t="n">
        <v>0.9960284159305275</v>
      </c>
      <c r="M14" t="n">
        <v>0.9759046887805991</v>
      </c>
      <c r="N14" t="n">
        <v>0.9791428919686407</v>
      </c>
      <c r="O14" t="n">
        <v>0.9772724482363963</v>
      </c>
      <c r="P14" t="n">
        <v>1.016237569985734</v>
      </c>
      <c r="Q14" t="n">
        <v>0.9744881902112572</v>
      </c>
      <c r="R14" t="n">
        <v>0.9623192140718851</v>
      </c>
      <c r="S14" t="n">
        <v>0.9655925162331208</v>
      </c>
      <c r="T14" t="n">
        <v>0.97385396804248</v>
      </c>
      <c r="U14" t="n">
        <v>1.005377292412977</v>
      </c>
      <c r="V14" t="n">
        <v>0.9638858249896266</v>
      </c>
      <c r="W14" t="n">
        <v>0.9581358546525939</v>
      </c>
      <c r="X14" t="n">
        <v>0.9584205452318917</v>
      </c>
      <c r="Y14" t="n">
        <v>0.9696851853281082</v>
      </c>
      <c r="Z14" t="n">
        <v>1.001732097097326</v>
      </c>
      <c r="AA14" t="n">
        <v>0.9485663728786879</v>
      </c>
      <c r="AB14" t="n">
        <v>0.9499365485932835</v>
      </c>
      <c r="AC14" t="n">
        <v>0.9503671187130096</v>
      </c>
      <c r="AD14" t="n">
        <v>0.9615992587562819</v>
      </c>
      <c r="AE14" t="n">
        <v>0.9990039402593339</v>
      </c>
      <c r="AF14" t="n">
        <v>0.9640984823700769</v>
      </c>
      <c r="AG14" t="n">
        <v>0.9603847732384204</v>
      </c>
      <c r="AH14" t="n">
        <v>0.9640172965118451</v>
      </c>
      <c r="AI14" t="n">
        <v>0.9896549614744993</v>
      </c>
      <c r="AJ14" t="n">
        <v>1.014337655288046</v>
      </c>
      <c r="AK14" t="n">
        <v>0.9396707349083219</v>
      </c>
      <c r="AL14" t="n">
        <v>0.9324725283834002</v>
      </c>
      <c r="AM14" t="n">
        <v>0.9339920545845093</v>
      </c>
      <c r="AN14" t="n">
        <v>0.9563666156893185</v>
      </c>
      <c r="AO14" t="n">
        <v>0.9704151209457229</v>
      </c>
      <c r="AP14" t="n">
        <v>0.9402228427998433</v>
      </c>
      <c r="AQ14" t="n">
        <v>0.9316276940873396</v>
      </c>
      <c r="AR14" t="n">
        <v>0.9359861453272746</v>
      </c>
      <c r="AS14" t="n">
        <v>0.9589601949506807</v>
      </c>
      <c r="AT14" t="n">
        <v>0.9648101646402478</v>
      </c>
      <c r="AU14" t="n">
        <v>0.9102330972082164</v>
      </c>
      <c r="AV14" t="n">
        <v>0.9102681551442662</v>
      </c>
      <c r="AW14" t="n">
        <v>0.9041971721766342</v>
      </c>
      <c r="AX14" t="n">
        <v>0.9408595879586462</v>
      </c>
      <c r="AY14" t="n">
        <v>0.9292210337661096</v>
      </c>
      <c r="AZ14" t="n">
        <v>0.8977502929134781</v>
      </c>
      <c r="BA14" t="n">
        <v>0.8939706199095653</v>
      </c>
      <c r="BB14" t="n">
        <v>0.8830147398864168</v>
      </c>
      <c r="BC14" t="n">
        <v>0.920845921611236</v>
      </c>
      <c r="BD14" t="n">
        <v>0.9077513929478315</v>
      </c>
    </row>
    <row r="15">
      <c r="A15" s="150" t="inlineStr">
        <is>
          <t>13_employment_type</t>
        </is>
      </c>
      <c r="B15" t="n">
        <v>0.9493779944199678</v>
      </c>
      <c r="C15" t="n">
        <v>0.9415455443930387</v>
      </c>
      <c r="D15" t="n">
        <v>0.946146664604313</v>
      </c>
      <c r="E15" t="n">
        <v>0.9407280380408373</v>
      </c>
      <c r="F15" t="n">
        <v>0.9867749019650784</v>
      </c>
      <c r="G15" t="n">
        <v>0.9639422096072625</v>
      </c>
      <c r="H15" t="n">
        <v>0.9601613480914059</v>
      </c>
      <c r="I15" t="n">
        <v>0.9546608286869581</v>
      </c>
      <c r="J15" t="n">
        <v>0.9472157784757919</v>
      </c>
      <c r="K15" t="n">
        <v>0.9905452738144672</v>
      </c>
      <c r="L15" t="n">
        <v>0.9960284159305275</v>
      </c>
      <c r="M15" t="n">
        <v>0.9759046887805991</v>
      </c>
      <c r="N15" t="n">
        <v>0.9791428919686407</v>
      </c>
      <c r="O15" t="n">
        <v>0.9772724482363963</v>
      </c>
      <c r="P15" t="n">
        <v>1.016237569985734</v>
      </c>
      <c r="Q15" t="n">
        <v>0.9744881902112572</v>
      </c>
      <c r="R15" t="n">
        <v>0.9623192140718851</v>
      </c>
      <c r="S15" t="n">
        <v>0.9655925162331208</v>
      </c>
      <c r="T15" t="n">
        <v>0.97385396804248</v>
      </c>
      <c r="U15" t="n">
        <v>1.005377292412977</v>
      </c>
      <c r="V15" t="n">
        <v>0.9638858249896266</v>
      </c>
      <c r="W15" t="n">
        <v>0.9581358546525939</v>
      </c>
      <c r="X15" t="n">
        <v>0.9584205452318917</v>
      </c>
      <c r="Y15" t="n">
        <v>0.9696851853281082</v>
      </c>
      <c r="Z15" t="n">
        <v>1.001732097097326</v>
      </c>
      <c r="AA15" t="n">
        <v>0.9485663728786879</v>
      </c>
      <c r="AB15" t="n">
        <v>0.9499365485932835</v>
      </c>
      <c r="AC15" t="n">
        <v>0.9503671187130096</v>
      </c>
      <c r="AD15" t="n">
        <v>0.9615992587562819</v>
      </c>
      <c r="AE15" t="n">
        <v>0.9990039402593339</v>
      </c>
      <c r="AF15" t="n">
        <v>0.9636280971582505</v>
      </c>
      <c r="AG15" t="n">
        <v>0.9595010454722732</v>
      </c>
      <c r="AH15" t="n">
        <v>0.9631912161943619</v>
      </c>
      <c r="AI15" t="n">
        <v>0.9889856807484902</v>
      </c>
      <c r="AJ15" t="n">
        <v>1.013551014734892</v>
      </c>
      <c r="AK15" t="n">
        <v>0.9394657075480712</v>
      </c>
      <c r="AL15" t="n">
        <v>0.9317424301036484</v>
      </c>
      <c r="AM15" t="n">
        <v>0.9335365016085931</v>
      </c>
      <c r="AN15" t="n">
        <v>0.9553187953428844</v>
      </c>
      <c r="AO15" t="n">
        <v>0.9696385361208502</v>
      </c>
      <c r="AP15" t="n">
        <v>0.9407066452024115</v>
      </c>
      <c r="AQ15" t="n">
        <v>0.9308611032212843</v>
      </c>
      <c r="AR15" t="n">
        <v>0.9356322265299492</v>
      </c>
      <c r="AS15" t="n">
        <v>0.9579128874991915</v>
      </c>
      <c r="AT15" t="n">
        <v>0.9643641623816691</v>
      </c>
      <c r="AU15" t="n">
        <v>0.9107703783556669</v>
      </c>
      <c r="AV15" t="n">
        <v>0.910308206503211</v>
      </c>
      <c r="AW15" t="n">
        <v>0.9037383472241725</v>
      </c>
      <c r="AX15" t="n">
        <v>0.9401043272741407</v>
      </c>
      <c r="AY15" t="n">
        <v>0.9287340409928401</v>
      </c>
      <c r="AZ15" t="n">
        <v>0.8977494213495653</v>
      </c>
      <c r="BA15" t="n">
        <v>0.8937573847721738</v>
      </c>
      <c r="BB15" t="n">
        <v>0.8828737079843333</v>
      </c>
      <c r="BC15" t="n">
        <v>0.9208655805144269</v>
      </c>
      <c r="BD15" t="n">
        <v>0.9072159312256443</v>
      </c>
    </row>
    <row r="16">
      <c r="A16" s="150" t="inlineStr">
        <is>
          <t>14_auth_tradelines</t>
        </is>
      </c>
      <c r="B16" t="n">
        <v>0.951351111747613</v>
      </c>
      <c r="C16" t="n">
        <v>0.9439176943528687</v>
      </c>
      <c r="D16" t="n">
        <v>0.947309511369177</v>
      </c>
      <c r="E16" t="n">
        <v>0.942080191457448</v>
      </c>
      <c r="F16" t="n">
        <v>0.9888339838962125</v>
      </c>
      <c r="G16" t="n">
        <v>0.9657179601061657</v>
      </c>
      <c r="H16" t="n">
        <v>0.9616075668957477</v>
      </c>
      <c r="I16" t="n">
        <v>0.9565818879919209</v>
      </c>
      <c r="J16" t="n">
        <v>0.9486456845026185</v>
      </c>
      <c r="K16" t="n">
        <v>0.9924333912219382</v>
      </c>
      <c r="L16" t="n">
        <v>0.9978001943191401</v>
      </c>
      <c r="M16" t="n">
        <v>0.9780635352561579</v>
      </c>
      <c r="N16" t="n">
        <v>0.9808538218275307</v>
      </c>
      <c r="O16" t="n">
        <v>0.9794187404388175</v>
      </c>
      <c r="P16" t="n">
        <v>1.01772503092121</v>
      </c>
      <c r="Q16" t="n">
        <v>0.9762526512302048</v>
      </c>
      <c r="R16" t="n">
        <v>0.9646709168695407</v>
      </c>
      <c r="S16" t="n">
        <v>0.9676916685915963</v>
      </c>
      <c r="T16" t="n">
        <v>0.9763695489431253</v>
      </c>
      <c r="U16" t="n">
        <v>1.006933769468155</v>
      </c>
      <c r="V16" t="n">
        <v>0.9658560909929447</v>
      </c>
      <c r="W16" t="n">
        <v>0.961039821837229</v>
      </c>
      <c r="X16" t="n">
        <v>0.960548016140122</v>
      </c>
      <c r="Y16" t="n">
        <v>0.9716199841180341</v>
      </c>
      <c r="Z16" t="n">
        <v>1.003590056242402</v>
      </c>
      <c r="AA16" t="n">
        <v>0.9503151279880944</v>
      </c>
      <c r="AB16" t="n">
        <v>0.9516892265451493</v>
      </c>
      <c r="AC16" t="n">
        <v>0.9522815317484089</v>
      </c>
      <c r="AD16" t="n">
        <v>0.9648174884641472</v>
      </c>
      <c r="AE16" t="n">
        <v>1.000702201634712</v>
      </c>
      <c r="AF16" t="n">
        <v>0.965554996007201</v>
      </c>
      <c r="AG16" t="n">
        <v>0.9614689063019424</v>
      </c>
      <c r="AH16" t="n">
        <v>0.9651236804922928</v>
      </c>
      <c r="AI16" t="n">
        <v>0.9907361061275037</v>
      </c>
      <c r="AJ16" t="n">
        <v>1.014955821028143</v>
      </c>
      <c r="AK16" t="n">
        <v>0.9412833630503492</v>
      </c>
      <c r="AL16" t="n">
        <v>0.9335697957809923</v>
      </c>
      <c r="AM16" t="n">
        <v>0.9353104815448618</v>
      </c>
      <c r="AN16" t="n">
        <v>0.9576624880479555</v>
      </c>
      <c r="AO16" t="n">
        <v>0.9713572953188125</v>
      </c>
      <c r="AP16" t="n">
        <v>0.9425628013505167</v>
      </c>
      <c r="AQ16" t="n">
        <v>0.9332927284561469</v>
      </c>
      <c r="AR16" t="n">
        <v>0.937997010807617</v>
      </c>
      <c r="AS16" t="n">
        <v>0.9600543465391915</v>
      </c>
      <c r="AT16" t="n">
        <v>0.9658940477055569</v>
      </c>
      <c r="AU16" t="n">
        <v>0.9131115314321706</v>
      </c>
      <c r="AV16" t="n">
        <v>0.9125603298866972</v>
      </c>
      <c r="AW16" t="n">
        <v>0.9053669167638109</v>
      </c>
      <c r="AX16" t="n">
        <v>0.9421043722515071</v>
      </c>
      <c r="AY16" t="n">
        <v>0.9304132877371519</v>
      </c>
      <c r="AZ16" t="n">
        <v>0.8988330609135653</v>
      </c>
      <c r="BA16" t="n">
        <v>0.894604231972174</v>
      </c>
      <c r="BB16" t="n">
        <v>0.8841049793193333</v>
      </c>
      <c r="BC16" t="n">
        <v>0.9225384939157752</v>
      </c>
      <c r="BD16" t="n">
        <v>0.9084283114091766</v>
      </c>
    </row>
    <row r="17">
      <c r="A17" s="150" t="inlineStr">
        <is>
          <t>15_fraud</t>
        </is>
      </c>
      <c r="B17" t="n">
        <v>0.9583601102118039</v>
      </c>
      <c r="C17" t="n">
        <v>0.9553397266763864</v>
      </c>
      <c r="D17" t="n">
        <v>0.9560544921457027</v>
      </c>
      <c r="E17" t="n">
        <v>0.9374074788727874</v>
      </c>
      <c r="F17" t="n">
        <v>0.9930171943686023</v>
      </c>
      <c r="G17" t="n">
        <v>0.969959340535557</v>
      </c>
      <c r="H17" t="n">
        <v>0.9766805550801689</v>
      </c>
      <c r="I17" t="n">
        <v>0.973487930040442</v>
      </c>
      <c r="J17" t="n">
        <v>0.9535196652631553</v>
      </c>
      <c r="K17" t="n">
        <v>0.9855814905183599</v>
      </c>
      <c r="L17" t="n">
        <v>0.9969217713479427</v>
      </c>
      <c r="M17" t="n">
        <v>0.9798839602855735</v>
      </c>
      <c r="N17" t="n">
        <v>0.9907990426454735</v>
      </c>
      <c r="O17" t="n">
        <v>0.9775983200765895</v>
      </c>
      <c r="P17" t="n">
        <v>1.00300506700852</v>
      </c>
      <c r="Q17" t="n">
        <v>0.9697725605176678</v>
      </c>
      <c r="R17" t="n">
        <v>0.9714721807787284</v>
      </c>
      <c r="S17" t="n">
        <v>0.9795870502156304</v>
      </c>
      <c r="T17" t="n">
        <v>0.9672058535031169</v>
      </c>
      <c r="U17" t="n">
        <v>0.9926562067914426</v>
      </c>
      <c r="V17" t="n">
        <v>0.9622704609368994</v>
      </c>
      <c r="W17" t="n">
        <v>0.9641827939877075</v>
      </c>
      <c r="X17" t="n">
        <v>0.9664581955282289</v>
      </c>
      <c r="Y17" t="n">
        <v>0.9603284482882039</v>
      </c>
      <c r="Z17" t="n">
        <v>0.9906057799965925</v>
      </c>
      <c r="AA17" t="n">
        <v>0.9465014394782331</v>
      </c>
      <c r="AB17" t="n">
        <v>0.9513808047000747</v>
      </c>
      <c r="AC17" t="n">
        <v>0.9568144788661228</v>
      </c>
      <c r="AD17" t="n">
        <v>0.9486340223151787</v>
      </c>
      <c r="AE17" t="n">
        <v>0.9921623580712916</v>
      </c>
      <c r="AF17" t="n">
        <v>0.9682951499847952</v>
      </c>
      <c r="AG17" t="n">
        <v>0.9563634694888217</v>
      </c>
      <c r="AH17" t="n">
        <v>0.9576040315133794</v>
      </c>
      <c r="AI17" t="n">
        <v>0.9821552181531747</v>
      </c>
      <c r="AJ17" t="n">
        <v>1.014964842876215</v>
      </c>
      <c r="AK17" t="n">
        <v>0.9404957691543026</v>
      </c>
      <c r="AL17" t="n">
        <v>0.9217644569828558</v>
      </c>
      <c r="AM17" t="n">
        <v>0.9270056315894156</v>
      </c>
      <c r="AN17" t="n">
        <v>0.9493624147578194</v>
      </c>
      <c r="AO17" t="n">
        <v>0.9653426063607307</v>
      </c>
      <c r="AP17" t="n">
        <v>0.9336338764707143</v>
      </c>
      <c r="AQ17" t="n">
        <v>0.916405280536521</v>
      </c>
      <c r="AR17" t="n">
        <v>0.9229955827330879</v>
      </c>
      <c r="AS17" t="n">
        <v>0.9493480236686586</v>
      </c>
      <c r="AT17" t="n">
        <v>0.9594258492735488</v>
      </c>
      <c r="AU17" t="n">
        <v>0.9072528619024794</v>
      </c>
      <c r="AV17" t="n">
        <v>0.9007077540774668</v>
      </c>
      <c r="AW17" t="n">
        <v>0.8936307419664492</v>
      </c>
      <c r="AX17" t="n">
        <v>0.9351329506347732</v>
      </c>
      <c r="AY17" t="n">
        <v>0.9288749061149879</v>
      </c>
      <c r="AZ17" t="n">
        <v>0.8961984788446382</v>
      </c>
      <c r="BA17" t="n">
        <v>0.882532427200487</v>
      </c>
      <c r="BB17" t="n">
        <v>0.8747449641364584</v>
      </c>
      <c r="BC17" t="n">
        <v>0.9177970346981124</v>
      </c>
      <c r="BD17" t="n">
        <v>0.902831639761433</v>
      </c>
    </row>
    <row r="18">
      <c r="A18" s="150" t="inlineStr">
        <is>
          <t>16_driver_flag</t>
        </is>
      </c>
      <c r="B18" t="n">
        <v>0.9620372456416323</v>
      </c>
      <c r="C18" t="n">
        <v>0.9581308384507993</v>
      </c>
      <c r="D18" t="n">
        <v>0.9591310454211189</v>
      </c>
      <c r="E18" t="n">
        <v>0.9414208353903712</v>
      </c>
      <c r="F18" t="n">
        <v>0.9949291041880889</v>
      </c>
      <c r="G18" t="n">
        <v>0.9730167281414454</v>
      </c>
      <c r="H18" t="n">
        <v>0.9801034317408557</v>
      </c>
      <c r="I18" t="n">
        <v>0.9777972842683627</v>
      </c>
      <c r="J18" t="n">
        <v>0.9558431769897696</v>
      </c>
      <c r="K18" t="n">
        <v>0.9868417396499262</v>
      </c>
      <c r="L18" t="n">
        <v>1.000066875042808</v>
      </c>
      <c r="M18" t="n">
        <v>0.9828302520393823</v>
      </c>
      <c r="N18" t="n">
        <v>0.9934708538571145</v>
      </c>
      <c r="O18" t="n">
        <v>0.9797791132424777</v>
      </c>
      <c r="P18" t="n">
        <v>1.004570158880129</v>
      </c>
      <c r="Q18" t="n">
        <v>0.974258385974226</v>
      </c>
      <c r="R18" t="n">
        <v>0.9746281586393123</v>
      </c>
      <c r="S18" t="n">
        <v>0.9825116870184083</v>
      </c>
      <c r="T18" t="n">
        <v>0.9696604560705802</v>
      </c>
      <c r="U18" t="n">
        <v>0.9941449243849521</v>
      </c>
      <c r="V18" t="n">
        <v>0.9692096299417856</v>
      </c>
      <c r="W18" t="n">
        <v>0.9675491743866803</v>
      </c>
      <c r="X18" t="n">
        <v>0.9693440035803422</v>
      </c>
      <c r="Y18" t="n">
        <v>0.9619768295153356</v>
      </c>
      <c r="Z18" t="n">
        <v>0.9924619134823519</v>
      </c>
      <c r="AA18" t="n">
        <v>0.954815947698325</v>
      </c>
      <c r="AB18" t="n">
        <v>0.9548953812438433</v>
      </c>
      <c r="AC18" t="n">
        <v>0.9596088423851195</v>
      </c>
      <c r="AD18" t="n">
        <v>0.9508571555234524</v>
      </c>
      <c r="AE18" t="n">
        <v>0.993826419725661</v>
      </c>
      <c r="AF18" t="n">
        <v>0.9746002709597297</v>
      </c>
      <c r="AG18" t="n">
        <v>0.9603243909790993</v>
      </c>
      <c r="AH18" t="n">
        <v>0.9605772566061468</v>
      </c>
      <c r="AI18" t="n">
        <v>0.9848065440909326</v>
      </c>
      <c r="AJ18" t="n">
        <v>1.016715154276474</v>
      </c>
      <c r="AK18" t="n">
        <v>0.9475697146482588</v>
      </c>
      <c r="AL18" t="n">
        <v>0.9262312291135119</v>
      </c>
      <c r="AM18" t="n">
        <v>0.9302946595313076</v>
      </c>
      <c r="AN18" t="n">
        <v>0.9524148262775024</v>
      </c>
      <c r="AO18" t="n">
        <v>0.9672416748726577</v>
      </c>
      <c r="AP18" t="n">
        <v>0.9396784494070334</v>
      </c>
      <c r="AQ18" t="n">
        <v>0.9207543074855854</v>
      </c>
      <c r="AR18" t="n">
        <v>0.9266362664947655</v>
      </c>
      <c r="AS18" t="n">
        <v>0.95359008096345</v>
      </c>
      <c r="AT18" t="n">
        <v>0.9615862003053008</v>
      </c>
      <c r="AU18" t="n">
        <v>0.9136896822805117</v>
      </c>
      <c r="AV18" t="n">
        <v>0.9043988689875069</v>
      </c>
      <c r="AW18" t="n">
        <v>0.8971921320699304</v>
      </c>
      <c r="AX18" t="n">
        <v>0.9388595747940753</v>
      </c>
      <c r="AY18" t="n">
        <v>0.9309148317811266</v>
      </c>
      <c r="AZ18" t="n">
        <v>0.9025652244080162</v>
      </c>
      <c r="BA18" t="n">
        <v>0.8855354975643129</v>
      </c>
      <c r="BB18" t="n">
        <v>0.8792328954652834</v>
      </c>
      <c r="BC18" t="n">
        <v>0.9226196579535505</v>
      </c>
      <c r="BD18" t="n">
        <v>0.9055313793839094</v>
      </c>
    </row>
    <row r="19">
      <c r="A19" s="150" t="inlineStr">
        <is>
          <t>17_pricing_scalar</t>
        </is>
      </c>
      <c r="B19" t="n">
        <v>0.9561137556531094</v>
      </c>
      <c r="C19" t="n">
        <v>0.9721120904562039</v>
      </c>
      <c r="D19" t="n">
        <v>0.9408632944447105</v>
      </c>
      <c r="E19" t="n">
        <v>0.9245919818026507</v>
      </c>
      <c r="F19" t="n">
        <v>1.032953699222971</v>
      </c>
      <c r="G19" t="n">
        <v>0.9854133671864435</v>
      </c>
      <c r="H19" t="n">
        <v>0.9833125546773935</v>
      </c>
      <c r="I19" t="n">
        <v>0.9619568482883625</v>
      </c>
      <c r="J19" t="n">
        <v>0.9296137432884042</v>
      </c>
      <c r="K19" t="n">
        <v>1.000560790596551</v>
      </c>
      <c r="L19" t="n">
        <v>1.028868340997342</v>
      </c>
      <c r="M19" t="n">
        <v>0.9769601488176675</v>
      </c>
      <c r="N19" t="n">
        <v>0.9692598116907799</v>
      </c>
      <c r="O19" t="n">
        <v>0.936937492905202</v>
      </c>
      <c r="P19" t="n">
        <v>1.034295953244121</v>
      </c>
      <c r="Q19" t="n">
        <v>0.9998624652731694</v>
      </c>
      <c r="R19" t="n">
        <v>0.9551665373175675</v>
      </c>
      <c r="S19" t="n">
        <v>0.9273068181900014</v>
      </c>
      <c r="T19" t="n">
        <v>0.8903037423223673</v>
      </c>
      <c r="U19" t="n">
        <v>1.023679618402558</v>
      </c>
      <c r="V19" t="n">
        <v>0.9799242441578484</v>
      </c>
      <c r="W19" t="n">
        <v>0.9670689980296707</v>
      </c>
      <c r="X19" t="n">
        <v>0.9224249068451498</v>
      </c>
      <c r="Y19" t="n">
        <v>0.8599698861196945</v>
      </c>
      <c r="Z19" t="n">
        <v>1.02691371125308</v>
      </c>
      <c r="AA19" t="n">
        <v>0.9844008308831177</v>
      </c>
      <c r="AB19" t="n">
        <v>0.9610598238410851</v>
      </c>
      <c r="AC19" t="n">
        <v>0.9242765350320844</v>
      </c>
      <c r="AD19" t="n">
        <v>0.8787287570387996</v>
      </c>
      <c r="AE19" t="n">
        <v>1.016396363878692</v>
      </c>
      <c r="AF19" t="n">
        <v>0.9832425692003617</v>
      </c>
      <c r="AG19" t="n">
        <v>0.9424281312423815</v>
      </c>
      <c r="AH19" t="n">
        <v>0.932844521409473</v>
      </c>
      <c r="AI19" t="n">
        <v>0.9005620344573095</v>
      </c>
      <c r="AJ19" t="n">
        <v>1.050028830188007</v>
      </c>
      <c r="AK19" t="n">
        <v>0.9558366427707613</v>
      </c>
      <c r="AL19" t="n">
        <v>0.9003702676179505</v>
      </c>
      <c r="AM19" t="n">
        <v>0.9198000369853944</v>
      </c>
      <c r="AN19" t="n">
        <v>0.8964100060874496</v>
      </c>
      <c r="AO19" t="n">
        <v>0.9973903693728529</v>
      </c>
      <c r="AP19" t="n">
        <v>0.9259529296116898</v>
      </c>
      <c r="AQ19" t="n">
        <v>0.8807551505221523</v>
      </c>
      <c r="AR19" t="n">
        <v>0.9088501185686481</v>
      </c>
      <c r="AS19" t="n">
        <v>0.8703325668268029</v>
      </c>
      <c r="AT19" t="n">
        <v>0.9997465795580225</v>
      </c>
      <c r="AU19" t="n">
        <v>0.8767506796009877</v>
      </c>
      <c r="AV19" t="n">
        <v>0.8605793868137669</v>
      </c>
      <c r="AW19" t="n">
        <v>0.8785870980195023</v>
      </c>
      <c r="AX19" t="n">
        <v>0.9195426344242563</v>
      </c>
      <c r="AY19" t="n">
        <v>0.9362218848955258</v>
      </c>
      <c r="AZ19" t="n">
        <v>0.8999343918651189</v>
      </c>
      <c r="BA19" t="n">
        <v>0.9069781911662509</v>
      </c>
      <c r="BB19" t="n">
        <v>0.902334659413686</v>
      </c>
      <c r="BC19" t="n">
        <v>0.934523661173101</v>
      </c>
      <c r="BD19" t="n">
        <v>0.920604603503306</v>
      </c>
    </row>
    <row r="20">
      <c r="A20" s="150" t="inlineStr">
        <is>
          <t>18_final</t>
        </is>
      </c>
      <c r="B20" t="n">
        <v>0.95125989018429</v>
      </c>
      <c r="C20" t="n">
        <v>0.9662587302879645</v>
      </c>
      <c r="D20" t="n">
        <v>0.939649219774641</v>
      </c>
      <c r="E20" t="n">
        <v>0.926751095942197</v>
      </c>
      <c r="F20" t="n">
        <v>1.027706554452424</v>
      </c>
      <c r="G20" t="n">
        <v>0.9780922327476091</v>
      </c>
      <c r="H20" t="n">
        <v>0.9780737860809152</v>
      </c>
      <c r="I20" t="n">
        <v>0.9581353099824632</v>
      </c>
      <c r="J20" t="n">
        <v>0.9273808084504466</v>
      </c>
      <c r="K20" t="n">
        <v>0.9971908421599792</v>
      </c>
      <c r="L20" t="n">
        <v>1.012631103856323</v>
      </c>
      <c r="M20" t="n">
        <v>0.9724921449442302</v>
      </c>
      <c r="N20" t="n">
        <v>0.9634912655951753</v>
      </c>
      <c r="O20" t="n">
        <v>0.9331437190307897</v>
      </c>
      <c r="P20" t="n">
        <v>1.027678503566551</v>
      </c>
      <c r="Q20" t="n">
        <v>0.9911996496255709</v>
      </c>
      <c r="R20" t="n">
        <v>0.951589068100129</v>
      </c>
      <c r="S20" t="n">
        <v>0.9261934466873299</v>
      </c>
      <c r="T20" t="n">
        <v>0.8962471281997426</v>
      </c>
      <c r="U20" t="n">
        <v>1.016450032900668</v>
      </c>
      <c r="V20" t="n">
        <v>0.9748123634765491</v>
      </c>
      <c r="W20" t="n">
        <v>0.9631072419380127</v>
      </c>
      <c r="X20" t="n">
        <v>0.9227077100657456</v>
      </c>
      <c r="Y20" t="n">
        <v>0.8681367008040071</v>
      </c>
      <c r="Z20" t="n">
        <v>1.020987510954181</v>
      </c>
      <c r="AA20" t="n">
        <v>0.9773193653269561</v>
      </c>
      <c r="AB20" t="n">
        <v>0.9587144505461946</v>
      </c>
      <c r="AC20" t="n">
        <v>0.9233081504657236</v>
      </c>
      <c r="AD20" t="n">
        <v>0.8817916053527118</v>
      </c>
      <c r="AE20" t="n">
        <v>1.011704681933818</v>
      </c>
      <c r="AF20" t="n">
        <v>0.975067195835527</v>
      </c>
      <c r="AG20" t="n">
        <v>0.9401346129924307</v>
      </c>
      <c r="AH20" t="n">
        <v>0.9314045041436017</v>
      </c>
      <c r="AI20" t="n">
        <v>0.9040556170766355</v>
      </c>
      <c r="AJ20" t="n">
        <v>1.041716521389967</v>
      </c>
      <c r="AK20" t="n">
        <v>0.9511477285054023</v>
      </c>
      <c r="AL20" t="n">
        <v>0.900886876036738</v>
      </c>
      <c r="AM20" t="n">
        <v>0.9190767229677618</v>
      </c>
      <c r="AN20" t="n">
        <v>0.9002049705922883</v>
      </c>
      <c r="AO20" t="n">
        <v>0.9927633571733969</v>
      </c>
      <c r="AP20" t="n">
        <v>0.9277709804836273</v>
      </c>
      <c r="AQ20" t="n">
        <v>0.884162049740929</v>
      </c>
      <c r="AR20" t="n">
        <v>0.9084807967631708</v>
      </c>
      <c r="AS20" t="n">
        <v>0.8811324427389964</v>
      </c>
      <c r="AT20" t="n">
        <v>0.9947915030485365</v>
      </c>
      <c r="AU20" t="n">
        <v>0.8844665400670089</v>
      </c>
      <c r="AV20" t="n">
        <v>0.8658441050955122</v>
      </c>
      <c r="AW20" t="n">
        <v>0.8811693506287958</v>
      </c>
      <c r="AX20" t="n">
        <v>0.9206879251208279</v>
      </c>
      <c r="AY20" t="n">
        <v>0.9351357096005537</v>
      </c>
      <c r="AZ20" t="n">
        <v>0.8988446426239498</v>
      </c>
      <c r="BA20" t="n">
        <v>0.9069660836010335</v>
      </c>
      <c r="BB20" t="n">
        <v>0.9017333233407416</v>
      </c>
      <c r="BC20" t="n">
        <v>0.9341853644299999</v>
      </c>
      <c r="BD20" t="n">
        <v>0.9197450718072909</v>
      </c>
    </row>
    <row r="21">
      <c r="A21" s="150" t="inlineStr">
        <is>
          <t>--- FINAL_MULT (mean)</t>
        </is>
      </c>
      <c r="B21" t="n">
        <v>0.95125989018429</v>
      </c>
      <c r="C21" t="n">
        <v>0.9662587302879645</v>
      </c>
      <c r="D21" t="n">
        <v>0.939649219774641</v>
      </c>
      <c r="E21" t="n">
        <v>0.926751095942197</v>
      </c>
      <c r="F21" t="n">
        <v>1.027706554452424</v>
      </c>
      <c r="G21" t="n">
        <v>0.9780922327476091</v>
      </c>
      <c r="H21" t="n">
        <v>0.9780737860809152</v>
      </c>
      <c r="I21" t="n">
        <v>0.9581353099824632</v>
      </c>
      <c r="J21" t="n">
        <v>0.9273808084504466</v>
      </c>
      <c r="K21" t="n">
        <v>0.9971908421599792</v>
      </c>
      <c r="L21" t="n">
        <v>1.012631103856323</v>
      </c>
      <c r="M21" t="n">
        <v>0.9724921449442302</v>
      </c>
      <c r="N21" t="n">
        <v>0.9634912655951753</v>
      </c>
      <c r="O21" t="n">
        <v>0.9331437190307897</v>
      </c>
      <c r="P21" t="n">
        <v>1.027678503566551</v>
      </c>
      <c r="Q21" t="n">
        <v>0.9911996496255709</v>
      </c>
      <c r="R21" t="n">
        <v>0.951589068100129</v>
      </c>
      <c r="S21" t="n">
        <v>0.9261934466873299</v>
      </c>
      <c r="T21" t="n">
        <v>0.8962471281997426</v>
      </c>
      <c r="U21" t="n">
        <v>1.016450032900668</v>
      </c>
      <c r="V21" t="n">
        <v>0.9748123634765491</v>
      </c>
      <c r="W21" t="n">
        <v>0.9631072419380127</v>
      </c>
      <c r="X21" t="n">
        <v>0.9227077100657456</v>
      </c>
      <c r="Y21" t="n">
        <v>0.8681367008040071</v>
      </c>
      <c r="Z21" t="n">
        <v>1.020987510954181</v>
      </c>
      <c r="AA21" t="n">
        <v>0.9773193653269561</v>
      </c>
      <c r="AB21" t="n">
        <v>0.9587144505461946</v>
      </c>
      <c r="AC21" t="n">
        <v>0.9233081504657236</v>
      </c>
      <c r="AD21" t="n">
        <v>0.8817916053527118</v>
      </c>
      <c r="AE21" t="n">
        <v>1.011704681933818</v>
      </c>
      <c r="AF21" t="n">
        <v>0.975067195835527</v>
      </c>
      <c r="AG21" t="n">
        <v>0.9401346129924307</v>
      </c>
      <c r="AH21" t="n">
        <v>0.9314045041436017</v>
      </c>
      <c r="AI21" t="n">
        <v>0.9040556170766355</v>
      </c>
      <c r="AJ21" t="n">
        <v>1.041716521389967</v>
      </c>
      <c r="AK21" t="n">
        <v>0.9511477285054023</v>
      </c>
      <c r="AL21" t="n">
        <v>0.900886876036738</v>
      </c>
      <c r="AM21" t="n">
        <v>0.9190767229677618</v>
      </c>
      <c r="AN21" t="n">
        <v>0.9002049705922883</v>
      </c>
      <c r="AO21" t="n">
        <v>0.9927633571733969</v>
      </c>
      <c r="AP21" t="n">
        <v>0.9277709804836273</v>
      </c>
      <c r="AQ21" t="n">
        <v>0.884162049740929</v>
      </c>
      <c r="AR21" t="n">
        <v>0.9084807967631708</v>
      </c>
      <c r="AS21" t="n">
        <v>0.8811324427389964</v>
      </c>
      <c r="AT21" t="n">
        <v>0.9947915030485365</v>
      </c>
      <c r="AU21" t="n">
        <v>0.8844665400670089</v>
      </c>
      <c r="AV21" t="n">
        <v>0.8658441050955122</v>
      </c>
      <c r="AW21" t="n">
        <v>0.8811693506287958</v>
      </c>
      <c r="AX21" t="n">
        <v>0.9206879251208279</v>
      </c>
      <c r="AY21" t="n">
        <v>0.9351357096005537</v>
      </c>
      <c r="AZ21" t="n">
        <v>0.8988446426239498</v>
      </c>
      <c r="BA21" t="n">
        <v>0.9069660836010335</v>
      </c>
      <c r="BB21" t="n">
        <v>0.9017333233407416</v>
      </c>
      <c r="BC21" t="n">
        <v>0.9341853644299999</v>
      </c>
      <c r="BD21" t="n">
        <v>0.9197450718072909</v>
      </c>
    </row>
    <row r="22">
      <c r="A22" s="150" t="inlineStr">
        <is>
          <t>--- WTD_MULT_RAGU</t>
        </is>
      </c>
      <c r="B22" t="n">
        <v>0.9341649167428916</v>
      </c>
      <c r="C22" t="n">
        <v>0.9701124841029777</v>
      </c>
      <c r="D22" t="n">
        <v>0.9404370886097957</v>
      </c>
      <c r="E22" t="n">
        <v>0.9566552233548297</v>
      </c>
      <c r="F22" t="n">
        <v>1.025486596965865</v>
      </c>
      <c r="G22" t="n">
        <v>0.9679074895212922</v>
      </c>
      <c r="H22" t="n">
        <v>0.9774044847612533</v>
      </c>
      <c r="I22" t="n">
        <v>0.9549859644573268</v>
      </c>
      <c r="J22" t="n">
        <v>0.9437792849266677</v>
      </c>
      <c r="K22" t="n">
        <v>0.9937071843343142</v>
      </c>
      <c r="L22" t="n">
        <v>1.005008602423664</v>
      </c>
      <c r="M22" t="n">
        <v>0.9728590563521357</v>
      </c>
      <c r="N22" t="n">
        <v>0.9574776209669036</v>
      </c>
      <c r="O22" t="n">
        <v>0.9361545190436394</v>
      </c>
      <c r="P22" t="n">
        <v>1.023593180584854</v>
      </c>
      <c r="Q22" t="n">
        <v>0.9872276851424492</v>
      </c>
      <c r="R22" t="n">
        <v>0.9524923292387044</v>
      </c>
      <c r="S22" t="n">
        <v>0.9190177847864278</v>
      </c>
      <c r="T22" t="n">
        <v>0.9024115622759068</v>
      </c>
      <c r="U22" t="n">
        <v>1.013042105726989</v>
      </c>
      <c r="V22" t="n">
        <v>0.969547319844721</v>
      </c>
      <c r="W22" t="n">
        <v>0.961138918253725</v>
      </c>
      <c r="X22" t="n">
        <v>0.9090647769774612</v>
      </c>
      <c r="Y22" t="n">
        <v>0.8686964322447412</v>
      </c>
      <c r="Z22" t="n">
        <v>1.019045083647524</v>
      </c>
      <c r="AA22" t="n">
        <v>0.9788218473246717</v>
      </c>
      <c r="AB22" t="n">
        <v>0.9527886400342966</v>
      </c>
      <c r="AC22" t="n">
        <v>0.9173228373869247</v>
      </c>
      <c r="AD22" t="n">
        <v>0.881229848215632</v>
      </c>
      <c r="AE22" t="n">
        <v>1.011152095912022</v>
      </c>
      <c r="AF22" t="n">
        <v>0.9725907147920644</v>
      </c>
      <c r="AG22" t="n">
        <v>0.941267991147934</v>
      </c>
      <c r="AH22" t="n">
        <v>0.925826348270109</v>
      </c>
      <c r="AI22" t="n">
        <v>0.9034696394133205</v>
      </c>
      <c r="AJ22" t="n">
        <v>1.038353630205506</v>
      </c>
      <c r="AK22" t="n">
        <v>0.9488611135928644</v>
      </c>
      <c r="AL22" t="n">
        <v>0.9008958930307386</v>
      </c>
      <c r="AM22" t="n">
        <v>0.9186497197695053</v>
      </c>
      <c r="AN22" t="n">
        <v>0.9001901308222167</v>
      </c>
      <c r="AO22" t="n">
        <v>0.9913875296024413</v>
      </c>
      <c r="AP22" t="n">
        <v>0.9277897040919824</v>
      </c>
      <c r="AQ22" t="n">
        <v>0.8824694235082148</v>
      </c>
      <c r="AR22" t="n">
        <v>0.909616889025887</v>
      </c>
      <c r="AS22" t="n">
        <v>0.8793143321428371</v>
      </c>
      <c r="AT22" t="n">
        <v>0.9921852263730455</v>
      </c>
      <c r="AU22" t="n">
        <v>0.882439113867716</v>
      </c>
      <c r="AV22" t="n">
        <v>0.8601539976370899</v>
      </c>
      <c r="AW22" t="n">
        <v>0.8754085276915546</v>
      </c>
      <c r="AX22" t="n">
        <v>0.9254104877757567</v>
      </c>
      <c r="AY22" t="n">
        <v>0.93276028501905</v>
      </c>
      <c r="AZ22" t="n">
        <v>0.8941022264148172</v>
      </c>
      <c r="BA22" t="n">
        <v>0.9040847605362343</v>
      </c>
      <c r="BB22" t="n">
        <v>0.8947339862803426</v>
      </c>
      <c r="BC22" t="n">
        <v>0.933018279707803</v>
      </c>
      <c r="BD22" t="n">
        <v>0.9170298847655655</v>
      </c>
    </row>
    <row r="23">
      <c r="A23" s="150" t="inlineStr">
        <is>
          <t>--- GROSS_LOSS_IMPACT</t>
        </is>
      </c>
      <c r="B23" t="n">
        <v>1.64587708142771</v>
      </c>
      <c r="C23" t="n">
        <v>0.747187897425558</v>
      </c>
      <c r="D23" t="n">
        <v>1.489072784755108</v>
      </c>
      <c r="E23" t="n">
        <v>1.083619416129258</v>
      </c>
      <c r="F23" t="n">
        <v>-0.6371649241466326</v>
      </c>
      <c r="G23" t="n">
        <v>0.802312761967694</v>
      </c>
      <c r="H23" t="n">
        <v>0.5648878809686675</v>
      </c>
      <c r="I23" t="n">
        <v>1.125350888566831</v>
      </c>
      <c r="J23" t="n">
        <v>1.405517876833307</v>
      </c>
      <c r="K23" t="n">
        <v>0.1573203916421462</v>
      </c>
      <c r="L23" t="n">
        <v>-0.1252150605915991</v>
      </c>
      <c r="M23" t="n">
        <v>0.6785235911966087</v>
      </c>
      <c r="N23" t="n">
        <v>1.06305947582741</v>
      </c>
      <c r="O23" t="n">
        <v>1.596137023909014</v>
      </c>
      <c r="P23" t="n">
        <v>-0.5898295146213428</v>
      </c>
      <c r="Q23" t="n">
        <v>0.3193078714387704</v>
      </c>
      <c r="R23" t="n">
        <v>1.18769176903239</v>
      </c>
      <c r="S23" t="n">
        <v>2.024555380339304</v>
      </c>
      <c r="T23" t="n">
        <v>2.43971094310233</v>
      </c>
      <c r="U23" t="n">
        <v>-0.326052643174729</v>
      </c>
      <c r="V23" t="n">
        <v>0.7613170038819755</v>
      </c>
      <c r="W23" t="n">
        <v>0.9715270436568751</v>
      </c>
      <c r="X23" t="n">
        <v>2.273380575563469</v>
      </c>
      <c r="Y23" t="n">
        <v>3.282589193881469</v>
      </c>
      <c r="Z23" t="n">
        <v>-0.4761270911880944</v>
      </c>
      <c r="AA23" t="n">
        <v>0.5294538168832075</v>
      </c>
      <c r="AB23" t="n">
        <v>1.180283999142584</v>
      </c>
      <c r="AC23" t="n">
        <v>2.066929065326883</v>
      </c>
      <c r="AD23" t="n">
        <v>2.9692537946092</v>
      </c>
      <c r="AE23" t="n">
        <v>-0.2788023978005538</v>
      </c>
      <c r="AF23" t="n">
        <v>0.6852321301983905</v>
      </c>
      <c r="AG23" t="n">
        <v>1.468300221301649</v>
      </c>
      <c r="AH23" t="n">
        <v>1.854341293247275</v>
      </c>
      <c r="AI23" t="n">
        <v>2.413259014666988</v>
      </c>
      <c r="AJ23" t="n">
        <v>-0.958840755137641</v>
      </c>
      <c r="AK23" t="n">
        <v>1.27847216017839</v>
      </c>
      <c r="AL23" t="n">
        <v>2.477602674231536</v>
      </c>
      <c r="AM23" t="n">
        <v>2.033757005762368</v>
      </c>
      <c r="AN23" t="n">
        <v>2.495246729444584</v>
      </c>
      <c r="AO23" t="n">
        <v>0.2153117599389687</v>
      </c>
      <c r="AP23" t="n">
        <v>1.805257397700441</v>
      </c>
      <c r="AQ23" t="n">
        <v>2.938264412294631</v>
      </c>
      <c r="AR23" t="n">
        <v>2.259577774352825</v>
      </c>
      <c r="AS23" t="n">
        <v>3.017141696429074</v>
      </c>
      <c r="AT23" t="n">
        <v>0.1953693406738621</v>
      </c>
      <c r="AU23" t="n">
        <v>2.9390221533071</v>
      </c>
      <c r="AV23" t="n">
        <v>3.496150059072753</v>
      </c>
      <c r="AW23" t="n">
        <v>3.114786807711134</v>
      </c>
      <c r="AX23" t="n">
        <v>1.864737805606081</v>
      </c>
      <c r="AY23" t="n">
        <v>1.680992874523751</v>
      </c>
      <c r="AZ23" t="n">
        <v>2.64744433962957</v>
      </c>
      <c r="BA23" t="n">
        <v>2.397880986594142</v>
      </c>
      <c r="BB23" t="n">
        <v>2.631650342991434</v>
      </c>
      <c r="BC23" t="n">
        <v>1.674543007304924</v>
      </c>
      <c r="BD23" t="n">
        <v>2.074252880860863</v>
      </c>
    </row>
    <row r="24">
      <c r="A24" s="150" t="inlineStr">
        <is>
          <t>--- N_RECORDS</t>
        </is>
      </c>
      <c r="B24" t="n">
        <v>2348</v>
      </c>
      <c r="C24" t="n">
        <v>1289</v>
      </c>
      <c r="D24" t="n">
        <v>1400</v>
      </c>
      <c r="E24" t="n">
        <v>659</v>
      </c>
      <c r="F24" t="n">
        <v>3309</v>
      </c>
      <c r="G24" t="n">
        <v>3809</v>
      </c>
      <c r="H24" t="n">
        <v>1578</v>
      </c>
      <c r="I24" t="n">
        <v>2119</v>
      </c>
      <c r="J24" t="n">
        <v>675</v>
      </c>
      <c r="K24" t="n">
        <v>3517</v>
      </c>
      <c r="L24" t="n">
        <v>6886</v>
      </c>
      <c r="M24" t="n">
        <v>2541</v>
      </c>
      <c r="N24" t="n">
        <v>3523</v>
      </c>
      <c r="O24" t="n">
        <v>1339</v>
      </c>
      <c r="P24" t="n">
        <v>5612</v>
      </c>
      <c r="Q24" t="n">
        <v>7211</v>
      </c>
      <c r="R24" t="n">
        <v>2296</v>
      </c>
      <c r="S24" t="n">
        <v>4271</v>
      </c>
      <c r="T24" t="n">
        <v>1649</v>
      </c>
      <c r="U24" t="n">
        <v>4733</v>
      </c>
      <c r="V24" t="n">
        <v>5438</v>
      </c>
      <c r="W24" t="n">
        <v>1631</v>
      </c>
      <c r="X24" t="n">
        <v>3132</v>
      </c>
      <c r="Y24" t="n">
        <v>1058</v>
      </c>
      <c r="Z24" t="n">
        <v>3650</v>
      </c>
      <c r="AA24" t="n">
        <v>5762</v>
      </c>
      <c r="AB24" t="n">
        <v>1608</v>
      </c>
      <c r="AC24" t="n">
        <v>3130</v>
      </c>
      <c r="AD24" t="n">
        <v>979</v>
      </c>
      <c r="AE24" t="n">
        <v>3964</v>
      </c>
      <c r="AF24" t="n">
        <v>8574</v>
      </c>
      <c r="AG24" t="n">
        <v>2811</v>
      </c>
      <c r="AH24" t="n">
        <v>4959</v>
      </c>
      <c r="AI24" t="n">
        <v>2007</v>
      </c>
      <c r="AJ24" t="n">
        <v>6801</v>
      </c>
      <c r="AK24" t="n">
        <v>7902</v>
      </c>
      <c r="AL24" t="n">
        <v>2741</v>
      </c>
      <c r="AM24" t="n">
        <v>4883</v>
      </c>
      <c r="AN24" t="n">
        <v>1893</v>
      </c>
      <c r="AO24" t="n">
        <v>5693</v>
      </c>
      <c r="AP24" t="n">
        <v>6386</v>
      </c>
      <c r="AQ24" t="n">
        <v>2289</v>
      </c>
      <c r="AR24" t="n">
        <v>3739</v>
      </c>
      <c r="AS24" t="n">
        <v>1880</v>
      </c>
      <c r="AT24" t="n">
        <v>4517</v>
      </c>
      <c r="AU24" t="n">
        <v>4805</v>
      </c>
      <c r="AV24" t="n">
        <v>1744</v>
      </c>
      <c r="AW24" t="n">
        <v>2876</v>
      </c>
      <c r="AX24" t="n">
        <v>1891</v>
      </c>
      <c r="AY24" t="n">
        <v>3771</v>
      </c>
      <c r="AZ24" t="n">
        <v>2300</v>
      </c>
      <c r="BA24" t="n">
        <v>805</v>
      </c>
      <c r="BB24" t="n">
        <v>1440</v>
      </c>
      <c r="BC24" t="n">
        <v>890</v>
      </c>
      <c r="BD24" t="n">
        <v>1591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B1" s="150" t="inlineStr">
        <is>
          <t>FRN | 2023 Q3</t>
        </is>
      </c>
      <c r="C1" s="150" t="inlineStr">
        <is>
          <t>AN | 2023 Q3</t>
        </is>
      </c>
      <c r="D1" s="150" t="inlineStr">
        <is>
          <t>STG | 2023 Q3</t>
        </is>
      </c>
      <c r="E1" s="150" t="inlineStr">
        <is>
          <t>FLD | 2023 Q3</t>
        </is>
      </c>
      <c r="F1" s="150" t="inlineStr">
        <is>
          <t>ENT | 2023 Q3</t>
        </is>
      </c>
      <c r="G1" s="150" t="inlineStr">
        <is>
          <t>FRN | 2023 Q4</t>
        </is>
      </c>
      <c r="H1" s="150" t="inlineStr">
        <is>
          <t>AN | 2023 Q4</t>
        </is>
      </c>
      <c r="I1" s="150" t="inlineStr">
        <is>
          <t>STG | 2023 Q4</t>
        </is>
      </c>
      <c r="J1" s="150" t="inlineStr">
        <is>
          <t>FLD | 2023 Q4</t>
        </is>
      </c>
      <c r="K1" s="150" t="inlineStr">
        <is>
          <t>ENT | 2023 Q4</t>
        </is>
      </c>
      <c r="L1" s="150" t="inlineStr">
        <is>
          <t>FRN | 2024 Q1</t>
        </is>
      </c>
      <c r="M1" s="150" t="inlineStr">
        <is>
          <t>AN | 2024 Q1</t>
        </is>
      </c>
      <c r="N1" s="150" t="inlineStr">
        <is>
          <t>STG | 2024 Q1</t>
        </is>
      </c>
      <c r="O1" s="150" t="inlineStr">
        <is>
          <t>FLD | 2024 Q1</t>
        </is>
      </c>
      <c r="P1" s="150" t="inlineStr">
        <is>
          <t>ENT | 2024 Q1</t>
        </is>
      </c>
      <c r="Q1" s="150" t="inlineStr">
        <is>
          <t>FRN | 2024 Q2</t>
        </is>
      </c>
      <c r="R1" s="150" t="inlineStr">
        <is>
          <t>AN | 2024 Q2</t>
        </is>
      </c>
      <c r="S1" s="150" t="inlineStr">
        <is>
          <t>STG | 2024 Q2</t>
        </is>
      </c>
      <c r="T1" s="150" t="inlineStr">
        <is>
          <t>FLD | 2024 Q2</t>
        </is>
      </c>
      <c r="U1" s="150" t="inlineStr">
        <is>
          <t>ENT | 2024 Q2</t>
        </is>
      </c>
      <c r="V1" s="150" t="inlineStr">
        <is>
          <t>FRN | 2024 Q3</t>
        </is>
      </c>
      <c r="W1" s="150" t="inlineStr">
        <is>
          <t>AN | 2024 Q3</t>
        </is>
      </c>
      <c r="X1" s="150" t="inlineStr">
        <is>
          <t>STG | 2024 Q3</t>
        </is>
      </c>
      <c r="Y1" s="150" t="inlineStr">
        <is>
          <t>FLD | 2024 Q3</t>
        </is>
      </c>
      <c r="Z1" s="150" t="inlineStr">
        <is>
          <t>ENT | 2024 Q3</t>
        </is>
      </c>
      <c r="AA1" s="150" t="inlineStr">
        <is>
          <t>FRN | 2024 Q4</t>
        </is>
      </c>
      <c r="AB1" s="150" t="inlineStr">
        <is>
          <t>AN | 2024 Q4</t>
        </is>
      </c>
      <c r="AC1" s="150" t="inlineStr">
        <is>
          <t>STG | 2024 Q4</t>
        </is>
      </c>
      <c r="AD1" s="150" t="inlineStr">
        <is>
          <t>FLD | 2024 Q4</t>
        </is>
      </c>
      <c r="AE1" s="150" t="inlineStr">
        <is>
          <t>ENT | 2024 Q4</t>
        </is>
      </c>
      <c r="AF1" s="150" t="inlineStr">
        <is>
          <t>FRN | 2025 Q1</t>
        </is>
      </c>
      <c r="AG1" s="150" t="inlineStr">
        <is>
          <t>AN | 2025 Q1</t>
        </is>
      </c>
      <c r="AH1" s="150" t="inlineStr">
        <is>
          <t>STG | 2025 Q1</t>
        </is>
      </c>
      <c r="AI1" s="150" t="inlineStr">
        <is>
          <t>FLD | 2025 Q1</t>
        </is>
      </c>
      <c r="AJ1" s="150" t="inlineStr">
        <is>
          <t>ENT | 2025 Q1</t>
        </is>
      </c>
      <c r="AK1" s="150" t="inlineStr">
        <is>
          <t>FRN | 2025 Q2</t>
        </is>
      </c>
      <c r="AL1" s="150" t="inlineStr">
        <is>
          <t>AN | 2025 Q2</t>
        </is>
      </c>
      <c r="AM1" s="150" t="inlineStr">
        <is>
          <t>STG | 2025 Q2</t>
        </is>
      </c>
      <c r="AN1" s="150" t="inlineStr">
        <is>
          <t>FLD | 2025 Q2</t>
        </is>
      </c>
      <c r="AO1" s="150" t="inlineStr">
        <is>
          <t>ENT | 2025 Q2</t>
        </is>
      </c>
      <c r="AP1" s="150" t="inlineStr">
        <is>
          <t>FRN | 2025 Q3</t>
        </is>
      </c>
      <c r="AQ1" s="150" t="inlineStr">
        <is>
          <t>AN | 2025 Q3</t>
        </is>
      </c>
      <c r="AR1" s="150" t="inlineStr">
        <is>
          <t>STG | 2025 Q3</t>
        </is>
      </c>
      <c r="AS1" s="150" t="inlineStr">
        <is>
          <t>FLD | 2025 Q3</t>
        </is>
      </c>
      <c r="AT1" s="150" t="inlineStr">
        <is>
          <t>ENT | 2025 Q3</t>
        </is>
      </c>
      <c r="AU1" s="150" t="inlineStr">
        <is>
          <t>FRN | 2025 Q4</t>
        </is>
      </c>
      <c r="AV1" s="150" t="inlineStr">
        <is>
          <t>AN | 2025 Q4</t>
        </is>
      </c>
      <c r="AW1" s="150" t="inlineStr">
        <is>
          <t>STG | 2025 Q4</t>
        </is>
      </c>
      <c r="AX1" s="150" t="inlineStr">
        <is>
          <t>FLD | 2025 Q4</t>
        </is>
      </c>
      <c r="AY1" s="150" t="inlineStr">
        <is>
          <t>ENT | 2025 Q4</t>
        </is>
      </c>
      <c r="AZ1" s="150" t="inlineStr">
        <is>
          <t>FRN | 2026 Q1</t>
        </is>
      </c>
      <c r="BA1" s="150" t="inlineStr">
        <is>
          <t>AN | 2026 Q1</t>
        </is>
      </c>
      <c r="BB1" s="150" t="inlineStr">
        <is>
          <t>STG | 2026 Q1</t>
        </is>
      </c>
      <c r="BC1" s="150" t="inlineStr">
        <is>
          <t>FLD | 2026 Q1</t>
        </is>
      </c>
      <c r="BD1" s="150" t="inlineStr">
        <is>
          <t>ENT | 2026 Q1</t>
        </is>
      </c>
    </row>
    <row r="2">
      <c r="A2" s="150" t="inlineStr">
        <is>
          <t>prev_co_flag</t>
        </is>
      </c>
      <c r="B2" t="n">
        <v>0.001703577512776831</v>
      </c>
      <c r="C2" t="n">
        <v>0.002327385570209465</v>
      </c>
      <c r="D2" t="n">
        <v>0.001428571428571429</v>
      </c>
      <c r="E2" t="n">
        <v>0.001517450682852807</v>
      </c>
      <c r="F2" t="n">
        <v>0.001511030522816561</v>
      </c>
      <c r="G2" t="n">
        <v>0.002362824888422158</v>
      </c>
      <c r="H2" t="n">
        <v>0.001901140684410646</v>
      </c>
      <c r="I2" t="n">
        <v>0.002359603586597452</v>
      </c>
      <c r="J2" t="n">
        <v>0.001481481481481481</v>
      </c>
      <c r="K2" t="n">
        <v>0.0005686664771111743</v>
      </c>
      <c r="L2" t="n">
        <v>0.002033110659308742</v>
      </c>
      <c r="M2" t="n">
        <v>0.003148366784730421</v>
      </c>
      <c r="N2" t="n">
        <v>0.0008515469770082316</v>
      </c>
      <c r="O2" t="n">
        <v>0.002240477968633308</v>
      </c>
      <c r="P2" t="n">
        <v>0.001960085531004989</v>
      </c>
      <c r="Q2" t="n">
        <v>0.001802801275828595</v>
      </c>
      <c r="R2" t="n">
        <v>0.003048780487804878</v>
      </c>
      <c r="S2" t="n">
        <v>0.002341372044017795</v>
      </c>
      <c r="T2" t="n">
        <v>0.001212856276531231</v>
      </c>
      <c r="U2" t="n">
        <v>0.001478977392774139</v>
      </c>
      <c r="V2" t="n">
        <v>0.002942258183155572</v>
      </c>
      <c r="W2" t="n">
        <v>0.003678724708767627</v>
      </c>
      <c r="X2" t="n">
        <v>0.001596424010217114</v>
      </c>
      <c r="Y2" t="n">
        <v>0.006616257088846881</v>
      </c>
      <c r="Z2" t="n">
        <v>0.00136986301369863</v>
      </c>
      <c r="AA2" t="n">
        <v>0.003471017007983339</v>
      </c>
      <c r="AB2" t="n">
        <v>0.002487562189054726</v>
      </c>
      <c r="AC2" t="n">
        <v>0.001916932907348243</v>
      </c>
      <c r="AD2" t="n">
        <v>0.004085801838610827</v>
      </c>
      <c r="AE2" t="n">
        <v>0.001513622603430878</v>
      </c>
      <c r="AF2" t="n">
        <v>0.003382318637742011</v>
      </c>
      <c r="AG2" t="n">
        <v>0.0032017075773746</v>
      </c>
      <c r="AH2" t="n">
        <v>0.003428110506150433</v>
      </c>
      <c r="AI2" t="n">
        <v>0.005480817140009965</v>
      </c>
      <c r="AJ2" t="n">
        <v>0.00176444640494045</v>
      </c>
      <c r="AK2" t="n">
        <v>0.005694760820045558</v>
      </c>
      <c r="AL2" t="n">
        <v>0.004742794600510762</v>
      </c>
      <c r="AM2" t="n">
        <v>0.003686258447675609</v>
      </c>
      <c r="AN2" t="n">
        <v>0.004226096143687269</v>
      </c>
      <c r="AO2" t="n">
        <v>0.001405234498506938</v>
      </c>
      <c r="AP2" t="n">
        <v>0.002975258377701222</v>
      </c>
      <c r="AQ2" t="n">
        <v>0.003931847968545216</v>
      </c>
      <c r="AR2" t="n">
        <v>0.002407060711420166</v>
      </c>
      <c r="AS2" t="n">
        <v>0.001595744680851064</v>
      </c>
      <c r="AT2" t="n">
        <v>0.002213858755811379</v>
      </c>
      <c r="AU2" t="n">
        <v>0.002705515088449532</v>
      </c>
      <c r="AV2" t="n">
        <v>0.00286697247706422</v>
      </c>
      <c r="AW2" t="n">
        <v>0.002781641168289291</v>
      </c>
      <c r="AX2" t="n">
        <v>0.002115282919090428</v>
      </c>
      <c r="AY2" t="n">
        <v>0.003447361442588173</v>
      </c>
      <c r="AZ2" t="n">
        <v>0.004347826086956522</v>
      </c>
      <c r="BA2" t="n">
        <v>0.002484472049689441</v>
      </c>
      <c r="BB2" t="n">
        <v>0.002083333333333333</v>
      </c>
      <c r="BC2" t="n">
        <v>0.004494382022471911</v>
      </c>
      <c r="BD2" t="n">
        <v>0.00251414204902577</v>
      </c>
    </row>
    <row r="3">
      <c r="A3" s="150" t="inlineStr">
        <is>
          <t>small_amt_financed_flag</t>
        </is>
      </c>
      <c r="B3" t="n">
        <v>0.02001703577512777</v>
      </c>
      <c r="C3" t="n">
        <v>0.004654771140418929</v>
      </c>
      <c r="D3" t="n">
        <v>0.006428571428571428</v>
      </c>
      <c r="E3" t="n">
        <v>0.001517450682852807</v>
      </c>
      <c r="F3" t="n">
        <v>0</v>
      </c>
      <c r="G3" t="n">
        <v>0.01050144394854292</v>
      </c>
      <c r="H3" t="n">
        <v>0.001901140684410646</v>
      </c>
      <c r="I3" t="n">
        <v>0.008022652194431336</v>
      </c>
      <c r="J3" t="n">
        <v>0.004444444444444444</v>
      </c>
      <c r="K3" t="n">
        <v>0</v>
      </c>
      <c r="L3" t="n">
        <v>0.008422887017136218</v>
      </c>
      <c r="M3" t="n">
        <v>0.002754820936639119</v>
      </c>
      <c r="N3" t="n">
        <v>0.00709622480840193</v>
      </c>
      <c r="O3" t="n">
        <v>0.005227781926811053</v>
      </c>
      <c r="P3" t="n">
        <v>0</v>
      </c>
      <c r="Q3" t="n">
        <v>0.008181944251837471</v>
      </c>
      <c r="R3" t="n">
        <v>0.002613240418118467</v>
      </c>
      <c r="S3" t="n">
        <v>0.00421446967923203</v>
      </c>
      <c r="T3" t="n">
        <v>0.003638568829593693</v>
      </c>
      <c r="U3" t="n">
        <v>0</v>
      </c>
      <c r="V3" t="n">
        <v>0.008275101140125045</v>
      </c>
      <c r="W3" t="n">
        <v>0.004904966278356836</v>
      </c>
      <c r="X3" t="n">
        <v>0.007343550446998723</v>
      </c>
      <c r="Y3" t="n">
        <v>0.001890359168241966</v>
      </c>
      <c r="Z3" t="n">
        <v>0</v>
      </c>
      <c r="AA3" t="n">
        <v>0.01110725442554669</v>
      </c>
      <c r="AB3" t="n">
        <v>0.001865671641791045</v>
      </c>
      <c r="AC3" t="n">
        <v>0.006070287539936103</v>
      </c>
      <c r="AD3" t="n">
        <v>0.004085801838610827</v>
      </c>
      <c r="AE3" t="n">
        <v>0</v>
      </c>
      <c r="AF3" t="n">
        <v>0.008047585724282715</v>
      </c>
      <c r="AG3" t="n">
        <v>0.002845962290999644</v>
      </c>
      <c r="AH3" t="n">
        <v>0.007461181689856826</v>
      </c>
      <c r="AI3" t="n">
        <v>0.0004982561036372695</v>
      </c>
      <c r="AJ3" t="n">
        <v>0</v>
      </c>
      <c r="AK3" t="n">
        <v>0.008225765628954695</v>
      </c>
      <c r="AL3" t="n">
        <v>0.004377964246625319</v>
      </c>
      <c r="AM3" t="n">
        <v>0.005529387671513414</v>
      </c>
      <c r="AN3" t="n">
        <v>0.001584786053882726</v>
      </c>
      <c r="AO3" t="n">
        <v>0</v>
      </c>
      <c r="AP3" t="n">
        <v>0.007516442217350454</v>
      </c>
      <c r="AQ3" t="n">
        <v>0.003494975972040192</v>
      </c>
      <c r="AR3" t="n">
        <v>0.007221182134260497</v>
      </c>
      <c r="AS3" t="n">
        <v>0.002127659574468085</v>
      </c>
      <c r="AT3" t="n">
        <v>0</v>
      </c>
      <c r="AU3" t="n">
        <v>0.008532778355879293</v>
      </c>
      <c r="AV3" t="n">
        <v>0.004013761467889908</v>
      </c>
      <c r="AW3" t="n">
        <v>0.009388038942976356</v>
      </c>
      <c r="AX3" t="n">
        <v>0.0005288207297726071</v>
      </c>
      <c r="AY3" t="n">
        <v>0</v>
      </c>
      <c r="AZ3" t="n">
        <v>0.009565217391304347</v>
      </c>
      <c r="BA3" t="n">
        <v>0.004968944099378882</v>
      </c>
      <c r="BB3" t="n">
        <v>0.007638888888888889</v>
      </c>
      <c r="BC3" t="n">
        <v>0.003370786516853933</v>
      </c>
      <c r="BD3" t="n">
        <v>0</v>
      </c>
    </row>
    <row r="4">
      <c r="A4" s="150" t="inlineStr">
        <is>
          <t>pricing_change_flag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  <row r="5">
      <c r="A5" s="150" t="inlineStr">
        <is>
          <t>zero_cash_down_flag</t>
        </is>
      </c>
      <c r="B5" t="n">
        <v>0.007666098807495741</v>
      </c>
      <c r="C5" t="n">
        <v>0.01551590380139643</v>
      </c>
      <c r="D5" t="n">
        <v>0.02357142857142857</v>
      </c>
      <c r="E5" t="n">
        <v>0.01972685887708649</v>
      </c>
      <c r="F5" t="n">
        <v>0.06678754910849199</v>
      </c>
      <c r="G5" t="n">
        <v>0.009451299553688633</v>
      </c>
      <c r="H5" t="n">
        <v>0.03168567807351078</v>
      </c>
      <c r="I5" t="n">
        <v>0.02642756016989146</v>
      </c>
      <c r="J5" t="n">
        <v>0.03407407407407408</v>
      </c>
      <c r="K5" t="n">
        <v>0.06966164344611885</v>
      </c>
      <c r="L5" t="n">
        <v>0.003775776938716236</v>
      </c>
      <c r="M5" t="n">
        <v>0.02676111767020858</v>
      </c>
      <c r="N5" t="n">
        <v>0.02015327845586148</v>
      </c>
      <c r="O5" t="n">
        <v>0.02091112770724421</v>
      </c>
      <c r="P5" t="n">
        <v>0.0413399857448325</v>
      </c>
      <c r="Q5" t="n">
        <v>0.00651781999722646</v>
      </c>
      <c r="R5" t="n">
        <v>0.01916376306620209</v>
      </c>
      <c r="S5" t="n">
        <v>0.02317958323577617</v>
      </c>
      <c r="T5" t="n">
        <v>0.04123711340206185</v>
      </c>
      <c r="U5" t="n">
        <v>0.03528417494189732</v>
      </c>
      <c r="V5" t="n">
        <v>0.00735564545788893</v>
      </c>
      <c r="W5" t="n">
        <v>0.02145922746781116</v>
      </c>
      <c r="X5" t="n">
        <v>0.02203065134099617</v>
      </c>
      <c r="Y5" t="n">
        <v>0.02646502835538752</v>
      </c>
      <c r="Z5" t="n">
        <v>0.06</v>
      </c>
      <c r="AA5" t="n">
        <v>0.02117320374869837</v>
      </c>
      <c r="AB5" t="n">
        <v>0.05223880597014925</v>
      </c>
      <c r="AC5" t="n">
        <v>0.04920127795527156</v>
      </c>
      <c r="AD5" t="n">
        <v>0.06230847803881512</v>
      </c>
      <c r="AE5" t="n">
        <v>0.1251261352169526</v>
      </c>
      <c r="AF5" t="n">
        <v>0.01166316771635176</v>
      </c>
      <c r="AG5" t="n">
        <v>0.03877623621487016</v>
      </c>
      <c r="AH5" t="n">
        <v>0.03690260133091349</v>
      </c>
      <c r="AI5" t="n">
        <v>0.06975585450921774</v>
      </c>
      <c r="AJ5" t="n">
        <v>0.1024849286869578</v>
      </c>
      <c r="AK5" t="n">
        <v>0.0137939762085548</v>
      </c>
      <c r="AL5" t="n">
        <v>0.04596862458956585</v>
      </c>
      <c r="AM5" t="n">
        <v>0.04505426991603522</v>
      </c>
      <c r="AN5" t="n">
        <v>0.06814580031695722</v>
      </c>
      <c r="AO5" t="n">
        <v>0.1203232039346566</v>
      </c>
      <c r="AP5" t="n">
        <v>0.02489821484497338</v>
      </c>
      <c r="AQ5" t="n">
        <v>0.08169506334643949</v>
      </c>
      <c r="AR5" t="n">
        <v>0.05536239636266382</v>
      </c>
      <c r="AS5" t="n">
        <v>0.1143617021276596</v>
      </c>
      <c r="AT5" t="n">
        <v>0.1698029665707328</v>
      </c>
      <c r="AU5" t="n">
        <v>0.02601456815816857</v>
      </c>
      <c r="AV5" t="n">
        <v>0.07855504587155963</v>
      </c>
      <c r="AW5" t="n">
        <v>0.05737134909596662</v>
      </c>
      <c r="AX5" t="n">
        <v>0.133262823902697</v>
      </c>
      <c r="AY5" t="n">
        <v>0.1710421638822593</v>
      </c>
      <c r="AZ5" t="n">
        <v>0.03</v>
      </c>
      <c r="BA5" t="n">
        <v>0.0968944099378882</v>
      </c>
      <c r="BB5" t="n">
        <v>0.07777777777777778</v>
      </c>
      <c r="BC5" t="n">
        <v>0.1651685393258427</v>
      </c>
      <c r="BD5" t="n">
        <v>0.1653048397234444</v>
      </c>
    </row>
    <row r="6">
      <c r="A6" s="150" t="inlineStr">
        <is>
          <t>high_mileage_vehicle_flag</t>
        </is>
      </c>
      <c r="B6" t="n">
        <v>0.01746166950596252</v>
      </c>
      <c r="C6" t="n">
        <v>0.04577191621411947</v>
      </c>
      <c r="D6" t="n">
        <v>0.03214285714285714</v>
      </c>
      <c r="E6" t="n">
        <v>0.004552352048558422</v>
      </c>
      <c r="F6" t="n">
        <v>0</v>
      </c>
      <c r="G6" t="n">
        <v>0.01207666054082436</v>
      </c>
      <c r="H6" t="n">
        <v>0.04372623574144487</v>
      </c>
      <c r="I6" t="n">
        <v>0.0292590844738084</v>
      </c>
      <c r="J6" t="n">
        <v>0.002962962962962963</v>
      </c>
      <c r="K6" t="n">
        <v>0</v>
      </c>
      <c r="L6" t="n">
        <v>0.01641010746442056</v>
      </c>
      <c r="M6" t="n">
        <v>0.03384494293585202</v>
      </c>
      <c r="N6" t="n">
        <v>0.02781720124893557</v>
      </c>
      <c r="O6" t="n">
        <v>0.003734129947722181</v>
      </c>
      <c r="P6" t="n">
        <v>0</v>
      </c>
      <c r="Q6" t="n">
        <v>0.008043267230619886</v>
      </c>
      <c r="R6" t="n">
        <v>0.01829268292682927</v>
      </c>
      <c r="S6" t="n">
        <v>0.01638960430812456</v>
      </c>
      <c r="T6" t="n">
        <v>0.003638568829593693</v>
      </c>
      <c r="U6" t="n">
        <v>0</v>
      </c>
      <c r="V6" t="n">
        <v>0.003493931592497242</v>
      </c>
      <c r="W6" t="n">
        <v>0.01594114040465972</v>
      </c>
      <c r="X6" t="n">
        <v>0.01181353767560664</v>
      </c>
      <c r="Y6" t="n">
        <v>0.001890359168241966</v>
      </c>
      <c r="Z6" t="n">
        <v>0</v>
      </c>
      <c r="AA6" t="n">
        <v>0.007462686567164179</v>
      </c>
      <c r="AB6" t="n">
        <v>0.02860696517412935</v>
      </c>
      <c r="AC6" t="n">
        <v>0.0207667731629393</v>
      </c>
      <c r="AD6" t="n">
        <v>0.00306435137895812</v>
      </c>
      <c r="AE6" t="n">
        <v>0</v>
      </c>
      <c r="AF6" t="n">
        <v>0.003965477023559599</v>
      </c>
      <c r="AG6" t="n">
        <v>0.01387406616862327</v>
      </c>
      <c r="AH6" t="n">
        <v>0.01492236337971365</v>
      </c>
      <c r="AI6" t="n">
        <v>0.007473841554559043</v>
      </c>
      <c r="AJ6" t="n">
        <v>0</v>
      </c>
      <c r="AK6" t="n">
        <v>0.00240445456846368</v>
      </c>
      <c r="AL6" t="n">
        <v>0.006931776723823422</v>
      </c>
      <c r="AM6" t="n">
        <v>0.005529387671513414</v>
      </c>
      <c r="AN6" t="n">
        <v>0.001584786053882726</v>
      </c>
      <c r="AO6" t="n">
        <v>0</v>
      </c>
      <c r="AP6" t="n">
        <v>0.002662073285311619</v>
      </c>
      <c r="AQ6" t="n">
        <v>0.007863695937090432</v>
      </c>
      <c r="AR6" t="n">
        <v>0.006686279753944905</v>
      </c>
      <c r="AS6" t="n">
        <v>0.0005319148936170213</v>
      </c>
      <c r="AT6" t="n">
        <v>0</v>
      </c>
      <c r="AU6" t="n">
        <v>0.003121748178980229</v>
      </c>
      <c r="AV6" t="n">
        <v>0.006880733944954129</v>
      </c>
      <c r="AW6" t="n">
        <v>0.004867872044506259</v>
      </c>
      <c r="AX6" t="n">
        <v>0</v>
      </c>
      <c r="AY6" t="n">
        <v>0</v>
      </c>
      <c r="AZ6" t="n">
        <v>0.004782608695652174</v>
      </c>
      <c r="BA6" t="n">
        <v>0.004968944099378882</v>
      </c>
      <c r="BB6" t="n">
        <v>0.004166666666666667</v>
      </c>
      <c r="BC6" t="n">
        <v>0.001123595505617978</v>
      </c>
      <c r="BD6" t="n">
        <v>0</v>
      </c>
    </row>
    <row r="7">
      <c r="A7" s="150" t="inlineStr">
        <is>
          <t>high_pti_flag</t>
        </is>
      </c>
      <c r="B7" t="n">
        <v>0.002981260647359455</v>
      </c>
      <c r="C7" t="n">
        <v>0.006206361520558572</v>
      </c>
      <c r="D7" t="n">
        <v>0.002857142857142857</v>
      </c>
      <c r="E7" t="n">
        <v>0.01972685887708649</v>
      </c>
      <c r="F7" t="n">
        <v>0.02055001511030523</v>
      </c>
      <c r="G7" t="n">
        <v>0.002362824888422158</v>
      </c>
      <c r="H7" t="n">
        <v>0.001901140684410646</v>
      </c>
      <c r="I7" t="n">
        <v>0.001415762151958471</v>
      </c>
      <c r="J7" t="n">
        <v>0.007407407407407408</v>
      </c>
      <c r="K7" t="n">
        <v>0.01535399488200171</v>
      </c>
      <c r="L7" t="n">
        <v>0.001597444089456869</v>
      </c>
      <c r="M7" t="n">
        <v>0.004329004329004329</v>
      </c>
      <c r="N7" t="n">
        <v>0.001419244961680386</v>
      </c>
      <c r="O7" t="n">
        <v>0.004480955937266617</v>
      </c>
      <c r="P7" t="n">
        <v>0.009265858873841768</v>
      </c>
      <c r="Q7" t="n">
        <v>0.001664124254611011</v>
      </c>
      <c r="R7" t="n">
        <v>0.002613240418118467</v>
      </c>
      <c r="S7" t="n">
        <v>0.00421446967923203</v>
      </c>
      <c r="T7" t="n">
        <v>0.005457853244390539</v>
      </c>
      <c r="U7" t="n">
        <v>0.01267694908092119</v>
      </c>
      <c r="V7" t="n">
        <v>0.002390584773813902</v>
      </c>
      <c r="W7" t="n">
        <v>0.006131207847946045</v>
      </c>
      <c r="X7" t="n">
        <v>0.005108556832694764</v>
      </c>
      <c r="Y7" t="n">
        <v>0.005671077504725898</v>
      </c>
      <c r="Z7" t="n">
        <v>0.01232876712328767</v>
      </c>
      <c r="AA7" t="n">
        <v>0.004685872960777508</v>
      </c>
      <c r="AB7" t="n">
        <v>0.006840796019900498</v>
      </c>
      <c r="AC7" t="n">
        <v>0.00670926517571885</v>
      </c>
      <c r="AD7" t="n">
        <v>0.005107252298263534</v>
      </c>
      <c r="AE7" t="n">
        <v>0.01866801210898083</v>
      </c>
      <c r="AF7" t="n">
        <v>0.004432003732213669</v>
      </c>
      <c r="AG7" t="n">
        <v>0.004268943436499467</v>
      </c>
      <c r="AH7" t="n">
        <v>0.005847953216374269</v>
      </c>
      <c r="AI7" t="n">
        <v>0.009965122072745391</v>
      </c>
      <c r="AJ7" t="n">
        <v>0.01588001764446405</v>
      </c>
      <c r="AK7" t="n">
        <v>0.005821311060491015</v>
      </c>
      <c r="AL7" t="n">
        <v>0.006566946369937978</v>
      </c>
      <c r="AM7" t="n">
        <v>0.01003481466311694</v>
      </c>
      <c r="AN7" t="n">
        <v>0.008980454305335447</v>
      </c>
      <c r="AO7" t="n">
        <v>0.02055155454066397</v>
      </c>
      <c r="AP7" t="n">
        <v>0.007986219855934857</v>
      </c>
      <c r="AQ7" t="n">
        <v>0.005242463958060288</v>
      </c>
      <c r="AR7" t="n">
        <v>0.008290986894891682</v>
      </c>
      <c r="AS7" t="n">
        <v>0.01223404255319149</v>
      </c>
      <c r="AT7" t="n">
        <v>0.01815364179765331</v>
      </c>
      <c r="AU7" t="n">
        <v>0.007284079084287201</v>
      </c>
      <c r="AV7" t="n">
        <v>0.005160550458715597</v>
      </c>
      <c r="AW7" t="n">
        <v>0.007997218358831711</v>
      </c>
      <c r="AX7" t="n">
        <v>0.01322051824431518</v>
      </c>
      <c r="AY7" t="n">
        <v>0.01431980906921241</v>
      </c>
      <c r="AZ7" t="n">
        <v>0.002608695652173913</v>
      </c>
      <c r="BA7" t="n">
        <v>0.004968944099378882</v>
      </c>
      <c r="BB7" t="n">
        <v>0.003472222222222222</v>
      </c>
      <c r="BC7" t="n">
        <v>0.004494382022471911</v>
      </c>
      <c r="BD7" t="n">
        <v>0.01759899434318039</v>
      </c>
    </row>
    <row r="8">
      <c r="A8" s="150" t="inlineStr">
        <is>
          <t>car_make_penalty_flag</t>
        </is>
      </c>
      <c r="B8" t="n">
        <v>0.002555366269165247</v>
      </c>
      <c r="C8" t="n">
        <v>0.006982156710628394</v>
      </c>
      <c r="D8" t="n">
        <v>0.001428571428571429</v>
      </c>
      <c r="E8" t="n">
        <v>0.001517450682852807</v>
      </c>
      <c r="F8" t="n">
        <v>0.006044122091266244</v>
      </c>
      <c r="G8" t="n">
        <v>0.002362824888422158</v>
      </c>
      <c r="H8" t="n">
        <v>0.005703422053231939</v>
      </c>
      <c r="I8" t="n">
        <v>0.005663048607833884</v>
      </c>
      <c r="J8" t="n">
        <v>0.002962962962962963</v>
      </c>
      <c r="K8" t="n">
        <v>0.001137332954222349</v>
      </c>
      <c r="L8" t="n">
        <v>0.006099331977926227</v>
      </c>
      <c r="M8" t="n">
        <v>0.00747737111373475</v>
      </c>
      <c r="N8" t="n">
        <v>0.003690036900369004</v>
      </c>
      <c r="O8" t="n">
        <v>0.002240477968633308</v>
      </c>
      <c r="P8" t="n">
        <v>0.001781895937277263</v>
      </c>
      <c r="Q8" t="n">
        <v>0.001941478297046179</v>
      </c>
      <c r="R8" t="n">
        <v>0.0008710801393728223</v>
      </c>
      <c r="S8" t="n">
        <v>0.001404823226410677</v>
      </c>
      <c r="T8" t="n">
        <v>0</v>
      </c>
      <c r="U8" t="n">
        <v>0.001478977392774139</v>
      </c>
      <c r="V8" t="n">
        <v>0</v>
      </c>
      <c r="W8" t="n">
        <v>0.003065603923973023</v>
      </c>
      <c r="X8" t="n">
        <v>0.0006385696040868455</v>
      </c>
      <c r="Y8" t="n">
        <v>0.000945179584120983</v>
      </c>
      <c r="Z8" t="n">
        <v>0.000273972602739726</v>
      </c>
      <c r="AA8" t="n">
        <v>0.000173550850399167</v>
      </c>
      <c r="AB8" t="n">
        <v>0.001865671641791045</v>
      </c>
      <c r="AC8" t="n">
        <v>0.0006389776357827476</v>
      </c>
      <c r="AD8" t="n">
        <v>0</v>
      </c>
      <c r="AE8" t="n">
        <v>0.001261352169525732</v>
      </c>
      <c r="AF8" t="n">
        <v>0.000583158385817588</v>
      </c>
      <c r="AG8" t="n">
        <v>0.001422981145499822</v>
      </c>
      <c r="AH8" t="n">
        <v>0.001613228473482557</v>
      </c>
      <c r="AI8" t="n">
        <v>0</v>
      </c>
      <c r="AJ8" t="n">
        <v>0.0001470372004117042</v>
      </c>
      <c r="AK8" t="n">
        <v>0.0002531004808909137</v>
      </c>
      <c r="AL8" t="n">
        <v>0.001824151769427216</v>
      </c>
      <c r="AM8" t="n">
        <v>0.001023960679909891</v>
      </c>
      <c r="AN8" t="n">
        <v>0</v>
      </c>
      <c r="AO8" t="n">
        <v>0.0005269629369401019</v>
      </c>
      <c r="AP8" t="n">
        <v>0</v>
      </c>
      <c r="AQ8" t="n">
        <v>0</v>
      </c>
      <c r="AR8" t="n">
        <v>0.001069804760631185</v>
      </c>
      <c r="AS8" t="n">
        <v>0.0005319148936170213</v>
      </c>
      <c r="AT8" t="n">
        <v>0.0002213858755811379</v>
      </c>
      <c r="AU8" t="n">
        <v>0.0008324661810613944</v>
      </c>
      <c r="AV8" t="n">
        <v>0.001146788990825688</v>
      </c>
      <c r="AW8" t="n">
        <v>0.001043115438108484</v>
      </c>
      <c r="AX8" t="n">
        <v>0</v>
      </c>
      <c r="AY8" t="n">
        <v>0.0002651816494298595</v>
      </c>
      <c r="AZ8" t="n">
        <v>0.001304347826086957</v>
      </c>
      <c r="BA8" t="n">
        <v>0</v>
      </c>
      <c r="BB8" t="n">
        <v>0</v>
      </c>
      <c r="BC8" t="n">
        <v>0</v>
      </c>
      <c r="BD8" t="n">
        <v>0</v>
      </c>
    </row>
    <row r="9">
      <c r="A9" s="150" t="inlineStr">
        <is>
          <t>car_make_benefit_flag</t>
        </is>
      </c>
      <c r="B9" t="n">
        <v>0.120954003407155</v>
      </c>
      <c r="C9" t="n">
        <v>0.1536074476338247</v>
      </c>
      <c r="D9" t="n">
        <v>0.1364285714285714</v>
      </c>
      <c r="E9" t="n">
        <v>0.1593323216995448</v>
      </c>
      <c r="F9" t="n">
        <v>0.03898458748866727</v>
      </c>
      <c r="G9" t="n">
        <v>0.107639800472565</v>
      </c>
      <c r="H9" t="n">
        <v>0.1774397972116603</v>
      </c>
      <c r="I9" t="n">
        <v>0.1571495988673903</v>
      </c>
      <c r="J9" t="n">
        <v>0.1377777777777778</v>
      </c>
      <c r="K9" t="n">
        <v>0.06880864373045209</v>
      </c>
      <c r="L9" t="n">
        <v>0.1004937554458321</v>
      </c>
      <c r="M9" t="n">
        <v>0.1751279024006297</v>
      </c>
      <c r="N9" t="n">
        <v>0.1705932443939824</v>
      </c>
      <c r="O9" t="n">
        <v>0.1314413741598208</v>
      </c>
      <c r="P9" t="n">
        <v>0.05399144689950107</v>
      </c>
      <c r="Q9" t="n">
        <v>0.1266121203716544</v>
      </c>
      <c r="R9" t="n">
        <v>0.1968641114982578</v>
      </c>
      <c r="S9" t="n">
        <v>0.1833294310465933</v>
      </c>
      <c r="T9" t="n">
        <v>0.1315949060036386</v>
      </c>
      <c r="U9" t="n">
        <v>0.07648425945489119</v>
      </c>
      <c r="V9" t="n">
        <v>0.1518940787054064</v>
      </c>
      <c r="W9" t="n">
        <v>0.220110361741263</v>
      </c>
      <c r="X9" t="n">
        <v>0.2155172413793103</v>
      </c>
      <c r="Y9" t="n">
        <v>0.1616257088846881</v>
      </c>
      <c r="Z9" t="n">
        <v>0.09808219178082192</v>
      </c>
      <c r="AA9" t="n">
        <v>0.2228392919125304</v>
      </c>
      <c r="AB9" t="n">
        <v>0.2450248756218905</v>
      </c>
      <c r="AC9" t="n">
        <v>0.2447284345047923</v>
      </c>
      <c r="AD9" t="n">
        <v>0.2083758937691522</v>
      </c>
      <c r="AE9" t="n">
        <v>0.1450554994954591</v>
      </c>
      <c r="AF9" t="n">
        <v>0.2439934686260788</v>
      </c>
      <c r="AG9" t="n">
        <v>0.2347918890074706</v>
      </c>
      <c r="AH9" t="n">
        <v>0.245412381528534</v>
      </c>
      <c r="AI9" t="n">
        <v>0.2062780269058296</v>
      </c>
      <c r="AJ9" t="n">
        <v>0.1776209380973386</v>
      </c>
      <c r="AK9" t="n">
        <v>0.2582890407491774</v>
      </c>
      <c r="AL9" t="n">
        <v>0.260124042320321</v>
      </c>
      <c r="AM9" t="n">
        <v>0.283227524063076</v>
      </c>
      <c r="AN9" t="n">
        <v>0.2435287902799789</v>
      </c>
      <c r="AO9" t="n">
        <v>0.2633058141577376</v>
      </c>
      <c r="AP9" t="n">
        <v>0.274819918571876</v>
      </c>
      <c r="AQ9" t="n">
        <v>0.2992573176059415</v>
      </c>
      <c r="AR9" t="n">
        <v>0.2904519925113667</v>
      </c>
      <c r="AS9" t="n">
        <v>0.2457446808510638</v>
      </c>
      <c r="AT9" t="n">
        <v>0.2831525348682754</v>
      </c>
      <c r="AU9" t="n">
        <v>0.323621227887617</v>
      </c>
      <c r="AV9" t="n">
        <v>0.3159403669724771</v>
      </c>
      <c r="AW9" t="n">
        <v>0.3508344923504868</v>
      </c>
      <c r="AX9" t="n">
        <v>0.251718667371761</v>
      </c>
      <c r="AY9" t="n">
        <v>0.3367806947759215</v>
      </c>
      <c r="AZ9" t="n">
        <v>0.3152173913043478</v>
      </c>
      <c r="BA9" t="n">
        <v>0.3329192546583851</v>
      </c>
      <c r="BB9" t="n">
        <v>0.3833333333333334</v>
      </c>
      <c r="BC9" t="n">
        <v>0.2269662921348315</v>
      </c>
      <c r="BD9" t="n">
        <v>0.3324952859836581</v>
      </c>
    </row>
    <row r="10">
      <c r="A10" s="150" t="inlineStr">
        <is>
          <t>theft_risk_flag</t>
        </is>
      </c>
      <c r="B10" t="n">
        <v>0.05494037478705281</v>
      </c>
      <c r="C10" t="n">
        <v>0.04732350659425912</v>
      </c>
      <c r="D10" t="n">
        <v>0.05642857142857143</v>
      </c>
      <c r="E10" t="n">
        <v>0.07132018209408195</v>
      </c>
      <c r="F10" t="n">
        <v>0.1801148383197341</v>
      </c>
      <c r="G10" t="n">
        <v>0.05802047781569966</v>
      </c>
      <c r="H10" t="n">
        <v>0.05069708491761724</v>
      </c>
      <c r="I10" t="n">
        <v>0.04860783388390751</v>
      </c>
      <c r="J10" t="n">
        <v>0.06666666666666667</v>
      </c>
      <c r="K10" t="n">
        <v>0.1103212965595678</v>
      </c>
      <c r="L10" t="n">
        <v>0.0742085390647691</v>
      </c>
      <c r="M10" t="n">
        <v>0.05785123966942149</v>
      </c>
      <c r="N10" t="n">
        <v>0.06358217428328129</v>
      </c>
      <c r="O10" t="n">
        <v>0.08663181478715459</v>
      </c>
      <c r="P10" t="n">
        <v>0.08784746970776906</v>
      </c>
      <c r="Q10" t="n">
        <v>0.06309804465400083</v>
      </c>
      <c r="R10" t="n">
        <v>0.05139372822299652</v>
      </c>
      <c r="S10" t="n">
        <v>0.0501053617419808</v>
      </c>
      <c r="T10" t="n">
        <v>0.08853850818677987</v>
      </c>
      <c r="U10" t="n">
        <v>0.07035706739911261</v>
      </c>
      <c r="V10" t="n">
        <v>0.06031629275468922</v>
      </c>
      <c r="W10" t="n">
        <v>0.03923973022685469</v>
      </c>
      <c r="X10" t="n">
        <v>0.0322477650063857</v>
      </c>
      <c r="Y10" t="n">
        <v>0.05954631379962193</v>
      </c>
      <c r="Z10" t="n">
        <v>0.04</v>
      </c>
      <c r="AA10" t="n">
        <v>0.05553627212773343</v>
      </c>
      <c r="AB10" t="n">
        <v>0.05286069651741294</v>
      </c>
      <c r="AC10" t="n">
        <v>0.04281150159744409</v>
      </c>
      <c r="AD10" t="n">
        <v>0.04085801838610827</v>
      </c>
      <c r="AE10" t="n">
        <v>0.02573158425832493</v>
      </c>
      <c r="AF10" t="n">
        <v>0.05574994168416142</v>
      </c>
      <c r="AG10" t="n">
        <v>0.05265030238349342</v>
      </c>
      <c r="AH10" t="n">
        <v>0.04759023996773543</v>
      </c>
      <c r="AI10" t="n">
        <v>0.06427503736920777</v>
      </c>
      <c r="AJ10" t="n">
        <v>0.009263343625937363</v>
      </c>
      <c r="AK10" t="n">
        <v>0.05036699569729183</v>
      </c>
      <c r="AL10" t="n">
        <v>0.04633345494345129</v>
      </c>
      <c r="AM10" t="n">
        <v>0.04566864632398116</v>
      </c>
      <c r="AN10" t="n">
        <v>0.06550449022715267</v>
      </c>
      <c r="AO10" t="n">
        <v>0.007553135429474793</v>
      </c>
      <c r="AP10" t="n">
        <v>0.03867835891011588</v>
      </c>
      <c r="AQ10" t="n">
        <v>0.03713411970292704</v>
      </c>
      <c r="AR10" t="n">
        <v>0.04439689756619417</v>
      </c>
      <c r="AS10" t="n">
        <v>0.05851063829787234</v>
      </c>
      <c r="AT10" t="n">
        <v>0.004427717511622758</v>
      </c>
      <c r="AU10" t="n">
        <v>0.02476586888657648</v>
      </c>
      <c r="AV10" t="n">
        <v>0.04759174311926605</v>
      </c>
      <c r="AW10" t="n">
        <v>0.03129346314325452</v>
      </c>
      <c r="AX10" t="n">
        <v>0.03648863035430989</v>
      </c>
      <c r="AY10" t="n">
        <v>0.002651816494298595</v>
      </c>
      <c r="AZ10" t="n">
        <v>0.03173913043478261</v>
      </c>
      <c r="BA10" t="n">
        <v>0.03726708074534162</v>
      </c>
      <c r="BB10" t="n">
        <v>0.03263888888888889</v>
      </c>
      <c r="BC10" t="n">
        <v>0.03707865168539326</v>
      </c>
      <c r="BD10" t="n">
        <v>0.003771213073538655</v>
      </c>
    </row>
    <row r="11">
      <c r="A11" s="150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s="150" t="inlineStr">
        <is>
          <t>weekend_flag</t>
        </is>
      </c>
      <c r="B12" t="n">
        <v>0.2235945485519591</v>
      </c>
      <c r="C12" t="n">
        <v>0.2839410395655547</v>
      </c>
      <c r="D12" t="n">
        <v>0.2421428571428571</v>
      </c>
      <c r="E12" t="n">
        <v>0.3095599393019727</v>
      </c>
      <c r="F12" t="n">
        <v>0.166515563614385</v>
      </c>
      <c r="G12" t="n">
        <v>0.2160672092412707</v>
      </c>
      <c r="H12" t="n">
        <v>0.2762991128010139</v>
      </c>
      <c r="I12" t="n">
        <v>0.2590844738084002</v>
      </c>
      <c r="J12" t="n">
        <v>0.3155555555555555</v>
      </c>
      <c r="K12" t="n">
        <v>0.2143872618709127</v>
      </c>
      <c r="L12" t="n">
        <v>0.2274179494626779</v>
      </c>
      <c r="M12" t="n">
        <v>0.2758756395120032</v>
      </c>
      <c r="N12" t="n">
        <v>0.2591541300028385</v>
      </c>
      <c r="O12" t="n">
        <v>0.2666168782673637</v>
      </c>
      <c r="P12" t="n">
        <v>0.2165003563791875</v>
      </c>
      <c r="Q12" t="n">
        <v>0.2318679794758009</v>
      </c>
      <c r="R12" t="n">
        <v>0.2839721254355401</v>
      </c>
      <c r="S12" t="n">
        <v>0.2610629829079841</v>
      </c>
      <c r="T12" t="n">
        <v>0.2698605215281989</v>
      </c>
      <c r="U12" t="n">
        <v>0.190999366152546</v>
      </c>
      <c r="V12" t="n">
        <v>0.2469657962486208</v>
      </c>
      <c r="W12" t="n">
        <v>0.2783568362967505</v>
      </c>
      <c r="X12" t="n">
        <v>0.2614942528735632</v>
      </c>
      <c r="Y12" t="n">
        <v>0.2268431001890359</v>
      </c>
      <c r="Z12" t="n">
        <v>0.210958904109589</v>
      </c>
      <c r="AA12" t="n">
        <v>0.2552933009371746</v>
      </c>
      <c r="AB12" t="n">
        <v>0.2916666666666667</v>
      </c>
      <c r="AC12" t="n">
        <v>0.2680511182108626</v>
      </c>
      <c r="AD12" t="n">
        <v>0.2839632277834525</v>
      </c>
      <c r="AE12" t="n">
        <v>0.2131685166498486</v>
      </c>
      <c r="AF12" t="n">
        <v>0.2828318171215302</v>
      </c>
      <c r="AG12" t="n">
        <v>0.3269299181785841</v>
      </c>
      <c r="AH12" t="n">
        <v>0.2911877394636015</v>
      </c>
      <c r="AI12" t="n">
        <v>0.3029397110114599</v>
      </c>
      <c r="AJ12" t="n">
        <v>0.2427584178797236</v>
      </c>
      <c r="AK12" t="n">
        <v>0.2695520121488231</v>
      </c>
      <c r="AL12" t="n">
        <v>0.3122947829259394</v>
      </c>
      <c r="AM12" t="n">
        <v>0.2850706532869138</v>
      </c>
      <c r="AN12" t="n">
        <v>0.2884310618066561</v>
      </c>
      <c r="AO12" t="n">
        <v>0.2255401370103636</v>
      </c>
      <c r="AP12" t="n">
        <v>0.2730974005637332</v>
      </c>
      <c r="AQ12" t="n">
        <v>0.290083005679336</v>
      </c>
      <c r="AR12" t="n">
        <v>0.2789515913345814</v>
      </c>
      <c r="AS12" t="n">
        <v>0.2851063829787234</v>
      </c>
      <c r="AT12" t="n">
        <v>0.2165153863183529</v>
      </c>
      <c r="AU12" t="n">
        <v>0.2896982310093653</v>
      </c>
      <c r="AV12" t="n">
        <v>0.3222477064220183</v>
      </c>
      <c r="AW12" t="n">
        <v>0.301808066759388</v>
      </c>
      <c r="AX12" t="n">
        <v>0.29613960867266</v>
      </c>
      <c r="AY12" t="n">
        <v>0.224608857067091</v>
      </c>
      <c r="AZ12" t="n">
        <v>0.2965217391304348</v>
      </c>
      <c r="BA12" t="n">
        <v>0.346583850931677</v>
      </c>
      <c r="BB12" t="n">
        <v>0.3048611111111111</v>
      </c>
      <c r="BC12" t="n">
        <v>0.3056179775280899</v>
      </c>
      <c r="BD12" t="n">
        <v>0.2482715273412948</v>
      </c>
    </row>
    <row r="13">
      <c r="A13" s="150" t="inlineStr">
        <is>
          <t>weekday_flag</t>
        </is>
      </c>
      <c r="B13" t="n">
        <v>0.7764054514480409</v>
      </c>
      <c r="C13" t="n">
        <v>0.7160589604344453</v>
      </c>
      <c r="D13" t="n">
        <v>0.7578571428571429</v>
      </c>
      <c r="E13" t="n">
        <v>0.6904400606980273</v>
      </c>
      <c r="F13" t="n">
        <v>0.833484436385615</v>
      </c>
      <c r="G13" t="n">
        <v>0.7839327907587293</v>
      </c>
      <c r="H13" t="n">
        <v>0.7237008871989861</v>
      </c>
      <c r="I13" t="n">
        <v>0.7409155261915998</v>
      </c>
      <c r="J13" t="n">
        <v>0.6844444444444444</v>
      </c>
      <c r="K13" t="n">
        <v>0.7856127381290873</v>
      </c>
      <c r="L13" t="n">
        <v>0.7725820505373221</v>
      </c>
      <c r="M13" t="n">
        <v>0.7241243604879969</v>
      </c>
      <c r="N13" t="n">
        <v>0.7408458699971615</v>
      </c>
      <c r="O13" t="n">
        <v>0.7333831217326363</v>
      </c>
      <c r="P13" t="n">
        <v>0.7834996436208126</v>
      </c>
      <c r="Q13" t="n">
        <v>0.7681320205241992</v>
      </c>
      <c r="R13" t="n">
        <v>0.7160278745644599</v>
      </c>
      <c r="S13" t="n">
        <v>0.7389370170920159</v>
      </c>
      <c r="T13" t="n">
        <v>0.7301394784718011</v>
      </c>
      <c r="U13" t="n">
        <v>0.809000633847454</v>
      </c>
      <c r="V13" t="n">
        <v>0.7530342037513792</v>
      </c>
      <c r="W13" t="n">
        <v>0.7216431637032495</v>
      </c>
      <c r="X13" t="n">
        <v>0.7385057471264368</v>
      </c>
      <c r="Y13" t="n">
        <v>0.7731568998109641</v>
      </c>
      <c r="Z13" t="n">
        <v>0.7890410958904109</v>
      </c>
      <c r="AA13" t="n">
        <v>0.7447066990628254</v>
      </c>
      <c r="AB13" t="n">
        <v>0.7083333333333334</v>
      </c>
      <c r="AC13" t="n">
        <v>0.7319488817891374</v>
      </c>
      <c r="AD13" t="n">
        <v>0.7160367722165475</v>
      </c>
      <c r="AE13" t="n">
        <v>0.7868314833501514</v>
      </c>
      <c r="AF13" t="n">
        <v>0.7171681828784698</v>
      </c>
      <c r="AG13" t="n">
        <v>0.6730700818214158</v>
      </c>
      <c r="AH13" t="n">
        <v>0.7088122605363985</v>
      </c>
      <c r="AI13" t="n">
        <v>0.6970602889885401</v>
      </c>
      <c r="AJ13" t="n">
        <v>0.7572415821202765</v>
      </c>
      <c r="AK13" t="n">
        <v>0.7304479878511769</v>
      </c>
      <c r="AL13" t="n">
        <v>0.6877052170740605</v>
      </c>
      <c r="AM13" t="n">
        <v>0.7149293467130862</v>
      </c>
      <c r="AN13" t="n">
        <v>0.7115689381933439</v>
      </c>
      <c r="AO13" t="n">
        <v>0.7744598629896364</v>
      </c>
      <c r="AP13" t="n">
        <v>0.7269025994362668</v>
      </c>
      <c r="AQ13" t="n">
        <v>0.709916994320664</v>
      </c>
      <c r="AR13" t="n">
        <v>0.7210484086654185</v>
      </c>
      <c r="AS13" t="n">
        <v>0.7148936170212766</v>
      </c>
      <c r="AT13" t="n">
        <v>0.7834846136816471</v>
      </c>
      <c r="AU13" t="n">
        <v>0.7103017689906348</v>
      </c>
      <c r="AV13" t="n">
        <v>0.6777522935779816</v>
      </c>
      <c r="AW13" t="n">
        <v>0.6981919332406119</v>
      </c>
      <c r="AX13" t="n">
        <v>0.70386039132734</v>
      </c>
      <c r="AY13" t="n">
        <v>0.775391142932909</v>
      </c>
      <c r="AZ13" t="n">
        <v>0.7034782608695652</v>
      </c>
      <c r="BA13" t="n">
        <v>0.653416149068323</v>
      </c>
      <c r="BB13" t="n">
        <v>0.6951388888888889</v>
      </c>
      <c r="BC13" t="n">
        <v>0.6943820224719102</v>
      </c>
      <c r="BD13" t="n">
        <v>0.7517284726587052</v>
      </c>
    </row>
    <row r="14">
      <c r="A14" s="150" t="inlineStr">
        <is>
          <t>student_loan_flag</t>
        </is>
      </c>
      <c r="B14" t="n">
        <v>0.004684838160136286</v>
      </c>
      <c r="C14" t="n">
        <v>0.002327385570209465</v>
      </c>
      <c r="D14" t="n">
        <v>0</v>
      </c>
      <c r="E14" t="n">
        <v>0.001517450682852807</v>
      </c>
      <c r="F14" t="n">
        <v>0.001511030522816561</v>
      </c>
      <c r="G14" t="n">
        <v>0.05854555001312681</v>
      </c>
      <c r="H14" t="n">
        <v>0.1292775665399239</v>
      </c>
      <c r="I14" t="n">
        <v>0.08258612553091081</v>
      </c>
      <c r="J14" t="n">
        <v>0.08296296296296296</v>
      </c>
      <c r="K14" t="n">
        <v>0.132214955928348</v>
      </c>
      <c r="L14" t="n">
        <v>0.1704908510020331</v>
      </c>
      <c r="M14" t="n">
        <v>0.2066115702479339</v>
      </c>
      <c r="N14" t="n">
        <v>0.1600908316775475</v>
      </c>
      <c r="O14" t="n">
        <v>0.1994025392083645</v>
      </c>
      <c r="P14" t="n">
        <v>0.25784034212402</v>
      </c>
      <c r="Q14" t="n">
        <v>0.1578144501456109</v>
      </c>
      <c r="R14" t="n">
        <v>0.1942508710801394</v>
      </c>
      <c r="S14" t="n">
        <v>0.1631936314680403</v>
      </c>
      <c r="T14" t="n">
        <v>0.212856276531231</v>
      </c>
      <c r="U14" t="n">
        <v>0.2537502641031059</v>
      </c>
      <c r="V14" t="n">
        <v>0.1594336152997426</v>
      </c>
      <c r="W14" t="n">
        <v>0.1784181483752299</v>
      </c>
      <c r="X14" t="n">
        <v>0.1660280970625798</v>
      </c>
      <c r="Y14" t="n">
        <v>0.224952741020794</v>
      </c>
      <c r="Z14" t="n">
        <v>0.2580821917808219</v>
      </c>
      <c r="AA14" t="n">
        <v>0.1768483165567511</v>
      </c>
      <c r="AB14" t="n">
        <v>0.2008706467661691</v>
      </c>
      <c r="AC14" t="n">
        <v>0.2006389776357828</v>
      </c>
      <c r="AD14" t="n">
        <v>0.2349336057201226</v>
      </c>
      <c r="AE14" t="n">
        <v>0.2737134207870838</v>
      </c>
      <c r="AF14" t="n">
        <v>0.1838115232097038</v>
      </c>
      <c r="AG14" t="n">
        <v>0.2134471718249733</v>
      </c>
      <c r="AH14" t="n">
        <v>0.2020568663036903</v>
      </c>
      <c r="AI14" t="n">
        <v>0.2590931738913801</v>
      </c>
      <c r="AJ14" t="n">
        <v>0.2774591971768858</v>
      </c>
      <c r="AK14" t="n">
        <v>0.1365477094406479</v>
      </c>
      <c r="AL14" t="n">
        <v>0.1594308646479387</v>
      </c>
      <c r="AM14" t="n">
        <v>0.1558468154822855</v>
      </c>
      <c r="AN14" t="n">
        <v>0.2329635499207607</v>
      </c>
      <c r="AO14" t="n">
        <v>0.2371333216230458</v>
      </c>
      <c r="AP14" t="n">
        <v>0.1445349201378014</v>
      </c>
      <c r="AQ14" t="n">
        <v>0.1681957186544343</v>
      </c>
      <c r="AR14" t="n">
        <v>0.1612730676651511</v>
      </c>
      <c r="AS14" t="n">
        <v>0.1984042553191489</v>
      </c>
      <c r="AT14" t="n">
        <v>0.2273632942218287</v>
      </c>
      <c r="AU14" t="n">
        <v>0.03870967741935484</v>
      </c>
      <c r="AV14" t="n">
        <v>0.04587155963302753</v>
      </c>
      <c r="AW14" t="n">
        <v>0.05076495132127955</v>
      </c>
      <c r="AX14" t="n">
        <v>0.07615018508725542</v>
      </c>
      <c r="AY14" t="n">
        <v>0.08008485812781756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s="150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</row>
    <row r="16">
      <c r="A16" s="150" t="inlineStr">
        <is>
          <t>low_pti_flag</t>
        </is>
      </c>
      <c r="B16" t="n">
        <v>0.05281090289608177</v>
      </c>
      <c r="C16" t="n">
        <v>0.05430566330488751</v>
      </c>
      <c r="D16" t="n">
        <v>0.04428571428571428</v>
      </c>
      <c r="E16" t="n">
        <v>0.02883156297420334</v>
      </c>
      <c r="F16" t="n">
        <v>0</v>
      </c>
      <c r="G16" t="n">
        <v>0.04463113678130743</v>
      </c>
      <c r="H16" t="n">
        <v>0.04119138149556401</v>
      </c>
      <c r="I16" t="n">
        <v>0.03303445021236432</v>
      </c>
      <c r="J16" t="n">
        <v>0.01777777777777778</v>
      </c>
      <c r="K16" t="n">
        <v>0</v>
      </c>
      <c r="L16" t="n">
        <v>0.04385710136508859</v>
      </c>
      <c r="M16" t="n">
        <v>0.05273514364423455</v>
      </c>
      <c r="N16" t="n">
        <v>0.03945500993471473</v>
      </c>
      <c r="O16" t="n">
        <v>0.04256908140403286</v>
      </c>
      <c r="P16" t="n">
        <v>0</v>
      </c>
      <c r="Q16" t="n">
        <v>0.051033143808071</v>
      </c>
      <c r="R16" t="n">
        <v>0.06054006968641115</v>
      </c>
      <c r="S16" t="n">
        <v>0.04144228517911496</v>
      </c>
      <c r="T16" t="n">
        <v>0.05700424499696786</v>
      </c>
      <c r="U16" t="n">
        <v>0</v>
      </c>
      <c r="V16" t="n">
        <v>0.05351232070614197</v>
      </c>
      <c r="W16" t="n">
        <v>0.05272838749233599</v>
      </c>
      <c r="X16" t="n">
        <v>0.04469987228607918</v>
      </c>
      <c r="Y16" t="n">
        <v>0.05482041587901702</v>
      </c>
      <c r="Z16" t="n">
        <v>0</v>
      </c>
      <c r="AA16" t="n">
        <v>0.05189170426935092</v>
      </c>
      <c r="AB16" t="n">
        <v>0.05659203980099502</v>
      </c>
      <c r="AC16" t="n">
        <v>0.04376996805111821</v>
      </c>
      <c r="AD16" t="n">
        <v>0.04800817160367722</v>
      </c>
      <c r="AE16" t="n">
        <v>0</v>
      </c>
      <c r="AF16" t="n">
        <v>0.0556333100069979</v>
      </c>
      <c r="AG16" t="n">
        <v>0.05407328352899324</v>
      </c>
      <c r="AH16" t="n">
        <v>0.04738858640855011</v>
      </c>
      <c r="AI16" t="n">
        <v>0.04534130543099153</v>
      </c>
      <c r="AJ16" t="n">
        <v>0</v>
      </c>
      <c r="AK16" t="n">
        <v>0.04467223487724627</v>
      </c>
      <c r="AL16" t="n">
        <v>0.05837285662167092</v>
      </c>
      <c r="AM16" t="n">
        <v>0.03809133729264796</v>
      </c>
      <c r="AN16" t="n">
        <v>0.05441098784997359</v>
      </c>
      <c r="AO16" t="n">
        <v>0</v>
      </c>
      <c r="AP16" t="n">
        <v>0.0413404321954275</v>
      </c>
      <c r="AQ16" t="n">
        <v>0.05067715159458279</v>
      </c>
      <c r="AR16" t="n">
        <v>0.04065258090398502</v>
      </c>
      <c r="AS16" t="n">
        <v>0.05053191489361702</v>
      </c>
      <c r="AT16" t="n">
        <v>0</v>
      </c>
      <c r="AU16" t="n">
        <v>0.0372528616024974</v>
      </c>
      <c r="AV16" t="n">
        <v>0.0430045871559633</v>
      </c>
      <c r="AW16" t="n">
        <v>0.04102920723226704</v>
      </c>
      <c r="AX16" t="n">
        <v>0.0449497620306716</v>
      </c>
      <c r="AY16" t="n">
        <v>0</v>
      </c>
      <c r="AZ16" t="n">
        <v>0.0408695652173913</v>
      </c>
      <c r="BA16" t="n">
        <v>0.03726708074534162</v>
      </c>
      <c r="BB16" t="n">
        <v>0.04375</v>
      </c>
      <c r="BC16" t="n">
        <v>0.0348314606741573</v>
      </c>
      <c r="BD16" t="n">
        <v>0</v>
      </c>
    </row>
    <row r="17">
      <c r="A17" s="150" t="inlineStr">
        <is>
          <t>nonkmx_chime_flag</t>
        </is>
      </c>
      <c r="B17" t="n">
        <v>0.09582623509369677</v>
      </c>
      <c r="C17" t="n">
        <v>0.06516679596586501</v>
      </c>
      <c r="D17" t="n">
        <v>0.07142857142857142</v>
      </c>
      <c r="E17" t="n">
        <v>0.07587253414264036</v>
      </c>
      <c r="F17" t="n">
        <v>0.09519492293744333</v>
      </c>
      <c r="G17" t="n">
        <v>0.1136781307429772</v>
      </c>
      <c r="H17" t="n">
        <v>0.07731305449936629</v>
      </c>
      <c r="I17" t="n">
        <v>0.07173194903256253</v>
      </c>
      <c r="J17" t="n">
        <v>0.05777777777777778</v>
      </c>
      <c r="K17" t="n">
        <v>0.1074779641740119</v>
      </c>
      <c r="L17" t="n">
        <v>0.1694742956723787</v>
      </c>
      <c r="M17" t="n">
        <v>0.1078315623770169</v>
      </c>
      <c r="N17" t="n">
        <v>0.1319897814362759</v>
      </c>
      <c r="O17" t="n">
        <v>0.1127707244212099</v>
      </c>
      <c r="P17" t="n">
        <v>0.1623307198859587</v>
      </c>
      <c r="Q17" t="n">
        <v>0.1291083067535709</v>
      </c>
      <c r="R17" t="n">
        <v>0.09712543554006968</v>
      </c>
      <c r="S17" t="n">
        <v>0.1023179583235776</v>
      </c>
      <c r="T17" t="n">
        <v>0.09460278956943602</v>
      </c>
      <c r="U17" t="n">
        <v>0.1356433551658567</v>
      </c>
      <c r="V17" t="n">
        <v>0.1083118793674145</v>
      </c>
      <c r="W17" t="n">
        <v>0.09687308399754752</v>
      </c>
      <c r="X17" t="n">
        <v>0.0983397190293742</v>
      </c>
      <c r="Y17" t="n">
        <v>0.08979206049149338</v>
      </c>
      <c r="Z17" t="n">
        <v>0.1347945205479452</v>
      </c>
      <c r="AA17" t="n">
        <v>0.125824366539396</v>
      </c>
      <c r="AB17" t="n">
        <v>0.1293532338308458</v>
      </c>
      <c r="AC17" t="n">
        <v>0.1217252396166134</v>
      </c>
      <c r="AD17" t="n">
        <v>0.1440245148110317</v>
      </c>
      <c r="AE17" t="n">
        <v>0.1723007063572149</v>
      </c>
      <c r="AF17" t="n">
        <v>0.2130860741777467</v>
      </c>
      <c r="AG17" t="n">
        <v>0.1725364638918534</v>
      </c>
      <c r="AH17" t="n">
        <v>0.1824964710627142</v>
      </c>
      <c r="AI17" t="n">
        <v>0.2272047832585949</v>
      </c>
      <c r="AJ17" t="n">
        <v>0.2592265843258345</v>
      </c>
      <c r="AK17" t="n">
        <v>0.1452796760313844</v>
      </c>
      <c r="AL17" t="n">
        <v>0.1149215614739146</v>
      </c>
      <c r="AM17" t="n">
        <v>0.1232848658611509</v>
      </c>
      <c r="AN17" t="n">
        <v>0.1648177496038035</v>
      </c>
      <c r="AO17" t="n">
        <v>0.1900579659230634</v>
      </c>
      <c r="AP17" t="n">
        <v>0.1554963983714375</v>
      </c>
      <c r="AQ17" t="n">
        <v>0.1297509829619921</v>
      </c>
      <c r="AR17" t="n">
        <v>0.1350628510296871</v>
      </c>
      <c r="AS17" t="n">
        <v>0.1819148936170213</v>
      </c>
      <c r="AT17" t="n">
        <v>0.1872924507416427</v>
      </c>
      <c r="AU17" t="n">
        <v>0.1317377731529657</v>
      </c>
      <c r="AV17" t="n">
        <v>0.1232798165137615</v>
      </c>
      <c r="AW17" t="n">
        <v>0.1182197496522949</v>
      </c>
      <c r="AX17" t="n">
        <v>0.1808566895822316</v>
      </c>
      <c r="AY17" t="n">
        <v>0.1646778042959427</v>
      </c>
      <c r="AZ17" t="n">
        <v>0.09739130434782609</v>
      </c>
      <c r="BA17" t="n">
        <v>0.09813664596273292</v>
      </c>
      <c r="BB17" t="n">
        <v>0.09097222222222222</v>
      </c>
      <c r="BC17" t="n">
        <v>0.1202247191011236</v>
      </c>
      <c r="BD17" t="n">
        <v>0.1225644248900063</v>
      </c>
    </row>
    <row r="18">
      <c r="A18" s="150" t="inlineStr">
        <is>
          <t>seasonal_employment_pct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0.01049685094471658</v>
      </c>
      <c r="AG18" t="n">
        <v>0.01422981145499822</v>
      </c>
      <c r="AH18" t="n">
        <v>0.01008267795926598</v>
      </c>
      <c r="AI18" t="n">
        <v>0.006975585450921774</v>
      </c>
      <c r="AJ18" t="n">
        <v>0.005587413615644759</v>
      </c>
      <c r="AK18" t="n">
        <v>0.01354087572766388</v>
      </c>
      <c r="AL18" t="n">
        <v>0.01422838380153229</v>
      </c>
      <c r="AM18" t="n">
        <v>0.01454024165472046</v>
      </c>
      <c r="AN18" t="n">
        <v>0.009508716323296355</v>
      </c>
      <c r="AO18" t="n">
        <v>0.00843140699104163</v>
      </c>
      <c r="AP18" t="n">
        <v>0.01675540244284372</v>
      </c>
      <c r="AQ18" t="n">
        <v>0.01135867190913062</v>
      </c>
      <c r="AR18" t="n">
        <v>0.01337255950788981</v>
      </c>
      <c r="AS18" t="n">
        <v>0.007446808510638298</v>
      </c>
      <c r="AT18" t="n">
        <v>0.009962364401151207</v>
      </c>
      <c r="AU18" t="n">
        <v>0.01727367325702393</v>
      </c>
      <c r="AV18" t="n">
        <v>0.01834862385321101</v>
      </c>
      <c r="AW18" t="n">
        <v>0.009735744089012517</v>
      </c>
      <c r="AX18" t="n">
        <v>0.01163405605499736</v>
      </c>
      <c r="AY18" t="n">
        <v>0.01060726597719438</v>
      </c>
      <c r="AZ18" t="n">
        <v>0.005217391304347826</v>
      </c>
      <c r="BA18" t="n">
        <v>0.01366459627329192</v>
      </c>
      <c r="BB18" t="n">
        <v>0.003472222222222222</v>
      </c>
      <c r="BC18" t="n">
        <v>0.003370786516853933</v>
      </c>
      <c r="BD18" t="n">
        <v>0.003771213073538655</v>
      </c>
    </row>
    <row r="19">
      <c r="A19" s="150" t="inlineStr">
        <is>
          <t>waiter_employment_pct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0.01481222299976674</v>
      </c>
      <c r="AG19" t="n">
        <v>0.02205620775524724</v>
      </c>
      <c r="AH19" t="n">
        <v>0.01774551320830813</v>
      </c>
      <c r="AI19" t="n">
        <v>0.01444942700548082</v>
      </c>
      <c r="AJ19" t="n">
        <v>0.01293927363622997</v>
      </c>
      <c r="AK19" t="n">
        <v>0.01543912933434573</v>
      </c>
      <c r="AL19" t="n">
        <v>0.02152499087924115</v>
      </c>
      <c r="AM19" t="n">
        <v>0.01863608437436003</v>
      </c>
      <c r="AN19" t="n">
        <v>0.02113048071843635</v>
      </c>
      <c r="AO19" t="n">
        <v>0.01563323379588969</v>
      </c>
      <c r="AP19" t="n">
        <v>0.01158784841841528</v>
      </c>
      <c r="AQ19" t="n">
        <v>0.01878549584971603</v>
      </c>
      <c r="AR19" t="n">
        <v>0.01658197378978336</v>
      </c>
      <c r="AS19" t="n">
        <v>0.01861702127659574</v>
      </c>
      <c r="AT19" t="n">
        <v>0.01416869603719283</v>
      </c>
      <c r="AU19" t="n">
        <v>0.01103017689906348</v>
      </c>
      <c r="AV19" t="n">
        <v>0.01548165137614679</v>
      </c>
      <c r="AW19" t="n">
        <v>0.01495132127955494</v>
      </c>
      <c r="AX19" t="n">
        <v>0.01850872554204125</v>
      </c>
      <c r="AY19" t="n">
        <v>0.01564571731636171</v>
      </c>
      <c r="AZ19" t="n">
        <v>0.004782608695652174</v>
      </c>
      <c r="BA19" t="n">
        <v>0.01614906832298137</v>
      </c>
      <c r="BB19" t="n">
        <v>0.005555555555555556</v>
      </c>
      <c r="BC19" t="n">
        <v>0.003370786516853933</v>
      </c>
      <c r="BD19" t="n">
        <v>0.009428032683846637</v>
      </c>
    </row>
    <row r="20">
      <c r="A20" s="150" t="inlineStr">
        <is>
          <t>other_employment_pct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0.9746909260555168</v>
      </c>
      <c r="AG20" t="n">
        <v>0.9637139807897546</v>
      </c>
      <c r="AH20" t="n">
        <v>0.9721718088324259</v>
      </c>
      <c r="AI20" t="n">
        <v>0.9785749875435974</v>
      </c>
      <c r="AJ20" t="n">
        <v>0.9814733127481253</v>
      </c>
      <c r="AK20" t="n">
        <v>0.9710199949379903</v>
      </c>
      <c r="AL20" t="n">
        <v>0.9642466253192266</v>
      </c>
      <c r="AM20" t="n">
        <v>0.9668236739709195</v>
      </c>
      <c r="AN20" t="n">
        <v>0.9693608029582673</v>
      </c>
      <c r="AO20" t="n">
        <v>0.9759353592130687</v>
      </c>
      <c r="AP20" t="n">
        <v>0.971656749138741</v>
      </c>
      <c r="AQ20" t="n">
        <v>0.9698558322411533</v>
      </c>
      <c r="AR20" t="n">
        <v>0.9700454667023268</v>
      </c>
      <c r="AS20" t="n">
        <v>0.973936170212766</v>
      </c>
      <c r="AT20" t="n">
        <v>0.975868939561656</v>
      </c>
      <c r="AU20" t="n">
        <v>0.9716961498439126</v>
      </c>
      <c r="AV20" t="n">
        <v>0.9661697247706422</v>
      </c>
      <c r="AW20" t="n">
        <v>0.9753129346314325</v>
      </c>
      <c r="AX20" t="n">
        <v>0.9698572184029615</v>
      </c>
      <c r="AY20" t="n">
        <v>0.9737470167064439</v>
      </c>
      <c r="AZ20" t="n">
        <v>0.99</v>
      </c>
      <c r="BA20" t="n">
        <v>0.9701863354037267</v>
      </c>
      <c r="BB20" t="n">
        <v>0.9909722222222223</v>
      </c>
      <c r="BC20" t="n">
        <v>0.9932584269662921</v>
      </c>
      <c r="BD20" t="n">
        <v>0.9868007542426147</v>
      </c>
    </row>
    <row r="21">
      <c r="A21" s="150" t="inlineStr">
        <is>
          <t>nonkmx_auth_tradelines_flag</t>
        </is>
      </c>
      <c r="B21" t="n">
        <v>0.02129471890971039</v>
      </c>
      <c r="C21" t="n">
        <v>0.02482544608223429</v>
      </c>
      <c r="D21" t="n">
        <v>0.01214285714285714</v>
      </c>
      <c r="E21" t="n">
        <v>0.01365705614567527</v>
      </c>
      <c r="F21" t="n">
        <v>0.02115442731943185</v>
      </c>
      <c r="G21" t="n">
        <v>0.01864006300866369</v>
      </c>
      <c r="H21" t="n">
        <v>0.01584283903675539</v>
      </c>
      <c r="I21" t="n">
        <v>0.02076451156205757</v>
      </c>
      <c r="J21" t="n">
        <v>0.01481481481481482</v>
      </c>
      <c r="K21" t="n">
        <v>0.01961899346033551</v>
      </c>
      <c r="L21" t="n">
        <v>0.01844321812372931</v>
      </c>
      <c r="M21" t="n">
        <v>0.02282565918929555</v>
      </c>
      <c r="N21" t="n">
        <v>0.01845018450184502</v>
      </c>
      <c r="O21" t="n">
        <v>0.02165795369678865</v>
      </c>
      <c r="P21" t="n">
        <v>0.01568068424803992</v>
      </c>
      <c r="Q21" t="n">
        <v>0.01886007488559146</v>
      </c>
      <c r="R21" t="n">
        <v>0.02482578397212544</v>
      </c>
      <c r="S21" t="n">
        <v>0.02247717162257083</v>
      </c>
      <c r="T21" t="n">
        <v>0.02668283808368708</v>
      </c>
      <c r="U21" t="n">
        <v>0.01584618635115149</v>
      </c>
      <c r="V21" t="n">
        <v>0.02096358955498345</v>
      </c>
      <c r="W21" t="n">
        <v>0.03065603923973023</v>
      </c>
      <c r="X21" t="n">
        <v>0.02266922094508302</v>
      </c>
      <c r="Y21" t="n">
        <v>0.01984877126654064</v>
      </c>
      <c r="Z21" t="n">
        <v>0.01917808219178082</v>
      </c>
      <c r="AA21" t="n">
        <v>0.01909059354390837</v>
      </c>
      <c r="AB21" t="n">
        <v>0.01927860696517413</v>
      </c>
      <c r="AC21" t="n">
        <v>0.0207667731629393</v>
      </c>
      <c r="AD21" t="n">
        <v>0.03472931562819203</v>
      </c>
      <c r="AE21" t="n">
        <v>0.01791120080726539</v>
      </c>
      <c r="AF21" t="n">
        <v>0.02087707021226965</v>
      </c>
      <c r="AG21" t="n">
        <v>0.02098897189612238</v>
      </c>
      <c r="AH21" t="n">
        <v>0.02097197015527324</v>
      </c>
      <c r="AI21" t="n">
        <v>0.01893373193821624</v>
      </c>
      <c r="AJ21" t="n">
        <v>0.01514483164240553</v>
      </c>
      <c r="AK21" t="n">
        <v>0.01999493799038218</v>
      </c>
      <c r="AL21" t="n">
        <v>0.02043049981758482</v>
      </c>
      <c r="AM21" t="n">
        <v>0.01925046078230596</v>
      </c>
      <c r="AN21" t="n">
        <v>0.02535657686212361</v>
      </c>
      <c r="AO21" t="n">
        <v>0.0187950114175303</v>
      </c>
      <c r="AP21" t="n">
        <v>0.02035703100532415</v>
      </c>
      <c r="AQ21" t="n">
        <v>0.02664919178680647</v>
      </c>
      <c r="AR21" t="n">
        <v>0.02594276544530623</v>
      </c>
      <c r="AS21" t="n">
        <v>0.02393617021276596</v>
      </c>
      <c r="AT21" t="n">
        <v>0.01682532654416648</v>
      </c>
      <c r="AU21" t="n">
        <v>0.02601456815816857</v>
      </c>
      <c r="AV21" t="n">
        <v>0.02522935779816514</v>
      </c>
      <c r="AW21" t="n">
        <v>0.01842837273991655</v>
      </c>
      <c r="AX21" t="n">
        <v>0.0222104706504495</v>
      </c>
      <c r="AY21" t="n">
        <v>0.01882789710952002</v>
      </c>
      <c r="AZ21" t="n">
        <v>0.01260869565217391</v>
      </c>
      <c r="BA21" t="n">
        <v>0.009937888198757764</v>
      </c>
      <c r="BB21" t="n">
        <v>0.01458333333333333</v>
      </c>
      <c r="BC21" t="n">
        <v>0.01797752808988764</v>
      </c>
      <c r="BD21" t="n">
        <v>0.01319924575738529</v>
      </c>
    </row>
    <row r="22">
      <c r="A22" s="150" t="inlineStr">
        <is>
          <t>fraud_adjustment_mean</t>
        </is>
      </c>
      <c r="B22" t="n">
        <v>1.00747870528109</v>
      </c>
      <c r="C22" t="n">
        <v>1.011466252909232</v>
      </c>
      <c r="D22" t="n">
        <v>1.008957142857143</v>
      </c>
      <c r="E22" t="n">
        <v>0.9950986342943854</v>
      </c>
      <c r="F22" t="n">
        <v>1.004170444242974</v>
      </c>
      <c r="G22" t="n">
        <v>1.003893410343922</v>
      </c>
      <c r="H22" t="n">
        <v>1.015475285171103</v>
      </c>
      <c r="I22" t="n">
        <v>1.017862199150543</v>
      </c>
      <c r="J22" t="n">
        <v>1.005125925925926</v>
      </c>
      <c r="K22" t="n">
        <v>0.9935257321580893</v>
      </c>
      <c r="L22" t="n">
        <v>0.9994626778971827</v>
      </c>
      <c r="M22" t="n">
        <v>1.001916568280205</v>
      </c>
      <c r="N22" t="n">
        <v>1.010184501845018</v>
      </c>
      <c r="O22" t="n">
        <v>0.9989320388349516</v>
      </c>
      <c r="P22" t="n">
        <v>0.9861974340698503</v>
      </c>
      <c r="Q22" t="n">
        <v>0.9936874219941756</v>
      </c>
      <c r="R22" t="n">
        <v>1.007460801393728</v>
      </c>
      <c r="S22" t="n">
        <v>1.01296651837977</v>
      </c>
      <c r="T22" t="n">
        <v>0.9913098847786538</v>
      </c>
      <c r="U22" t="n">
        <v>0.9865032748785125</v>
      </c>
      <c r="V22" t="n">
        <v>0.9972214049282827</v>
      </c>
      <c r="W22" t="n">
        <v>1.004175352544451</v>
      </c>
      <c r="X22" t="n">
        <v>1.00661558109834</v>
      </c>
      <c r="Y22" t="n">
        <v>0.9894234404536861</v>
      </c>
      <c r="Z22" t="n">
        <v>0.9880191780821918</v>
      </c>
      <c r="AA22" t="n">
        <v>0.996259979173898</v>
      </c>
      <c r="AB22" t="n">
        <v>0.99943407960199</v>
      </c>
      <c r="AC22" t="n">
        <v>1.004466453674121</v>
      </c>
      <c r="AD22" t="n">
        <v>0.9831256384065374</v>
      </c>
      <c r="AE22" t="n">
        <v>0.9918995963673058</v>
      </c>
      <c r="AF22" t="n">
        <v>1.00273151387917</v>
      </c>
      <c r="AG22" t="n">
        <v>0.9937175382426183</v>
      </c>
      <c r="AH22" t="n">
        <v>0.9917261544666264</v>
      </c>
      <c r="AI22" t="n">
        <v>0.9903388141504734</v>
      </c>
      <c r="AJ22" t="n">
        <v>0.9998294368475225</v>
      </c>
      <c r="AK22" t="n">
        <v>0.9988863578840801</v>
      </c>
      <c r="AL22" t="n">
        <v>0.9867420649398031</v>
      </c>
      <c r="AM22" t="n">
        <v>0.9904730698341183</v>
      </c>
      <c r="AN22" t="n">
        <v>0.9912097200211305</v>
      </c>
      <c r="AO22" t="n">
        <v>0.9938310205515546</v>
      </c>
      <c r="AP22" t="n">
        <v>0.990151894769809</v>
      </c>
      <c r="AQ22" t="n">
        <v>0.9809960681520314</v>
      </c>
      <c r="AR22" t="n">
        <v>0.9832147633056967</v>
      </c>
      <c r="AS22" t="n">
        <v>0.9883191489361702</v>
      </c>
      <c r="AT22" t="n">
        <v>0.9933008634049147</v>
      </c>
      <c r="AU22" t="n">
        <v>0.992876170655567</v>
      </c>
      <c r="AV22" t="n">
        <v>0.9863933486238532</v>
      </c>
      <c r="AW22" t="n">
        <v>0.9861543810848401</v>
      </c>
      <c r="AX22" t="n">
        <v>0.9920782654680064</v>
      </c>
      <c r="AY22" t="n">
        <v>0.9986528772208964</v>
      </c>
      <c r="AZ22" t="n">
        <v>0.9969173913043478</v>
      </c>
      <c r="BA22" t="n">
        <v>0.9862111801242236</v>
      </c>
      <c r="BB22" t="n">
        <v>0.9894861111111112</v>
      </c>
      <c r="BC22" t="n">
        <v>0.9948651685393258</v>
      </c>
      <c r="BD22" t="n">
        <v>0.993909490886235</v>
      </c>
    </row>
    <row r="23">
      <c r="A23" s="150" t="inlineStr">
        <is>
          <t>driver_flag</t>
        </is>
      </c>
      <c r="B23" t="n">
        <v>0.02640545144804089</v>
      </c>
      <c r="C23" t="n">
        <v>0.01939487975174554</v>
      </c>
      <c r="D23" t="n">
        <v>0.02142857142857143</v>
      </c>
      <c r="E23" t="n">
        <v>0.02731411229135053</v>
      </c>
      <c r="F23" t="n">
        <v>0.0123904502870958</v>
      </c>
      <c r="G23" t="n">
        <v>0.02126542399579942</v>
      </c>
      <c r="H23" t="n">
        <v>0.02281368821292776</v>
      </c>
      <c r="I23" t="n">
        <v>0.02784332232184993</v>
      </c>
      <c r="J23" t="n">
        <v>0.01629629629629629</v>
      </c>
      <c r="K23" t="n">
        <v>0.008814330395223202</v>
      </c>
      <c r="L23" t="n">
        <v>0.02178332849259367</v>
      </c>
      <c r="M23" t="n">
        <v>0.01967729240456513</v>
      </c>
      <c r="N23" t="n">
        <v>0.01816633550950894</v>
      </c>
      <c r="O23" t="n">
        <v>0.01418969380134429</v>
      </c>
      <c r="P23" t="n">
        <v>0.01051318602993585</v>
      </c>
      <c r="Q23" t="n">
        <v>0.03161836083760921</v>
      </c>
      <c r="R23" t="n">
        <v>0.02221254355400697</v>
      </c>
      <c r="S23" t="n">
        <v>0.01990166237415125</v>
      </c>
      <c r="T23" t="n">
        <v>0.01758641600970285</v>
      </c>
      <c r="U23" t="n">
        <v>0.01014155926473695</v>
      </c>
      <c r="V23" t="n">
        <v>0.04799558661272527</v>
      </c>
      <c r="W23" t="n">
        <v>0.02391171060698958</v>
      </c>
      <c r="X23" t="n">
        <v>0.02043422733077906</v>
      </c>
      <c r="Y23" t="n">
        <v>0.0113421550094518</v>
      </c>
      <c r="Z23" t="n">
        <v>0.01315068493150685</v>
      </c>
      <c r="AA23" t="n">
        <v>0.06299895869489761</v>
      </c>
      <c r="AB23" t="n">
        <v>0.0236318407960199</v>
      </c>
      <c r="AC23" t="n">
        <v>0.0194888178913738</v>
      </c>
      <c r="AD23" t="n">
        <v>0.01634320735444331</v>
      </c>
      <c r="AE23" t="n">
        <v>0.01185671039354188</v>
      </c>
      <c r="AF23" t="n">
        <v>0.04583624912526242</v>
      </c>
      <c r="AG23" t="n">
        <v>0.02845962290999644</v>
      </c>
      <c r="AH23" t="n">
        <v>0.0215769308328292</v>
      </c>
      <c r="AI23" t="n">
        <v>0.01943198804185351</v>
      </c>
      <c r="AJ23" t="n">
        <v>0.01205705043375974</v>
      </c>
      <c r="AK23" t="n">
        <v>0.05315110098709187</v>
      </c>
      <c r="AL23" t="n">
        <v>0.03246990149580445</v>
      </c>
      <c r="AM23" t="n">
        <v>0.02416547204587344</v>
      </c>
      <c r="AN23" t="n">
        <v>0.02165874273639725</v>
      </c>
      <c r="AO23" t="n">
        <v>0.01370103636044265</v>
      </c>
      <c r="AP23" t="n">
        <v>0.04713435640463514</v>
      </c>
      <c r="AQ23" t="n">
        <v>0.03189165574486676</v>
      </c>
      <c r="AR23" t="n">
        <v>0.02728002139609521</v>
      </c>
      <c r="AS23" t="n">
        <v>0.03031914893617021</v>
      </c>
      <c r="AT23" t="n">
        <v>0.01549701129067966</v>
      </c>
      <c r="AU23" t="n">
        <v>0.0514047866805411</v>
      </c>
      <c r="AV23" t="n">
        <v>0.02809633027522936</v>
      </c>
      <c r="AW23" t="n">
        <v>0.02746870653685675</v>
      </c>
      <c r="AX23" t="n">
        <v>0.02696985721840296</v>
      </c>
      <c r="AY23" t="n">
        <v>0.01511535401750199</v>
      </c>
      <c r="AZ23" t="n">
        <v>0.04956521739130434</v>
      </c>
      <c r="BA23" t="n">
        <v>0.02360248447204969</v>
      </c>
      <c r="BB23" t="n">
        <v>0.03472222222222222</v>
      </c>
      <c r="BC23" t="n">
        <v>0.03595505617977528</v>
      </c>
      <c r="BD23" t="n">
        <v>0.02011313639220616</v>
      </c>
    </row>
    <row r="24">
      <c r="A24" s="150" t="inlineStr">
        <is>
          <t>pricing_scalar_mean</t>
        </is>
      </c>
      <c r="B24" t="n">
        <v>0.9888426320272573</v>
      </c>
      <c r="C24" t="n">
        <v>1.010628394103956</v>
      </c>
      <c r="D24" t="n">
        <v>0.9781428571428572</v>
      </c>
      <c r="E24" t="n">
        <v>0.9789074355083458</v>
      </c>
      <c r="F24" t="n">
        <v>1.038697491689332</v>
      </c>
      <c r="G24" t="n">
        <v>1.00889800472565</v>
      </c>
      <c r="H24" t="n">
        <v>1.00063371356147</v>
      </c>
      <c r="I24" t="n">
        <v>0.9831288343558282</v>
      </c>
      <c r="J24" t="n">
        <v>0.9694074074074073</v>
      </c>
      <c r="K24" t="n">
        <v>1.014728461757179</v>
      </c>
      <c r="L24" t="n">
        <v>1.025552207377287</v>
      </c>
      <c r="M24" t="n">
        <v>0.9911452184179457</v>
      </c>
      <c r="N24" t="n">
        <v>0.9731904626738574</v>
      </c>
      <c r="O24" t="n">
        <v>0.9555265123226286</v>
      </c>
      <c r="P24" t="n">
        <v>1.029641838916607</v>
      </c>
      <c r="Q24" t="n">
        <v>1.023301553182637</v>
      </c>
      <c r="R24" t="n">
        <v>0.977243031358885</v>
      </c>
      <c r="S24" t="n">
        <v>0.9419808007492391</v>
      </c>
      <c r="T24" t="n">
        <v>0.9174348089751364</v>
      </c>
      <c r="U24" t="n">
        <v>1.030530319036552</v>
      </c>
      <c r="V24" t="n">
        <v>1.007875137918352</v>
      </c>
      <c r="W24" t="n">
        <v>0.9959534028203557</v>
      </c>
      <c r="X24" t="n">
        <v>0.9474936143039591</v>
      </c>
      <c r="Y24" t="n">
        <v>0.8921550094517957</v>
      </c>
      <c r="Z24" t="n">
        <v>1.036041095890411</v>
      </c>
      <c r="AA24" t="n">
        <v>1.018992971190559</v>
      </c>
      <c r="AB24" t="n">
        <v>0.9922574626865672</v>
      </c>
      <c r="AC24" t="n">
        <v>0.9523162939297125</v>
      </c>
      <c r="AD24" t="n">
        <v>0.9153728294177731</v>
      </c>
      <c r="AE24" t="n">
        <v>1.01813824419778</v>
      </c>
      <c r="AF24" t="n">
        <v>0.9976592022393282</v>
      </c>
      <c r="AG24" t="n">
        <v>0.9677516897901103</v>
      </c>
      <c r="AH24" t="n">
        <v>0.9559618874773139</v>
      </c>
      <c r="AI24" t="n">
        <v>0.9053064275037368</v>
      </c>
      <c r="AJ24" t="n">
        <v>1.027804734597853</v>
      </c>
      <c r="AK24" t="n">
        <v>0.9936076309794988</v>
      </c>
      <c r="AL24" t="n">
        <v>0.9551258664720905</v>
      </c>
      <c r="AM24" t="n">
        <v>0.970156154003686</v>
      </c>
      <c r="AN24" t="n">
        <v>0.9307448494453247</v>
      </c>
      <c r="AO24" t="n">
        <v>1.022501317407343</v>
      </c>
      <c r="AP24" t="n">
        <v>0.9714105073598497</v>
      </c>
      <c r="AQ24" t="n">
        <v>0.9385321100917432</v>
      </c>
      <c r="AR24" t="n">
        <v>0.9627788178657395</v>
      </c>
      <c r="AS24" t="n">
        <v>0.90031914893617</v>
      </c>
      <c r="AT24" t="n">
        <v>1.029267212751826</v>
      </c>
      <c r="AU24" t="n">
        <v>0.9425437044745056</v>
      </c>
      <c r="AV24" t="n">
        <v>0.931077981651376</v>
      </c>
      <c r="AW24" t="n">
        <v>0.9537752086230876</v>
      </c>
      <c r="AX24" t="n">
        <v>0.9648863035430987</v>
      </c>
      <c r="AY24" t="n">
        <v>0.9928400954653938</v>
      </c>
      <c r="AZ24" t="n">
        <v>0.9789130434782609</v>
      </c>
      <c r="BA24" t="n">
        <v>1</v>
      </c>
      <c r="BB24" t="n">
        <v>0.9997222222222222</v>
      </c>
      <c r="BC24" t="n">
        <v>1</v>
      </c>
      <c r="BD24" t="n">
        <v>1</v>
      </c>
    </row>
    <row r="25">
      <c r="A25" s="150" t="inlineStr">
        <is>
          <t>--- N_RECORDS</t>
        </is>
      </c>
      <c r="B25" t="n">
        <v>2348</v>
      </c>
      <c r="C25" t="n">
        <v>1289</v>
      </c>
      <c r="D25" t="n">
        <v>1400</v>
      </c>
      <c r="E25" t="n">
        <v>659</v>
      </c>
      <c r="F25" t="n">
        <v>3309</v>
      </c>
      <c r="G25" t="n">
        <v>3809</v>
      </c>
      <c r="H25" t="n">
        <v>1578</v>
      </c>
      <c r="I25" t="n">
        <v>2119</v>
      </c>
      <c r="J25" t="n">
        <v>675</v>
      </c>
      <c r="K25" t="n">
        <v>3517</v>
      </c>
      <c r="L25" t="n">
        <v>6886</v>
      </c>
      <c r="M25" t="n">
        <v>2541</v>
      </c>
      <c r="N25" t="n">
        <v>3523</v>
      </c>
      <c r="O25" t="n">
        <v>1339</v>
      </c>
      <c r="P25" t="n">
        <v>5612</v>
      </c>
      <c r="Q25" t="n">
        <v>7211</v>
      </c>
      <c r="R25" t="n">
        <v>2296</v>
      </c>
      <c r="S25" t="n">
        <v>4271</v>
      </c>
      <c r="T25" t="n">
        <v>1649</v>
      </c>
      <c r="U25" t="n">
        <v>4733</v>
      </c>
      <c r="V25" t="n">
        <v>5438</v>
      </c>
      <c r="W25" t="n">
        <v>1631</v>
      </c>
      <c r="X25" t="n">
        <v>3132</v>
      </c>
      <c r="Y25" t="n">
        <v>1058</v>
      </c>
      <c r="Z25" t="n">
        <v>3650</v>
      </c>
      <c r="AA25" t="n">
        <v>5762</v>
      </c>
      <c r="AB25" t="n">
        <v>1608</v>
      </c>
      <c r="AC25" t="n">
        <v>3130</v>
      </c>
      <c r="AD25" t="n">
        <v>979</v>
      </c>
      <c r="AE25" t="n">
        <v>3964</v>
      </c>
      <c r="AF25" t="n">
        <v>8574</v>
      </c>
      <c r="AG25" t="n">
        <v>2811</v>
      </c>
      <c r="AH25" t="n">
        <v>4959</v>
      </c>
      <c r="AI25" t="n">
        <v>2007</v>
      </c>
      <c r="AJ25" t="n">
        <v>6801</v>
      </c>
      <c r="AK25" t="n">
        <v>7902</v>
      </c>
      <c r="AL25" t="n">
        <v>2741</v>
      </c>
      <c r="AM25" t="n">
        <v>4883</v>
      </c>
      <c r="AN25" t="n">
        <v>1893</v>
      </c>
      <c r="AO25" t="n">
        <v>5693</v>
      </c>
      <c r="AP25" t="n">
        <v>6386</v>
      </c>
      <c r="AQ25" t="n">
        <v>2289</v>
      </c>
      <c r="AR25" t="n">
        <v>3739</v>
      </c>
      <c r="AS25" t="n">
        <v>1880</v>
      </c>
      <c r="AT25" t="n">
        <v>4517</v>
      </c>
      <c r="AU25" t="n">
        <v>4805</v>
      </c>
      <c r="AV25" t="n">
        <v>1744</v>
      </c>
      <c r="AW25" t="n">
        <v>2876</v>
      </c>
      <c r="AX25" t="n">
        <v>1891</v>
      </c>
      <c r="AY25" t="n">
        <v>3771</v>
      </c>
      <c r="AZ25" t="n">
        <v>2300</v>
      </c>
      <c r="BA25" t="n">
        <v>805</v>
      </c>
      <c r="BB25" t="n">
        <v>1440</v>
      </c>
      <c r="BC25" t="n">
        <v>890</v>
      </c>
      <c r="BD25" t="n">
        <v>1591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2BF7DB-7BDF-486E-9C7C-A2835F7F19E7}"/>
</file>

<file path=customXml/itemProps2.xml><?xml version="1.0" encoding="utf-8"?>
<ds:datastoreItem xmlns:ds="http://schemas.openxmlformats.org/officeDocument/2006/customXml" ds:itemID="{3A4239B9-7FF8-491D-842B-911F45745F59}"/>
</file>

<file path=customXml/itemProps3.xml><?xml version="1.0" encoding="utf-8"?>
<ds:datastoreItem xmlns:ds="http://schemas.openxmlformats.org/officeDocument/2006/customXml" ds:itemID="{90DD4E92-1729-4C59-BD39-4EE9FD5820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2026-02-10T20:56:36Z</dcterms:created>
  <dcterms:modified xsi:type="dcterms:W3CDTF">2026-02-16T21:21:29Z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