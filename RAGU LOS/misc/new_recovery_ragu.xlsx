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mericancreditacceptance.sharepoint.com/teams/mROA/Shared Documents/Projects/raguscore/RAGU LOS/"/>
    </mc:Choice>
  </mc:AlternateContent>
  <xr:revisionPtr revIDLastSave="10" documentId="11_6EA98BC7F8454AE4E52B26D2410B0A116E3EFB2D" xr6:coauthVersionLast="47" xr6:coauthVersionMax="47" xr10:uidLastSave="{1FE7714D-B13C-4D97-A8C1-DA304EF17E82}"/>
  <bookViews>
    <workbookView xWindow="-110" yWindow="-110" windowWidth="19420" windowHeight="11500" firstSheet="5" activeTab="8" xr2:uid="{00000000-000D-0000-FFFF-FFFF00000000}"/>
  </bookViews>
  <sheets>
    <sheet name="Data Tables (Q)" sheetId="1" r:id="rId1"/>
    <sheet name="Data Tables (M)" sheetId="2" r:id="rId2"/>
    <sheet name="Waterfall Tables" sheetId="3" r:id="rId3"/>
    <sheet name="t-1 Data Table" sheetId="4" r:id="rId4"/>
    <sheet name="distribution_rolledup" sheetId="5" r:id="rId5"/>
    <sheet name="POS" sheetId="6" r:id="rId6"/>
    <sheet name="AN Table" sheetId="7" r:id="rId7"/>
    <sheet name="FRN Table" sheetId="8" r:id="rId8"/>
    <sheet name="STG Table" sheetId="9" r:id="rId9"/>
    <sheet name="FLD Table" sheetId="10" r:id="rId10"/>
    <sheet name="ENT Table" sheetId="11" r:id="rId11"/>
    <sheet name="KMX Table" sheetId="12" r:id="rId12"/>
    <sheet name="KMX Table (Monthly)" sheetId="13" r:id="rId13"/>
    <sheet name="NonKMXENT Table" sheetId="14" r:id="rId14"/>
    <sheet name="POS Table" sheetId="15" r:id="rId15"/>
    <sheet name="Data Tables (W)" sheetId="16" r:id="rId16"/>
    <sheet name="AN Table (Weekly)" sheetId="17" r:id="rId17"/>
    <sheet name="FRN Table (Weekly)" sheetId="18" r:id="rId18"/>
    <sheet name="STG Table (Weekly)" sheetId="19" r:id="rId19"/>
    <sheet name="FLD Table (Weekly)" sheetId="20" r:id="rId20"/>
    <sheet name="ENT Table (Weekly)" sheetId="21" r:id="rId21"/>
    <sheet name="KMX Table (Weekly)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22" l="1"/>
  <c r="V14" i="22"/>
  <c r="V15" i="22" s="1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H15" i="22" s="1"/>
  <c r="G14" i="22"/>
  <c r="F14" i="22"/>
  <c r="F15" i="22" s="1"/>
  <c r="E14" i="22"/>
  <c r="D14" i="22"/>
  <c r="C14" i="22"/>
  <c r="B14" i="22"/>
  <c r="W11" i="22"/>
  <c r="V11" i="22"/>
  <c r="U11" i="22"/>
  <c r="T11" i="22"/>
  <c r="S11" i="22"/>
  <c r="R11" i="22"/>
  <c r="Q11" i="22"/>
  <c r="Q5" i="22" s="1"/>
  <c r="P11" i="22"/>
  <c r="P5" i="22" s="1"/>
  <c r="O11" i="22"/>
  <c r="O5" i="22" s="1"/>
  <c r="N11" i="22"/>
  <c r="M11" i="22"/>
  <c r="M5" i="22" s="1"/>
  <c r="L11" i="22"/>
  <c r="L5" i="22" s="1"/>
  <c r="K11" i="22"/>
  <c r="K5" i="22" s="1"/>
  <c r="J11" i="22"/>
  <c r="J5" i="22" s="1"/>
  <c r="I11" i="22"/>
  <c r="H11" i="22"/>
  <c r="G11" i="22"/>
  <c r="F11" i="22"/>
  <c r="E11" i="22"/>
  <c r="D11" i="22"/>
  <c r="C11" i="22"/>
  <c r="B11" i="22"/>
  <c r="U7" i="22"/>
  <c r="T7" i="22"/>
  <c r="S7" i="22"/>
  <c r="R7" i="22"/>
  <c r="Q7" i="22"/>
  <c r="P7" i="22"/>
  <c r="R6" i="22"/>
  <c r="B6" i="22"/>
  <c r="B15" i="22" s="1"/>
  <c r="W5" i="22"/>
  <c r="V5" i="22"/>
  <c r="U5" i="22"/>
  <c r="T5" i="22"/>
  <c r="S5" i="22"/>
  <c r="R5" i="22"/>
  <c r="N5" i="22"/>
  <c r="I5" i="22"/>
  <c r="H5" i="22"/>
  <c r="H6" i="22" s="1"/>
  <c r="G5" i="22"/>
  <c r="F5" i="22"/>
  <c r="E5" i="22"/>
  <c r="D5" i="22"/>
  <c r="C5" i="22"/>
  <c r="B5" i="22"/>
  <c r="W4" i="22"/>
  <c r="V4" i="22"/>
  <c r="U4" i="22"/>
  <c r="T4" i="22"/>
  <c r="S4" i="22"/>
  <c r="R4" i="22"/>
  <c r="Q4" i="22"/>
  <c r="P4" i="22"/>
  <c r="O4" i="22"/>
  <c r="O6" i="22" s="1"/>
  <c r="O15" i="22" s="1"/>
  <c r="N4" i="22"/>
  <c r="N6" i="22" s="1"/>
  <c r="N15" i="22" s="1"/>
  <c r="M4" i="22"/>
  <c r="M6" i="22" s="1"/>
  <c r="M15" i="22" s="1"/>
  <c r="L4" i="22"/>
  <c r="K4" i="22"/>
  <c r="J4" i="22"/>
  <c r="I4" i="22"/>
  <c r="H4" i="22"/>
  <c r="G4" i="22"/>
  <c r="F4" i="22"/>
  <c r="E4" i="22"/>
  <c r="D4" i="22"/>
  <c r="C4" i="22"/>
  <c r="B4" i="22"/>
  <c r="W3" i="22"/>
  <c r="V3" i="22"/>
  <c r="U3" i="22"/>
  <c r="T3" i="22"/>
  <c r="S3" i="22"/>
  <c r="S6" i="22" s="1"/>
  <c r="R3" i="22"/>
  <c r="Q3" i="22"/>
  <c r="Q6" i="22" s="1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C6" i="22" s="1"/>
  <c r="C15" i="22" s="1"/>
  <c r="B3" i="22"/>
  <c r="W2" i="22"/>
  <c r="V2" i="22"/>
  <c r="V6" i="22" s="1"/>
  <c r="U2" i="22"/>
  <c r="T2" i="22"/>
  <c r="S2" i="22"/>
  <c r="R2" i="22"/>
  <c r="Q2" i="22"/>
  <c r="P2" i="22"/>
  <c r="P6" i="22" s="1"/>
  <c r="O2" i="22"/>
  <c r="N2" i="22"/>
  <c r="M2" i="22"/>
  <c r="L2" i="22"/>
  <c r="K2" i="22"/>
  <c r="K6" i="22" s="1"/>
  <c r="J2" i="22"/>
  <c r="I2" i="22"/>
  <c r="I6" i="22" s="1"/>
  <c r="H2" i="22"/>
  <c r="G2" i="22"/>
  <c r="F2" i="22"/>
  <c r="F6" i="22" s="1"/>
  <c r="E2" i="22"/>
  <c r="D2" i="22"/>
  <c r="C2" i="22"/>
  <c r="B2" i="22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W10" i="21"/>
  <c r="V10" i="21"/>
  <c r="V6" i="21" s="1"/>
  <c r="U10" i="21"/>
  <c r="T10" i="21"/>
  <c r="S10" i="21"/>
  <c r="S6" i="21" s="1"/>
  <c r="R10" i="21"/>
  <c r="R6" i="21" s="1"/>
  <c r="Q10" i="21"/>
  <c r="Q6" i="21" s="1"/>
  <c r="P10" i="21"/>
  <c r="P6" i="21" s="1"/>
  <c r="O10" i="21"/>
  <c r="N10" i="21"/>
  <c r="M10" i="21"/>
  <c r="L10" i="21"/>
  <c r="K10" i="21"/>
  <c r="J10" i="21"/>
  <c r="I10" i="21"/>
  <c r="H10" i="21"/>
  <c r="H6" i="21" s="1"/>
  <c r="G10" i="21"/>
  <c r="F10" i="21"/>
  <c r="F6" i="21" s="1"/>
  <c r="E10" i="21"/>
  <c r="D10" i="21"/>
  <c r="C10" i="21"/>
  <c r="C6" i="21" s="1"/>
  <c r="B10" i="21"/>
  <c r="B6" i="21" s="1"/>
  <c r="H7" i="21"/>
  <c r="H14" i="21" s="1"/>
  <c r="G7" i="21"/>
  <c r="G14" i="21" s="1"/>
  <c r="W6" i="21"/>
  <c r="U6" i="21"/>
  <c r="T6" i="21"/>
  <c r="O6" i="21"/>
  <c r="N6" i="21"/>
  <c r="N7" i="21" s="1"/>
  <c r="N14" i="21" s="1"/>
  <c r="M6" i="21"/>
  <c r="L6" i="21"/>
  <c r="K6" i="21"/>
  <c r="J6" i="21"/>
  <c r="I6" i="21"/>
  <c r="G6" i="21"/>
  <c r="E6" i="21"/>
  <c r="D6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I7" i="21" s="1"/>
  <c r="I14" i="21" s="1"/>
  <c r="H4" i="21"/>
  <c r="G4" i="21"/>
  <c r="F4" i="21"/>
  <c r="E4" i="21"/>
  <c r="D4" i="21"/>
  <c r="C4" i="21"/>
  <c r="B4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W2" i="21"/>
  <c r="C3" i="21" s="1"/>
  <c r="V2" i="21"/>
  <c r="U2" i="21"/>
  <c r="U7" i="21" s="1"/>
  <c r="U14" i="21" s="1"/>
  <c r="T2" i="21"/>
  <c r="T7" i="21" s="1"/>
  <c r="T14" i="21" s="1"/>
  <c r="S2" i="21"/>
  <c r="S7" i="21" s="1"/>
  <c r="S14" i="21" s="1"/>
  <c r="R2" i="21"/>
  <c r="Q2" i="21"/>
  <c r="P2" i="21"/>
  <c r="O2" i="21"/>
  <c r="O7" i="21" s="1"/>
  <c r="O14" i="21" s="1"/>
  <c r="N2" i="21"/>
  <c r="M2" i="21"/>
  <c r="L2" i="21"/>
  <c r="L7" i="21" s="1"/>
  <c r="L14" i="21" s="1"/>
  <c r="K2" i="21"/>
  <c r="J2" i="21"/>
  <c r="I2" i="21"/>
  <c r="H2" i="21"/>
  <c r="G2" i="21"/>
  <c r="F2" i="21"/>
  <c r="F7" i="21" s="1"/>
  <c r="F14" i="21" s="1"/>
  <c r="E2" i="21"/>
  <c r="E7" i="21" s="1"/>
  <c r="E14" i="21" s="1"/>
  <c r="D2" i="21"/>
  <c r="D7" i="21" s="1"/>
  <c r="D14" i="21" s="1"/>
  <c r="C2" i="21"/>
  <c r="B2" i="21"/>
  <c r="C14" i="20"/>
  <c r="B14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13" i="20"/>
  <c r="W10" i="20"/>
  <c r="V10" i="20"/>
  <c r="U10" i="20"/>
  <c r="T10" i="20"/>
  <c r="T6" i="20" s="1"/>
  <c r="S10" i="20"/>
  <c r="R10" i="20"/>
  <c r="R6" i="20" s="1"/>
  <c r="Q10" i="20"/>
  <c r="P10" i="20"/>
  <c r="O10" i="20"/>
  <c r="O6" i="20" s="1"/>
  <c r="N10" i="20"/>
  <c r="N6" i="20" s="1"/>
  <c r="M10" i="20"/>
  <c r="M6" i="20" s="1"/>
  <c r="L10" i="20"/>
  <c r="L6" i="20" s="1"/>
  <c r="K10" i="20"/>
  <c r="K6" i="20" s="1"/>
  <c r="J10" i="20"/>
  <c r="I10" i="20"/>
  <c r="H10" i="20"/>
  <c r="G10" i="20"/>
  <c r="F10" i="20"/>
  <c r="E10" i="20"/>
  <c r="D10" i="20"/>
  <c r="D6" i="20" s="1"/>
  <c r="C10" i="20"/>
  <c r="B10" i="20"/>
  <c r="B6" i="20" s="1"/>
  <c r="T7" i="20"/>
  <c r="T14" i="20" s="1"/>
  <c r="S7" i="20"/>
  <c r="S14" i="20" s="1"/>
  <c r="Q7" i="20"/>
  <c r="Q14" i="20" s="1"/>
  <c r="J7" i="20"/>
  <c r="J14" i="20" s="1"/>
  <c r="E7" i="20"/>
  <c r="E14" i="20" s="1"/>
  <c r="D7" i="20"/>
  <c r="D14" i="20" s="1"/>
  <c r="C7" i="20"/>
  <c r="W6" i="20"/>
  <c r="V6" i="20"/>
  <c r="U6" i="20"/>
  <c r="S6" i="20"/>
  <c r="Q6" i="20"/>
  <c r="P6" i="20"/>
  <c r="J6" i="20"/>
  <c r="I6" i="20"/>
  <c r="H6" i="20"/>
  <c r="G6" i="20"/>
  <c r="F6" i="20"/>
  <c r="E6" i="20"/>
  <c r="C6" i="20"/>
  <c r="W5" i="20"/>
  <c r="V5" i="20"/>
  <c r="U5" i="20"/>
  <c r="T5" i="20"/>
  <c r="S5" i="20"/>
  <c r="R5" i="20"/>
  <c r="Q5" i="20"/>
  <c r="P5" i="20"/>
  <c r="P7" i="20" s="1"/>
  <c r="P14" i="20" s="1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5" i="20"/>
  <c r="W4" i="20"/>
  <c r="V4" i="20"/>
  <c r="U4" i="20"/>
  <c r="U7" i="20" s="1"/>
  <c r="U14" i="20" s="1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4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W2" i="20"/>
  <c r="W7" i="20" s="1"/>
  <c r="V2" i="20"/>
  <c r="V7" i="20" s="1"/>
  <c r="V14" i="20" s="1"/>
  <c r="U2" i="20"/>
  <c r="T2" i="20"/>
  <c r="S2" i="20"/>
  <c r="R2" i="20"/>
  <c r="R7" i="20" s="1"/>
  <c r="R14" i="20" s="1"/>
  <c r="Q2" i="20"/>
  <c r="P2" i="20"/>
  <c r="O2" i="20"/>
  <c r="N2" i="20"/>
  <c r="M2" i="20"/>
  <c r="L2" i="20"/>
  <c r="L7" i="20" s="1"/>
  <c r="L14" i="20" s="1"/>
  <c r="K2" i="20"/>
  <c r="J2" i="20"/>
  <c r="I2" i="20"/>
  <c r="I7" i="20" s="1"/>
  <c r="H2" i="20"/>
  <c r="H7" i="20" s="1"/>
  <c r="H14" i="20" s="1"/>
  <c r="G2" i="20"/>
  <c r="G7" i="20" s="1"/>
  <c r="F2" i="20"/>
  <c r="F7" i="20" s="1"/>
  <c r="F14" i="20" s="1"/>
  <c r="E2" i="20"/>
  <c r="D2" i="20"/>
  <c r="C2" i="20"/>
  <c r="B2" i="20"/>
  <c r="B7" i="20" s="1"/>
  <c r="M16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13" i="19"/>
  <c r="W10" i="19"/>
  <c r="V10" i="19"/>
  <c r="U10" i="19"/>
  <c r="U6" i="19" s="1"/>
  <c r="T10" i="19"/>
  <c r="S10" i="19"/>
  <c r="S6" i="19" s="1"/>
  <c r="R10" i="19"/>
  <c r="Q10" i="19"/>
  <c r="P10" i="19"/>
  <c r="P6" i="19" s="1"/>
  <c r="O10" i="19"/>
  <c r="O6" i="19" s="1"/>
  <c r="N10" i="19"/>
  <c r="N6" i="19" s="1"/>
  <c r="M10" i="19"/>
  <c r="M6" i="19" s="1"/>
  <c r="L10" i="19"/>
  <c r="L6" i="19" s="1"/>
  <c r="K10" i="19"/>
  <c r="J10" i="19"/>
  <c r="I10" i="19"/>
  <c r="H10" i="19"/>
  <c r="G10" i="19"/>
  <c r="F10" i="19"/>
  <c r="E10" i="19"/>
  <c r="E6" i="19" s="1"/>
  <c r="E7" i="19" s="1"/>
  <c r="E14" i="19" s="1"/>
  <c r="D10" i="19"/>
  <c r="C10" i="19"/>
  <c r="C6" i="19" s="1"/>
  <c r="B10" i="19"/>
  <c r="V7" i="19"/>
  <c r="V14" i="19" s="1"/>
  <c r="N16" i="19" s="1"/>
  <c r="U7" i="19"/>
  <c r="U14" i="19" s="1"/>
  <c r="T7" i="19"/>
  <c r="T14" i="19" s="1"/>
  <c r="R7" i="19"/>
  <c r="R14" i="19" s="1"/>
  <c r="F7" i="19"/>
  <c r="F14" i="19" s="1"/>
  <c r="B7" i="19"/>
  <c r="B14" i="19" s="1"/>
  <c r="W6" i="19"/>
  <c r="V6" i="19"/>
  <c r="T6" i="19"/>
  <c r="R6" i="19"/>
  <c r="Q6" i="19"/>
  <c r="K6" i="19"/>
  <c r="J6" i="19"/>
  <c r="I6" i="19"/>
  <c r="H6" i="19"/>
  <c r="G6" i="19"/>
  <c r="F6" i="19"/>
  <c r="D6" i="19"/>
  <c r="B6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5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4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K7" i="19" s="1"/>
  <c r="K14" i="19" s="1"/>
  <c r="J3" i="19"/>
  <c r="J7" i="19" s="1"/>
  <c r="I3" i="19"/>
  <c r="H3" i="19"/>
  <c r="G3" i="19"/>
  <c r="F3" i="19"/>
  <c r="E3" i="19"/>
  <c r="D3" i="19"/>
  <c r="C3" i="19"/>
  <c r="B3" i="19"/>
  <c r="W2" i="19"/>
  <c r="W7" i="19" s="1"/>
  <c r="W14" i="19" s="1"/>
  <c r="V2" i="19"/>
  <c r="U2" i="19"/>
  <c r="T2" i="19"/>
  <c r="S2" i="19"/>
  <c r="R2" i="19"/>
  <c r="Q2" i="19"/>
  <c r="Q7" i="19" s="1"/>
  <c r="Q14" i="19" s="1"/>
  <c r="P2" i="19"/>
  <c r="O2" i="19"/>
  <c r="N2" i="19"/>
  <c r="N7" i="19" s="1"/>
  <c r="N14" i="19" s="1"/>
  <c r="M2" i="19"/>
  <c r="M7" i="19" s="1"/>
  <c r="M14" i="19" s="1"/>
  <c r="L2" i="19"/>
  <c r="K2" i="19"/>
  <c r="J2" i="19"/>
  <c r="I2" i="19"/>
  <c r="I7" i="19" s="1"/>
  <c r="I14" i="19" s="1"/>
  <c r="H2" i="19"/>
  <c r="H7" i="19" s="1"/>
  <c r="H14" i="19" s="1"/>
  <c r="G2" i="19"/>
  <c r="G7" i="19" s="1"/>
  <c r="G14" i="19" s="1"/>
  <c r="F2" i="19"/>
  <c r="E2" i="19"/>
  <c r="D2" i="19"/>
  <c r="D7" i="19" s="1"/>
  <c r="D14" i="19" s="1"/>
  <c r="C2" i="19"/>
  <c r="B2" i="19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M6" i="18" s="1"/>
  <c r="L10" i="18"/>
  <c r="L6" i="18" s="1"/>
  <c r="K10" i="18"/>
  <c r="J10" i="18"/>
  <c r="I10" i="18"/>
  <c r="H10" i="18"/>
  <c r="G10" i="18"/>
  <c r="F10" i="18"/>
  <c r="E10" i="18"/>
  <c r="D10" i="18"/>
  <c r="C10" i="18"/>
  <c r="B10" i="18"/>
  <c r="J7" i="18"/>
  <c r="J14" i="18" s="1"/>
  <c r="J16" i="18" s="1"/>
  <c r="Y6" i="18"/>
  <c r="X6" i="18"/>
  <c r="W6" i="18"/>
  <c r="V6" i="18"/>
  <c r="U6" i="18"/>
  <c r="T6" i="18"/>
  <c r="S6" i="18"/>
  <c r="R6" i="18"/>
  <c r="Q6" i="18"/>
  <c r="P6" i="18"/>
  <c r="O6" i="18"/>
  <c r="N6" i="18"/>
  <c r="K6" i="18"/>
  <c r="J6" i="18"/>
  <c r="I6" i="18"/>
  <c r="H6" i="18"/>
  <c r="G6" i="18"/>
  <c r="F6" i="18"/>
  <c r="E6" i="18"/>
  <c r="D6" i="18"/>
  <c r="C6" i="18"/>
  <c r="B6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5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4" i="18"/>
  <c r="Y3" i="18"/>
  <c r="X3" i="18"/>
  <c r="W3" i="18"/>
  <c r="V3" i="18"/>
  <c r="U3" i="18"/>
  <c r="U7" i="18" s="1"/>
  <c r="U14" i="18" s="1"/>
  <c r="T3" i="18"/>
  <c r="T7" i="18" s="1"/>
  <c r="T14" i="18" s="1"/>
  <c r="S3" i="18"/>
  <c r="S7" i="18" s="1"/>
  <c r="S14" i="18" s="1"/>
  <c r="R3" i="18"/>
  <c r="Q3" i="18"/>
  <c r="Q7" i="18" s="1"/>
  <c r="Q14" i="18" s="1"/>
  <c r="Q16" i="18" s="1"/>
  <c r="P3" i="18"/>
  <c r="P7" i="18" s="1"/>
  <c r="P14" i="18" s="1"/>
  <c r="O3" i="18"/>
  <c r="O7" i="18" s="1"/>
  <c r="O14" i="18" s="1"/>
  <c r="N3" i="18"/>
  <c r="N7" i="18" s="1"/>
  <c r="N14" i="18" s="1"/>
  <c r="M3" i="18"/>
  <c r="L3" i="18"/>
  <c r="K3" i="18"/>
  <c r="J3" i="18"/>
  <c r="I3" i="18"/>
  <c r="H3" i="18"/>
  <c r="G3" i="18"/>
  <c r="F3" i="18"/>
  <c r="E3" i="18"/>
  <c r="E7" i="18" s="1"/>
  <c r="E14" i="18" s="1"/>
  <c r="E16" i="18" s="1"/>
  <c r="D3" i="18"/>
  <c r="D7" i="18" s="1"/>
  <c r="D14" i="18" s="1"/>
  <c r="D16" i="18" s="1"/>
  <c r="C3" i="18"/>
  <c r="C7" i="18" s="1"/>
  <c r="C14" i="18" s="1"/>
  <c r="B3" i="18"/>
  <c r="Y2" i="18"/>
  <c r="Y7" i="18" s="1"/>
  <c r="Y14" i="18" s="1"/>
  <c r="X2" i="18"/>
  <c r="X7" i="18" s="1"/>
  <c r="X14" i="18" s="1"/>
  <c r="W2" i="18"/>
  <c r="W7" i="18" s="1"/>
  <c r="W14" i="18" s="1"/>
  <c r="V2" i="18"/>
  <c r="V7" i="18" s="1"/>
  <c r="V14" i="18" s="1"/>
  <c r="U2" i="18"/>
  <c r="T2" i="18"/>
  <c r="S2" i="18"/>
  <c r="R2" i="18"/>
  <c r="R7" i="18" s="1"/>
  <c r="R14" i="18" s="1"/>
  <c r="R16" i="18" s="1"/>
  <c r="Q2" i="18"/>
  <c r="P2" i="18"/>
  <c r="O2" i="18"/>
  <c r="N2" i="18"/>
  <c r="M2" i="18"/>
  <c r="L2" i="18"/>
  <c r="K2" i="18"/>
  <c r="K7" i="18" s="1"/>
  <c r="K14" i="18" s="1"/>
  <c r="J2" i="18"/>
  <c r="I2" i="18"/>
  <c r="I7" i="18" s="1"/>
  <c r="I14" i="18" s="1"/>
  <c r="H2" i="18"/>
  <c r="H7" i="18" s="1"/>
  <c r="H14" i="18" s="1"/>
  <c r="G2" i="18"/>
  <c r="G7" i="18" s="1"/>
  <c r="G14" i="18" s="1"/>
  <c r="F2" i="18"/>
  <c r="F7" i="18" s="1"/>
  <c r="F14" i="18" s="1"/>
  <c r="E2" i="18"/>
  <c r="D2" i="18"/>
  <c r="C2" i="18"/>
  <c r="B2" i="18"/>
  <c r="B7" i="18" s="1"/>
  <c r="B14" i="18" s="1"/>
  <c r="B16" i="18" s="1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W10" i="17"/>
  <c r="V10" i="17"/>
  <c r="U10" i="17"/>
  <c r="T10" i="17"/>
  <c r="T6" i="17" s="1"/>
  <c r="S10" i="17"/>
  <c r="R10" i="17"/>
  <c r="R6" i="17" s="1"/>
  <c r="Q10" i="17"/>
  <c r="P10" i="17"/>
  <c r="O10" i="17"/>
  <c r="O6" i="17" s="1"/>
  <c r="N10" i="17"/>
  <c r="N6" i="17" s="1"/>
  <c r="M10" i="17"/>
  <c r="M6" i="17" s="1"/>
  <c r="L10" i="17"/>
  <c r="L6" i="17" s="1"/>
  <c r="K10" i="17"/>
  <c r="K6" i="17" s="1"/>
  <c r="J10" i="17"/>
  <c r="I10" i="17"/>
  <c r="H10" i="17"/>
  <c r="G10" i="17"/>
  <c r="F10" i="17"/>
  <c r="E10" i="17"/>
  <c r="D10" i="17"/>
  <c r="D6" i="17" s="1"/>
  <c r="D7" i="17" s="1"/>
  <c r="D14" i="17" s="1"/>
  <c r="C10" i="17"/>
  <c r="B10" i="17"/>
  <c r="B6" i="17" s="1"/>
  <c r="J7" i="17"/>
  <c r="J14" i="17" s="1"/>
  <c r="E7" i="17"/>
  <c r="E14" i="17" s="1"/>
  <c r="W6" i="17"/>
  <c r="V6" i="17"/>
  <c r="U6" i="17"/>
  <c r="S6" i="17"/>
  <c r="Q6" i="17"/>
  <c r="P6" i="17"/>
  <c r="J6" i="17"/>
  <c r="I6" i="17"/>
  <c r="H6" i="17"/>
  <c r="G6" i="17"/>
  <c r="F6" i="17"/>
  <c r="E6" i="17"/>
  <c r="C6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W4" i="17"/>
  <c r="V4" i="17"/>
  <c r="U4" i="17"/>
  <c r="U7" i="17" s="1"/>
  <c r="U14" i="17" s="1"/>
  <c r="T4" i="17"/>
  <c r="T7" i="17" s="1"/>
  <c r="T14" i="17" s="1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I7" i="17" s="1"/>
  <c r="I14" i="17" s="1"/>
  <c r="H3" i="17"/>
  <c r="G3" i="17"/>
  <c r="F3" i="17"/>
  <c r="E3" i="17"/>
  <c r="D3" i="17"/>
  <c r="C3" i="17"/>
  <c r="B3" i="17"/>
  <c r="W2" i="17"/>
  <c r="V2" i="17"/>
  <c r="V7" i="17" s="1"/>
  <c r="V14" i="17" s="1"/>
  <c r="U2" i="17"/>
  <c r="T2" i="17"/>
  <c r="S2" i="17"/>
  <c r="S7" i="17" s="1"/>
  <c r="S14" i="17" s="1"/>
  <c r="R2" i="17"/>
  <c r="R7" i="17" s="1"/>
  <c r="R14" i="17" s="1"/>
  <c r="Q2" i="17"/>
  <c r="Q7" i="17" s="1"/>
  <c r="Q14" i="17" s="1"/>
  <c r="P2" i="17"/>
  <c r="O2" i="17"/>
  <c r="O7" i="17" s="1"/>
  <c r="O14" i="17" s="1"/>
  <c r="N2" i="17"/>
  <c r="N7" i="17" s="1"/>
  <c r="M2" i="17"/>
  <c r="L2" i="17"/>
  <c r="K2" i="17"/>
  <c r="J2" i="17"/>
  <c r="I2" i="17"/>
  <c r="H2" i="17"/>
  <c r="H7" i="17" s="1"/>
  <c r="H14" i="17" s="1"/>
  <c r="G2" i="17"/>
  <c r="F2" i="17"/>
  <c r="F7" i="17" s="1"/>
  <c r="F14" i="17" s="1"/>
  <c r="E2" i="17"/>
  <c r="D2" i="17"/>
  <c r="C2" i="17"/>
  <c r="C7" i="17" s="1"/>
  <c r="C14" i="17" s="1"/>
  <c r="B2" i="17"/>
  <c r="B7" i="17" s="1"/>
  <c r="B14" i="17" s="1"/>
  <c r="B75" i="16"/>
  <c r="B74" i="16"/>
  <c r="J64" i="16"/>
  <c r="G64" i="16"/>
  <c r="Q55" i="16"/>
  <c r="Q64" i="16" s="1"/>
  <c r="P55" i="16"/>
  <c r="P64" i="16" s="1"/>
  <c r="M55" i="16"/>
  <c r="M64" i="16" s="1"/>
  <c r="F55" i="16"/>
  <c r="F64" i="16" s="1"/>
  <c r="U46" i="16"/>
  <c r="U55" i="16" s="1"/>
  <c r="U64" i="16" s="1"/>
  <c r="G46" i="16"/>
  <c r="G55" i="16" s="1"/>
  <c r="F46" i="16"/>
  <c r="D46" i="16"/>
  <c r="D55" i="16" s="1"/>
  <c r="D64" i="16" s="1"/>
  <c r="R37" i="16"/>
  <c r="R46" i="16" s="1"/>
  <c r="R55" i="16" s="1"/>
  <c r="R64" i="16" s="1"/>
  <c r="M37" i="16"/>
  <c r="M46" i="16" s="1"/>
  <c r="K37" i="16"/>
  <c r="K46" i="16" s="1"/>
  <c r="K55" i="16" s="1"/>
  <c r="K64" i="16" s="1"/>
  <c r="J37" i="16"/>
  <c r="J46" i="16" s="1"/>
  <c r="J55" i="16" s="1"/>
  <c r="S28" i="16"/>
  <c r="S37" i="16" s="1"/>
  <c r="S46" i="16" s="1"/>
  <c r="S55" i="16" s="1"/>
  <c r="S64" i="16" s="1"/>
  <c r="Q28" i="16"/>
  <c r="Q37" i="16" s="1"/>
  <c r="Q46" i="16" s="1"/>
  <c r="P28" i="16"/>
  <c r="P37" i="16" s="1"/>
  <c r="P46" i="16" s="1"/>
  <c r="C28" i="16"/>
  <c r="C37" i="16" s="1"/>
  <c r="C46" i="16" s="1"/>
  <c r="C55" i="16" s="1"/>
  <c r="C64" i="16" s="1"/>
  <c r="B28" i="16"/>
  <c r="B37" i="16" s="1"/>
  <c r="B46" i="16" s="1"/>
  <c r="B55" i="16" s="1"/>
  <c r="B64" i="16" s="1"/>
  <c r="W19" i="16"/>
  <c r="W28" i="16" s="1"/>
  <c r="W37" i="16" s="1"/>
  <c r="W46" i="16" s="1"/>
  <c r="W55" i="16" s="1"/>
  <c r="W64" i="16" s="1"/>
  <c r="V19" i="16"/>
  <c r="V28" i="16" s="1"/>
  <c r="V37" i="16" s="1"/>
  <c r="V46" i="16" s="1"/>
  <c r="V55" i="16" s="1"/>
  <c r="V64" i="16" s="1"/>
  <c r="U19" i="16"/>
  <c r="U28" i="16" s="1"/>
  <c r="U37" i="16" s="1"/>
  <c r="S19" i="16"/>
  <c r="Q19" i="16"/>
  <c r="P19" i="16"/>
  <c r="I19" i="16"/>
  <c r="I28" i="16" s="1"/>
  <c r="I37" i="16" s="1"/>
  <c r="I46" i="16" s="1"/>
  <c r="I55" i="16" s="1"/>
  <c r="I64" i="16" s="1"/>
  <c r="H19" i="16"/>
  <c r="H28" i="16" s="1"/>
  <c r="H37" i="16" s="1"/>
  <c r="H46" i="16" s="1"/>
  <c r="H55" i="16" s="1"/>
  <c r="H64" i="16" s="1"/>
  <c r="G19" i="16"/>
  <c r="G28" i="16" s="1"/>
  <c r="G37" i="16" s="1"/>
  <c r="F19" i="16"/>
  <c r="F28" i="16" s="1"/>
  <c r="F37" i="16" s="1"/>
  <c r="E19" i="16"/>
  <c r="E28" i="16" s="1"/>
  <c r="E37" i="16" s="1"/>
  <c r="E46" i="16" s="1"/>
  <c r="E55" i="16" s="1"/>
  <c r="E64" i="16" s="1"/>
  <c r="C19" i="16"/>
  <c r="W10" i="16"/>
  <c r="V10" i="16"/>
  <c r="U10" i="16"/>
  <c r="T10" i="16"/>
  <c r="T19" i="16" s="1"/>
  <c r="T28" i="16" s="1"/>
  <c r="T37" i="16" s="1"/>
  <c r="T46" i="16" s="1"/>
  <c r="T55" i="16" s="1"/>
  <c r="T64" i="16" s="1"/>
  <c r="S10" i="16"/>
  <c r="R10" i="16"/>
  <c r="R19" i="16" s="1"/>
  <c r="R28" i="16" s="1"/>
  <c r="Q10" i="16"/>
  <c r="P10" i="16"/>
  <c r="O10" i="16"/>
  <c r="O19" i="16" s="1"/>
  <c r="O28" i="16" s="1"/>
  <c r="O37" i="16" s="1"/>
  <c r="O46" i="16" s="1"/>
  <c r="O55" i="16" s="1"/>
  <c r="O64" i="16" s="1"/>
  <c r="N10" i="16"/>
  <c r="N19" i="16" s="1"/>
  <c r="N28" i="16" s="1"/>
  <c r="N37" i="16" s="1"/>
  <c r="N46" i="16" s="1"/>
  <c r="N55" i="16" s="1"/>
  <c r="N64" i="16" s="1"/>
  <c r="M10" i="16"/>
  <c r="M19" i="16" s="1"/>
  <c r="M28" i="16" s="1"/>
  <c r="L10" i="16"/>
  <c r="L19" i="16" s="1"/>
  <c r="L28" i="16" s="1"/>
  <c r="L37" i="16" s="1"/>
  <c r="L46" i="16" s="1"/>
  <c r="L55" i="16" s="1"/>
  <c r="L64" i="16" s="1"/>
  <c r="K10" i="16"/>
  <c r="K19" i="16" s="1"/>
  <c r="K28" i="16" s="1"/>
  <c r="J10" i="16"/>
  <c r="J19" i="16" s="1"/>
  <c r="J28" i="16" s="1"/>
  <c r="I10" i="16"/>
  <c r="H10" i="16"/>
  <c r="G10" i="16"/>
  <c r="F10" i="16"/>
  <c r="E10" i="16"/>
  <c r="D10" i="16"/>
  <c r="D19" i="16" s="1"/>
  <c r="D28" i="16" s="1"/>
  <c r="D37" i="16" s="1"/>
  <c r="C10" i="16"/>
  <c r="B10" i="16"/>
  <c r="B19" i="16" s="1"/>
  <c r="P16" i="15"/>
  <c r="N16" i="15"/>
  <c r="U14" i="15"/>
  <c r="S14" i="15"/>
  <c r="R14" i="15"/>
  <c r="Q14" i="15"/>
  <c r="P14" i="15"/>
  <c r="J14" i="15"/>
  <c r="H14" i="15"/>
  <c r="E14" i="15"/>
  <c r="E16" i="15" s="1"/>
  <c r="D14" i="15"/>
  <c r="C14" i="15"/>
  <c r="B14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V7" i="15"/>
  <c r="V14" i="15" s="1"/>
  <c r="U7" i="15"/>
  <c r="T7" i="15"/>
  <c r="T14" i="15" s="1"/>
  <c r="S7" i="15"/>
  <c r="R7" i="15"/>
  <c r="Q7" i="15"/>
  <c r="P7" i="15"/>
  <c r="O7" i="15"/>
  <c r="O14" i="15" s="1"/>
  <c r="O16" i="15" s="1"/>
  <c r="N7" i="15"/>
  <c r="N14" i="15" s="1"/>
  <c r="M7" i="15"/>
  <c r="M14" i="15" s="1"/>
  <c r="L7" i="15"/>
  <c r="L14" i="15" s="1"/>
  <c r="K7" i="15"/>
  <c r="K14" i="15" s="1"/>
  <c r="J7" i="15"/>
  <c r="I7" i="15"/>
  <c r="I14" i="15" s="1"/>
  <c r="H7" i="15"/>
  <c r="G7" i="15"/>
  <c r="G14" i="15" s="1"/>
  <c r="F7" i="15"/>
  <c r="F14" i="15" s="1"/>
  <c r="E7" i="15"/>
  <c r="D7" i="15"/>
  <c r="C7" i="15"/>
  <c r="B7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G14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C14" i="14" s="1"/>
  <c r="B13" i="14"/>
  <c r="V10" i="14"/>
  <c r="V6" i="14" s="1"/>
  <c r="U10" i="14"/>
  <c r="T10" i="14"/>
  <c r="S10" i="14"/>
  <c r="S6" i="14" s="1"/>
  <c r="R10" i="14"/>
  <c r="R6" i="14" s="1"/>
  <c r="Q10" i="14"/>
  <c r="Q6" i="14" s="1"/>
  <c r="P10" i="14"/>
  <c r="P6" i="14" s="1"/>
  <c r="O10" i="14"/>
  <c r="O6" i="14" s="1"/>
  <c r="N10" i="14"/>
  <c r="N6" i="14" s="1"/>
  <c r="M10" i="14"/>
  <c r="M6" i="14" s="1"/>
  <c r="M7" i="14" s="1"/>
  <c r="M14" i="14" s="1"/>
  <c r="L10" i="14"/>
  <c r="K10" i="14"/>
  <c r="J10" i="14"/>
  <c r="I10" i="14"/>
  <c r="H10" i="14"/>
  <c r="H6" i="14" s="1"/>
  <c r="H7" i="14" s="1"/>
  <c r="H14" i="14" s="1"/>
  <c r="G10" i="14"/>
  <c r="F10" i="14"/>
  <c r="F6" i="14" s="1"/>
  <c r="E10" i="14"/>
  <c r="D10" i="14"/>
  <c r="C10" i="14"/>
  <c r="C6" i="14" s="1"/>
  <c r="B10" i="14"/>
  <c r="U7" i="14"/>
  <c r="U14" i="14" s="1"/>
  <c r="T7" i="14"/>
  <c r="T14" i="14" s="1"/>
  <c r="D7" i="14"/>
  <c r="D14" i="14" s="1"/>
  <c r="U6" i="14"/>
  <c r="T6" i="14"/>
  <c r="L6" i="14"/>
  <c r="K6" i="14"/>
  <c r="J6" i="14"/>
  <c r="I6" i="14"/>
  <c r="G6" i="14"/>
  <c r="E6" i="14"/>
  <c r="D6" i="14"/>
  <c r="B6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V4" i="14"/>
  <c r="U4" i="14"/>
  <c r="T4" i="14"/>
  <c r="S4" i="14"/>
  <c r="S7" i="14" s="1"/>
  <c r="S14" i="14" s="1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E7" i="14" s="1"/>
  <c r="E14" i="14" s="1"/>
  <c r="D4" i="14"/>
  <c r="C4" i="14"/>
  <c r="C7" i="14" s="1"/>
  <c r="B4" i="14"/>
  <c r="V3" i="14"/>
  <c r="U3" i="14"/>
  <c r="T3" i="14"/>
  <c r="S3" i="14"/>
  <c r="R3" i="14"/>
  <c r="Q3" i="14"/>
  <c r="P3" i="14"/>
  <c r="O3" i="14"/>
  <c r="N3" i="14"/>
  <c r="M3" i="14"/>
  <c r="L3" i="14"/>
  <c r="K3" i="14"/>
  <c r="K7" i="14" s="1"/>
  <c r="K14" i="14" s="1"/>
  <c r="J3" i="14"/>
  <c r="I3" i="14"/>
  <c r="H3" i="14"/>
  <c r="G3" i="14"/>
  <c r="F3" i="14"/>
  <c r="F7" i="14" s="1"/>
  <c r="F14" i="14" s="1"/>
  <c r="E3" i="14"/>
  <c r="D3" i="14"/>
  <c r="C3" i="14"/>
  <c r="B3" i="14"/>
  <c r="U2" i="14"/>
  <c r="T2" i="14"/>
  <c r="S2" i="14"/>
  <c r="R2" i="14"/>
  <c r="R7" i="14" s="1"/>
  <c r="R14" i="14" s="1"/>
  <c r="Q2" i="14"/>
  <c r="P2" i="14"/>
  <c r="P7" i="14" s="1"/>
  <c r="P14" i="14" s="1"/>
  <c r="O2" i="14"/>
  <c r="N2" i="14"/>
  <c r="M2" i="14"/>
  <c r="L2" i="14"/>
  <c r="K2" i="14"/>
  <c r="J2" i="14"/>
  <c r="J7" i="14" s="1"/>
  <c r="J14" i="14" s="1"/>
  <c r="I2" i="14"/>
  <c r="H2" i="14"/>
  <c r="G2" i="14"/>
  <c r="G7" i="14" s="1"/>
  <c r="F2" i="14"/>
  <c r="E2" i="14"/>
  <c r="D2" i="14"/>
  <c r="C2" i="14"/>
  <c r="B2" i="14"/>
  <c r="B7" i="14" s="1"/>
  <c r="B14" i="14" s="1"/>
  <c r="AL17" i="13"/>
  <c r="E17" i="13"/>
  <c r="BC15" i="13"/>
  <c r="AP15" i="13"/>
  <c r="I15" i="13"/>
  <c r="BC11" i="13"/>
  <c r="BC5" i="13" s="1"/>
  <c r="BB11" i="13"/>
  <c r="BB5" i="13" s="1"/>
  <c r="BA11" i="13"/>
  <c r="AZ11" i="13"/>
  <c r="AY11" i="13"/>
  <c r="AX11" i="13"/>
  <c r="AW11" i="13"/>
  <c r="AV11" i="13"/>
  <c r="AU11" i="13"/>
  <c r="AU5" i="13" s="1"/>
  <c r="AT11" i="13"/>
  <c r="AT5" i="13" s="1"/>
  <c r="AS11" i="13"/>
  <c r="AS5" i="13" s="1"/>
  <c r="AR11" i="13"/>
  <c r="AQ11" i="13"/>
  <c r="AQ5" i="13" s="1"/>
  <c r="AP11" i="13"/>
  <c r="AP5" i="13" s="1"/>
  <c r="AO11" i="13"/>
  <c r="AN11" i="13"/>
  <c r="AM11" i="13"/>
  <c r="AM5" i="13" s="1"/>
  <c r="AL11" i="13"/>
  <c r="AK11" i="13"/>
  <c r="AK5" i="13" s="1"/>
  <c r="AJ11" i="13"/>
  <c r="AI11" i="13"/>
  <c r="AH11" i="13"/>
  <c r="AG11" i="13"/>
  <c r="AF11" i="13"/>
  <c r="AE11" i="13"/>
  <c r="AD11" i="13"/>
  <c r="AD5" i="13" s="1"/>
  <c r="AC11" i="13"/>
  <c r="AC5" i="13" s="1"/>
  <c r="AC6" i="13" s="1"/>
  <c r="AC15" i="13" s="1"/>
  <c r="AB11" i="13"/>
  <c r="AB5" i="13" s="1"/>
  <c r="AA11" i="13"/>
  <c r="AA5" i="13" s="1"/>
  <c r="Z11" i="13"/>
  <c r="Z5" i="13" s="1"/>
  <c r="Y11" i="13"/>
  <c r="Y5" i="13" s="1"/>
  <c r="X11" i="13"/>
  <c r="W11" i="13"/>
  <c r="W5" i="13" s="1"/>
  <c r="V11" i="13"/>
  <c r="U11" i="13"/>
  <c r="U5" i="13" s="1"/>
  <c r="T11" i="13"/>
  <c r="T5" i="13" s="1"/>
  <c r="S11" i="13"/>
  <c r="R11" i="13"/>
  <c r="Q11" i="13"/>
  <c r="P11" i="13"/>
  <c r="O11" i="13"/>
  <c r="N11" i="13"/>
  <c r="N5" i="13" s="1"/>
  <c r="M11" i="13"/>
  <c r="L11" i="13"/>
  <c r="L5" i="13" s="1"/>
  <c r="K11" i="13"/>
  <c r="J11" i="13"/>
  <c r="J5" i="13" s="1"/>
  <c r="I11" i="13"/>
  <c r="I5" i="13" s="1"/>
  <c r="H11" i="13"/>
  <c r="G11" i="13"/>
  <c r="G5" i="13" s="1"/>
  <c r="F11" i="13"/>
  <c r="E11" i="13"/>
  <c r="E5" i="13" s="1"/>
  <c r="D11" i="13"/>
  <c r="D5" i="13" s="1"/>
  <c r="C11" i="13"/>
  <c r="B11" i="13"/>
  <c r="U7" i="13"/>
  <c r="T7" i="13"/>
  <c r="S7" i="13"/>
  <c r="R7" i="13"/>
  <c r="Q7" i="13"/>
  <c r="P7" i="13"/>
  <c r="AP6" i="13"/>
  <c r="AB6" i="13"/>
  <c r="AB15" i="13" s="1"/>
  <c r="T6" i="13"/>
  <c r="N6" i="13"/>
  <c r="N15" i="13" s="1"/>
  <c r="I6" i="13"/>
  <c r="BA5" i="13"/>
  <c r="AY5" i="13"/>
  <c r="AX5" i="13"/>
  <c r="AW5" i="13"/>
  <c r="AV5" i="13"/>
  <c r="AR5" i="13"/>
  <c r="AO5" i="13"/>
  <c r="AN5" i="13"/>
  <c r="AL5" i="13"/>
  <c r="AJ5" i="13"/>
  <c r="AI5" i="13"/>
  <c r="AH5" i="13"/>
  <c r="AG5" i="13"/>
  <c r="AF5" i="13"/>
  <c r="X5" i="13"/>
  <c r="V5" i="13"/>
  <c r="S5" i="13"/>
  <c r="R5" i="13"/>
  <c r="Q5" i="13"/>
  <c r="P5" i="13"/>
  <c r="O5" i="13"/>
  <c r="M5" i="13"/>
  <c r="M6" i="13" s="1"/>
  <c r="M15" i="13" s="1"/>
  <c r="K5" i="13"/>
  <c r="H5" i="13"/>
  <c r="F5" i="13"/>
  <c r="C5" i="13"/>
  <c r="B5" i="13"/>
  <c r="BC4" i="13"/>
  <c r="BB4" i="13"/>
  <c r="BA4" i="13"/>
  <c r="AY4" i="13"/>
  <c r="AY6" i="13" s="1"/>
  <c r="AY15" i="13" s="1"/>
  <c r="AX4" i="13"/>
  <c r="AW4" i="13"/>
  <c r="AV4" i="13"/>
  <c r="AU4" i="13"/>
  <c r="AT4" i="13"/>
  <c r="AS4" i="13"/>
  <c r="AS6" i="13" s="1"/>
  <c r="AS15" i="13" s="1"/>
  <c r="AR4" i="13"/>
  <c r="AQ4" i="13"/>
  <c r="AP4" i="13"/>
  <c r="AO4" i="13"/>
  <c r="AN4" i="13"/>
  <c r="AM4" i="13"/>
  <c r="AL4" i="13"/>
  <c r="AK4" i="13"/>
  <c r="AJ4" i="13"/>
  <c r="AI4" i="13"/>
  <c r="AI6" i="13" s="1"/>
  <c r="AI15" i="13" s="1"/>
  <c r="AI17" i="13" s="1"/>
  <c r="AH4" i="13"/>
  <c r="AG4" i="13"/>
  <c r="AF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L6" i="13" s="1"/>
  <c r="L15" i="13" s="1"/>
  <c r="K4" i="13"/>
  <c r="J4" i="13"/>
  <c r="I4" i="13"/>
  <c r="H4" i="13"/>
  <c r="G4" i="13"/>
  <c r="F4" i="13"/>
  <c r="E4" i="13"/>
  <c r="D4" i="13"/>
  <c r="D6" i="13" s="1"/>
  <c r="D15" i="13" s="1"/>
  <c r="C4" i="13"/>
  <c r="B4" i="13"/>
  <c r="BC3" i="13"/>
  <c r="BB3" i="13"/>
  <c r="BA3" i="13"/>
  <c r="AY3" i="13"/>
  <c r="AX3" i="13"/>
  <c r="AW3" i="13"/>
  <c r="AV3" i="13"/>
  <c r="AV6" i="13" s="1"/>
  <c r="AV15" i="13" s="1"/>
  <c r="AU3" i="13"/>
  <c r="AU6" i="13" s="1"/>
  <c r="AU15" i="13" s="1"/>
  <c r="AT3" i="13"/>
  <c r="AS3" i="13"/>
  <c r="AR3" i="13"/>
  <c r="AR6" i="13" s="1"/>
  <c r="AR15" i="13" s="1"/>
  <c r="AQ3" i="13"/>
  <c r="AP3" i="13"/>
  <c r="AO3" i="13"/>
  <c r="AN3" i="13"/>
  <c r="AN6" i="13" s="1"/>
  <c r="AN15" i="13" s="1"/>
  <c r="AM3" i="13"/>
  <c r="AL3" i="13"/>
  <c r="AK3" i="13"/>
  <c r="AJ3" i="13"/>
  <c r="AI3" i="13"/>
  <c r="AH3" i="13"/>
  <c r="AG3" i="13"/>
  <c r="AF3" i="13"/>
  <c r="AF6" i="13" s="1"/>
  <c r="AF15" i="13" s="1"/>
  <c r="AD3" i="13"/>
  <c r="AC3" i="13"/>
  <c r="AB3" i="13"/>
  <c r="AA3" i="13"/>
  <c r="AA6" i="13" s="1"/>
  <c r="AA15" i="13" s="1"/>
  <c r="Z3" i="13"/>
  <c r="Y3" i="13"/>
  <c r="Y6" i="13" s="1"/>
  <c r="Y15" i="13" s="1"/>
  <c r="X3" i="13"/>
  <c r="W3" i="13"/>
  <c r="V3" i="13"/>
  <c r="U3" i="13"/>
  <c r="T3" i="13"/>
  <c r="S3" i="13"/>
  <c r="R3" i="13"/>
  <c r="Q3" i="13"/>
  <c r="P3" i="13"/>
  <c r="O3" i="13"/>
  <c r="O6" i="13" s="1"/>
  <c r="O15" i="13" s="1"/>
  <c r="N3" i="13"/>
  <c r="M3" i="13"/>
  <c r="L3" i="13"/>
  <c r="K3" i="13"/>
  <c r="K6" i="13" s="1"/>
  <c r="K15" i="13" s="1"/>
  <c r="J3" i="13"/>
  <c r="I3" i="13"/>
  <c r="H3" i="13"/>
  <c r="G3" i="13"/>
  <c r="F3" i="13"/>
  <c r="E3" i="13"/>
  <c r="D3" i="13"/>
  <c r="C3" i="13"/>
  <c r="B3" i="13"/>
  <c r="BE2" i="13"/>
  <c r="BC2" i="13"/>
  <c r="BC6" i="13" s="1"/>
  <c r="BB2" i="13"/>
  <c r="BB6" i="13" s="1"/>
  <c r="BB15" i="13" s="1"/>
  <c r="BA2" i="13"/>
  <c r="BA6" i="13" s="1"/>
  <c r="BA15" i="13" s="1"/>
  <c r="BA17" i="13" s="1"/>
  <c r="AZ2" i="13"/>
  <c r="AY2" i="13"/>
  <c r="AX2" i="13"/>
  <c r="AX6" i="13" s="1"/>
  <c r="AX15" i="13" s="1"/>
  <c r="AW2" i="13"/>
  <c r="AV2" i="13"/>
  <c r="AU2" i="13"/>
  <c r="AT2" i="13"/>
  <c r="AS2" i="13"/>
  <c r="AR2" i="13"/>
  <c r="AQ2" i="13"/>
  <c r="AP2" i="13"/>
  <c r="AO2" i="13"/>
  <c r="AN2" i="13"/>
  <c r="AM2" i="13"/>
  <c r="AL2" i="13"/>
  <c r="AL6" i="13" s="1"/>
  <c r="AL15" i="13" s="1"/>
  <c r="AK2" i="13"/>
  <c r="AK6" i="13" s="1"/>
  <c r="AK15" i="13" s="1"/>
  <c r="AJ2" i="13"/>
  <c r="AI2" i="13"/>
  <c r="AH2" i="13"/>
  <c r="AH6" i="13" s="1"/>
  <c r="AH15" i="13" s="1"/>
  <c r="AG2" i="13"/>
  <c r="AG6" i="13" s="1"/>
  <c r="AG15" i="13" s="1"/>
  <c r="AF2" i="13"/>
  <c r="AE2" i="13"/>
  <c r="AD2" i="13"/>
  <c r="AC2" i="13"/>
  <c r="AB2" i="13"/>
  <c r="AA2" i="13"/>
  <c r="Z2" i="13"/>
  <c r="Y2" i="13"/>
  <c r="X2" i="13"/>
  <c r="W2" i="13"/>
  <c r="W6" i="13" s="1"/>
  <c r="W15" i="13" s="1"/>
  <c r="V2" i="13"/>
  <c r="V6" i="13" s="1"/>
  <c r="V15" i="13" s="1"/>
  <c r="U2" i="13"/>
  <c r="U6" i="13" s="1"/>
  <c r="T2" i="13"/>
  <c r="S2" i="13"/>
  <c r="R2" i="13"/>
  <c r="R6" i="13" s="1"/>
  <c r="R15" i="13" s="1"/>
  <c r="Q2" i="13"/>
  <c r="Q6" i="13" s="1"/>
  <c r="Q15" i="13" s="1"/>
  <c r="P2" i="13"/>
  <c r="O2" i="13"/>
  <c r="N2" i="13"/>
  <c r="M2" i="13"/>
  <c r="L2" i="13"/>
  <c r="K2" i="13"/>
  <c r="J2" i="13"/>
  <c r="I2" i="13"/>
  <c r="H2" i="13"/>
  <c r="H6" i="13" s="1"/>
  <c r="H15" i="13" s="1"/>
  <c r="G2" i="13"/>
  <c r="G6" i="13" s="1"/>
  <c r="G15" i="13" s="1"/>
  <c r="F2" i="13"/>
  <c r="F6" i="13" s="1"/>
  <c r="F15" i="13" s="1"/>
  <c r="E2" i="13"/>
  <c r="E6" i="13" s="1"/>
  <c r="E15" i="13" s="1"/>
  <c r="D2" i="13"/>
  <c r="C2" i="13"/>
  <c r="B2" i="13"/>
  <c r="B6" i="13" s="1"/>
  <c r="B15" i="13" s="1"/>
  <c r="B17" i="13" s="1"/>
  <c r="U18" i="12"/>
  <c r="T18" i="12"/>
  <c r="S18" i="12"/>
  <c r="R18" i="12"/>
  <c r="Q18" i="12"/>
  <c r="P18" i="12"/>
  <c r="N14" i="12"/>
  <c r="AE13" i="12"/>
  <c r="AA13" i="12"/>
  <c r="Z13" i="12"/>
  <c r="Y13" i="12"/>
  <c r="Y14" i="12" s="1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E10" i="12"/>
  <c r="AD10" i="12"/>
  <c r="AC10" i="12"/>
  <c r="AB10" i="12"/>
  <c r="AA10" i="12"/>
  <c r="Z10" i="12"/>
  <c r="Z5" i="12" s="1"/>
  <c r="Y10" i="12"/>
  <c r="Y5" i="12" s="1"/>
  <c r="X10" i="12"/>
  <c r="X5" i="12" s="1"/>
  <c r="W10" i="12"/>
  <c r="W5" i="12" s="1"/>
  <c r="V10" i="12"/>
  <c r="U10" i="12"/>
  <c r="T10" i="12"/>
  <c r="S10" i="12"/>
  <c r="R10" i="12"/>
  <c r="R5" i="12" s="1"/>
  <c r="Q10" i="12"/>
  <c r="Q5" i="12" s="1"/>
  <c r="P10" i="12"/>
  <c r="P5" i="12" s="1"/>
  <c r="O10" i="12"/>
  <c r="N10" i="12"/>
  <c r="M10" i="12"/>
  <c r="M5" i="12" s="1"/>
  <c r="L10" i="12"/>
  <c r="K10" i="12"/>
  <c r="J10" i="12"/>
  <c r="J7" i="6" s="1"/>
  <c r="I10" i="12"/>
  <c r="I5" i="12" s="1"/>
  <c r="H10" i="12"/>
  <c r="H5" i="12" s="1"/>
  <c r="G10" i="12"/>
  <c r="F10" i="12"/>
  <c r="E10" i="12"/>
  <c r="D10" i="12"/>
  <c r="C10" i="12"/>
  <c r="B10" i="12"/>
  <c r="B5" i="12" s="1"/>
  <c r="AE7" i="12"/>
  <c r="Z7" i="12"/>
  <c r="Y7" i="12"/>
  <c r="V7" i="12"/>
  <c r="J7" i="12"/>
  <c r="I7" i="12"/>
  <c r="F7" i="12"/>
  <c r="AD6" i="12"/>
  <c r="Y6" i="12"/>
  <c r="T6" i="12"/>
  <c r="S6" i="12"/>
  <c r="N6" i="12"/>
  <c r="H6" i="12"/>
  <c r="H14" i="12" s="1"/>
  <c r="AE5" i="12"/>
  <c r="AD5" i="12"/>
  <c r="AC5" i="12"/>
  <c r="AB5" i="12"/>
  <c r="AB6" i="12" s="1"/>
  <c r="AA5" i="12"/>
  <c r="V5" i="12"/>
  <c r="V6" i="12" s="1"/>
  <c r="V14" i="12" s="1"/>
  <c r="U5" i="12"/>
  <c r="T5" i="12"/>
  <c r="S5" i="12"/>
  <c r="O5" i="12"/>
  <c r="N5" i="12"/>
  <c r="L5" i="12"/>
  <c r="K5" i="12"/>
  <c r="J5" i="12"/>
  <c r="G5" i="12"/>
  <c r="G6" i="12" s="1"/>
  <c r="G14" i="12" s="1"/>
  <c r="F5" i="12"/>
  <c r="E5" i="12"/>
  <c r="D5" i="12"/>
  <c r="C5" i="12"/>
  <c r="AE4" i="12"/>
  <c r="AD4" i="12"/>
  <c r="AC4" i="12"/>
  <c r="AC6" i="12" s="1"/>
  <c r="AB4" i="12"/>
  <c r="AA4" i="12"/>
  <c r="Z4" i="12"/>
  <c r="Y4" i="12"/>
  <c r="X4" i="12"/>
  <c r="W4" i="12"/>
  <c r="V4" i="12"/>
  <c r="U4" i="12"/>
  <c r="U7" i="12" s="1"/>
  <c r="T4" i="12"/>
  <c r="S4" i="12"/>
  <c r="R4" i="12"/>
  <c r="Q4" i="12"/>
  <c r="P4" i="12"/>
  <c r="O4" i="12"/>
  <c r="O6" i="12" s="1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AE3" i="12"/>
  <c r="AE6" i="12" s="1"/>
  <c r="Z3" i="12"/>
  <c r="Y3" i="12"/>
  <c r="X3" i="12"/>
  <c r="U3" i="12"/>
  <c r="U6" i="12" s="1"/>
  <c r="T3" i="12"/>
  <c r="S3" i="12"/>
  <c r="R3" i="12"/>
  <c r="Q3" i="12"/>
  <c r="P3" i="12"/>
  <c r="O3" i="12"/>
  <c r="N3" i="12"/>
  <c r="M3" i="12"/>
  <c r="M6" i="12" s="1"/>
  <c r="L3" i="12"/>
  <c r="L6" i="12" s="1"/>
  <c r="L14" i="12" s="1"/>
  <c r="K3" i="12"/>
  <c r="J3" i="12"/>
  <c r="I3" i="12"/>
  <c r="H3" i="12"/>
  <c r="G3" i="12"/>
  <c r="F3" i="12"/>
  <c r="F6" i="12" s="1"/>
  <c r="F14" i="12" s="1"/>
  <c r="E3" i="12"/>
  <c r="D3" i="12"/>
  <c r="C3" i="12"/>
  <c r="B3" i="12"/>
  <c r="AE2" i="12"/>
  <c r="AD2" i="12"/>
  <c r="AD7" i="12" s="1"/>
  <c r="AC2" i="12"/>
  <c r="AB2" i="12"/>
  <c r="AB7" i="12" s="1"/>
  <c r="AA2" i="12"/>
  <c r="Z2" i="12"/>
  <c r="Y2" i="12"/>
  <c r="X2" i="12"/>
  <c r="X7" i="12" s="1"/>
  <c r="W2" i="12"/>
  <c r="W7" i="12" s="1"/>
  <c r="V2" i="12"/>
  <c r="U2" i="12"/>
  <c r="T2" i="12"/>
  <c r="T7" i="12" s="1"/>
  <c r="S2" i="12"/>
  <c r="S7" i="12" s="1"/>
  <c r="R2" i="12"/>
  <c r="Q2" i="12"/>
  <c r="Q7" i="12" s="1"/>
  <c r="P2" i="12"/>
  <c r="O2" i="12"/>
  <c r="O7" i="12" s="1"/>
  <c r="N2" i="12"/>
  <c r="N7" i="12" s="1"/>
  <c r="M2" i="12"/>
  <c r="L2" i="12"/>
  <c r="L7" i="12" s="1"/>
  <c r="K2" i="12"/>
  <c r="J2" i="12"/>
  <c r="I2" i="12"/>
  <c r="I6" i="12" s="1"/>
  <c r="H2" i="12"/>
  <c r="H7" i="12" s="1"/>
  <c r="G2" i="12"/>
  <c r="G7" i="12" s="1"/>
  <c r="F2" i="12"/>
  <c r="E2" i="12"/>
  <c r="D2" i="12"/>
  <c r="D7" i="12" s="1"/>
  <c r="C2" i="12"/>
  <c r="C7" i="12" s="1"/>
  <c r="B2" i="12"/>
  <c r="AA13" i="11"/>
  <c r="W13" i="11"/>
  <c r="V13" i="11"/>
  <c r="U13" i="11"/>
  <c r="T13" i="11"/>
  <c r="S13" i="11"/>
  <c r="S14" i="11" s="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A10" i="11"/>
  <c r="AA6" i="11" s="1"/>
  <c r="Z10" i="11"/>
  <c r="Z6" i="11" s="1"/>
  <c r="Y10" i="11"/>
  <c r="Y6" i="11" s="1"/>
  <c r="X10" i="11"/>
  <c r="X6" i="11" s="1"/>
  <c r="W10" i="11"/>
  <c r="V10" i="11"/>
  <c r="U10" i="11"/>
  <c r="Y7" i="6" s="1"/>
  <c r="T10" i="11"/>
  <c r="T6" i="11" s="1"/>
  <c r="S10" i="11"/>
  <c r="R10" i="11"/>
  <c r="R6" i="11" s="1"/>
  <c r="Q10" i="11"/>
  <c r="P10" i="11"/>
  <c r="O10" i="11"/>
  <c r="O6" i="11" s="1"/>
  <c r="N10" i="11"/>
  <c r="M10" i="11"/>
  <c r="L10" i="11"/>
  <c r="K10" i="11"/>
  <c r="J10" i="11"/>
  <c r="J6" i="11" s="1"/>
  <c r="I10" i="11"/>
  <c r="I6" i="11" s="1"/>
  <c r="H10" i="11"/>
  <c r="H6" i="11" s="1"/>
  <c r="G10" i="11"/>
  <c r="F10" i="11"/>
  <c r="E10" i="11"/>
  <c r="I7" i="6" s="1"/>
  <c r="D10" i="11"/>
  <c r="D6" i="11" s="1"/>
  <c r="D7" i="11" s="1"/>
  <c r="D14" i="11" s="1"/>
  <c r="C10" i="11"/>
  <c r="B10" i="11"/>
  <c r="B6" i="11" s="1"/>
  <c r="B7" i="11" s="1"/>
  <c r="W8" i="11"/>
  <c r="V8" i="11"/>
  <c r="U8" i="11"/>
  <c r="S8" i="11"/>
  <c r="M8" i="11"/>
  <c r="G8" i="11"/>
  <c r="E8" i="11"/>
  <c r="D8" i="11"/>
  <c r="C8" i="11"/>
  <c r="S7" i="11"/>
  <c r="W6" i="11"/>
  <c r="W7" i="11" s="1"/>
  <c r="W14" i="11" s="1"/>
  <c r="V6" i="11"/>
  <c r="V7" i="11" s="1"/>
  <c r="V14" i="11" s="1"/>
  <c r="S6" i="11"/>
  <c r="Q6" i="11"/>
  <c r="P6" i="11"/>
  <c r="N6" i="11"/>
  <c r="K6" i="11"/>
  <c r="G6" i="11"/>
  <c r="F6" i="11"/>
  <c r="E6" i="11"/>
  <c r="C6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A4" i="11"/>
  <c r="Z4" i="11"/>
  <c r="Z7" i="11" s="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J8" i="11" s="1"/>
  <c r="I4" i="11"/>
  <c r="H4" i="11"/>
  <c r="G4" i="11"/>
  <c r="F4" i="11"/>
  <c r="F8" i="11" s="1"/>
  <c r="E4" i="11"/>
  <c r="D4" i="11"/>
  <c r="C4" i="11"/>
  <c r="B4" i="11"/>
  <c r="B8" i="11" s="1"/>
  <c r="AA3" i="11"/>
  <c r="V3" i="11"/>
  <c r="U3" i="11"/>
  <c r="T3" i="11"/>
  <c r="Q3" i="11"/>
  <c r="P3" i="11"/>
  <c r="O3" i="11"/>
  <c r="N3" i="11"/>
  <c r="N7" i="11" s="1"/>
  <c r="N14" i="11" s="1"/>
  <c r="M3" i="11"/>
  <c r="L3" i="11"/>
  <c r="K3" i="11"/>
  <c r="J3" i="11"/>
  <c r="I3" i="11"/>
  <c r="H3" i="11"/>
  <c r="G3" i="11"/>
  <c r="F3" i="11"/>
  <c r="E3" i="11"/>
  <c r="D3" i="11"/>
  <c r="C3" i="11"/>
  <c r="C7" i="11" s="1"/>
  <c r="B3" i="11"/>
  <c r="AC2" i="11"/>
  <c r="AA2" i="11"/>
  <c r="Z2" i="11"/>
  <c r="Y2" i="11"/>
  <c r="X2" i="11"/>
  <c r="W2" i="11"/>
  <c r="V2" i="11"/>
  <c r="U2" i="11"/>
  <c r="T2" i="11"/>
  <c r="T7" i="11" s="1"/>
  <c r="T14" i="11" s="1"/>
  <c r="S2" i="11"/>
  <c r="R2" i="11"/>
  <c r="Q2" i="11"/>
  <c r="Q7" i="11" s="1"/>
  <c r="Q14" i="11" s="1"/>
  <c r="P2" i="11"/>
  <c r="P8" i="11" s="1"/>
  <c r="O2" i="11"/>
  <c r="O8" i="11" s="1"/>
  <c r="N2" i="11"/>
  <c r="N8" i="11" s="1"/>
  <c r="M2" i="11"/>
  <c r="L2" i="11"/>
  <c r="L8" i="11" s="1"/>
  <c r="K2" i="11"/>
  <c r="K7" i="11" s="1"/>
  <c r="K14" i="11" s="1"/>
  <c r="J2" i="11"/>
  <c r="I2" i="11"/>
  <c r="H2" i="11"/>
  <c r="G2" i="11"/>
  <c r="G7" i="11" s="1"/>
  <c r="G14" i="11" s="1"/>
  <c r="F2" i="11"/>
  <c r="E2" i="11"/>
  <c r="D2" i="11"/>
  <c r="C2" i="11"/>
  <c r="B2" i="11"/>
  <c r="AA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A10" i="10"/>
  <c r="AA6" i="10" s="1"/>
  <c r="Z10" i="10"/>
  <c r="Z6" i="10" s="1"/>
  <c r="Y10" i="10"/>
  <c r="X10" i="10"/>
  <c r="X6" i="10" s="1"/>
  <c r="W10" i="10"/>
  <c r="V10" i="10"/>
  <c r="U10" i="10"/>
  <c r="U6" i="10" s="1"/>
  <c r="T10" i="10"/>
  <c r="T6" i="10" s="1"/>
  <c r="S10" i="10"/>
  <c r="S6" i="10" s="1"/>
  <c r="S7" i="10" s="1"/>
  <c r="S14" i="10" s="1"/>
  <c r="R10" i="10"/>
  <c r="Q10" i="10"/>
  <c r="Q6" i="10" s="1"/>
  <c r="P10" i="10"/>
  <c r="O10" i="10"/>
  <c r="N10" i="10"/>
  <c r="M10" i="10"/>
  <c r="L10" i="10"/>
  <c r="L6" i="10" s="1"/>
  <c r="K10" i="10"/>
  <c r="O7" i="6" s="1"/>
  <c r="J10" i="10"/>
  <c r="J6" i="10" s="1"/>
  <c r="I10" i="10"/>
  <c r="I6" i="10" s="1"/>
  <c r="H10" i="10"/>
  <c r="H6" i="10" s="1"/>
  <c r="G10" i="10"/>
  <c r="F10" i="10"/>
  <c r="E10" i="10"/>
  <c r="D10" i="10"/>
  <c r="D6" i="10" s="1"/>
  <c r="D7" i="10" s="1"/>
  <c r="D14" i="10" s="1"/>
  <c r="C10" i="10"/>
  <c r="C6" i="10" s="1"/>
  <c r="B10" i="10"/>
  <c r="AA8" i="10"/>
  <c r="W8" i="10"/>
  <c r="V8" i="10"/>
  <c r="U8" i="10"/>
  <c r="M8" i="10"/>
  <c r="L8" i="10"/>
  <c r="J8" i="10"/>
  <c r="G8" i="10"/>
  <c r="E8" i="10"/>
  <c r="D8" i="10"/>
  <c r="C8" i="10"/>
  <c r="B7" i="10"/>
  <c r="Y6" i="10"/>
  <c r="W6" i="10"/>
  <c r="V6" i="10"/>
  <c r="V7" i="10" s="1"/>
  <c r="V14" i="10" s="1"/>
  <c r="R6" i="10"/>
  <c r="P6" i="10"/>
  <c r="O6" i="10"/>
  <c r="N6" i="10"/>
  <c r="M6" i="10"/>
  <c r="G6" i="10"/>
  <c r="F6" i="10"/>
  <c r="E6" i="10"/>
  <c r="B6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A4" i="10"/>
  <c r="Z4" i="10"/>
  <c r="Z7" i="10" s="1"/>
  <c r="Y4" i="10"/>
  <c r="X4" i="10"/>
  <c r="W4" i="10"/>
  <c r="V4" i="10"/>
  <c r="U4" i="10"/>
  <c r="T4" i="10"/>
  <c r="S4" i="10"/>
  <c r="R4" i="10"/>
  <c r="R8" i="10" s="1"/>
  <c r="Q4" i="10"/>
  <c r="P4" i="10"/>
  <c r="O4" i="10"/>
  <c r="N4" i="10"/>
  <c r="M4" i="10"/>
  <c r="L4" i="10"/>
  <c r="K4" i="10"/>
  <c r="J4" i="10"/>
  <c r="I4" i="10"/>
  <c r="H4" i="10"/>
  <c r="G4" i="10"/>
  <c r="F4" i="10"/>
  <c r="F8" i="10" s="1"/>
  <c r="E4" i="10"/>
  <c r="D4" i="10"/>
  <c r="C4" i="10"/>
  <c r="B4" i="10"/>
  <c r="AA3" i="10"/>
  <c r="V3" i="10"/>
  <c r="U3" i="10"/>
  <c r="U7" i="10" s="1"/>
  <c r="U14" i="10" s="1"/>
  <c r="T3" i="10"/>
  <c r="Q3" i="10"/>
  <c r="P3" i="10"/>
  <c r="O3" i="10"/>
  <c r="N3" i="10"/>
  <c r="M3" i="10"/>
  <c r="M7" i="10" s="1"/>
  <c r="M14" i="10" s="1"/>
  <c r="L3" i="10"/>
  <c r="L7" i="10" s="1"/>
  <c r="L14" i="10" s="1"/>
  <c r="K3" i="10"/>
  <c r="J3" i="10"/>
  <c r="I3" i="10"/>
  <c r="H3" i="10"/>
  <c r="G3" i="10"/>
  <c r="F3" i="10"/>
  <c r="E3" i="10"/>
  <c r="D3" i="10"/>
  <c r="C3" i="10"/>
  <c r="B3" i="10"/>
  <c r="AC2" i="10"/>
  <c r="AA2" i="10"/>
  <c r="Z2" i="10"/>
  <c r="Z8" i="10" s="1"/>
  <c r="Y2" i="10"/>
  <c r="X2" i="10"/>
  <c r="W2" i="10"/>
  <c r="W7" i="10" s="1"/>
  <c r="W14" i="10" s="1"/>
  <c r="V2" i="10"/>
  <c r="U2" i="10"/>
  <c r="T2" i="10"/>
  <c r="T7" i="10" s="1"/>
  <c r="T14" i="10" s="1"/>
  <c r="S2" i="10"/>
  <c r="S8" i="10" s="1"/>
  <c r="R2" i="10"/>
  <c r="R7" i="10" s="1"/>
  <c r="Q2" i="10"/>
  <c r="Q8" i="10" s="1"/>
  <c r="P2" i="10"/>
  <c r="P7" i="10" s="1"/>
  <c r="P14" i="10" s="1"/>
  <c r="O2" i="10"/>
  <c r="N2" i="10"/>
  <c r="N8" i="10" s="1"/>
  <c r="M2" i="10"/>
  <c r="L2" i="10"/>
  <c r="K2" i="10"/>
  <c r="J2" i="10"/>
  <c r="J7" i="10" s="1"/>
  <c r="J14" i="10" s="1"/>
  <c r="I2" i="10"/>
  <c r="H2" i="10"/>
  <c r="G2" i="10"/>
  <c r="G7" i="10" s="1"/>
  <c r="G14" i="10" s="1"/>
  <c r="F2" i="10"/>
  <c r="F7" i="10" s="1"/>
  <c r="F14" i="10" s="1"/>
  <c r="E2" i="10"/>
  <c r="D2" i="10"/>
  <c r="C2" i="10"/>
  <c r="B2" i="10"/>
  <c r="B8" i="10" s="1"/>
  <c r="U14" i="9"/>
  <c r="E14" i="9"/>
  <c r="AE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E10" i="9"/>
  <c r="AD10" i="9"/>
  <c r="AD6" i="9" s="1"/>
  <c r="AC10" i="9"/>
  <c r="AC6" i="9" s="1"/>
  <c r="AB10" i="9"/>
  <c r="AB6" i="9" s="1"/>
  <c r="AA10" i="9"/>
  <c r="Z10" i="9"/>
  <c r="Z6" i="9" s="1"/>
  <c r="Y10" i="9"/>
  <c r="Y6" i="9" s="1"/>
  <c r="X10" i="9"/>
  <c r="W10" i="9"/>
  <c r="V10" i="9"/>
  <c r="V6" i="9" s="1"/>
  <c r="U10" i="9"/>
  <c r="U6" i="9" s="1"/>
  <c r="T10" i="9"/>
  <c r="S10" i="9"/>
  <c r="S6" i="9" s="1"/>
  <c r="R10" i="9"/>
  <c r="Q10" i="9"/>
  <c r="P10" i="9"/>
  <c r="O10" i="9"/>
  <c r="N10" i="9"/>
  <c r="N6" i="9" s="1"/>
  <c r="M10" i="9"/>
  <c r="M6" i="9" s="1"/>
  <c r="L10" i="9"/>
  <c r="L6" i="9" s="1"/>
  <c r="K10" i="9"/>
  <c r="J10" i="9"/>
  <c r="J6" i="9" s="1"/>
  <c r="I10" i="9"/>
  <c r="I6" i="9" s="1"/>
  <c r="H10" i="9"/>
  <c r="G10" i="9"/>
  <c r="F10" i="9"/>
  <c r="F6" i="9" s="1"/>
  <c r="E10" i="9"/>
  <c r="E6" i="9" s="1"/>
  <c r="D10" i="9"/>
  <c r="C10" i="9"/>
  <c r="C6" i="9" s="1"/>
  <c r="B10" i="9"/>
  <c r="AD8" i="9"/>
  <c r="AB8" i="9"/>
  <c r="AA8" i="9"/>
  <c r="Z8" i="9"/>
  <c r="W8" i="9"/>
  <c r="T8" i="9"/>
  <c r="Q8" i="9"/>
  <c r="N8" i="9"/>
  <c r="L8" i="9"/>
  <c r="K8" i="9"/>
  <c r="J8" i="9"/>
  <c r="G8" i="9"/>
  <c r="D8" i="9"/>
  <c r="R7" i="9"/>
  <c r="R14" i="9" s="1"/>
  <c r="O7" i="9"/>
  <c r="O14" i="9" s="1"/>
  <c r="J7" i="9"/>
  <c r="J14" i="9" s="1"/>
  <c r="I7" i="9"/>
  <c r="I14" i="9" s="1"/>
  <c r="B7" i="9"/>
  <c r="B14" i="9" s="1"/>
  <c r="AE6" i="9"/>
  <c r="AA6" i="9"/>
  <c r="X6" i="9"/>
  <c r="W6" i="9"/>
  <c r="T6" i="9"/>
  <c r="R6" i="9"/>
  <c r="Q6" i="9"/>
  <c r="P6" i="9"/>
  <c r="O6" i="9"/>
  <c r="K6" i="9"/>
  <c r="H6" i="9"/>
  <c r="G6" i="9"/>
  <c r="D6" i="9"/>
  <c r="B6" i="9"/>
  <c r="AE5" i="9"/>
  <c r="AD5" i="9"/>
  <c r="AC5" i="9"/>
  <c r="AB5" i="9"/>
  <c r="AA5" i="9"/>
  <c r="Z5" i="9"/>
  <c r="Y5" i="9"/>
  <c r="X5" i="9"/>
  <c r="W5" i="9"/>
  <c r="V5" i="9"/>
  <c r="U5" i="9"/>
  <c r="U7" i="9" s="1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E7" i="9" s="1"/>
  <c r="D5" i="9"/>
  <c r="C5" i="9"/>
  <c r="B5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S8" i="9" s="1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C8" i="9" s="1"/>
  <c r="B4" i="9"/>
  <c r="AE3" i="9"/>
  <c r="AD3" i="9"/>
  <c r="AC3" i="9"/>
  <c r="AB3" i="9"/>
  <c r="AA3" i="9"/>
  <c r="Z3" i="9"/>
  <c r="Z7" i="9" s="1"/>
  <c r="Z14" i="9" s="1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G2" i="9"/>
  <c r="AE2" i="9" s="1"/>
  <c r="AE8" i="9" s="1"/>
  <c r="AD2" i="9"/>
  <c r="AC2" i="9"/>
  <c r="AB2" i="9"/>
  <c r="AB7" i="9" s="1"/>
  <c r="AA2" i="9"/>
  <c r="Z2" i="9"/>
  <c r="Y2" i="9"/>
  <c r="X2" i="9"/>
  <c r="W2" i="9"/>
  <c r="V2" i="9"/>
  <c r="U2" i="9"/>
  <c r="U8" i="9" s="1"/>
  <c r="T2" i="9"/>
  <c r="S2" i="9"/>
  <c r="R2" i="9"/>
  <c r="R8" i="9" s="1"/>
  <c r="Q2" i="9"/>
  <c r="P2" i="9"/>
  <c r="O2" i="9"/>
  <c r="O8" i="9" s="1"/>
  <c r="N2" i="9"/>
  <c r="M2" i="9"/>
  <c r="L2" i="9"/>
  <c r="L7" i="9" s="1"/>
  <c r="L14" i="9" s="1"/>
  <c r="K2" i="9"/>
  <c r="J2" i="9"/>
  <c r="I2" i="9"/>
  <c r="H2" i="9"/>
  <c r="G2" i="9"/>
  <c r="F2" i="9"/>
  <c r="E2" i="9"/>
  <c r="E8" i="9" s="1"/>
  <c r="D2" i="9"/>
  <c r="C2" i="9"/>
  <c r="B2" i="9"/>
  <c r="B8" i="9" s="1"/>
  <c r="AE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E10" i="8"/>
  <c r="AD10" i="8"/>
  <c r="AD6" i="8" s="1"/>
  <c r="AC10" i="8"/>
  <c r="AC6" i="8" s="1"/>
  <c r="AB10" i="8"/>
  <c r="AA10" i="8"/>
  <c r="AA6" i="8" s="1"/>
  <c r="Z10" i="8"/>
  <c r="Y10" i="8"/>
  <c r="Y6" i="8" s="1"/>
  <c r="X10" i="8"/>
  <c r="W10" i="8"/>
  <c r="V10" i="8"/>
  <c r="V6" i="8" s="1"/>
  <c r="U10" i="8"/>
  <c r="T10" i="8"/>
  <c r="T6" i="8" s="1"/>
  <c r="S10" i="8"/>
  <c r="S6" i="8" s="1"/>
  <c r="R10" i="8"/>
  <c r="R6" i="8" s="1"/>
  <c r="R7" i="8" s="1"/>
  <c r="R14" i="8" s="1"/>
  <c r="Q10" i="8"/>
  <c r="Q6" i="8" s="1"/>
  <c r="P10" i="8"/>
  <c r="O10" i="8"/>
  <c r="N10" i="8"/>
  <c r="N6" i="8" s="1"/>
  <c r="M10" i="8"/>
  <c r="M6" i="8" s="1"/>
  <c r="L10" i="8"/>
  <c r="K10" i="8"/>
  <c r="K6" i="8" s="1"/>
  <c r="J10" i="8"/>
  <c r="I10" i="8"/>
  <c r="I6" i="8" s="1"/>
  <c r="H10" i="8"/>
  <c r="G10" i="8"/>
  <c r="F10" i="8"/>
  <c r="F6" i="8" s="1"/>
  <c r="E10" i="8"/>
  <c r="D10" i="8"/>
  <c r="D6" i="8" s="1"/>
  <c r="C10" i="8"/>
  <c r="C6" i="8" s="1"/>
  <c r="B10" i="8"/>
  <c r="B6" i="8" s="1"/>
  <c r="Y8" i="8"/>
  <c r="T8" i="8"/>
  <c r="S8" i="8"/>
  <c r="R8" i="8"/>
  <c r="O8" i="8"/>
  <c r="I8" i="8"/>
  <c r="C8" i="8"/>
  <c r="B8" i="8"/>
  <c r="W7" i="8"/>
  <c r="W14" i="8" s="1"/>
  <c r="G7" i="8"/>
  <c r="G14" i="8" s="1"/>
  <c r="B7" i="8"/>
  <c r="B14" i="8" s="1"/>
  <c r="AE6" i="8"/>
  <c r="AB6" i="8"/>
  <c r="Z6" i="8"/>
  <c r="X6" i="8"/>
  <c r="W6" i="8"/>
  <c r="U6" i="8"/>
  <c r="P6" i="8"/>
  <c r="O6" i="8"/>
  <c r="L6" i="8"/>
  <c r="J6" i="8"/>
  <c r="H6" i="8"/>
  <c r="G6" i="8"/>
  <c r="E6" i="8"/>
  <c r="AE5" i="8"/>
  <c r="AD5" i="8"/>
  <c r="AC5" i="8"/>
  <c r="AC7" i="8" s="1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M7" i="8" s="1"/>
  <c r="M14" i="8" s="1"/>
  <c r="L5" i="8"/>
  <c r="K5" i="8"/>
  <c r="J5" i="8"/>
  <c r="I5" i="8"/>
  <c r="H5" i="8"/>
  <c r="G5" i="8"/>
  <c r="F5" i="8"/>
  <c r="E5" i="8"/>
  <c r="D5" i="8"/>
  <c r="C5" i="8"/>
  <c r="B5" i="8"/>
  <c r="AE4" i="8"/>
  <c r="AD4" i="8"/>
  <c r="AC4" i="8"/>
  <c r="AB4" i="8"/>
  <c r="AB8" i="8" s="1"/>
  <c r="AA4" i="8"/>
  <c r="AA8" i="8" s="1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L8" i="8" s="1"/>
  <c r="K4" i="8"/>
  <c r="K8" i="8" s="1"/>
  <c r="J4" i="8"/>
  <c r="I4" i="8"/>
  <c r="H4" i="8"/>
  <c r="G4" i="8"/>
  <c r="F4" i="8"/>
  <c r="E4" i="8"/>
  <c r="D4" i="8"/>
  <c r="D8" i="8" s="1"/>
  <c r="C4" i="8"/>
  <c r="B4" i="8"/>
  <c r="AE3" i="8"/>
  <c r="AD3" i="8"/>
  <c r="AC3" i="8"/>
  <c r="AB3" i="8"/>
  <c r="AA3" i="8"/>
  <c r="Z3" i="8"/>
  <c r="Z7" i="8" s="1"/>
  <c r="Z14" i="8" s="1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J7" i="8" s="1"/>
  <c r="J14" i="8" s="1"/>
  <c r="I3" i="8"/>
  <c r="H3" i="8"/>
  <c r="G3" i="8"/>
  <c r="F3" i="8"/>
  <c r="E3" i="8"/>
  <c r="D3" i="8"/>
  <c r="C3" i="8"/>
  <c r="B3" i="8"/>
  <c r="AG2" i="8"/>
  <c r="AE2" i="8" s="1"/>
  <c r="AD2" i="8"/>
  <c r="AC2" i="8"/>
  <c r="AC8" i="8" s="1"/>
  <c r="AB2" i="8"/>
  <c r="AA2" i="8"/>
  <c r="Z2" i="8"/>
  <c r="Z8" i="8" s="1"/>
  <c r="Y2" i="8"/>
  <c r="X2" i="8"/>
  <c r="W2" i="8"/>
  <c r="W8" i="8" s="1"/>
  <c r="W4" i="6" s="1"/>
  <c r="V2" i="8"/>
  <c r="V7" i="8" s="1"/>
  <c r="V14" i="8" s="1"/>
  <c r="U2" i="8"/>
  <c r="T2" i="8"/>
  <c r="T7" i="8" s="1"/>
  <c r="T14" i="8" s="1"/>
  <c r="S2" i="8"/>
  <c r="R2" i="8"/>
  <c r="Q2" i="8"/>
  <c r="Q8" i="8" s="1"/>
  <c r="P2" i="8"/>
  <c r="P7" i="8" s="1"/>
  <c r="O2" i="8"/>
  <c r="O7" i="8" s="1"/>
  <c r="O14" i="8" s="1"/>
  <c r="N2" i="8"/>
  <c r="M2" i="8"/>
  <c r="M8" i="8" s="1"/>
  <c r="L2" i="8"/>
  <c r="K2" i="8"/>
  <c r="J2" i="8"/>
  <c r="J8" i="8" s="1"/>
  <c r="I2" i="8"/>
  <c r="H2" i="8"/>
  <c r="G2" i="8"/>
  <c r="G8" i="8" s="1"/>
  <c r="G4" i="6" s="1"/>
  <c r="F2" i="8"/>
  <c r="F7" i="8" s="1"/>
  <c r="F14" i="8" s="1"/>
  <c r="E2" i="8"/>
  <c r="E7" i="8" s="1"/>
  <c r="E14" i="8" s="1"/>
  <c r="D2" i="8"/>
  <c r="D7" i="8" s="1"/>
  <c r="D14" i="8" s="1"/>
  <c r="C2" i="8"/>
  <c r="B2" i="8"/>
  <c r="E14" i="7"/>
  <c r="AE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E10" i="7"/>
  <c r="AD10" i="7"/>
  <c r="AD6" i="7" s="1"/>
  <c r="AC10" i="7"/>
  <c r="AC6" i="7" s="1"/>
  <c r="AB10" i="7"/>
  <c r="AB6" i="7" s="1"/>
  <c r="AA10" i="7"/>
  <c r="Z10" i="7"/>
  <c r="Z6" i="7" s="1"/>
  <c r="Y10" i="7"/>
  <c r="Y6" i="7" s="1"/>
  <c r="X10" i="7"/>
  <c r="W10" i="7"/>
  <c r="V10" i="7"/>
  <c r="V6" i="7" s="1"/>
  <c r="U10" i="7"/>
  <c r="U6" i="7" s="1"/>
  <c r="T10" i="7"/>
  <c r="S10" i="7"/>
  <c r="S6" i="7" s="1"/>
  <c r="R10" i="7"/>
  <c r="Q10" i="7"/>
  <c r="P10" i="7"/>
  <c r="O10" i="7"/>
  <c r="N10" i="7"/>
  <c r="M10" i="7"/>
  <c r="M7" i="6" s="1"/>
  <c r="L10" i="7"/>
  <c r="L6" i="7" s="1"/>
  <c r="K10" i="7"/>
  <c r="J10" i="7"/>
  <c r="J6" i="7" s="1"/>
  <c r="I10" i="7"/>
  <c r="I6" i="7" s="1"/>
  <c r="H10" i="7"/>
  <c r="G10" i="7"/>
  <c r="F10" i="7"/>
  <c r="F6" i="7" s="1"/>
  <c r="E10" i="7"/>
  <c r="E6" i="7" s="1"/>
  <c r="D10" i="7"/>
  <c r="C10" i="7"/>
  <c r="C6" i="7" s="1"/>
  <c r="B10" i="7"/>
  <c r="AA8" i="7"/>
  <c r="W8" i="7"/>
  <c r="Q8" i="7"/>
  <c r="L8" i="7"/>
  <c r="K8" i="7"/>
  <c r="G8" i="7"/>
  <c r="Z7" i="7"/>
  <c r="Z14" i="7" s="1"/>
  <c r="O7" i="7"/>
  <c r="AE6" i="7"/>
  <c r="AA6" i="7"/>
  <c r="X6" i="7"/>
  <c r="W6" i="7"/>
  <c r="T6" i="7"/>
  <c r="R6" i="7"/>
  <c r="Q6" i="7"/>
  <c r="P6" i="7"/>
  <c r="O6" i="7"/>
  <c r="M6" i="7"/>
  <c r="K6" i="7"/>
  <c r="H6" i="7"/>
  <c r="G6" i="7"/>
  <c r="D6" i="7"/>
  <c r="B6" i="7"/>
  <c r="AE5" i="7"/>
  <c r="AD5" i="7"/>
  <c r="AC5" i="7"/>
  <c r="AB5" i="7"/>
  <c r="AA5" i="7"/>
  <c r="Z5" i="7"/>
  <c r="Y5" i="7"/>
  <c r="X5" i="7"/>
  <c r="W5" i="7"/>
  <c r="V5" i="7"/>
  <c r="U5" i="7"/>
  <c r="U7" i="7" s="1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E7" i="7" s="1"/>
  <c r="D5" i="7"/>
  <c r="C5" i="7"/>
  <c r="B5" i="7"/>
  <c r="AE4" i="7"/>
  <c r="AD4" i="7"/>
  <c r="AC4" i="7"/>
  <c r="AB4" i="7"/>
  <c r="AB8" i="7" s="1"/>
  <c r="AA4" i="7"/>
  <c r="Z4" i="7"/>
  <c r="Y4" i="7"/>
  <c r="Y7" i="7" s="1"/>
  <c r="X4" i="7"/>
  <c r="W4" i="7"/>
  <c r="V4" i="7"/>
  <c r="U4" i="7"/>
  <c r="T4" i="7"/>
  <c r="T8" i="7" s="1"/>
  <c r="S4" i="7"/>
  <c r="S8" i="7" s="1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D8" i="7" s="1"/>
  <c r="C4" i="7"/>
  <c r="C8" i="7" s="1"/>
  <c r="C4" i="6" s="1"/>
  <c r="B4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R7" i="7" s="1"/>
  <c r="Q3" i="7"/>
  <c r="P3" i="7"/>
  <c r="O3" i="7"/>
  <c r="N3" i="7"/>
  <c r="M3" i="7"/>
  <c r="L3" i="7"/>
  <c r="K3" i="7"/>
  <c r="J3" i="7"/>
  <c r="J7" i="7" s="1"/>
  <c r="I3" i="7"/>
  <c r="H3" i="7"/>
  <c r="G3" i="7"/>
  <c r="F3" i="7"/>
  <c r="E3" i="7"/>
  <c r="D3" i="7"/>
  <c r="C3" i="7"/>
  <c r="B3" i="7"/>
  <c r="B7" i="7" s="1"/>
  <c r="AG2" i="7"/>
  <c r="AE2" i="7" s="1"/>
  <c r="AE8" i="7" s="1"/>
  <c r="AD2" i="7"/>
  <c r="AC2" i="7"/>
  <c r="AB2" i="7"/>
  <c r="AA2" i="7"/>
  <c r="Z2" i="7"/>
  <c r="Z8" i="7" s="1"/>
  <c r="Y2" i="7"/>
  <c r="X2" i="7"/>
  <c r="W2" i="7"/>
  <c r="V2" i="7"/>
  <c r="U2" i="7"/>
  <c r="U8" i="7" s="1"/>
  <c r="T2" i="7"/>
  <c r="S2" i="7"/>
  <c r="R2" i="7"/>
  <c r="R8" i="7" s="1"/>
  <c r="Q2" i="7"/>
  <c r="P2" i="7"/>
  <c r="O2" i="7"/>
  <c r="O8" i="7" s="1"/>
  <c r="N2" i="7"/>
  <c r="M2" i="7"/>
  <c r="L2" i="7"/>
  <c r="K2" i="7"/>
  <c r="J2" i="7"/>
  <c r="J8" i="7" s="1"/>
  <c r="I2" i="7"/>
  <c r="I7" i="7" s="1"/>
  <c r="H2" i="7"/>
  <c r="H7" i="7" s="1"/>
  <c r="G2" i="7"/>
  <c r="F2" i="7"/>
  <c r="E2" i="7"/>
  <c r="E8" i="7" s="1"/>
  <c r="D2" i="7"/>
  <c r="C2" i="7"/>
  <c r="B2" i="7"/>
  <c r="B8" i="7" s="1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X7" i="6"/>
  <c r="W7" i="6"/>
  <c r="U7" i="6"/>
  <c r="T7" i="6"/>
  <c r="S7" i="6"/>
  <c r="L7" i="6"/>
  <c r="H7" i="6"/>
  <c r="G7" i="6"/>
  <c r="E7" i="6"/>
  <c r="D7" i="6"/>
  <c r="C7" i="6"/>
  <c r="B7" i="6"/>
  <c r="W2" i="6"/>
  <c r="V2" i="6"/>
  <c r="U2" i="6"/>
  <c r="S2" i="6"/>
  <c r="O2" i="6"/>
  <c r="K2" i="6"/>
  <c r="J2" i="6"/>
  <c r="G2" i="6"/>
  <c r="E2" i="6"/>
  <c r="C2" i="6"/>
  <c r="B2" i="6"/>
  <c r="M8" i="4"/>
  <c r="N8" i="4" s="1"/>
  <c r="X2" i="14" s="1"/>
  <c r="V2" i="14" s="1"/>
  <c r="V7" i="14" s="1"/>
  <c r="V14" i="14" s="1"/>
  <c r="I14" i="7" l="1"/>
  <c r="R14" i="7"/>
  <c r="K4" i="6"/>
  <c r="J14" i="7"/>
  <c r="B3" i="6"/>
  <c r="B14" i="7"/>
  <c r="D4" i="6"/>
  <c r="Y14" i="7"/>
  <c r="V8" i="9"/>
  <c r="V7" i="9"/>
  <c r="V14" i="9" s="1"/>
  <c r="Q7" i="7"/>
  <c r="Q2" i="6"/>
  <c r="AE7" i="7"/>
  <c r="AE14" i="7" s="1"/>
  <c r="G7" i="9"/>
  <c r="G14" i="9" s="1"/>
  <c r="W7" i="9"/>
  <c r="W14" i="9" s="1"/>
  <c r="K7" i="9"/>
  <c r="K14" i="9" s="1"/>
  <c r="AA7" i="9"/>
  <c r="AA14" i="9" s="1"/>
  <c r="L2" i="6"/>
  <c r="H8" i="10"/>
  <c r="L4" i="6" s="1"/>
  <c r="H7" i="10"/>
  <c r="H14" i="10" s="1"/>
  <c r="X7" i="10"/>
  <c r="X8" i="10"/>
  <c r="S14" i="12"/>
  <c r="AD6" i="13"/>
  <c r="AD15" i="13" s="1"/>
  <c r="AT6" i="13"/>
  <c r="AT15" i="13" s="1"/>
  <c r="S15" i="22"/>
  <c r="S8" i="22"/>
  <c r="P7" i="7"/>
  <c r="P8" i="7"/>
  <c r="P2" i="6"/>
  <c r="R2" i="6"/>
  <c r="V7" i="6"/>
  <c r="H7" i="9"/>
  <c r="H14" i="9" s="1"/>
  <c r="X7" i="9"/>
  <c r="X14" i="9" s="1"/>
  <c r="M2" i="6"/>
  <c r="I8" i="10"/>
  <c r="I7" i="10"/>
  <c r="I14" i="10" s="1"/>
  <c r="Y8" i="10"/>
  <c r="Y7" i="10"/>
  <c r="K6" i="10"/>
  <c r="J7" i="11"/>
  <c r="J14" i="11" s="1"/>
  <c r="T14" i="12"/>
  <c r="F8" i="9"/>
  <c r="F7" i="9"/>
  <c r="F14" i="9" s="1"/>
  <c r="B14" i="12"/>
  <c r="C7" i="7"/>
  <c r="S7" i="7"/>
  <c r="U7" i="8"/>
  <c r="U14" i="8" s="1"/>
  <c r="I8" i="9"/>
  <c r="Y8" i="9"/>
  <c r="O7" i="10"/>
  <c r="O14" i="10" s="1"/>
  <c r="L6" i="11"/>
  <c r="P7" i="6"/>
  <c r="Q15" i="22"/>
  <c r="Q8" i="22"/>
  <c r="D7" i="7"/>
  <c r="T7" i="7"/>
  <c r="L7" i="11"/>
  <c r="L14" i="11" s="1"/>
  <c r="M6" i="11"/>
  <c r="M7" i="11" s="1"/>
  <c r="M14" i="11" s="1"/>
  <c r="Q7" i="6"/>
  <c r="H7" i="11"/>
  <c r="H14" i="11" s="1"/>
  <c r="H8" i="11"/>
  <c r="Q4" i="6"/>
  <c r="I7" i="8"/>
  <c r="I14" i="8" s="1"/>
  <c r="X7" i="11"/>
  <c r="X8" i="11"/>
  <c r="X7" i="8"/>
  <c r="X14" i="8" s="1"/>
  <c r="X8" i="8"/>
  <c r="X2" i="6"/>
  <c r="W7" i="7"/>
  <c r="N6" i="7"/>
  <c r="N7" i="6"/>
  <c r="AA6" i="12"/>
  <c r="AA14" i="12" s="1"/>
  <c r="AA7" i="12"/>
  <c r="H14" i="7"/>
  <c r="X7" i="7"/>
  <c r="Q7" i="8"/>
  <c r="Q14" i="8" s="1"/>
  <c r="N7" i="9"/>
  <c r="N14" i="9" s="1"/>
  <c r="AD7" i="9"/>
  <c r="O8" i="10"/>
  <c r="S4" i="6" s="1"/>
  <c r="U8" i="13"/>
  <c r="U15" i="13"/>
  <c r="U17" i="13" s="1"/>
  <c r="Q16" i="17"/>
  <c r="O16" i="17"/>
  <c r="I16" i="17"/>
  <c r="H16" i="17"/>
  <c r="G16" i="17"/>
  <c r="F16" i="17"/>
  <c r="E16" i="17"/>
  <c r="D16" i="17"/>
  <c r="R16" i="17"/>
  <c r="B16" i="17"/>
  <c r="J16" i="17"/>
  <c r="C16" i="17"/>
  <c r="B14" i="11"/>
  <c r="I8" i="11"/>
  <c r="I7" i="11"/>
  <c r="I14" i="11" s="1"/>
  <c r="G16" i="14"/>
  <c r="F16" i="14"/>
  <c r="E16" i="14"/>
  <c r="M16" i="14"/>
  <c r="L16" i="14"/>
  <c r="K16" i="14"/>
  <c r="J16" i="14"/>
  <c r="H16" i="14"/>
  <c r="D16" i="14"/>
  <c r="C16" i="14"/>
  <c r="B16" i="14"/>
  <c r="R16" i="14"/>
  <c r="P16" i="14"/>
  <c r="G7" i="7"/>
  <c r="M7" i="9"/>
  <c r="M14" i="9" s="1"/>
  <c r="E7" i="10"/>
  <c r="E14" i="10" s="1"/>
  <c r="Z8" i="11"/>
  <c r="I14" i="12"/>
  <c r="K7" i="8"/>
  <c r="K14" i="8" s="1"/>
  <c r="AA7" i="8"/>
  <c r="AA14" i="8" s="1"/>
  <c r="Y7" i="9"/>
  <c r="Y14" i="9" s="1"/>
  <c r="J4" i="6"/>
  <c r="L7" i="8"/>
  <c r="L14" i="8" s="1"/>
  <c r="AB7" i="8"/>
  <c r="P7" i="9"/>
  <c r="P14" i="9" s="1"/>
  <c r="P8" i="9"/>
  <c r="AE14" i="12"/>
  <c r="C16" i="18"/>
  <c r="E10" i="6"/>
  <c r="F8" i="7"/>
  <c r="F7" i="7"/>
  <c r="Y7" i="11"/>
  <c r="Y8" i="11"/>
  <c r="F7" i="6"/>
  <c r="U14" i="7"/>
  <c r="K7" i="7"/>
  <c r="AA7" i="7"/>
  <c r="AA14" i="7" s="1"/>
  <c r="Q7" i="9"/>
  <c r="Q14" i="9" s="1"/>
  <c r="AE7" i="9"/>
  <c r="AE14" i="9" s="1"/>
  <c r="R14" i="10"/>
  <c r="B14" i="10"/>
  <c r="C14" i="11"/>
  <c r="V8" i="7"/>
  <c r="V7" i="7"/>
  <c r="Y7" i="8"/>
  <c r="Y14" i="8" s="1"/>
  <c r="AC7" i="9"/>
  <c r="Y2" i="6"/>
  <c r="Y8" i="7"/>
  <c r="Y4" i="6" s="1"/>
  <c r="F2" i="6"/>
  <c r="K7" i="6"/>
  <c r="L7" i="7"/>
  <c r="AB7" i="7"/>
  <c r="N8" i="8"/>
  <c r="N7" i="8"/>
  <c r="N14" i="8" s="1"/>
  <c r="N2" i="6"/>
  <c r="AD8" i="8"/>
  <c r="AD7" i="8"/>
  <c r="C7" i="10"/>
  <c r="C14" i="10" s="1"/>
  <c r="AA7" i="11"/>
  <c r="AA14" i="11" s="1"/>
  <c r="O14" i="12"/>
  <c r="P16" i="20"/>
  <c r="O16" i="20"/>
  <c r="N16" i="20"/>
  <c r="J16" i="20"/>
  <c r="H16" i="20"/>
  <c r="W16" i="20"/>
  <c r="V16" i="20"/>
  <c r="F16" i="20"/>
  <c r="U16" i="20"/>
  <c r="E16" i="20"/>
  <c r="T16" i="20"/>
  <c r="D16" i="20"/>
  <c r="S16" i="20"/>
  <c r="C16" i="20"/>
  <c r="Q16" i="20"/>
  <c r="I16" i="20"/>
  <c r="B16" i="20"/>
  <c r="R16" i="20"/>
  <c r="L16" i="20"/>
  <c r="H7" i="8"/>
  <c r="H14" i="8" s="1"/>
  <c r="H8" i="8"/>
  <c r="O7" i="11"/>
  <c r="O14" i="11" s="1"/>
  <c r="K6" i="12"/>
  <c r="K7" i="12"/>
  <c r="E6" i="12"/>
  <c r="E3" i="6" s="1"/>
  <c r="E7" i="12"/>
  <c r="I2" i="6"/>
  <c r="I8" i="7"/>
  <c r="I4" i="6" s="1"/>
  <c r="M7" i="7"/>
  <c r="AC7" i="7"/>
  <c r="O14" i="7"/>
  <c r="AE7" i="8"/>
  <c r="AE14" i="8" s="1"/>
  <c r="AE8" i="8"/>
  <c r="C7" i="8"/>
  <c r="C14" i="8" s="1"/>
  <c r="S7" i="8"/>
  <c r="S14" i="8" s="1"/>
  <c r="C7" i="9"/>
  <c r="C14" i="9" s="1"/>
  <c r="S7" i="9"/>
  <c r="S14" i="9" s="1"/>
  <c r="N7" i="10"/>
  <c r="N14" i="10" s="1"/>
  <c r="H2" i="6"/>
  <c r="R7" i="6"/>
  <c r="N7" i="7"/>
  <c r="AD7" i="7"/>
  <c r="P14" i="8"/>
  <c r="D7" i="9"/>
  <c r="D14" i="9" s="1"/>
  <c r="T7" i="9"/>
  <c r="T14" i="9" s="1"/>
  <c r="F7" i="11"/>
  <c r="F14" i="11" s="1"/>
  <c r="R7" i="11"/>
  <c r="R14" i="11" s="1"/>
  <c r="P8" i="10"/>
  <c r="T4" i="6" s="1"/>
  <c r="Q8" i="11"/>
  <c r="AW6" i="13"/>
  <c r="AW15" i="13" s="1"/>
  <c r="AQ6" i="13"/>
  <c r="AQ15" i="13" s="1"/>
  <c r="AQ17" i="13" s="1"/>
  <c r="H17" i="13"/>
  <c r="AN17" i="13"/>
  <c r="W17" i="13"/>
  <c r="G17" i="13"/>
  <c r="AM17" i="13"/>
  <c r="V17" i="13"/>
  <c r="F17" i="13"/>
  <c r="AW17" i="13"/>
  <c r="AG17" i="13"/>
  <c r="AU17" i="13"/>
  <c r="AD17" i="13"/>
  <c r="N17" i="13"/>
  <c r="AS17" i="13"/>
  <c r="AB17" i="13"/>
  <c r="L17" i="13"/>
  <c r="AR17" i="13"/>
  <c r="AA17" i="13"/>
  <c r="K17" i="13"/>
  <c r="AP17" i="13"/>
  <c r="Y17" i="13"/>
  <c r="I17" i="13"/>
  <c r="AH17" i="13"/>
  <c r="H8" i="7"/>
  <c r="H4" i="6" s="1"/>
  <c r="X8" i="7"/>
  <c r="P8" i="8"/>
  <c r="H8" i="9"/>
  <c r="X8" i="9"/>
  <c r="E7" i="11"/>
  <c r="E14" i="11" s="1"/>
  <c r="U7" i="11"/>
  <c r="U14" i="11" s="1"/>
  <c r="R8" i="11"/>
  <c r="J6" i="22"/>
  <c r="P7" i="21"/>
  <c r="P14" i="21" s="1"/>
  <c r="T8" i="10"/>
  <c r="U6" i="11"/>
  <c r="T8" i="11"/>
  <c r="J6" i="12"/>
  <c r="J14" i="12" s="1"/>
  <c r="Z6" i="12"/>
  <c r="Z14" i="12" s="1"/>
  <c r="Q6" i="12"/>
  <c r="Q14" i="12" s="1"/>
  <c r="D17" i="13"/>
  <c r="AK17" i="13"/>
  <c r="I7" i="14"/>
  <c r="I14" i="14" s="1"/>
  <c r="I16" i="14" s="1"/>
  <c r="Q7" i="21"/>
  <c r="Q14" i="21" s="1"/>
  <c r="M7" i="21"/>
  <c r="M14" i="21" s="1"/>
  <c r="L7" i="18"/>
  <c r="L14" i="18" s="1"/>
  <c r="L16" i="18" s="1"/>
  <c r="R7" i="21"/>
  <c r="R14" i="21" s="1"/>
  <c r="B17" i="22"/>
  <c r="Q17" i="22"/>
  <c r="P17" i="22"/>
  <c r="J17" i="22"/>
  <c r="I17" i="22"/>
  <c r="H17" i="22"/>
  <c r="F17" i="22"/>
  <c r="E17" i="22"/>
  <c r="C17" i="22"/>
  <c r="G7" i="17"/>
  <c r="G14" i="17" s="1"/>
  <c r="W7" i="17"/>
  <c r="W14" i="17" s="1"/>
  <c r="M7" i="18"/>
  <c r="M14" i="18" s="1"/>
  <c r="L7" i="19"/>
  <c r="L14" i="19" s="1"/>
  <c r="L16" i="19" s="1"/>
  <c r="C7" i="21"/>
  <c r="C14" i="21" s="1"/>
  <c r="D2" i="6"/>
  <c r="T2" i="6"/>
  <c r="M8" i="7"/>
  <c r="M4" i="6" s="1"/>
  <c r="AC8" i="7"/>
  <c r="E8" i="8"/>
  <c r="E4" i="6" s="1"/>
  <c r="U8" i="8"/>
  <c r="U4" i="6" s="1"/>
  <c r="M8" i="9"/>
  <c r="AC8" i="9"/>
  <c r="M7" i="12"/>
  <c r="AC7" i="12"/>
  <c r="U14" i="12"/>
  <c r="AM6" i="13"/>
  <c r="AM15" i="13" s="1"/>
  <c r="T8" i="13"/>
  <c r="T15" i="13"/>
  <c r="M17" i="13"/>
  <c r="AT17" i="13"/>
  <c r="L7" i="14"/>
  <c r="L14" i="14" s="1"/>
  <c r="N8" i="7"/>
  <c r="N4" i="6" s="1"/>
  <c r="AD8" i="7"/>
  <c r="F8" i="8"/>
  <c r="V8" i="8"/>
  <c r="K7" i="10"/>
  <c r="K14" i="10" s="1"/>
  <c r="AA7" i="10"/>
  <c r="AA14" i="10" s="1"/>
  <c r="K8" i="11"/>
  <c r="AA8" i="11"/>
  <c r="P7" i="11"/>
  <c r="P14" i="11" s="1"/>
  <c r="X6" i="13"/>
  <c r="X15" i="13" s="1"/>
  <c r="X17" i="13" s="1"/>
  <c r="O17" i="13"/>
  <c r="AV17" i="13"/>
  <c r="P15" i="22"/>
  <c r="P8" i="22"/>
  <c r="I15" i="22"/>
  <c r="Q7" i="10"/>
  <c r="Q14" i="10" s="1"/>
  <c r="C6" i="12"/>
  <c r="C14" i="12" s="1"/>
  <c r="W6" i="12"/>
  <c r="W14" i="12" s="1"/>
  <c r="Q17" i="13"/>
  <c r="AX17" i="13"/>
  <c r="N7" i="14"/>
  <c r="N14" i="14" s="1"/>
  <c r="N16" i="14" s="1"/>
  <c r="O7" i="19"/>
  <c r="O14" i="19" s="1"/>
  <c r="O16" i="19" s="1"/>
  <c r="G14" i="20"/>
  <c r="G16" i="20" s="1"/>
  <c r="W14" i="20"/>
  <c r="B3" i="21"/>
  <c r="B7" i="21" s="1"/>
  <c r="B14" i="21" s="1"/>
  <c r="V7" i="21"/>
  <c r="V14" i="21" s="1"/>
  <c r="J15" i="22"/>
  <c r="P6" i="12"/>
  <c r="P14" i="12" s="1"/>
  <c r="D6" i="12"/>
  <c r="D14" i="12" s="1"/>
  <c r="X6" i="12"/>
  <c r="X14" i="12" s="1"/>
  <c r="P7" i="12"/>
  <c r="J6" i="13"/>
  <c r="J15" i="13" s="1"/>
  <c r="J17" i="13" s="1"/>
  <c r="Z6" i="13"/>
  <c r="Z15" i="13" s="1"/>
  <c r="Z17" i="13" s="1"/>
  <c r="C6" i="13"/>
  <c r="C15" i="13" s="1"/>
  <c r="C17" i="13" s="1"/>
  <c r="S6" i="13"/>
  <c r="AJ6" i="13"/>
  <c r="AJ15" i="13" s="1"/>
  <c r="AJ17" i="13" s="1"/>
  <c r="R17" i="13"/>
  <c r="AY17" i="13"/>
  <c r="O7" i="14"/>
  <c r="O14" i="14" s="1"/>
  <c r="O16" i="14" s="1"/>
  <c r="K7" i="17"/>
  <c r="K14" i="17" s="1"/>
  <c r="K16" i="17" s="1"/>
  <c r="P7" i="19"/>
  <c r="P14" i="19" s="1"/>
  <c r="J14" i="19"/>
  <c r="Q16" i="19"/>
  <c r="P16" i="19"/>
  <c r="K16" i="19"/>
  <c r="I16" i="19"/>
  <c r="H16" i="19"/>
  <c r="G16" i="19"/>
  <c r="F16" i="19"/>
  <c r="E16" i="19"/>
  <c r="D16" i="19"/>
  <c r="R16" i="19"/>
  <c r="B16" i="19"/>
  <c r="K15" i="22"/>
  <c r="K17" i="22" s="1"/>
  <c r="I14" i="20"/>
  <c r="K8" i="10"/>
  <c r="O4" i="6" s="1"/>
  <c r="B6" i="12"/>
  <c r="B7" i="12"/>
  <c r="B4" i="6" s="1"/>
  <c r="R6" i="12"/>
  <c r="R3" i="6" s="1"/>
  <c r="T17" i="13"/>
  <c r="BB17" i="13"/>
  <c r="Q7" i="14"/>
  <c r="Q14" i="14" s="1"/>
  <c r="Q16" i="14" s="1"/>
  <c r="M7" i="17"/>
  <c r="M14" i="17" s="1"/>
  <c r="M16" i="17" s="1"/>
  <c r="D6" i="22"/>
  <c r="D15" i="22" s="1"/>
  <c r="D17" i="22" s="1"/>
  <c r="T6" i="22"/>
  <c r="L7" i="17"/>
  <c r="L14" i="17" s="1"/>
  <c r="L16" i="17" s="1"/>
  <c r="K14" i="12"/>
  <c r="C16" i="15"/>
  <c r="R16" i="15"/>
  <c r="B16" i="15"/>
  <c r="Q16" i="15"/>
  <c r="K16" i="15"/>
  <c r="J16" i="15"/>
  <c r="I16" i="15"/>
  <c r="H16" i="15"/>
  <c r="G16" i="15"/>
  <c r="F16" i="15"/>
  <c r="D16" i="15"/>
  <c r="N14" i="17"/>
  <c r="N16" i="17" s="1"/>
  <c r="C7" i="19"/>
  <c r="C14" i="19" s="1"/>
  <c r="C16" i="19" s="1"/>
  <c r="S7" i="19"/>
  <c r="S14" i="19" s="1"/>
  <c r="K7" i="20"/>
  <c r="K14" i="20" s="1"/>
  <c r="K16" i="20" s="1"/>
  <c r="O7" i="20"/>
  <c r="O14" i="20" s="1"/>
  <c r="J7" i="21"/>
  <c r="J14" i="21" s="1"/>
  <c r="E6" i="22"/>
  <c r="E15" i="22" s="1"/>
  <c r="U6" i="22"/>
  <c r="K7" i="21"/>
  <c r="K14" i="21" s="1"/>
  <c r="W7" i="21"/>
  <c r="W14" i="21" s="1"/>
  <c r="M17" i="22"/>
  <c r="M14" i="12"/>
  <c r="AO6" i="13"/>
  <c r="AO15" i="13" s="1"/>
  <c r="AO17" i="13" s="1"/>
  <c r="Q8" i="13"/>
  <c r="AC17" i="13"/>
  <c r="L16" i="15"/>
  <c r="P7" i="17"/>
  <c r="P14" i="17" s="1"/>
  <c r="P16" i="17" s="1"/>
  <c r="H16" i="18"/>
  <c r="G16" i="18"/>
  <c r="F16" i="18"/>
  <c r="P16" i="18"/>
  <c r="O16" i="18"/>
  <c r="N16" i="18"/>
  <c r="M16" i="18"/>
  <c r="K16" i="18"/>
  <c r="I16" i="18"/>
  <c r="M7" i="20"/>
  <c r="M14" i="20" s="1"/>
  <c r="M16" i="20" s="1"/>
  <c r="G6" i="22"/>
  <c r="G15" i="22" s="1"/>
  <c r="G17" i="22" s="1"/>
  <c r="W6" i="22"/>
  <c r="W15" i="22" s="1"/>
  <c r="R15" i="22"/>
  <c r="R17" i="22" s="1"/>
  <c r="R8" i="22"/>
  <c r="N17" i="22"/>
  <c r="P6" i="13"/>
  <c r="R8" i="13"/>
  <c r="AF17" i="13"/>
  <c r="M16" i="15"/>
  <c r="J16" i="19"/>
  <c r="N7" i="20"/>
  <c r="N14" i="20" s="1"/>
  <c r="L6" i="22"/>
  <c r="L15" i="22" s="1"/>
  <c r="L17" i="22" s="1"/>
  <c r="O17" i="22"/>
  <c r="R7" i="12"/>
  <c r="R4" i="6" s="1"/>
  <c r="K14" i="7" l="1"/>
  <c r="K3" i="6"/>
  <c r="Y3" i="6"/>
  <c r="M16" i="10"/>
  <c r="L16" i="10"/>
  <c r="K16" i="10"/>
  <c r="J16" i="10"/>
  <c r="I16" i="10"/>
  <c r="H16" i="10"/>
  <c r="G16" i="10"/>
  <c r="D16" i="10"/>
  <c r="C16" i="10"/>
  <c r="B16" i="10"/>
  <c r="N16" i="10"/>
  <c r="F16" i="10"/>
  <c r="E16" i="10"/>
  <c r="L14" i="7"/>
  <c r="L3" i="6"/>
  <c r="U5" i="6"/>
  <c r="U10" i="6"/>
  <c r="Y5" i="6"/>
  <c r="Y10" i="6"/>
  <c r="P15" i="13"/>
  <c r="P17" i="13" s="1"/>
  <c r="P8" i="13"/>
  <c r="T15" i="22"/>
  <c r="T8" i="22"/>
  <c r="S14" i="7"/>
  <c r="S3" i="6"/>
  <c r="C14" i="7"/>
  <c r="C5" i="6" s="1"/>
  <c r="C3" i="6"/>
  <c r="S15" i="13"/>
  <c r="S17" i="13" s="1"/>
  <c r="S8" i="13"/>
  <c r="L16" i="8"/>
  <c r="K16" i="8"/>
  <c r="I16" i="8"/>
  <c r="H16" i="8"/>
  <c r="F16" i="8"/>
  <c r="E16" i="8"/>
  <c r="D16" i="8"/>
  <c r="C16" i="8"/>
  <c r="P16" i="8"/>
  <c r="O16" i="8"/>
  <c r="N16" i="8"/>
  <c r="M16" i="8"/>
  <c r="R16" i="8"/>
  <c r="B16" i="8"/>
  <c r="Q16" i="8"/>
  <c r="J16" i="8"/>
  <c r="G16" i="8"/>
  <c r="X14" i="7"/>
  <c r="X3" i="6"/>
  <c r="O10" i="6"/>
  <c r="O5" i="6"/>
  <c r="F14" i="7"/>
  <c r="F16" i="7" s="1"/>
  <c r="F3" i="6"/>
  <c r="H3" i="6"/>
  <c r="P4" i="6"/>
  <c r="B5" i="6"/>
  <c r="X4" i="6"/>
  <c r="F4" i="6"/>
  <c r="H10" i="6"/>
  <c r="H5" i="6"/>
  <c r="P14" i="7"/>
  <c r="P3" i="6"/>
  <c r="N16" i="7"/>
  <c r="M16" i="7"/>
  <c r="L16" i="7"/>
  <c r="K16" i="7"/>
  <c r="H16" i="7"/>
  <c r="G16" i="7"/>
  <c r="E16" i="7"/>
  <c r="O16" i="7"/>
  <c r="J16" i="7"/>
  <c r="I16" i="7"/>
  <c r="B16" i="7"/>
  <c r="R16" i="7"/>
  <c r="J10" i="6"/>
  <c r="J5" i="6"/>
  <c r="V14" i="7"/>
  <c r="V3" i="6"/>
  <c r="T3" i="6"/>
  <c r="T14" i="7"/>
  <c r="Q3" i="6"/>
  <c r="Q14" i="7"/>
  <c r="Q16" i="7" s="1"/>
  <c r="J3" i="6"/>
  <c r="O3" i="6"/>
  <c r="V4" i="6"/>
  <c r="D3" i="6"/>
  <c r="D14" i="7"/>
  <c r="D5" i="6" s="1"/>
  <c r="R14" i="12"/>
  <c r="R16" i="12" s="1"/>
  <c r="R10" i="6"/>
  <c r="M3" i="6"/>
  <c r="M14" i="7"/>
  <c r="J16" i="11"/>
  <c r="I16" i="11"/>
  <c r="N16" i="11"/>
  <c r="M16" i="11"/>
  <c r="L16" i="11"/>
  <c r="K16" i="11"/>
  <c r="H16" i="11"/>
  <c r="E16" i="11"/>
  <c r="D16" i="11"/>
  <c r="C16" i="11"/>
  <c r="B16" i="11"/>
  <c r="G16" i="11"/>
  <c r="F16" i="11"/>
  <c r="N14" i="7"/>
  <c r="N3" i="6"/>
  <c r="W14" i="7"/>
  <c r="W3" i="6"/>
  <c r="U3" i="6"/>
  <c r="D16" i="9"/>
  <c r="R16" i="9"/>
  <c r="C16" i="9"/>
  <c r="Q16" i="9"/>
  <c r="P16" i="9"/>
  <c r="N16" i="9"/>
  <c r="M16" i="9"/>
  <c r="L16" i="9"/>
  <c r="K16" i="9"/>
  <c r="H16" i="9"/>
  <c r="G16" i="9"/>
  <c r="F16" i="9"/>
  <c r="B16" i="9"/>
  <c r="E16" i="9"/>
  <c r="O16" i="9"/>
  <c r="J16" i="9"/>
  <c r="I16" i="9"/>
  <c r="G14" i="7"/>
  <c r="G3" i="6"/>
  <c r="E14" i="12"/>
  <c r="E5" i="6" s="1"/>
  <c r="T16" i="21"/>
  <c r="D16" i="21"/>
  <c r="S16" i="21"/>
  <c r="C16" i="21"/>
  <c r="R16" i="21"/>
  <c r="B16" i="21"/>
  <c r="N16" i="21"/>
  <c r="L16" i="21"/>
  <c r="K16" i="21"/>
  <c r="J16" i="21"/>
  <c r="I16" i="21"/>
  <c r="H16" i="21"/>
  <c r="W16" i="21"/>
  <c r="G16" i="21"/>
  <c r="U16" i="21"/>
  <c r="E16" i="21"/>
  <c r="V16" i="21"/>
  <c r="Q16" i="21"/>
  <c r="P16" i="21"/>
  <c r="O16" i="21"/>
  <c r="M16" i="21"/>
  <c r="F16" i="21"/>
  <c r="I3" i="6"/>
  <c r="K16" i="12"/>
  <c r="J16" i="12"/>
  <c r="B16" i="12"/>
  <c r="P16" i="12"/>
  <c r="O16" i="12"/>
  <c r="Q16" i="12"/>
  <c r="N16" i="12"/>
  <c r="M16" i="12"/>
  <c r="L16" i="12"/>
  <c r="I16" i="12"/>
  <c r="F16" i="12"/>
  <c r="E16" i="12"/>
  <c r="D16" i="12"/>
  <c r="C16" i="12"/>
  <c r="H16" i="12"/>
  <c r="G16" i="12"/>
  <c r="U15" i="22"/>
  <c r="U8" i="22"/>
  <c r="I5" i="6"/>
  <c r="I10" i="6"/>
  <c r="R5" i="6" l="1"/>
  <c r="P10" i="6"/>
  <c r="P5" i="6"/>
  <c r="S10" i="6"/>
  <c r="S5" i="6"/>
  <c r="F5" i="6"/>
  <c r="F10" i="6"/>
  <c r="T5" i="6"/>
  <c r="T10" i="6"/>
  <c r="V5" i="6"/>
  <c r="V10" i="6"/>
  <c r="P16" i="7"/>
  <c r="W10" i="6"/>
  <c r="W5" i="6"/>
  <c r="M10" i="6"/>
  <c r="M5" i="6"/>
  <c r="Q5" i="6"/>
  <c r="Q10" i="6"/>
  <c r="G10" i="6"/>
  <c r="G5" i="6"/>
  <c r="C16" i="7"/>
  <c r="X10" i="6"/>
  <c r="X5" i="6"/>
  <c r="N10" i="6"/>
  <c r="N5" i="6"/>
  <c r="D16" i="7"/>
  <c r="L5" i="6"/>
  <c r="L10" i="6"/>
  <c r="K10" i="6"/>
  <c r="K5" i="6"/>
</calcChain>
</file>

<file path=xl/sharedStrings.xml><?xml version="1.0" encoding="utf-8"?>
<sst xmlns="http://schemas.openxmlformats.org/spreadsheetml/2006/main" count="2216" uniqueCount="304">
  <si>
    <t>AN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</si>
  <si>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</si>
  <si>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</si>
  <si>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</si>
  <si>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</si>
  <si>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</si>
  <si>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</si>
  <si>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</si>
  <si>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</si>
  <si>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</si>
  <si>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</si>
  <si>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</si>
  <si>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</si>
  <si>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</si>
  <si>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</si>
  <si>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</si>
  <si>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</si>
  <si>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</si>
  <si>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</si>
  <si>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</si>
  <si>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</si>
  <si>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</si>
  <si>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</si>
  <si>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</si>
  <si>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</si>
  <si>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Contract Model Score</t>
  </si>
  <si>
    <t>Model Score</t>
  </si>
  <si>
    <t>Gross Loss Adjustments (Dealer level, high PTI, etc.)</t>
  </si>
  <si>
    <t>Recovery Adjustments excluding LTV (Mileage, vehicle type, etc.)</t>
  </si>
  <si>
    <t>LTV Adjustments</t>
  </si>
  <si>
    <t>RAGU Score</t>
  </si>
  <si>
    <t>LTV</t>
  </si>
  <si>
    <t>FLD</t>
  </si>
  <si>
    <t>FRN</t>
  </si>
  <si>
    <t>STG</t>
  </si>
  <si>
    <t>ENT</t>
  </si>
  <si>
    <t>nonKMXENT</t>
  </si>
  <si>
    <t>KMX</t>
  </si>
  <si>
    <t>POS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</si>
  <si>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</si>
  <si>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</si>
  <si>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</si>
  <si>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</si>
  <si>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</si>
  <si>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</si>
  <si>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</si>
  <si>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</si>
  <si>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</si>
  <si>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</si>
  <si>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</si>
  <si>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</si>
  <si>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</si>
  <si>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</si>
  <si>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</si>
  <si>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</si>
  <si>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</si>
  <si>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</si>
  <si>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</si>
  <si>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</si>
  <si>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</si>
  <si>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</si>
  <si>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</si>
  <si>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</si>
  <si>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</si>
  <si>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</si>
  <si>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</si>
  <si>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</si>
  <si>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</si>
  <si>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</si>
  <si>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</si>
  <si>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</si>
  <si>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</si>
  <si>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</si>
  <si>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</si>
  <si>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</si>
  <si>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</si>
  <si>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</si>
  <si>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</si>
  <si>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</si>
  <si>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</si>
  <si>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</si>
  <si>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</si>
  <si>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</si>
  <si>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</si>
  <si>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</si>
  <si>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</si>
  <si>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</si>
  <si>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</si>
  <si>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</si>
  <si>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</si>
  <si>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</si>
  <si>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</si>
  <si>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</si>
  <si>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</si>
  <si>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</si>
  <si>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</si>
  <si>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</si>
  <si>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</si>
  <si>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</si>
  <si>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</si>
  <si>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 xml:space="preserve">2025 M02 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</si>
  <si>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</si>
  <si>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</si>
  <si>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</si>
  <si>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</si>
  <si>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</si>
  <si>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</si>
  <si>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</si>
  <si>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</si>
  <si>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2025 M11</t>
  </si>
  <si>
    <t>2025 M12</t>
  </si>
  <si>
    <t>2026 M01</t>
  </si>
  <si>
    <t>Vintage</t>
  </si>
  <si>
    <t>None</t>
  </si>
  <si>
    <t>Previous ACA chargeoff</t>
  </si>
  <si>
    <t>Small amount financed</t>
  </si>
  <si>
    <t>Zero cash down</t>
  </si>
  <si>
    <t>High mileage vehicle</t>
  </si>
  <si>
    <t>High PTI</t>
  </si>
  <si>
    <t>Car make</t>
  </si>
  <si>
    <t>Theft risk</t>
  </si>
  <si>
    <t>MCY high model score, low mileage</t>
  </si>
  <si>
    <t>Weekday/weekend decision</t>
  </si>
  <si>
    <t>Secured credit (Chime, etc.)</t>
  </si>
  <si>
    <t>Employment type</t>
  </si>
  <si>
    <t>High cash down EchoPark</t>
  </si>
  <si>
    <t>Authorized tradelines</t>
  </si>
  <si>
    <t>Clip</t>
  </si>
  <si>
    <t>Vehicle Age</t>
  </si>
  <si>
    <t>Dealer Level (Non-KMX)</t>
  </si>
  <si>
    <t>Mileage/age</t>
  </si>
  <si>
    <t>Japanese</t>
  </si>
  <si>
    <t>Vehicle class</t>
  </si>
  <si>
    <t>Fuel type</t>
  </si>
  <si>
    <t>Luxury classification</t>
  </si>
  <si>
    <t>LOB</t>
  </si>
  <si>
    <t>Driver flag</t>
  </si>
  <si>
    <t>Impound probability</t>
  </si>
  <si>
    <t>Job time</t>
  </si>
  <si>
    <t>Low FICO</t>
  </si>
  <si>
    <t>Low Vantage</t>
  </si>
  <si>
    <t>Louisiana</t>
  </si>
  <si>
    <t>Existing DQ</t>
  </si>
  <si>
    <t>Null FICO with Vantage</t>
  </si>
  <si>
    <t>Soft Pull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</si>
  <si>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</si>
  <si>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</si>
  <si>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</si>
  <si>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</si>
  <si>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</si>
  <si>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</si>
  <si>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</si>
  <si>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</si>
  <si>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</si>
  <si>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</si>
  <si>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</si>
  <si>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</si>
  <si>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</si>
  <si>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</si>
  <si>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</si>
  <si>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</si>
  <si>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roa_dealer_group</t>
  </si>
  <si>
    <t>rowid</t>
  </si>
  <si>
    <t>lookup</t>
  </si>
  <si>
    <t>notes</t>
  </si>
  <si>
    <t>datetime_inserted</t>
  </si>
  <si>
    <t>effective_date</t>
  </si>
  <si>
    <t>halfbaked_date</t>
  </si>
  <si>
    <t>mroa</t>
  </si>
  <si>
    <t>orig_yield</t>
  </si>
  <si>
    <t>cnl_effect</t>
  </si>
  <si>
    <t>var_cost</t>
  </si>
  <si>
    <t>cost_of_debt</t>
  </si>
  <si>
    <t>run_rate_nb</t>
  </si>
  <si>
    <t>model_score</t>
  </si>
  <si>
    <t>model_name</t>
  </si>
  <si>
    <t>wal</t>
  </si>
  <si>
    <t>wal_cfc</t>
  </si>
  <si>
    <t>wal_adj_factor</t>
  </si>
  <si>
    <t>apr</t>
  </si>
  <si>
    <t>apr_realization_factor</t>
  </si>
  <si>
    <t>discount</t>
  </si>
  <si>
    <t>fee_income</t>
  </si>
  <si>
    <t>pmt_proc_income</t>
  </si>
  <si>
    <t>addl_income</t>
  </si>
  <si>
    <t>cnl</t>
  </si>
  <si>
    <t>gross_loss</t>
  </si>
  <si>
    <t>recovery</t>
  </si>
  <si>
    <t>cnl_adj_factor</t>
  </si>
  <si>
    <t>gross_loss_cfc</t>
  </si>
  <si>
    <t>gross_loss_adj_factor</t>
  </si>
  <si>
    <t>recovery_cfc</t>
  </si>
  <si>
    <t>recovery_adj_factor</t>
  </si>
  <si>
    <t>debt_int_rate</t>
  </si>
  <si>
    <t>securitization_cost</t>
  </si>
  <si>
    <t>debt_adv_rate</t>
  </si>
  <si>
    <t>orig_cost</t>
  </si>
  <si>
    <t>serv_cost</t>
  </si>
  <si>
    <t>addl_cost</t>
  </si>
  <si>
    <t>days_till_half_baked</t>
  </si>
  <si>
    <t>sort</t>
  </si>
  <si>
    <t>latest_row_flag</t>
  </si>
  <si>
    <t>loss_meeting_flag</t>
  </si>
  <si>
    <t>pricing_change_flag</t>
  </si>
  <si>
    <t>is_current_flag</t>
  </si>
  <si>
    <t>elasticity</t>
  </si>
  <si>
    <t>nb_ratio</t>
  </si>
  <si>
    <t>version_start_datetime</t>
  </si>
  <si>
    <t>version_end_datetime</t>
  </si>
  <si>
    <t>ticket_no</t>
  </si>
  <si>
    <t>addl_cost_of_debt</t>
  </si>
  <si>
    <t>AN393</t>
  </si>
  <si>
    <t>January Loss Meeting Adjustments</t>
  </si>
  <si>
    <t>Franchise3.0</t>
  </si>
  <si>
    <t>ENT277</t>
  </si>
  <si>
    <t>FLD276</t>
  </si>
  <si>
    <t>FRN404</t>
  </si>
  <si>
    <t>KMX419</t>
  </si>
  <si>
    <t>KMX LTV/RAGU True-up (MTN3.1 expansion)</t>
  </si>
  <si>
    <t>Mountain3</t>
  </si>
  <si>
    <t>STG412</t>
  </si>
  <si>
    <t>NonKMXENT</t>
  </si>
  <si>
    <t>Contract MS</t>
  </si>
  <si>
    <t>RAGU t0</t>
  </si>
  <si>
    <t>RAGU gross loss</t>
  </si>
  <si>
    <t>RAGU tc</t>
  </si>
  <si>
    <t>NonKMX RAGU tc</t>
  </si>
  <si>
    <t>NonKMX CNL tc</t>
  </si>
  <si>
    <t>2026 Q1</t>
  </si>
  <si>
    <t>t-1</t>
  </si>
  <si>
    <t>t-1 manual input</t>
  </si>
  <si>
    <t>Use Recent Month?</t>
  </si>
  <si>
    <t>Use Reassessed Model Score?</t>
  </si>
  <si>
    <t>Contract Model Score¹</t>
  </si>
  <si>
    <t>Shift to FRN 3.1 Score²</t>
  </si>
  <si>
    <t>Gross Loss Adjustments (Dealer Level, vehicle age, etc.)²</t>
  </si>
  <si>
    <t>Recovery Adjustments excluding LTV (Mileage, LOB, etc.)³</t>
  </si>
  <si>
    <t>BBLTV Adjustments⁴</t>
  </si>
  <si>
    <t>Context info</t>
  </si>
  <si>
    <t>BlackBook LTV (Baseline 194%)</t>
  </si>
  <si>
    <t>Origination MMI</t>
  </si>
  <si>
    <t>MMI Impact⁵</t>
  </si>
  <si>
    <t>Adjustment to RAGU Score from MMI</t>
  </si>
  <si>
    <t>RAGU Score (adjusted for MMI)</t>
  </si>
  <si>
    <t>t_c CNL⁶</t>
  </si>
  <si>
    <t>Implied t-1 CNL</t>
  </si>
  <si>
    <t>1:</t>
  </si>
  <si>
    <t>Model Score excludes buybacks and high amount financed.</t>
  </si>
  <si>
    <t>2:</t>
  </si>
  <si>
    <t>We are currently working with Pricing to determine how to use FRN3.1 scores, there are large discrepancies between model scores as booked and FRN3.1 due to what might be centering issues.</t>
  </si>
  <si>
    <t>3:</t>
  </si>
  <si>
    <t>Biggest impacts to Gross Loss Adjustments are Dealer Level, weekday/weekend decision, and high mileage classification.</t>
  </si>
  <si>
    <t>See Appendix for details on other factors</t>
  </si>
  <si>
    <t>4:</t>
  </si>
  <si>
    <t>Biggest impacts to Recovery Adjustments are mileage/age, impound probability, and vehicle class.</t>
  </si>
  <si>
    <t>5:</t>
  </si>
  <si>
    <t>LTV adjustments are made using the 10% LTV improvement-&gt;170bps to CNL heuristic, based on BlackBook LTV values.</t>
  </si>
  <si>
    <t>6:</t>
  </si>
  <si>
    <t>MMI uses adjusted index (2019 seasonality). The MMI Impact compares the actual MMI to a 3% annual growth.</t>
  </si>
  <si>
    <t>A positive impact of X% means sold recovery will be X% better.</t>
  </si>
  <si>
    <t>7:</t>
  </si>
  <si>
    <t>tc CNL uses UGLY Model projections, and 2023 Q1 blends 75% UGLY Model with 25% Loss Committee.</t>
  </si>
  <si>
    <t>an fraud</t>
  </si>
  <si>
    <t>an no fraud</t>
  </si>
  <si>
    <t>FRN f</t>
  </si>
  <si>
    <t>frn n</t>
  </si>
  <si>
    <t>STG F</t>
  </si>
  <si>
    <t>STG N</t>
  </si>
  <si>
    <t>FLD F</t>
  </si>
  <si>
    <t>FLD N</t>
  </si>
  <si>
    <t>ENT F</t>
  </si>
  <si>
    <t>ENT N</t>
  </si>
  <si>
    <t>Not accounting for potential differences in Gross Loss for test loans.</t>
  </si>
  <si>
    <t>BlackBook LTV (Baseline 145%)</t>
  </si>
  <si>
    <t>KMX¹</t>
  </si>
  <si>
    <t>Contract Model Score²</t>
  </si>
  <si>
    <t>Shift to Mountain3 Score³</t>
  </si>
  <si>
    <t>Gross Loss Adjustments (vehicle age, weekday/weekend, etc.³)</t>
  </si>
  <si>
    <t>BBLTV Adjustment to Recovery⁴ (Accounts for mileage/age and wholesale/retail gap⁵)</t>
  </si>
  <si>
    <t>BlackBook LTV (Baseline 159%)</t>
  </si>
  <si>
    <t>MMI Impact⁶</t>
  </si>
  <si>
    <t>t_c CNL⁷</t>
  </si>
  <si>
    <t>Haircut to Recovery ($1200, 2022 Q3+)</t>
  </si>
  <si>
    <t>Data includes only KMX accounts with BlackBook data, which ranges from 60-100% of loans, depending on vintage</t>
  </si>
  <si>
    <t>We are currently working with Pricing to determine how to use Mountain3 scores, there are large discrepancies between model scores as booked and Mountain3 due to what might be centering issues.</t>
  </si>
  <si>
    <t>We removed Recovery Adjustments in KMX to prevent double counting due to BlackBook LTV.</t>
  </si>
  <si>
    <t>We expect to replace the LTV adjustment with an updated recovery model coming May 2024 that will account for LTV changes.</t>
  </si>
  <si>
    <t>8:</t>
  </si>
  <si>
    <t>NA</t>
  </si>
  <si>
    <t>Gross Loss Adjustments (Dealer level, weekday/weekend, etc.⁴)</t>
  </si>
  <si>
    <t>BBLTV Adjustment to Recovery⁵ (Accounts for mileage/age and wholesale/retail gap⁶)</t>
  </si>
  <si>
    <t>RAGU Score with Haircut</t>
  </si>
  <si>
    <t>MMI Impact⁷</t>
  </si>
  <si>
    <t>t_c CNL⁸</t>
  </si>
  <si>
    <t>UNDER CONSTRUCTION</t>
  </si>
  <si>
    <t>FRN, STG, AN, FLD</t>
  </si>
  <si>
    <t>Use Recent Month for t-1?</t>
  </si>
  <si>
    <t>Gross Loss Adjustments (Dealer level, high PTI, etc.)³</t>
  </si>
  <si>
    <t>Recovery Adjustments excluding LTV (Mileage, vehicle type, etc.)⁴</t>
  </si>
  <si>
    <t>BBLTV Adjustments⁵</t>
  </si>
  <si>
    <t>NOTE: 194 as a baseline may not work 2020 forward, because FLD has a different baseline</t>
  </si>
  <si>
    <t>Shift to Modern Model Score²</t>
  </si>
  <si>
    <t>MMI Impact</t>
  </si>
  <si>
    <t>t_c CNL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</si>
</sst>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"/>
    <numFmt numFmtId="166" formatCode="yyyy\-mm\-dd\ h:mm:ss"/>
    <numFmt numFmtId="167" formatCode="yyyy\-mm\-dd"/>
    <numFmt numFmtId="168" formatCode="[$-409]d\-mmm\-yy;@"/>
    <numFmt numFmtId="169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7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/>
  </cellStyleXfs>
  <cellXfs count="144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 readingOrder="1"/>
    </xf>
    <xf numFmtId="0" fontId="2" fillId="4" borderId="1" xfId="0" applyFont="1" applyFill="1" applyBorder="1" applyAlignment="1">
      <alignment horizontal="right" vertical="center" wrapText="1" readingOrder="1"/>
    </xf>
    <xf numFmtId="0" fontId="1" fillId="4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/>
    <xf numFmtId="0" fontId="0" fillId="0" borderId="1" xfId="0" applyBorder="1"/>
    <xf numFmtId="164" fontId="0" fillId="0" borderId="0" xfId="0" applyNumberFormat="1"/>
    <xf numFmtId="165" fontId="4" fillId="0" borderId="1" xfId="0" applyNumberFormat="1" applyFont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9" fontId="4" fillId="4" borderId="1" xfId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right" vertical="center" wrapText="1" readingOrder="1"/>
    </xf>
    <xf numFmtId="0" fontId="5" fillId="3" borderId="3" xfId="0" applyFont="1" applyFill="1" applyBorder="1" applyAlignment="1">
      <alignment horizontal="right" vertical="center" wrapText="1" readingOrder="1"/>
    </xf>
    <xf numFmtId="0" fontId="6" fillId="0" borderId="4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 readingOrder="1"/>
    </xf>
    <xf numFmtId="164" fontId="7" fillId="4" borderId="1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 readingOrder="1"/>
    </xf>
    <xf numFmtId="0" fontId="8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 wrapText="1" readingOrder="1"/>
    </xf>
    <xf numFmtId="0" fontId="5" fillId="3" borderId="1" xfId="0" applyFont="1" applyFill="1" applyBorder="1" applyAlignment="1">
      <alignment horizontal="right" vertical="center" wrapText="1" readingOrder="1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 vertical="center" wrapText="1" readingOrder="1"/>
    </xf>
    <xf numFmtId="0" fontId="8" fillId="0" borderId="1" xfId="0" applyFont="1" applyBorder="1" applyAlignment="1">
      <alignment horizontal="right" vertical="center"/>
    </xf>
    <xf numFmtId="0" fontId="4" fillId="0" borderId="1" xfId="0" applyFont="1" applyBorder="1"/>
    <xf numFmtId="165" fontId="7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0" fontId="5" fillId="2" borderId="8" xfId="0" applyFont="1" applyFill="1" applyBorder="1" applyAlignment="1">
      <alignment horizontal="center" vertical="center" wrapText="1"/>
    </xf>
    <xf numFmtId="165" fontId="4" fillId="4" borderId="8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vertical="center"/>
    </xf>
    <xf numFmtId="9" fontId="4" fillId="0" borderId="0" xfId="1" applyFont="1"/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 wrapText="1" readingOrder="1"/>
    </xf>
    <xf numFmtId="164" fontId="7" fillId="0" borderId="9" xfId="0" applyNumberFormat="1" applyFont="1" applyBorder="1" applyAlignment="1">
      <alignment horizontal="center" vertical="center" wrapText="1" readingOrder="1"/>
    </xf>
    <xf numFmtId="165" fontId="4" fillId="0" borderId="2" xfId="0" applyNumberFormat="1" applyFont="1" applyBorder="1" applyAlignment="1">
      <alignment horizontal="center" vertical="center"/>
    </xf>
    <xf numFmtId="0" fontId="9" fillId="0" borderId="1" xfId="0" applyFont="1" applyBorder="1"/>
    <xf numFmtId="0" fontId="7" fillId="0" borderId="1" xfId="0" applyFont="1" applyBorder="1"/>
    <xf numFmtId="165" fontId="4" fillId="6" borderId="1" xfId="0" applyNumberFormat="1" applyFont="1" applyFill="1" applyBorder="1" applyAlignment="1">
      <alignment horizontal="right" vertical="center"/>
    </xf>
    <xf numFmtId="0" fontId="0" fillId="4" borderId="0" xfId="0" applyFill="1"/>
    <xf numFmtId="166" fontId="0" fillId="4" borderId="1" xfId="0" applyNumberFormat="1" applyFill="1" applyBorder="1"/>
    <xf numFmtId="166" fontId="0" fillId="0" borderId="1" xfId="0" applyNumberFormat="1" applyBorder="1"/>
    <xf numFmtId="2" fontId="0" fillId="0" borderId="0" xfId="0" applyNumberFormat="1"/>
    <xf numFmtId="0" fontId="2" fillId="2" borderId="0" xfId="0" applyFont="1" applyFill="1" applyAlignment="1">
      <alignment horizontal="right" vertical="center" wrapText="1"/>
    </xf>
    <xf numFmtId="165" fontId="4" fillId="6" borderId="0" xfId="0" applyNumberFormat="1" applyFont="1" applyFill="1" applyAlignment="1">
      <alignment horizontal="right" vertical="center"/>
    </xf>
    <xf numFmtId="164" fontId="4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18" xfId="0" applyFont="1" applyBorder="1" applyAlignment="1">
      <alignment horizontal="right" vertical="center" wrapText="1" readingOrder="1"/>
    </xf>
    <xf numFmtId="0" fontId="5" fillId="4" borderId="19" xfId="0" applyFont="1" applyFill="1" applyBorder="1" applyAlignment="1">
      <alignment horizontal="right" vertical="center" wrapText="1" readingOrder="1"/>
    </xf>
    <xf numFmtId="0" fontId="5" fillId="0" borderId="19" xfId="0" applyFont="1" applyBorder="1" applyAlignment="1">
      <alignment horizontal="right" vertical="center" wrapText="1" readingOrder="1"/>
    </xf>
    <xf numFmtId="0" fontId="5" fillId="4" borderId="23" xfId="0" applyFont="1" applyFill="1" applyBorder="1" applyAlignment="1">
      <alignment horizontal="right" vertical="center" wrapText="1" readingOrder="1"/>
    </xf>
    <xf numFmtId="0" fontId="7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65" fontId="7" fillId="0" borderId="1" xfId="0" applyNumberFormat="1" applyFont="1" applyBorder="1"/>
    <xf numFmtId="9" fontId="4" fillId="0" borderId="1" xfId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right" vertical="center"/>
    </xf>
    <xf numFmtId="165" fontId="4" fillId="0" borderId="8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164" fontId="4" fillId="4" borderId="7" xfId="0" applyNumberFormat="1" applyFont="1" applyFill="1" applyBorder="1" applyAlignment="1">
      <alignment horizontal="center" vertical="center"/>
    </xf>
    <xf numFmtId="164" fontId="4" fillId="4" borderId="7" xfId="0" applyNumberFormat="1" applyFont="1" applyFill="1" applyBorder="1" applyAlignment="1">
      <alignment vertical="center"/>
    </xf>
    <xf numFmtId="0" fontId="6" fillId="0" borderId="20" xfId="0" applyFont="1" applyBorder="1" applyAlignment="1">
      <alignment horizontal="right" vertical="center" wrapText="1"/>
    </xf>
    <xf numFmtId="0" fontId="5" fillId="0" borderId="21" xfId="0" applyFont="1" applyBorder="1" applyAlignment="1">
      <alignment horizontal="right" vertical="center" wrapText="1" readingOrder="1"/>
    </xf>
    <xf numFmtId="0" fontId="5" fillId="0" borderId="22" xfId="0" applyFont="1" applyBorder="1" applyAlignment="1">
      <alignment horizontal="right" vertical="center" wrapText="1" readingOrder="1"/>
    </xf>
    <xf numFmtId="0" fontId="4" fillId="4" borderId="1" xfId="0" applyFont="1" applyFill="1" applyBorder="1" applyAlignment="1">
      <alignment vertical="center"/>
    </xf>
    <xf numFmtId="164" fontId="4" fillId="0" borderId="0" xfId="0" applyNumberFormat="1" applyFont="1"/>
    <xf numFmtId="0" fontId="4" fillId="0" borderId="1" xfId="0" applyFont="1" applyBorder="1" applyAlignment="1">
      <alignment vertical="center"/>
    </xf>
    <xf numFmtId="165" fontId="4" fillId="4" borderId="2" xfId="0" applyNumberFormat="1" applyFont="1" applyFill="1" applyBorder="1" applyAlignment="1">
      <alignment horizontal="center" vertical="center"/>
    </xf>
    <xf numFmtId="2" fontId="0" fillId="7" borderId="0" xfId="0" applyNumberFormat="1" applyFill="1"/>
    <xf numFmtId="0" fontId="2" fillId="2" borderId="8" xfId="0" applyFont="1" applyFill="1" applyBorder="1" applyAlignment="1">
      <alignment horizontal="right" vertical="center" wrapText="1"/>
    </xf>
    <xf numFmtId="0" fontId="1" fillId="4" borderId="27" xfId="0" applyFont="1" applyFill="1" applyBorder="1" applyAlignment="1">
      <alignment horizontal="right" vertical="center"/>
    </xf>
    <xf numFmtId="165" fontId="4" fillId="0" borderId="0" xfId="0" applyNumberFormat="1" applyFont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9" fontId="3" fillId="0" borderId="0" xfId="1"/>
    <xf numFmtId="165" fontId="0" fillId="0" borderId="0" xfId="0" applyNumberFormat="1"/>
    <xf numFmtId="164" fontId="3" fillId="0" borderId="0" xfId="1" applyNumberFormat="1"/>
    <xf numFmtId="165" fontId="0" fillId="8" borderId="0" xfId="0" applyNumberFormat="1" applyFill="1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167" fontId="0" fillId="0" borderId="1" xfId="0" applyNumberFormat="1" applyBorder="1"/>
    <xf numFmtId="168" fontId="1" fillId="0" borderId="1" xfId="0" applyNumberFormat="1" applyFont="1" applyBorder="1"/>
    <xf numFmtId="168" fontId="10" fillId="0" borderId="1" xfId="0" applyNumberFormat="1" applyFont="1" applyBorder="1" applyAlignment="1">
      <alignment horizontal="center" vertical="center"/>
    </xf>
    <xf numFmtId="168" fontId="10" fillId="0" borderId="7" xfId="0" applyNumberFormat="1" applyFont="1" applyBorder="1" applyAlignment="1">
      <alignment horizontal="center" vertical="center"/>
    </xf>
    <xf numFmtId="168" fontId="10" fillId="0" borderId="29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wrapText="1"/>
    </xf>
    <xf numFmtId="2" fontId="0" fillId="7" borderId="1" xfId="0" applyNumberFormat="1" applyFill="1" applyBorder="1" applyAlignment="1">
      <alignment wrapText="1"/>
    </xf>
    <xf numFmtId="2" fontId="0" fillId="0" borderId="0" xfId="0" applyNumberFormat="1" applyAlignment="1">
      <alignment wrapText="1"/>
    </xf>
    <xf numFmtId="2" fontId="0" fillId="7" borderId="0" xfId="0" applyNumberFormat="1" applyFill="1" applyAlignment="1">
      <alignment wrapText="1"/>
    </xf>
    <xf numFmtId="2" fontId="0" fillId="0" borderId="0" xfId="0" applyNumberFormat="1" applyAlignment="1">
      <alignment horizontal="left"/>
    </xf>
    <xf numFmtId="2" fontId="0" fillId="0" borderId="1" xfId="0" applyNumberFormat="1" applyBorder="1" applyAlignment="1">
      <alignment horizontal="left" wrapText="1"/>
    </xf>
    <xf numFmtId="2" fontId="1" fillId="0" borderId="0" xfId="0" applyNumberFormat="1" applyFont="1" applyAlignment="1">
      <alignment horizontal="left"/>
    </xf>
    <xf numFmtId="0" fontId="0" fillId="0" borderId="10" xfId="0" applyBorder="1"/>
    <xf numFmtId="0" fontId="0" fillId="0" borderId="11" xfId="0" applyBorder="1"/>
    <xf numFmtId="0" fontId="10" fillId="0" borderId="12" xfId="0" applyFont="1" applyBorder="1" applyAlignment="1">
      <alignment horizontal="center" vertical="center"/>
    </xf>
    <xf numFmtId="0" fontId="0" fillId="0" borderId="10" xfId="0" applyBorder="1"/>
    <xf numFmtId="0" fontId="4" fillId="0" borderId="13" xfId="0" applyFont="1" applyBorder="1" applyAlignment="1">
      <alignment horizontal="center" vertical="center"/>
    </xf>
    <xf numFmtId="0" fontId="0" fillId="0" borderId="11" xfId="0" applyBorder="1"/>
    <xf numFmtId="0" fontId="4" fillId="0" borderId="14" xfId="0" applyFont="1" applyBorder="1" applyAlignment="1">
      <alignment horizontal="center" vertical="center"/>
    </xf>
    <xf numFmtId="0" fontId="0" fillId="0" borderId="15" xfId="0" applyBorder="1"/>
    <xf numFmtId="0" fontId="4" fillId="0" borderId="26" xfId="0" applyFont="1" applyBorder="1" applyAlignment="1">
      <alignment horizontal="center"/>
    </xf>
    <xf numFmtId="0" fontId="0" fillId="0" borderId="17" xfId="0" applyBorder="1"/>
    <xf numFmtId="0" fontId="10" fillId="0" borderId="16" xfId="0" applyFont="1" applyBorder="1" applyAlignment="1">
      <alignment horizontal="center" vertical="center"/>
    </xf>
    <xf numFmtId="0" fontId="0" fillId="0" borderId="25" xfId="0" applyBorder="1"/>
    <xf numFmtId="169" fontId="4" fillId="0" borderId="1" xfId="0" applyNumberFormat="1" applyFont="1" applyBorder="1" applyAlignment="1">
      <alignment horizontal="right" vertical="center"/>
    </xf>
    <xf numFmtId="169" fontId="4" fillId="0" borderId="8" xfId="0" applyNumberFormat="1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5"/>
  <sheetViews>
    <sheetView topLeftCell="A8" zoomScale="115" zoomScaleNormal="115" workbookViewId="0">
      <pane xSplit="1" topLeftCell="V1" activePane="topRight" state="frozen"/>
      <selection pane="topRight" activeCell="Y17" sqref="Y17"/>
    </sheetView>
  </sheetViews>
  <sheetFormatPr defaultRowHeight="14.5" x14ac:dyDescent="0.35"/>
  <cols>
    <col min="1" max="1" width="54.1796875" style="115" customWidth="1"/>
  </cols>
  <sheetData>
    <row r="1" spans="1:30" ht="15" customHeight="1" x14ac:dyDescent="0.3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116" t="s">
        <v>21</v>
      </c>
      <c r="AA1" s="116" t="s">
        <v>22</v>
      </c>
      <c r="AB1" s="116" t="s">
        <v>23</v>
      </c>
      <c r="AC1" s="116" t="s">
        <v>24</v>
      </c>
    </row>
    <row r="2" spans="1:30" ht="15" customHeight="1" x14ac:dyDescent="0.35">
      <c r="A2" s="5" t="s">
        <v>25</v>
      </c>
      <c r="B2">
        <v>130.07704220599081</v>
      </c>
      <c r="C2">
        <v>132.82918038518611</v>
      </c>
      <c r="D2">
        <v>132.9930378740759</v>
      </c>
      <c r="E2">
        <v>132.10910841871589</v>
      </c>
      <c r="F2">
        <v>131.79763521841929</v>
      </c>
      <c r="G2">
        <v>133.71059314411579</v>
      </c>
      <c r="H2">
        <v>135.28557431522441</v>
      </c>
      <c r="I2">
        <v>135.79608377329961</v>
      </c>
      <c r="J2">
        <v>134.60178841838771</v>
      </c>
      <c r="K2">
        <v>135.14257269364111</v>
      </c>
      <c r="L2">
        <v>135.3626526730819</v>
      </c>
      <c r="M2">
        <v>134.41537942859119</v>
      </c>
      <c r="N2">
        <v>134.06859534274369</v>
      </c>
      <c r="O2">
        <v>135.89246002160661</v>
      </c>
      <c r="P2">
        <v>136.14780523104511</v>
      </c>
      <c r="Q2">
        <v>136.75155352499851</v>
      </c>
      <c r="R2">
        <v>136.66304693064629</v>
      </c>
      <c r="S2">
        <v>136.90906982764889</v>
      </c>
      <c r="T2">
        <v>136.43849356660581</v>
      </c>
      <c r="U2">
        <v>137.02135091300229</v>
      </c>
      <c r="V2">
        <v>136.3721183056237</v>
      </c>
      <c r="W2">
        <v>137.12198326493359</v>
      </c>
      <c r="X2">
        <v>138.09052083542991</v>
      </c>
      <c r="Y2">
        <v>136.8013556580203</v>
      </c>
      <c r="Z2">
        <v>136.83702494495719</v>
      </c>
      <c r="AA2">
        <v>138.0338190269168</v>
      </c>
      <c r="AB2">
        <v>138.55808093396249</v>
      </c>
      <c r="AC2">
        <v>139.3761012547063</v>
      </c>
      <c r="AD2">
        <v>140.4603827930018</v>
      </c>
    </row>
    <row r="3" spans="1:30" ht="15" customHeight="1" x14ac:dyDescent="0.35">
      <c r="A3" s="6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ht="15" customHeight="1" x14ac:dyDescent="0.35">
      <c r="A4" s="4" t="s">
        <v>27</v>
      </c>
      <c r="B4" s="26">
        <v>0.36824634051760091</v>
      </c>
      <c r="C4" s="26">
        <v>0.64268495618270549</v>
      </c>
      <c r="D4" s="26">
        <v>0.73760946361761626</v>
      </c>
      <c r="E4" s="26">
        <v>0.54113332596543273</v>
      </c>
      <c r="F4" s="26">
        <v>0.6474952081913159</v>
      </c>
      <c r="G4" s="26">
        <v>0.51566418791500723</v>
      </c>
      <c r="H4" s="26">
        <v>-0.19174308027896811</v>
      </c>
      <c r="I4" s="26">
        <v>0.25673369733982548</v>
      </c>
      <c r="J4" s="26">
        <v>0.53917167314074277</v>
      </c>
      <c r="K4" s="26">
        <v>0.53578838444838084</v>
      </c>
      <c r="L4" s="26">
        <v>0.54503838325814513</v>
      </c>
      <c r="M4" s="26">
        <v>0.45373656123365441</v>
      </c>
      <c r="N4" s="26">
        <v>0.86176791278947462</v>
      </c>
      <c r="O4" s="26">
        <v>0.76242483685356888</v>
      </c>
      <c r="P4" s="26">
        <v>0.84667110642973853</v>
      </c>
      <c r="Q4" s="26">
        <v>0.87913297173452065</v>
      </c>
      <c r="R4" s="26">
        <v>0.57044204988909541</v>
      </c>
      <c r="S4" s="26">
        <v>0.53802472981323035</v>
      </c>
      <c r="T4" s="26">
        <v>-9.1428861268582295E-2</v>
      </c>
      <c r="U4" s="26">
        <v>0.1038402655920265</v>
      </c>
      <c r="V4">
        <v>0.58774847462322555</v>
      </c>
      <c r="W4">
        <v>0.98751690205625664</v>
      </c>
      <c r="X4">
        <v>0.73459088048039689</v>
      </c>
      <c r="Y4">
        <v>1.3084266054287641</v>
      </c>
      <c r="Z4">
        <v>1.9057379992859751</v>
      </c>
      <c r="AA4">
        <v>2.4385937709110119</v>
      </c>
      <c r="AB4">
        <v>3.0483132015599779</v>
      </c>
      <c r="AC4">
        <v>3.2623198450618531</v>
      </c>
      <c r="AD4">
        <v>1.9146559980703159</v>
      </c>
    </row>
    <row r="5" spans="1:30" ht="15" customHeight="1" x14ac:dyDescent="0.35">
      <c r="A5" s="3" t="s">
        <v>28</v>
      </c>
      <c r="B5">
        <v>-0.39258196956930652</v>
      </c>
      <c r="C5">
        <v>0.31810502149667741</v>
      </c>
      <c r="D5">
        <v>0.19702468063940159</v>
      </c>
      <c r="E5">
        <v>0.16349629554082409</v>
      </c>
      <c r="F5">
        <v>-0.1081993482119117</v>
      </c>
      <c r="G5">
        <v>-0.56943613520371628</v>
      </c>
      <c r="H5">
        <v>-0.21425416070690059</v>
      </c>
      <c r="I5">
        <v>0.68058865356454135</v>
      </c>
      <c r="J5">
        <v>0.22441001536151359</v>
      </c>
      <c r="K5">
        <v>0.2090721983110484</v>
      </c>
      <c r="L5">
        <v>-7.5968090308322189E-2</v>
      </c>
      <c r="M5">
        <v>-0.50481626028823712</v>
      </c>
      <c r="N5">
        <v>-1.1464984056197809</v>
      </c>
      <c r="O5">
        <v>-0.9927257775551368</v>
      </c>
      <c r="P5">
        <v>-1.33743621817689</v>
      </c>
      <c r="Q5">
        <v>-1.1137921203458061</v>
      </c>
      <c r="R5">
        <v>-1.274267180726611</v>
      </c>
      <c r="S5">
        <v>-1.3069658270490829</v>
      </c>
      <c r="T5">
        <v>-1.559538230277099</v>
      </c>
      <c r="U5">
        <v>-1.084618521230539</v>
      </c>
      <c r="V5">
        <v>-1.74173108555982</v>
      </c>
      <c r="W5">
        <v>-1.102763874125571</v>
      </c>
      <c r="X5">
        <v>-0.63328551879868655</v>
      </c>
      <c r="Y5">
        <v>0.18345642570133691</v>
      </c>
      <c r="Z5">
        <v>8.0554239014418272E-2</v>
      </c>
      <c r="AA5">
        <v>0.55716861083507752</v>
      </c>
      <c r="AB5">
        <v>0.84213839098492826</v>
      </c>
      <c r="AC5">
        <v>1.313870033344557</v>
      </c>
      <c r="AD5">
        <v>1.823497888359412</v>
      </c>
    </row>
    <row r="6" spans="1:30" ht="15" customHeight="1" x14ac:dyDescent="0.35">
      <c r="A6" s="4" t="s">
        <v>29</v>
      </c>
      <c r="B6">
        <v>0.39258196956930652</v>
      </c>
      <c r="C6">
        <v>-0.31810502149667741</v>
      </c>
      <c r="D6">
        <v>-0.19702468063940159</v>
      </c>
      <c r="E6">
        <v>-0.16349629554082409</v>
      </c>
      <c r="F6">
        <v>0.1081993482119117</v>
      </c>
      <c r="G6">
        <v>0.56943613520371628</v>
      </c>
      <c r="H6">
        <v>0.21425416070690059</v>
      </c>
      <c r="I6">
        <v>-0.68058865356454135</v>
      </c>
      <c r="J6">
        <v>-0.22441001536151359</v>
      </c>
      <c r="K6">
        <v>-0.2090721983110484</v>
      </c>
      <c r="L6">
        <v>7.5968090308322189E-2</v>
      </c>
      <c r="M6">
        <v>0.50481626028823712</v>
      </c>
      <c r="N6">
        <v>1.1464984056197809</v>
      </c>
      <c r="O6">
        <v>0.9927257775551368</v>
      </c>
      <c r="P6">
        <v>1.33743621817689</v>
      </c>
      <c r="Q6">
        <v>1.1137921203458061</v>
      </c>
      <c r="R6">
        <v>1.274267180726611</v>
      </c>
      <c r="S6">
        <v>1.3069658270490829</v>
      </c>
      <c r="T6">
        <v>1.559538230277099</v>
      </c>
      <c r="U6">
        <v>1.084618521230539</v>
      </c>
      <c r="V6">
        <v>1.74173108555982</v>
      </c>
      <c r="W6">
        <v>1.102763874125571</v>
      </c>
      <c r="X6">
        <v>0.63328551879868655</v>
      </c>
      <c r="Y6">
        <v>-0.18345642570133691</v>
      </c>
      <c r="Z6">
        <v>-8.0554239014418272E-2</v>
      </c>
      <c r="AA6">
        <v>-0.55716861083507752</v>
      </c>
      <c r="AB6">
        <v>-0.84213839098492826</v>
      </c>
      <c r="AC6">
        <v>-1.313870033344557</v>
      </c>
      <c r="AD6">
        <v>-1.823497888359412</v>
      </c>
    </row>
    <row r="7" spans="1:30" ht="15" customHeight="1" x14ac:dyDescent="0.35">
      <c r="A7" s="3" t="s">
        <v>30</v>
      </c>
      <c r="B7">
        <v>130.44528854650841</v>
      </c>
      <c r="C7">
        <v>133.47186534136881</v>
      </c>
      <c r="D7">
        <v>133.73064733769351</v>
      </c>
      <c r="E7">
        <v>132.65024174468141</v>
      </c>
      <c r="F7">
        <v>132.4451304266106</v>
      </c>
      <c r="G7">
        <v>134.22625733203091</v>
      </c>
      <c r="H7">
        <v>135.09383123494541</v>
      </c>
      <c r="I7">
        <v>136.0528174706395</v>
      </c>
      <c r="J7">
        <v>135.14096009152851</v>
      </c>
      <c r="K7">
        <v>135.67836107808949</v>
      </c>
      <c r="L7">
        <v>135.90769105634001</v>
      </c>
      <c r="M7">
        <v>134.86911598982479</v>
      </c>
      <c r="N7">
        <v>134.93036325553311</v>
      </c>
      <c r="O7">
        <v>136.65488485846021</v>
      </c>
      <c r="P7">
        <v>136.99447633747479</v>
      </c>
      <c r="Q7">
        <v>137.63068649673301</v>
      </c>
      <c r="R7">
        <v>137.23348898053541</v>
      </c>
      <c r="S7">
        <v>137.44709455746209</v>
      </c>
      <c r="T7">
        <v>136.3470647053372</v>
      </c>
      <c r="U7">
        <v>137.12519117859429</v>
      </c>
      <c r="V7">
        <v>136.9598667802469</v>
      </c>
      <c r="W7">
        <v>138.10950016698979</v>
      </c>
      <c r="X7">
        <v>138.82511171591031</v>
      </c>
      <c r="Y7">
        <v>138.10978226344901</v>
      </c>
      <c r="Z7">
        <v>138.7427629442432</v>
      </c>
      <c r="AA7">
        <v>140.47241279782779</v>
      </c>
      <c r="AB7">
        <v>141.60639413552249</v>
      </c>
      <c r="AC7">
        <v>142.6384210997681</v>
      </c>
      <c r="AD7">
        <v>142.37503879107209</v>
      </c>
    </row>
    <row r="8" spans="1:30" ht="15" customHeight="1" x14ac:dyDescent="0.35">
      <c r="A8" s="5" t="s">
        <v>31</v>
      </c>
      <c r="B8">
        <v>1.9087244185791259</v>
      </c>
      <c r="C8">
        <v>1.902242836493087</v>
      </c>
      <c r="D8">
        <v>1.910890052143178</v>
      </c>
      <c r="E8">
        <v>1.9482126708496901</v>
      </c>
      <c r="F8">
        <v>1.9028259540596091</v>
      </c>
      <c r="G8">
        <v>1.9471126549292059</v>
      </c>
      <c r="H8">
        <v>1.670783969286245</v>
      </c>
      <c r="I8">
        <v>1.660197329945023</v>
      </c>
      <c r="J8">
        <v>1.6894126963808971</v>
      </c>
      <c r="K8">
        <v>1.5154470276265599</v>
      </c>
      <c r="L8">
        <v>1.585208154626411</v>
      </c>
      <c r="M8">
        <v>1.582735464791746</v>
      </c>
      <c r="N8">
        <v>1.615349008540113</v>
      </c>
      <c r="O8">
        <v>1.7131947906022631</v>
      </c>
      <c r="P8">
        <v>1.7509585537991079</v>
      </c>
      <c r="Q8">
        <v>1.8153359512028291</v>
      </c>
      <c r="R8">
        <v>1.8260098225905059</v>
      </c>
      <c r="S8">
        <v>1.7142071073230249</v>
      </c>
      <c r="T8">
        <v>1.673498786468816</v>
      </c>
      <c r="U8">
        <v>1.7098679238105481</v>
      </c>
      <c r="V8">
        <v>1.735540953748721</v>
      </c>
      <c r="W8">
        <v>1.683241023119062</v>
      </c>
      <c r="X8">
        <v>1.589807478926583</v>
      </c>
      <c r="Y8">
        <v>1.6176034697982651</v>
      </c>
      <c r="Z8">
        <v>1.6082015920703709</v>
      </c>
      <c r="AA8">
        <v>1.5674695154087681</v>
      </c>
      <c r="AB8">
        <v>1.5727055873448721</v>
      </c>
      <c r="AC8">
        <v>1.55172314814227</v>
      </c>
      <c r="AD8">
        <v>1.567418521679073</v>
      </c>
    </row>
    <row r="9" spans="1:30" ht="15" customHeight="1" x14ac:dyDescent="0.35"/>
    <row r="10" spans="1:30" ht="15" customHeight="1" x14ac:dyDescent="0.35">
      <c r="A10" s="23" t="s">
        <v>32</v>
      </c>
      <c r="B10" s="25"/>
      <c r="C10" s="25"/>
      <c r="D10" s="25"/>
      <c r="E10" s="25"/>
      <c r="F10" s="24" t="s">
        <v>1</v>
      </c>
      <c r="G10" s="2" t="s">
        <v>2</v>
      </c>
      <c r="H10" s="2" t="s">
        <v>3</v>
      </c>
      <c r="I10" s="2" t="s">
        <v>4</v>
      </c>
      <c r="J10" s="2" t="s">
        <v>5</v>
      </c>
      <c r="K10" s="2" t="s">
        <v>6</v>
      </c>
      <c r="L10" s="2" t="s">
        <v>7</v>
      </c>
      <c r="M10" s="2" t="s">
        <v>8</v>
      </c>
      <c r="N10" s="2" t="s">
        <v>9</v>
      </c>
      <c r="O10" s="2" t="s">
        <v>10</v>
      </c>
      <c r="P10" s="2" t="s">
        <v>11</v>
      </c>
      <c r="Q10" s="2" t="s">
        <v>12</v>
      </c>
      <c r="R10" s="2" t="s">
        <v>13</v>
      </c>
      <c r="S10" s="2" t="s">
        <v>14</v>
      </c>
      <c r="T10" s="2" t="s">
        <v>15</v>
      </c>
      <c r="U10" s="2" t="s">
        <v>16</v>
      </c>
      <c r="V10" s="2" t="s">
        <v>17</v>
      </c>
      <c r="W10" s="2" t="s">
        <v>18</v>
      </c>
      <c r="X10" s="2" t="s">
        <v>19</v>
      </c>
      <c r="Y10" s="2" t="s">
        <v>20</v>
      </c>
      <c r="Z10" s="116" t="s">
        <v>21</v>
      </c>
      <c r="AA10" s="116" t="s">
        <v>22</v>
      </c>
      <c r="AB10" s="116" t="s">
        <v>23</v>
      </c>
      <c r="AC10" s="116" t="s">
        <v>24</v>
      </c>
    </row>
    <row r="11" spans="1:30" ht="15" customHeight="1" x14ac:dyDescent="0.35">
      <c r="A11" s="5" t="s">
        <v>25</v>
      </c>
      <c r="B11" s="8"/>
      <c r="C11" s="8"/>
      <c r="D11" s="8"/>
      <c r="E11" s="8"/>
      <c r="F11">
        <v>131.95038796688411</v>
      </c>
      <c r="G11">
        <v>135.6654717957741</v>
      </c>
      <c r="H11">
        <v>137.78085993452939</v>
      </c>
      <c r="I11">
        <v>140.37624797824719</v>
      </c>
      <c r="J11">
        <v>136.7568472127295</v>
      </c>
      <c r="K11">
        <v>136.1826116248541</v>
      </c>
      <c r="L11">
        <v>135.63104898296709</v>
      </c>
      <c r="M11">
        <v>134.6293495160532</v>
      </c>
      <c r="N11">
        <v>134.1739245565968</v>
      </c>
      <c r="O11">
        <v>135.83717961712421</v>
      </c>
      <c r="P11">
        <v>136.9637513036931</v>
      </c>
      <c r="Q11">
        <v>138.7722798213712</v>
      </c>
      <c r="R11">
        <v>141.3231605158098</v>
      </c>
      <c r="S11">
        <v>138.8631915017576</v>
      </c>
      <c r="T11">
        <v>137.9566586474825</v>
      </c>
      <c r="U11">
        <v>139.56619914782399</v>
      </c>
      <c r="V11">
        <v>138.52439991139249</v>
      </c>
      <c r="W11">
        <v>138.4097814248108</v>
      </c>
      <c r="X11">
        <v>140.3633073736207</v>
      </c>
      <c r="Y11">
        <v>138.38768592238719</v>
      </c>
      <c r="Z11">
        <v>136.70742932031769</v>
      </c>
      <c r="AA11">
        <v>138.34779673954839</v>
      </c>
      <c r="AB11">
        <v>138.10209621539431</v>
      </c>
      <c r="AC11">
        <v>138.9455515120215</v>
      </c>
      <c r="AD11">
        <v>141.12585130759689</v>
      </c>
    </row>
    <row r="12" spans="1:30" ht="15" customHeight="1" x14ac:dyDescent="0.35">
      <c r="A12" s="6" t="s">
        <v>26</v>
      </c>
      <c r="B12" s="8"/>
      <c r="C12" s="8"/>
      <c r="D12" s="8"/>
      <c r="E12" s="8"/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ht="15" customHeight="1" x14ac:dyDescent="0.35">
      <c r="A13" s="4" t="s">
        <v>27</v>
      </c>
      <c r="B13" s="8"/>
      <c r="C13" s="8"/>
      <c r="D13" s="8"/>
      <c r="E13" s="8"/>
      <c r="F13">
        <v>-2.5958614577817798</v>
      </c>
      <c r="G13">
        <v>-2.2718375301010951</v>
      </c>
      <c r="H13">
        <v>-1.641721534721114</v>
      </c>
      <c r="I13">
        <v>-0.13010910947033949</v>
      </c>
      <c r="J13">
        <v>1.095396324860531</v>
      </c>
      <c r="K13">
        <v>-0.99165457786253342</v>
      </c>
      <c r="L13">
        <v>-1.061934750850128</v>
      </c>
      <c r="M13">
        <v>4.2055431836246271E-2</v>
      </c>
      <c r="N13">
        <v>-0.21227365691470371</v>
      </c>
      <c r="O13">
        <v>-1.326330759715688E-2</v>
      </c>
      <c r="P13">
        <v>0.42673181063648258</v>
      </c>
      <c r="Q13">
        <v>0.52563161514564172</v>
      </c>
      <c r="R13">
        <v>0.66118191429882245</v>
      </c>
      <c r="S13">
        <v>-0.188614115366704</v>
      </c>
      <c r="T13">
        <v>0.32152444911807271</v>
      </c>
      <c r="U13">
        <v>0.67156910523345914</v>
      </c>
      <c r="V13">
        <v>1.443778008911494</v>
      </c>
      <c r="W13">
        <v>2.2613562004431169</v>
      </c>
      <c r="X13">
        <v>3.1268280663408352</v>
      </c>
      <c r="Y13">
        <v>3.1597804775016982</v>
      </c>
      <c r="Z13">
        <v>3.2253290969929371</v>
      </c>
      <c r="AA13">
        <v>2.790156718613332</v>
      </c>
      <c r="AB13">
        <v>3.440220814397406</v>
      </c>
      <c r="AC13">
        <v>1.890115694056504</v>
      </c>
      <c r="AD13">
        <v>1.229186002706427</v>
      </c>
    </row>
    <row r="14" spans="1:30" ht="15" customHeight="1" x14ac:dyDescent="0.35">
      <c r="A14" s="3" t="s">
        <v>28</v>
      </c>
      <c r="B14" s="8"/>
      <c r="C14" s="8"/>
      <c r="D14" s="8"/>
      <c r="E14" s="8"/>
      <c r="F14">
        <v>-0.1173702025106422</v>
      </c>
      <c r="G14">
        <v>-0.2049295454415585</v>
      </c>
      <c r="H14">
        <v>3.2451687125956141E-3</v>
      </c>
      <c r="I14">
        <v>0.18043504936153451</v>
      </c>
      <c r="J14">
        <v>-0.25831758705473362</v>
      </c>
      <c r="K14">
        <v>-0.28531197529588331</v>
      </c>
      <c r="L14">
        <v>-9.3966231446529491E-2</v>
      </c>
      <c r="M14">
        <v>-0.57675672633951081</v>
      </c>
      <c r="N14">
        <v>-1.287629269088967</v>
      </c>
      <c r="O14">
        <v>-1.300891046213138</v>
      </c>
      <c r="P14">
        <v>-1.6502647722361701</v>
      </c>
      <c r="Q14">
        <v>-0.83079472718941361</v>
      </c>
      <c r="R14">
        <v>-1.3825719734120701</v>
      </c>
      <c r="S14">
        <v>-1.5799359499551431</v>
      </c>
      <c r="T14">
        <v>-1.0542949079360819</v>
      </c>
      <c r="U14">
        <v>-1.3557993728754809</v>
      </c>
      <c r="V14">
        <v>-1.497081244480825</v>
      </c>
      <c r="W14">
        <v>-0.65776890033589552</v>
      </c>
      <c r="X14">
        <v>-0.46079243140653148</v>
      </c>
      <c r="Y14">
        <v>0.78463273445555615</v>
      </c>
      <c r="Z14">
        <v>4.7183501459358013E-2</v>
      </c>
      <c r="AA14">
        <v>0.56322649620975085</v>
      </c>
      <c r="AB14">
        <v>0.93591851189495401</v>
      </c>
      <c r="AC14">
        <v>1.709978486433215</v>
      </c>
      <c r="AD14">
        <v>0.85639536321343712</v>
      </c>
    </row>
    <row r="15" spans="1:30" ht="15" customHeight="1" x14ac:dyDescent="0.35">
      <c r="A15" s="4" t="s">
        <v>29</v>
      </c>
      <c r="B15" s="8"/>
      <c r="C15" s="8"/>
      <c r="D15" s="8"/>
      <c r="E15" s="8"/>
      <c r="F15">
        <v>0.1173702025106422</v>
      </c>
      <c r="G15">
        <v>0.2049295454415585</v>
      </c>
      <c r="H15">
        <v>-3.2451687125956141E-3</v>
      </c>
      <c r="I15">
        <v>-0.18043504936153451</v>
      </c>
      <c r="J15">
        <v>0.25831758705473362</v>
      </c>
      <c r="K15">
        <v>0.28531197529588331</v>
      </c>
      <c r="L15">
        <v>9.3966231446529491E-2</v>
      </c>
      <c r="M15">
        <v>0.57675672633951081</v>
      </c>
      <c r="N15">
        <v>1.287629269088967</v>
      </c>
      <c r="O15">
        <v>1.300891046213138</v>
      </c>
      <c r="P15">
        <v>1.6502647722361701</v>
      </c>
      <c r="Q15">
        <v>0.83079472718941361</v>
      </c>
      <c r="R15">
        <v>1.3825719734120701</v>
      </c>
      <c r="S15">
        <v>1.5799359499551431</v>
      </c>
      <c r="T15">
        <v>1.0542949079360819</v>
      </c>
      <c r="U15">
        <v>1.3557993728754809</v>
      </c>
      <c r="V15">
        <v>1.497081244480825</v>
      </c>
      <c r="W15">
        <v>0.65776890033589552</v>
      </c>
      <c r="X15">
        <v>0.46079243140653148</v>
      </c>
      <c r="Y15">
        <v>-0.78463273445555615</v>
      </c>
      <c r="Z15">
        <v>-4.7183501459358013E-2</v>
      </c>
      <c r="AA15">
        <v>-0.56322649620975085</v>
      </c>
      <c r="AB15">
        <v>-0.93591851189495401</v>
      </c>
      <c r="AC15">
        <v>-1.709978486433215</v>
      </c>
      <c r="AD15">
        <v>-0.85639536321343712</v>
      </c>
    </row>
    <row r="16" spans="1:30" ht="15" customHeight="1" x14ac:dyDescent="0.35">
      <c r="A16" s="3" t="s">
        <v>30</v>
      </c>
      <c r="B16" s="8"/>
      <c r="C16" s="8"/>
      <c r="D16" s="8"/>
      <c r="E16" s="8"/>
      <c r="F16">
        <v>129.3545265091023</v>
      </c>
      <c r="G16">
        <v>133.393634265673</v>
      </c>
      <c r="H16">
        <v>136.1391383998083</v>
      </c>
      <c r="I16">
        <v>140.24613886877691</v>
      </c>
      <c r="J16">
        <v>137.85224353759</v>
      </c>
      <c r="K16">
        <v>135.19095704699151</v>
      </c>
      <c r="L16">
        <v>134.56911423211699</v>
      </c>
      <c r="M16">
        <v>134.6714049478895</v>
      </c>
      <c r="N16">
        <v>133.9616508996821</v>
      </c>
      <c r="O16">
        <v>135.82391630952711</v>
      </c>
      <c r="P16">
        <v>137.39048311432961</v>
      </c>
      <c r="Q16">
        <v>139.29791143651681</v>
      </c>
      <c r="R16">
        <v>141.9843424301086</v>
      </c>
      <c r="S16">
        <v>138.67457738639089</v>
      </c>
      <c r="T16">
        <v>138.2781830966006</v>
      </c>
      <c r="U16">
        <v>140.23776825305751</v>
      </c>
      <c r="V16">
        <v>139.96817792030399</v>
      </c>
      <c r="W16">
        <v>140.67113762525389</v>
      </c>
      <c r="X16">
        <v>143.49013543996159</v>
      </c>
      <c r="Y16">
        <v>141.54746639988889</v>
      </c>
      <c r="Z16">
        <v>139.93275841731059</v>
      </c>
      <c r="AA16">
        <v>141.1379534581618</v>
      </c>
      <c r="AB16">
        <v>141.54231702979169</v>
      </c>
      <c r="AC16">
        <v>140.835667206078</v>
      </c>
      <c r="AD16">
        <v>142.35503731030329</v>
      </c>
    </row>
    <row r="17" spans="1:30" ht="15" customHeight="1" x14ac:dyDescent="0.35">
      <c r="A17" s="5" t="s">
        <v>31</v>
      </c>
      <c r="B17" s="8"/>
      <c r="C17" s="8"/>
      <c r="D17" s="8"/>
      <c r="E17" s="8"/>
      <c r="F17">
        <v>1.420562833875741</v>
      </c>
      <c r="G17">
        <v>1.373162803645541</v>
      </c>
      <c r="H17">
        <v>1.223783575717392</v>
      </c>
      <c r="I17">
        <v>1.267723234745683</v>
      </c>
      <c r="J17">
        <v>1.3305308580986881</v>
      </c>
      <c r="K17">
        <v>1.233604308784352</v>
      </c>
      <c r="L17">
        <v>1.2737699201319821</v>
      </c>
      <c r="M17">
        <v>1.3338378852314261</v>
      </c>
      <c r="N17">
        <v>1.3410876282187549</v>
      </c>
      <c r="O17">
        <v>1.336395634700682</v>
      </c>
      <c r="P17">
        <v>1.3222391978686969</v>
      </c>
      <c r="Q17">
        <v>1.318524554483012</v>
      </c>
      <c r="R17">
        <v>1.267315508616246</v>
      </c>
      <c r="S17">
        <v>1.2983826331980779</v>
      </c>
      <c r="T17">
        <v>1.265612784150562</v>
      </c>
      <c r="U17">
        <v>1.286760658632214</v>
      </c>
      <c r="V17">
        <v>1.382694322536574</v>
      </c>
      <c r="W17">
        <v>1.364250051044871</v>
      </c>
      <c r="X17">
        <v>1.345233234348638</v>
      </c>
      <c r="Y17">
        <v>1.3398438163939561</v>
      </c>
      <c r="Z17">
        <v>1.379691222833894</v>
      </c>
      <c r="AA17">
        <v>1.4106683629706109</v>
      </c>
      <c r="AB17">
        <v>1.412180350347696</v>
      </c>
      <c r="AC17">
        <v>1.4096300371943939</v>
      </c>
      <c r="AD17">
        <v>1.474550086054496</v>
      </c>
    </row>
    <row r="18" spans="1:30" ht="15" customHeight="1" x14ac:dyDescent="0.35"/>
    <row r="19" spans="1:30" ht="15" customHeight="1" x14ac:dyDescent="0.35">
      <c r="A19" s="1" t="s">
        <v>33</v>
      </c>
      <c r="B19" s="2">
        <v>2016</v>
      </c>
      <c r="C19" s="2">
        <v>2017</v>
      </c>
      <c r="D19" s="2">
        <v>2018</v>
      </c>
      <c r="E19" s="2">
        <v>2019</v>
      </c>
      <c r="F19" s="2" t="s">
        <v>1</v>
      </c>
      <c r="G19" s="2" t="s">
        <v>2</v>
      </c>
      <c r="H19" s="2" t="s">
        <v>3</v>
      </c>
      <c r="I19" s="2" t="s">
        <v>4</v>
      </c>
      <c r="J19" s="2" t="s">
        <v>5</v>
      </c>
      <c r="K19" s="2" t="s">
        <v>6</v>
      </c>
      <c r="L19" s="2" t="s">
        <v>7</v>
      </c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V19" s="2" t="s">
        <v>17</v>
      </c>
      <c r="W19" s="2" t="s">
        <v>18</v>
      </c>
      <c r="X19" s="2" t="s">
        <v>19</v>
      </c>
      <c r="Y19" s="2" t="s">
        <v>20</v>
      </c>
      <c r="Z19" s="116" t="s">
        <v>21</v>
      </c>
      <c r="AA19" s="116" t="s">
        <v>22</v>
      </c>
      <c r="AB19" s="116" t="s">
        <v>23</v>
      </c>
      <c r="AC19" s="116" t="s">
        <v>24</v>
      </c>
    </row>
    <row r="20" spans="1:30" ht="15" customHeight="1" x14ac:dyDescent="0.35">
      <c r="A20" s="5" t="s">
        <v>25</v>
      </c>
      <c r="B20">
        <v>131.17685376203161</v>
      </c>
      <c r="C20">
        <v>136.73937959782319</v>
      </c>
      <c r="D20">
        <v>136.8034875784119</v>
      </c>
      <c r="E20">
        <v>132.5380299719825</v>
      </c>
      <c r="F20">
        <v>131.13303029419251</v>
      </c>
      <c r="G20">
        <v>132.90504284604401</v>
      </c>
      <c r="H20">
        <v>133.9304786690208</v>
      </c>
      <c r="I20">
        <v>132.8038095162421</v>
      </c>
      <c r="J20">
        <v>135.4481125583965</v>
      </c>
      <c r="K20">
        <v>135.1873517847032</v>
      </c>
      <c r="L20">
        <v>134.94601738902409</v>
      </c>
      <c r="M20">
        <v>132.89927866287411</v>
      </c>
      <c r="N20">
        <v>134.06325322076779</v>
      </c>
      <c r="O20">
        <v>136.81720801029189</v>
      </c>
      <c r="P20">
        <v>138.00243272817349</v>
      </c>
      <c r="Q20">
        <v>139.7779316361283</v>
      </c>
      <c r="R20">
        <v>141.27719036447311</v>
      </c>
      <c r="S20">
        <v>140.587337420209</v>
      </c>
      <c r="T20">
        <v>140.72102580751559</v>
      </c>
      <c r="U20">
        <v>139.0251422865112</v>
      </c>
      <c r="V20">
        <v>138.131634820861</v>
      </c>
      <c r="W20">
        <v>140.1735622972094</v>
      </c>
      <c r="X20">
        <v>141.55375224123731</v>
      </c>
      <c r="Y20">
        <v>139.97097369283409</v>
      </c>
      <c r="Z20">
        <v>139.83315040104489</v>
      </c>
      <c r="AA20">
        <v>140.63433560368551</v>
      </c>
      <c r="AB20">
        <v>140.9638839291236</v>
      </c>
      <c r="AC20">
        <v>141.85748818430829</v>
      </c>
      <c r="AD20">
        <v>142.89839937409431</v>
      </c>
    </row>
    <row r="21" spans="1:30" ht="15" customHeight="1" x14ac:dyDescent="0.35">
      <c r="A21" s="6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ht="15" customHeight="1" x14ac:dyDescent="0.35">
      <c r="A22" s="4" t="s">
        <v>27</v>
      </c>
      <c r="B22">
        <v>-0.32795420321664892</v>
      </c>
      <c r="C22">
        <v>0.20210618150272811</v>
      </c>
      <c r="D22">
        <v>-0.1941306522697914</v>
      </c>
      <c r="E22">
        <v>4.6002039495817833E-2</v>
      </c>
      <c r="F22">
        <v>0.5322460588374156</v>
      </c>
      <c r="G22">
        <v>0.71345068737792872</v>
      </c>
      <c r="H22">
        <v>-0.27007228826684582</v>
      </c>
      <c r="I22">
        <v>-0.83970892481812598</v>
      </c>
      <c r="J22">
        <v>-0.28336521895332112</v>
      </c>
      <c r="K22">
        <v>9.654683198820635E-2</v>
      </c>
      <c r="L22">
        <v>-9.8860349817442739E-2</v>
      </c>
      <c r="M22">
        <v>-1.1380306289850071</v>
      </c>
      <c r="N22">
        <v>-1.0378799228914199</v>
      </c>
      <c r="O22">
        <v>0.13115546579882681</v>
      </c>
      <c r="P22">
        <v>0.1914261874962051</v>
      </c>
      <c r="Q22">
        <v>-7.3111642794515319E-2</v>
      </c>
      <c r="R22">
        <v>0.75034850399856623</v>
      </c>
      <c r="S22">
        <v>0.82560055919651631</v>
      </c>
      <c r="T22">
        <v>0.86082023840722854</v>
      </c>
      <c r="U22">
        <v>0.25128083158347181</v>
      </c>
      <c r="V22">
        <v>-9.494944155238727E-2</v>
      </c>
      <c r="W22">
        <v>6.6801119720025781E-3</v>
      </c>
      <c r="X22">
        <v>0.37649878797637371</v>
      </c>
      <c r="Y22">
        <v>0.43243354153955238</v>
      </c>
      <c r="Z22">
        <v>1.0053153866700479</v>
      </c>
      <c r="AA22">
        <v>1.11175795076187</v>
      </c>
      <c r="AB22">
        <v>1.8168112537537411</v>
      </c>
      <c r="AC22">
        <v>2.6050902199873458</v>
      </c>
      <c r="AD22">
        <v>2.0098244678822819</v>
      </c>
    </row>
    <row r="23" spans="1:30" ht="15" customHeight="1" x14ac:dyDescent="0.35">
      <c r="A23" s="3" t="s">
        <v>28</v>
      </c>
      <c r="B23">
        <v>-0.48077299177805338</v>
      </c>
      <c r="C23">
        <v>0.29742496784831468</v>
      </c>
      <c r="D23">
        <v>0.2883950748326356</v>
      </c>
      <c r="E23">
        <v>0.13368594129383379</v>
      </c>
      <c r="F23">
        <v>-0.35590628623191378</v>
      </c>
      <c r="G23">
        <v>-0.39916325691257271</v>
      </c>
      <c r="H23">
        <v>1.5803735301147981E-2</v>
      </c>
      <c r="I23">
        <v>0.29142925755874671</v>
      </c>
      <c r="J23">
        <v>0.22685780712737369</v>
      </c>
      <c r="K23">
        <v>0.15910037670965951</v>
      </c>
      <c r="L23">
        <v>-0.16651054569609869</v>
      </c>
      <c r="M23">
        <v>-0.64123410559412264</v>
      </c>
      <c r="N23">
        <v>-1.406421035983783</v>
      </c>
      <c r="O23">
        <v>-1.3721178227969519</v>
      </c>
      <c r="P23">
        <v>-1.355936225063999</v>
      </c>
      <c r="Q23">
        <v>-1.298567162626824</v>
      </c>
      <c r="R23">
        <v>-1.229673203613459</v>
      </c>
      <c r="S23">
        <v>-1.4790927891037879</v>
      </c>
      <c r="T23">
        <v>-1.4399127203864741</v>
      </c>
      <c r="U23">
        <v>-1.435633622756711</v>
      </c>
      <c r="V23">
        <v>-1.463722377214111</v>
      </c>
      <c r="W23">
        <v>-1.1069719894153141</v>
      </c>
      <c r="X23">
        <v>-0.6383671688126924</v>
      </c>
      <c r="Y23">
        <v>0.44202526274585813</v>
      </c>
      <c r="Z23">
        <v>0.22940979528780761</v>
      </c>
      <c r="AA23">
        <v>0.23943624345429271</v>
      </c>
      <c r="AB23">
        <v>0.95567212066643492</v>
      </c>
      <c r="AC23">
        <v>1.511380659816695</v>
      </c>
      <c r="AD23">
        <v>1.511298575462575</v>
      </c>
    </row>
    <row r="24" spans="1:30" ht="15" customHeight="1" x14ac:dyDescent="0.35">
      <c r="A24" s="4" t="s">
        <v>29</v>
      </c>
      <c r="B24">
        <v>0.48077299177805338</v>
      </c>
      <c r="C24">
        <v>-0.29742496784831468</v>
      </c>
      <c r="D24">
        <v>-0.2883950748326356</v>
      </c>
      <c r="E24">
        <v>-0.13368594129383379</v>
      </c>
      <c r="F24">
        <v>0.35590628623191378</v>
      </c>
      <c r="G24">
        <v>0.39916325691257271</v>
      </c>
      <c r="H24">
        <v>-1.5803735301147981E-2</v>
      </c>
      <c r="I24">
        <v>-0.29142925755874671</v>
      </c>
      <c r="J24">
        <v>-0.22685780712737369</v>
      </c>
      <c r="K24">
        <v>-0.15910037670965951</v>
      </c>
      <c r="L24">
        <v>0.16651054569609869</v>
      </c>
      <c r="M24">
        <v>0.64123410559412264</v>
      </c>
      <c r="N24">
        <v>1.406421035983783</v>
      </c>
      <c r="O24">
        <v>1.3721178227969519</v>
      </c>
      <c r="P24">
        <v>1.355936225063999</v>
      </c>
      <c r="Q24">
        <v>1.298567162626824</v>
      </c>
      <c r="R24">
        <v>1.229673203613459</v>
      </c>
      <c r="S24">
        <v>1.4790927891037879</v>
      </c>
      <c r="T24">
        <v>1.4399127203864741</v>
      </c>
      <c r="U24">
        <v>1.435633622756711</v>
      </c>
      <c r="V24">
        <v>1.463722377214111</v>
      </c>
      <c r="W24">
        <v>1.1069719894153141</v>
      </c>
      <c r="X24">
        <v>0.6383671688126924</v>
      </c>
      <c r="Y24">
        <v>-0.44202526274585813</v>
      </c>
      <c r="Z24">
        <v>-0.22940979528780761</v>
      </c>
      <c r="AA24">
        <v>-0.23943624345429271</v>
      </c>
      <c r="AB24">
        <v>-0.95567212066643492</v>
      </c>
      <c r="AC24">
        <v>-1.511380659816695</v>
      </c>
      <c r="AD24">
        <v>-1.511298575462575</v>
      </c>
    </row>
    <row r="25" spans="1:30" ht="15" customHeight="1" x14ac:dyDescent="0.35">
      <c r="A25" s="3" t="s">
        <v>30</v>
      </c>
      <c r="B25">
        <v>130.84889955881499</v>
      </c>
      <c r="C25">
        <v>136.941485779326</v>
      </c>
      <c r="D25">
        <v>136.60935692614211</v>
      </c>
      <c r="E25">
        <v>132.58403201147831</v>
      </c>
      <c r="F25">
        <v>131.66527635303001</v>
      </c>
      <c r="G25">
        <v>133.618493533422</v>
      </c>
      <c r="H25">
        <v>133.66040638075401</v>
      </c>
      <c r="I25">
        <v>131.96410059142389</v>
      </c>
      <c r="J25">
        <v>135.16474733944321</v>
      </c>
      <c r="K25">
        <v>135.2838986166914</v>
      </c>
      <c r="L25">
        <v>134.84715703920671</v>
      </c>
      <c r="M25">
        <v>131.7612480338891</v>
      </c>
      <c r="N25">
        <v>133.02537329787631</v>
      </c>
      <c r="O25">
        <v>136.9483634760908</v>
      </c>
      <c r="P25">
        <v>138.19385891566969</v>
      </c>
      <c r="Q25">
        <v>139.70481999333381</v>
      </c>
      <c r="R25">
        <v>142.02753886847159</v>
      </c>
      <c r="S25">
        <v>141.41293797940551</v>
      </c>
      <c r="T25">
        <v>141.5818460459229</v>
      </c>
      <c r="U25">
        <v>139.27642311809461</v>
      </c>
      <c r="V25">
        <v>138.03668537930861</v>
      </c>
      <c r="W25">
        <v>140.1802424091814</v>
      </c>
      <c r="X25">
        <v>141.93025102921371</v>
      </c>
      <c r="Y25">
        <v>140.40340723437359</v>
      </c>
      <c r="Z25">
        <v>140.83846578771499</v>
      </c>
      <c r="AA25">
        <v>141.74609355444741</v>
      </c>
      <c r="AB25">
        <v>142.78069518287739</v>
      </c>
      <c r="AC25">
        <v>144.4625784042957</v>
      </c>
      <c r="AD25">
        <v>144.90822384197651</v>
      </c>
    </row>
    <row r="26" spans="1:30" ht="15" customHeight="1" x14ac:dyDescent="0.35">
      <c r="A26" s="5" t="s">
        <v>31</v>
      </c>
      <c r="B26">
        <v>2.1505527710127028</v>
      </c>
      <c r="C26">
        <v>2.2073907181826562</v>
      </c>
      <c r="D26">
        <v>2.109702937781504</v>
      </c>
      <c r="E26">
        <v>2.0875658921650411</v>
      </c>
      <c r="F26">
        <v>1.9401142496151591</v>
      </c>
      <c r="G26">
        <v>1.9433066449508209</v>
      </c>
      <c r="H26">
        <v>1.900388923202319</v>
      </c>
      <c r="I26">
        <v>2.0282541898629738</v>
      </c>
      <c r="J26">
        <v>1.733604245894351</v>
      </c>
      <c r="K26">
        <v>1.5122458042599709</v>
      </c>
      <c r="L26">
        <v>1.617314607537824</v>
      </c>
      <c r="M26">
        <v>1.686792479948114</v>
      </c>
      <c r="N26">
        <v>1.6567267240278361</v>
      </c>
      <c r="O26">
        <v>1.666277658505479</v>
      </c>
      <c r="P26">
        <v>1.6871016744128751</v>
      </c>
      <c r="Q26">
        <v>1.6874039763372579</v>
      </c>
      <c r="R26">
        <v>1.732881871301001</v>
      </c>
      <c r="S26">
        <v>1.5404666050538021</v>
      </c>
      <c r="T26">
        <v>1.4968257611641651</v>
      </c>
      <c r="U26">
        <v>1.4613720884398971</v>
      </c>
      <c r="V26">
        <v>1.483238395906054</v>
      </c>
      <c r="W26">
        <v>1.477027548008337</v>
      </c>
      <c r="X26">
        <v>1.4906500591762599</v>
      </c>
      <c r="Y26">
        <v>1.484927774966508</v>
      </c>
      <c r="Z26">
        <v>1.487820875466894</v>
      </c>
      <c r="AA26">
        <v>1.428642497686212</v>
      </c>
      <c r="AB26">
        <v>1.4245559960713881</v>
      </c>
      <c r="AC26">
        <v>1.421055712483726</v>
      </c>
      <c r="AD26">
        <v>1.4520697213840039</v>
      </c>
    </row>
    <row r="27" spans="1:30" ht="15" customHeight="1" x14ac:dyDescent="0.35"/>
    <row r="28" spans="1:30" ht="15" customHeight="1" x14ac:dyDescent="0.35">
      <c r="A28" s="1" t="s">
        <v>34</v>
      </c>
      <c r="B28" s="2">
        <v>2016</v>
      </c>
      <c r="C28" s="2">
        <v>2017</v>
      </c>
      <c r="D28" s="2">
        <v>2018</v>
      </c>
      <c r="E28" s="2">
        <v>2019</v>
      </c>
      <c r="F28" s="2" t="s">
        <v>1</v>
      </c>
      <c r="G28" s="2" t="s">
        <v>2</v>
      </c>
      <c r="H28" s="2" t="s">
        <v>3</v>
      </c>
      <c r="I28" s="2" t="s">
        <v>4</v>
      </c>
      <c r="J28" s="2" t="s">
        <v>5</v>
      </c>
      <c r="K28" s="2" t="s">
        <v>6</v>
      </c>
      <c r="L28" s="2" t="s">
        <v>7</v>
      </c>
      <c r="M28" s="2" t="s">
        <v>8</v>
      </c>
      <c r="N28" s="2" t="s">
        <v>9</v>
      </c>
      <c r="O28" s="2" t="s">
        <v>10</v>
      </c>
      <c r="P28" s="2" t="s">
        <v>11</v>
      </c>
      <c r="Q28" s="2" t="s">
        <v>12</v>
      </c>
      <c r="R28" s="2" t="s">
        <v>13</v>
      </c>
      <c r="S28" s="2" t="s">
        <v>14</v>
      </c>
      <c r="T28" s="2" t="s">
        <v>15</v>
      </c>
      <c r="U28" s="2" t="s">
        <v>16</v>
      </c>
      <c r="V28" s="2" t="s">
        <v>17</v>
      </c>
      <c r="W28" s="2" t="s">
        <v>18</v>
      </c>
      <c r="X28" s="2" t="s">
        <v>19</v>
      </c>
      <c r="Y28" s="2" t="s">
        <v>20</v>
      </c>
      <c r="Z28" s="116" t="s">
        <v>21</v>
      </c>
      <c r="AA28" s="116" t="s">
        <v>22</v>
      </c>
      <c r="AB28" s="116" t="s">
        <v>23</v>
      </c>
      <c r="AC28" s="116" t="s">
        <v>24</v>
      </c>
    </row>
    <row r="29" spans="1:30" ht="15" customHeight="1" x14ac:dyDescent="0.35">
      <c r="A29" s="5" t="s">
        <v>25</v>
      </c>
      <c r="B29">
        <v>129.64201498749151</v>
      </c>
      <c r="C29">
        <v>131.65669087886269</v>
      </c>
      <c r="D29">
        <v>131.56906274702311</v>
      </c>
      <c r="E29">
        <v>129.50527432403919</v>
      </c>
      <c r="F29">
        <v>130.03039565128549</v>
      </c>
      <c r="G29">
        <v>133.13561972496839</v>
      </c>
      <c r="H29">
        <v>135.524196498951</v>
      </c>
      <c r="I29">
        <v>135.28732548834151</v>
      </c>
      <c r="J29">
        <v>135.28771439688319</v>
      </c>
      <c r="K29">
        <v>135.49900659610029</v>
      </c>
      <c r="L29">
        <v>135.05653202064309</v>
      </c>
      <c r="M29">
        <v>133.6533590478692</v>
      </c>
      <c r="N29">
        <v>134.54999962165849</v>
      </c>
      <c r="O29">
        <v>136.72731168449579</v>
      </c>
      <c r="P29">
        <v>137.2711437909899</v>
      </c>
      <c r="Q29">
        <v>138.3019509586567</v>
      </c>
      <c r="R29">
        <v>139.23034679005499</v>
      </c>
      <c r="S29">
        <v>137.71583923941381</v>
      </c>
      <c r="T29">
        <v>138.53983622019501</v>
      </c>
      <c r="U29">
        <v>137.48747271961969</v>
      </c>
      <c r="V29">
        <v>136.76023284432631</v>
      </c>
      <c r="W29">
        <v>137.47802427838079</v>
      </c>
      <c r="X29">
        <v>138.54353569478641</v>
      </c>
      <c r="Y29">
        <v>137.2090482829978</v>
      </c>
      <c r="Z29">
        <v>136.66839841462689</v>
      </c>
      <c r="AA29">
        <v>137.94719223853701</v>
      </c>
      <c r="AB29">
        <v>138.66054717924419</v>
      </c>
      <c r="AC29">
        <v>140.03751697543669</v>
      </c>
      <c r="AD29">
        <v>141.528455348374</v>
      </c>
    </row>
    <row r="30" spans="1:30" ht="15" customHeight="1" x14ac:dyDescent="0.35">
      <c r="A30" s="6" t="s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ht="15" customHeight="1" x14ac:dyDescent="0.35">
      <c r="A31" s="4" t="s">
        <v>27</v>
      </c>
      <c r="B31">
        <v>0.55168785245288632</v>
      </c>
      <c r="C31">
        <v>0.53745687663322883</v>
      </c>
      <c r="D31">
        <v>0.47283336214303517</v>
      </c>
      <c r="E31">
        <v>0.26299826185862679</v>
      </c>
      <c r="F31">
        <v>-0.1770534568650248</v>
      </c>
      <c r="G31">
        <v>-0.23517458919559431</v>
      </c>
      <c r="H31">
        <v>0.1178711998851725</v>
      </c>
      <c r="I31">
        <v>4.1467994688389347E-2</v>
      </c>
      <c r="J31">
        <v>0.8857700938407902</v>
      </c>
      <c r="K31">
        <v>1.041958427149666</v>
      </c>
      <c r="L31">
        <v>0.74064638104883329</v>
      </c>
      <c r="M31">
        <v>0.42910053652332181</v>
      </c>
      <c r="N31">
        <v>-0.22394536943886581</v>
      </c>
      <c r="O31">
        <v>-4.0705243615462898E-2</v>
      </c>
      <c r="P31">
        <v>-0.48924384985369329</v>
      </c>
      <c r="Q31">
        <v>0.1411810778230915</v>
      </c>
      <c r="R31">
        <v>-3.8606968716720758E-2</v>
      </c>
      <c r="S31">
        <v>-0.33664797160753318</v>
      </c>
      <c r="T31">
        <v>0.57101574157928781</v>
      </c>
      <c r="U31">
        <v>0.47417659894267672</v>
      </c>
      <c r="V31">
        <v>0.95904886359991792</v>
      </c>
      <c r="W31">
        <v>1.7697236949085211</v>
      </c>
      <c r="X31">
        <v>2.0103730940855371</v>
      </c>
      <c r="Y31">
        <v>2.1616877109476889</v>
      </c>
      <c r="Z31">
        <v>2.2549256302598049</v>
      </c>
      <c r="AA31">
        <v>1.949069043913312</v>
      </c>
      <c r="AB31">
        <v>2.2586721683982769</v>
      </c>
      <c r="AC31">
        <v>2.8003719644495959</v>
      </c>
      <c r="AD31">
        <v>2.1336389136981779</v>
      </c>
    </row>
    <row r="32" spans="1:30" ht="15" customHeight="1" x14ac:dyDescent="0.35">
      <c r="A32" s="3" t="s">
        <v>28</v>
      </c>
      <c r="B32">
        <v>-0.51258550622338817</v>
      </c>
      <c r="C32">
        <v>0.27300264282047237</v>
      </c>
      <c r="D32">
        <v>0.28674551043519608</v>
      </c>
      <c r="E32">
        <v>8.7854084992784465E-3</v>
      </c>
      <c r="F32">
        <v>-5.7963399803412592E-2</v>
      </c>
      <c r="G32">
        <v>-0.23514923277392091</v>
      </c>
      <c r="H32">
        <v>-0.17763245810604639</v>
      </c>
      <c r="I32">
        <v>0.39104338510543363</v>
      </c>
      <c r="J32">
        <v>0.16365720842696871</v>
      </c>
      <c r="K32">
        <v>0.14110014452674591</v>
      </c>
      <c r="L32">
        <v>-0.19682374508499831</v>
      </c>
      <c r="M32">
        <v>-0.69220439175350634</v>
      </c>
      <c r="N32">
        <v>-1.015716689774081</v>
      </c>
      <c r="O32">
        <v>-1.5663498716684501</v>
      </c>
      <c r="P32">
        <v>-1.584362709364967</v>
      </c>
      <c r="Q32">
        <v>-1.308348837421931</v>
      </c>
      <c r="R32">
        <v>-1.0537593670993031</v>
      </c>
      <c r="S32">
        <v>-0.95726796015017612</v>
      </c>
      <c r="T32">
        <v>-1.3703764248640771</v>
      </c>
      <c r="U32">
        <v>-1.3584951647645771</v>
      </c>
      <c r="V32">
        <v>-1.6674838521355471</v>
      </c>
      <c r="W32">
        <v>-1.1614307655167411</v>
      </c>
      <c r="X32">
        <v>-0.66741053516162197</v>
      </c>
      <c r="Y32">
        <v>0.10374512414423979</v>
      </c>
      <c r="Z32">
        <v>0.33099156580945532</v>
      </c>
      <c r="AA32">
        <v>0.40683462418954258</v>
      </c>
      <c r="AB32">
        <v>0.67784690711440021</v>
      </c>
      <c r="AC32">
        <v>1.6772276675288249</v>
      </c>
      <c r="AD32">
        <v>0.91825423237821724</v>
      </c>
    </row>
    <row r="33" spans="1:30" ht="15" customHeight="1" x14ac:dyDescent="0.35">
      <c r="A33" s="4" t="s">
        <v>29</v>
      </c>
      <c r="B33">
        <v>0.51258550622338817</v>
      </c>
      <c r="C33">
        <v>-0.27300264282047237</v>
      </c>
      <c r="D33">
        <v>-0.28674551043519608</v>
      </c>
      <c r="E33">
        <v>-8.7854084992784465E-3</v>
      </c>
      <c r="F33">
        <v>5.7963399803412592E-2</v>
      </c>
      <c r="G33">
        <v>0.23514923277392091</v>
      </c>
      <c r="H33">
        <v>0.17763245810604639</v>
      </c>
      <c r="I33">
        <v>-0.39104338510543363</v>
      </c>
      <c r="J33">
        <v>-0.16365720842696871</v>
      </c>
      <c r="K33">
        <v>-0.14110014452674591</v>
      </c>
      <c r="L33">
        <v>0.19682374508499831</v>
      </c>
      <c r="M33">
        <v>0.69220439175350634</v>
      </c>
      <c r="N33">
        <v>1.015716689774081</v>
      </c>
      <c r="O33">
        <v>1.5663498716684501</v>
      </c>
      <c r="P33">
        <v>1.584362709364967</v>
      </c>
      <c r="Q33">
        <v>1.308348837421931</v>
      </c>
      <c r="R33">
        <v>1.0537593670993031</v>
      </c>
      <c r="S33">
        <v>0.95726796015017612</v>
      </c>
      <c r="T33">
        <v>1.3703764248640771</v>
      </c>
      <c r="U33">
        <v>1.3584951647645771</v>
      </c>
      <c r="V33">
        <v>1.6674838521355471</v>
      </c>
      <c r="W33">
        <v>1.1614307655167411</v>
      </c>
      <c r="X33">
        <v>0.66741053516162197</v>
      </c>
      <c r="Y33">
        <v>-0.10374512414423979</v>
      </c>
      <c r="Z33">
        <v>-0.33099156580945532</v>
      </c>
      <c r="AA33">
        <v>-0.40683462418954258</v>
      </c>
      <c r="AB33">
        <v>-0.67784690711440021</v>
      </c>
      <c r="AC33">
        <v>-1.6772276675288249</v>
      </c>
      <c r="AD33">
        <v>-0.91825423237821724</v>
      </c>
    </row>
    <row r="34" spans="1:30" ht="15" customHeight="1" x14ac:dyDescent="0.35">
      <c r="A34" s="3" t="s">
        <v>30</v>
      </c>
      <c r="B34">
        <v>130.19370283994439</v>
      </c>
      <c r="C34">
        <v>132.19414775549589</v>
      </c>
      <c r="D34">
        <v>132.04189610916609</v>
      </c>
      <c r="E34">
        <v>129.76827258589779</v>
      </c>
      <c r="F34">
        <v>129.85334219442041</v>
      </c>
      <c r="G34">
        <v>132.90044513577291</v>
      </c>
      <c r="H34">
        <v>135.64206769883609</v>
      </c>
      <c r="I34">
        <v>135.3287934830299</v>
      </c>
      <c r="J34">
        <v>136.17348449072401</v>
      </c>
      <c r="K34">
        <v>136.5409650232499</v>
      </c>
      <c r="L34">
        <v>135.79717840169189</v>
      </c>
      <c r="M34">
        <v>134.08245958439261</v>
      </c>
      <c r="N34">
        <v>134.32605425221959</v>
      </c>
      <c r="O34">
        <v>136.68660644088041</v>
      </c>
      <c r="P34">
        <v>136.7818999411362</v>
      </c>
      <c r="Q34">
        <v>138.4431320364798</v>
      </c>
      <c r="R34">
        <v>139.1917398213383</v>
      </c>
      <c r="S34">
        <v>137.37919126780631</v>
      </c>
      <c r="T34">
        <v>139.11085196177419</v>
      </c>
      <c r="U34">
        <v>137.96164931856239</v>
      </c>
      <c r="V34">
        <v>137.71928170792631</v>
      </c>
      <c r="W34">
        <v>139.24774797328931</v>
      </c>
      <c r="X34">
        <v>140.55390878887189</v>
      </c>
      <c r="Y34">
        <v>139.37073599394549</v>
      </c>
      <c r="Z34">
        <v>138.9233240448867</v>
      </c>
      <c r="AA34">
        <v>139.8962612824503</v>
      </c>
      <c r="AB34">
        <v>140.9192193476425</v>
      </c>
      <c r="AC34">
        <v>142.83788893988631</v>
      </c>
      <c r="AD34">
        <v>143.66209426207209</v>
      </c>
    </row>
    <row r="35" spans="1:30" ht="15" customHeight="1" x14ac:dyDescent="0.35">
      <c r="A35" s="5" t="s">
        <v>31</v>
      </c>
      <c r="B35">
        <v>1.94697556828344</v>
      </c>
      <c r="C35">
        <v>1.940030963535629</v>
      </c>
      <c r="D35">
        <v>1.9871148767797191</v>
      </c>
      <c r="E35">
        <v>2.0859932777312431</v>
      </c>
      <c r="F35">
        <v>2.079297907023292</v>
      </c>
      <c r="G35">
        <v>2.102412821476165</v>
      </c>
      <c r="H35">
        <v>1.8205477048878871</v>
      </c>
      <c r="I35">
        <v>1.8048166083353561</v>
      </c>
      <c r="J35">
        <v>1.70060930845446</v>
      </c>
      <c r="K35">
        <v>1.570512902924778</v>
      </c>
      <c r="L35">
        <v>1.5917274784908431</v>
      </c>
      <c r="M35">
        <v>1.6099823270589291</v>
      </c>
      <c r="N35">
        <v>1.5700251368339639</v>
      </c>
      <c r="O35">
        <v>1.5217243485897409</v>
      </c>
      <c r="P35">
        <v>1.5389668436470849</v>
      </c>
      <c r="Q35">
        <v>1.481661483129213</v>
      </c>
      <c r="R35">
        <v>1.47521986946807</v>
      </c>
      <c r="S35">
        <v>1.5151541600463529</v>
      </c>
      <c r="T35">
        <v>1.425516191426129</v>
      </c>
      <c r="U35">
        <v>1.429453549459184</v>
      </c>
      <c r="V35">
        <v>1.5282341698813779</v>
      </c>
      <c r="W35">
        <v>1.4897571368222191</v>
      </c>
      <c r="X35">
        <v>1.4524382053635221</v>
      </c>
      <c r="Y35">
        <v>1.4626334704122199</v>
      </c>
      <c r="Z35">
        <v>1.4844701429154039</v>
      </c>
      <c r="AA35">
        <v>1.4252152834961589</v>
      </c>
      <c r="AB35">
        <v>1.43153167022646</v>
      </c>
      <c r="AC35">
        <v>1.4182828087831001</v>
      </c>
      <c r="AD35">
        <v>1.485073191656626</v>
      </c>
    </row>
    <row r="36" spans="1:30" ht="15" customHeight="1" x14ac:dyDescent="0.35"/>
    <row r="37" spans="1:30" ht="15" customHeight="1" x14ac:dyDescent="0.35">
      <c r="A37" s="1" t="s">
        <v>35</v>
      </c>
      <c r="B37" s="25"/>
      <c r="C37" s="25"/>
      <c r="D37" s="25"/>
      <c r="E37" s="25"/>
      <c r="F37" s="2" t="s">
        <v>1</v>
      </c>
      <c r="G37" s="2" t="s">
        <v>2</v>
      </c>
      <c r="H37" s="2" t="s">
        <v>3</v>
      </c>
      <c r="I37" s="2" t="s">
        <v>4</v>
      </c>
      <c r="J37" s="2" t="s">
        <v>5</v>
      </c>
      <c r="K37" s="2" t="s">
        <v>6</v>
      </c>
      <c r="L37" s="2" t="s">
        <v>7</v>
      </c>
      <c r="M37" s="2" t="s">
        <v>8</v>
      </c>
      <c r="N37" s="2" t="s">
        <v>9</v>
      </c>
      <c r="O37" s="2" t="s">
        <v>10</v>
      </c>
      <c r="P37" s="2" t="s">
        <v>11</v>
      </c>
      <c r="Q37" s="2" t="s">
        <v>12</v>
      </c>
      <c r="R37" s="2" t="s">
        <v>13</v>
      </c>
      <c r="S37" s="2" t="s">
        <v>14</v>
      </c>
      <c r="T37" s="2" t="s">
        <v>15</v>
      </c>
      <c r="U37" s="2" t="s">
        <v>16</v>
      </c>
      <c r="V37" s="2" t="s">
        <v>17</v>
      </c>
      <c r="W37" s="2" t="s">
        <v>18</v>
      </c>
      <c r="X37" s="2" t="s">
        <v>19</v>
      </c>
      <c r="Y37" s="2" t="s">
        <v>20</v>
      </c>
      <c r="Z37" s="116" t="s">
        <v>21</v>
      </c>
      <c r="AA37" s="116" t="s">
        <v>22</v>
      </c>
      <c r="AB37" s="116" t="s">
        <v>23</v>
      </c>
      <c r="AC37" s="116" t="s">
        <v>24</v>
      </c>
    </row>
    <row r="38" spans="1:30" ht="15" customHeight="1" x14ac:dyDescent="0.35">
      <c r="A38" s="5" t="s">
        <v>25</v>
      </c>
      <c r="B38" s="8"/>
      <c r="C38" s="8"/>
      <c r="D38" s="8"/>
      <c r="E38" s="8"/>
      <c r="F38">
        <v>132.3830679174151</v>
      </c>
      <c r="G38">
        <v>133.22864053407059</v>
      </c>
      <c r="H38">
        <v>136.30165783621021</v>
      </c>
      <c r="I38">
        <v>135.3824245085064</v>
      </c>
      <c r="J38">
        <v>133.83570351401411</v>
      </c>
      <c r="K38">
        <v>131.87489783492529</v>
      </c>
      <c r="L38">
        <v>131.13569156501919</v>
      </c>
      <c r="M38">
        <v>129.47230286810949</v>
      </c>
      <c r="N38">
        <v>129.34472841048469</v>
      </c>
      <c r="O38">
        <v>131.4534857039441</v>
      </c>
      <c r="P38">
        <v>131.7155339764507</v>
      </c>
      <c r="Q38">
        <v>131.25851429906621</v>
      </c>
      <c r="R38">
        <v>132.73384871823549</v>
      </c>
      <c r="S38">
        <v>133.4421953804156</v>
      </c>
      <c r="T38">
        <v>133.76755452848761</v>
      </c>
      <c r="U38">
        <v>135.3136659257851</v>
      </c>
      <c r="V38">
        <v>136.174564953763</v>
      </c>
      <c r="W38">
        <v>136.81709999339159</v>
      </c>
      <c r="X38">
        <v>136.69241262670499</v>
      </c>
      <c r="Y38">
        <v>134.948750294055</v>
      </c>
      <c r="Z38">
        <v>134.57147996843619</v>
      </c>
      <c r="AA38">
        <v>136.41792232868141</v>
      </c>
      <c r="AB38">
        <v>137.00629562165429</v>
      </c>
      <c r="AC38">
        <v>137.20721483911191</v>
      </c>
      <c r="AD38">
        <v>139.55396247065809</v>
      </c>
    </row>
    <row r="39" spans="1:30" ht="15" customHeight="1" x14ac:dyDescent="0.35">
      <c r="A39" s="6" t="s">
        <v>26</v>
      </c>
      <c r="B39" s="8"/>
      <c r="C39" s="8"/>
      <c r="D39" s="8"/>
      <c r="E39" s="8"/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ht="15" customHeight="1" x14ac:dyDescent="0.35">
      <c r="A40" s="4" t="s">
        <v>27</v>
      </c>
      <c r="B40" s="8"/>
      <c r="C40" s="8"/>
      <c r="D40" s="8"/>
      <c r="E40" s="8"/>
      <c r="F40">
        <v>-0.32633691392047132</v>
      </c>
      <c r="G40">
        <v>-0.24531305075308299</v>
      </c>
      <c r="H40">
        <v>-0.51478673492329108</v>
      </c>
      <c r="I40">
        <v>-1.781073604298228</v>
      </c>
      <c r="J40">
        <v>-1.1663097850360491</v>
      </c>
      <c r="K40">
        <v>-1.364415366389863</v>
      </c>
      <c r="L40">
        <v>-1.597894472251596</v>
      </c>
      <c r="M40">
        <v>-1.4141434313902439</v>
      </c>
      <c r="N40">
        <v>-0.94809964478861275</v>
      </c>
      <c r="O40">
        <v>-1.155244703651789</v>
      </c>
      <c r="P40">
        <v>-1.675245941029289</v>
      </c>
      <c r="Q40">
        <v>-1.49470227839879</v>
      </c>
      <c r="R40">
        <v>-1.840764511270351</v>
      </c>
      <c r="S40">
        <v>-1.718196918641979</v>
      </c>
      <c r="T40">
        <v>-1.5143745490424581</v>
      </c>
      <c r="U40">
        <v>-0.264888580199937</v>
      </c>
      <c r="V40">
        <v>-0.33797290997577528</v>
      </c>
      <c r="W40">
        <v>-0.25306573171471308</v>
      </c>
      <c r="X40">
        <v>-0.34387396337137938</v>
      </c>
      <c r="Y40">
        <v>0.25808423495993787</v>
      </c>
      <c r="Z40">
        <v>0.12605529632625689</v>
      </c>
      <c r="AA40">
        <v>0.68736219331597681</v>
      </c>
      <c r="AB40">
        <v>0.62303960034824968</v>
      </c>
      <c r="AC40">
        <v>1.6196658678780409</v>
      </c>
      <c r="AD40">
        <v>1.5639228418104949</v>
      </c>
    </row>
    <row r="41" spans="1:30" ht="15" customHeight="1" x14ac:dyDescent="0.35">
      <c r="A41" s="3" t="s">
        <v>28</v>
      </c>
      <c r="B41" s="8"/>
      <c r="C41" s="8"/>
      <c r="D41" s="8"/>
      <c r="E41" s="8"/>
      <c r="F41">
        <v>-2.8893776934583291</v>
      </c>
      <c r="G41">
        <v>-2.6973233187425478</v>
      </c>
      <c r="H41">
        <v>-2.4473200439196598</v>
      </c>
      <c r="I41">
        <v>-2.4631078797537209</v>
      </c>
      <c r="J41">
        <v>-2.410187290977404</v>
      </c>
      <c r="K41">
        <v>-1.8217150481629569</v>
      </c>
      <c r="L41">
        <v>-2.3608023007637509</v>
      </c>
      <c r="M41">
        <v>-2.236469694987107</v>
      </c>
      <c r="N41">
        <v>-3.0902908582119148</v>
      </c>
      <c r="O41">
        <v>-3.4354069590460061</v>
      </c>
      <c r="P41">
        <v>-4.1052263540127569</v>
      </c>
      <c r="Q41">
        <v>-4.2753205234818381</v>
      </c>
      <c r="R41">
        <v>-4.0226523104324201</v>
      </c>
      <c r="S41">
        <v>-3.8170759454709331</v>
      </c>
      <c r="T41">
        <v>-3.539562069974608</v>
      </c>
      <c r="U41">
        <v>-2.996507507201045</v>
      </c>
      <c r="V41">
        <v>-3.5568879299021599</v>
      </c>
      <c r="W41">
        <v>-3.230175276117222</v>
      </c>
      <c r="X41">
        <v>-2.3887580914386888</v>
      </c>
      <c r="Y41">
        <v>9.6156653656350954E-2</v>
      </c>
      <c r="Z41">
        <v>1.154854594004348</v>
      </c>
      <c r="AA41">
        <v>0.118861277414311</v>
      </c>
      <c r="AB41">
        <v>0.38105410143546692</v>
      </c>
      <c r="AC41">
        <v>1.1634511364398461</v>
      </c>
      <c r="AD41">
        <v>0.67722626118228391</v>
      </c>
    </row>
    <row r="42" spans="1:30" ht="15" customHeight="1" x14ac:dyDescent="0.35">
      <c r="A42" s="4" t="s">
        <v>29</v>
      </c>
      <c r="B42" s="8"/>
      <c r="C42" s="8"/>
      <c r="D42" s="8"/>
      <c r="E42" s="8"/>
      <c r="F42">
        <v>2.8893776934583291</v>
      </c>
      <c r="G42">
        <v>2.6973233187425478</v>
      </c>
      <c r="H42">
        <v>2.4473200439196598</v>
      </c>
      <c r="I42">
        <v>2.4631078797537209</v>
      </c>
      <c r="J42">
        <v>2.410187290977404</v>
      </c>
      <c r="K42">
        <v>1.8217150481629569</v>
      </c>
      <c r="L42">
        <v>2.3608023007637509</v>
      </c>
      <c r="M42">
        <v>2.236469694987107</v>
      </c>
      <c r="N42">
        <v>3.0902908582119148</v>
      </c>
      <c r="O42">
        <v>3.4354069590460061</v>
      </c>
      <c r="P42">
        <v>4.1052263540127569</v>
      </c>
      <c r="Q42">
        <v>4.2753205234818381</v>
      </c>
      <c r="R42">
        <v>4.0226523104324201</v>
      </c>
      <c r="S42">
        <v>3.8170759454709331</v>
      </c>
      <c r="T42">
        <v>3.539562069974608</v>
      </c>
      <c r="U42">
        <v>2.996507507201045</v>
      </c>
      <c r="V42">
        <v>3.5568879299021599</v>
      </c>
      <c r="W42">
        <v>3.230175276117222</v>
      </c>
      <c r="X42">
        <v>2.3887580914386888</v>
      </c>
      <c r="Y42">
        <v>-9.6156653656350954E-2</v>
      </c>
      <c r="Z42">
        <v>-1.154854594004348</v>
      </c>
      <c r="AA42">
        <v>-0.118861277414311</v>
      </c>
      <c r="AB42">
        <v>-0.38105410143546692</v>
      </c>
      <c r="AC42">
        <v>-1.1634511364398461</v>
      </c>
      <c r="AD42">
        <v>-0.67722626118228391</v>
      </c>
    </row>
    <row r="43" spans="1:30" ht="15" customHeight="1" x14ac:dyDescent="0.35">
      <c r="A43" s="3" t="s">
        <v>30</v>
      </c>
      <c r="B43" s="8"/>
      <c r="C43" s="8"/>
      <c r="D43" s="8"/>
      <c r="E43" s="8"/>
      <c r="F43">
        <v>132.0567310034946</v>
      </c>
      <c r="G43">
        <v>132.98332748331759</v>
      </c>
      <c r="H43">
        <v>135.78687110128689</v>
      </c>
      <c r="I43">
        <v>133.6013509042082</v>
      </c>
      <c r="J43">
        <v>132.66939372897801</v>
      </c>
      <c r="K43">
        <v>130.51048246853551</v>
      </c>
      <c r="L43">
        <v>129.53779709276759</v>
      </c>
      <c r="M43">
        <v>128.05815943671919</v>
      </c>
      <c r="N43">
        <v>128.39662876569611</v>
      </c>
      <c r="O43">
        <v>130.29824100029231</v>
      </c>
      <c r="P43">
        <v>130.04028803542141</v>
      </c>
      <c r="Q43">
        <v>129.76381202066739</v>
      </c>
      <c r="R43">
        <v>130.8930842069652</v>
      </c>
      <c r="S43">
        <v>131.72399846177359</v>
      </c>
      <c r="T43">
        <v>132.25317997944509</v>
      </c>
      <c r="U43">
        <v>135.04877734558519</v>
      </c>
      <c r="V43">
        <v>135.83659204378719</v>
      </c>
      <c r="W43">
        <v>136.56403426167691</v>
      </c>
      <c r="X43">
        <v>136.34853866333361</v>
      </c>
      <c r="Y43">
        <v>135.20683452901491</v>
      </c>
      <c r="Z43">
        <v>134.69753526476251</v>
      </c>
      <c r="AA43">
        <v>137.10528452199731</v>
      </c>
      <c r="AB43">
        <v>137.6293352220026</v>
      </c>
      <c r="AC43">
        <v>138.8268807069899</v>
      </c>
      <c r="AD43">
        <v>141.11788531246859</v>
      </c>
    </row>
    <row r="44" spans="1:30" ht="15" customHeight="1" x14ac:dyDescent="0.35">
      <c r="A44" s="5" t="s">
        <v>31</v>
      </c>
      <c r="B44" s="8"/>
      <c r="C44" s="8"/>
      <c r="D44" s="8"/>
      <c r="E44" s="8"/>
      <c r="F44">
        <v>1.47142526198688</v>
      </c>
      <c r="G44">
        <v>1.4474478429059869</v>
      </c>
      <c r="H44">
        <v>1.266938380995577</v>
      </c>
      <c r="I44">
        <v>1.3700475923346831</v>
      </c>
      <c r="J44">
        <v>1.358629570800735</v>
      </c>
      <c r="K44">
        <v>1.2606972471367519</v>
      </c>
      <c r="L44">
        <v>1.33956361555047</v>
      </c>
      <c r="M44">
        <v>1.3730101914087569</v>
      </c>
      <c r="N44">
        <v>1.3911187464064141</v>
      </c>
      <c r="O44">
        <v>1.344779540847707</v>
      </c>
      <c r="P44">
        <v>1.2919485166717031</v>
      </c>
      <c r="Q44">
        <v>1.347272378037045</v>
      </c>
      <c r="R44">
        <v>1.375606965619619</v>
      </c>
      <c r="S44">
        <v>1.323200113287947</v>
      </c>
      <c r="T44">
        <v>1.2558985262404869</v>
      </c>
      <c r="U44">
        <v>1.3078144785260319</v>
      </c>
      <c r="V44">
        <v>1.316981410012267</v>
      </c>
      <c r="W44">
        <v>1.299919594969775</v>
      </c>
      <c r="X44">
        <v>1.314530758986425</v>
      </c>
      <c r="Y44">
        <v>1.3452644221427801</v>
      </c>
      <c r="Z44">
        <v>1.3311589790936931</v>
      </c>
      <c r="AA44">
        <v>1.3027503357258561</v>
      </c>
      <c r="AB44">
        <v>1.307848165515451</v>
      </c>
      <c r="AC44">
        <v>1.3184407629488051</v>
      </c>
      <c r="AD44">
        <v>1.3537993327083719</v>
      </c>
    </row>
    <row r="45" spans="1:30" ht="15" customHeight="1" x14ac:dyDescent="0.35"/>
    <row r="46" spans="1:30" ht="15" customHeight="1" x14ac:dyDescent="0.35">
      <c r="A46" s="1" t="s">
        <v>36</v>
      </c>
      <c r="B46" s="2">
        <v>2016</v>
      </c>
      <c r="C46" s="2">
        <v>2017</v>
      </c>
      <c r="D46" s="2">
        <v>2018</v>
      </c>
      <c r="E46" s="2">
        <v>2019</v>
      </c>
      <c r="F46" s="2" t="s">
        <v>1</v>
      </c>
      <c r="G46" s="2" t="s">
        <v>2</v>
      </c>
      <c r="H46" s="2" t="s">
        <v>3</v>
      </c>
      <c r="I46" s="2" t="s">
        <v>4</v>
      </c>
      <c r="J46" s="2" t="s">
        <v>5</v>
      </c>
      <c r="K46" s="2" t="s">
        <v>6</v>
      </c>
      <c r="L46" s="2" t="s">
        <v>7</v>
      </c>
      <c r="M46" s="2" t="s">
        <v>8</v>
      </c>
      <c r="N46" s="2" t="s">
        <v>9</v>
      </c>
      <c r="O46" s="2" t="s">
        <v>10</v>
      </c>
      <c r="P46" s="2" t="s">
        <v>11</v>
      </c>
      <c r="Q46" s="2" t="s">
        <v>12</v>
      </c>
      <c r="R46" s="2" t="s">
        <v>13</v>
      </c>
      <c r="S46" s="2" t="s">
        <v>14</v>
      </c>
      <c r="T46" s="2" t="s">
        <v>15</v>
      </c>
      <c r="U46" s="2" t="s">
        <v>16</v>
      </c>
      <c r="V46" s="2" t="s">
        <v>17</v>
      </c>
      <c r="W46" s="2" t="s">
        <v>18</v>
      </c>
      <c r="X46" s="2" t="s">
        <v>19</v>
      </c>
      <c r="Y46" s="2" t="s">
        <v>20</v>
      </c>
      <c r="Z46" s="116" t="s">
        <v>21</v>
      </c>
      <c r="AA46" s="116" t="s">
        <v>22</v>
      </c>
      <c r="AB46" s="116" t="s">
        <v>23</v>
      </c>
      <c r="AC46" s="116" t="s">
        <v>24</v>
      </c>
    </row>
    <row r="47" spans="1:30" ht="15" customHeight="1" x14ac:dyDescent="0.35">
      <c r="A47" s="5" t="s">
        <v>25</v>
      </c>
      <c r="B47">
        <v>130.1100843291934</v>
      </c>
      <c r="C47">
        <v>132.58761918159141</v>
      </c>
      <c r="D47">
        <v>132.51896502795671</v>
      </c>
      <c r="E47">
        <v>130.52532661838441</v>
      </c>
      <c r="F47">
        <v>130.91150494744431</v>
      </c>
      <c r="G47">
        <v>133.5681795151722</v>
      </c>
      <c r="H47">
        <v>135.3287156077005</v>
      </c>
      <c r="I47">
        <v>135.00451746431631</v>
      </c>
      <c r="J47">
        <v>135.3346609884608</v>
      </c>
      <c r="K47">
        <v>135.42705044425381</v>
      </c>
      <c r="L47">
        <v>135.14249202236499</v>
      </c>
      <c r="M47">
        <v>133.5823735198444</v>
      </c>
      <c r="N47">
        <v>134.24542394347671</v>
      </c>
      <c r="O47">
        <v>136.54105153034561</v>
      </c>
      <c r="P47">
        <v>137.3492500651486</v>
      </c>
      <c r="Q47">
        <v>138.63773781249429</v>
      </c>
      <c r="R47">
        <v>139.45712911470301</v>
      </c>
      <c r="S47">
        <v>138.75195256416711</v>
      </c>
      <c r="T47">
        <v>138.87581195365931</v>
      </c>
      <c r="U47">
        <v>138.31101426344071</v>
      </c>
      <c r="V47">
        <v>137.53277694910449</v>
      </c>
      <c r="W47">
        <v>138.76369128276681</v>
      </c>
      <c r="X47">
        <v>140.0746956158838</v>
      </c>
      <c r="Y47">
        <v>138.61956570479541</v>
      </c>
      <c r="Z47">
        <v>138.13777749999201</v>
      </c>
      <c r="AA47">
        <v>139.22050276176489</v>
      </c>
      <c r="AB47">
        <v>139.6100380592523</v>
      </c>
      <c r="AC47">
        <v>140.56262399932459</v>
      </c>
      <c r="AD47">
        <v>141.89918575873281</v>
      </c>
    </row>
    <row r="48" spans="1:30" ht="15" customHeight="1" x14ac:dyDescent="0.35">
      <c r="A48" s="6" t="s">
        <v>26</v>
      </c>
      <c r="B48">
        <v>0.15460624123602429</v>
      </c>
      <c r="C48">
        <v>9.5483442175776645E-2</v>
      </c>
      <c r="D48">
        <v>3.1115148921628592E-2</v>
      </c>
      <c r="E48">
        <v>6.0876942898175912E-3</v>
      </c>
      <c r="F48">
        <v>-2.930705114721377E-3</v>
      </c>
      <c r="G48">
        <v>1.1452092518595689E-3</v>
      </c>
      <c r="H48">
        <v>2.0306833236247708E-3</v>
      </c>
      <c r="I48">
        <v>6.8054690667622708E-3</v>
      </c>
      <c r="J48">
        <v>2.5101949745476299E-4</v>
      </c>
      <c r="K48">
        <v>3.566449200320676E-5</v>
      </c>
      <c r="L48">
        <v>1.4876760613162789E-3</v>
      </c>
      <c r="M48">
        <v>-4.0782319558729801E-4</v>
      </c>
      <c r="N48">
        <v>-7.3390995066802134E-4</v>
      </c>
      <c r="O48">
        <v>-2.8985614665941739E-3</v>
      </c>
      <c r="P48">
        <v>1.0086781609857101E-3</v>
      </c>
      <c r="Q48">
        <v>6.1572197814427909E-3</v>
      </c>
      <c r="R48">
        <v>-1.072635547234313E-2</v>
      </c>
      <c r="S48">
        <v>1.5549724500431241E-2</v>
      </c>
      <c r="T48">
        <v>-6.6097193865743984E-3</v>
      </c>
      <c r="U48">
        <v>7.2554822911001793E-3</v>
      </c>
      <c r="V48">
        <v>1.9547810609310549E-5</v>
      </c>
      <c r="W48">
        <v>1.8862826915153621E-3</v>
      </c>
      <c r="X48">
        <v>-8.1991570345962828E-4</v>
      </c>
      <c r="Y48">
        <v>-7.3169673886468436E-3</v>
      </c>
      <c r="Z48">
        <v>-2.5699108172716478E-4</v>
      </c>
      <c r="AA48">
        <v>-7.9701788638715243E-3</v>
      </c>
      <c r="AB48">
        <v>-5.4600031305938046E-3</v>
      </c>
      <c r="AC48">
        <v>-7.8103428916733719E-3</v>
      </c>
      <c r="AD48">
        <v>-9.8685329146519507E-3</v>
      </c>
    </row>
    <row r="49" spans="1:30" ht="15" customHeight="1" x14ac:dyDescent="0.35">
      <c r="A49" s="4" t="s">
        <v>27</v>
      </c>
      <c r="B49">
        <v>0.2588813202717688</v>
      </c>
      <c r="C49">
        <v>0.55879279380317826</v>
      </c>
      <c r="D49">
        <v>0.56380278555369046</v>
      </c>
      <c r="E49">
        <v>0.29260345659366749</v>
      </c>
      <c r="F49">
        <v>-0.34536812640683928</v>
      </c>
      <c r="G49">
        <v>-0.1691914422711136</v>
      </c>
      <c r="H49">
        <v>-0.27250733978576142</v>
      </c>
      <c r="I49">
        <v>-0.2097614047833645</v>
      </c>
      <c r="J49">
        <v>0.48268769594773181</v>
      </c>
      <c r="K49">
        <v>0.3673913307956127</v>
      </c>
      <c r="L49">
        <v>0.15946083494364419</v>
      </c>
      <c r="M49">
        <v>-0.21753361426769399</v>
      </c>
      <c r="N49">
        <v>-0.37477073020031071</v>
      </c>
      <c r="O49">
        <v>0.14896657586302811</v>
      </c>
      <c r="P49">
        <v>0.14075601246690889</v>
      </c>
      <c r="Q49">
        <v>0.25217994950909878</v>
      </c>
      <c r="R49">
        <v>0.50637844711161506</v>
      </c>
      <c r="S49">
        <v>0.33808643024548252</v>
      </c>
      <c r="T49">
        <v>0.51008801014936012</v>
      </c>
      <c r="U49">
        <v>0.32674642379524238</v>
      </c>
      <c r="V49">
        <v>0.43740081060693109</v>
      </c>
      <c r="W49">
        <v>0.91186544718408413</v>
      </c>
      <c r="X49">
        <v>1.175604052859313</v>
      </c>
      <c r="Y49">
        <v>1.288460676425444</v>
      </c>
      <c r="Z49">
        <v>1.7456869123806771</v>
      </c>
      <c r="AA49">
        <v>1.73070102593195</v>
      </c>
      <c r="AB49">
        <v>2.333010970257305</v>
      </c>
      <c r="AC49">
        <v>2.6380326708854511</v>
      </c>
      <c r="AD49">
        <v>1.9156187938756659</v>
      </c>
    </row>
    <row r="50" spans="1:30" ht="15" customHeight="1" x14ac:dyDescent="0.35">
      <c r="A50" s="3" t="s">
        <v>28</v>
      </c>
      <c r="B50">
        <v>-0.46216338654622291</v>
      </c>
      <c r="C50">
        <v>0.29559716686094362</v>
      </c>
      <c r="D50">
        <v>0.26067919914376603</v>
      </c>
      <c r="E50">
        <v>6.028722399011599E-2</v>
      </c>
      <c r="F50">
        <v>-0.12551234151433729</v>
      </c>
      <c r="G50">
        <v>-0.33467936936366982</v>
      </c>
      <c r="H50">
        <v>-0.10792926065431629</v>
      </c>
      <c r="I50">
        <v>0.39946824191588348</v>
      </c>
      <c r="J50">
        <v>0.15508865334410871</v>
      </c>
      <c r="K50">
        <v>0.1002152447038895</v>
      </c>
      <c r="L50">
        <v>-0.15396595823705181</v>
      </c>
      <c r="M50">
        <v>-0.63306938437406757</v>
      </c>
      <c r="N50">
        <v>-1.2209972852692199</v>
      </c>
      <c r="O50">
        <v>-1.37552388490866</v>
      </c>
      <c r="P50">
        <v>-1.4529713507789099</v>
      </c>
      <c r="Q50">
        <v>-1.2058994851086879</v>
      </c>
      <c r="R50">
        <v>-1.221523082835489</v>
      </c>
      <c r="S50">
        <v>-1.3254936733602281</v>
      </c>
      <c r="T50">
        <v>-1.394489774796654</v>
      </c>
      <c r="U50">
        <v>-1.3482772918193291</v>
      </c>
      <c r="V50">
        <v>-1.565485365564683</v>
      </c>
      <c r="W50">
        <v>-1.073632826516274</v>
      </c>
      <c r="X50">
        <v>-0.63007451541949422</v>
      </c>
      <c r="Y50">
        <v>0.33743460807190218</v>
      </c>
      <c r="Z50">
        <v>0.21584491162167299</v>
      </c>
      <c r="AA50">
        <v>0.36975344889603429</v>
      </c>
      <c r="AB50">
        <v>0.85958684985857303</v>
      </c>
      <c r="AC50">
        <v>1.558476398709814</v>
      </c>
      <c r="AD50">
        <v>1.294369016396985</v>
      </c>
    </row>
    <row r="51" spans="1:30" ht="15" customHeight="1" x14ac:dyDescent="0.35">
      <c r="A51" s="4" t="s">
        <v>29</v>
      </c>
      <c r="B51">
        <v>0.46216338654622291</v>
      </c>
      <c r="C51">
        <v>-0.29559716686094362</v>
      </c>
      <c r="D51">
        <v>-0.26067919914376603</v>
      </c>
      <c r="E51">
        <v>-6.028722399011599E-2</v>
      </c>
      <c r="F51">
        <v>0.12551234151433729</v>
      </c>
      <c r="G51">
        <v>0.33467936936366982</v>
      </c>
      <c r="H51">
        <v>0.10792926065431629</v>
      </c>
      <c r="I51">
        <v>-0.39946824191588348</v>
      </c>
      <c r="J51">
        <v>-0.15508865334410871</v>
      </c>
      <c r="K51">
        <v>-0.1002152447038895</v>
      </c>
      <c r="L51">
        <v>0.15396595823705181</v>
      </c>
      <c r="M51">
        <v>0.63306938437406757</v>
      </c>
      <c r="N51">
        <v>1.2209972852692199</v>
      </c>
      <c r="O51">
        <v>1.37552388490866</v>
      </c>
      <c r="P51">
        <v>1.4529713507789099</v>
      </c>
      <c r="Q51">
        <v>1.2058994851086879</v>
      </c>
      <c r="R51">
        <v>1.221523082835489</v>
      </c>
      <c r="S51">
        <v>1.3254936733602281</v>
      </c>
      <c r="T51">
        <v>1.394489774796654</v>
      </c>
      <c r="U51">
        <v>1.3482772918193291</v>
      </c>
      <c r="V51">
        <v>1.565485365564683</v>
      </c>
      <c r="W51">
        <v>1.073632826516274</v>
      </c>
      <c r="X51">
        <v>0.63007451541949422</v>
      </c>
      <c r="Y51">
        <v>-0.33743460807190218</v>
      </c>
      <c r="Z51">
        <v>-0.21584491162167299</v>
      </c>
      <c r="AA51">
        <v>-0.36975344889603429</v>
      </c>
      <c r="AB51">
        <v>-0.85958684985857303</v>
      </c>
      <c r="AC51">
        <v>-1.558476398709814</v>
      </c>
      <c r="AD51">
        <v>-1.294369016396985</v>
      </c>
    </row>
    <row r="52" spans="1:30" ht="15" customHeight="1" x14ac:dyDescent="0.35">
      <c r="A52" s="3" t="s">
        <v>30</v>
      </c>
      <c r="B52">
        <v>130.52357189070119</v>
      </c>
      <c r="C52">
        <v>133.24189541757039</v>
      </c>
      <c r="D52">
        <v>133.113882962432</v>
      </c>
      <c r="E52">
        <v>130.8240177692679</v>
      </c>
      <c r="F52">
        <v>130.56320611592281</v>
      </c>
      <c r="G52">
        <v>133.40013328215301</v>
      </c>
      <c r="H52">
        <v>135.05823895123839</v>
      </c>
      <c r="I52">
        <v>134.80156152859971</v>
      </c>
      <c r="J52">
        <v>135.81759970390601</v>
      </c>
      <c r="K52">
        <v>135.7944774395414</v>
      </c>
      <c r="L52">
        <v>135.30344053337001</v>
      </c>
      <c r="M52">
        <v>133.36443208238109</v>
      </c>
      <c r="N52">
        <v>133.8699193033257</v>
      </c>
      <c r="O52">
        <v>136.68711954474199</v>
      </c>
      <c r="P52">
        <v>137.49101475577649</v>
      </c>
      <c r="Q52">
        <v>138.89607498178489</v>
      </c>
      <c r="R52">
        <v>139.95278120634219</v>
      </c>
      <c r="S52">
        <v>139.105588718913</v>
      </c>
      <c r="T52">
        <v>139.37929024442201</v>
      </c>
      <c r="U52">
        <v>138.645016169527</v>
      </c>
      <c r="V52">
        <v>137.97019730752211</v>
      </c>
      <c r="W52">
        <v>139.67744301264241</v>
      </c>
      <c r="X52">
        <v>141.24947975303971</v>
      </c>
      <c r="Y52">
        <v>139.9007094138322</v>
      </c>
      <c r="Z52">
        <v>139.88320742129099</v>
      </c>
      <c r="AA52">
        <v>140.943233608833</v>
      </c>
      <c r="AB52">
        <v>141.93758902637899</v>
      </c>
      <c r="AC52">
        <v>143.19284632731839</v>
      </c>
      <c r="AD52">
        <v>143.8049360196938</v>
      </c>
    </row>
    <row r="53" spans="1:30" ht="15" customHeight="1" x14ac:dyDescent="0.35">
      <c r="A53" s="5" t="s">
        <v>31</v>
      </c>
      <c r="B53">
        <v>1.9870302499572869</v>
      </c>
      <c r="C53">
        <v>1.934638309334946</v>
      </c>
      <c r="D53">
        <v>1.9518240722765661</v>
      </c>
      <c r="E53">
        <v>1.947367501834917</v>
      </c>
      <c r="F53">
        <v>1.901290735183081</v>
      </c>
      <c r="G53">
        <v>1.928520321051673</v>
      </c>
      <c r="H53">
        <v>1.7379661907931609</v>
      </c>
      <c r="I53">
        <v>1.803341654502854</v>
      </c>
      <c r="J53">
        <v>1.6728072707135151</v>
      </c>
      <c r="K53">
        <v>1.496124198790497</v>
      </c>
      <c r="L53">
        <v>1.554430032463836</v>
      </c>
      <c r="M53">
        <v>1.6040943847958691</v>
      </c>
      <c r="N53">
        <v>1.5814246386328139</v>
      </c>
      <c r="O53">
        <v>1.586056738389982</v>
      </c>
      <c r="P53">
        <v>1.613231493548126</v>
      </c>
      <c r="Q53">
        <v>1.612459352278534</v>
      </c>
      <c r="R53">
        <v>1.645877070635466</v>
      </c>
      <c r="S53">
        <v>1.543538807155161</v>
      </c>
      <c r="T53">
        <v>1.483359538028894</v>
      </c>
      <c r="U53">
        <v>1.477945335697733</v>
      </c>
      <c r="V53">
        <v>1.526512022657657</v>
      </c>
      <c r="W53">
        <v>1.4963124783928641</v>
      </c>
      <c r="X53">
        <v>1.478644490330324</v>
      </c>
      <c r="Y53">
        <v>1.483293202212939</v>
      </c>
      <c r="Z53">
        <v>1.4921084862802381</v>
      </c>
      <c r="AA53">
        <v>1.446202860555527</v>
      </c>
      <c r="AB53">
        <v>1.4474648688548859</v>
      </c>
      <c r="AC53">
        <v>1.437393955016288</v>
      </c>
      <c r="AD53">
        <v>1.481984918400008</v>
      </c>
    </row>
    <row r="54" spans="1:30" ht="15" customHeight="1" x14ac:dyDescent="0.35"/>
    <row r="55" spans="1:30" ht="15" customHeight="1" x14ac:dyDescent="0.35">
      <c r="A55" s="1" t="s">
        <v>37</v>
      </c>
      <c r="B55" s="2">
        <v>2016</v>
      </c>
      <c r="C55" s="2">
        <v>2017</v>
      </c>
      <c r="D55" s="2">
        <v>2018</v>
      </c>
      <c r="E55" s="2">
        <v>2019</v>
      </c>
      <c r="F55" s="2" t="s">
        <v>1</v>
      </c>
      <c r="G55" s="2" t="s">
        <v>2</v>
      </c>
      <c r="H55" s="2" t="s">
        <v>3</v>
      </c>
      <c r="I55" s="2" t="s">
        <v>4</v>
      </c>
      <c r="J55" s="2" t="s">
        <v>5</v>
      </c>
      <c r="K55" s="2" t="s">
        <v>6</v>
      </c>
      <c r="L55" s="2" t="s">
        <v>7</v>
      </c>
      <c r="M55" s="2" t="s">
        <v>8</v>
      </c>
      <c r="N55" s="2" t="s">
        <v>9</v>
      </c>
      <c r="O55" s="2" t="s">
        <v>10</v>
      </c>
      <c r="P55" s="2" t="s">
        <v>11</v>
      </c>
      <c r="Q55" s="2" t="s">
        <v>12</v>
      </c>
      <c r="R55" s="2" t="s">
        <v>13</v>
      </c>
      <c r="S55" s="2" t="s">
        <v>14</v>
      </c>
      <c r="T55" s="2" t="s">
        <v>15</v>
      </c>
      <c r="U55" s="2" t="s">
        <v>16</v>
      </c>
      <c r="V55" s="2" t="s">
        <v>17</v>
      </c>
      <c r="W55" s="2" t="s">
        <v>18</v>
      </c>
      <c r="X55" s="2" t="s">
        <v>19</v>
      </c>
      <c r="Y55" s="2" t="s">
        <v>20</v>
      </c>
      <c r="Z55" s="116" t="s">
        <v>21</v>
      </c>
      <c r="AA55" s="116" t="s">
        <v>22</v>
      </c>
      <c r="AB55" s="116" t="s">
        <v>23</v>
      </c>
      <c r="AC55" s="116" t="s">
        <v>24</v>
      </c>
    </row>
    <row r="56" spans="1:30" ht="15" customHeight="1" x14ac:dyDescent="0.35">
      <c r="A56" s="5" t="s">
        <v>25</v>
      </c>
      <c r="B56">
        <v>136.5646117277102</v>
      </c>
      <c r="C56">
        <v>139.1004791458667</v>
      </c>
      <c r="D56">
        <v>137.77977904031681</v>
      </c>
      <c r="E56">
        <v>136.87785610805051</v>
      </c>
      <c r="F56">
        <v>135.86332249445411</v>
      </c>
      <c r="G56">
        <v>138.37204193247351</v>
      </c>
      <c r="H56">
        <v>138.78949632186041</v>
      </c>
      <c r="I56">
        <v>136.95890436813559</v>
      </c>
      <c r="J56">
        <v>135.464326976926</v>
      </c>
      <c r="K56">
        <v>135.7380087477724</v>
      </c>
      <c r="L56">
        <v>134.5037235232796</v>
      </c>
      <c r="M56">
        <v>133.19297164592049</v>
      </c>
      <c r="N56">
        <v>133.26474125481579</v>
      </c>
      <c r="O56">
        <v>134.70114979213409</v>
      </c>
      <c r="P56">
        <v>136.05826795641721</v>
      </c>
      <c r="Q56">
        <v>138.33369756523109</v>
      </c>
      <c r="R56">
        <v>140.09671657848929</v>
      </c>
      <c r="S56">
        <v>140.6586391183844</v>
      </c>
      <c r="T56">
        <v>140.50459471793889</v>
      </c>
      <c r="U56">
        <v>140.56078051519651</v>
      </c>
      <c r="V56">
        <v>139.56825037479661</v>
      </c>
      <c r="W56">
        <v>140.4321183388457</v>
      </c>
      <c r="X56">
        <v>139.88511483115639</v>
      </c>
      <c r="Y56">
        <v>139.76781802522791</v>
      </c>
      <c r="Z56">
        <v>139.70876763492191</v>
      </c>
      <c r="AA56">
        <v>139.8667228088469</v>
      </c>
      <c r="AB56">
        <v>139.91790875779989</v>
      </c>
      <c r="AC56">
        <v>140.94205426095121</v>
      </c>
      <c r="AD56">
        <v>141.78676184015251</v>
      </c>
    </row>
    <row r="57" spans="1:30" ht="15" customHeight="1" x14ac:dyDescent="0.35">
      <c r="A57" s="6" t="s">
        <v>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ht="15" customHeight="1" x14ac:dyDescent="0.35">
      <c r="A58" s="4" t="s">
        <v>27</v>
      </c>
      <c r="B58">
        <v>4.6948976841725027</v>
      </c>
      <c r="C58">
        <v>4.6241735699769322</v>
      </c>
      <c r="D58">
        <v>4.4679387867836056</v>
      </c>
      <c r="E58">
        <v>4.4875445967873304</v>
      </c>
      <c r="F58">
        <v>4.414978497132239</v>
      </c>
      <c r="G58">
        <v>4.4449193095008468</v>
      </c>
      <c r="H58">
        <v>4.2599066702092614</v>
      </c>
      <c r="I58">
        <v>3.975183595879884</v>
      </c>
      <c r="J58">
        <v>3.8164080403775529</v>
      </c>
      <c r="K58">
        <v>3.580474663440754</v>
      </c>
      <c r="L58">
        <v>3.455885845023317</v>
      </c>
      <c r="M58">
        <v>3.1688958880833411</v>
      </c>
      <c r="N58">
        <v>2.9615706862418558</v>
      </c>
      <c r="O58">
        <v>2.8082242626590528</v>
      </c>
      <c r="P58">
        <v>2.6116439326468419</v>
      </c>
      <c r="Q58">
        <v>2.7411801278887822</v>
      </c>
      <c r="R58">
        <v>2.8563006483753668</v>
      </c>
      <c r="S58">
        <v>2.99751497268818</v>
      </c>
      <c r="T58">
        <v>2.9935716512395061</v>
      </c>
      <c r="U58">
        <v>3.2679492672509132</v>
      </c>
      <c r="V58">
        <v>3.732334573274414</v>
      </c>
      <c r="W58">
        <v>4.293644880870346</v>
      </c>
      <c r="X58">
        <v>4.1119241510029951</v>
      </c>
      <c r="Y58">
        <v>3.9276019311582502</v>
      </c>
      <c r="Z58">
        <v>2.097456304866796</v>
      </c>
      <c r="AA58">
        <v>2.4756026453231361</v>
      </c>
      <c r="AB58">
        <v>2.1319579915852671</v>
      </c>
      <c r="AC58">
        <v>2.003560186487277</v>
      </c>
      <c r="AD58">
        <v>2.7586084817327219</v>
      </c>
    </row>
    <row r="59" spans="1:30" ht="15" customHeight="1" x14ac:dyDescent="0.35">
      <c r="A59" s="3" t="s">
        <v>28</v>
      </c>
      <c r="B59">
        <v>-1.5913844719574679</v>
      </c>
      <c r="C59">
        <v>-2.660467833774959</v>
      </c>
      <c r="D59">
        <v>-2.5961763029061729</v>
      </c>
      <c r="E59">
        <v>-2.6409275569758681</v>
      </c>
      <c r="F59">
        <v>-3.0975670006646681</v>
      </c>
      <c r="G59">
        <v>-2.8341240100760392</v>
      </c>
      <c r="H59">
        <v>-3.136439264554383</v>
      </c>
      <c r="I59">
        <v>-2.8396895913731162</v>
      </c>
      <c r="J59">
        <v>-2.6834108281304339</v>
      </c>
      <c r="K59">
        <v>-2.4553767766743988</v>
      </c>
      <c r="L59">
        <v>-1.7564128548314391</v>
      </c>
      <c r="M59">
        <v>-2.419833659137026</v>
      </c>
      <c r="N59">
        <v>-2.6255544249020488</v>
      </c>
      <c r="O59">
        <v>-3.116632006353484</v>
      </c>
      <c r="P59">
        <v>-3.603167892329822</v>
      </c>
      <c r="Q59">
        <v>-3.7513147710083961</v>
      </c>
      <c r="R59">
        <v>-4.1776837425923929</v>
      </c>
      <c r="S59">
        <v>-4.0828996300354277</v>
      </c>
      <c r="T59">
        <v>-4.0688291055965644</v>
      </c>
      <c r="U59">
        <v>-3.2955658446450968</v>
      </c>
      <c r="V59">
        <v>-3.51705058531843</v>
      </c>
      <c r="W59">
        <v>-3.3558261179401541</v>
      </c>
      <c r="X59">
        <v>-3.861787211880682</v>
      </c>
      <c r="Y59">
        <v>-3.9820936541420342</v>
      </c>
      <c r="Z59">
        <v>-4.1579064778551924</v>
      </c>
      <c r="AA59">
        <v>-3.614343533836518</v>
      </c>
      <c r="AB59">
        <v>-3.1649618145426639</v>
      </c>
      <c r="AC59">
        <v>-2.754448107127843</v>
      </c>
      <c r="AD59">
        <v>-2.898264955456284</v>
      </c>
    </row>
    <row r="60" spans="1:30" ht="15" customHeight="1" x14ac:dyDescent="0.35">
      <c r="A60" s="4" t="s">
        <v>29</v>
      </c>
      <c r="B60">
        <v>1.5913844719574679</v>
      </c>
      <c r="C60">
        <v>2.660467833774959</v>
      </c>
      <c r="D60">
        <v>2.5961763029061729</v>
      </c>
      <c r="E60">
        <v>2.6409275569758681</v>
      </c>
      <c r="F60">
        <v>3.0975670006646681</v>
      </c>
      <c r="G60">
        <v>2.8341240100760392</v>
      </c>
      <c r="H60">
        <v>3.136439264554383</v>
      </c>
      <c r="I60">
        <v>2.8396895913731162</v>
      </c>
      <c r="J60">
        <v>2.6834108281304339</v>
      </c>
      <c r="K60">
        <v>2.4553767766743988</v>
      </c>
      <c r="L60">
        <v>1.7564128548314391</v>
      </c>
      <c r="M60">
        <v>2.419833659137026</v>
      </c>
      <c r="N60">
        <v>2.6255544249020488</v>
      </c>
      <c r="O60">
        <v>3.116632006353484</v>
      </c>
      <c r="P60">
        <v>3.603167892329822</v>
      </c>
      <c r="Q60">
        <v>3.7513147710083961</v>
      </c>
      <c r="R60">
        <v>4.1776837425923929</v>
      </c>
      <c r="S60">
        <v>4.0828996300354277</v>
      </c>
      <c r="T60">
        <v>4.0688291055965644</v>
      </c>
      <c r="U60">
        <v>3.2955658446450968</v>
      </c>
      <c r="V60">
        <v>3.51705058531843</v>
      </c>
      <c r="W60">
        <v>3.3558261179401541</v>
      </c>
      <c r="X60">
        <v>3.861787211880682</v>
      </c>
      <c r="Y60">
        <v>3.9820936541420342</v>
      </c>
      <c r="Z60">
        <v>4.1579064778551924</v>
      </c>
      <c r="AA60">
        <v>3.614343533836518</v>
      </c>
      <c r="AB60">
        <v>3.1649618145426639</v>
      </c>
      <c r="AC60">
        <v>2.754448107127843</v>
      </c>
      <c r="AD60">
        <v>2.898264955456284</v>
      </c>
    </row>
    <row r="61" spans="1:30" ht="15" customHeight="1" x14ac:dyDescent="0.35">
      <c r="A61" s="3" t="s">
        <v>30</v>
      </c>
      <c r="B61">
        <v>141.2595094118827</v>
      </c>
      <c r="C61">
        <v>143.7246527158436</v>
      </c>
      <c r="D61">
        <v>142.24771782710039</v>
      </c>
      <c r="E61">
        <v>141.3654007048379</v>
      </c>
      <c r="F61">
        <v>140.27830099158629</v>
      </c>
      <c r="G61">
        <v>142.8169612419743</v>
      </c>
      <c r="H61">
        <v>143.04940299206959</v>
      </c>
      <c r="I61">
        <v>140.9340879640155</v>
      </c>
      <c r="J61">
        <v>139.28073501730361</v>
      </c>
      <c r="K61">
        <v>139.31848341121309</v>
      </c>
      <c r="L61">
        <v>137.95960936830289</v>
      </c>
      <c r="M61">
        <v>136.36186753400389</v>
      </c>
      <c r="N61">
        <v>136.2263119410577</v>
      </c>
      <c r="O61">
        <v>137.5093740547932</v>
      </c>
      <c r="P61">
        <v>138.66991188906411</v>
      </c>
      <c r="Q61">
        <v>141.0748776931199</v>
      </c>
      <c r="R61">
        <v>142.95301722686469</v>
      </c>
      <c r="S61">
        <v>143.65615409107261</v>
      </c>
      <c r="T61">
        <v>143.49816636917839</v>
      </c>
      <c r="U61">
        <v>143.82872978244751</v>
      </c>
      <c r="V61">
        <v>143.30058494807099</v>
      </c>
      <c r="W61">
        <v>144.72576321971599</v>
      </c>
      <c r="X61">
        <v>143.99703898215941</v>
      </c>
      <c r="Y61">
        <v>143.69541995638619</v>
      </c>
      <c r="Z61">
        <v>141.80622393978871</v>
      </c>
      <c r="AA61">
        <v>142.34232545417001</v>
      </c>
      <c r="AB61">
        <v>142.04986674938519</v>
      </c>
      <c r="AC61">
        <v>142.94561444743849</v>
      </c>
      <c r="AD61">
        <v>144.54537032188529</v>
      </c>
    </row>
    <row r="62" spans="1:30" ht="15" customHeight="1" x14ac:dyDescent="0.35">
      <c r="A62" s="5" t="s">
        <v>31</v>
      </c>
      <c r="B62">
        <v>1.5869319682647449</v>
      </c>
      <c r="C62">
        <v>1.5720151297930109</v>
      </c>
      <c r="D62">
        <v>1.585633194488973</v>
      </c>
      <c r="E62">
        <v>1.6092025705913131</v>
      </c>
      <c r="F62">
        <v>1.702043107788028</v>
      </c>
      <c r="G62">
        <v>1.737184631455639</v>
      </c>
      <c r="H62">
        <v>1.580621733212626</v>
      </c>
      <c r="I62">
        <v>1.7202884449751921</v>
      </c>
      <c r="J62">
        <v>1.5765841812857</v>
      </c>
      <c r="K62">
        <v>1.430531602448978</v>
      </c>
      <c r="L62">
        <v>1.4805214021167259</v>
      </c>
      <c r="M62">
        <v>1.4915801629665091</v>
      </c>
      <c r="N62">
        <v>1.613035532695936</v>
      </c>
      <c r="O62">
        <v>1.554045943950958</v>
      </c>
      <c r="P62">
        <v>1.6280059169976111</v>
      </c>
      <c r="Q62">
        <v>1.7468276327810279</v>
      </c>
      <c r="R62">
        <v>1.7705953657275399</v>
      </c>
      <c r="S62">
        <v>1.678251556178739</v>
      </c>
      <c r="T62">
        <v>1.846643226407066</v>
      </c>
      <c r="U62">
        <v>1.953951849339514</v>
      </c>
      <c r="V62">
        <v>1.8857882062876199</v>
      </c>
      <c r="W62">
        <v>1.650323204908152</v>
      </c>
      <c r="X62">
        <v>1.690912739645392</v>
      </c>
      <c r="Y62">
        <v>1.686938804639742</v>
      </c>
      <c r="Z62">
        <v>1.6353696617009441</v>
      </c>
      <c r="AA62">
        <v>1.610310617665097</v>
      </c>
      <c r="AB62">
        <v>1.621965573373481</v>
      </c>
      <c r="AC62">
        <v>1.6048691735881959</v>
      </c>
      <c r="AD62">
        <v>1.5672015100308441</v>
      </c>
    </row>
    <row r="63" spans="1:30" ht="15" customHeight="1" x14ac:dyDescent="0.35"/>
    <row r="64" spans="1:30" ht="15" customHeight="1" x14ac:dyDescent="0.35">
      <c r="A64" s="1" t="s">
        <v>38</v>
      </c>
      <c r="B64" s="2">
        <v>2016</v>
      </c>
      <c r="C64" s="2">
        <v>2017</v>
      </c>
      <c r="D64" s="2">
        <v>2018</v>
      </c>
      <c r="E64" s="2">
        <v>2019</v>
      </c>
      <c r="F64" s="2" t="s">
        <v>1</v>
      </c>
      <c r="G64" s="2" t="s">
        <v>2</v>
      </c>
      <c r="H64" s="2" t="s">
        <v>3</v>
      </c>
      <c r="I64" s="2" t="s">
        <v>4</v>
      </c>
      <c r="J64" s="2" t="s">
        <v>5</v>
      </c>
      <c r="K64" s="2" t="s">
        <v>6</v>
      </c>
      <c r="L64" s="2" t="s">
        <v>7</v>
      </c>
      <c r="M64" s="2" t="s">
        <v>8</v>
      </c>
      <c r="N64" s="2" t="s">
        <v>9</v>
      </c>
      <c r="O64" s="2" t="s">
        <v>10</v>
      </c>
      <c r="P64" s="2" t="s">
        <v>11</v>
      </c>
      <c r="Q64" s="2" t="s">
        <v>12</v>
      </c>
      <c r="R64" s="2" t="s">
        <v>13</v>
      </c>
      <c r="S64" s="2" t="s">
        <v>14</v>
      </c>
      <c r="T64" s="2" t="s">
        <v>15</v>
      </c>
      <c r="U64" s="2" t="s">
        <v>16</v>
      </c>
      <c r="V64" s="2" t="s">
        <v>17</v>
      </c>
      <c r="W64" s="2" t="s">
        <v>18</v>
      </c>
      <c r="X64" s="2" t="s">
        <v>19</v>
      </c>
      <c r="Y64" s="2" t="s">
        <v>20</v>
      </c>
      <c r="Z64" s="116" t="s">
        <v>21</v>
      </c>
      <c r="AA64" s="116" t="s">
        <v>22</v>
      </c>
      <c r="AB64" s="116" t="s">
        <v>23</v>
      </c>
      <c r="AC64" s="116" t="s">
        <v>24</v>
      </c>
    </row>
    <row r="65" spans="1:30" ht="15" customHeight="1" x14ac:dyDescent="0.35">
      <c r="A65" s="5" t="s">
        <v>25</v>
      </c>
      <c r="B65">
        <v>134.00922256772631</v>
      </c>
      <c r="C65">
        <v>137.09024417764479</v>
      </c>
      <c r="D65">
        <v>136.17908496643921</v>
      </c>
      <c r="E65">
        <v>135.22818433870069</v>
      </c>
      <c r="F65">
        <v>134.2283638661647</v>
      </c>
      <c r="G65">
        <v>136.51598414821001</v>
      </c>
      <c r="H65">
        <v>137.702766480094</v>
      </c>
      <c r="I65">
        <v>136.3202207907392</v>
      </c>
      <c r="J65">
        <v>135.22490560554391</v>
      </c>
      <c r="K65">
        <v>134.98868886095971</v>
      </c>
      <c r="L65">
        <v>134.18994004813629</v>
      </c>
      <c r="M65">
        <v>132.81075298367691</v>
      </c>
      <c r="N65">
        <v>133.0376303514949</v>
      </c>
      <c r="O65">
        <v>134.8219541411176</v>
      </c>
      <c r="P65">
        <v>135.90569142555219</v>
      </c>
      <c r="Q65">
        <v>137.1422610159288</v>
      </c>
      <c r="R65">
        <v>138.5553085984987</v>
      </c>
      <c r="S65">
        <v>138.99051818273199</v>
      </c>
      <c r="T65">
        <v>139.0741242161609</v>
      </c>
      <c r="U65">
        <v>138.94609919008701</v>
      </c>
      <c r="V65">
        <v>138.34967981721499</v>
      </c>
      <c r="W65">
        <v>139.22435957276809</v>
      </c>
      <c r="X65">
        <v>139.53563273517111</v>
      </c>
      <c r="Y65">
        <v>138.60919585111591</v>
      </c>
      <c r="Z65">
        <v>138.29935729461579</v>
      </c>
      <c r="AA65">
        <v>139.1018874982006</v>
      </c>
      <c r="AB65">
        <v>139.4159554086358</v>
      </c>
      <c r="AC65">
        <v>140.31999546557549</v>
      </c>
      <c r="AD65">
        <v>141.60078894369829</v>
      </c>
    </row>
    <row r="66" spans="1:30" ht="15" customHeight="1" x14ac:dyDescent="0.35">
      <c r="A66" s="6" t="s">
        <v>26</v>
      </c>
      <c r="B66">
        <v>-2.3911778057928639</v>
      </c>
      <c r="C66">
        <v>-0.8124285395963966</v>
      </c>
      <c r="D66">
        <v>-0.35223322663765089</v>
      </c>
      <c r="E66">
        <v>-0.54817537173153141</v>
      </c>
      <c r="F66">
        <v>-0.4956347348546899</v>
      </c>
      <c r="G66">
        <v>-0.43749234323635727</v>
      </c>
      <c r="H66">
        <v>-0.24180602977995139</v>
      </c>
      <c r="I66">
        <v>-0.1028845077139522</v>
      </c>
      <c r="J66">
        <v>-5.7897900090040366E-3</v>
      </c>
      <c r="K66">
        <v>5.1517299684803668E-2</v>
      </c>
      <c r="L66">
        <v>5.7763042972794658E-2</v>
      </c>
      <c r="M66">
        <v>6.375985386793559E-2</v>
      </c>
      <c r="N66">
        <v>1.551896838600442E-2</v>
      </c>
      <c r="O66">
        <v>-1.069858586561168E-3</v>
      </c>
      <c r="P66">
        <v>-8.7217978531839435E-4</v>
      </c>
      <c r="Q66">
        <v>6.9909340376170803E-3</v>
      </c>
      <c r="R66">
        <v>0.1397738425769717</v>
      </c>
      <c r="S66">
        <v>0.2297838210038208</v>
      </c>
      <c r="T66">
        <v>-0.63837415122463881</v>
      </c>
      <c r="U66">
        <v>-0.50461170268118849</v>
      </c>
      <c r="V66">
        <v>4.0064066696743339E-3</v>
      </c>
      <c r="W66">
        <v>1.9423191461385161E-3</v>
      </c>
      <c r="X66">
        <v>-1.149906255761834E-3</v>
      </c>
      <c r="Y66">
        <v>-3.2891709162186089E-3</v>
      </c>
      <c r="Z66">
        <v>-1.0866271363170199E-3</v>
      </c>
      <c r="AA66">
        <v>-1.1151166987303901E-2</v>
      </c>
      <c r="AB66">
        <v>-9.1706183814892483E-3</v>
      </c>
      <c r="AC66">
        <v>-9.5421664075558965E-3</v>
      </c>
      <c r="AD66">
        <v>6.6989908842174373E-4</v>
      </c>
    </row>
    <row r="67" spans="1:30" ht="15" customHeight="1" x14ac:dyDescent="0.35">
      <c r="A67" s="4" t="s">
        <v>27</v>
      </c>
      <c r="B67">
        <v>1.211829966736474</v>
      </c>
      <c r="C67">
        <v>2.8360282238569141</v>
      </c>
      <c r="D67">
        <v>3.010016642350053</v>
      </c>
      <c r="E67">
        <v>3.0362526588751559</v>
      </c>
      <c r="F67">
        <v>2.232670515101375</v>
      </c>
      <c r="G67">
        <v>2.2712617373657911</v>
      </c>
      <c r="H67">
        <v>2.3657796131878399</v>
      </c>
      <c r="I67">
        <v>2.104076024361945</v>
      </c>
      <c r="J67">
        <v>2.2933943514646269</v>
      </c>
      <c r="K67">
        <v>1.7855568370639789</v>
      </c>
      <c r="L67">
        <v>1.775969568801941</v>
      </c>
      <c r="M67">
        <v>1.5387834847933559</v>
      </c>
      <c r="N67">
        <v>1.1948446721793859</v>
      </c>
      <c r="O67">
        <v>1.620129541500859</v>
      </c>
      <c r="P67">
        <v>1.422074638021684</v>
      </c>
      <c r="Q67">
        <v>1.458945819867751</v>
      </c>
      <c r="R67">
        <v>1.6867754388293861</v>
      </c>
      <c r="S67">
        <v>1.8124516159873281</v>
      </c>
      <c r="T67">
        <v>1.141423845504846</v>
      </c>
      <c r="U67">
        <v>1.204028578796283</v>
      </c>
      <c r="V67">
        <v>1.9770035429145589</v>
      </c>
      <c r="W67">
        <v>2.2258244149705599</v>
      </c>
      <c r="X67">
        <v>2.4187403164646919</v>
      </c>
      <c r="Y67">
        <v>2.357627195493365</v>
      </c>
      <c r="Z67">
        <v>1.654739583983911</v>
      </c>
      <c r="AA67">
        <v>1.8976984710719189</v>
      </c>
      <c r="AB67">
        <v>2.0154810627515469</v>
      </c>
      <c r="AC67">
        <v>2.198910177426626</v>
      </c>
      <c r="AD67">
        <v>2.3859437843634912</v>
      </c>
    </row>
    <row r="68" spans="1:30" ht="15" customHeight="1" x14ac:dyDescent="0.35">
      <c r="A68" s="3" t="s">
        <v>28</v>
      </c>
      <c r="B68">
        <v>-0.70437547400356948</v>
      </c>
      <c r="C68">
        <v>-1.3599369265342891</v>
      </c>
      <c r="D68">
        <v>-1.5292209459032899</v>
      </c>
      <c r="E68">
        <v>-1.720719960085916</v>
      </c>
      <c r="F68">
        <v>-2.001556730488232</v>
      </c>
      <c r="G68">
        <v>-1.9420602023809579</v>
      </c>
      <c r="H68">
        <v>-2.123819610886216</v>
      </c>
      <c r="I68">
        <v>-1.8692201263685599</v>
      </c>
      <c r="J68">
        <v>-1.901370927839992</v>
      </c>
      <c r="K68">
        <v>-1.538387208008118</v>
      </c>
      <c r="L68">
        <v>-1.3495792098856041</v>
      </c>
      <c r="M68">
        <v>-1.8257217107748429</v>
      </c>
      <c r="N68">
        <v>-2.185362885911843</v>
      </c>
      <c r="O68">
        <v>-2.6797192286597071</v>
      </c>
      <c r="P68">
        <v>-3.066226499540647</v>
      </c>
      <c r="Q68">
        <v>-3.2984233218991221</v>
      </c>
      <c r="R68">
        <v>-3.7293954758599739</v>
      </c>
      <c r="S68">
        <v>-3.5671447454463419</v>
      </c>
      <c r="T68">
        <v>-3.048580772419029</v>
      </c>
      <c r="U68">
        <v>-2.365103211786447</v>
      </c>
      <c r="V68">
        <v>-2.8399785741827941</v>
      </c>
      <c r="W68">
        <v>-2.3598384347816652</v>
      </c>
      <c r="X68">
        <v>-2.4512271927341942</v>
      </c>
      <c r="Y68">
        <v>-1.6963871226059839</v>
      </c>
      <c r="Z68">
        <v>-1.620651072554921</v>
      </c>
      <c r="AA68">
        <v>-1.356872705197731</v>
      </c>
      <c r="AB68">
        <v>-1.0545154619825039</v>
      </c>
      <c r="AC68">
        <v>-0.58399286483808055</v>
      </c>
      <c r="AD68">
        <v>-1.2732508479463429</v>
      </c>
    </row>
    <row r="69" spans="1:30" ht="15" customHeight="1" x14ac:dyDescent="0.35">
      <c r="A69" s="4" t="s">
        <v>29</v>
      </c>
      <c r="B69">
        <v>0.70437547400356948</v>
      </c>
      <c r="C69">
        <v>1.3599369265342891</v>
      </c>
      <c r="D69">
        <v>1.5292209459032899</v>
      </c>
      <c r="E69">
        <v>1.720719960085916</v>
      </c>
      <c r="F69">
        <v>2.001556730488232</v>
      </c>
      <c r="G69">
        <v>1.9420602023809579</v>
      </c>
      <c r="H69">
        <v>2.123819610886216</v>
      </c>
      <c r="I69">
        <v>1.8692201263685599</v>
      </c>
      <c r="J69">
        <v>1.901370927839992</v>
      </c>
      <c r="K69">
        <v>1.538387208008118</v>
      </c>
      <c r="L69">
        <v>1.3495792098856041</v>
      </c>
      <c r="M69">
        <v>1.8257217107748429</v>
      </c>
      <c r="N69">
        <v>2.185362885911843</v>
      </c>
      <c r="O69">
        <v>2.6797192286597071</v>
      </c>
      <c r="P69">
        <v>3.066226499540647</v>
      </c>
      <c r="Q69">
        <v>3.2984233218991221</v>
      </c>
      <c r="R69">
        <v>3.7293954758599739</v>
      </c>
      <c r="S69">
        <v>3.5671447454463419</v>
      </c>
      <c r="T69">
        <v>3.048580772419029</v>
      </c>
      <c r="U69">
        <v>2.365103211786447</v>
      </c>
      <c r="V69">
        <v>2.8399785741827941</v>
      </c>
      <c r="W69">
        <v>2.3598384347816652</v>
      </c>
      <c r="X69">
        <v>2.4512271927341942</v>
      </c>
      <c r="Y69">
        <v>1.6963871226059839</v>
      </c>
      <c r="Z69">
        <v>1.620651072554921</v>
      </c>
      <c r="AA69">
        <v>1.356872705197731</v>
      </c>
      <c r="AB69">
        <v>1.0545154619825039</v>
      </c>
      <c r="AC69">
        <v>0.58399286483808055</v>
      </c>
      <c r="AD69">
        <v>1.2732508479463429</v>
      </c>
    </row>
    <row r="70" spans="1:30" ht="15" customHeight="1" x14ac:dyDescent="0.35">
      <c r="A70" s="3" t="s">
        <v>30</v>
      </c>
      <c r="B70">
        <v>132.82987472866989</v>
      </c>
      <c r="C70">
        <v>139.11384386190531</v>
      </c>
      <c r="D70">
        <v>138.83686838215161</v>
      </c>
      <c r="E70">
        <v>137.7162616258444</v>
      </c>
      <c r="F70">
        <v>135.96539964641141</v>
      </c>
      <c r="G70">
        <v>138.34975354233941</v>
      </c>
      <c r="H70">
        <v>139.82674006350189</v>
      </c>
      <c r="I70">
        <v>138.32141230738719</v>
      </c>
      <c r="J70">
        <v>137.51251016699959</v>
      </c>
      <c r="K70">
        <v>136.82576299770849</v>
      </c>
      <c r="L70">
        <v>136.023672659911</v>
      </c>
      <c r="M70">
        <v>134.4132963223382</v>
      </c>
      <c r="N70">
        <v>134.24799399206029</v>
      </c>
      <c r="O70">
        <v>136.4410138240319</v>
      </c>
      <c r="P70">
        <v>137.32689388378861</v>
      </c>
      <c r="Q70">
        <v>138.60819776983419</v>
      </c>
      <c r="R70">
        <v>140.38185787990511</v>
      </c>
      <c r="S70">
        <v>141.03275361972311</v>
      </c>
      <c r="T70">
        <v>139.5771739104411</v>
      </c>
      <c r="U70">
        <v>139.64551606620211</v>
      </c>
      <c r="V70">
        <v>140.33068976679931</v>
      </c>
      <c r="W70">
        <v>141.45212630688479</v>
      </c>
      <c r="X70">
        <v>141.95322314538009</v>
      </c>
      <c r="Y70">
        <v>140.963533875693</v>
      </c>
      <c r="Z70">
        <v>139.95301025146341</v>
      </c>
      <c r="AA70">
        <v>140.98843480228521</v>
      </c>
      <c r="AB70">
        <v>141.42226585300591</v>
      </c>
      <c r="AC70">
        <v>142.50936347659459</v>
      </c>
      <c r="AD70">
        <v>143.98740262715029</v>
      </c>
    </row>
    <row r="71" spans="1:30" x14ac:dyDescent="0.35">
      <c r="A71" s="5" t="s">
        <v>31</v>
      </c>
      <c r="B71">
        <v>1.901080811381163</v>
      </c>
      <c r="C71">
        <v>1.731513830306723</v>
      </c>
      <c r="D71">
        <v>1.7223799137753699</v>
      </c>
      <c r="E71">
        <v>1.7236382422718191</v>
      </c>
      <c r="F71">
        <v>1.7518449084813079</v>
      </c>
      <c r="G71">
        <v>1.7698282554829989</v>
      </c>
      <c r="H71">
        <v>1.5978857494574199</v>
      </c>
      <c r="I71">
        <v>1.7029816580917421</v>
      </c>
      <c r="J71">
        <v>1.5736361069115841</v>
      </c>
      <c r="K71">
        <v>1.425242590161224</v>
      </c>
      <c r="L71">
        <v>1.4841463472837919</v>
      </c>
      <c r="M71">
        <v>1.51349137732224</v>
      </c>
      <c r="N71">
        <v>1.5696500349164519</v>
      </c>
      <c r="O71">
        <v>1.5382521852727149</v>
      </c>
      <c r="P71">
        <v>1.584333120742101</v>
      </c>
      <c r="Q71">
        <v>1.6473940456773779</v>
      </c>
      <c r="R71">
        <v>1.682619898265689</v>
      </c>
      <c r="S71">
        <v>1.6003094148924979</v>
      </c>
      <c r="T71">
        <v>1.5911868321102669</v>
      </c>
      <c r="U71">
        <v>1.6040309598108831</v>
      </c>
      <c r="V71">
        <v>1.675880188869344</v>
      </c>
      <c r="W71">
        <v>1.5366705290469811</v>
      </c>
      <c r="X71">
        <v>1.561344296630619</v>
      </c>
      <c r="Y71">
        <v>1.55714992483843</v>
      </c>
      <c r="Z71">
        <v>1.5321425275951159</v>
      </c>
      <c r="AA71">
        <v>1.4953428168524641</v>
      </c>
      <c r="AB71">
        <v>1.509369432548753</v>
      </c>
      <c r="AC71">
        <v>1.503249010746172</v>
      </c>
      <c r="AD71">
        <v>1.520545504386952</v>
      </c>
    </row>
    <row r="75" spans="1:30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116"/>
      <c r="AA75" s="116"/>
      <c r="AB75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71"/>
  <sheetViews>
    <sheetView zoomScale="130" zoomScaleNormal="130" workbookViewId="0">
      <pane xSplit="1" topLeftCell="BR1" activePane="topRight" state="frozen"/>
      <selection activeCell="A7" sqref="A7"/>
      <selection pane="topRight" activeCell="BX1" sqref="BX1"/>
    </sheetView>
  </sheetViews>
  <sheetFormatPr defaultRowHeight="14.5" x14ac:dyDescent="0.35"/>
  <cols>
    <col min="1" max="1" width="26.81640625" style="115" customWidth="1"/>
  </cols>
  <sheetData>
    <row r="1" spans="1:79" ht="15" customHeight="1" x14ac:dyDescent="0.35">
      <c r="A1" s="67" t="s">
        <v>0</v>
      </c>
      <c r="B1" s="2">
        <v>2016</v>
      </c>
      <c r="C1" s="2">
        <v>2017</v>
      </c>
      <c r="D1" s="2">
        <v>2018</v>
      </c>
      <c r="E1" s="2">
        <v>2019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  <c r="AC1" s="2" t="s">
        <v>62</v>
      </c>
      <c r="AD1" s="2" t="s">
        <v>63</v>
      </c>
      <c r="AE1" s="2" t="s">
        <v>64</v>
      </c>
      <c r="AF1" s="2" t="s">
        <v>65</v>
      </c>
      <c r="AG1" s="2" t="s">
        <v>66</v>
      </c>
      <c r="AH1" s="2" t="s">
        <v>67</v>
      </c>
      <c r="AI1" s="2" t="s">
        <v>68</v>
      </c>
      <c r="AJ1" s="2" t="s">
        <v>69</v>
      </c>
      <c r="AK1" s="2" t="s">
        <v>70</v>
      </c>
      <c r="AL1" s="2" t="s">
        <v>71</v>
      </c>
      <c r="AM1" s="2" t="s">
        <v>72</v>
      </c>
      <c r="AN1" s="2" t="s">
        <v>73</v>
      </c>
      <c r="AO1" s="2" t="s">
        <v>74</v>
      </c>
      <c r="AP1" s="2" t="s">
        <v>75</v>
      </c>
      <c r="AQ1" s="2" t="s">
        <v>76</v>
      </c>
      <c r="AR1" s="2" t="s">
        <v>77</v>
      </c>
      <c r="AS1" s="2" t="s">
        <v>78</v>
      </c>
      <c r="AT1" s="2" t="s">
        <v>79</v>
      </c>
      <c r="AU1" s="2" t="s">
        <v>80</v>
      </c>
      <c r="AV1" s="2" t="s">
        <v>81</v>
      </c>
      <c r="AW1" s="2" t="s">
        <v>82</v>
      </c>
      <c r="AX1" s="2" t="s">
        <v>83</v>
      </c>
      <c r="AY1" s="2" t="s">
        <v>84</v>
      </c>
      <c r="AZ1" s="2" t="s">
        <v>85</v>
      </c>
      <c r="BA1" s="2" t="s">
        <v>86</v>
      </c>
      <c r="BB1" s="2" t="s">
        <v>87</v>
      </c>
      <c r="BC1" s="2" t="s">
        <v>88</v>
      </c>
      <c r="BD1" s="2" t="s">
        <v>89</v>
      </c>
      <c r="BE1" s="2" t="s">
        <v>90</v>
      </c>
      <c r="BF1" s="2" t="s">
        <v>91</v>
      </c>
      <c r="BG1" s="2" t="s">
        <v>92</v>
      </c>
      <c r="BH1" s="2" t="s">
        <v>93</v>
      </c>
      <c r="BI1" s="2" t="s">
        <v>94</v>
      </c>
      <c r="BJ1" s="2" t="s">
        <v>95</v>
      </c>
      <c r="BK1" s="2" t="s">
        <v>96</v>
      </c>
      <c r="BL1" s="2" t="s">
        <v>97</v>
      </c>
      <c r="BM1" s="2" t="s">
        <v>98</v>
      </c>
      <c r="BN1" s="2" t="s">
        <v>99</v>
      </c>
      <c r="BO1" s="2" t="s">
        <v>100</v>
      </c>
      <c r="BP1" s="2" t="s">
        <v>101</v>
      </c>
      <c r="BQ1" s="2" t="s">
        <v>102</v>
      </c>
      <c r="BR1" s="2" t="s">
        <v>103</v>
      </c>
      <c r="BS1" s="2" t="s">
        <v>104</v>
      </c>
      <c r="BT1" s="2" t="s">
        <v>105</v>
      </c>
      <c r="BU1" s="2" t="s">
        <v>106</v>
      </c>
      <c r="BV1" s="2" t="s">
        <v>107</v>
      </c>
      <c r="BW1" s="2" t="s">
        <v>108</v>
      </c>
      <c r="BX1" s="2" t="s">
        <v>109</v>
      </c>
      <c r="BY1" s="2" t="s">
        <v>110</v>
      </c>
      <c r="BZ1" s="116" t="s">
        <v>111</v>
      </c>
    </row>
    <row r="2" spans="1:79" ht="15" customHeight="1" x14ac:dyDescent="0.35">
      <c r="A2" s="5" t="s">
        <v>25</v>
      </c>
      <c r="B2">
        <v>130.07637935599811</v>
      </c>
      <c r="C2">
        <v>132.82980789389981</v>
      </c>
      <c r="D2">
        <v>132.99274788816669</v>
      </c>
      <c r="E2">
        <v>132.109464377161</v>
      </c>
      <c r="F2">
        <v>132.2584915163263</v>
      </c>
      <c r="G2">
        <v>131.74870242594949</v>
      </c>
      <c r="H2">
        <v>131.54255891440201</v>
      </c>
      <c r="I2">
        <v>132.1897136066583</v>
      </c>
      <c r="J2">
        <v>133.74885170044999</v>
      </c>
      <c r="K2">
        <v>134.65102901341299</v>
      </c>
      <c r="L2">
        <v>134.8015942625251</v>
      </c>
      <c r="M2">
        <v>135.3214284387432</v>
      </c>
      <c r="N2">
        <v>135.8370340037734</v>
      </c>
      <c r="O2">
        <v>135.637322084385</v>
      </c>
      <c r="P2">
        <v>136.6048233354681</v>
      </c>
      <c r="Q2">
        <v>135.2569797198974</v>
      </c>
      <c r="R2">
        <v>135.37459537493001</v>
      </c>
      <c r="S2">
        <v>135.0819686664635</v>
      </c>
      <c r="T2">
        <v>134.04130906567431</v>
      </c>
      <c r="U2">
        <v>134.8576859698276</v>
      </c>
      <c r="V2">
        <v>135.4290032555248</v>
      </c>
      <c r="W2">
        <v>135.23155502803289</v>
      </c>
      <c r="X2">
        <v>135.1453359409438</v>
      </c>
      <c r="Y2">
        <v>136.0633241735103</v>
      </c>
      <c r="Z2">
        <v>134.88068902235679</v>
      </c>
      <c r="AA2">
        <v>134.92485844004119</v>
      </c>
      <c r="AB2">
        <v>133.4376756280883</v>
      </c>
      <c r="AC2">
        <v>134.76744620608289</v>
      </c>
      <c r="AD2">
        <v>134.0616006736962</v>
      </c>
      <c r="AE2">
        <v>133.46246906171129</v>
      </c>
      <c r="AF2">
        <v>134.4283602470399</v>
      </c>
      <c r="AG2">
        <v>135.3286052757488</v>
      </c>
      <c r="AH2">
        <v>136.27414538409741</v>
      </c>
      <c r="AI2">
        <v>136.14209181740171</v>
      </c>
      <c r="AJ2">
        <v>136.0538985806289</v>
      </c>
      <c r="AK2">
        <v>136.18038991265169</v>
      </c>
      <c r="AL2">
        <v>136.20134148990789</v>
      </c>
      <c r="AM2">
        <v>136.4005390673735</v>
      </c>
      <c r="AN2">
        <v>137.3465529206436</v>
      </c>
      <c r="AO2">
        <v>136.56023892639789</v>
      </c>
      <c r="AP2">
        <v>137.3543325376227</v>
      </c>
      <c r="AQ2">
        <v>136.77652443465891</v>
      </c>
      <c r="AR2">
        <v>136.20402968666539</v>
      </c>
      <c r="AS2">
        <v>137.32635406301199</v>
      </c>
      <c r="AT2">
        <v>136.6899043654856</v>
      </c>
      <c r="AU2">
        <v>136.7589706058788</v>
      </c>
      <c r="AV2">
        <v>135.57233955424121</v>
      </c>
      <c r="AW2">
        <v>136.72240874734459</v>
      </c>
      <c r="AX2">
        <v>136.99428955084539</v>
      </c>
      <c r="AY2">
        <v>137.1930621929846</v>
      </c>
      <c r="AZ2">
        <v>136.53374298033131</v>
      </c>
      <c r="BA2">
        <v>136.58082218850211</v>
      </c>
      <c r="BB2">
        <v>136.14985368400971</v>
      </c>
      <c r="BC2">
        <v>137.03472388591851</v>
      </c>
      <c r="BD2">
        <v>137.2346738019811</v>
      </c>
      <c r="BE2">
        <v>137.1082366373121</v>
      </c>
      <c r="BF2">
        <v>137.80105646342159</v>
      </c>
      <c r="BG2">
        <v>138.4646553326977</v>
      </c>
      <c r="BH2">
        <v>138.07105014945029</v>
      </c>
      <c r="BI2">
        <v>137.16196709831789</v>
      </c>
      <c r="BJ2">
        <v>136.3105767187437</v>
      </c>
      <c r="BK2">
        <v>136.80042188048631</v>
      </c>
      <c r="BL2">
        <v>136.83707171246539</v>
      </c>
      <c r="BM2">
        <v>137.09433751737291</v>
      </c>
      <c r="BN2">
        <v>136.6947195331652</v>
      </c>
      <c r="BO2">
        <v>137.57439201135259</v>
      </c>
      <c r="BP2">
        <v>138.31006514565351</v>
      </c>
      <c r="BQ2">
        <v>138.2707529193766</v>
      </c>
      <c r="BR2">
        <v>138.46661782208571</v>
      </c>
      <c r="BS2">
        <v>138.34760621283601</v>
      </c>
      <c r="BT2">
        <v>138.86903489506719</v>
      </c>
      <c r="BU2">
        <v>138.81179483369101</v>
      </c>
      <c r="BV2">
        <v>138.98923787854989</v>
      </c>
      <c r="BW2">
        <v>140.30770524167821</v>
      </c>
      <c r="BX2">
        <v>140.4024972591734</v>
      </c>
      <c r="BY2">
        <v>137.34100464180599</v>
      </c>
      <c r="BZ2">
        <v>136.6469235361092</v>
      </c>
      <c r="CA2">
        <v>140.8149890563071</v>
      </c>
    </row>
    <row r="3" spans="1:79" ht="15" customHeight="1" x14ac:dyDescent="0.35">
      <c r="A3" s="6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</row>
    <row r="4" spans="1:79" ht="15" customHeight="1" x14ac:dyDescent="0.35">
      <c r="A4" s="4" t="s">
        <v>27</v>
      </c>
      <c r="B4" s="26">
        <v>0.66321458872585026</v>
      </c>
      <c r="C4" s="26">
        <v>1.038579453101107</v>
      </c>
      <c r="D4" s="26">
        <v>1.13801128986313</v>
      </c>
      <c r="E4" s="26">
        <v>1.1999234033720261</v>
      </c>
      <c r="F4" s="26">
        <v>1.363497975115763</v>
      </c>
      <c r="G4" s="26">
        <v>1.4890325857046209</v>
      </c>
      <c r="H4" s="26">
        <v>1.4551035497943869</v>
      </c>
      <c r="I4" s="26">
        <v>0.95163864396397457</v>
      </c>
      <c r="J4" s="26">
        <v>1.438402569404218</v>
      </c>
      <c r="K4" s="26">
        <v>1.4548571844645719</v>
      </c>
      <c r="L4" s="26">
        <v>0.63305980130715511</v>
      </c>
      <c r="M4" s="26">
        <v>0.57072413516988263</v>
      </c>
      <c r="N4" s="26">
        <v>0.63123427871042281</v>
      </c>
      <c r="O4" s="26">
        <v>1.2672486346027649</v>
      </c>
      <c r="P4" s="26">
        <v>1.201507205229859</v>
      </c>
      <c r="Q4" s="26">
        <v>0.7818317777681898</v>
      </c>
      <c r="R4" s="26">
        <v>1.202422999762319</v>
      </c>
      <c r="S4" s="26">
        <v>1.2781025611003829</v>
      </c>
      <c r="T4" s="26">
        <v>1.438759428633801</v>
      </c>
      <c r="U4" s="26">
        <v>1.6599886653431499</v>
      </c>
      <c r="V4">
        <v>1.2247998512470131</v>
      </c>
      <c r="W4">
        <v>1.038978884170632</v>
      </c>
      <c r="X4">
        <v>1.0486892752313679</v>
      </c>
      <c r="Y4">
        <v>1.3860843979873609</v>
      </c>
      <c r="Z4">
        <v>1.565865089086373</v>
      </c>
      <c r="AA4">
        <v>1.563728101244749</v>
      </c>
      <c r="AB4">
        <v>0.95537260497431475</v>
      </c>
      <c r="AC4">
        <v>1.1725707822045881</v>
      </c>
      <c r="AD4">
        <v>1.3500945838585781</v>
      </c>
      <c r="AE4">
        <v>1.5398786549746719</v>
      </c>
      <c r="AF4">
        <v>1.8252304102565231</v>
      </c>
      <c r="AG4">
        <v>1.82908471492533</v>
      </c>
      <c r="AH4">
        <v>2.5043043940217729</v>
      </c>
      <c r="AI4">
        <v>0.89895609624304029</v>
      </c>
      <c r="AJ4">
        <v>0.91030943855943747</v>
      </c>
      <c r="AK4">
        <v>-0.3380306727927973</v>
      </c>
      <c r="AL4">
        <v>1.697965229054063</v>
      </c>
      <c r="AM4">
        <v>-1.8124679764451059</v>
      </c>
      <c r="AN4">
        <v>1.591104226987369</v>
      </c>
      <c r="AO4">
        <v>-0.85166302553739115</v>
      </c>
      <c r="AP4">
        <v>1.475579977020345</v>
      </c>
      <c r="AQ4">
        <v>1.1167383982425461</v>
      </c>
      <c r="AR4">
        <v>8.872573953169649E-2</v>
      </c>
      <c r="AS4">
        <v>3.118506099999991</v>
      </c>
      <c r="AT4">
        <v>-1.477642629741837</v>
      </c>
      <c r="AU4">
        <v>-1.2971091950682589</v>
      </c>
      <c r="AV4">
        <v>-1.8509513935759969</v>
      </c>
      <c r="AW4">
        <v>1.153012194357331</v>
      </c>
      <c r="AX4">
        <v>4.3341446500000131</v>
      </c>
      <c r="AY4">
        <v>1.8896376690159971</v>
      </c>
      <c r="AZ4">
        <v>0.98233763016378361</v>
      </c>
      <c r="BA4">
        <v>1.09136933393296</v>
      </c>
      <c r="BB4">
        <v>0.90847571732288657</v>
      </c>
      <c r="BC4">
        <v>1.147510467503849</v>
      </c>
      <c r="BD4">
        <v>1.450160858776115</v>
      </c>
      <c r="BE4">
        <v>1.5039823355915869</v>
      </c>
      <c r="BF4">
        <v>1.5817046695156589</v>
      </c>
      <c r="BG4">
        <v>0.93728365262072089</v>
      </c>
      <c r="BH4">
        <v>0.97573691598520895</v>
      </c>
      <c r="BI4">
        <v>0.94632960585747128</v>
      </c>
      <c r="BJ4">
        <v>1.1939328617163201</v>
      </c>
      <c r="BK4">
        <v>0.98178418503837861</v>
      </c>
      <c r="BL4">
        <v>1.7335169011313949</v>
      </c>
      <c r="BM4">
        <v>1.589420083009855</v>
      </c>
      <c r="BN4">
        <v>0.76502270123103244</v>
      </c>
      <c r="BO4">
        <v>1.968847863305115</v>
      </c>
      <c r="BP4">
        <v>1.471488550484821</v>
      </c>
      <c r="BQ4">
        <v>2.7699838197930551</v>
      </c>
      <c r="BR4">
        <v>2.7445103465464058</v>
      </c>
      <c r="BS4">
        <v>2.9079804464932981</v>
      </c>
      <c r="BT4">
        <v>3.127650497735829</v>
      </c>
      <c r="BU4">
        <v>3.0665305095903359</v>
      </c>
      <c r="BV4">
        <v>3.0046783018522381</v>
      </c>
      <c r="BW4">
        <v>3.3612263955008359</v>
      </c>
      <c r="BX4">
        <v>1.674297247681011</v>
      </c>
    </row>
    <row r="5" spans="1:79" ht="15" customHeight="1" x14ac:dyDescent="0.35">
      <c r="A5" s="3" t="s">
        <v>28</v>
      </c>
      <c r="B5">
        <v>-0.43387445680892262</v>
      </c>
      <c r="C5">
        <v>0.25208664700312511</v>
      </c>
      <c r="D5">
        <v>0.23835097099785679</v>
      </c>
      <c r="E5">
        <v>8.3969257879829229E-2</v>
      </c>
      <c r="F5">
        <v>-0.1690038520624455</v>
      </c>
      <c r="G5">
        <v>-6.6268574903631361E-2</v>
      </c>
      <c r="H5">
        <v>-0.37281441655238717</v>
      </c>
      <c r="I5">
        <v>-0.55892049099202268</v>
      </c>
      <c r="J5">
        <v>-0.42429522164397332</v>
      </c>
      <c r="K5">
        <v>-0.16532971614560671</v>
      </c>
      <c r="L5">
        <v>-0.39771017787415991</v>
      </c>
      <c r="M5">
        <v>2.332862301585692E-2</v>
      </c>
      <c r="N5">
        <v>0.1775156288462654</v>
      </c>
      <c r="O5">
        <v>0.24090842590172201</v>
      </c>
      <c r="P5">
        <v>-7.3562786933138113E-2</v>
      </c>
      <c r="Q5">
        <v>0.89192764497147436</v>
      </c>
      <c r="R5">
        <v>1.0585003055078059</v>
      </c>
      <c r="S5">
        <v>-0.20632460873125069</v>
      </c>
      <c r="T5">
        <v>-0.29325404400546518</v>
      </c>
      <c r="U5">
        <v>-1.929274648963997E-2</v>
      </c>
      <c r="V5">
        <v>0.29077175704367159</v>
      </c>
      <c r="W5">
        <v>0.17819197154088329</v>
      </c>
      <c r="X5">
        <v>-0.28841322442116279</v>
      </c>
      <c r="Y5">
        <v>-0.47832537093799488</v>
      </c>
      <c r="Z5">
        <v>-0.36451377183485079</v>
      </c>
      <c r="AA5">
        <v>-0.31247209720450542</v>
      </c>
      <c r="AB5">
        <v>-1.562873428309814</v>
      </c>
      <c r="AC5">
        <v>-1.104139556664506</v>
      </c>
      <c r="AD5">
        <v>0.24278299913584081</v>
      </c>
      <c r="AE5">
        <v>-0.66124799347559815</v>
      </c>
      <c r="AF5">
        <v>-1.2296851010407861</v>
      </c>
      <c r="AG5">
        <v>-2.2710260352332061</v>
      </c>
      <c r="AH5">
        <v>-8.6659548496783145E-2</v>
      </c>
      <c r="AI5">
        <v>0.55523182423235085</v>
      </c>
      <c r="AJ5">
        <v>-2.65326305255482</v>
      </c>
      <c r="AK5">
        <v>-0.85788277317411143</v>
      </c>
      <c r="AL5">
        <v>-3.2618726101617601</v>
      </c>
      <c r="AM5">
        <v>4.5268125139774904</v>
      </c>
      <c r="AN5">
        <v>0.1395530681556636</v>
      </c>
      <c r="AO5">
        <v>-0.68617028514611889</v>
      </c>
      <c r="AP5">
        <v>-2.2350777453458481</v>
      </c>
      <c r="AQ5">
        <v>-3.1453827852990059</v>
      </c>
      <c r="AR5">
        <v>-1.3145267858120351</v>
      </c>
      <c r="AS5">
        <v>-5.3223482224063901</v>
      </c>
      <c r="AT5">
        <v>-0.98840287822079631</v>
      </c>
      <c r="AU5">
        <v>-2.865429807898408</v>
      </c>
      <c r="AV5">
        <v>-0.91046055366885525</v>
      </c>
      <c r="AW5">
        <v>-2.8747318617955671</v>
      </c>
      <c r="AX5">
        <v>-4.1975832368048316</v>
      </c>
      <c r="AY5">
        <v>-0.85144108591245526</v>
      </c>
      <c r="AZ5">
        <v>-2.1919820553350751</v>
      </c>
      <c r="BA5">
        <v>-0.54056974471035346</v>
      </c>
      <c r="BB5">
        <v>-1.783619392884759</v>
      </c>
      <c r="BC5">
        <v>-2.0063219355521942</v>
      </c>
      <c r="BD5">
        <v>-1.237027566120702</v>
      </c>
      <c r="BE5">
        <v>-0.20553531744658929</v>
      </c>
      <c r="BF5">
        <v>-0.118131137362866</v>
      </c>
      <c r="BG5">
        <v>-1.0945539868303631</v>
      </c>
      <c r="BH5">
        <v>-1.1770371933142769</v>
      </c>
      <c r="BI5">
        <v>-0.33003849213699249</v>
      </c>
      <c r="BJ5">
        <v>-0.13258979015111549</v>
      </c>
      <c r="BK5">
        <v>1.9015270621842431</v>
      </c>
      <c r="BL5">
        <v>1.5940936683063001</v>
      </c>
      <c r="BM5">
        <v>1.1338342544620159</v>
      </c>
      <c r="BN5">
        <v>-0.19350888470489741</v>
      </c>
      <c r="BO5">
        <v>0.17929851742243841</v>
      </c>
      <c r="BP5">
        <v>0.46934361945895381</v>
      </c>
      <c r="BQ5">
        <v>1.379644585476939</v>
      </c>
      <c r="BR5">
        <v>8.0108916751669312E-2</v>
      </c>
      <c r="BS5">
        <v>0.18026339482514689</v>
      </c>
      <c r="BT5">
        <v>1.7756142051798069</v>
      </c>
      <c r="BU5">
        <v>1.7362768555552179</v>
      </c>
      <c r="BV5">
        <v>0.16131661672642389</v>
      </c>
      <c r="BW5">
        <v>0.2326365572160114</v>
      </c>
      <c r="BX5">
        <v>0.89607297986404433</v>
      </c>
    </row>
    <row r="6" spans="1:79" ht="15" customHeight="1" x14ac:dyDescent="0.35">
      <c r="A6" s="4" t="s">
        <v>29</v>
      </c>
      <c r="B6">
        <v>0.43387445680892262</v>
      </c>
      <c r="C6">
        <v>-0.25208664700312511</v>
      </c>
      <c r="D6">
        <v>-0.23835097099785679</v>
      </c>
      <c r="E6">
        <v>-8.3969257879829229E-2</v>
      </c>
      <c r="F6">
        <v>0.1690038520624455</v>
      </c>
      <c r="G6">
        <v>6.6268574903631361E-2</v>
      </c>
      <c r="H6">
        <v>0.37281441655238717</v>
      </c>
      <c r="I6">
        <v>0.55892049099202268</v>
      </c>
      <c r="J6">
        <v>0.42429522164397332</v>
      </c>
      <c r="K6">
        <v>0.16532971614560671</v>
      </c>
      <c r="L6">
        <v>0.39771017787415991</v>
      </c>
      <c r="M6">
        <v>-2.332862301585692E-2</v>
      </c>
      <c r="N6">
        <v>-0.1775156288462654</v>
      </c>
      <c r="O6">
        <v>-0.24090842590172201</v>
      </c>
      <c r="P6">
        <v>7.3562786933138113E-2</v>
      </c>
      <c r="Q6">
        <v>-0.89192764497147436</v>
      </c>
      <c r="R6">
        <v>-1.0585003055078059</v>
      </c>
      <c r="S6">
        <v>0.20632460873125069</v>
      </c>
      <c r="T6">
        <v>0.29325404400546518</v>
      </c>
      <c r="U6">
        <v>1.929274648963997E-2</v>
      </c>
      <c r="V6">
        <v>-0.29077175704367159</v>
      </c>
      <c r="W6">
        <v>-0.17819197154088329</v>
      </c>
      <c r="X6">
        <v>0.28841322442116279</v>
      </c>
      <c r="Y6">
        <v>0.47832537093799488</v>
      </c>
      <c r="Z6">
        <v>0.36451377183485079</v>
      </c>
      <c r="AA6">
        <v>0.31247209720450542</v>
      </c>
      <c r="AB6">
        <v>1.562873428309814</v>
      </c>
      <c r="AC6">
        <v>1.104139556664506</v>
      </c>
      <c r="AD6">
        <v>-0.24278299913584081</v>
      </c>
      <c r="AE6">
        <v>0.66124799347559815</v>
      </c>
      <c r="AF6">
        <v>1.2296851010407861</v>
      </c>
      <c r="AG6">
        <v>2.2710260352332061</v>
      </c>
      <c r="AH6">
        <v>8.6659548496783145E-2</v>
      </c>
      <c r="AI6">
        <v>-0.55523182423235085</v>
      </c>
      <c r="AJ6">
        <v>2.65326305255482</v>
      </c>
      <c r="AK6">
        <v>0.85788277317411143</v>
      </c>
      <c r="AL6">
        <v>3.2618726101617601</v>
      </c>
      <c r="AM6">
        <v>-4.5268125139774904</v>
      </c>
      <c r="AN6">
        <v>-0.1395530681556636</v>
      </c>
      <c r="AO6">
        <v>0.68617028514611889</v>
      </c>
      <c r="AP6">
        <v>2.2350777453458481</v>
      </c>
      <c r="AQ6">
        <v>3.1453827852990059</v>
      </c>
      <c r="AR6">
        <v>1.3145267858120351</v>
      </c>
      <c r="AS6">
        <v>5.3223482224063901</v>
      </c>
      <c r="AT6">
        <v>0.98840287822079631</v>
      </c>
      <c r="AU6">
        <v>2.865429807898408</v>
      </c>
      <c r="AV6">
        <v>0.91046055366885525</v>
      </c>
      <c r="AW6">
        <v>2.8747318617955671</v>
      </c>
      <c r="AX6">
        <v>4.1975832368048316</v>
      </c>
      <c r="AY6">
        <v>0.85144108591245526</v>
      </c>
      <c r="AZ6">
        <v>2.1919820553350751</v>
      </c>
      <c r="BA6">
        <v>0.54056974471035346</v>
      </c>
      <c r="BB6">
        <v>1.783619392884759</v>
      </c>
      <c r="BC6">
        <v>2.0063219355521942</v>
      </c>
      <c r="BD6">
        <v>1.237027566120702</v>
      </c>
      <c r="BE6">
        <v>0.20553531744658929</v>
      </c>
      <c r="BF6">
        <v>0.118131137362866</v>
      </c>
      <c r="BG6">
        <v>1.0945539868303631</v>
      </c>
      <c r="BH6">
        <v>1.1770371933142769</v>
      </c>
      <c r="BI6">
        <v>0.33003849213699249</v>
      </c>
      <c r="BJ6">
        <v>0.13258979015111549</v>
      </c>
      <c r="BK6">
        <v>-1.9015270621842431</v>
      </c>
      <c r="BL6">
        <v>-1.5940936683063001</v>
      </c>
      <c r="BM6">
        <v>-1.1338342544620159</v>
      </c>
      <c r="BN6">
        <v>0.19350888470489741</v>
      </c>
      <c r="BO6">
        <v>-0.17929851742243841</v>
      </c>
      <c r="BP6">
        <v>-0.46934361945895381</v>
      </c>
      <c r="BQ6">
        <v>-1.379644585476939</v>
      </c>
      <c r="BR6">
        <v>-8.0108916751669312E-2</v>
      </c>
      <c r="BS6">
        <v>-0.18026339482514689</v>
      </c>
      <c r="BT6">
        <v>-1.7756142051798069</v>
      </c>
      <c r="BU6">
        <v>-1.7362768555552179</v>
      </c>
      <c r="BV6">
        <v>-0.16131661672642389</v>
      </c>
      <c r="BW6">
        <v>-0.2326365572160114</v>
      </c>
      <c r="BX6">
        <v>-0.89607297986404433</v>
      </c>
    </row>
    <row r="7" spans="1:79" ht="15" customHeight="1" x14ac:dyDescent="0.35">
      <c r="A7" s="3" t="s">
        <v>30</v>
      </c>
      <c r="B7">
        <v>130.73959394472391</v>
      </c>
      <c r="C7">
        <v>133.86838734700089</v>
      </c>
      <c r="D7">
        <v>134.13075917802979</v>
      </c>
      <c r="E7">
        <v>133.309387780533</v>
      </c>
      <c r="F7">
        <v>133.62198949144201</v>
      </c>
      <c r="G7">
        <v>133.23773501165411</v>
      </c>
      <c r="H7">
        <v>132.9976624641964</v>
      </c>
      <c r="I7">
        <v>133.14135225062219</v>
      </c>
      <c r="J7">
        <v>135.18725426985429</v>
      </c>
      <c r="K7">
        <v>136.1058861978776</v>
      </c>
      <c r="L7">
        <v>135.4346540638322</v>
      </c>
      <c r="M7">
        <v>135.89215257391311</v>
      </c>
      <c r="N7">
        <v>136.46826828248379</v>
      </c>
      <c r="O7">
        <v>136.90457071898771</v>
      </c>
      <c r="P7">
        <v>137.80633054069801</v>
      </c>
      <c r="Q7">
        <v>136.03881149766559</v>
      </c>
      <c r="R7">
        <v>136.5770183746923</v>
      </c>
      <c r="S7">
        <v>136.36007122756391</v>
      </c>
      <c r="T7">
        <v>135.48006849430811</v>
      </c>
      <c r="U7">
        <v>136.51767463517069</v>
      </c>
      <c r="V7">
        <v>136.65380310677179</v>
      </c>
      <c r="W7">
        <v>136.27053391220349</v>
      </c>
      <c r="X7">
        <v>136.19402521617511</v>
      </c>
      <c r="Y7">
        <v>137.4494085714976</v>
      </c>
      <c r="Z7">
        <v>136.44655411144311</v>
      </c>
      <c r="AA7">
        <v>136.48858654128591</v>
      </c>
      <c r="AB7">
        <v>134.39304823306259</v>
      </c>
      <c r="AC7">
        <v>135.94001698828751</v>
      </c>
      <c r="AD7">
        <v>135.41169525755481</v>
      </c>
      <c r="AE7">
        <v>135.00234771668599</v>
      </c>
      <c r="AF7">
        <v>136.2535906572964</v>
      </c>
      <c r="AG7">
        <v>137.1576899906741</v>
      </c>
      <c r="AH7">
        <v>138.77844977811921</v>
      </c>
      <c r="AI7">
        <v>137.04104791364469</v>
      </c>
      <c r="AJ7">
        <v>136.96420801918831</v>
      </c>
      <c r="AK7">
        <v>135.84235923985889</v>
      </c>
      <c r="AL7">
        <v>137.89930671896201</v>
      </c>
      <c r="AM7">
        <v>134.58807109092839</v>
      </c>
      <c r="AN7">
        <v>138.93765714763089</v>
      </c>
      <c r="AO7">
        <v>135.70857590086061</v>
      </c>
      <c r="AP7">
        <v>138.82991251464301</v>
      </c>
      <c r="AQ7">
        <v>137.89326283290151</v>
      </c>
      <c r="AR7">
        <v>136.29275542619709</v>
      </c>
      <c r="AS7">
        <v>140.44486016301201</v>
      </c>
      <c r="AT7">
        <v>135.21226173574379</v>
      </c>
      <c r="AU7">
        <v>135.46186141081051</v>
      </c>
      <c r="AV7">
        <v>133.72138816066521</v>
      </c>
      <c r="AW7">
        <v>137.87542094170189</v>
      </c>
      <c r="AX7">
        <v>141.32843420084541</v>
      </c>
      <c r="AY7">
        <v>139.0826998620006</v>
      </c>
      <c r="AZ7">
        <v>137.5160806104951</v>
      </c>
      <c r="BA7">
        <v>137.6721915224351</v>
      </c>
      <c r="BB7">
        <v>137.0583294013326</v>
      </c>
      <c r="BC7">
        <v>138.18223435342239</v>
      </c>
      <c r="BD7">
        <v>138.68483466075719</v>
      </c>
      <c r="BE7">
        <v>138.61221897290369</v>
      </c>
      <c r="BF7">
        <v>139.38276113293719</v>
      </c>
      <c r="BG7">
        <v>139.4019389853184</v>
      </c>
      <c r="BH7">
        <v>139.0467870654355</v>
      </c>
      <c r="BI7">
        <v>138.1082967041753</v>
      </c>
      <c r="BJ7">
        <v>137.50450958046</v>
      </c>
      <c r="BK7">
        <v>137.78220606552469</v>
      </c>
      <c r="BL7">
        <v>138.57058861359681</v>
      </c>
      <c r="BM7">
        <v>138.68375760038279</v>
      </c>
      <c r="BN7">
        <v>137.4597422343962</v>
      </c>
      <c r="BO7">
        <v>139.5432398746577</v>
      </c>
      <c r="BP7">
        <v>139.7815536961383</v>
      </c>
      <c r="BQ7">
        <v>141.04073673916969</v>
      </c>
      <c r="BR7">
        <v>141.21112816863209</v>
      </c>
      <c r="BS7">
        <v>141.25558665932931</v>
      </c>
      <c r="BT7">
        <v>141.99668539280299</v>
      </c>
      <c r="BU7">
        <v>141.87832534328129</v>
      </c>
      <c r="BV7">
        <v>141.99391618040221</v>
      </c>
      <c r="BW7">
        <v>143.6689316371791</v>
      </c>
      <c r="BX7">
        <v>142.07679450685441</v>
      </c>
    </row>
    <row r="8" spans="1:79" ht="15" customHeight="1" x14ac:dyDescent="0.35">
      <c r="A8" s="5" t="s">
        <v>31</v>
      </c>
      <c r="B8">
        <v>1.908724418579127</v>
      </c>
      <c r="C8">
        <v>1.9020909759639779</v>
      </c>
      <c r="D8">
        <v>1.910890052143178</v>
      </c>
      <c r="E8">
        <v>1.948227698007422</v>
      </c>
      <c r="F8">
        <v>1.9743247894185481</v>
      </c>
      <c r="G8">
        <v>1.9082235172404931</v>
      </c>
      <c r="H8">
        <v>1.8561770215918749</v>
      </c>
      <c r="I8">
        <v>2.0421644870385589</v>
      </c>
      <c r="J8">
        <v>1.9635875323988421</v>
      </c>
      <c r="K8">
        <v>1.873448323448017</v>
      </c>
      <c r="L8">
        <v>1.7480385637673579</v>
      </c>
      <c r="M8">
        <v>1.630755586111051</v>
      </c>
      <c r="N8">
        <v>1.6161995482914631</v>
      </c>
      <c r="O8">
        <v>1.627102983258746</v>
      </c>
      <c r="P8">
        <v>1.616256610851641</v>
      </c>
      <c r="Q8">
        <v>1.7297384671858009</v>
      </c>
      <c r="R8">
        <v>1.7569392202102869</v>
      </c>
      <c r="S8">
        <v>1.7395327764019071</v>
      </c>
      <c r="T8">
        <v>1.63699494668337</v>
      </c>
      <c r="U8">
        <v>1.567600367748013</v>
      </c>
      <c r="V8">
        <v>1.498790537967351</v>
      </c>
      <c r="W8">
        <v>1.4652960434842439</v>
      </c>
      <c r="X8">
        <v>1.574153693960169</v>
      </c>
      <c r="Y8">
        <v>1.53702133326943</v>
      </c>
      <c r="Z8">
        <v>1.6529070851426579</v>
      </c>
      <c r="AA8">
        <v>1.5736010265279909</v>
      </c>
      <c r="AB8">
        <v>1.5776980695024581</v>
      </c>
      <c r="AC8">
        <v>1.5967354814906809</v>
      </c>
      <c r="AD8">
        <v>1.622327831610068</v>
      </c>
      <c r="AE8">
        <v>1.599858390250638</v>
      </c>
      <c r="AF8">
        <v>1.624587048188225</v>
      </c>
      <c r="AG8">
        <v>1.636488813608044</v>
      </c>
      <c r="AH8">
        <v>2.0755361662603908</v>
      </c>
      <c r="AI8">
        <v>2.2403166333387619</v>
      </c>
      <c r="AJ8">
        <v>1.6769929548436591</v>
      </c>
      <c r="AK8">
        <v>1.7609987081119149</v>
      </c>
      <c r="AL8">
        <v>1.852763574889446</v>
      </c>
      <c r="AM8">
        <v>1.528348341785382</v>
      </c>
      <c r="AN8">
        <v>1.904856068431126</v>
      </c>
      <c r="AO8">
        <v>2.0039266751641329</v>
      </c>
      <c r="AP8">
        <v>1.8622774824631481</v>
      </c>
      <c r="AQ8">
        <v>1.9348543685094199</v>
      </c>
      <c r="AR8">
        <v>1.6267680897755741</v>
      </c>
      <c r="AS8">
        <v>5.1897588235294121</v>
      </c>
      <c r="AT8">
        <v>2.3546433664408051</v>
      </c>
      <c r="AU8">
        <v>1.579764598776304</v>
      </c>
      <c r="AV8">
        <v>1.8767693894087309</v>
      </c>
      <c r="AW8">
        <v>1.6518023682575751</v>
      </c>
      <c r="AX8">
        <v>1.8714842553191491</v>
      </c>
      <c r="AY8">
        <v>1.925055523900832</v>
      </c>
      <c r="AZ8">
        <v>1.8325892135185371</v>
      </c>
      <c r="BA8">
        <v>1.7607486209799439</v>
      </c>
      <c r="BB8">
        <v>1.697528008082779</v>
      </c>
      <c r="BC8">
        <v>1.789666166013073</v>
      </c>
      <c r="BD8">
        <v>1.636838739802704</v>
      </c>
      <c r="BE8">
        <v>1.5935565913226231</v>
      </c>
      <c r="BF8">
        <v>1.532608347262721</v>
      </c>
      <c r="BG8">
        <v>1.724340099885596</v>
      </c>
      <c r="BH8">
        <v>1.5915304968323569</v>
      </c>
      <c r="BI8">
        <v>1.679705478084375</v>
      </c>
      <c r="BJ8">
        <v>1.605677388568588</v>
      </c>
      <c r="BK8">
        <v>1.6168399002405049</v>
      </c>
      <c r="BL8">
        <v>1.50253165093833</v>
      </c>
      <c r="BM8">
        <v>1.598270937706622</v>
      </c>
      <c r="BN8">
        <v>1.61947691878139</v>
      </c>
      <c r="BO8">
        <v>1.587740407355432</v>
      </c>
      <c r="BP8">
        <v>1.536522719199098</v>
      </c>
      <c r="BQ8">
        <v>1.5535722835081269</v>
      </c>
      <c r="BR8">
        <v>1.59321233584176</v>
      </c>
      <c r="BS8">
        <v>1.553928206402249</v>
      </c>
      <c r="BT8">
        <v>1.522413343031938</v>
      </c>
      <c r="BU8">
        <v>1.5716474470116111</v>
      </c>
      <c r="BV8">
        <v>1.616823623129781</v>
      </c>
      <c r="BW8">
        <v>1.5274441500562641</v>
      </c>
      <c r="BX8">
        <v>1.563777089600815</v>
      </c>
    </row>
    <row r="9" spans="1:79" ht="15" customHeight="1" x14ac:dyDescent="0.35"/>
    <row r="10" spans="1:79" ht="15" customHeight="1" x14ac:dyDescent="0.35">
      <c r="A10" s="23" t="s">
        <v>32</v>
      </c>
      <c r="B10" s="2">
        <v>2016</v>
      </c>
      <c r="C10" s="2">
        <v>2017</v>
      </c>
      <c r="D10" s="2">
        <v>2018</v>
      </c>
      <c r="E10" s="2">
        <v>2019</v>
      </c>
      <c r="F10" s="2" t="s">
        <v>39</v>
      </c>
      <c r="G10" s="2" t="s">
        <v>40</v>
      </c>
      <c r="H10" s="2" t="s">
        <v>41</v>
      </c>
      <c r="I10" s="2" t="s">
        <v>42</v>
      </c>
      <c r="J10" s="2" t="s">
        <v>43</v>
      </c>
      <c r="K10" s="2" t="s">
        <v>44</v>
      </c>
      <c r="L10" s="2" t="s">
        <v>45</v>
      </c>
      <c r="M10" s="2" t="s">
        <v>46</v>
      </c>
      <c r="N10" s="2" t="s">
        <v>47</v>
      </c>
      <c r="O10" s="2" t="s">
        <v>48</v>
      </c>
      <c r="P10" s="2" t="s">
        <v>49</v>
      </c>
      <c r="Q10" s="2" t="s">
        <v>50</v>
      </c>
      <c r="R10" s="2" t="s">
        <v>51</v>
      </c>
      <c r="S10" s="2" t="s">
        <v>52</v>
      </c>
      <c r="T10" s="2" t="s">
        <v>53</v>
      </c>
      <c r="U10" s="2" t="s">
        <v>54</v>
      </c>
      <c r="V10" s="2" t="s">
        <v>55</v>
      </c>
      <c r="W10" s="2" t="s">
        <v>56</v>
      </c>
      <c r="X10" s="2" t="s">
        <v>57</v>
      </c>
      <c r="Y10" s="2" t="s">
        <v>58</v>
      </c>
      <c r="Z10" s="2" t="s">
        <v>59</v>
      </c>
      <c r="AA10" s="2" t="s">
        <v>60</v>
      </c>
      <c r="AB10" s="2" t="s">
        <v>61</v>
      </c>
      <c r="AC10" s="2" t="s">
        <v>62</v>
      </c>
      <c r="AD10" s="2" t="s">
        <v>63</v>
      </c>
      <c r="AE10" s="2" t="s">
        <v>64</v>
      </c>
      <c r="AF10" s="2" t="s">
        <v>65</v>
      </c>
      <c r="AG10" s="2" t="s">
        <v>66</v>
      </c>
      <c r="AH10" s="2" t="s">
        <v>67</v>
      </c>
      <c r="AI10" s="2" t="s">
        <v>68</v>
      </c>
      <c r="AJ10" s="2" t="s">
        <v>69</v>
      </c>
      <c r="AK10" s="2" t="s">
        <v>70</v>
      </c>
      <c r="AL10" s="2" t="s">
        <v>71</v>
      </c>
      <c r="AM10" s="2" t="s">
        <v>72</v>
      </c>
      <c r="AN10" s="2" t="s">
        <v>73</v>
      </c>
      <c r="AO10" s="2" t="s">
        <v>74</v>
      </c>
      <c r="AP10" s="2" t="s">
        <v>75</v>
      </c>
      <c r="AQ10" s="2" t="s">
        <v>76</v>
      </c>
      <c r="AR10" s="2" t="s">
        <v>77</v>
      </c>
      <c r="AS10" s="2" t="s">
        <v>78</v>
      </c>
      <c r="AT10" s="2" t="s">
        <v>79</v>
      </c>
      <c r="AU10" s="2" t="s">
        <v>80</v>
      </c>
      <c r="AV10" s="2" t="s">
        <v>81</v>
      </c>
      <c r="AW10" s="2" t="s">
        <v>82</v>
      </c>
      <c r="AX10" s="2" t="s">
        <v>83</v>
      </c>
      <c r="AY10" s="2" t="s">
        <v>84</v>
      </c>
      <c r="AZ10" s="2" t="s">
        <v>85</v>
      </c>
      <c r="BA10" s="2" t="s">
        <v>86</v>
      </c>
      <c r="BB10" s="2" t="s">
        <v>87</v>
      </c>
      <c r="BC10" s="2" t="s">
        <v>88</v>
      </c>
      <c r="BD10" s="2" t="s">
        <v>89</v>
      </c>
      <c r="BE10" s="2" t="s">
        <v>90</v>
      </c>
      <c r="BF10" s="2" t="s">
        <v>91</v>
      </c>
      <c r="BG10" s="2" t="s">
        <v>92</v>
      </c>
      <c r="BH10" s="2" t="s">
        <v>93</v>
      </c>
      <c r="BI10" s="2" t="s">
        <v>94</v>
      </c>
      <c r="BJ10" s="2" t="s">
        <v>95</v>
      </c>
      <c r="BK10" s="2" t="s">
        <v>96</v>
      </c>
      <c r="BL10" s="2" t="s">
        <v>97</v>
      </c>
      <c r="BM10" s="2" t="s">
        <v>98</v>
      </c>
      <c r="BN10" s="2" t="s">
        <v>99</v>
      </c>
      <c r="BO10" s="2" t="s">
        <v>100</v>
      </c>
      <c r="BP10" s="2" t="s">
        <v>101</v>
      </c>
      <c r="BQ10" s="2" t="s">
        <v>102</v>
      </c>
      <c r="BR10" s="2" t="s">
        <v>103</v>
      </c>
      <c r="BS10" s="2" t="s">
        <v>104</v>
      </c>
      <c r="BT10" s="2" t="s">
        <v>105</v>
      </c>
      <c r="BU10" s="2" t="s">
        <v>106</v>
      </c>
      <c r="BV10" s="2" t="s">
        <v>107</v>
      </c>
      <c r="BW10" s="2" t="s">
        <v>108</v>
      </c>
      <c r="BX10" s="2" t="s">
        <v>109</v>
      </c>
      <c r="BY10" s="2" t="s">
        <v>110</v>
      </c>
      <c r="BZ10" s="116" t="s">
        <v>111</v>
      </c>
    </row>
    <row r="11" spans="1:79" ht="15" customHeight="1" x14ac:dyDescent="0.35">
      <c r="A11" s="5" t="s">
        <v>25</v>
      </c>
      <c r="B11" s="8"/>
      <c r="C11" s="8"/>
      <c r="D11" s="8"/>
      <c r="E11" s="8"/>
      <c r="F11">
        <v>131.69826431959359</v>
      </c>
      <c r="G11">
        <v>133.05465048434101</v>
      </c>
      <c r="H11">
        <v>131.4444867304469</v>
      </c>
      <c r="I11">
        <v>132.48641169477531</v>
      </c>
      <c r="J11">
        <v>135.7858917143609</v>
      </c>
      <c r="K11">
        <v>137.674591378332</v>
      </c>
      <c r="L11">
        <v>137.63211132441501</v>
      </c>
      <c r="M11">
        <v>137.410283596488</v>
      </c>
      <c r="N11">
        <v>138.50084052357249</v>
      </c>
      <c r="O11">
        <v>138.38307249579219</v>
      </c>
      <c r="P11">
        <v>141.10562612017901</v>
      </c>
      <c r="Q11">
        <v>142.8258104017078</v>
      </c>
      <c r="R11">
        <v>139.6114069091974</v>
      </c>
      <c r="S11">
        <v>137.1592760764735</v>
      </c>
      <c r="T11">
        <v>135.94380297564001</v>
      </c>
      <c r="U11">
        <v>136.43444749155219</v>
      </c>
      <c r="V11">
        <v>136.59572490523931</v>
      </c>
      <c r="W11">
        <v>135.44515404545919</v>
      </c>
      <c r="X11">
        <v>134.80732902635449</v>
      </c>
      <c r="Y11">
        <v>136.8461583611967</v>
      </c>
      <c r="Z11">
        <v>135.3038204360949</v>
      </c>
      <c r="AA11">
        <v>135.507624612885</v>
      </c>
      <c r="AB11">
        <v>134.08634607781389</v>
      </c>
      <c r="AC11">
        <v>134.22879002402121</v>
      </c>
      <c r="AD11">
        <v>134.31941172312739</v>
      </c>
      <c r="AE11">
        <v>133.6771153369227</v>
      </c>
      <c r="AF11">
        <v>134.40762990452731</v>
      </c>
      <c r="AG11">
        <v>135.82593150459249</v>
      </c>
      <c r="AH11">
        <v>135.46389868151729</v>
      </c>
      <c r="AI11">
        <v>136.28085269576229</v>
      </c>
      <c r="AJ11">
        <v>136.94588916274779</v>
      </c>
      <c r="AK11">
        <v>136.95639627776879</v>
      </c>
      <c r="AL11">
        <v>136.99007286513839</v>
      </c>
      <c r="AM11">
        <v>136.88364332009129</v>
      </c>
      <c r="AN11">
        <v>139.40723334068889</v>
      </c>
      <c r="AO11">
        <v>140.81078569235819</v>
      </c>
      <c r="AP11">
        <v>141.682607776617</v>
      </c>
      <c r="AQ11">
        <v>142.38723283034881</v>
      </c>
      <c r="AR11">
        <v>139.72135410625251</v>
      </c>
      <c r="AS11">
        <v>139.36609534562959</v>
      </c>
      <c r="AT11">
        <v>137.91441579553131</v>
      </c>
      <c r="AU11">
        <v>137.55924759671399</v>
      </c>
      <c r="AV11">
        <v>137.8688547526919</v>
      </c>
      <c r="AW11">
        <v>139.26533461431089</v>
      </c>
      <c r="AX11">
        <v>139.002340887088</v>
      </c>
      <c r="AY11">
        <v>138.84907861522811</v>
      </c>
      <c r="AZ11">
        <v>138.16067578615591</v>
      </c>
      <c r="BA11">
        <v>138.56895747723709</v>
      </c>
      <c r="BB11">
        <v>138.0407551775946</v>
      </c>
      <c r="BC11">
        <v>138.6256830027653</v>
      </c>
      <c r="BD11">
        <v>139.01469084510231</v>
      </c>
      <c r="BE11">
        <v>140.94279107421519</v>
      </c>
      <c r="BF11">
        <v>141.9113604664737</v>
      </c>
      <c r="BG11">
        <v>140.46815782129511</v>
      </c>
      <c r="BH11">
        <v>137.69295826304111</v>
      </c>
      <c r="BI11">
        <v>137.3540643101455</v>
      </c>
      <c r="BJ11">
        <v>136.42157373136271</v>
      </c>
      <c r="BK11">
        <v>136.41165137911199</v>
      </c>
      <c r="BL11">
        <v>137.00480784080429</v>
      </c>
      <c r="BM11">
        <v>138.24832685494019</v>
      </c>
      <c r="BN11">
        <v>138.6684550841544</v>
      </c>
      <c r="BO11">
        <v>138.12845401030489</v>
      </c>
      <c r="BP11">
        <v>138.5913438881804</v>
      </c>
      <c r="BQ11">
        <v>137.6271122901465</v>
      </c>
      <c r="BR11">
        <v>138.1409944082915</v>
      </c>
      <c r="BS11">
        <v>137.97813880528531</v>
      </c>
      <c r="BT11">
        <v>138.55363015780651</v>
      </c>
      <c r="BU11">
        <v>140.49700157079661</v>
      </c>
      <c r="BV11">
        <v>140.9571210245787</v>
      </c>
      <c r="BW11">
        <v>140.53335945049139</v>
      </c>
      <c r="BX11">
        <v>138.47341719604481</v>
      </c>
      <c r="BY11">
        <v>139.44974564684989</v>
      </c>
      <c r="BZ11">
        <v>139.90600176256629</v>
      </c>
      <c r="CA11">
        <v>140.273713317888</v>
      </c>
    </row>
    <row r="12" spans="1:79" ht="15" customHeight="1" x14ac:dyDescent="0.35">
      <c r="A12" s="6" t="s">
        <v>26</v>
      </c>
      <c r="B12" s="8"/>
      <c r="C12" s="8"/>
      <c r="D12" s="8"/>
      <c r="E12" s="8"/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</row>
    <row r="13" spans="1:79" ht="15" customHeight="1" x14ac:dyDescent="0.35">
      <c r="A13" s="4" t="s">
        <v>27</v>
      </c>
      <c r="B13" s="8"/>
      <c r="C13" s="8"/>
      <c r="D13" s="8"/>
      <c r="E13" s="8"/>
      <c r="F13">
        <v>-1.7373721942267371</v>
      </c>
      <c r="G13">
        <v>-1.7682931921228831</v>
      </c>
      <c r="H13">
        <v>-1.652927696228915</v>
      </c>
      <c r="I13">
        <v>-1.3030934109510499</v>
      </c>
      <c r="J13">
        <v>-1.0779784360612441</v>
      </c>
      <c r="K13">
        <v>-1.696502906041474</v>
      </c>
      <c r="L13">
        <v>-0.75865575086436365</v>
      </c>
      <c r="M13">
        <v>-0.81339297797472909</v>
      </c>
      <c r="N13">
        <v>-0.87389070431294158</v>
      </c>
      <c r="O13">
        <v>-0.12828149670596639</v>
      </c>
      <c r="P13">
        <v>1.1625912314275131</v>
      </c>
      <c r="Q13">
        <v>1.458680725583861</v>
      </c>
      <c r="R13">
        <v>1.741312110472961</v>
      </c>
      <c r="S13">
        <v>1.744755168827965</v>
      </c>
      <c r="T13">
        <v>1.86339741590055</v>
      </c>
      <c r="U13">
        <v>1.56784300129118E-2</v>
      </c>
      <c r="V13">
        <v>0.17464380121487011</v>
      </c>
      <c r="W13">
        <v>-0.9813960891974034</v>
      </c>
      <c r="X13">
        <v>-0.75002453761806009</v>
      </c>
      <c r="Y13">
        <v>3.5125271197159691E-2</v>
      </c>
      <c r="Z13">
        <v>-0.37976675678791588</v>
      </c>
      <c r="AA13">
        <v>0.83082328617783219</v>
      </c>
      <c r="AB13">
        <v>1.0277880996093809</v>
      </c>
      <c r="AC13">
        <v>0.30039834249134861</v>
      </c>
      <c r="AD13">
        <v>-0.2423592090076738</v>
      </c>
      <c r="AE13">
        <v>1.1461667959686681</v>
      </c>
      <c r="AF13">
        <v>0.5027444820814253</v>
      </c>
      <c r="AG13">
        <v>1.3914212410408879</v>
      </c>
      <c r="AH13">
        <v>-2.7876062489078488</v>
      </c>
      <c r="AI13">
        <v>1.5985220178380639</v>
      </c>
      <c r="AJ13">
        <v>-1.6446667548878791</v>
      </c>
      <c r="AK13">
        <v>1.805609136346789</v>
      </c>
      <c r="AL13">
        <v>2.8774125702554438</v>
      </c>
      <c r="AM13">
        <v>2.7745653753033541</v>
      </c>
      <c r="AN13">
        <v>3.8294540438367051</v>
      </c>
      <c r="AO13">
        <v>4.023339754116563</v>
      </c>
      <c r="AP13">
        <v>1.4636107459415371</v>
      </c>
      <c r="AQ13">
        <v>3.0169225733282019</v>
      </c>
      <c r="AR13">
        <v>7.434022952499987</v>
      </c>
      <c r="AS13">
        <v>3.2980094284781671</v>
      </c>
      <c r="AT13">
        <v>0.866247256417779</v>
      </c>
      <c r="AU13">
        <v>0.13328613304210529</v>
      </c>
      <c r="AV13">
        <v>2.7758939124738329</v>
      </c>
      <c r="AW13">
        <v>0.43246278104064118</v>
      </c>
      <c r="AX13">
        <v>1.7243705827467579</v>
      </c>
      <c r="AY13">
        <v>2.210908089661785</v>
      </c>
      <c r="AZ13">
        <v>3.045956618570671</v>
      </c>
      <c r="BA13">
        <v>3.1397673512497311</v>
      </c>
      <c r="BB13">
        <v>2.667347782333394</v>
      </c>
      <c r="BC13">
        <v>3.342512237508799</v>
      </c>
      <c r="BD13">
        <v>3.791501094305687</v>
      </c>
      <c r="BE13">
        <v>4.0317793790357541</v>
      </c>
      <c r="BF13">
        <v>4.4562697580267638</v>
      </c>
      <c r="BG13">
        <v>3.396513745863956</v>
      </c>
      <c r="BH13">
        <v>3.240993476924984</v>
      </c>
      <c r="BI13">
        <v>2.7337418360695271</v>
      </c>
      <c r="BJ13">
        <v>2.3621840586654632</v>
      </c>
      <c r="BK13">
        <v>2.5799920640647258</v>
      </c>
      <c r="BL13">
        <v>2.1403075460596028</v>
      </c>
      <c r="BM13">
        <v>1.8790669458437039</v>
      </c>
      <c r="BN13">
        <v>2.8567135994900918</v>
      </c>
      <c r="BO13">
        <v>3.2222440984352261</v>
      </c>
      <c r="BP13">
        <v>2.866778736551709</v>
      </c>
      <c r="BQ13">
        <v>2.925343228006767</v>
      </c>
      <c r="BR13">
        <v>2.9629840077201659</v>
      </c>
      <c r="BS13">
        <v>1.606109679653883</v>
      </c>
      <c r="BT13">
        <v>1.3448314474970859</v>
      </c>
      <c r="BU13">
        <v>1.454109898526724</v>
      </c>
      <c r="BV13">
        <v>1.251300646324182</v>
      </c>
    </row>
    <row r="14" spans="1:79" ht="15" customHeight="1" x14ac:dyDescent="0.35">
      <c r="A14" s="3" t="s">
        <v>28</v>
      </c>
      <c r="B14" s="8"/>
      <c r="C14" s="8"/>
      <c r="D14" s="8"/>
      <c r="E14" s="8"/>
      <c r="F14">
        <v>0.35942655419123071</v>
      </c>
      <c r="G14">
        <v>-5.0127183975092748E-2</v>
      </c>
      <c r="H14">
        <v>-0.31377260391298017</v>
      </c>
      <c r="I14">
        <v>-0.50408555376679942</v>
      </c>
      <c r="J14">
        <v>-0.22432407970481449</v>
      </c>
      <c r="K14">
        <v>-0.49510038880882229</v>
      </c>
      <c r="L14">
        <v>-0.55419497822938979</v>
      </c>
      <c r="M14">
        <v>0.32762561061713308</v>
      </c>
      <c r="N14">
        <v>0.40507978568894032</v>
      </c>
      <c r="O14">
        <v>7.6148375379688105E-2</v>
      </c>
      <c r="P14">
        <v>0.79886416362506907</v>
      </c>
      <c r="Q14">
        <v>1.3534815625606029</v>
      </c>
      <c r="R14">
        <v>0.27780611280155648</v>
      </c>
      <c r="S14">
        <v>-0.57126315588678267</v>
      </c>
      <c r="T14">
        <v>-0.34752137170491437</v>
      </c>
      <c r="U14">
        <v>0.1384161136359694</v>
      </c>
      <c r="V14">
        <v>1.6224391011974149E-2</v>
      </c>
      <c r="W14">
        <v>0.75700717030079545</v>
      </c>
      <c r="X14">
        <v>0.43477555164622572</v>
      </c>
      <c r="Y14">
        <v>-9.4845458473571398E-2</v>
      </c>
      <c r="Z14">
        <v>-0.1556647918627618</v>
      </c>
      <c r="AA14">
        <v>-1.017033284529901</v>
      </c>
      <c r="AB14">
        <v>-0.44847924219567398</v>
      </c>
      <c r="AC14">
        <v>-0.89548705583828792</v>
      </c>
      <c r="AD14">
        <v>-1.129784414471573</v>
      </c>
      <c r="AE14">
        <v>-1.545123269899648</v>
      </c>
      <c r="AF14">
        <v>-1.5978421880235201</v>
      </c>
      <c r="AG14">
        <v>-1.9049100511702479</v>
      </c>
      <c r="AH14">
        <v>-0.3175354256241576</v>
      </c>
      <c r="AI14">
        <v>-1.451456390724758</v>
      </c>
      <c r="AJ14">
        <v>-1.2506443759957899</v>
      </c>
      <c r="AK14">
        <v>-2.990491573779281</v>
      </c>
      <c r="AL14">
        <v>-3.911896848995696</v>
      </c>
      <c r="AM14">
        <v>-3.5947953408547448</v>
      </c>
      <c r="AN14">
        <v>-1.7457098612166251</v>
      </c>
      <c r="AO14">
        <v>-3.9333087649554561</v>
      </c>
      <c r="AP14">
        <v>-4.354504873256019</v>
      </c>
      <c r="AQ14">
        <v>0.22438970534724939</v>
      </c>
      <c r="AR14">
        <v>-5.676747868177614</v>
      </c>
      <c r="AS14">
        <v>-2.4682770397124898</v>
      </c>
      <c r="AT14">
        <v>-1.709152752553706</v>
      </c>
      <c r="AU14">
        <v>-1.2407165874292621</v>
      </c>
      <c r="AV14">
        <v>1.608584135366868</v>
      </c>
      <c r="AW14">
        <v>0.75525786272558548</v>
      </c>
      <c r="AX14">
        <v>-2.017463081514506</v>
      </c>
      <c r="AY14">
        <v>-1.6035246617980761</v>
      </c>
      <c r="AZ14">
        <v>-1.4915807753241379</v>
      </c>
      <c r="BA14">
        <v>-2.0271993975962062</v>
      </c>
      <c r="BB14">
        <v>-0.63790237932559535</v>
      </c>
      <c r="BC14">
        <v>-1.525840887120665</v>
      </c>
      <c r="BD14">
        <v>-0.39595406426315088</v>
      </c>
      <c r="BE14">
        <v>-1.518904318906152</v>
      </c>
      <c r="BF14">
        <v>1.8510380030193119E-2</v>
      </c>
      <c r="BG14">
        <v>0.41494535569660229</v>
      </c>
      <c r="BH14">
        <v>-1.228199625875277</v>
      </c>
      <c r="BI14">
        <v>2.188602810190361</v>
      </c>
      <c r="BJ14">
        <v>0.18756285757692129</v>
      </c>
      <c r="BK14">
        <v>0.33515862768973648</v>
      </c>
      <c r="BL14">
        <v>-0.78005684171964162</v>
      </c>
      <c r="BM14">
        <v>0.48911342182159961</v>
      </c>
      <c r="BN14">
        <v>0.42784478508687579</v>
      </c>
      <c r="BO14">
        <v>-0.53193379318088319</v>
      </c>
      <c r="BP14">
        <v>0.74093626972097582</v>
      </c>
      <c r="BQ14">
        <v>6.3716160052706527E-2</v>
      </c>
      <c r="BR14">
        <v>-0.41171435951721952</v>
      </c>
      <c r="BS14">
        <v>1.476149057207806</v>
      </c>
      <c r="BT14">
        <v>3.109216840414319E-3</v>
      </c>
      <c r="BU14">
        <v>2.1018889848585052</v>
      </c>
      <c r="BV14">
        <v>2.2212356498513088</v>
      </c>
    </row>
    <row r="15" spans="1:79" ht="15" customHeight="1" x14ac:dyDescent="0.35">
      <c r="A15" s="4" t="s">
        <v>29</v>
      </c>
      <c r="B15" s="8"/>
      <c r="C15" s="8"/>
      <c r="D15" s="8"/>
      <c r="E15" s="8"/>
      <c r="F15">
        <v>-0.35942655419123071</v>
      </c>
      <c r="G15">
        <v>5.0127183975092748E-2</v>
      </c>
      <c r="H15">
        <v>0.31377260391298017</v>
      </c>
      <c r="I15">
        <v>0.50408555376679942</v>
      </c>
      <c r="J15">
        <v>0.22432407970481449</v>
      </c>
      <c r="K15">
        <v>0.49510038880882229</v>
      </c>
      <c r="L15">
        <v>0.55419497822938979</v>
      </c>
      <c r="M15">
        <v>-0.32762561061713308</v>
      </c>
      <c r="N15">
        <v>-0.40507978568894032</v>
      </c>
      <c r="O15">
        <v>-7.6148375379688105E-2</v>
      </c>
      <c r="P15">
        <v>-0.79886416362506907</v>
      </c>
      <c r="Q15">
        <v>-1.3534815625606029</v>
      </c>
      <c r="R15">
        <v>-0.27780611280155648</v>
      </c>
      <c r="S15">
        <v>0.57126315588678267</v>
      </c>
      <c r="T15">
        <v>0.34752137170491437</v>
      </c>
      <c r="U15">
        <v>-0.1384161136359694</v>
      </c>
      <c r="V15">
        <v>-1.6224391011974149E-2</v>
      </c>
      <c r="W15">
        <v>-0.75700717030079545</v>
      </c>
      <c r="X15">
        <v>-0.43477555164622572</v>
      </c>
      <c r="Y15">
        <v>9.4845458473571398E-2</v>
      </c>
      <c r="Z15">
        <v>0.1556647918627618</v>
      </c>
      <c r="AA15">
        <v>1.017033284529901</v>
      </c>
      <c r="AB15">
        <v>0.44847924219567398</v>
      </c>
      <c r="AC15">
        <v>0.89548705583828792</v>
      </c>
      <c r="AD15">
        <v>1.129784414471573</v>
      </c>
      <c r="AE15">
        <v>1.545123269899648</v>
      </c>
      <c r="AF15">
        <v>1.5978421880235201</v>
      </c>
      <c r="AG15">
        <v>1.9049100511702479</v>
      </c>
      <c r="AH15">
        <v>0.3175354256241576</v>
      </c>
      <c r="AI15">
        <v>1.451456390724758</v>
      </c>
      <c r="AJ15">
        <v>1.2506443759957899</v>
      </c>
      <c r="AK15">
        <v>2.990491573779281</v>
      </c>
      <c r="AL15">
        <v>3.911896848995696</v>
      </c>
      <c r="AM15">
        <v>3.5947953408547448</v>
      </c>
      <c r="AN15">
        <v>1.7457098612166251</v>
      </c>
      <c r="AO15">
        <v>3.9333087649554561</v>
      </c>
      <c r="AP15">
        <v>4.354504873256019</v>
      </c>
      <c r="AQ15">
        <v>-0.22438970534724939</v>
      </c>
      <c r="AR15">
        <v>5.676747868177614</v>
      </c>
      <c r="AS15">
        <v>2.4682770397124898</v>
      </c>
      <c r="AT15">
        <v>1.709152752553706</v>
      </c>
      <c r="AU15">
        <v>1.2407165874292621</v>
      </c>
      <c r="AV15">
        <v>-1.608584135366868</v>
      </c>
      <c r="AW15">
        <v>-0.75525786272558548</v>
      </c>
      <c r="AX15">
        <v>2.017463081514506</v>
      </c>
      <c r="AY15">
        <v>1.6035246617980761</v>
      </c>
      <c r="AZ15">
        <v>1.4915807753241379</v>
      </c>
      <c r="BA15">
        <v>2.0271993975962062</v>
      </c>
      <c r="BB15">
        <v>0.63790237932559535</v>
      </c>
      <c r="BC15">
        <v>1.525840887120665</v>
      </c>
      <c r="BD15">
        <v>0.39595406426315088</v>
      </c>
      <c r="BE15">
        <v>1.518904318906152</v>
      </c>
      <c r="BF15">
        <v>-1.8510380030193119E-2</v>
      </c>
      <c r="BG15">
        <v>-0.41494535569660229</v>
      </c>
      <c r="BH15">
        <v>1.228199625875277</v>
      </c>
      <c r="BI15">
        <v>-2.188602810190361</v>
      </c>
      <c r="BJ15">
        <v>-0.18756285757692129</v>
      </c>
      <c r="BK15">
        <v>-0.33515862768973648</v>
      </c>
      <c r="BL15">
        <v>0.78005684171964162</v>
      </c>
      <c r="BM15">
        <v>-0.48911342182159961</v>
      </c>
      <c r="BN15">
        <v>-0.42784478508687579</v>
      </c>
      <c r="BO15">
        <v>0.53193379318088319</v>
      </c>
      <c r="BP15">
        <v>-0.74093626972097582</v>
      </c>
      <c r="BQ15">
        <v>-6.3716160052706527E-2</v>
      </c>
      <c r="BR15">
        <v>0.41171435951721952</v>
      </c>
      <c r="BS15">
        <v>-1.476149057207806</v>
      </c>
      <c r="BT15">
        <v>-3.109216840414319E-3</v>
      </c>
      <c r="BU15">
        <v>-2.1018889848585052</v>
      </c>
      <c r="BV15">
        <v>-2.2212356498513088</v>
      </c>
    </row>
    <row r="16" spans="1:79" ht="15" customHeight="1" x14ac:dyDescent="0.35">
      <c r="A16" s="3" t="s">
        <v>30</v>
      </c>
      <c r="B16" s="8"/>
      <c r="C16" s="8"/>
      <c r="D16" s="8"/>
      <c r="E16" s="8"/>
      <c r="F16">
        <v>129.96089212536691</v>
      </c>
      <c r="G16">
        <v>131.2863572922181</v>
      </c>
      <c r="H16">
        <v>129.79155903421801</v>
      </c>
      <c r="I16">
        <v>131.18331828382429</v>
      </c>
      <c r="J16">
        <v>134.70791327829971</v>
      </c>
      <c r="K16">
        <v>135.97808847229049</v>
      </c>
      <c r="L16">
        <v>136.8734555735507</v>
      </c>
      <c r="M16">
        <v>136.59689061851321</v>
      </c>
      <c r="N16">
        <v>137.62694981925961</v>
      </c>
      <c r="O16">
        <v>138.25479099908631</v>
      </c>
      <c r="P16">
        <v>142.26821735160649</v>
      </c>
      <c r="Q16">
        <v>144.2844911272916</v>
      </c>
      <c r="R16">
        <v>141.35271901967039</v>
      </c>
      <c r="S16">
        <v>138.9040312453015</v>
      </c>
      <c r="T16">
        <v>137.8072003915405</v>
      </c>
      <c r="U16">
        <v>136.4501259215651</v>
      </c>
      <c r="V16">
        <v>136.77036870645409</v>
      </c>
      <c r="W16">
        <v>134.46375795626179</v>
      </c>
      <c r="X16">
        <v>134.05730448873641</v>
      </c>
      <c r="Y16">
        <v>136.8812836323938</v>
      </c>
      <c r="Z16">
        <v>134.92405367930701</v>
      </c>
      <c r="AA16">
        <v>136.3384478990628</v>
      </c>
      <c r="AB16">
        <v>135.1141341774233</v>
      </c>
      <c r="AC16">
        <v>134.52918836651261</v>
      </c>
      <c r="AD16">
        <v>134.07705251411971</v>
      </c>
      <c r="AE16">
        <v>134.82328213289131</v>
      </c>
      <c r="AF16">
        <v>134.91037438660871</v>
      </c>
      <c r="AG16">
        <v>137.21735274563341</v>
      </c>
      <c r="AH16">
        <v>132.6762924326095</v>
      </c>
      <c r="AI16">
        <v>137.87937471360041</v>
      </c>
      <c r="AJ16">
        <v>135.30122240786</v>
      </c>
      <c r="AK16">
        <v>138.76200541411561</v>
      </c>
      <c r="AL16">
        <v>139.8674854353938</v>
      </c>
      <c r="AM16">
        <v>139.65820869539459</v>
      </c>
      <c r="AN16">
        <v>143.2366873845256</v>
      </c>
      <c r="AO16">
        <v>144.8341254464747</v>
      </c>
      <c r="AP16">
        <v>143.1462185225586</v>
      </c>
      <c r="AQ16">
        <v>145.40415540367701</v>
      </c>
      <c r="AR16">
        <v>147.15537705875249</v>
      </c>
      <c r="AS16">
        <v>142.66410477410781</v>
      </c>
      <c r="AT16">
        <v>138.78066305194909</v>
      </c>
      <c r="AU16">
        <v>137.69253372975609</v>
      </c>
      <c r="AV16">
        <v>140.64474866516571</v>
      </c>
      <c r="AW16">
        <v>139.6977973953515</v>
      </c>
      <c r="AX16">
        <v>140.7267114698347</v>
      </c>
      <c r="AY16">
        <v>141.05998670488989</v>
      </c>
      <c r="AZ16">
        <v>141.20663240472649</v>
      </c>
      <c r="BA16">
        <v>141.70872482848679</v>
      </c>
      <c r="BB16">
        <v>140.708102959928</v>
      </c>
      <c r="BC16">
        <v>141.9681952402741</v>
      </c>
      <c r="BD16">
        <v>142.80619193940791</v>
      </c>
      <c r="BE16">
        <v>144.974570453251</v>
      </c>
      <c r="BF16">
        <v>146.3676302245004</v>
      </c>
      <c r="BG16">
        <v>143.86467156715909</v>
      </c>
      <c r="BH16">
        <v>140.93395173996609</v>
      </c>
      <c r="BI16">
        <v>140.087806146215</v>
      </c>
      <c r="BJ16">
        <v>138.7837577900282</v>
      </c>
      <c r="BK16">
        <v>138.9916434431768</v>
      </c>
      <c r="BL16">
        <v>139.14511538686389</v>
      </c>
      <c r="BM16">
        <v>140.12739380078389</v>
      </c>
      <c r="BN16">
        <v>141.52516868364449</v>
      </c>
      <c r="BO16">
        <v>141.35069810874009</v>
      </c>
      <c r="BP16">
        <v>141.45812262473211</v>
      </c>
      <c r="BQ16">
        <v>140.55245551815329</v>
      </c>
      <c r="BR16">
        <v>141.10397841601161</v>
      </c>
      <c r="BS16">
        <v>139.5842484849392</v>
      </c>
      <c r="BT16">
        <v>139.89846160530359</v>
      </c>
      <c r="BU16">
        <v>141.95111146932331</v>
      </c>
      <c r="BV16">
        <v>142.20842167090291</v>
      </c>
    </row>
    <row r="17" spans="1:79" ht="15" customHeight="1" x14ac:dyDescent="0.35">
      <c r="A17" s="5" t="s">
        <v>31</v>
      </c>
      <c r="B17" s="8"/>
      <c r="C17" s="8"/>
      <c r="D17" s="8"/>
      <c r="E17" s="8"/>
      <c r="F17">
        <v>1.463383255607082</v>
      </c>
      <c r="G17">
        <v>1.432878869736339</v>
      </c>
      <c r="H17">
        <v>1.3835411631148971</v>
      </c>
      <c r="I17">
        <v>1.3987302531125769</v>
      </c>
      <c r="J17">
        <v>1.378271747029101</v>
      </c>
      <c r="K17">
        <v>1.3524544413820041</v>
      </c>
      <c r="L17">
        <v>1.250830864690567</v>
      </c>
      <c r="M17">
        <v>1.210039994732665</v>
      </c>
      <c r="N17">
        <v>1.195732910098523</v>
      </c>
      <c r="O17">
        <v>1.2530861335670489</v>
      </c>
      <c r="P17">
        <v>1.317332442797972</v>
      </c>
      <c r="Q17">
        <v>1.249979075685407</v>
      </c>
      <c r="R17">
        <v>1.373771738944825</v>
      </c>
      <c r="S17">
        <v>1.3001824743638239</v>
      </c>
      <c r="T17">
        <v>1.328532257406138</v>
      </c>
      <c r="U17">
        <v>1.229730194497632</v>
      </c>
      <c r="V17">
        <v>1.2119803300053169</v>
      </c>
      <c r="W17">
        <v>1.260670405536136</v>
      </c>
      <c r="X17">
        <v>1.2461849986679041</v>
      </c>
      <c r="Y17">
        <v>1.2991607338488651</v>
      </c>
      <c r="Z17">
        <v>1.27689131943671</v>
      </c>
      <c r="AA17">
        <v>1.359835611811443</v>
      </c>
      <c r="AB17">
        <v>1.321941990280765</v>
      </c>
      <c r="AC17">
        <v>1.3166955191025851</v>
      </c>
      <c r="AD17">
        <v>1.3759182893373709</v>
      </c>
      <c r="AE17">
        <v>1.341572600924257</v>
      </c>
      <c r="AF17">
        <v>1.3186162986848819</v>
      </c>
      <c r="AG17">
        <v>1.331227448856193</v>
      </c>
      <c r="AH17">
        <v>1.337578587651113</v>
      </c>
      <c r="AI17">
        <v>1.3787396052408829</v>
      </c>
      <c r="AJ17">
        <v>1.3692844039472909</v>
      </c>
      <c r="AK17">
        <v>1.3280318372052851</v>
      </c>
      <c r="AL17">
        <v>1.6929744104227771</v>
      </c>
      <c r="AM17">
        <v>1.4141001320217499</v>
      </c>
      <c r="AN17">
        <v>1.459292194317694</v>
      </c>
      <c r="AO17">
        <v>1.2674946259995361</v>
      </c>
      <c r="AP17">
        <v>1.015703181325663</v>
      </c>
      <c r="AQ17">
        <v>1.287111829720532</v>
      </c>
      <c r="AR17">
        <v>1.4262284875183551</v>
      </c>
      <c r="AS17">
        <v>1.364438490273945</v>
      </c>
      <c r="AT17">
        <v>1.219728188647653</v>
      </c>
      <c r="AU17">
        <v>1.384858186275173</v>
      </c>
      <c r="AV17">
        <v>1.418984665510407</v>
      </c>
      <c r="AW17">
        <v>1.3149134146405039</v>
      </c>
      <c r="AX17">
        <v>1.3392866148204139</v>
      </c>
      <c r="AY17">
        <v>1.345040823100867</v>
      </c>
      <c r="AZ17">
        <v>1.3709558936616379</v>
      </c>
      <c r="BA17">
        <v>1.414951075798738</v>
      </c>
      <c r="BB17">
        <v>1.3246312371936919</v>
      </c>
      <c r="BC17">
        <v>1.378448413201609</v>
      </c>
      <c r="BD17">
        <v>1.317554078262944</v>
      </c>
      <c r="BE17">
        <v>1.323529821111916</v>
      </c>
      <c r="BF17">
        <v>1.346076866553126</v>
      </c>
      <c r="BG17">
        <v>1.2261802413796301</v>
      </c>
      <c r="BH17">
        <v>1.3539595806667559</v>
      </c>
      <c r="BI17">
        <v>1.3451355737222119</v>
      </c>
      <c r="BJ17">
        <v>1.338753127055607</v>
      </c>
      <c r="BK17">
        <v>1.391042207087082</v>
      </c>
      <c r="BL17">
        <v>1.370280691562775</v>
      </c>
      <c r="BM17">
        <v>1.4432887968569279</v>
      </c>
      <c r="BN17">
        <v>1.386518033848116</v>
      </c>
      <c r="BO17">
        <v>1.426705183452825</v>
      </c>
      <c r="BP17">
        <v>1.367967403356241</v>
      </c>
      <c r="BQ17">
        <v>1.416979792886466</v>
      </c>
      <c r="BR17">
        <v>1.409058341590234</v>
      </c>
      <c r="BS17">
        <v>1.352887641291725</v>
      </c>
      <c r="BT17">
        <v>1.37912295550827</v>
      </c>
      <c r="BU17">
        <v>1.3880330801416241</v>
      </c>
      <c r="BV17">
        <v>1.4794770360661891</v>
      </c>
    </row>
    <row r="18" spans="1:79" ht="15" customHeight="1" x14ac:dyDescent="0.35"/>
    <row r="19" spans="1:79" ht="15" customHeight="1" x14ac:dyDescent="0.35">
      <c r="A19" s="1" t="s">
        <v>33</v>
      </c>
      <c r="B19" s="2">
        <v>2016</v>
      </c>
      <c r="C19" s="2">
        <v>2017</v>
      </c>
      <c r="D19" s="2">
        <v>2018</v>
      </c>
      <c r="E19" s="2">
        <v>2019</v>
      </c>
      <c r="F19" s="2" t="s">
        <v>39</v>
      </c>
      <c r="G19" s="2" t="s">
        <v>40</v>
      </c>
      <c r="H19" s="2" t="s">
        <v>41</v>
      </c>
      <c r="I19" s="2" t="s">
        <v>42</v>
      </c>
      <c r="J19" s="2" t="s">
        <v>43</v>
      </c>
      <c r="K19" s="2" t="s">
        <v>44</v>
      </c>
      <c r="L19" s="2" t="s">
        <v>45</v>
      </c>
      <c r="M19" s="2" t="s">
        <v>46</v>
      </c>
      <c r="N19" s="2" t="s">
        <v>47</v>
      </c>
      <c r="O19" s="2" t="s">
        <v>48</v>
      </c>
      <c r="P19" s="2" t="s">
        <v>49</v>
      </c>
      <c r="Q19" s="2" t="s">
        <v>50</v>
      </c>
      <c r="R19" s="2" t="s">
        <v>51</v>
      </c>
      <c r="S19" s="2" t="s">
        <v>52</v>
      </c>
      <c r="T19" s="2" t="s">
        <v>53</v>
      </c>
      <c r="U19" s="2" t="s">
        <v>54</v>
      </c>
      <c r="V19" s="2" t="s">
        <v>55</v>
      </c>
      <c r="W19" s="2" t="s">
        <v>56</v>
      </c>
      <c r="X19" s="2" t="s">
        <v>57</v>
      </c>
      <c r="Y19" s="2" t="s">
        <v>58</v>
      </c>
      <c r="Z19" s="2" t="s">
        <v>59</v>
      </c>
      <c r="AA19" s="2" t="s">
        <v>60</v>
      </c>
      <c r="AB19" s="2" t="s">
        <v>61</v>
      </c>
      <c r="AC19" s="2" t="s">
        <v>62</v>
      </c>
      <c r="AD19" s="2" t="s">
        <v>63</v>
      </c>
      <c r="AE19" s="2" t="s">
        <v>64</v>
      </c>
      <c r="AF19" s="2" t="s">
        <v>65</v>
      </c>
      <c r="AG19" s="2" t="s">
        <v>66</v>
      </c>
      <c r="AH19" s="2" t="s">
        <v>67</v>
      </c>
      <c r="AI19" s="2" t="s">
        <v>68</v>
      </c>
      <c r="AJ19" s="2" t="s">
        <v>69</v>
      </c>
      <c r="AK19" s="2" t="s">
        <v>70</v>
      </c>
      <c r="AL19" s="2" t="s">
        <v>71</v>
      </c>
      <c r="AM19" s="2" t="s">
        <v>72</v>
      </c>
      <c r="AN19" s="2" t="s">
        <v>73</v>
      </c>
      <c r="AO19" s="2" t="s">
        <v>74</v>
      </c>
      <c r="AP19" s="2" t="s">
        <v>75</v>
      </c>
      <c r="AQ19" s="2" t="s">
        <v>76</v>
      </c>
      <c r="AR19" s="2" t="s">
        <v>77</v>
      </c>
      <c r="AS19" s="2" t="s">
        <v>78</v>
      </c>
      <c r="AT19" s="2" t="s">
        <v>79</v>
      </c>
      <c r="AU19" s="2" t="s">
        <v>80</v>
      </c>
      <c r="AV19" s="2" t="s">
        <v>81</v>
      </c>
      <c r="AW19" s="2" t="s">
        <v>82</v>
      </c>
      <c r="AX19" s="2" t="s">
        <v>83</v>
      </c>
      <c r="AY19" s="2" t="s">
        <v>84</v>
      </c>
      <c r="AZ19" s="2" t="s">
        <v>85</v>
      </c>
      <c r="BA19" s="2" t="s">
        <v>86</v>
      </c>
      <c r="BB19" s="2" t="s">
        <v>87</v>
      </c>
      <c r="BC19" s="2" t="s">
        <v>88</v>
      </c>
      <c r="BD19" s="2" t="s">
        <v>89</v>
      </c>
      <c r="BE19" s="2" t="s">
        <v>90</v>
      </c>
      <c r="BF19" s="2" t="s">
        <v>91</v>
      </c>
      <c r="BG19" s="2" t="s">
        <v>92</v>
      </c>
      <c r="BH19" s="2" t="s">
        <v>93</v>
      </c>
      <c r="BI19" s="2" t="s">
        <v>94</v>
      </c>
      <c r="BJ19" s="2" t="s">
        <v>95</v>
      </c>
      <c r="BK19" s="2" t="s">
        <v>96</v>
      </c>
      <c r="BL19" s="2" t="s">
        <v>97</v>
      </c>
      <c r="BM19" s="2" t="s">
        <v>98</v>
      </c>
      <c r="BN19" s="2" t="s">
        <v>99</v>
      </c>
      <c r="BO19" s="2" t="s">
        <v>100</v>
      </c>
      <c r="BP19" s="2" t="s">
        <v>101</v>
      </c>
      <c r="BQ19" s="2" t="s">
        <v>102</v>
      </c>
      <c r="BR19" s="2" t="s">
        <v>103</v>
      </c>
      <c r="BS19" s="2" t="s">
        <v>104</v>
      </c>
      <c r="BT19" s="2" t="s">
        <v>105</v>
      </c>
      <c r="BU19" s="2" t="s">
        <v>106</v>
      </c>
      <c r="BV19" s="2" t="s">
        <v>107</v>
      </c>
      <c r="BW19" s="2" t="s">
        <v>108</v>
      </c>
      <c r="BX19" s="2" t="s">
        <v>109</v>
      </c>
      <c r="BY19" s="2" t="s">
        <v>110</v>
      </c>
      <c r="BZ19" s="116" t="s">
        <v>111</v>
      </c>
    </row>
    <row r="20" spans="1:79" ht="15" customHeight="1" x14ac:dyDescent="0.35">
      <c r="A20" s="5" t="s">
        <v>25</v>
      </c>
      <c r="B20">
        <v>131.184889157838</v>
      </c>
      <c r="C20">
        <v>136.7214619721745</v>
      </c>
      <c r="D20">
        <v>136.8194208407229</v>
      </c>
      <c r="E20">
        <v>132.5431801285815</v>
      </c>
      <c r="F20">
        <v>131.2655976278748</v>
      </c>
      <c r="G20">
        <v>131.24733869920419</v>
      </c>
      <c r="H20">
        <v>131.00099343493119</v>
      </c>
      <c r="I20">
        <v>131.49952805946219</v>
      </c>
      <c r="J20">
        <v>133.2475396663238</v>
      </c>
      <c r="K20">
        <v>133.39840485820301</v>
      </c>
      <c r="L20">
        <v>134.41535679857321</v>
      </c>
      <c r="M20">
        <v>134.081896298598</v>
      </c>
      <c r="N20">
        <v>133.2062078952452</v>
      </c>
      <c r="O20">
        <v>132.62510864395651</v>
      </c>
      <c r="P20">
        <v>131.11674471235739</v>
      </c>
      <c r="Q20">
        <v>135.00100726382729</v>
      </c>
      <c r="R20">
        <v>135.4548473548588</v>
      </c>
      <c r="S20">
        <v>135.55568347612461</v>
      </c>
      <c r="T20">
        <v>135.39896134237779</v>
      </c>
      <c r="U20">
        <v>135.35416191282539</v>
      </c>
      <c r="V20">
        <v>135.51118954377</v>
      </c>
      <c r="W20">
        <v>134.6764920772093</v>
      </c>
      <c r="X20">
        <v>134.23647370250859</v>
      </c>
      <c r="Y20">
        <v>135.9752780366438</v>
      </c>
      <c r="Z20">
        <v>134.56950135267451</v>
      </c>
      <c r="AA20">
        <v>134.4280304849791</v>
      </c>
      <c r="AB20">
        <v>132.01634721086359</v>
      </c>
      <c r="AC20">
        <v>132.2998505617378</v>
      </c>
      <c r="AD20">
        <v>134.01481407755679</v>
      </c>
      <c r="AE20">
        <v>133.66104763531001</v>
      </c>
      <c r="AF20">
        <v>134.31364739136279</v>
      </c>
      <c r="AG20">
        <v>135.70241896828111</v>
      </c>
      <c r="AH20">
        <v>137.34150069891189</v>
      </c>
      <c r="AI20">
        <v>137.64810807321649</v>
      </c>
      <c r="AJ20">
        <v>138.187006646209</v>
      </c>
      <c r="AK20">
        <v>137.9966687936564</v>
      </c>
      <c r="AL20">
        <v>137.85244900094659</v>
      </c>
      <c r="AM20">
        <v>138.3423180423589</v>
      </c>
      <c r="AN20">
        <v>140.94633497760941</v>
      </c>
      <c r="AO20">
        <v>141.03179708972471</v>
      </c>
      <c r="AP20">
        <v>141.07216192946771</v>
      </c>
      <c r="AQ20">
        <v>141.68377946690691</v>
      </c>
      <c r="AR20">
        <v>141.1713360166242</v>
      </c>
      <c r="AS20">
        <v>140.55799577398599</v>
      </c>
      <c r="AT20">
        <v>140.54312853161881</v>
      </c>
      <c r="AU20">
        <v>140.6516346712865</v>
      </c>
      <c r="AV20">
        <v>139.52302917240581</v>
      </c>
      <c r="AW20">
        <v>141.17926579942389</v>
      </c>
      <c r="AX20">
        <v>141.1616902750435</v>
      </c>
      <c r="AY20">
        <v>138.66844328067361</v>
      </c>
      <c r="AZ20">
        <v>139.04264673061971</v>
      </c>
      <c r="BA20">
        <v>138.51155886868349</v>
      </c>
      <c r="BB20">
        <v>137.5884696328317</v>
      </c>
      <c r="BC20">
        <v>139.3722092525029</v>
      </c>
      <c r="BD20">
        <v>140.53107749266701</v>
      </c>
      <c r="BE20">
        <v>140.7201788334294</v>
      </c>
      <c r="BF20">
        <v>141.13870111908929</v>
      </c>
      <c r="BG20">
        <v>141.99905107892451</v>
      </c>
      <c r="BH20">
        <v>141.6976222631211</v>
      </c>
      <c r="BI20">
        <v>140.62792582003249</v>
      </c>
      <c r="BJ20">
        <v>139.96452478532089</v>
      </c>
      <c r="BK20">
        <v>139.2914550892371</v>
      </c>
      <c r="BL20">
        <v>139.70527825388501</v>
      </c>
      <c r="BM20">
        <v>140.12303100310061</v>
      </c>
      <c r="BN20">
        <v>139.74747250688861</v>
      </c>
      <c r="BO20">
        <v>140.3139892810706</v>
      </c>
      <c r="BP20">
        <v>140.88036613268429</v>
      </c>
      <c r="BQ20">
        <v>140.750942574882</v>
      </c>
      <c r="BR20">
        <v>140.87436552495811</v>
      </c>
      <c r="BS20">
        <v>140.73303315857291</v>
      </c>
      <c r="BT20">
        <v>141.33269088283939</v>
      </c>
      <c r="BU20">
        <v>141.6955244700919</v>
      </c>
      <c r="BV20">
        <v>141.5711101607067</v>
      </c>
      <c r="BW20">
        <v>142.27605870375029</v>
      </c>
      <c r="BX20">
        <v>142.85904347215279</v>
      </c>
      <c r="BY20">
        <v>140.12828877734651</v>
      </c>
      <c r="BZ20">
        <v>138.55400830513099</v>
      </c>
      <c r="CA20">
        <v>144.2915705238284</v>
      </c>
    </row>
    <row r="21" spans="1:79" ht="15" customHeight="1" x14ac:dyDescent="0.35">
      <c r="A21" s="6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</row>
    <row r="22" spans="1:79" ht="15" customHeight="1" x14ac:dyDescent="0.35">
      <c r="A22" s="4" t="s">
        <v>27</v>
      </c>
      <c r="B22">
        <v>-4.0003628924836221E-2</v>
      </c>
      <c r="C22">
        <v>0.57455491916465462</v>
      </c>
      <c r="D22">
        <v>0.1224328265330996</v>
      </c>
      <c r="E22">
        <v>0.78145361856186923</v>
      </c>
      <c r="F22">
        <v>1.0141221751661931</v>
      </c>
      <c r="G22">
        <v>1.497434686308651</v>
      </c>
      <c r="H22">
        <v>1.3924236425338281</v>
      </c>
      <c r="I22">
        <v>1.5905290388382129</v>
      </c>
      <c r="J22">
        <v>1.6918809809727411</v>
      </c>
      <c r="K22">
        <v>1.354663821395377</v>
      </c>
      <c r="L22">
        <v>0.69064983663926682</v>
      </c>
      <c r="M22">
        <v>0.57792768394119776</v>
      </c>
      <c r="N22">
        <v>0.4020556737125105</v>
      </c>
      <c r="O22">
        <v>-0.19286348088090219</v>
      </c>
      <c r="P22">
        <v>-0.10964835366078771</v>
      </c>
      <c r="Q22">
        <v>0.41701637094541871</v>
      </c>
      <c r="R22">
        <v>0.29982441841681862</v>
      </c>
      <c r="S22">
        <v>0.61940318387345883</v>
      </c>
      <c r="T22">
        <v>0.60974748220414199</v>
      </c>
      <c r="U22">
        <v>0.92003368783250039</v>
      </c>
      <c r="V22">
        <v>0.98576778870943826</v>
      </c>
      <c r="W22">
        <v>0.81739563407236915</v>
      </c>
      <c r="X22">
        <v>0.6511073692444711</v>
      </c>
      <c r="Y22">
        <v>0.76217446848636428</v>
      </c>
      <c r="Z22">
        <v>0.67788990671942884</v>
      </c>
      <c r="AA22">
        <v>-0.27169981184704278</v>
      </c>
      <c r="AB22">
        <v>-0.35648200026435012</v>
      </c>
      <c r="AC22">
        <v>-0.46898390447796601</v>
      </c>
      <c r="AD22">
        <v>-0.39979835464018271</v>
      </c>
      <c r="AE22">
        <v>-0.1352144356062297</v>
      </c>
      <c r="AF22">
        <v>-0.22183016665337621</v>
      </c>
      <c r="AG22">
        <v>0.31944824583246151</v>
      </c>
      <c r="AH22">
        <v>0.83388803808418288</v>
      </c>
      <c r="AI22">
        <v>0.2070918819876226</v>
      </c>
      <c r="AJ22">
        <v>0.26214958205019911</v>
      </c>
      <c r="AK22">
        <v>0.95535432253117847</v>
      </c>
      <c r="AL22">
        <v>0.26495611035730349</v>
      </c>
      <c r="AM22">
        <v>-1.194045859508122</v>
      </c>
      <c r="AN22">
        <v>0.94115709189159702</v>
      </c>
      <c r="AO22">
        <v>-1.1316226319281379</v>
      </c>
      <c r="AP22">
        <v>0.93065374136600099</v>
      </c>
      <c r="AQ22">
        <v>1.2148198447229961</v>
      </c>
      <c r="AR22">
        <v>0.1367489491909453</v>
      </c>
      <c r="AS22">
        <v>-4.8428543185342514</v>
      </c>
      <c r="AT22">
        <v>1.910168381071941</v>
      </c>
      <c r="AU22">
        <v>0.64726211947603929</v>
      </c>
      <c r="AV22">
        <v>0.35689768713532999</v>
      </c>
      <c r="AW22">
        <v>1.636511080949191</v>
      </c>
      <c r="AX22">
        <v>-10</v>
      </c>
      <c r="AY22">
        <v>-0.37965142504941701</v>
      </c>
      <c r="AZ22">
        <v>0.17374081989260051</v>
      </c>
      <c r="BA22">
        <v>-0.67423710287184235</v>
      </c>
      <c r="BB22">
        <v>-0.37827903479583819</v>
      </c>
      <c r="BC22">
        <v>-2.8685022096397009E-2</v>
      </c>
      <c r="BD22">
        <v>0.55645953340498977</v>
      </c>
      <c r="BE22">
        <v>9.3342719837892218E-2</v>
      </c>
      <c r="BF22">
        <v>0.25847950889038879</v>
      </c>
      <c r="BG22">
        <v>0.64105214802614796</v>
      </c>
      <c r="BH22">
        <v>0.52224181583503082</v>
      </c>
      <c r="BI22">
        <v>1.10686058759822</v>
      </c>
      <c r="BJ22">
        <v>1.2512508707708041</v>
      </c>
      <c r="BK22">
        <v>0.38033277309975227</v>
      </c>
      <c r="BL22">
        <v>1.2882126642269041</v>
      </c>
      <c r="BM22">
        <v>0.87304419482234152</v>
      </c>
      <c r="BN22">
        <v>1.1508920381163821</v>
      </c>
      <c r="BO22">
        <v>1.302777964865186</v>
      </c>
      <c r="BP22">
        <v>1.074757359999239</v>
      </c>
      <c r="BQ22">
        <v>1.84946320980572</v>
      </c>
      <c r="BR22">
        <v>1.660908801120883</v>
      </c>
      <c r="BS22">
        <v>1.56373320597865</v>
      </c>
      <c r="BT22">
        <v>2.1808530937136079</v>
      </c>
      <c r="BU22">
        <v>2.9565226933984832</v>
      </c>
      <c r="BV22">
        <v>3.3169709927037729</v>
      </c>
      <c r="BW22">
        <v>3.3633397031659631</v>
      </c>
      <c r="BX22">
        <v>2.9825786833046379</v>
      </c>
    </row>
    <row r="23" spans="1:79" ht="15" customHeight="1" x14ac:dyDescent="0.35">
      <c r="A23" s="3" t="s">
        <v>28</v>
      </c>
      <c r="B23">
        <v>-0.44541836386380851</v>
      </c>
      <c r="C23">
        <v>0.1215106367853878</v>
      </c>
      <c r="D23">
        <v>0.1229646293109283</v>
      </c>
      <c r="E23">
        <v>-5.7485298504758482E-2</v>
      </c>
      <c r="F23">
        <v>0.86506220538512935</v>
      </c>
      <c r="G23">
        <v>0.1008932870147987</v>
      </c>
      <c r="H23">
        <v>-0.40811267482695263</v>
      </c>
      <c r="I23">
        <v>-0.67737006412360756</v>
      </c>
      <c r="J23">
        <v>-0.13054480330777099</v>
      </c>
      <c r="K23">
        <v>-6.3980347518338476E-2</v>
      </c>
      <c r="L23">
        <v>-0.29674851668139007</v>
      </c>
      <c r="M23">
        <v>-0.10384620832260789</v>
      </c>
      <c r="N23">
        <v>0.1451657354904512</v>
      </c>
      <c r="O23">
        <v>0.4243867470391649</v>
      </c>
      <c r="P23">
        <v>0.15679778292837909</v>
      </c>
      <c r="Q23">
        <v>0.70906288117203076</v>
      </c>
      <c r="R23">
        <v>0.47152534514037819</v>
      </c>
      <c r="S23">
        <v>0.36785035666204641</v>
      </c>
      <c r="T23">
        <v>1.488187477659153E-2</v>
      </c>
      <c r="U23">
        <v>0.31021903934257011</v>
      </c>
      <c r="V23">
        <v>7.9610050940743804E-3</v>
      </c>
      <c r="W23">
        <v>-3.9474092259126792E-2</v>
      </c>
      <c r="X23">
        <v>-0.37581342226226871</v>
      </c>
      <c r="Y23">
        <v>-0.40622574919743221</v>
      </c>
      <c r="Z23">
        <v>0.1274192046136875</v>
      </c>
      <c r="AA23">
        <v>-0.35901535593032458</v>
      </c>
      <c r="AB23">
        <v>-0.7051692466156112</v>
      </c>
      <c r="AC23">
        <v>-0.31337672850210652</v>
      </c>
      <c r="AD23">
        <v>-0.97839603408098696</v>
      </c>
      <c r="AE23">
        <v>-0.89376823182507792</v>
      </c>
      <c r="AF23">
        <v>-1.5615411886791719</v>
      </c>
      <c r="AG23">
        <v>-1.1364871015986751</v>
      </c>
      <c r="AH23">
        <v>-2.1854589182748332</v>
      </c>
      <c r="AI23">
        <v>-2.3483222535936932</v>
      </c>
      <c r="AJ23">
        <v>-2.3383243979937731</v>
      </c>
      <c r="AK23">
        <v>-1.09294157206557</v>
      </c>
      <c r="AL23">
        <v>-1.6651901583930171</v>
      </c>
      <c r="AM23">
        <v>0.43487244164347771</v>
      </c>
      <c r="AN23">
        <v>-2.254299162877857</v>
      </c>
      <c r="AO23">
        <v>-2.4107560993757029</v>
      </c>
      <c r="AP23">
        <v>3.4819326455005921</v>
      </c>
      <c r="AQ23">
        <v>-3.1947125921755628</v>
      </c>
      <c r="AR23">
        <v>-1.610777389457724</v>
      </c>
      <c r="AS23">
        <v>-3.6141103921412712</v>
      </c>
      <c r="AT23">
        <v>-2.183676245730624</v>
      </c>
      <c r="AU23">
        <v>-0.94480216718400811</v>
      </c>
      <c r="AV23">
        <v>-4.6985486088720734</v>
      </c>
      <c r="AW23">
        <v>0.72370030277193109</v>
      </c>
      <c r="AX23">
        <v>-4.4417319035973719</v>
      </c>
      <c r="AY23">
        <v>-1.7956886222034141</v>
      </c>
      <c r="AZ23">
        <v>-1.3072352429459779</v>
      </c>
      <c r="BA23">
        <v>-1.05856199113498</v>
      </c>
      <c r="BB23">
        <v>-1.729512236293431</v>
      </c>
      <c r="BC23">
        <v>-1.420723764637785</v>
      </c>
      <c r="BD23">
        <v>-0.97784348365414075</v>
      </c>
      <c r="BE23">
        <v>-1.73941565093844</v>
      </c>
      <c r="BF23">
        <v>-0.69469878798764739</v>
      </c>
      <c r="BG23">
        <v>-0.76222417338061632</v>
      </c>
      <c r="BH23">
        <v>-0.77282432244058441</v>
      </c>
      <c r="BI23">
        <v>-0.93159796124481886</v>
      </c>
      <c r="BJ23">
        <v>0.18195619266455759</v>
      </c>
      <c r="BK23">
        <v>1.2602125837541109</v>
      </c>
      <c r="BL23">
        <v>0.42315465448592698</v>
      </c>
      <c r="BM23">
        <v>0.60791971456632155</v>
      </c>
      <c r="BN23">
        <v>0.18218872266837141</v>
      </c>
      <c r="BO23">
        <v>0.16518628644669769</v>
      </c>
      <c r="BP23">
        <v>0.1293585226395351</v>
      </c>
      <c r="BQ23">
        <v>0.1623956659316832</v>
      </c>
      <c r="BR23">
        <v>0.1410599632342269</v>
      </c>
      <c r="BS23">
        <v>0.23686580412277181</v>
      </c>
      <c r="BT23">
        <v>1.4025925730558979</v>
      </c>
      <c r="BU23">
        <v>1.187159010799206</v>
      </c>
      <c r="BV23">
        <v>1.9732830340025489</v>
      </c>
      <c r="BW23">
        <v>2.4277930624935209</v>
      </c>
      <c r="BX23">
        <v>2.954459078512627</v>
      </c>
    </row>
    <row r="24" spans="1:79" ht="15" customHeight="1" x14ac:dyDescent="0.35">
      <c r="A24" s="4" t="s">
        <v>29</v>
      </c>
      <c r="B24">
        <v>0.44541836386380851</v>
      </c>
      <c r="C24">
        <v>-0.1215106367853878</v>
      </c>
      <c r="D24">
        <v>-0.1229646293109283</v>
      </c>
      <c r="E24">
        <v>5.7485298504758482E-2</v>
      </c>
      <c r="F24">
        <v>-0.86506220538512935</v>
      </c>
      <c r="G24">
        <v>-0.1008932870147987</v>
      </c>
      <c r="H24">
        <v>0.40811267482695263</v>
      </c>
      <c r="I24">
        <v>0.67737006412360756</v>
      </c>
      <c r="J24">
        <v>0.13054480330777099</v>
      </c>
      <c r="K24">
        <v>6.3980347518338476E-2</v>
      </c>
      <c r="L24">
        <v>0.29674851668139007</v>
      </c>
      <c r="M24">
        <v>0.10384620832260789</v>
      </c>
      <c r="N24">
        <v>-0.1451657354904512</v>
      </c>
      <c r="O24">
        <v>-0.4243867470391649</v>
      </c>
      <c r="P24">
        <v>-0.15679778292837909</v>
      </c>
      <c r="Q24">
        <v>-0.70906288117203076</v>
      </c>
      <c r="R24">
        <v>-0.47152534514037819</v>
      </c>
      <c r="S24">
        <v>-0.36785035666204641</v>
      </c>
      <c r="T24">
        <v>-1.488187477659153E-2</v>
      </c>
      <c r="U24">
        <v>-0.31021903934257011</v>
      </c>
      <c r="V24">
        <v>-7.9610050940743804E-3</v>
      </c>
      <c r="W24">
        <v>3.9474092259126792E-2</v>
      </c>
      <c r="X24">
        <v>0.37581342226226871</v>
      </c>
      <c r="Y24">
        <v>0.40622574919743221</v>
      </c>
      <c r="Z24">
        <v>-0.1274192046136875</v>
      </c>
      <c r="AA24">
        <v>0.35901535593032458</v>
      </c>
      <c r="AB24">
        <v>0.7051692466156112</v>
      </c>
      <c r="AC24">
        <v>0.31337672850210652</v>
      </c>
      <c r="AD24">
        <v>0.97839603408098696</v>
      </c>
      <c r="AE24">
        <v>0.89376823182507792</v>
      </c>
      <c r="AF24">
        <v>1.5615411886791719</v>
      </c>
      <c r="AG24">
        <v>1.1364871015986751</v>
      </c>
      <c r="AH24">
        <v>2.1854589182748332</v>
      </c>
      <c r="AI24">
        <v>2.3483222535936932</v>
      </c>
      <c r="AJ24">
        <v>2.3383243979937731</v>
      </c>
      <c r="AK24">
        <v>1.09294157206557</v>
      </c>
      <c r="AL24">
        <v>1.6651901583930171</v>
      </c>
      <c r="AM24">
        <v>-0.43487244164347771</v>
      </c>
      <c r="AN24">
        <v>2.254299162877857</v>
      </c>
      <c r="AO24">
        <v>2.4107560993757029</v>
      </c>
      <c r="AP24">
        <v>-3.4819326455005921</v>
      </c>
      <c r="AQ24">
        <v>3.1947125921755628</v>
      </c>
      <c r="AR24">
        <v>1.610777389457724</v>
      </c>
      <c r="AS24">
        <v>3.6141103921412712</v>
      </c>
      <c r="AT24">
        <v>2.183676245730624</v>
      </c>
      <c r="AU24">
        <v>0.94480216718400811</v>
      </c>
      <c r="AV24">
        <v>4.6985486088720734</v>
      </c>
      <c r="AW24">
        <v>-0.72370030277193109</v>
      </c>
      <c r="AX24">
        <v>4.4417319035973719</v>
      </c>
      <c r="AY24">
        <v>1.7956886222034141</v>
      </c>
      <c r="AZ24">
        <v>1.3072352429459779</v>
      </c>
      <c r="BA24">
        <v>1.05856199113498</v>
      </c>
      <c r="BB24">
        <v>1.729512236293431</v>
      </c>
      <c r="BC24">
        <v>1.420723764637785</v>
      </c>
      <c r="BD24">
        <v>0.97784348365414075</v>
      </c>
      <c r="BE24">
        <v>1.73941565093844</v>
      </c>
      <c r="BF24">
        <v>0.69469878798764739</v>
      </c>
      <c r="BG24">
        <v>0.76222417338061632</v>
      </c>
      <c r="BH24">
        <v>0.77282432244058441</v>
      </c>
      <c r="BI24">
        <v>0.93159796124481886</v>
      </c>
      <c r="BJ24">
        <v>-0.18195619266455759</v>
      </c>
      <c r="BK24">
        <v>-1.2602125837541109</v>
      </c>
      <c r="BL24">
        <v>-0.42315465448592698</v>
      </c>
      <c r="BM24">
        <v>-0.60791971456632155</v>
      </c>
      <c r="BN24">
        <v>-0.18218872266837141</v>
      </c>
      <c r="BO24">
        <v>-0.16518628644669769</v>
      </c>
      <c r="BP24">
        <v>-0.1293585226395351</v>
      </c>
      <c r="BQ24">
        <v>-0.1623956659316832</v>
      </c>
      <c r="BR24">
        <v>-0.1410599632342269</v>
      </c>
      <c r="BS24">
        <v>-0.23686580412277181</v>
      </c>
      <c r="BT24">
        <v>-1.4025925730558979</v>
      </c>
      <c r="BU24">
        <v>-1.187159010799206</v>
      </c>
      <c r="BV24">
        <v>-1.9732830340025489</v>
      </c>
      <c r="BW24">
        <v>-2.4277930624935209</v>
      </c>
      <c r="BX24">
        <v>-2.954459078512627</v>
      </c>
    </row>
    <row r="25" spans="1:79" ht="15" customHeight="1" x14ac:dyDescent="0.35">
      <c r="A25" s="3" t="s">
        <v>30</v>
      </c>
      <c r="B25">
        <v>131.14488552891311</v>
      </c>
      <c r="C25">
        <v>137.29601689133921</v>
      </c>
      <c r="D25">
        <v>136.941853667256</v>
      </c>
      <c r="E25">
        <v>133.32463374714339</v>
      </c>
      <c r="F25">
        <v>132.27971980304099</v>
      </c>
      <c r="G25">
        <v>132.7447733855129</v>
      </c>
      <c r="H25">
        <v>132.3934170774651</v>
      </c>
      <c r="I25">
        <v>133.09005709830041</v>
      </c>
      <c r="J25">
        <v>134.93942064729649</v>
      </c>
      <c r="K25">
        <v>134.75306867959841</v>
      </c>
      <c r="L25">
        <v>135.1060066352124</v>
      </c>
      <c r="M25">
        <v>134.65982398253919</v>
      </c>
      <c r="N25">
        <v>133.60826356895771</v>
      </c>
      <c r="O25">
        <v>132.43224516307561</v>
      </c>
      <c r="P25">
        <v>131.0070963586966</v>
      </c>
      <c r="Q25">
        <v>135.41802363477271</v>
      </c>
      <c r="R25">
        <v>135.75467177327559</v>
      </c>
      <c r="S25">
        <v>136.17508665999799</v>
      </c>
      <c r="T25">
        <v>136.00870882458199</v>
      </c>
      <c r="U25">
        <v>136.27419560065789</v>
      </c>
      <c r="V25">
        <v>136.49695733247941</v>
      </c>
      <c r="W25">
        <v>135.4938877112817</v>
      </c>
      <c r="X25">
        <v>134.88758107175309</v>
      </c>
      <c r="Y25">
        <v>136.73745250513019</v>
      </c>
      <c r="Z25">
        <v>135.24739125939391</v>
      </c>
      <c r="AA25">
        <v>134.15633067313209</v>
      </c>
      <c r="AB25">
        <v>131.65986521059929</v>
      </c>
      <c r="AC25">
        <v>131.83086665725989</v>
      </c>
      <c r="AD25">
        <v>133.61501572291661</v>
      </c>
      <c r="AE25">
        <v>133.5258331997037</v>
      </c>
      <c r="AF25">
        <v>134.09181722470939</v>
      </c>
      <c r="AG25">
        <v>136.0218672141136</v>
      </c>
      <c r="AH25">
        <v>138.17538873699601</v>
      </c>
      <c r="AI25">
        <v>137.85519995520411</v>
      </c>
      <c r="AJ25">
        <v>138.4491562282592</v>
      </c>
      <c r="AK25">
        <v>138.95202311618749</v>
      </c>
      <c r="AL25">
        <v>138.1174051113039</v>
      </c>
      <c r="AM25">
        <v>137.1482721828508</v>
      </c>
      <c r="AN25">
        <v>141.88749206950101</v>
      </c>
      <c r="AO25">
        <v>139.90017445779651</v>
      </c>
      <c r="AP25">
        <v>142.00281567083371</v>
      </c>
      <c r="AQ25">
        <v>142.89859931162991</v>
      </c>
      <c r="AR25">
        <v>141.30808496581511</v>
      </c>
      <c r="AS25">
        <v>135.7151414554518</v>
      </c>
      <c r="AT25">
        <v>142.45329691269069</v>
      </c>
      <c r="AU25">
        <v>141.29889679076251</v>
      </c>
      <c r="AV25">
        <v>139.87992685954109</v>
      </c>
      <c r="AW25">
        <v>142.81577688037311</v>
      </c>
      <c r="AX25">
        <v>131.1616902750435</v>
      </c>
      <c r="AY25">
        <v>138.2887918556242</v>
      </c>
      <c r="AZ25">
        <v>139.21638755051231</v>
      </c>
      <c r="BA25">
        <v>137.83732176581171</v>
      </c>
      <c r="BB25">
        <v>137.21019059803589</v>
      </c>
      <c r="BC25">
        <v>139.3435242304065</v>
      </c>
      <c r="BD25">
        <v>141.087537026072</v>
      </c>
      <c r="BE25">
        <v>140.81352155326729</v>
      </c>
      <c r="BF25">
        <v>141.39718062797971</v>
      </c>
      <c r="BG25">
        <v>142.6401032269506</v>
      </c>
      <c r="BH25">
        <v>142.21986407895611</v>
      </c>
      <c r="BI25">
        <v>141.73478640763071</v>
      </c>
      <c r="BJ25">
        <v>141.21577565609169</v>
      </c>
      <c r="BK25">
        <v>139.67178786233691</v>
      </c>
      <c r="BL25">
        <v>140.99349091811189</v>
      </c>
      <c r="BM25">
        <v>140.99607519792289</v>
      </c>
      <c r="BN25">
        <v>140.89836454500499</v>
      </c>
      <c r="BO25">
        <v>141.61676724593579</v>
      </c>
      <c r="BP25">
        <v>141.9551234926835</v>
      </c>
      <c r="BQ25">
        <v>142.60040578468769</v>
      </c>
      <c r="BR25">
        <v>142.53527432607899</v>
      </c>
      <c r="BS25">
        <v>142.2967663645515</v>
      </c>
      <c r="BT25">
        <v>143.51354397655311</v>
      </c>
      <c r="BU25">
        <v>144.65204716349041</v>
      </c>
      <c r="BV25">
        <v>144.88808115341041</v>
      </c>
      <c r="BW25">
        <v>145.63939840691631</v>
      </c>
      <c r="BX25">
        <v>145.84162215545749</v>
      </c>
    </row>
    <row r="26" spans="1:79" ht="15" customHeight="1" x14ac:dyDescent="0.35">
      <c r="A26" s="5" t="s">
        <v>31</v>
      </c>
      <c r="B26">
        <v>2.1505527710127028</v>
      </c>
      <c r="C26">
        <v>2.2073907181826562</v>
      </c>
      <c r="D26">
        <v>2.109702937781504</v>
      </c>
      <c r="E26">
        <v>2.0875658921650411</v>
      </c>
      <c r="F26">
        <v>2.0194090923952279</v>
      </c>
      <c r="G26">
        <v>1.918520410046189</v>
      </c>
      <c r="H26">
        <v>1.917476129757737</v>
      </c>
      <c r="I26">
        <v>1.87421132497013</v>
      </c>
      <c r="J26">
        <v>2.0008174352521029</v>
      </c>
      <c r="K26">
        <v>1.9375934337533991</v>
      </c>
      <c r="L26">
        <v>1.853314147143081</v>
      </c>
      <c r="M26">
        <v>1.9186936198740721</v>
      </c>
      <c r="N26">
        <v>1.938399197777128</v>
      </c>
      <c r="O26">
        <v>2.0427444461297068</v>
      </c>
      <c r="P26">
        <v>2.173734681809937</v>
      </c>
      <c r="Q26">
        <v>1.8361932057273109</v>
      </c>
      <c r="R26">
        <v>1.860985689689779</v>
      </c>
      <c r="S26">
        <v>1.779102772537632</v>
      </c>
      <c r="T26">
        <v>1.6618225661305781</v>
      </c>
      <c r="U26">
        <v>1.5595818694576999</v>
      </c>
      <c r="V26">
        <v>1.4615419218136341</v>
      </c>
      <c r="W26">
        <v>1.5105506445214869</v>
      </c>
      <c r="X26">
        <v>1.551705229308542</v>
      </c>
      <c r="Y26">
        <v>1.6108119881441121</v>
      </c>
      <c r="Z26">
        <v>1.695937009235952</v>
      </c>
      <c r="AA26">
        <v>1.6747700337914631</v>
      </c>
      <c r="AB26">
        <v>1.679594697199168</v>
      </c>
      <c r="AC26">
        <v>1.707767913146256</v>
      </c>
      <c r="AD26">
        <v>1.6418182456604919</v>
      </c>
      <c r="AE26">
        <v>1.672707550907558</v>
      </c>
      <c r="AF26">
        <v>1.6559780119600711</v>
      </c>
      <c r="AG26">
        <v>1.6688579745796259</v>
      </c>
      <c r="AH26">
        <v>1.7857035523066189</v>
      </c>
      <c r="AI26">
        <v>1.658093355229008</v>
      </c>
      <c r="AJ26">
        <v>1.8637754886588429</v>
      </c>
      <c r="AK26">
        <v>2.031156990629142</v>
      </c>
      <c r="AL26">
        <v>1.646926556443487</v>
      </c>
      <c r="AM26">
        <v>1.6660920490751121</v>
      </c>
      <c r="AN26">
        <v>1.675970597339961</v>
      </c>
      <c r="AO26">
        <v>1.49212027710434</v>
      </c>
      <c r="AP26">
        <v>2.0740088628595572</v>
      </c>
      <c r="AQ26">
        <v>1.3264034542069829</v>
      </c>
      <c r="AR26">
        <v>1.901493057680355</v>
      </c>
      <c r="AS26">
        <v>3.0445154709940319</v>
      </c>
      <c r="AT26">
        <v>1.9726026006799739</v>
      </c>
      <c r="AU26">
        <v>1.554957999952254</v>
      </c>
      <c r="AV26">
        <v>1.8467201391522261</v>
      </c>
      <c r="AW26">
        <v>1.6511792486816861</v>
      </c>
      <c r="AX26">
        <v>1.345769072164948</v>
      </c>
      <c r="AY26">
        <v>1.5262134308981401</v>
      </c>
      <c r="AZ26">
        <v>1.508219231241964</v>
      </c>
      <c r="BA26">
        <v>1.460268729069615</v>
      </c>
      <c r="BB26">
        <v>1.4884280571108379</v>
      </c>
      <c r="BC26">
        <v>1.486534115106017</v>
      </c>
      <c r="BD26">
        <v>1.5047787793362291</v>
      </c>
      <c r="BE26">
        <v>1.475697222885789</v>
      </c>
      <c r="BF26">
        <v>1.499743184862139</v>
      </c>
      <c r="BG26">
        <v>1.536373153441408</v>
      </c>
      <c r="BH26">
        <v>1.487636053313391</v>
      </c>
      <c r="BI26">
        <v>1.563778869107074</v>
      </c>
      <c r="BJ26">
        <v>1.4645948506570441</v>
      </c>
      <c r="BK26">
        <v>1.450584708292685</v>
      </c>
      <c r="BL26">
        <v>1.4641240247410461</v>
      </c>
      <c r="BM26">
        <v>1.4538270547576451</v>
      </c>
      <c r="BN26">
        <v>1.468610860807505</v>
      </c>
      <c r="BO26">
        <v>1.4434687242598221</v>
      </c>
      <c r="BP26">
        <v>1.384069886158048</v>
      </c>
      <c r="BQ26">
        <v>1.3761983201066419</v>
      </c>
      <c r="BR26">
        <v>1.405774823518968</v>
      </c>
      <c r="BS26">
        <v>1.392112400846685</v>
      </c>
      <c r="BT26">
        <v>1.3984414874343289</v>
      </c>
      <c r="BU26">
        <v>1.3543768835329959</v>
      </c>
      <c r="BV26">
        <v>1.3899383108076491</v>
      </c>
      <c r="BW26">
        <v>1.4384254263189891</v>
      </c>
      <c r="BX26">
        <v>1.480272899863661</v>
      </c>
    </row>
    <row r="27" spans="1:79" ht="15" customHeight="1" x14ac:dyDescent="0.35"/>
    <row r="28" spans="1:79" ht="15" customHeight="1" x14ac:dyDescent="0.35">
      <c r="A28" s="1" t="s">
        <v>34</v>
      </c>
      <c r="B28" s="2">
        <v>2016</v>
      </c>
      <c r="C28" s="2">
        <v>2017</v>
      </c>
      <c r="D28" s="2">
        <v>2018</v>
      </c>
      <c r="E28" s="2">
        <v>2019</v>
      </c>
      <c r="F28" s="2" t="s">
        <v>39</v>
      </c>
      <c r="G28" s="2" t="s">
        <v>40</v>
      </c>
      <c r="H28" s="2" t="s">
        <v>41</v>
      </c>
      <c r="I28" s="2" t="s">
        <v>42</v>
      </c>
      <c r="J28" s="2" t="s">
        <v>43</v>
      </c>
      <c r="K28" s="2" t="s">
        <v>44</v>
      </c>
      <c r="L28" s="2" t="s">
        <v>45</v>
      </c>
      <c r="M28" s="2" t="s">
        <v>46</v>
      </c>
      <c r="N28" s="2" t="s">
        <v>47</v>
      </c>
      <c r="O28" s="2" t="s">
        <v>48</v>
      </c>
      <c r="P28" s="2" t="s">
        <v>49</v>
      </c>
      <c r="Q28" s="2" t="s">
        <v>50</v>
      </c>
      <c r="R28" s="2" t="s">
        <v>51</v>
      </c>
      <c r="S28" s="2" t="s">
        <v>52</v>
      </c>
      <c r="T28" s="2" t="s">
        <v>53</v>
      </c>
      <c r="U28" s="2" t="s">
        <v>54</v>
      </c>
      <c r="V28" s="2" t="s">
        <v>55</v>
      </c>
      <c r="W28" s="2" t="s">
        <v>56</v>
      </c>
      <c r="X28" s="2" t="s">
        <v>57</v>
      </c>
      <c r="Y28" s="2" t="s">
        <v>58</v>
      </c>
      <c r="Z28" s="2" t="s">
        <v>59</v>
      </c>
      <c r="AA28" s="2" t="s">
        <v>60</v>
      </c>
      <c r="AB28" s="2" t="s">
        <v>61</v>
      </c>
      <c r="AC28" s="2" t="s">
        <v>62</v>
      </c>
      <c r="AD28" s="2" t="s">
        <v>63</v>
      </c>
      <c r="AE28" s="2" t="s">
        <v>64</v>
      </c>
      <c r="AF28" s="2" t="s">
        <v>65</v>
      </c>
      <c r="AG28" s="2" t="s">
        <v>66</v>
      </c>
      <c r="AH28" s="2" t="s">
        <v>67</v>
      </c>
      <c r="AI28" s="2" t="s">
        <v>68</v>
      </c>
      <c r="AJ28" s="2" t="s">
        <v>69</v>
      </c>
      <c r="AK28" s="2" t="s">
        <v>70</v>
      </c>
      <c r="AL28" s="2" t="s">
        <v>71</v>
      </c>
      <c r="AM28" s="2" t="s">
        <v>72</v>
      </c>
      <c r="AN28" s="2" t="s">
        <v>73</v>
      </c>
      <c r="AO28" s="2" t="s">
        <v>74</v>
      </c>
      <c r="AP28" s="2" t="s">
        <v>75</v>
      </c>
      <c r="AQ28" s="2" t="s">
        <v>76</v>
      </c>
      <c r="AR28" s="2" t="s">
        <v>77</v>
      </c>
      <c r="AS28" s="2" t="s">
        <v>78</v>
      </c>
      <c r="AT28" s="2" t="s">
        <v>79</v>
      </c>
      <c r="AU28" s="2" t="s">
        <v>80</v>
      </c>
      <c r="AV28" s="2" t="s">
        <v>81</v>
      </c>
      <c r="AW28" s="2" t="s">
        <v>82</v>
      </c>
      <c r="AX28" s="2" t="s">
        <v>83</v>
      </c>
      <c r="AY28" s="2" t="s">
        <v>84</v>
      </c>
      <c r="AZ28" s="2" t="s">
        <v>85</v>
      </c>
      <c r="BA28" s="2" t="s">
        <v>86</v>
      </c>
      <c r="BB28" s="2" t="s">
        <v>87</v>
      </c>
      <c r="BC28" s="2" t="s">
        <v>88</v>
      </c>
      <c r="BD28" s="2" t="s">
        <v>89</v>
      </c>
      <c r="BE28" s="2" t="s">
        <v>90</v>
      </c>
      <c r="BF28" s="2" t="s">
        <v>91</v>
      </c>
      <c r="BG28" s="2" t="s">
        <v>92</v>
      </c>
      <c r="BH28" s="2" t="s">
        <v>93</v>
      </c>
      <c r="BI28" s="2" t="s">
        <v>94</v>
      </c>
      <c r="BJ28" s="2" t="s">
        <v>95</v>
      </c>
      <c r="BK28" s="2" t="s">
        <v>96</v>
      </c>
      <c r="BL28" s="2" t="s">
        <v>97</v>
      </c>
      <c r="BM28" s="2" t="s">
        <v>98</v>
      </c>
      <c r="BN28" s="2" t="s">
        <v>99</v>
      </c>
      <c r="BO28" s="2" t="s">
        <v>100</v>
      </c>
      <c r="BP28" s="2" t="s">
        <v>101</v>
      </c>
      <c r="BQ28" s="2" t="s">
        <v>102</v>
      </c>
      <c r="BR28" s="2" t="s">
        <v>103</v>
      </c>
      <c r="BS28" s="2" t="s">
        <v>104</v>
      </c>
      <c r="BT28" s="2" t="s">
        <v>105</v>
      </c>
      <c r="BU28" s="2" t="s">
        <v>106</v>
      </c>
      <c r="BV28" s="2" t="s">
        <v>107</v>
      </c>
      <c r="BW28" s="2" t="s">
        <v>108</v>
      </c>
      <c r="BX28" s="2" t="s">
        <v>109</v>
      </c>
      <c r="BY28" s="2" t="s">
        <v>110</v>
      </c>
      <c r="BZ28" s="116" t="s">
        <v>111</v>
      </c>
    </row>
    <row r="29" spans="1:79" ht="15" customHeight="1" x14ac:dyDescent="0.35">
      <c r="A29" s="5" t="s">
        <v>25</v>
      </c>
      <c r="B29">
        <v>129.63954853797199</v>
      </c>
      <c r="C29">
        <v>131.65409899580601</v>
      </c>
      <c r="D29">
        <v>131.56964051126809</v>
      </c>
      <c r="E29">
        <v>129.50608176924629</v>
      </c>
      <c r="F29">
        <v>129.7843869494103</v>
      </c>
      <c r="G29">
        <v>130.3193979990354</v>
      </c>
      <c r="H29">
        <v>130.01812966140889</v>
      </c>
      <c r="I29">
        <v>130.28185790471139</v>
      </c>
      <c r="J29">
        <v>133.5524228107509</v>
      </c>
      <c r="K29">
        <v>134.90739611785361</v>
      </c>
      <c r="L29">
        <v>135.2445866866463</v>
      </c>
      <c r="M29">
        <v>135.85773184621939</v>
      </c>
      <c r="N29">
        <v>135.5006905849425</v>
      </c>
      <c r="O29">
        <v>135.75132473545679</v>
      </c>
      <c r="P29">
        <v>135.13958209043781</v>
      </c>
      <c r="Q29">
        <v>134.89593637083291</v>
      </c>
      <c r="R29">
        <v>135.56414730982181</v>
      </c>
      <c r="S29">
        <v>135.05331836296551</v>
      </c>
      <c r="T29">
        <v>135.2662294284612</v>
      </c>
      <c r="U29">
        <v>135.395705576946</v>
      </c>
      <c r="V29">
        <v>135.36165255330249</v>
      </c>
      <c r="W29">
        <v>135.74131039117839</v>
      </c>
      <c r="X29">
        <v>135.03843262695369</v>
      </c>
      <c r="Y29">
        <v>135.73404722573321</v>
      </c>
      <c r="Z29">
        <v>134.33914840992111</v>
      </c>
      <c r="AA29">
        <v>134.68261432906189</v>
      </c>
      <c r="AB29">
        <v>132.9452096860683</v>
      </c>
      <c r="AC29">
        <v>133.34440632816779</v>
      </c>
      <c r="AD29">
        <v>134.28640076604</v>
      </c>
      <c r="AE29">
        <v>134.70283775329821</v>
      </c>
      <c r="AF29">
        <v>134.61130451371699</v>
      </c>
      <c r="AG29">
        <v>136.2690832796751</v>
      </c>
      <c r="AH29">
        <v>136.73318176572539</v>
      </c>
      <c r="AI29">
        <v>137.23263245384001</v>
      </c>
      <c r="AJ29">
        <v>136.95715656324231</v>
      </c>
      <c r="AK29">
        <v>137.6334519819593</v>
      </c>
      <c r="AL29">
        <v>137.2392806726929</v>
      </c>
      <c r="AM29">
        <v>137.73628606892169</v>
      </c>
      <c r="AN29">
        <v>139.05852091317811</v>
      </c>
      <c r="AO29">
        <v>138.44603802006361</v>
      </c>
      <c r="AP29">
        <v>139.96786718664279</v>
      </c>
      <c r="AQ29">
        <v>138.75375813685659</v>
      </c>
      <c r="AR29">
        <v>139.11148249666161</v>
      </c>
      <c r="AS29">
        <v>137.4188281876969</v>
      </c>
      <c r="AT29">
        <v>138.17300857411581</v>
      </c>
      <c r="AU29">
        <v>137.51062896421911</v>
      </c>
      <c r="AV29">
        <v>137.68288521110469</v>
      </c>
      <c r="AW29">
        <v>138.42609495522959</v>
      </c>
      <c r="AX29">
        <v>139.2348069772676</v>
      </c>
      <c r="AY29">
        <v>136.90454759905211</v>
      </c>
      <c r="AZ29">
        <v>137.34859524727131</v>
      </c>
      <c r="BA29">
        <v>136.85059475443541</v>
      </c>
      <c r="BB29">
        <v>136.43851767348471</v>
      </c>
      <c r="BC29">
        <v>137.16962217794381</v>
      </c>
      <c r="BD29">
        <v>137.4454458367376</v>
      </c>
      <c r="BE29">
        <v>137.85017602716411</v>
      </c>
      <c r="BF29">
        <v>138.12378248972411</v>
      </c>
      <c r="BG29">
        <v>138.88324451889039</v>
      </c>
      <c r="BH29">
        <v>138.78355410719459</v>
      </c>
      <c r="BI29">
        <v>137.96916712503571</v>
      </c>
      <c r="BJ29">
        <v>136.82706972622731</v>
      </c>
      <c r="BK29">
        <v>136.74565708858961</v>
      </c>
      <c r="BL29">
        <v>136.75774601401861</v>
      </c>
      <c r="BM29">
        <v>136.52400540454479</v>
      </c>
      <c r="BN29">
        <v>136.69779226902199</v>
      </c>
      <c r="BO29">
        <v>137.49792790828249</v>
      </c>
      <c r="BP29">
        <v>137.93118439961589</v>
      </c>
      <c r="BQ29">
        <v>138.53779575058419</v>
      </c>
      <c r="BR29">
        <v>138.60140861217931</v>
      </c>
      <c r="BS29">
        <v>138.34121080928449</v>
      </c>
      <c r="BT29">
        <v>139.08055365154291</v>
      </c>
      <c r="BU29">
        <v>139.19215768334089</v>
      </c>
      <c r="BV29">
        <v>139.60755139561181</v>
      </c>
      <c r="BW29">
        <v>141.45994790472599</v>
      </c>
      <c r="BX29">
        <v>141.645958112448</v>
      </c>
      <c r="BY29">
        <v>138.36255914345421</v>
      </c>
      <c r="BZ29">
        <v>137.34161317185081</v>
      </c>
      <c r="CA29">
        <v>141.01661933661319</v>
      </c>
    </row>
    <row r="30" spans="1:79" ht="15" customHeight="1" x14ac:dyDescent="0.35">
      <c r="A30" s="6" t="s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</row>
    <row r="31" spans="1:79" ht="15" customHeight="1" x14ac:dyDescent="0.35">
      <c r="A31" s="4" t="s">
        <v>27</v>
      </c>
      <c r="B31">
        <v>0.82200866728592814</v>
      </c>
      <c r="C31">
        <v>0.94331677553304871</v>
      </c>
      <c r="D31">
        <v>0.87327749804705945</v>
      </c>
      <c r="E31">
        <v>0.94815912571638705</v>
      </c>
      <c r="F31">
        <v>0.67803508322600692</v>
      </c>
      <c r="G31">
        <v>0.41528649183709382</v>
      </c>
      <c r="H31">
        <v>0.749873914250486</v>
      </c>
      <c r="I31">
        <v>0.4314204867852709</v>
      </c>
      <c r="J31">
        <v>0.55198609580347124</v>
      </c>
      <c r="K31">
        <v>0.70277859406058951</v>
      </c>
      <c r="L31">
        <v>0.82669385250667915</v>
      </c>
      <c r="M31">
        <v>0.9301117352154904</v>
      </c>
      <c r="N31">
        <v>0.99300001766440005</v>
      </c>
      <c r="O31">
        <v>0.9421823210941227</v>
      </c>
      <c r="P31">
        <v>0.74733994796415004</v>
      </c>
      <c r="Q31">
        <v>0.82287701864629526</v>
      </c>
      <c r="R31">
        <v>1.630751107452028</v>
      </c>
      <c r="S31">
        <v>1.7202457661423409</v>
      </c>
      <c r="T31">
        <v>1.6635727206120241</v>
      </c>
      <c r="U31">
        <v>1.8395174731831501</v>
      </c>
      <c r="V31">
        <v>1.908889033338085</v>
      </c>
      <c r="W31">
        <v>1.7264934969394969</v>
      </c>
      <c r="X31">
        <v>1.47912884397266</v>
      </c>
      <c r="Y31">
        <v>1.5973357752484389</v>
      </c>
      <c r="Z31">
        <v>1.482416916078392</v>
      </c>
      <c r="AA31">
        <v>1.120456461700343</v>
      </c>
      <c r="AB31">
        <v>1.290894425816987</v>
      </c>
      <c r="AC31">
        <v>1.1923053334097351</v>
      </c>
      <c r="AD31">
        <v>0.49474394942600952</v>
      </c>
      <c r="AE31">
        <v>0.37581116842770262</v>
      </c>
      <c r="AF31">
        <v>0.77009603432401263</v>
      </c>
      <c r="AG31">
        <v>0.47569723010320791</v>
      </c>
      <c r="AH31">
        <v>1.9082218476324331</v>
      </c>
      <c r="AI31">
        <v>2.4529662919161979</v>
      </c>
      <c r="AJ31">
        <v>1.4326039963854671</v>
      </c>
      <c r="AK31">
        <v>1.8182118125736221E-2</v>
      </c>
      <c r="AL31">
        <v>-1.6039225329652711</v>
      </c>
      <c r="AM31">
        <v>0.80705771675889082</v>
      </c>
      <c r="AN31">
        <v>0.72028838713472965</v>
      </c>
      <c r="AO31">
        <v>0.95564855772562396</v>
      </c>
      <c r="AP31">
        <v>1.5559155166886569</v>
      </c>
      <c r="AQ31">
        <v>-5.4976384794557589</v>
      </c>
      <c r="AR31">
        <v>3.895898230529923</v>
      </c>
      <c r="AS31">
        <v>3.2941837437510628</v>
      </c>
      <c r="AT31">
        <v>-1.5539318499683079</v>
      </c>
      <c r="AU31">
        <v>-0.53627027922158277</v>
      </c>
      <c r="AV31">
        <v>1.241482707509391</v>
      </c>
      <c r="AW31">
        <v>1.9185925504496311</v>
      </c>
      <c r="AX31">
        <v>0.68722900000000209</v>
      </c>
      <c r="AY31">
        <v>1.846753834055761</v>
      </c>
      <c r="AZ31">
        <v>1.7677956041330281</v>
      </c>
      <c r="BA31">
        <v>0.31402868152835589</v>
      </c>
      <c r="BB31">
        <v>0.78986590169617443</v>
      </c>
      <c r="BC31">
        <v>1.907654195693993</v>
      </c>
      <c r="BD31">
        <v>2.2496134247547839</v>
      </c>
      <c r="BE31">
        <v>2.5369350391760288</v>
      </c>
      <c r="BF31">
        <v>2.1349157655689051</v>
      </c>
      <c r="BG31">
        <v>2.0094307534525631</v>
      </c>
      <c r="BH31">
        <v>2.2206431988720108</v>
      </c>
      <c r="BI31">
        <v>1.96811005613111</v>
      </c>
      <c r="BJ31">
        <v>1.798887350972791</v>
      </c>
      <c r="BK31">
        <v>1.2810307680606461</v>
      </c>
      <c r="BL31">
        <v>1.4300116549699169</v>
      </c>
      <c r="BM31">
        <v>1.5529908043711489</v>
      </c>
      <c r="BN31">
        <v>1.180056335576239</v>
      </c>
      <c r="BO31">
        <v>1.733735997975884</v>
      </c>
      <c r="BP31">
        <v>1.7240162298928681</v>
      </c>
      <c r="BQ31">
        <v>2.2645703258961589</v>
      </c>
      <c r="BR31">
        <v>1.8656629809493099</v>
      </c>
      <c r="BS31">
        <v>1.7808388407108571</v>
      </c>
      <c r="BT31">
        <v>2.420873245336963</v>
      </c>
      <c r="BU31">
        <v>2.4373102846705019</v>
      </c>
      <c r="BV31">
        <v>3.104244645598186</v>
      </c>
      <c r="BW31">
        <v>3.72592652591976</v>
      </c>
      <c r="BX31">
        <v>2.473179878479328</v>
      </c>
    </row>
    <row r="32" spans="1:79" ht="15" customHeight="1" x14ac:dyDescent="0.35">
      <c r="A32" s="3" t="s">
        <v>28</v>
      </c>
      <c r="B32">
        <v>-0.47932338364375943</v>
      </c>
      <c r="C32">
        <v>0.39115156518130328</v>
      </c>
      <c r="D32">
        <v>0.27717929702706101</v>
      </c>
      <c r="E32">
        <v>8.0689838308643402E-2</v>
      </c>
      <c r="F32">
        <v>-0.25821088358605948</v>
      </c>
      <c r="G32">
        <v>-8.844824118290262E-2</v>
      </c>
      <c r="H32">
        <v>-0.36391364910139151</v>
      </c>
      <c r="I32">
        <v>-0.134767529897033</v>
      </c>
      <c r="J32">
        <v>-0.5005188395103346</v>
      </c>
      <c r="K32">
        <v>-0.43257334539157449</v>
      </c>
      <c r="L32">
        <v>-0.29134712225925341</v>
      </c>
      <c r="M32">
        <v>-1.437924333271212E-2</v>
      </c>
      <c r="N32">
        <v>3.6133011133415487E-2</v>
      </c>
      <c r="O32">
        <v>0.1998529432103453</v>
      </c>
      <c r="P32">
        <v>0.29665909471228252</v>
      </c>
      <c r="Q32">
        <v>0.62745330262603716</v>
      </c>
      <c r="R32">
        <v>0.58881346241884103</v>
      </c>
      <c r="S32">
        <v>0.58917333876055977</v>
      </c>
      <c r="T32">
        <v>0.19857716809036671</v>
      </c>
      <c r="U32">
        <v>-2.9299116918537042E-2</v>
      </c>
      <c r="V32">
        <v>-0.12092275227982439</v>
      </c>
      <c r="W32">
        <v>7.8046436134030728E-2</v>
      </c>
      <c r="X32">
        <v>0.1128878405969829</v>
      </c>
      <c r="Y32">
        <v>-0.157549042388581</v>
      </c>
      <c r="Z32">
        <v>-0.3643232506074412</v>
      </c>
      <c r="AA32">
        <v>-0.8384009915511399</v>
      </c>
      <c r="AB32">
        <v>-0.42988161415200921</v>
      </c>
      <c r="AC32">
        <v>-0.76597521618145947</v>
      </c>
      <c r="AD32">
        <v>-0.58293348223830321</v>
      </c>
      <c r="AE32">
        <v>-0.90818435764066408</v>
      </c>
      <c r="AF32">
        <v>-1.748248017932212</v>
      </c>
      <c r="AG32">
        <v>-0.93445966787118095</v>
      </c>
      <c r="AH32">
        <v>1.0612811420994599</v>
      </c>
      <c r="AI32">
        <v>-2.4078631906433539</v>
      </c>
      <c r="AJ32">
        <v>-0.74508335079735843</v>
      </c>
      <c r="AK32">
        <v>-2.4905575877015451</v>
      </c>
      <c r="AL32">
        <v>-4.6129882257614554</v>
      </c>
      <c r="AM32">
        <v>-0.17280682295464089</v>
      </c>
      <c r="AN32">
        <v>1.1888569324168829</v>
      </c>
      <c r="AO32">
        <v>-1.867445600284668</v>
      </c>
      <c r="AP32">
        <v>-3.8253981026701069</v>
      </c>
      <c r="AQ32">
        <v>-0.78971440399888593</v>
      </c>
      <c r="AR32">
        <v>0.46397649501821547</v>
      </c>
      <c r="AS32">
        <v>-4.4345161917831044</v>
      </c>
      <c r="AT32">
        <v>-1.776897199846275</v>
      </c>
      <c r="AU32">
        <v>-3.877563504714431</v>
      </c>
      <c r="AV32">
        <v>0.82442004410293634</v>
      </c>
      <c r="AW32">
        <v>0.97350815743979524</v>
      </c>
      <c r="AX32">
        <v>-1.5401930647486779</v>
      </c>
      <c r="AY32">
        <v>-1.821080434661269</v>
      </c>
      <c r="AZ32">
        <v>-0.71113368659388243</v>
      </c>
      <c r="BA32">
        <v>-0.53444326764076777</v>
      </c>
      <c r="BB32">
        <v>-1.5072008820825431</v>
      </c>
      <c r="BC32">
        <v>-1.4880607970982</v>
      </c>
      <c r="BD32">
        <v>-0.83286340558444749</v>
      </c>
      <c r="BE32">
        <v>-0.35286014063646581</v>
      </c>
      <c r="BF32">
        <v>0.29517208161706782</v>
      </c>
      <c r="BG32">
        <v>-0.78186766827894871</v>
      </c>
      <c r="BH32">
        <v>-0.21896991204343411</v>
      </c>
      <c r="BI32">
        <v>-0.33982766449392438</v>
      </c>
      <c r="BJ32">
        <v>-0.23780951351179169</v>
      </c>
      <c r="BK32">
        <v>1.6958970550977599</v>
      </c>
      <c r="BL32">
        <v>1.4264150812135199</v>
      </c>
      <c r="BM32">
        <v>1.011200842931913</v>
      </c>
      <c r="BN32">
        <v>0.30745822450577981</v>
      </c>
      <c r="BO32">
        <v>0.83652629055993089</v>
      </c>
      <c r="BP32">
        <v>5.7706202666480522E-2</v>
      </c>
      <c r="BQ32">
        <v>-1.0329316431677571</v>
      </c>
      <c r="BR32">
        <v>2.3276804360224621</v>
      </c>
      <c r="BS32">
        <v>0.8917388272403457</v>
      </c>
      <c r="BT32">
        <v>1.509015058641751</v>
      </c>
      <c r="BU32">
        <v>0.65393353218308903</v>
      </c>
      <c r="BV32">
        <v>3.0232830577231771</v>
      </c>
      <c r="BW32">
        <v>0.99974112319728192</v>
      </c>
      <c r="BX32">
        <v>0.96045825649113681</v>
      </c>
    </row>
    <row r="33" spans="1:79" ht="15" customHeight="1" x14ac:dyDescent="0.35">
      <c r="A33" s="4" t="s">
        <v>29</v>
      </c>
      <c r="B33">
        <v>0.47932338364375943</v>
      </c>
      <c r="C33">
        <v>-0.39115156518130328</v>
      </c>
      <c r="D33">
        <v>-0.27717929702706101</v>
      </c>
      <c r="E33">
        <v>-8.0689838308643402E-2</v>
      </c>
      <c r="F33">
        <v>0.25821088358605948</v>
      </c>
      <c r="G33">
        <v>8.844824118290262E-2</v>
      </c>
      <c r="H33">
        <v>0.36391364910139151</v>
      </c>
      <c r="I33">
        <v>0.134767529897033</v>
      </c>
      <c r="J33">
        <v>0.5005188395103346</v>
      </c>
      <c r="K33">
        <v>0.43257334539157449</v>
      </c>
      <c r="L33">
        <v>0.29134712225925341</v>
      </c>
      <c r="M33">
        <v>1.437924333271212E-2</v>
      </c>
      <c r="N33">
        <v>-3.6133011133415487E-2</v>
      </c>
      <c r="O33">
        <v>-0.1998529432103453</v>
      </c>
      <c r="P33">
        <v>-0.29665909471228252</v>
      </c>
      <c r="Q33">
        <v>-0.62745330262603716</v>
      </c>
      <c r="R33">
        <v>-0.58881346241884103</v>
      </c>
      <c r="S33">
        <v>-0.58917333876055977</v>
      </c>
      <c r="T33">
        <v>-0.19857716809036671</v>
      </c>
      <c r="U33">
        <v>2.9299116918537042E-2</v>
      </c>
      <c r="V33">
        <v>0.12092275227982439</v>
      </c>
      <c r="W33">
        <v>-7.8046436134030728E-2</v>
      </c>
      <c r="X33">
        <v>-0.1128878405969829</v>
      </c>
      <c r="Y33">
        <v>0.157549042388581</v>
      </c>
      <c r="Z33">
        <v>0.3643232506074412</v>
      </c>
      <c r="AA33">
        <v>0.8384009915511399</v>
      </c>
      <c r="AB33">
        <v>0.42988161415200921</v>
      </c>
      <c r="AC33">
        <v>0.76597521618145947</v>
      </c>
      <c r="AD33">
        <v>0.58293348223830321</v>
      </c>
      <c r="AE33">
        <v>0.90818435764066408</v>
      </c>
      <c r="AF33">
        <v>1.748248017932212</v>
      </c>
      <c r="AG33">
        <v>0.93445966787118095</v>
      </c>
      <c r="AH33">
        <v>-1.0612811420994599</v>
      </c>
      <c r="AI33">
        <v>2.4078631906433539</v>
      </c>
      <c r="AJ33">
        <v>0.74508335079735843</v>
      </c>
      <c r="AK33">
        <v>2.4905575877015451</v>
      </c>
      <c r="AL33">
        <v>4.6129882257614554</v>
      </c>
      <c r="AM33">
        <v>0.17280682295464089</v>
      </c>
      <c r="AN33">
        <v>-1.1888569324168829</v>
      </c>
      <c r="AO33">
        <v>1.867445600284668</v>
      </c>
      <c r="AP33">
        <v>3.8253981026701069</v>
      </c>
      <c r="AQ33">
        <v>0.78971440399888593</v>
      </c>
      <c r="AR33">
        <v>-0.46397649501821547</v>
      </c>
      <c r="AS33">
        <v>4.4345161917831044</v>
      </c>
      <c r="AT33">
        <v>1.776897199846275</v>
      </c>
      <c r="AU33">
        <v>3.877563504714431</v>
      </c>
      <c r="AV33">
        <v>-0.82442004410293634</v>
      </c>
      <c r="AW33">
        <v>-0.97350815743979524</v>
      </c>
      <c r="AX33">
        <v>1.5401930647486779</v>
      </c>
      <c r="AY33">
        <v>1.821080434661269</v>
      </c>
      <c r="AZ33">
        <v>0.71113368659388243</v>
      </c>
      <c r="BA33">
        <v>0.53444326764076777</v>
      </c>
      <c r="BB33">
        <v>1.5072008820825431</v>
      </c>
      <c r="BC33">
        <v>1.4880607970982</v>
      </c>
      <c r="BD33">
        <v>0.83286340558444749</v>
      </c>
      <c r="BE33">
        <v>0.35286014063646581</v>
      </c>
      <c r="BF33">
        <v>-0.29517208161706782</v>
      </c>
      <c r="BG33">
        <v>0.78186766827894871</v>
      </c>
      <c r="BH33">
        <v>0.21896991204343411</v>
      </c>
      <c r="BI33">
        <v>0.33982766449392438</v>
      </c>
      <c r="BJ33">
        <v>0.23780951351179169</v>
      </c>
      <c r="BK33">
        <v>-1.6958970550977599</v>
      </c>
      <c r="BL33">
        <v>-1.4264150812135199</v>
      </c>
      <c r="BM33">
        <v>-1.011200842931913</v>
      </c>
      <c r="BN33">
        <v>-0.30745822450577981</v>
      </c>
      <c r="BO33">
        <v>-0.83652629055993089</v>
      </c>
      <c r="BP33">
        <v>-5.7706202666480522E-2</v>
      </c>
      <c r="BQ33">
        <v>1.0329316431677571</v>
      </c>
      <c r="BR33">
        <v>-2.3276804360224621</v>
      </c>
      <c r="BS33">
        <v>-0.8917388272403457</v>
      </c>
      <c r="BT33">
        <v>-1.509015058641751</v>
      </c>
      <c r="BU33">
        <v>-0.65393353218308903</v>
      </c>
      <c r="BV33">
        <v>-3.0232830577231771</v>
      </c>
      <c r="BW33">
        <v>-0.99974112319728192</v>
      </c>
      <c r="BX33">
        <v>-0.96045825649113681</v>
      </c>
    </row>
    <row r="34" spans="1:79" ht="15" customHeight="1" x14ac:dyDescent="0.35">
      <c r="A34" s="3" t="s">
        <v>30</v>
      </c>
      <c r="B34">
        <v>130.46155720525789</v>
      </c>
      <c r="C34">
        <v>132.597415771339</v>
      </c>
      <c r="D34">
        <v>132.44291800931521</v>
      </c>
      <c r="E34">
        <v>130.45424089496271</v>
      </c>
      <c r="F34">
        <v>130.46242203263631</v>
      </c>
      <c r="G34">
        <v>130.7346844908725</v>
      </c>
      <c r="H34">
        <v>130.76800357565941</v>
      </c>
      <c r="I34">
        <v>130.7132783914966</v>
      </c>
      <c r="J34">
        <v>134.10440890655431</v>
      </c>
      <c r="K34">
        <v>135.6101747119142</v>
      </c>
      <c r="L34">
        <v>136.07128053915301</v>
      </c>
      <c r="M34">
        <v>136.78784358143491</v>
      </c>
      <c r="N34">
        <v>136.4936906026069</v>
      </c>
      <c r="O34">
        <v>136.69350705655091</v>
      </c>
      <c r="P34">
        <v>135.88692203840199</v>
      </c>
      <c r="Q34">
        <v>135.71881338947921</v>
      </c>
      <c r="R34">
        <v>137.19489841727381</v>
      </c>
      <c r="S34">
        <v>136.77356412910791</v>
      </c>
      <c r="T34">
        <v>136.9298021490732</v>
      </c>
      <c r="U34">
        <v>137.23522305012909</v>
      </c>
      <c r="V34">
        <v>137.2705415866406</v>
      </c>
      <c r="W34">
        <v>137.46780388811791</v>
      </c>
      <c r="X34">
        <v>136.5175614709263</v>
      </c>
      <c r="Y34">
        <v>137.33138300098159</v>
      </c>
      <c r="Z34">
        <v>135.82156532599939</v>
      </c>
      <c r="AA34">
        <v>135.80307079076221</v>
      </c>
      <c r="AB34">
        <v>134.23610411188531</v>
      </c>
      <c r="AC34">
        <v>134.53671166157761</v>
      </c>
      <c r="AD34">
        <v>134.78114471546601</v>
      </c>
      <c r="AE34">
        <v>135.07864892172589</v>
      </c>
      <c r="AF34">
        <v>135.381400548041</v>
      </c>
      <c r="AG34">
        <v>136.74478050977831</v>
      </c>
      <c r="AH34">
        <v>138.6414036133578</v>
      </c>
      <c r="AI34">
        <v>139.68559874575621</v>
      </c>
      <c r="AJ34">
        <v>138.3897605596278</v>
      </c>
      <c r="AK34">
        <v>137.651634100085</v>
      </c>
      <c r="AL34">
        <v>135.6353581397276</v>
      </c>
      <c r="AM34">
        <v>138.54334378568049</v>
      </c>
      <c r="AN34">
        <v>139.7788093003129</v>
      </c>
      <c r="AO34">
        <v>139.40168657778921</v>
      </c>
      <c r="AP34">
        <v>141.52378270333151</v>
      </c>
      <c r="AQ34">
        <v>133.2561196574008</v>
      </c>
      <c r="AR34">
        <v>143.0073807271915</v>
      </c>
      <c r="AS34">
        <v>140.71301193144791</v>
      </c>
      <c r="AT34">
        <v>136.6190767241475</v>
      </c>
      <c r="AU34">
        <v>136.97435868499761</v>
      </c>
      <c r="AV34">
        <v>138.92436791861411</v>
      </c>
      <c r="AW34">
        <v>140.3446875056793</v>
      </c>
      <c r="AX34">
        <v>139.9220359772676</v>
      </c>
      <c r="AY34">
        <v>138.75130143310781</v>
      </c>
      <c r="AZ34">
        <v>139.1163908514043</v>
      </c>
      <c r="BA34">
        <v>137.1646234359637</v>
      </c>
      <c r="BB34">
        <v>137.22838357518091</v>
      </c>
      <c r="BC34">
        <v>139.0772763736378</v>
      </c>
      <c r="BD34">
        <v>139.69505926149239</v>
      </c>
      <c r="BE34">
        <v>140.3871110663402</v>
      </c>
      <c r="BF34">
        <v>140.25869825529301</v>
      </c>
      <c r="BG34">
        <v>140.89267527234301</v>
      </c>
      <c r="BH34">
        <v>141.00419730606669</v>
      </c>
      <c r="BI34">
        <v>139.93727718116679</v>
      </c>
      <c r="BJ34">
        <v>138.6259570772001</v>
      </c>
      <c r="BK34">
        <v>138.0266878566502</v>
      </c>
      <c r="BL34">
        <v>138.18775766898861</v>
      </c>
      <c r="BM34">
        <v>138.07699620891589</v>
      </c>
      <c r="BN34">
        <v>137.8778486045982</v>
      </c>
      <c r="BO34">
        <v>139.2316639062584</v>
      </c>
      <c r="BP34">
        <v>139.6552006295087</v>
      </c>
      <c r="BQ34">
        <v>140.80236607648041</v>
      </c>
      <c r="BR34">
        <v>140.46707159312859</v>
      </c>
      <c r="BS34">
        <v>140.1220496499954</v>
      </c>
      <c r="BT34">
        <v>141.50142689687979</v>
      </c>
      <c r="BU34">
        <v>141.6294679680114</v>
      </c>
      <c r="BV34">
        <v>142.71179604120991</v>
      </c>
      <c r="BW34">
        <v>145.18587443064581</v>
      </c>
      <c r="BX34">
        <v>144.1191379909273</v>
      </c>
    </row>
    <row r="35" spans="1:79" ht="15" customHeight="1" x14ac:dyDescent="0.35">
      <c r="A35" s="5" t="s">
        <v>31</v>
      </c>
      <c r="B35">
        <v>1.94697556828344</v>
      </c>
      <c r="C35">
        <v>1.939971378547606</v>
      </c>
      <c r="D35">
        <v>1.987360088895026</v>
      </c>
      <c r="E35">
        <v>2.0859966620379251</v>
      </c>
      <c r="F35">
        <v>2.0676888887635001</v>
      </c>
      <c r="G35">
        <v>2.1290235410508771</v>
      </c>
      <c r="H35">
        <v>2.0540996353198691</v>
      </c>
      <c r="I35">
        <v>2.0944387962140749</v>
      </c>
      <c r="J35">
        <v>2.1513491472774122</v>
      </c>
      <c r="K35">
        <v>2.065749749949183</v>
      </c>
      <c r="L35">
        <v>1.8646704091526689</v>
      </c>
      <c r="M35">
        <v>1.804524105598112</v>
      </c>
      <c r="N35">
        <v>1.7741960067276119</v>
      </c>
      <c r="O35">
        <v>1.763457018987395</v>
      </c>
      <c r="P35">
        <v>1.844421750201805</v>
      </c>
      <c r="Q35">
        <v>1.8116716837430931</v>
      </c>
      <c r="R35">
        <v>1.800795724323893</v>
      </c>
      <c r="S35">
        <v>1.7048221946625111</v>
      </c>
      <c r="T35">
        <v>1.649114027820801</v>
      </c>
      <c r="U35">
        <v>1.610348745779641</v>
      </c>
      <c r="V35">
        <v>1.5547196922804729</v>
      </c>
      <c r="W35">
        <v>1.5493183709849081</v>
      </c>
      <c r="X35">
        <v>1.525762524355589</v>
      </c>
      <c r="Y35">
        <v>1.611128534651268</v>
      </c>
      <c r="Z35">
        <v>1.645991128262585</v>
      </c>
      <c r="AA35">
        <v>1.571592132478498</v>
      </c>
      <c r="AB35">
        <v>1.6688367119775209</v>
      </c>
      <c r="AC35">
        <v>1.594603688670593</v>
      </c>
      <c r="AD35">
        <v>1.583451638955836</v>
      </c>
      <c r="AE35">
        <v>1.5721565160843169</v>
      </c>
      <c r="AF35">
        <v>1.5589699503087311</v>
      </c>
      <c r="AG35">
        <v>1.53653535445051</v>
      </c>
      <c r="AH35">
        <v>1.742916187581834</v>
      </c>
      <c r="AI35">
        <v>1.5592623727555519</v>
      </c>
      <c r="AJ35">
        <v>1.76885282165854</v>
      </c>
      <c r="AK35">
        <v>1.581975427422744</v>
      </c>
      <c r="AL35">
        <v>1.641962272075201</v>
      </c>
      <c r="AM35">
        <v>1.3753976943680819</v>
      </c>
      <c r="AN35">
        <v>1.34562678555023</v>
      </c>
      <c r="AO35">
        <v>2.1005117000289339</v>
      </c>
      <c r="AP35">
        <v>0.85337383956276369</v>
      </c>
      <c r="AQ35">
        <v>1.29100376281887</v>
      </c>
      <c r="AR35">
        <v>1.639510402379011</v>
      </c>
      <c r="AS35">
        <v>6.560911684512762</v>
      </c>
      <c r="AT35">
        <v>1.7781130729095349</v>
      </c>
      <c r="AU35">
        <v>1.559224472956463</v>
      </c>
      <c r="AV35">
        <v>1.648266319013973</v>
      </c>
      <c r="AW35">
        <v>1.743784678288969</v>
      </c>
      <c r="AX35">
        <v>2.390430622009569</v>
      </c>
      <c r="AY35">
        <v>1.61982953862514</v>
      </c>
      <c r="AZ35">
        <v>1.4763010756883479</v>
      </c>
      <c r="BA35">
        <v>1.507895004462696</v>
      </c>
      <c r="BB35">
        <v>1.5198382921088101</v>
      </c>
      <c r="BC35">
        <v>1.576527004824666</v>
      </c>
      <c r="BD35">
        <v>1.485339149687835</v>
      </c>
      <c r="BE35">
        <v>1.4597719435396099</v>
      </c>
      <c r="BF35">
        <v>1.468244052691799</v>
      </c>
      <c r="BG35">
        <v>1.471420495146651</v>
      </c>
      <c r="BH35">
        <v>1.5338190535852421</v>
      </c>
      <c r="BI35">
        <v>1.497031021979959</v>
      </c>
      <c r="BJ35">
        <v>1.452212904322874</v>
      </c>
      <c r="BK35">
        <v>1.5158906472625731</v>
      </c>
      <c r="BL35">
        <v>1.4839640778588901</v>
      </c>
      <c r="BM35">
        <v>1.495765159647428</v>
      </c>
      <c r="BN35">
        <v>1.470744466160278</v>
      </c>
      <c r="BO35">
        <v>1.4441365021243251</v>
      </c>
      <c r="BP35">
        <v>1.4000733261860741</v>
      </c>
      <c r="BQ35">
        <v>1.3586423708184061</v>
      </c>
      <c r="BR35">
        <v>1.4664219453369129</v>
      </c>
      <c r="BS35">
        <v>1.4125682197429039</v>
      </c>
      <c r="BT35">
        <v>1.4054031292471429</v>
      </c>
      <c r="BU35">
        <v>1.385751729870182</v>
      </c>
      <c r="BV35">
        <v>1.443323932256904</v>
      </c>
      <c r="BW35">
        <v>1.386646857764908</v>
      </c>
      <c r="BX35">
        <v>1.4819446903931821</v>
      </c>
    </row>
    <row r="36" spans="1:79" ht="15" customHeight="1" x14ac:dyDescent="0.35"/>
    <row r="37" spans="1:79" ht="15" customHeight="1" x14ac:dyDescent="0.35">
      <c r="A37" s="1" t="s">
        <v>35</v>
      </c>
      <c r="B37" s="2">
        <v>2016</v>
      </c>
      <c r="C37" s="2">
        <v>2017</v>
      </c>
      <c r="D37" s="2">
        <v>2018</v>
      </c>
      <c r="E37" s="2">
        <v>2019</v>
      </c>
      <c r="F37" s="2" t="s">
        <v>39</v>
      </c>
      <c r="G37" s="2" t="s">
        <v>40</v>
      </c>
      <c r="H37" s="2" t="s">
        <v>41</v>
      </c>
      <c r="I37" s="2" t="s">
        <v>42</v>
      </c>
      <c r="J37" s="2" t="s">
        <v>43</v>
      </c>
      <c r="K37" s="2" t="s">
        <v>44</v>
      </c>
      <c r="L37" s="2" t="s">
        <v>45</v>
      </c>
      <c r="M37" s="2" t="s">
        <v>46</v>
      </c>
      <c r="N37" s="2" t="s">
        <v>47</v>
      </c>
      <c r="O37" s="2" t="s">
        <v>48</v>
      </c>
      <c r="P37" s="2" t="s">
        <v>49</v>
      </c>
      <c r="Q37" s="2" t="s">
        <v>50</v>
      </c>
      <c r="R37" s="2" t="s">
        <v>51</v>
      </c>
      <c r="S37" s="2" t="s">
        <v>52</v>
      </c>
      <c r="T37" s="2" t="s">
        <v>53</v>
      </c>
      <c r="U37" s="2" t="s">
        <v>54</v>
      </c>
      <c r="V37" s="2" t="s">
        <v>55</v>
      </c>
      <c r="W37" s="2" t="s">
        <v>56</v>
      </c>
      <c r="X37" s="2" t="s">
        <v>57</v>
      </c>
      <c r="Y37" s="2" t="s">
        <v>58</v>
      </c>
      <c r="Z37" s="2" t="s">
        <v>59</v>
      </c>
      <c r="AA37" s="2" t="s">
        <v>60</v>
      </c>
      <c r="AB37" s="2" t="s">
        <v>61</v>
      </c>
      <c r="AC37" s="2" t="s">
        <v>62</v>
      </c>
      <c r="AD37" s="2" t="s">
        <v>63</v>
      </c>
      <c r="AE37" s="2" t="s">
        <v>64</v>
      </c>
      <c r="AF37" s="2" t="s">
        <v>65</v>
      </c>
      <c r="AG37" s="2" t="s">
        <v>66</v>
      </c>
      <c r="AH37" s="2" t="s">
        <v>67</v>
      </c>
      <c r="AI37" s="2" t="s">
        <v>68</v>
      </c>
      <c r="AJ37" s="2" t="s">
        <v>69</v>
      </c>
      <c r="AK37" s="2" t="s">
        <v>70</v>
      </c>
      <c r="AL37" s="2" t="s">
        <v>71</v>
      </c>
      <c r="AM37" s="2" t="s">
        <v>72</v>
      </c>
      <c r="AN37" s="2" t="s">
        <v>73</v>
      </c>
      <c r="AO37" s="2" t="s">
        <v>74</v>
      </c>
      <c r="AP37" s="2" t="s">
        <v>75</v>
      </c>
      <c r="AQ37" s="2" t="s">
        <v>76</v>
      </c>
      <c r="AR37" s="2" t="s">
        <v>77</v>
      </c>
      <c r="AS37" s="2" t="s">
        <v>78</v>
      </c>
      <c r="AT37" s="2" t="s">
        <v>79</v>
      </c>
      <c r="AU37" s="2" t="s">
        <v>80</v>
      </c>
      <c r="AV37" s="2" t="s">
        <v>81</v>
      </c>
      <c r="AW37" s="2" t="s">
        <v>82</v>
      </c>
      <c r="AX37" s="2" t="s">
        <v>83</v>
      </c>
      <c r="AY37" s="2" t="s">
        <v>84</v>
      </c>
      <c r="AZ37" s="2" t="s">
        <v>85</v>
      </c>
      <c r="BA37" s="2" t="s">
        <v>86</v>
      </c>
      <c r="BB37" s="2" t="s">
        <v>87</v>
      </c>
      <c r="BC37" s="2" t="s">
        <v>88</v>
      </c>
      <c r="BD37" s="2" t="s">
        <v>89</v>
      </c>
      <c r="BE37" s="2" t="s">
        <v>90</v>
      </c>
      <c r="BF37" s="2" t="s">
        <v>91</v>
      </c>
      <c r="BG37" s="2" t="s">
        <v>92</v>
      </c>
      <c r="BH37" s="2" t="s">
        <v>93</v>
      </c>
      <c r="BI37" s="2" t="s">
        <v>94</v>
      </c>
      <c r="BJ37" s="2" t="s">
        <v>95</v>
      </c>
      <c r="BK37" s="2" t="s">
        <v>96</v>
      </c>
      <c r="BL37" s="2" t="s">
        <v>97</v>
      </c>
      <c r="BM37" s="2" t="s">
        <v>98</v>
      </c>
      <c r="BN37" s="2" t="s">
        <v>99</v>
      </c>
      <c r="BO37" s="2" t="s">
        <v>100</v>
      </c>
      <c r="BP37" s="2" t="s">
        <v>101</v>
      </c>
      <c r="BQ37" s="2" t="s">
        <v>102</v>
      </c>
      <c r="BR37" s="2" t="s">
        <v>103</v>
      </c>
      <c r="BS37" s="2" t="s">
        <v>104</v>
      </c>
      <c r="BT37" s="2" t="s">
        <v>105</v>
      </c>
      <c r="BU37" s="2" t="s">
        <v>106</v>
      </c>
      <c r="BV37" s="2" t="s">
        <v>107</v>
      </c>
      <c r="BW37" s="2" t="s">
        <v>108</v>
      </c>
      <c r="BX37" s="2" t="s">
        <v>109</v>
      </c>
      <c r="BY37" s="2" t="s">
        <v>110</v>
      </c>
      <c r="BZ37" s="116" t="s">
        <v>111</v>
      </c>
    </row>
    <row r="38" spans="1:79" ht="15" customHeight="1" x14ac:dyDescent="0.35">
      <c r="A38" s="5" t="s">
        <v>25</v>
      </c>
      <c r="B38" s="8"/>
      <c r="C38" s="8"/>
      <c r="D38" s="8"/>
      <c r="E38" s="8"/>
      <c r="F38">
        <v>129.42831494031239</v>
      </c>
      <c r="G38">
        <v>133.57876454419889</v>
      </c>
      <c r="H38">
        <v>133.13665312380701</v>
      </c>
      <c r="I38">
        <v>130.57532355192271</v>
      </c>
      <c r="J38">
        <v>133.68967429016089</v>
      </c>
      <c r="K38">
        <v>135.91753681026799</v>
      </c>
      <c r="L38">
        <v>136.54208772030779</v>
      </c>
      <c r="M38">
        <v>136.23045411056401</v>
      </c>
      <c r="N38">
        <v>136.1290525751823</v>
      </c>
      <c r="O38">
        <v>135.90717798760591</v>
      </c>
      <c r="P38">
        <v>135.82731332100079</v>
      </c>
      <c r="Q38">
        <v>134.58041406605679</v>
      </c>
      <c r="R38">
        <v>134.58069824823451</v>
      </c>
      <c r="S38">
        <v>134.12232917100351</v>
      </c>
      <c r="T38">
        <v>133.38291996286449</v>
      </c>
      <c r="U38">
        <v>132.2079408374745</v>
      </c>
      <c r="V38">
        <v>131.8700146647721</v>
      </c>
      <c r="W38">
        <v>131.44438871667859</v>
      </c>
      <c r="X38">
        <v>130.4202906450424</v>
      </c>
      <c r="Y38">
        <v>132.17113549648471</v>
      </c>
      <c r="Z38">
        <v>130.86404214605929</v>
      </c>
      <c r="AA38">
        <v>129.94667894967299</v>
      </c>
      <c r="AB38">
        <v>129.796331162229</v>
      </c>
      <c r="AC38">
        <v>128.6143049243</v>
      </c>
      <c r="AD38">
        <v>128.75315855119791</v>
      </c>
      <c r="AE38">
        <v>129.14794141954749</v>
      </c>
      <c r="AF38">
        <v>129.85815984214989</v>
      </c>
      <c r="AG38">
        <v>130.649545216409</v>
      </c>
      <c r="AH38">
        <v>131.74840474857811</v>
      </c>
      <c r="AI38">
        <v>132.02686335031481</v>
      </c>
      <c r="AJ38">
        <v>132.30609323492379</v>
      </c>
      <c r="AK38">
        <v>131.79146117749119</v>
      </c>
      <c r="AL38">
        <v>131.1860635362286</v>
      </c>
      <c r="AM38">
        <v>130.57426044535219</v>
      </c>
      <c r="AN38">
        <v>131.2934096566633</v>
      </c>
      <c r="AO38">
        <v>131.94153140798031</v>
      </c>
      <c r="AP38">
        <v>132.08432787068239</v>
      </c>
      <c r="AQ38">
        <v>132.62739625993211</v>
      </c>
      <c r="AR38">
        <v>133.13308843777889</v>
      </c>
      <c r="AS38">
        <v>133.87992440986841</v>
      </c>
      <c r="AT38">
        <v>134.10541389949569</v>
      </c>
      <c r="AU38">
        <v>132.54499917834431</v>
      </c>
      <c r="AV38">
        <v>132.38189110121201</v>
      </c>
      <c r="AW38">
        <v>134.17476507247409</v>
      </c>
      <c r="AX38">
        <v>135.0368099884617</v>
      </c>
      <c r="AY38">
        <v>135.90350575462989</v>
      </c>
      <c r="AZ38">
        <v>136.12984850870521</v>
      </c>
      <c r="BA38">
        <v>136.143811768147</v>
      </c>
      <c r="BB38">
        <v>136.21437055761939</v>
      </c>
      <c r="BC38">
        <v>136.5587153390216</v>
      </c>
      <c r="BD38">
        <v>136.8403864333776</v>
      </c>
      <c r="BE38">
        <v>137.22165421585029</v>
      </c>
      <c r="BF38">
        <v>136.77384770958579</v>
      </c>
      <c r="BG38">
        <v>136.60033635562669</v>
      </c>
      <c r="BH38">
        <v>136.68758603182539</v>
      </c>
      <c r="BI38">
        <v>135.50936837983559</v>
      </c>
      <c r="BJ38">
        <v>134.76105404632099</v>
      </c>
      <c r="BK38">
        <v>134.55901067586669</v>
      </c>
      <c r="BL38">
        <v>134.35792981546291</v>
      </c>
      <c r="BM38">
        <v>134.02519775244249</v>
      </c>
      <c r="BN38">
        <v>135.00827981675121</v>
      </c>
      <c r="BO38">
        <v>136.09755612652481</v>
      </c>
      <c r="BP38">
        <v>136.3900958721789</v>
      </c>
      <c r="BQ38">
        <v>136.90217609882581</v>
      </c>
      <c r="BR38">
        <v>137.18613074932281</v>
      </c>
      <c r="BS38">
        <v>137.015317129484</v>
      </c>
      <c r="BT38">
        <v>136.80392197560491</v>
      </c>
      <c r="BU38">
        <v>136.94292571449719</v>
      </c>
      <c r="BV38">
        <v>136.85526828272091</v>
      </c>
      <c r="BW38">
        <v>137.9758777374139</v>
      </c>
      <c r="BX38">
        <v>139.55613891294021</v>
      </c>
      <c r="BY38">
        <v>135.01758154119869</v>
      </c>
      <c r="BZ38">
        <v>135.02678318570241</v>
      </c>
      <c r="CA38">
        <v>139.784425815064</v>
      </c>
    </row>
    <row r="39" spans="1:79" ht="15" customHeight="1" x14ac:dyDescent="0.35">
      <c r="A39" s="6" t="s">
        <v>26</v>
      </c>
      <c r="B39" s="8"/>
      <c r="C39" s="8"/>
      <c r="D39" s="8"/>
      <c r="E39" s="8"/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</row>
    <row r="40" spans="1:79" ht="15" customHeight="1" x14ac:dyDescent="0.35">
      <c r="A40" s="4" t="s">
        <v>27</v>
      </c>
      <c r="B40" s="8"/>
      <c r="C40" s="8"/>
      <c r="D40" s="8"/>
      <c r="E40" s="8"/>
      <c r="F40">
        <v>0.26191256494539061</v>
      </c>
      <c r="G40">
        <v>0.45378474122676948</v>
      </c>
      <c r="H40">
        <v>0.70216268110624469</v>
      </c>
      <c r="I40">
        <v>0.5446900542595472</v>
      </c>
      <c r="J40">
        <v>0.6326220907762945</v>
      </c>
      <c r="K40">
        <v>0.67397507687007874</v>
      </c>
      <c r="L40">
        <v>0.29998557021019678</v>
      </c>
      <c r="M40">
        <v>0.45998063416340068</v>
      </c>
      <c r="N40">
        <v>0.2445193997087074</v>
      </c>
      <c r="O40">
        <v>-0.74262510857923303</v>
      </c>
      <c r="P40">
        <v>-0.85970183546174894</v>
      </c>
      <c r="Q40">
        <v>-1.073084050286411</v>
      </c>
      <c r="R40">
        <v>-0.41821787166816188</v>
      </c>
      <c r="S40">
        <v>-0.43359002997351581</v>
      </c>
      <c r="T40">
        <v>-0.18836499705790291</v>
      </c>
      <c r="U40">
        <v>-0.42501382938075949</v>
      </c>
      <c r="V40">
        <v>-0.38957206431831543</v>
      </c>
      <c r="W40">
        <v>-0.68408201028663029</v>
      </c>
      <c r="X40">
        <v>-0.80241223076004076</v>
      </c>
      <c r="Y40">
        <v>-0.62791517048856349</v>
      </c>
      <c r="Z40">
        <v>-0.73801771751567458</v>
      </c>
      <c r="AA40">
        <v>-0.24301437570443341</v>
      </c>
      <c r="AB40">
        <v>-0.68128769040558268</v>
      </c>
      <c r="AC40">
        <v>-0.71071463835768611</v>
      </c>
      <c r="AD40">
        <v>-0.30773601334490758</v>
      </c>
      <c r="AE40">
        <v>-8.5054456655939248E-2</v>
      </c>
      <c r="AF40">
        <v>8.2903834311679248E-2</v>
      </c>
      <c r="AG40">
        <v>-0.22885201932780319</v>
      </c>
      <c r="AH40">
        <v>-0.35636694867039859</v>
      </c>
      <c r="AI40">
        <v>-1.5702718221873511</v>
      </c>
      <c r="AJ40">
        <v>-2.4411513558091258</v>
      </c>
      <c r="AK40">
        <v>-1.6950548054336709</v>
      </c>
      <c r="AL40">
        <v>-1.5097445438304651</v>
      </c>
      <c r="AM40">
        <v>-1.3145709597572759</v>
      </c>
      <c r="AN40">
        <v>-1.3980934207942539</v>
      </c>
      <c r="AO40">
        <v>-1.6413345504954859</v>
      </c>
      <c r="AP40">
        <v>-1.8996952395100379</v>
      </c>
      <c r="AQ40">
        <v>-0.86004256419980152</v>
      </c>
      <c r="AR40">
        <v>-2.895401017248588</v>
      </c>
      <c r="AS40">
        <v>-1.3104586777642451</v>
      </c>
      <c r="AT40">
        <v>-1.5866155213238069</v>
      </c>
      <c r="AU40">
        <v>-1.4902306197959381</v>
      </c>
      <c r="AV40">
        <v>-0.99570189015781807</v>
      </c>
      <c r="AW40">
        <v>-1.443241324246429</v>
      </c>
      <c r="AX40">
        <v>-4.0091704134401311</v>
      </c>
      <c r="AY40">
        <v>0.67517029721352628</v>
      </c>
      <c r="AZ40">
        <v>-0.2688974873478287</v>
      </c>
      <c r="BA40">
        <v>0.26834764090867219</v>
      </c>
      <c r="BB40">
        <v>-0.56872407229371902</v>
      </c>
      <c r="BC40">
        <v>-3.4062652929662818E-2</v>
      </c>
      <c r="BD40">
        <v>8.7236827521650184E-2</v>
      </c>
      <c r="BE40">
        <v>2.5692241409274171E-2</v>
      </c>
      <c r="BF40">
        <v>-0.52823436647682342</v>
      </c>
      <c r="BG40">
        <v>-2.5001739764547889E-2</v>
      </c>
      <c r="BH40">
        <v>-0.21881835553298859</v>
      </c>
      <c r="BI40">
        <v>-6.3764999688231683E-2</v>
      </c>
      <c r="BJ40">
        <v>1.767916911302336E-2</v>
      </c>
      <c r="BK40">
        <v>-0.32115007638154219</v>
      </c>
      <c r="BL40">
        <v>-0.45485974433375992</v>
      </c>
      <c r="BM40">
        <v>-0.40369485994858678</v>
      </c>
      <c r="BN40">
        <v>-1.061792142657765</v>
      </c>
      <c r="BO40">
        <v>0.2890470537114993</v>
      </c>
      <c r="BP40">
        <v>0.73509705189866281</v>
      </c>
      <c r="BQ40">
        <v>0.79246533280320364</v>
      </c>
      <c r="BR40">
        <v>0.45080783575511418</v>
      </c>
      <c r="BS40">
        <v>0.28556219489152568</v>
      </c>
      <c r="BT40">
        <v>-1.071663566398229E-2</v>
      </c>
      <c r="BU40">
        <v>1.8236431655234639</v>
      </c>
      <c r="BV40">
        <v>1.9106604970697281</v>
      </c>
      <c r="BW40">
        <v>2.023236341532169</v>
      </c>
      <c r="BX40">
        <v>1.196336472851641</v>
      </c>
    </row>
    <row r="41" spans="1:79" ht="15" customHeight="1" x14ac:dyDescent="0.35">
      <c r="A41" s="3" t="s">
        <v>28</v>
      </c>
      <c r="B41" s="8"/>
      <c r="C41" s="8"/>
      <c r="D41" s="8"/>
      <c r="E41" s="8"/>
      <c r="F41">
        <v>-2.2010027125279521</v>
      </c>
      <c r="G41">
        <v>-3.06484101577152</v>
      </c>
      <c r="H41">
        <v>-3.145654005622561</v>
      </c>
      <c r="I41">
        <v>-2.9210052786038432</v>
      </c>
      <c r="J41">
        <v>-2.7289388329773199</v>
      </c>
      <c r="K41">
        <v>-2.5043995600931619</v>
      </c>
      <c r="L41">
        <v>-2.7357229671841878</v>
      </c>
      <c r="M41">
        <v>-2.1909368437019339</v>
      </c>
      <c r="N41">
        <v>-2.365561775279986</v>
      </c>
      <c r="O41">
        <v>-2.525702542105535</v>
      </c>
      <c r="P41">
        <v>-2.3639734576575222</v>
      </c>
      <c r="Q41">
        <v>-2.502624587935713</v>
      </c>
      <c r="R41">
        <v>-2.706278588283709</v>
      </c>
      <c r="S41">
        <v>-2.3690859436969731</v>
      </c>
      <c r="T41">
        <v>-2.2843950257860679</v>
      </c>
      <c r="U41">
        <v>-1.922307162254469</v>
      </c>
      <c r="V41">
        <v>-1.4326136449178359</v>
      </c>
      <c r="W41">
        <v>-2.0667656001811281</v>
      </c>
      <c r="X41">
        <v>-2.2531676823046212</v>
      </c>
      <c r="Y41">
        <v>-2.3912112043729512</v>
      </c>
      <c r="Z41">
        <v>-2.3637329297634442</v>
      </c>
      <c r="AA41">
        <v>-2.1547661808897658</v>
      </c>
      <c r="AB41">
        <v>-2.2458793586714449</v>
      </c>
      <c r="AC41">
        <v>-2.494729250098132</v>
      </c>
      <c r="AD41">
        <v>-2.8254101926307129</v>
      </c>
      <c r="AE41">
        <v>-3.2549506504205401</v>
      </c>
      <c r="AF41">
        <v>-3.2585263288756612</v>
      </c>
      <c r="AG41">
        <v>-3.309356155349207</v>
      </c>
      <c r="AH41">
        <v>-3.2911148102917021</v>
      </c>
      <c r="AI41">
        <v>-3.2521834373916358</v>
      </c>
      <c r="AJ41">
        <v>-4.0955985205450389</v>
      </c>
      <c r="AK41">
        <v>-3.6724407222777269</v>
      </c>
      <c r="AL41">
        <v>-3.9993670648849928</v>
      </c>
      <c r="AM41">
        <v>-4.1359866428433492</v>
      </c>
      <c r="AN41">
        <v>-3.3468105579813141</v>
      </c>
      <c r="AO41">
        <v>-4.0241319403161242</v>
      </c>
      <c r="AP41">
        <v>-4.2846203676350143</v>
      </c>
      <c r="AQ41">
        <v>-4.8594687685671119</v>
      </c>
      <c r="AR41">
        <v>-3.6119125892999482</v>
      </c>
      <c r="AS41">
        <v>-2.7523195474706479</v>
      </c>
      <c r="AT41">
        <v>-4.6527462022333452</v>
      </c>
      <c r="AU41">
        <v>-4.3040902946660538</v>
      </c>
      <c r="AV41">
        <v>-3.7118963885540102</v>
      </c>
      <c r="AW41">
        <v>-3.2132349978962509</v>
      </c>
      <c r="AX41">
        <v>-4.7271959454680257</v>
      </c>
      <c r="AY41">
        <v>-3.2181035561499698</v>
      </c>
      <c r="AZ41">
        <v>-3.697689166931752</v>
      </c>
      <c r="BA41">
        <v>-3.4706992318733678</v>
      </c>
      <c r="BB41">
        <v>-3.465604178026553</v>
      </c>
      <c r="BC41">
        <v>-3.3592616766010219</v>
      </c>
      <c r="BD41">
        <v>-3.2705076921195371</v>
      </c>
      <c r="BE41">
        <v>-3.013974710803808</v>
      </c>
      <c r="BF41">
        <v>-2.5484283454986212</v>
      </c>
      <c r="BG41">
        <v>-2.4139635159492059</v>
      </c>
      <c r="BH41">
        <v>-2.3102367647216231</v>
      </c>
      <c r="BI41">
        <v>-0.80506698700264678</v>
      </c>
      <c r="BJ41">
        <v>0.16853497188375849</v>
      </c>
      <c r="BK41">
        <v>0.81722185805901404</v>
      </c>
      <c r="BL41">
        <v>0.63490683788725732</v>
      </c>
      <c r="BM41">
        <v>1.7234456319132221</v>
      </c>
      <c r="BN41">
        <v>1.160177654590427</v>
      </c>
      <c r="BO41">
        <v>-0.25299892040501959</v>
      </c>
      <c r="BP41">
        <v>0.87555503553491576</v>
      </c>
      <c r="BQ41">
        <v>0.77345278113378413</v>
      </c>
      <c r="BR41">
        <v>9.5649306590416927E-2</v>
      </c>
      <c r="BS41">
        <v>0.75967120031165791</v>
      </c>
      <c r="BT41">
        <v>0.2152288462621357</v>
      </c>
      <c r="BU41">
        <v>1.157824231038262</v>
      </c>
      <c r="BV41">
        <v>0.88335955616133788</v>
      </c>
      <c r="BW41">
        <v>2.3214780547063749</v>
      </c>
      <c r="BX41">
        <v>0.3134739488113496</v>
      </c>
    </row>
    <row r="42" spans="1:79" ht="15" customHeight="1" x14ac:dyDescent="0.35">
      <c r="A42" s="4" t="s">
        <v>29</v>
      </c>
      <c r="B42" s="8"/>
      <c r="C42" s="8"/>
      <c r="D42" s="8"/>
      <c r="E42" s="8"/>
      <c r="F42">
        <v>2.2010027125279521</v>
      </c>
      <c r="G42">
        <v>3.06484101577152</v>
      </c>
      <c r="H42">
        <v>3.145654005622561</v>
      </c>
      <c r="I42">
        <v>2.9210052786038432</v>
      </c>
      <c r="J42">
        <v>2.7289388329773199</v>
      </c>
      <c r="K42">
        <v>2.5043995600931619</v>
      </c>
      <c r="L42">
        <v>2.7357229671841878</v>
      </c>
      <c r="M42">
        <v>2.1909368437019339</v>
      </c>
      <c r="N42">
        <v>2.365561775279986</v>
      </c>
      <c r="O42">
        <v>2.525702542105535</v>
      </c>
      <c r="P42">
        <v>2.3639734576575222</v>
      </c>
      <c r="Q42">
        <v>2.502624587935713</v>
      </c>
      <c r="R42">
        <v>2.706278588283709</v>
      </c>
      <c r="S42">
        <v>2.3690859436969731</v>
      </c>
      <c r="T42">
        <v>2.2843950257860679</v>
      </c>
      <c r="U42">
        <v>1.922307162254469</v>
      </c>
      <c r="V42">
        <v>1.4326136449178359</v>
      </c>
      <c r="W42">
        <v>2.0667656001811281</v>
      </c>
      <c r="X42">
        <v>2.2531676823046212</v>
      </c>
      <c r="Y42">
        <v>2.3912112043729512</v>
      </c>
      <c r="Z42">
        <v>2.3637329297634442</v>
      </c>
      <c r="AA42">
        <v>2.1547661808897658</v>
      </c>
      <c r="AB42">
        <v>2.2458793586714449</v>
      </c>
      <c r="AC42">
        <v>2.494729250098132</v>
      </c>
      <c r="AD42">
        <v>2.8254101926307129</v>
      </c>
      <c r="AE42">
        <v>3.2549506504205401</v>
      </c>
      <c r="AF42">
        <v>3.2585263288756612</v>
      </c>
      <c r="AG42">
        <v>3.309356155349207</v>
      </c>
      <c r="AH42">
        <v>3.2911148102917021</v>
      </c>
      <c r="AI42">
        <v>3.2521834373916358</v>
      </c>
      <c r="AJ42">
        <v>4.0955985205450389</v>
      </c>
      <c r="AK42">
        <v>3.6724407222777269</v>
      </c>
      <c r="AL42">
        <v>3.9993670648849928</v>
      </c>
      <c r="AM42">
        <v>4.1359866428433492</v>
      </c>
      <c r="AN42">
        <v>3.3468105579813141</v>
      </c>
      <c r="AO42">
        <v>4.0241319403161242</v>
      </c>
      <c r="AP42">
        <v>4.2846203676350143</v>
      </c>
      <c r="AQ42">
        <v>4.8594687685671119</v>
      </c>
      <c r="AR42">
        <v>3.6119125892999482</v>
      </c>
      <c r="AS42">
        <v>2.7523195474706479</v>
      </c>
      <c r="AT42">
        <v>4.6527462022333452</v>
      </c>
      <c r="AU42">
        <v>4.3040902946660538</v>
      </c>
      <c r="AV42">
        <v>3.7118963885540102</v>
      </c>
      <c r="AW42">
        <v>3.2132349978962509</v>
      </c>
      <c r="AX42">
        <v>4.7271959454680257</v>
      </c>
      <c r="AY42">
        <v>3.2181035561499698</v>
      </c>
      <c r="AZ42">
        <v>3.697689166931752</v>
      </c>
      <c r="BA42">
        <v>3.4706992318733678</v>
      </c>
      <c r="BB42">
        <v>3.465604178026553</v>
      </c>
      <c r="BC42">
        <v>3.3592616766010219</v>
      </c>
      <c r="BD42">
        <v>3.2705076921195371</v>
      </c>
      <c r="BE42">
        <v>3.013974710803808</v>
      </c>
      <c r="BF42">
        <v>2.5484283454986212</v>
      </c>
      <c r="BG42">
        <v>2.4139635159492059</v>
      </c>
      <c r="BH42">
        <v>2.3102367647216231</v>
      </c>
      <c r="BI42">
        <v>0.80506698700264678</v>
      </c>
      <c r="BJ42">
        <v>-0.16853497188375849</v>
      </c>
      <c r="BK42">
        <v>-0.81722185805901404</v>
      </c>
      <c r="BL42">
        <v>-0.63490683788725732</v>
      </c>
      <c r="BM42">
        <v>-1.7234456319132221</v>
      </c>
      <c r="BN42">
        <v>-1.160177654590427</v>
      </c>
      <c r="BO42">
        <v>0.25299892040501959</v>
      </c>
      <c r="BP42">
        <v>-0.87555503553491576</v>
      </c>
      <c r="BQ42">
        <v>-0.77345278113378413</v>
      </c>
      <c r="BR42">
        <v>-9.5649306590416927E-2</v>
      </c>
      <c r="BS42">
        <v>-0.75967120031165791</v>
      </c>
      <c r="BT42">
        <v>-0.2152288462621357</v>
      </c>
      <c r="BU42">
        <v>-1.157824231038262</v>
      </c>
      <c r="BV42">
        <v>-0.88335955616133788</v>
      </c>
      <c r="BW42">
        <v>-2.3214780547063749</v>
      </c>
      <c r="BX42">
        <v>-0.3134739488113496</v>
      </c>
    </row>
    <row r="43" spans="1:79" ht="15" customHeight="1" x14ac:dyDescent="0.35">
      <c r="A43" s="3" t="s">
        <v>30</v>
      </c>
      <c r="B43" s="8"/>
      <c r="C43" s="8"/>
      <c r="D43" s="8"/>
      <c r="E43" s="8"/>
      <c r="F43">
        <v>129.69022750525781</v>
      </c>
      <c r="G43">
        <v>134.03254928542569</v>
      </c>
      <c r="H43">
        <v>133.8388158049132</v>
      </c>
      <c r="I43">
        <v>131.1200136061822</v>
      </c>
      <c r="J43">
        <v>134.32229638093719</v>
      </c>
      <c r="K43">
        <v>136.5915118871381</v>
      </c>
      <c r="L43">
        <v>136.84207329051799</v>
      </c>
      <c r="M43">
        <v>136.69043474472741</v>
      </c>
      <c r="N43">
        <v>136.37357197489101</v>
      </c>
      <c r="O43">
        <v>135.16455287902659</v>
      </c>
      <c r="P43">
        <v>134.96761148553901</v>
      </c>
      <c r="Q43">
        <v>133.50733001577041</v>
      </c>
      <c r="R43">
        <v>134.16248037656641</v>
      </c>
      <c r="S43">
        <v>133.68873914103</v>
      </c>
      <c r="T43">
        <v>133.19455496580659</v>
      </c>
      <c r="U43">
        <v>131.78292700809371</v>
      </c>
      <c r="V43">
        <v>131.48044260045381</v>
      </c>
      <c r="W43">
        <v>130.76030670639199</v>
      </c>
      <c r="X43">
        <v>129.61787841428239</v>
      </c>
      <c r="Y43">
        <v>131.54322032599609</v>
      </c>
      <c r="Z43">
        <v>130.12602442854359</v>
      </c>
      <c r="AA43">
        <v>129.70366457396861</v>
      </c>
      <c r="AB43">
        <v>129.11504347182341</v>
      </c>
      <c r="AC43">
        <v>127.9035902859423</v>
      </c>
      <c r="AD43">
        <v>128.44542253785301</v>
      </c>
      <c r="AE43">
        <v>129.0628869628915</v>
      </c>
      <c r="AF43">
        <v>129.9410636764616</v>
      </c>
      <c r="AG43">
        <v>130.42069319708119</v>
      </c>
      <c r="AH43">
        <v>131.39203779990771</v>
      </c>
      <c r="AI43">
        <v>130.4565915281274</v>
      </c>
      <c r="AJ43">
        <v>129.86494187911461</v>
      </c>
      <c r="AK43">
        <v>130.09640637205749</v>
      </c>
      <c r="AL43">
        <v>129.67631899239819</v>
      </c>
      <c r="AM43">
        <v>129.25968948559489</v>
      </c>
      <c r="AN43">
        <v>129.8953162358691</v>
      </c>
      <c r="AO43">
        <v>130.30019685748479</v>
      </c>
      <c r="AP43">
        <v>130.18463263117241</v>
      </c>
      <c r="AQ43">
        <v>131.76735369573231</v>
      </c>
      <c r="AR43">
        <v>130.23768742053031</v>
      </c>
      <c r="AS43">
        <v>132.56946573210419</v>
      </c>
      <c r="AT43">
        <v>132.51879837817191</v>
      </c>
      <c r="AU43">
        <v>131.05476855854829</v>
      </c>
      <c r="AV43">
        <v>131.38618921105419</v>
      </c>
      <c r="AW43">
        <v>132.73152374822769</v>
      </c>
      <c r="AX43">
        <v>131.02763957502151</v>
      </c>
      <c r="AY43">
        <v>136.57867605184339</v>
      </c>
      <c r="AZ43">
        <v>135.86095102135729</v>
      </c>
      <c r="BA43">
        <v>136.4121594090557</v>
      </c>
      <c r="BB43">
        <v>135.6456464853257</v>
      </c>
      <c r="BC43">
        <v>136.524652686092</v>
      </c>
      <c r="BD43">
        <v>136.9276232608992</v>
      </c>
      <c r="BE43">
        <v>137.2473464572596</v>
      </c>
      <c r="BF43">
        <v>136.245613343109</v>
      </c>
      <c r="BG43">
        <v>136.5753346158622</v>
      </c>
      <c r="BH43">
        <v>136.46876767629249</v>
      </c>
      <c r="BI43">
        <v>135.44560338014739</v>
      </c>
      <c r="BJ43">
        <v>134.7787332154341</v>
      </c>
      <c r="BK43">
        <v>134.23786059948509</v>
      </c>
      <c r="BL43">
        <v>133.90307007112909</v>
      </c>
      <c r="BM43">
        <v>133.62150289249391</v>
      </c>
      <c r="BN43">
        <v>133.94648767409339</v>
      </c>
      <c r="BO43">
        <v>136.38660318023631</v>
      </c>
      <c r="BP43">
        <v>137.12519292407751</v>
      </c>
      <c r="BQ43">
        <v>137.69464143162901</v>
      </c>
      <c r="BR43">
        <v>137.6369385850779</v>
      </c>
      <c r="BS43">
        <v>137.3008793243755</v>
      </c>
      <c r="BT43">
        <v>136.79320533994101</v>
      </c>
      <c r="BU43">
        <v>138.76656888002071</v>
      </c>
      <c r="BV43">
        <v>138.76592877979061</v>
      </c>
      <c r="BW43">
        <v>139.99911407894609</v>
      </c>
      <c r="BX43">
        <v>140.7524753857918</v>
      </c>
    </row>
    <row r="44" spans="1:79" ht="15" customHeight="1" x14ac:dyDescent="0.35">
      <c r="A44" s="5" t="s">
        <v>31</v>
      </c>
      <c r="B44" s="8"/>
      <c r="C44" s="8"/>
      <c r="D44" s="8"/>
      <c r="E44" s="8"/>
      <c r="F44">
        <v>1.553750055840317</v>
      </c>
      <c r="G44">
        <v>1.485294354276631</v>
      </c>
      <c r="H44">
        <v>1.426191281614033</v>
      </c>
      <c r="I44">
        <v>1.435477196209441</v>
      </c>
      <c r="J44">
        <v>1.482293720320448</v>
      </c>
      <c r="K44">
        <v>1.4226569614907669</v>
      </c>
      <c r="L44">
        <v>1.2828010089861559</v>
      </c>
      <c r="M44">
        <v>1.2352950716015381</v>
      </c>
      <c r="N44">
        <v>1.2857046476824261</v>
      </c>
      <c r="O44">
        <v>1.3461806356873189</v>
      </c>
      <c r="P44">
        <v>1.383923470815378</v>
      </c>
      <c r="Q44">
        <v>1.3796446716501209</v>
      </c>
      <c r="R44">
        <v>1.3980220514911521</v>
      </c>
      <c r="S44">
        <v>1.408067787290352</v>
      </c>
      <c r="T44">
        <v>1.318137563634</v>
      </c>
      <c r="U44">
        <v>1.2616638869940771</v>
      </c>
      <c r="V44">
        <v>1.263040522133736</v>
      </c>
      <c r="W44">
        <v>1.2571646443397619</v>
      </c>
      <c r="X44">
        <v>1.299682947121543</v>
      </c>
      <c r="Y44">
        <v>1.3501028127277639</v>
      </c>
      <c r="Z44">
        <v>1.372456284629064</v>
      </c>
      <c r="AA44">
        <v>1.369666368677223</v>
      </c>
      <c r="AB44">
        <v>1.353455023911573</v>
      </c>
      <c r="AC44">
        <v>1.3976518805174849</v>
      </c>
      <c r="AD44">
        <v>1.382371026340129</v>
      </c>
      <c r="AE44">
        <v>1.3940531475807061</v>
      </c>
      <c r="AF44">
        <v>1.3892160863099721</v>
      </c>
      <c r="AG44">
        <v>1.3796953975670201</v>
      </c>
      <c r="AH44">
        <v>1.350395839846569</v>
      </c>
      <c r="AI44">
        <v>1.263023755748254</v>
      </c>
      <c r="AJ44">
        <v>1.268937590525933</v>
      </c>
      <c r="AK44">
        <v>1.298341781715346</v>
      </c>
      <c r="AL44">
        <v>1.303281798225133</v>
      </c>
      <c r="AM44">
        <v>1.311072728370767</v>
      </c>
      <c r="AN44">
        <v>1.3663849107164761</v>
      </c>
      <c r="AO44">
        <v>1.3727690125684091</v>
      </c>
      <c r="AP44">
        <v>1.352145535855428</v>
      </c>
      <c r="AQ44">
        <v>1.349645749081916</v>
      </c>
      <c r="AR44">
        <v>1.5397835182753949</v>
      </c>
      <c r="AS44">
        <v>1.633340194682676</v>
      </c>
      <c r="AT44">
        <v>1.29804195767417</v>
      </c>
      <c r="AU44">
        <v>1.300657765415806</v>
      </c>
      <c r="AV44">
        <v>1.291102771040634</v>
      </c>
      <c r="AW44">
        <v>1.230574545129038</v>
      </c>
      <c r="AX44">
        <v>1.2826558556481771</v>
      </c>
      <c r="AY44">
        <v>1.327492258382825</v>
      </c>
      <c r="AZ44">
        <v>1.3654908767596221</v>
      </c>
      <c r="BA44">
        <v>1.3091644105283751</v>
      </c>
      <c r="BB44">
        <v>1.288655993240823</v>
      </c>
      <c r="BC44">
        <v>1.2973333311207651</v>
      </c>
      <c r="BD44">
        <v>1.303482578652331</v>
      </c>
      <c r="BE44">
        <v>1.309980487418142</v>
      </c>
      <c r="BF44">
        <v>1.326788882706446</v>
      </c>
      <c r="BG44">
        <v>1.3090281699805519</v>
      </c>
      <c r="BH44">
        <v>1.2974923977120481</v>
      </c>
      <c r="BI44">
        <v>1.3547198560518241</v>
      </c>
      <c r="BJ44">
        <v>1.366632140195372</v>
      </c>
      <c r="BK44">
        <v>1.343517286644915</v>
      </c>
      <c r="BL44">
        <v>1.3464263950520281</v>
      </c>
      <c r="BM44">
        <v>1.334083694482215</v>
      </c>
      <c r="BN44">
        <v>1.3113779501637759</v>
      </c>
      <c r="BO44">
        <v>1.3019143606839181</v>
      </c>
      <c r="BP44">
        <v>1.2983427409359261</v>
      </c>
      <c r="BQ44">
        <v>1.3100019774250029</v>
      </c>
      <c r="BR44">
        <v>1.29338758763058</v>
      </c>
      <c r="BS44">
        <v>1.30491577493553</v>
      </c>
      <c r="BT44">
        <v>1.307132263624085</v>
      </c>
      <c r="BU44">
        <v>1.2917670507220329</v>
      </c>
      <c r="BV44">
        <v>1.310833473357417</v>
      </c>
      <c r="BW44">
        <v>1.3258542712156249</v>
      </c>
      <c r="BX44">
        <v>1.3207741621022779</v>
      </c>
    </row>
    <row r="45" spans="1:79" ht="15" customHeight="1" x14ac:dyDescent="0.35"/>
    <row r="46" spans="1:79" ht="15" customHeight="1" x14ac:dyDescent="0.35">
      <c r="A46" s="1" t="s">
        <v>36</v>
      </c>
      <c r="B46" s="2">
        <v>2016</v>
      </c>
      <c r="C46" s="2">
        <v>2017</v>
      </c>
      <c r="D46" s="2">
        <v>2018</v>
      </c>
      <c r="E46" s="2">
        <v>2019</v>
      </c>
      <c r="F46" s="2" t="s">
        <v>39</v>
      </c>
      <c r="G46" s="2" t="s">
        <v>40</v>
      </c>
      <c r="H46" s="2" t="s">
        <v>41</v>
      </c>
      <c r="I46" s="2" t="s">
        <v>42</v>
      </c>
      <c r="J46" s="2" t="s">
        <v>43</v>
      </c>
      <c r="K46" s="2" t="s">
        <v>44</v>
      </c>
      <c r="L46" s="2" t="s">
        <v>45</v>
      </c>
      <c r="M46" s="2" t="s">
        <v>46</v>
      </c>
      <c r="N46" s="2" t="s">
        <v>47</v>
      </c>
      <c r="O46" s="2" t="s">
        <v>48</v>
      </c>
      <c r="P46" s="2" t="s">
        <v>49</v>
      </c>
      <c r="Q46" s="2" t="s">
        <v>50</v>
      </c>
      <c r="R46" s="2" t="s">
        <v>51</v>
      </c>
      <c r="S46" s="2" t="s">
        <v>52</v>
      </c>
      <c r="T46" s="2" t="s">
        <v>53</v>
      </c>
      <c r="U46" s="2" t="s">
        <v>54</v>
      </c>
      <c r="V46" s="2" t="s">
        <v>55</v>
      </c>
      <c r="W46" s="2" t="s">
        <v>56</v>
      </c>
      <c r="X46" s="2" t="s">
        <v>57</v>
      </c>
      <c r="Y46" s="2" t="s">
        <v>58</v>
      </c>
      <c r="Z46" s="2" t="s">
        <v>59</v>
      </c>
      <c r="AA46" s="2" t="s">
        <v>60</v>
      </c>
      <c r="AB46" s="2" t="s">
        <v>61</v>
      </c>
      <c r="AC46" s="2" t="s">
        <v>62</v>
      </c>
      <c r="AD46" s="2" t="s">
        <v>63</v>
      </c>
      <c r="AE46" s="2" t="s">
        <v>64</v>
      </c>
      <c r="AF46" s="2" t="s">
        <v>65</v>
      </c>
      <c r="AG46" s="2" t="s">
        <v>66</v>
      </c>
      <c r="AH46" s="2" t="s">
        <v>67</v>
      </c>
      <c r="AI46" s="2" t="s">
        <v>68</v>
      </c>
      <c r="AJ46" s="2" t="s">
        <v>69</v>
      </c>
      <c r="AK46" s="2" t="s">
        <v>70</v>
      </c>
      <c r="AL46" s="2" t="s">
        <v>71</v>
      </c>
      <c r="AM46" s="2" t="s">
        <v>72</v>
      </c>
      <c r="AN46" s="2" t="s">
        <v>73</v>
      </c>
      <c r="AO46" s="2" t="s">
        <v>74</v>
      </c>
      <c r="AP46" s="2" t="s">
        <v>75</v>
      </c>
      <c r="AQ46" s="2" t="s">
        <v>76</v>
      </c>
      <c r="AR46" s="2" t="s">
        <v>77</v>
      </c>
      <c r="AS46" s="2" t="s">
        <v>78</v>
      </c>
      <c r="AT46" s="2" t="s">
        <v>79</v>
      </c>
      <c r="AU46" s="2" t="s">
        <v>80</v>
      </c>
      <c r="AV46" s="2" t="s">
        <v>81</v>
      </c>
      <c r="AW46" s="2" t="s">
        <v>82</v>
      </c>
      <c r="AX46" s="2" t="s">
        <v>83</v>
      </c>
      <c r="AY46" s="2" t="s">
        <v>84</v>
      </c>
      <c r="AZ46" s="2" t="s">
        <v>85</v>
      </c>
      <c r="BA46" s="2" t="s">
        <v>86</v>
      </c>
      <c r="BB46" s="2" t="s">
        <v>87</v>
      </c>
      <c r="BC46" s="2" t="s">
        <v>88</v>
      </c>
      <c r="BD46" s="2" t="s">
        <v>89</v>
      </c>
      <c r="BE46" s="2" t="s">
        <v>90</v>
      </c>
      <c r="BF46" s="2" t="s">
        <v>91</v>
      </c>
      <c r="BG46" s="2" t="s">
        <v>92</v>
      </c>
      <c r="BH46" s="2" t="s">
        <v>93</v>
      </c>
      <c r="BI46" s="2" t="s">
        <v>94</v>
      </c>
      <c r="BJ46" s="2" t="s">
        <v>95</v>
      </c>
      <c r="BK46" s="2" t="s">
        <v>96</v>
      </c>
      <c r="BL46" s="2" t="s">
        <v>97</v>
      </c>
      <c r="BM46" s="2" t="s">
        <v>98</v>
      </c>
      <c r="BN46" s="2" t="s">
        <v>99</v>
      </c>
      <c r="BO46" s="2" t="s">
        <v>100</v>
      </c>
      <c r="BP46" s="2" t="s">
        <v>101</v>
      </c>
      <c r="BQ46" s="2" t="s">
        <v>102</v>
      </c>
      <c r="BR46" s="2" t="s">
        <v>103</v>
      </c>
      <c r="BS46" s="2" t="s">
        <v>104</v>
      </c>
      <c r="BT46" s="2" t="s">
        <v>105</v>
      </c>
      <c r="BU46" s="2" t="s">
        <v>106</v>
      </c>
      <c r="BV46" s="2" t="s">
        <v>107</v>
      </c>
      <c r="BW46" s="2" t="s">
        <v>108</v>
      </c>
      <c r="BX46" s="2" t="s">
        <v>109</v>
      </c>
      <c r="BY46" s="2" t="s">
        <v>110</v>
      </c>
      <c r="BZ46" s="116" t="s">
        <v>111</v>
      </c>
    </row>
    <row r="47" spans="1:79" ht="15" customHeight="1" x14ac:dyDescent="0.35">
      <c r="A47" s="5" t="s">
        <v>25</v>
      </c>
      <c r="B47">
        <v>130.11157947067881</v>
      </c>
      <c r="C47">
        <v>132.5872085203612</v>
      </c>
      <c r="D47">
        <v>132.51957499351821</v>
      </c>
      <c r="E47">
        <v>130.5262422382896</v>
      </c>
      <c r="F47">
        <v>130.8117749868259</v>
      </c>
      <c r="G47">
        <v>131.22816967583529</v>
      </c>
      <c r="H47">
        <v>130.77570367202691</v>
      </c>
      <c r="I47">
        <v>131.22611648114801</v>
      </c>
      <c r="J47">
        <v>133.8437294985832</v>
      </c>
      <c r="K47">
        <v>134.88884583017719</v>
      </c>
      <c r="L47">
        <v>135.27071071057401</v>
      </c>
      <c r="M47">
        <v>135.50689836122669</v>
      </c>
      <c r="N47">
        <v>135.21012293930221</v>
      </c>
      <c r="O47">
        <v>134.96813501237261</v>
      </c>
      <c r="P47">
        <v>134.4418423109434</v>
      </c>
      <c r="Q47">
        <v>135.6283153754589</v>
      </c>
      <c r="R47">
        <v>135.7524410285362</v>
      </c>
      <c r="S47">
        <v>135.37414811046079</v>
      </c>
      <c r="T47">
        <v>135.134422436633</v>
      </c>
      <c r="U47">
        <v>135.4240959992793</v>
      </c>
      <c r="V47">
        <v>135.5964264685112</v>
      </c>
      <c r="W47">
        <v>135.26407416299341</v>
      </c>
      <c r="X47">
        <v>134.7490903364623</v>
      </c>
      <c r="Y47">
        <v>136.01685112604699</v>
      </c>
      <c r="Z47">
        <v>134.6428811708158</v>
      </c>
      <c r="AA47">
        <v>134.72029690502049</v>
      </c>
      <c r="AB47">
        <v>132.7458626272979</v>
      </c>
      <c r="AC47">
        <v>133.28020711412779</v>
      </c>
      <c r="AD47">
        <v>134.15842061442589</v>
      </c>
      <c r="AE47">
        <v>134.03078793116819</v>
      </c>
      <c r="AF47">
        <v>134.4356965108075</v>
      </c>
      <c r="AG47">
        <v>135.8463123428663</v>
      </c>
      <c r="AH47">
        <v>136.74787871977719</v>
      </c>
      <c r="AI47">
        <v>137.1247268731845</v>
      </c>
      <c r="AJ47">
        <v>137.29008263227809</v>
      </c>
      <c r="AK47">
        <v>137.43527576558279</v>
      </c>
      <c r="AL47">
        <v>137.31444365921479</v>
      </c>
      <c r="AM47">
        <v>137.65427997251209</v>
      </c>
      <c r="AN47">
        <v>139.51001122555601</v>
      </c>
      <c r="AO47">
        <v>139.24031007124751</v>
      </c>
      <c r="AP47">
        <v>139.8043111064664</v>
      </c>
      <c r="AQ47">
        <v>139.64377981221091</v>
      </c>
      <c r="AR47">
        <v>139.15430774661451</v>
      </c>
      <c r="AS47">
        <v>138.8766981012248</v>
      </c>
      <c r="AT47">
        <v>138.79351366796479</v>
      </c>
      <c r="AU47">
        <v>138.60873078195851</v>
      </c>
      <c r="AV47">
        <v>137.85409023476359</v>
      </c>
      <c r="AW47">
        <v>139.07422073950741</v>
      </c>
      <c r="AX47">
        <v>139.50883044924939</v>
      </c>
      <c r="AY47">
        <v>139.08713989186899</v>
      </c>
      <c r="AZ47">
        <v>138.02994226281049</v>
      </c>
      <c r="BA47">
        <v>137.97008443568461</v>
      </c>
      <c r="BB47">
        <v>138.10100355875119</v>
      </c>
      <c r="BC47">
        <v>137.7913180539735</v>
      </c>
      <c r="BD47">
        <v>137.14762631158979</v>
      </c>
      <c r="BE47">
        <v>138.32927334637941</v>
      </c>
      <c r="BF47">
        <v>138.79947050021229</v>
      </c>
      <c r="BG47">
        <v>139.2328677720335</v>
      </c>
      <c r="BH47">
        <v>139.6109361482338</v>
      </c>
      <c r="BI47">
        <v>140.47912593225061</v>
      </c>
      <c r="BJ47">
        <v>140.31903295801419</v>
      </c>
      <c r="BK47">
        <v>139.36043052678619</v>
      </c>
      <c r="BL47">
        <v>138.46655846154999</v>
      </c>
      <c r="BM47">
        <v>138.01332680938469</v>
      </c>
      <c r="BN47">
        <v>138.10769022565469</v>
      </c>
      <c r="BO47">
        <v>138.21440372313501</v>
      </c>
      <c r="BP47">
        <v>138.11227751731249</v>
      </c>
      <c r="BQ47">
        <v>138.85021607521631</v>
      </c>
      <c r="BR47">
        <v>139.39420363093049</v>
      </c>
      <c r="BS47">
        <v>139.48225511772091</v>
      </c>
      <c r="BT47">
        <v>139.65961775368311</v>
      </c>
      <c r="BU47">
        <v>139.31728249408411</v>
      </c>
      <c r="BV47">
        <v>139.858191507463</v>
      </c>
      <c r="BW47">
        <v>140.01766980941201</v>
      </c>
      <c r="BX47">
        <v>140.1897186360379</v>
      </c>
      <c r="BY47">
        <v>141.5107088157929</v>
      </c>
      <c r="BZ47">
        <v>141.87881358615499</v>
      </c>
      <c r="CA47">
        <v>141.97033899602081</v>
      </c>
    </row>
    <row r="48" spans="1:79" ht="15" customHeight="1" x14ac:dyDescent="0.35">
      <c r="A48" s="6" t="s">
        <v>26</v>
      </c>
      <c r="B48">
        <v>0.14476272392792569</v>
      </c>
      <c r="C48">
        <v>9.4604642313640852E-2</v>
      </c>
      <c r="D48">
        <v>3.1815879008235022E-2</v>
      </c>
      <c r="E48">
        <v>6.2374264464608586E-3</v>
      </c>
      <c r="F48">
        <v>-4.2732850487254836E-3</v>
      </c>
      <c r="G48">
        <v>2.7114611498291201E-3</v>
      </c>
      <c r="H48">
        <v>-4.9884992420174967E-3</v>
      </c>
      <c r="I48">
        <v>-3.0313822736616197E-4</v>
      </c>
      <c r="J48">
        <v>-1.9177329287458631E-3</v>
      </c>
      <c r="K48">
        <v>3.7951114530585528E-3</v>
      </c>
      <c r="L48">
        <v>5.5458507114565236E-3</v>
      </c>
      <c r="M48">
        <v>-8.6868553358954159E-4</v>
      </c>
      <c r="N48">
        <v>-3.2506094743212088E-4</v>
      </c>
      <c r="O48">
        <v>1.030422245221985E-2</v>
      </c>
      <c r="P48">
        <v>-1.9705042235216301E-3</v>
      </c>
      <c r="Q48">
        <v>2.3404143697973718E-3</v>
      </c>
      <c r="R48">
        <v>7.0014253793715397E-4</v>
      </c>
      <c r="S48">
        <v>1.239709638412023E-3</v>
      </c>
      <c r="T48">
        <v>4.8403908363070508E-4</v>
      </c>
      <c r="U48">
        <v>1.341323750239098E-3</v>
      </c>
      <c r="V48">
        <v>-2.2883766714016929E-3</v>
      </c>
      <c r="W48">
        <v>2.6789796633011061E-3</v>
      </c>
      <c r="X48">
        <v>1.750180141300461E-3</v>
      </c>
      <c r="Y48">
        <v>1.9554344618200048E-3</v>
      </c>
      <c r="Z48">
        <v>2.5118231886835929E-3</v>
      </c>
      <c r="AA48">
        <v>3.3799320798664212E-3</v>
      </c>
      <c r="AB48">
        <v>9.9183963868654246E-4</v>
      </c>
      <c r="AC48">
        <v>-9.016029069528031E-3</v>
      </c>
      <c r="AD48">
        <v>1.7069218253595861E-4</v>
      </c>
      <c r="AE48">
        <v>-1.5788161094292259E-3</v>
      </c>
      <c r="AF48">
        <v>-5.4191281122939472E-4</v>
      </c>
      <c r="AG48">
        <v>-2.9653818269537169E-3</v>
      </c>
      <c r="AH48">
        <v>0.1008496626967315</v>
      </c>
      <c r="AI48">
        <v>6.4502500238518223E-2</v>
      </c>
      <c r="AJ48">
        <v>7.9440930707789903E-2</v>
      </c>
      <c r="AK48">
        <v>-0.25567714901742988</v>
      </c>
      <c r="AL48">
        <v>5.6911969423993007E-2</v>
      </c>
      <c r="AM48">
        <v>3.6335263961603907E-2</v>
      </c>
      <c r="AN48">
        <v>-0.13786186938102671</v>
      </c>
      <c r="AO48">
        <v>0.28869530437842172</v>
      </c>
      <c r="AP48">
        <v>0.34948270028814932</v>
      </c>
      <c r="AQ48">
        <v>5.5655635892151167E-2</v>
      </c>
      <c r="AR48">
        <v>-0.6235349343753569</v>
      </c>
      <c r="AS48">
        <v>0.617826861076054</v>
      </c>
      <c r="AT48">
        <v>0.3622811307641598</v>
      </c>
      <c r="AU48">
        <v>2.6328753677319131E-2</v>
      </c>
      <c r="AV48">
        <v>-0.25139716014172109</v>
      </c>
      <c r="AW48">
        <v>-0.47229627883743319</v>
      </c>
      <c r="AX48">
        <v>3.0063086336866721E-2</v>
      </c>
      <c r="BA48">
        <v>0.13618425094702499</v>
      </c>
      <c r="BB48">
        <v>-4.1178368030614371E-4</v>
      </c>
      <c r="BC48">
        <v>1.2449755738259681E-2</v>
      </c>
      <c r="BD48">
        <v>1.386680479387792E-2</v>
      </c>
      <c r="BE48">
        <v>3.0165619526144379E-2</v>
      </c>
      <c r="BF48">
        <v>-0.1247803165733217</v>
      </c>
      <c r="BG48">
        <v>-0.13800335714429929</v>
      </c>
      <c r="BH48">
        <v>-3.9322603956463809E-2</v>
      </c>
      <c r="BI48">
        <v>5.4199487091437959E-2</v>
      </c>
      <c r="BJ48">
        <v>-0.1063672051496667</v>
      </c>
      <c r="BK48">
        <v>-0.168390506273596</v>
      </c>
      <c r="BL48">
        <v>-0.13821339291905591</v>
      </c>
      <c r="BM48">
        <v>-6.03111421123117E-2</v>
      </c>
      <c r="BN48">
        <v>-0.13116355974281649</v>
      </c>
      <c r="BO48">
        <v>-0.1139300391529616</v>
      </c>
      <c r="BP48">
        <v>-0.1199558351101189</v>
      </c>
      <c r="BQ48">
        <v>-0.1186817996270122</v>
      </c>
      <c r="BR48">
        <v>-0.1633090472718379</v>
      </c>
      <c r="BS48">
        <v>-0.20205603824857121</v>
      </c>
      <c r="BT48">
        <v>-0.13658554970126599</v>
      </c>
      <c r="BU48">
        <v>-0.1031419317015434</v>
      </c>
      <c r="BV48">
        <v>-0.16239464304891271</v>
      </c>
      <c r="BW48">
        <v>-0.35964456132884948</v>
      </c>
      <c r="BX48">
        <v>-0.22813559675535089</v>
      </c>
      <c r="BY48">
        <v>-0.1084423529502203</v>
      </c>
      <c r="BZ48">
        <v>-0.2162096029288989</v>
      </c>
    </row>
    <row r="49" spans="1:79" ht="15" customHeight="1" x14ac:dyDescent="0.35">
      <c r="A49" s="4" t="s">
        <v>27</v>
      </c>
      <c r="B49">
        <v>0.54106737526277016</v>
      </c>
      <c r="C49">
        <v>0.95399385319998942</v>
      </c>
      <c r="D49">
        <v>0.95829456822585257</v>
      </c>
      <c r="E49">
        <v>0.99127310651331868</v>
      </c>
      <c r="F49">
        <v>0.3934193828657726</v>
      </c>
      <c r="G49">
        <v>0.41206448573200299</v>
      </c>
      <c r="H49">
        <v>0.56956767945192155</v>
      </c>
      <c r="I49">
        <v>0.50413966934868881</v>
      </c>
      <c r="J49">
        <v>0.75000197146189862</v>
      </c>
      <c r="K49">
        <v>0.66014367279578323</v>
      </c>
      <c r="L49">
        <v>0.52997105999207861</v>
      </c>
      <c r="M49">
        <v>0.55007630393848217</v>
      </c>
      <c r="N49">
        <v>0.53776148644340083</v>
      </c>
      <c r="O49">
        <v>0.52663528568234597</v>
      </c>
      <c r="P49">
        <v>0.57274774820433549</v>
      </c>
      <c r="Q49">
        <v>0.74399677212744564</v>
      </c>
      <c r="R49">
        <v>1.1591991733031359</v>
      </c>
      <c r="S49">
        <v>1.302186512560382</v>
      </c>
      <c r="T49">
        <v>1.3196759552882329</v>
      </c>
      <c r="U49">
        <v>1.2648883586221591</v>
      </c>
      <c r="V49">
        <v>1.238306344070139</v>
      </c>
      <c r="W49">
        <v>0.95972642336101899</v>
      </c>
      <c r="X49">
        <v>0.82546642029325312</v>
      </c>
      <c r="Y49">
        <v>1.0510214726595279</v>
      </c>
      <c r="Z49">
        <v>0.91745640271534512</v>
      </c>
      <c r="AA49">
        <v>0.62150983463007492</v>
      </c>
      <c r="AB49">
        <v>0.52834602094560523</v>
      </c>
      <c r="AC49">
        <v>0.49129216329080799</v>
      </c>
      <c r="AD49">
        <v>0.17852272869683361</v>
      </c>
      <c r="AE49">
        <v>0.45973531180243299</v>
      </c>
      <c r="AF49">
        <v>0.49765714549579337</v>
      </c>
      <c r="AG49">
        <v>0.70533925300409805</v>
      </c>
      <c r="AH49">
        <v>0.98012223095011564</v>
      </c>
      <c r="AI49">
        <v>1.004259817500412</v>
      </c>
      <c r="AJ49">
        <v>0.43965161465104069</v>
      </c>
      <c r="AK49">
        <v>0.39676887007115619</v>
      </c>
      <c r="AL49">
        <v>0.62856946218576581</v>
      </c>
      <c r="AM49">
        <v>-0.5810400778034932</v>
      </c>
      <c r="AN49">
        <v>1.427461145408131</v>
      </c>
      <c r="AO49">
        <v>0.19464439900480099</v>
      </c>
      <c r="AP49">
        <v>1.3138159822955231</v>
      </c>
      <c r="AQ49">
        <v>6.9911484652322997E-3</v>
      </c>
      <c r="AR49">
        <v>0.36245703794534728</v>
      </c>
      <c r="AS49">
        <v>-0.70636074464309218</v>
      </c>
      <c r="AT49">
        <v>0.59355848868207772</v>
      </c>
      <c r="AU49">
        <v>-5.2008647936816033E-2</v>
      </c>
      <c r="AV49">
        <v>-0.28017543005432799</v>
      </c>
      <c r="AW49">
        <v>1.735785431333426</v>
      </c>
      <c r="AX49">
        <v>-3.240895626902812</v>
      </c>
      <c r="BA49">
        <v>0.54480245557607532</v>
      </c>
      <c r="BB49">
        <v>0.91481517383246569</v>
      </c>
      <c r="BC49">
        <v>0.2083661173820133</v>
      </c>
      <c r="BD49">
        <v>0.49622137229795271</v>
      </c>
      <c r="BE49">
        <v>1.1329154422713259</v>
      </c>
      <c r="BF49">
        <v>1.524083463830209</v>
      </c>
      <c r="BG49">
        <v>1.418392155987277</v>
      </c>
      <c r="BH49">
        <v>1.429491082617119</v>
      </c>
      <c r="BI49">
        <v>1.5178752560176461</v>
      </c>
      <c r="BJ49">
        <v>1.627888187304251</v>
      </c>
      <c r="BK49">
        <v>1.5736963812204861</v>
      </c>
      <c r="BL49">
        <v>1.6225803224935189</v>
      </c>
      <c r="BM49">
        <v>1.0364312239790081</v>
      </c>
      <c r="BN49">
        <v>1.5337670033636359</v>
      </c>
      <c r="BO49">
        <v>1.428876425829827</v>
      </c>
      <c r="BP49">
        <v>1.2598955785910559</v>
      </c>
      <c r="BQ49">
        <v>1.6210638729361051</v>
      </c>
      <c r="BR49">
        <v>1.5983495709054409</v>
      </c>
      <c r="BS49">
        <v>2.3514024305534922</v>
      </c>
      <c r="BT49">
        <v>2.0429269515718151</v>
      </c>
      <c r="BU49">
        <v>2.0602205938832872</v>
      </c>
      <c r="BV49">
        <v>2.5672852823441872</v>
      </c>
      <c r="BW49">
        <v>2.465956922571479</v>
      </c>
      <c r="BX49">
        <v>2.6896289198481611</v>
      </c>
      <c r="BY49">
        <v>3.0666605856188478</v>
      </c>
      <c r="BZ49">
        <v>2.2178738679663468</v>
      </c>
    </row>
    <row r="50" spans="1:79" ht="15" customHeight="1" x14ac:dyDescent="0.35">
      <c r="A50" s="3" t="s">
        <v>28</v>
      </c>
      <c r="B50">
        <v>-0.45776291644108369</v>
      </c>
      <c r="C50">
        <v>0.31142589097035511</v>
      </c>
      <c r="D50">
        <v>0.24836888753969791</v>
      </c>
      <c r="E50">
        <v>4.7635528090097523E-2</v>
      </c>
      <c r="F50">
        <v>6.2184778882681258E-3</v>
      </c>
      <c r="G50">
        <v>-4.5274639095396203E-2</v>
      </c>
      <c r="H50">
        <v>-0.36406324737055229</v>
      </c>
      <c r="I50">
        <v>-0.37978988414101877</v>
      </c>
      <c r="J50">
        <v>-0.36454040132130672</v>
      </c>
      <c r="K50">
        <v>-0.2969315876505334</v>
      </c>
      <c r="L50">
        <v>-0.34936085404706319</v>
      </c>
      <c r="M50">
        <v>1.282863021143044E-2</v>
      </c>
      <c r="N50">
        <v>0.13715416322060039</v>
      </c>
      <c r="O50">
        <v>0.26948706710962261</v>
      </c>
      <c r="P50">
        <v>0.20731863624246219</v>
      </c>
      <c r="Q50">
        <v>0.76585670599089894</v>
      </c>
      <c r="R50">
        <v>0.64134309789218946</v>
      </c>
      <c r="S50">
        <v>0.27924392845832807</v>
      </c>
      <c r="T50">
        <v>-2.3469864200308169E-2</v>
      </c>
      <c r="U50">
        <v>0.10197871388533029</v>
      </c>
      <c r="V50">
        <v>9.7643389489121546E-3</v>
      </c>
      <c r="W50">
        <v>0.14381124455351821</v>
      </c>
      <c r="X50">
        <v>-7.6501212047702438E-2</v>
      </c>
      <c r="Y50">
        <v>-0.28501135001522471</v>
      </c>
      <c r="Z50">
        <v>-0.1595845566137655</v>
      </c>
      <c r="AA50">
        <v>-0.60043191372881211</v>
      </c>
      <c r="AB50">
        <v>-0.69959874351127382</v>
      </c>
      <c r="AC50">
        <v>-0.6650155279508283</v>
      </c>
      <c r="AD50">
        <v>-0.69808798045744425</v>
      </c>
      <c r="AE50">
        <v>-0.94949218515583311</v>
      </c>
      <c r="AF50">
        <v>-1.5721425526211019</v>
      </c>
      <c r="AG50">
        <v>-1.325512120146954</v>
      </c>
      <c r="AH50">
        <v>-0.90783052301344469</v>
      </c>
      <c r="AI50">
        <v>-1.8305465562086169</v>
      </c>
      <c r="AJ50">
        <v>-1.9324865716313011</v>
      </c>
      <c r="AK50">
        <v>-1.638273064271033</v>
      </c>
      <c r="AL50">
        <v>-2.422598900299477</v>
      </c>
      <c r="AM50">
        <v>0.83951730994189688</v>
      </c>
      <c r="AN50">
        <v>-0.5309565823547473</v>
      </c>
      <c r="AO50">
        <v>-2.1984222568418939</v>
      </c>
      <c r="AP50">
        <v>-1.5956059526339741</v>
      </c>
      <c r="AQ50">
        <v>-2.0152072472331501</v>
      </c>
      <c r="AR50">
        <v>-1.3317969987833751</v>
      </c>
      <c r="AS50">
        <v>-4.2438903761868119</v>
      </c>
      <c r="AT50">
        <v>-1.923410878690333</v>
      </c>
      <c r="AU50">
        <v>-2.336527134834256</v>
      </c>
      <c r="AV50">
        <v>-2.1470546474819798</v>
      </c>
      <c r="AW50">
        <v>-0.35994008660321702</v>
      </c>
      <c r="AX50">
        <v>-3.6376334443053788</v>
      </c>
      <c r="BA50">
        <v>-1.41937325753554</v>
      </c>
      <c r="BB50">
        <v>-1.4212138762749189</v>
      </c>
      <c r="BC50">
        <v>-0.90263636423017601</v>
      </c>
      <c r="BD50">
        <v>-1.6630139917981239</v>
      </c>
      <c r="BE50">
        <v>-1.6326958160892391</v>
      </c>
      <c r="BF50">
        <v>-0.93064387293523509</v>
      </c>
      <c r="BG50">
        <v>-1.0901966844792239</v>
      </c>
      <c r="BH50">
        <v>-0.30302269656155539</v>
      </c>
      <c r="BI50">
        <v>-0.92297593561252711</v>
      </c>
      <c r="BJ50">
        <v>-0.56209107844853179</v>
      </c>
      <c r="BK50">
        <v>-0.52749202498094405</v>
      </c>
      <c r="BL50">
        <v>-0.14207201371252151</v>
      </c>
      <c r="BM50">
        <v>1.5936886653748841</v>
      </c>
      <c r="BN50">
        <v>0.88394835200722355</v>
      </c>
      <c r="BO50">
        <v>0.75917234673050871</v>
      </c>
      <c r="BP50">
        <v>5.30412381408496E-3</v>
      </c>
      <c r="BQ50">
        <v>0.41781170744911827</v>
      </c>
      <c r="BR50">
        <v>0.2077923479743902</v>
      </c>
      <c r="BS50">
        <v>-0.17112249871402699</v>
      </c>
      <c r="BT50">
        <v>0.85958903280280197</v>
      </c>
      <c r="BU50">
        <v>0.36967560769082303</v>
      </c>
      <c r="BV50">
        <v>1.1426099685144211</v>
      </c>
      <c r="BW50">
        <v>1.2030152916648551</v>
      </c>
      <c r="BX50">
        <v>1.444028276528712</v>
      </c>
      <c r="BY50">
        <v>1.641555804489258</v>
      </c>
      <c r="BZ50">
        <v>1.858100090290719</v>
      </c>
    </row>
    <row r="51" spans="1:79" ht="15" customHeight="1" x14ac:dyDescent="0.35">
      <c r="A51" s="4" t="s">
        <v>29</v>
      </c>
      <c r="B51">
        <v>0.45776291644108369</v>
      </c>
      <c r="C51">
        <v>-0.31142589097035511</v>
      </c>
      <c r="D51">
        <v>-0.24836888753969791</v>
      </c>
      <c r="E51">
        <v>-4.7635528090097523E-2</v>
      </c>
      <c r="F51">
        <v>-6.2184778882681258E-3</v>
      </c>
      <c r="G51">
        <v>4.5274639095396203E-2</v>
      </c>
      <c r="H51">
        <v>0.36406324737055229</v>
      </c>
      <c r="I51">
        <v>0.37978988414101877</v>
      </c>
      <c r="J51">
        <v>0.36454040132130672</v>
      </c>
      <c r="K51">
        <v>0.2969315876505334</v>
      </c>
      <c r="L51">
        <v>0.34936085404706319</v>
      </c>
      <c r="M51">
        <v>-1.282863021143044E-2</v>
      </c>
      <c r="N51">
        <v>-0.13715416322060039</v>
      </c>
      <c r="O51">
        <v>-0.26948706710962261</v>
      </c>
      <c r="P51">
        <v>-0.20731863624246219</v>
      </c>
      <c r="Q51">
        <v>-0.76585670599089894</v>
      </c>
      <c r="R51">
        <v>-0.64134309789218946</v>
      </c>
      <c r="S51">
        <v>-0.27924392845832807</v>
      </c>
      <c r="T51">
        <v>2.3469864200308169E-2</v>
      </c>
      <c r="U51">
        <v>-0.10197871388533029</v>
      </c>
      <c r="V51">
        <v>-9.7643389489121546E-3</v>
      </c>
      <c r="W51">
        <v>-0.14381124455351821</v>
      </c>
      <c r="X51">
        <v>7.6501212047702438E-2</v>
      </c>
      <c r="Y51">
        <v>0.28501135001522471</v>
      </c>
      <c r="Z51">
        <v>0.1595845566137655</v>
      </c>
      <c r="AA51">
        <v>0.60043191372881211</v>
      </c>
      <c r="AB51">
        <v>0.69959874351127382</v>
      </c>
      <c r="AC51">
        <v>0.6650155279508283</v>
      </c>
      <c r="AD51">
        <v>0.69808798045744425</v>
      </c>
      <c r="AE51">
        <v>0.94949218515583311</v>
      </c>
      <c r="AF51">
        <v>1.5721425526211019</v>
      </c>
      <c r="AG51">
        <v>1.325512120146954</v>
      </c>
      <c r="AH51">
        <v>0.90783052301344469</v>
      </c>
      <c r="AI51">
        <v>1.8305465562086169</v>
      </c>
      <c r="AJ51">
        <v>1.9324865716313011</v>
      </c>
      <c r="AK51">
        <v>1.638273064271033</v>
      </c>
      <c r="AL51">
        <v>2.422598900299477</v>
      </c>
      <c r="AM51">
        <v>-0.83951730994189688</v>
      </c>
      <c r="AN51">
        <v>0.5309565823547473</v>
      </c>
      <c r="AO51">
        <v>2.1984222568418939</v>
      </c>
      <c r="AP51">
        <v>1.5956059526339741</v>
      </c>
      <c r="AQ51">
        <v>2.0152072472331501</v>
      </c>
      <c r="AR51">
        <v>1.3317969987833751</v>
      </c>
      <c r="AS51">
        <v>4.2438903761868119</v>
      </c>
      <c r="AT51">
        <v>1.923410878690333</v>
      </c>
      <c r="AU51">
        <v>2.336527134834256</v>
      </c>
      <c r="AV51">
        <v>2.1470546474819798</v>
      </c>
      <c r="AW51">
        <v>0.35994008660321702</v>
      </c>
      <c r="AX51">
        <v>3.6376334443053788</v>
      </c>
      <c r="BA51">
        <v>1.41937325753554</v>
      </c>
      <c r="BB51">
        <v>1.4212138762749189</v>
      </c>
      <c r="BC51">
        <v>0.90263636423017601</v>
      </c>
      <c r="BD51">
        <v>1.6630139917981239</v>
      </c>
      <c r="BE51">
        <v>1.6326958160892391</v>
      </c>
      <c r="BF51">
        <v>0.93064387293523509</v>
      </c>
      <c r="BG51">
        <v>1.0901966844792239</v>
      </c>
      <c r="BH51">
        <v>0.30302269656155539</v>
      </c>
      <c r="BI51">
        <v>0.92297593561252711</v>
      </c>
      <c r="BJ51">
        <v>0.56209107844853179</v>
      </c>
      <c r="BK51">
        <v>0.52749202498094405</v>
      </c>
      <c r="BL51">
        <v>0.14207201371252151</v>
      </c>
      <c r="BM51">
        <v>-1.5936886653748841</v>
      </c>
      <c r="BN51">
        <v>-0.88394835200722355</v>
      </c>
      <c r="BO51">
        <v>-0.75917234673050871</v>
      </c>
      <c r="BP51">
        <v>-5.30412381408496E-3</v>
      </c>
      <c r="BQ51">
        <v>-0.41781170744911827</v>
      </c>
      <c r="BR51">
        <v>-0.2077923479743902</v>
      </c>
      <c r="BS51">
        <v>0.17112249871402699</v>
      </c>
      <c r="BT51">
        <v>-0.85958903280280197</v>
      </c>
      <c r="BU51">
        <v>-0.36967560769082303</v>
      </c>
      <c r="BV51">
        <v>-1.1426099685144211</v>
      </c>
      <c r="BW51">
        <v>-1.2030152916648551</v>
      </c>
      <c r="BX51">
        <v>-1.444028276528712</v>
      </c>
      <c r="BY51">
        <v>-1.641555804489258</v>
      </c>
      <c r="BZ51">
        <v>-1.858100090290719</v>
      </c>
    </row>
    <row r="52" spans="1:79" ht="15" customHeight="1" x14ac:dyDescent="0.35">
      <c r="A52" s="3" t="s">
        <v>30</v>
      </c>
      <c r="B52">
        <v>130.7974095698695</v>
      </c>
      <c r="C52">
        <v>133.63580701587489</v>
      </c>
      <c r="D52">
        <v>133.50968544075229</v>
      </c>
      <c r="E52">
        <v>131.52375277124941</v>
      </c>
      <c r="F52">
        <v>131.20092108464291</v>
      </c>
      <c r="G52">
        <v>131.64294562271709</v>
      </c>
      <c r="H52">
        <v>131.34028285223681</v>
      </c>
      <c r="I52">
        <v>131.72995301226931</v>
      </c>
      <c r="J52">
        <v>134.59181373711641</v>
      </c>
      <c r="K52">
        <v>135.55278461442609</v>
      </c>
      <c r="L52">
        <v>135.80622762127749</v>
      </c>
      <c r="M52">
        <v>136.05610597963161</v>
      </c>
      <c r="N52">
        <v>135.74755936479809</v>
      </c>
      <c r="O52">
        <v>135.50507452050709</v>
      </c>
      <c r="P52">
        <v>135.01261955492421</v>
      </c>
      <c r="Q52">
        <v>136.37465256195611</v>
      </c>
      <c r="R52">
        <v>136.9123403443773</v>
      </c>
      <c r="S52">
        <v>136.67757433265959</v>
      </c>
      <c r="T52">
        <v>136.45458243100481</v>
      </c>
      <c r="U52">
        <v>136.6903256816517</v>
      </c>
      <c r="V52">
        <v>136.83244443590991</v>
      </c>
      <c r="W52">
        <v>136.2264795660177</v>
      </c>
      <c r="X52">
        <v>135.57630693689691</v>
      </c>
      <c r="Y52">
        <v>137.06982803316839</v>
      </c>
      <c r="Z52">
        <v>135.56284939671991</v>
      </c>
      <c r="AA52">
        <v>135.34518667173049</v>
      </c>
      <c r="AB52">
        <v>133.27520048788219</v>
      </c>
      <c r="AC52">
        <v>133.76248324834901</v>
      </c>
      <c r="AD52">
        <v>134.33711403530529</v>
      </c>
      <c r="AE52">
        <v>134.48894442686131</v>
      </c>
      <c r="AF52">
        <v>134.9328117434921</v>
      </c>
      <c r="AG52">
        <v>136.5486862140435</v>
      </c>
      <c r="AH52">
        <v>137.82885061342401</v>
      </c>
      <c r="AI52">
        <v>138.19348919092349</v>
      </c>
      <c r="AJ52">
        <v>137.80917517763689</v>
      </c>
      <c r="AK52">
        <v>137.57636748663651</v>
      </c>
      <c r="AL52">
        <v>137.99992509082449</v>
      </c>
      <c r="AM52">
        <v>137.1095751586702</v>
      </c>
      <c r="AN52">
        <v>140.79961050158309</v>
      </c>
      <c r="AO52">
        <v>139.72364977463079</v>
      </c>
      <c r="AP52">
        <v>141.46760978904999</v>
      </c>
      <c r="AQ52">
        <v>139.70642659656829</v>
      </c>
      <c r="AR52">
        <v>138.8932298501845</v>
      </c>
      <c r="AS52">
        <v>138.78816421765771</v>
      </c>
      <c r="AT52">
        <v>139.74935328741111</v>
      </c>
      <c r="AU52">
        <v>138.58305088769899</v>
      </c>
      <c r="AV52">
        <v>137.3225176445676</v>
      </c>
      <c r="AW52">
        <v>140.3377098920034</v>
      </c>
      <c r="AX52">
        <v>136.2979979086835</v>
      </c>
      <c r="BA52">
        <v>138.65107114220771</v>
      </c>
      <c r="BB52">
        <v>139.01540694890329</v>
      </c>
      <c r="BC52">
        <v>138.01213392709371</v>
      </c>
      <c r="BD52">
        <v>137.65771448868159</v>
      </c>
      <c r="BE52">
        <v>139.49235440817691</v>
      </c>
      <c r="BF52">
        <v>140.19877364746921</v>
      </c>
      <c r="BG52">
        <v>140.51325657087651</v>
      </c>
      <c r="BH52">
        <v>141.0011046268944</v>
      </c>
      <c r="BI52">
        <v>142.05120067535969</v>
      </c>
      <c r="BJ52">
        <v>141.8405539401688</v>
      </c>
      <c r="BK52">
        <v>140.76573640173311</v>
      </c>
      <c r="BL52">
        <v>139.95092539112451</v>
      </c>
      <c r="BM52">
        <v>138.98944689125139</v>
      </c>
      <c r="BN52">
        <v>139.5102936692756</v>
      </c>
      <c r="BO52">
        <v>139.5293501098119</v>
      </c>
      <c r="BP52">
        <v>139.2522172607934</v>
      </c>
      <c r="BQ52">
        <v>140.3525981485254</v>
      </c>
      <c r="BR52">
        <v>140.82924415456409</v>
      </c>
      <c r="BS52">
        <v>141.6316015100258</v>
      </c>
      <c r="BT52">
        <v>141.56595915555371</v>
      </c>
      <c r="BU52">
        <v>141.2743611562658</v>
      </c>
      <c r="BV52">
        <v>142.26308214675831</v>
      </c>
      <c r="BW52">
        <v>142.12398217065461</v>
      </c>
      <c r="BX52">
        <v>142.65121195913071</v>
      </c>
      <c r="BY52">
        <v>144.4689270484615</v>
      </c>
      <c r="BZ52">
        <v>143.88047785119241</v>
      </c>
    </row>
    <row r="53" spans="1:79" ht="15" customHeight="1" x14ac:dyDescent="0.35">
      <c r="A53" s="5" t="s">
        <v>31</v>
      </c>
      <c r="B53">
        <v>1.9870302499572869</v>
      </c>
      <c r="C53">
        <v>1.93454595320193</v>
      </c>
      <c r="D53">
        <v>1.951963605297619</v>
      </c>
      <c r="E53">
        <v>1.9473727011102979</v>
      </c>
      <c r="F53">
        <v>1.9289788584098091</v>
      </c>
      <c r="G53">
        <v>1.9279252886940721</v>
      </c>
      <c r="H53">
        <v>1.8659757370273491</v>
      </c>
      <c r="I53">
        <v>1.937506315156148</v>
      </c>
      <c r="J53">
        <v>1.9703040311980731</v>
      </c>
      <c r="K53">
        <v>1.889143690363883</v>
      </c>
      <c r="L53">
        <v>1.753472449145304</v>
      </c>
      <c r="M53">
        <v>1.725499521475186</v>
      </c>
      <c r="N53">
        <v>1.728289476903444</v>
      </c>
      <c r="O53">
        <v>1.7779609516807819</v>
      </c>
      <c r="P53">
        <v>1.878544446778087</v>
      </c>
      <c r="Q53">
        <v>1.756009137558022</v>
      </c>
      <c r="R53">
        <v>1.7802241575328761</v>
      </c>
      <c r="S53">
        <v>1.7027629409675551</v>
      </c>
      <c r="T53">
        <v>1.613047348131978</v>
      </c>
      <c r="U53">
        <v>1.533650159770712</v>
      </c>
      <c r="V53">
        <v>1.466138449640531</v>
      </c>
      <c r="W53">
        <v>1.4849165692330899</v>
      </c>
      <c r="X53">
        <v>1.504384484977382</v>
      </c>
      <c r="Y53">
        <v>1.5583720723422061</v>
      </c>
      <c r="Z53">
        <v>1.6062173194165841</v>
      </c>
      <c r="AA53">
        <v>1.585044038825189</v>
      </c>
      <c r="AB53">
        <v>1.6231151728207489</v>
      </c>
      <c r="AC53">
        <v>1.60491398354656</v>
      </c>
      <c r="AD53">
        <v>1.5836633157907309</v>
      </c>
      <c r="AE53">
        <v>1.582525124011299</v>
      </c>
      <c r="AF53">
        <v>1.579960101491382</v>
      </c>
      <c r="AG53">
        <v>1.5858630627299719</v>
      </c>
      <c r="AH53">
        <v>1.768029967388048</v>
      </c>
      <c r="AI53">
        <v>1.71611751594471</v>
      </c>
      <c r="AJ53">
        <v>1.752530611276278</v>
      </c>
      <c r="AK53">
        <v>1.7377474860594251</v>
      </c>
      <c r="AL53">
        <v>1.6974199851499381</v>
      </c>
      <c r="AM53">
        <v>1.5467171626427649</v>
      </c>
      <c r="AN53">
        <v>1.561030628261926</v>
      </c>
      <c r="AO53">
        <v>1.6871451003046261</v>
      </c>
      <c r="AP53">
        <v>1.5354215965237969</v>
      </c>
      <c r="AQ53">
        <v>1.4906533723125921</v>
      </c>
      <c r="AR53">
        <v>1.7456092620472821</v>
      </c>
      <c r="AS53">
        <v>3.725399868175161</v>
      </c>
      <c r="AT53">
        <v>1.899412766821392</v>
      </c>
      <c r="AU53">
        <v>1.5193059169730709</v>
      </c>
      <c r="AV53">
        <v>1.747515385664439</v>
      </c>
      <c r="AW53">
        <v>1.6291949194113811</v>
      </c>
      <c r="AX53">
        <v>1.7829604707650071</v>
      </c>
      <c r="BA53">
        <v>1.596943751563463</v>
      </c>
      <c r="BB53">
        <v>1.5466570777431761</v>
      </c>
      <c r="BC53">
        <v>1.51674600017964</v>
      </c>
      <c r="BD53">
        <v>1.5166210705140131</v>
      </c>
      <c r="BE53">
        <v>1.543616825421245</v>
      </c>
      <c r="BF53">
        <v>1.4961382407495001</v>
      </c>
      <c r="BG53">
        <v>1.475839646388885</v>
      </c>
      <c r="BH53">
        <v>1.470914856977606</v>
      </c>
      <c r="BI53">
        <v>1.516494911423633</v>
      </c>
      <c r="BJ53">
        <v>1.5014750499958669</v>
      </c>
      <c r="BK53">
        <v>1.5292281212414041</v>
      </c>
      <c r="BL53">
        <v>1.467066414739479</v>
      </c>
      <c r="BM53">
        <v>1.477826418245719</v>
      </c>
      <c r="BN53">
        <v>1.461877059817942</v>
      </c>
      <c r="BO53">
        <v>1.478210505547852</v>
      </c>
      <c r="BP53">
        <v>1.475760251751856</v>
      </c>
      <c r="BQ53">
        <v>1.4661906461355041</v>
      </c>
      <c r="BR53">
        <v>1.4149518330456441</v>
      </c>
      <c r="BS53">
        <v>1.404297366624222</v>
      </c>
      <c r="BT53">
        <v>1.447464533850416</v>
      </c>
      <c r="BU53">
        <v>1.4276880366365869</v>
      </c>
      <c r="BV53">
        <v>1.425571806906214</v>
      </c>
      <c r="BW53">
        <v>1.390272707012316</v>
      </c>
      <c r="BX53">
        <v>1.4263932443028839</v>
      </c>
      <c r="BY53">
        <v>1.42778955179791</v>
      </c>
      <c r="BZ53">
        <v>1.4949397812233469</v>
      </c>
    </row>
    <row r="54" spans="1:79" ht="15" customHeight="1" x14ac:dyDescent="0.35"/>
    <row r="55" spans="1:79" ht="15" customHeight="1" x14ac:dyDescent="0.35">
      <c r="A55" s="1" t="s">
        <v>37</v>
      </c>
      <c r="B55" s="2">
        <v>2016</v>
      </c>
      <c r="C55" s="2">
        <v>2017</v>
      </c>
      <c r="D55" s="2">
        <v>2018</v>
      </c>
      <c r="E55" s="2">
        <v>2019</v>
      </c>
      <c r="F55" s="2" t="s">
        <v>39</v>
      </c>
      <c r="G55" s="2" t="s">
        <v>40</v>
      </c>
      <c r="H55" s="2" t="s">
        <v>41</v>
      </c>
      <c r="I55" s="2" t="s">
        <v>42</v>
      </c>
      <c r="J55" s="2" t="s">
        <v>43</v>
      </c>
      <c r="K55" s="2" t="s">
        <v>44</v>
      </c>
      <c r="L55" s="2" t="s">
        <v>45</v>
      </c>
      <c r="M55" s="2" t="s">
        <v>46</v>
      </c>
      <c r="N55" s="2" t="s">
        <v>47</v>
      </c>
      <c r="O55" s="2" t="s">
        <v>48</v>
      </c>
      <c r="P55" s="2" t="s">
        <v>49</v>
      </c>
      <c r="Q55" s="2" t="s">
        <v>50</v>
      </c>
      <c r="R55" s="2" t="s">
        <v>51</v>
      </c>
      <c r="S55" s="2" t="s">
        <v>52</v>
      </c>
      <c r="T55" s="2" t="s">
        <v>53</v>
      </c>
      <c r="U55" s="2" t="s">
        <v>54</v>
      </c>
      <c r="V55" s="2" t="s">
        <v>55</v>
      </c>
      <c r="W55" s="2" t="s">
        <v>56</v>
      </c>
      <c r="X55" s="2" t="s">
        <v>57</v>
      </c>
      <c r="Y55" s="2" t="s">
        <v>58</v>
      </c>
      <c r="Z55" s="2" t="s">
        <v>59</v>
      </c>
      <c r="AA55" s="2" t="s">
        <v>60</v>
      </c>
      <c r="AB55" s="2" t="s">
        <v>61</v>
      </c>
      <c r="AC55" s="2" t="s">
        <v>62</v>
      </c>
      <c r="AD55" s="2" t="s">
        <v>63</v>
      </c>
      <c r="AE55" s="2" t="s">
        <v>64</v>
      </c>
      <c r="AF55" s="2" t="s">
        <v>65</v>
      </c>
      <c r="AG55" s="2" t="s">
        <v>66</v>
      </c>
      <c r="AH55" s="2" t="s">
        <v>67</v>
      </c>
      <c r="AI55" s="2" t="s">
        <v>68</v>
      </c>
      <c r="AJ55" s="2" t="s">
        <v>69</v>
      </c>
      <c r="AK55" s="2" t="s">
        <v>70</v>
      </c>
      <c r="AL55" s="2" t="s">
        <v>71</v>
      </c>
      <c r="AM55" s="2" t="s">
        <v>72</v>
      </c>
      <c r="AN55" s="2" t="s">
        <v>73</v>
      </c>
      <c r="AO55" s="2" t="s">
        <v>74</v>
      </c>
      <c r="AP55" s="2" t="s">
        <v>75</v>
      </c>
      <c r="AQ55" s="2" t="s">
        <v>76</v>
      </c>
      <c r="AR55" s="2" t="s">
        <v>77</v>
      </c>
      <c r="AS55" s="2" t="s">
        <v>78</v>
      </c>
      <c r="AT55" s="2" t="s">
        <v>79</v>
      </c>
      <c r="AU55" s="2" t="s">
        <v>80</v>
      </c>
      <c r="AV55" s="2" t="s">
        <v>81</v>
      </c>
      <c r="AW55" s="2" t="s">
        <v>82</v>
      </c>
      <c r="AX55" s="2" t="s">
        <v>83</v>
      </c>
      <c r="AY55" s="2" t="s">
        <v>84</v>
      </c>
      <c r="AZ55" s="2" t="s">
        <v>85</v>
      </c>
      <c r="BA55" s="2" t="s">
        <v>86</v>
      </c>
      <c r="BB55" s="2" t="s">
        <v>87</v>
      </c>
      <c r="BC55" s="2" t="s">
        <v>88</v>
      </c>
      <c r="BD55" s="2" t="s">
        <v>89</v>
      </c>
      <c r="BE55" s="2" t="s">
        <v>90</v>
      </c>
      <c r="BF55" s="2" t="s">
        <v>91</v>
      </c>
      <c r="BG55" s="2" t="s">
        <v>92</v>
      </c>
      <c r="BH55" s="2" t="s">
        <v>93</v>
      </c>
      <c r="BI55" s="2" t="s">
        <v>94</v>
      </c>
      <c r="BJ55" s="2" t="s">
        <v>95</v>
      </c>
      <c r="BK55" s="2" t="s">
        <v>96</v>
      </c>
      <c r="BL55" s="2" t="s">
        <v>97</v>
      </c>
      <c r="BM55" s="2" t="s">
        <v>98</v>
      </c>
      <c r="BN55" s="2" t="s">
        <v>99</v>
      </c>
      <c r="BO55" s="2" t="s">
        <v>100</v>
      </c>
      <c r="BP55" s="2" t="s">
        <v>101</v>
      </c>
      <c r="BQ55" s="2" t="s">
        <v>102</v>
      </c>
      <c r="BR55" s="2" t="s">
        <v>103</v>
      </c>
      <c r="BS55" s="2" t="s">
        <v>104</v>
      </c>
      <c r="BT55" s="2" t="s">
        <v>105</v>
      </c>
      <c r="BU55" s="2" t="s">
        <v>106</v>
      </c>
      <c r="BV55" s="2" t="s">
        <v>107</v>
      </c>
      <c r="BW55" s="2" t="s">
        <v>108</v>
      </c>
      <c r="BX55" s="2" t="s">
        <v>109</v>
      </c>
      <c r="BY55" s="2" t="s">
        <v>110</v>
      </c>
      <c r="BZ55" s="116" t="s">
        <v>111</v>
      </c>
    </row>
    <row r="56" spans="1:79" ht="15" customHeight="1" x14ac:dyDescent="0.35">
      <c r="A56" s="5" t="s">
        <v>25</v>
      </c>
      <c r="B56">
        <v>136.58957781405479</v>
      </c>
      <c r="C56">
        <v>139.0904814105937</v>
      </c>
      <c r="D56">
        <v>137.77552245925361</v>
      </c>
      <c r="E56">
        <v>136.87433471480861</v>
      </c>
      <c r="F56">
        <v>136.0708942400334</v>
      </c>
      <c r="G56">
        <v>136.0720005588141</v>
      </c>
      <c r="H56">
        <v>135.58402948497471</v>
      </c>
      <c r="I56">
        <v>136.45711056261709</v>
      </c>
      <c r="J56">
        <v>138.3985631473594</v>
      </c>
      <c r="K56">
        <v>139.22263099733121</v>
      </c>
      <c r="L56">
        <v>139.32035964094661</v>
      </c>
      <c r="M56">
        <v>138.63707611775379</v>
      </c>
      <c r="N56">
        <v>138.29049839883649</v>
      </c>
      <c r="O56">
        <v>137.41781088566611</v>
      </c>
      <c r="P56">
        <v>136.5446592576798</v>
      </c>
      <c r="Q56">
        <v>136.9216517393356</v>
      </c>
      <c r="R56">
        <v>136.31498217147461</v>
      </c>
      <c r="S56">
        <v>135.27484073163171</v>
      </c>
      <c r="T56">
        <v>135.16675674945139</v>
      </c>
      <c r="U56">
        <v>135.8285268400341</v>
      </c>
      <c r="V56">
        <v>135.8274217698316</v>
      </c>
      <c r="W56">
        <v>135.52710184780949</v>
      </c>
      <c r="X56">
        <v>133.76710709740561</v>
      </c>
      <c r="Y56">
        <v>136.0047560603677</v>
      </c>
      <c r="Z56">
        <v>133.71430112162221</v>
      </c>
      <c r="AA56">
        <v>133.8042020247</v>
      </c>
      <c r="AB56">
        <v>133.04635810983959</v>
      </c>
      <c r="AC56">
        <v>132.61152728999389</v>
      </c>
      <c r="AD56">
        <v>132.0759442578381</v>
      </c>
      <c r="AE56">
        <v>133.41692189566581</v>
      </c>
      <c r="AF56">
        <v>133.82905383352161</v>
      </c>
      <c r="AG56">
        <v>134.729896170107</v>
      </c>
      <c r="AH56">
        <v>134.34078517036201</v>
      </c>
      <c r="AI56">
        <v>135.09972646253519</v>
      </c>
      <c r="AJ56">
        <v>135.80114491877251</v>
      </c>
      <c r="AK56">
        <v>136.29284810858539</v>
      </c>
      <c r="AL56">
        <v>136.0744397910174</v>
      </c>
      <c r="AM56">
        <v>137.2766795524031</v>
      </c>
      <c r="AN56">
        <v>138.63281219429089</v>
      </c>
      <c r="AO56">
        <v>139.28278003426021</v>
      </c>
      <c r="AP56">
        <v>140.3693476648599</v>
      </c>
      <c r="AQ56">
        <v>139.8223823229784</v>
      </c>
      <c r="AR56">
        <v>140.14739050915239</v>
      </c>
      <c r="AS56">
        <v>140.44520512727939</v>
      </c>
      <c r="AT56">
        <v>140.73829959131379</v>
      </c>
      <c r="AU56">
        <v>140.77704231459819</v>
      </c>
      <c r="AV56">
        <v>140.6672898200018</v>
      </c>
      <c r="AW56">
        <v>140.63350268744111</v>
      </c>
      <c r="AX56">
        <v>140.22049133433541</v>
      </c>
      <c r="AY56">
        <v>140.06890602717641</v>
      </c>
      <c r="AZ56">
        <v>140.93026490340739</v>
      </c>
      <c r="BA56">
        <v>140.84393435243919</v>
      </c>
      <c r="BB56">
        <v>140.3627448333695</v>
      </c>
      <c r="BC56">
        <v>138.53458476787389</v>
      </c>
      <c r="BD56">
        <v>140.07862484053859</v>
      </c>
      <c r="BE56">
        <v>140.55610263983269</v>
      </c>
      <c r="BF56">
        <v>140.57662704263379</v>
      </c>
      <c r="BG56">
        <v>140.1433368553613</v>
      </c>
      <c r="BH56">
        <v>139.71549565983611</v>
      </c>
      <c r="BI56">
        <v>139.7336367290381</v>
      </c>
      <c r="BJ56">
        <v>140.27603037736409</v>
      </c>
      <c r="BK56">
        <v>140.20095189657849</v>
      </c>
      <c r="BL56">
        <v>139.56669297483131</v>
      </c>
      <c r="BM56">
        <v>139.57157481709669</v>
      </c>
      <c r="BN56">
        <v>139.95679282827749</v>
      </c>
      <c r="BO56">
        <v>139.57118765106489</v>
      </c>
      <c r="BP56">
        <v>139.68386138223451</v>
      </c>
      <c r="BQ56">
        <v>139.8094608469797</v>
      </c>
      <c r="BR56">
        <v>139.77613114226841</v>
      </c>
      <c r="BS56">
        <v>140.02728618661041</v>
      </c>
      <c r="BT56">
        <v>140.1327765779435</v>
      </c>
      <c r="BU56">
        <v>139.79081566229519</v>
      </c>
      <c r="BV56">
        <v>139.843765440666</v>
      </c>
      <c r="BW56">
        <v>140.2196489854974</v>
      </c>
      <c r="BX56">
        <v>140.76905648767581</v>
      </c>
      <c r="BY56">
        <v>141.84195202290809</v>
      </c>
      <c r="BZ56">
        <v>141.7191811306578</v>
      </c>
      <c r="CA56">
        <v>141.3932174165972</v>
      </c>
    </row>
    <row r="57" spans="1:79" ht="15" customHeight="1" x14ac:dyDescent="0.35">
      <c r="A57" s="6" t="s">
        <v>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</row>
    <row r="58" spans="1:79" ht="15" customHeight="1" x14ac:dyDescent="0.35">
      <c r="A58" s="4" t="s">
        <v>27</v>
      </c>
      <c r="B58">
        <v>4.6948976841725312</v>
      </c>
      <c r="C58">
        <v>4.6240717527240633</v>
      </c>
      <c r="D58">
        <v>4.4679387867836056</v>
      </c>
      <c r="E58">
        <v>4.487544596787302</v>
      </c>
      <c r="F58">
        <v>4.4393489638574692</v>
      </c>
      <c r="G58">
        <v>4.3909115429907217</v>
      </c>
      <c r="H58">
        <v>4.4175249732352881</v>
      </c>
      <c r="I58">
        <v>4.3963413914089529</v>
      </c>
      <c r="J58">
        <v>4.4150990588762511</v>
      </c>
      <c r="K58">
        <v>4.489528985239815</v>
      </c>
      <c r="L58">
        <v>4.3649482037572804</v>
      </c>
      <c r="M58">
        <v>4.1750585700808642</v>
      </c>
      <c r="N58">
        <v>4.2224109996296866</v>
      </c>
      <c r="O58">
        <v>4.1560833719651953</v>
      </c>
      <c r="P58">
        <v>3.94175341542865</v>
      </c>
      <c r="Q58">
        <v>3.8078992327345418</v>
      </c>
      <c r="R58">
        <v>3.7723651487916068</v>
      </c>
      <c r="S58">
        <v>3.878751006032132</v>
      </c>
      <c r="T58">
        <v>3.8049339131908941</v>
      </c>
      <c r="U58">
        <v>3.63186477500247</v>
      </c>
      <c r="V58">
        <v>3.5382747462408588</v>
      </c>
      <c r="W58">
        <v>3.5516710216714671</v>
      </c>
      <c r="X58">
        <v>3.5906339099621789</v>
      </c>
      <c r="Y58">
        <v>3.4163915051571219</v>
      </c>
      <c r="Z58">
        <v>3.3571344627549422</v>
      </c>
      <c r="AA58">
        <v>3.3111684743639098</v>
      </c>
      <c r="AB58">
        <v>3.0517678883789192</v>
      </c>
      <c r="AC58">
        <v>3.142146361863809</v>
      </c>
      <c r="AD58">
        <v>3.110629908868106</v>
      </c>
      <c r="AF58">
        <v>2.9160300373836212</v>
      </c>
      <c r="AG58">
        <v>2.870261978885452</v>
      </c>
      <c r="AH58">
        <v>2.7549446256783772</v>
      </c>
      <c r="AI58">
        <v>2.7133908680849572</v>
      </c>
      <c r="AJ58">
        <v>2.3203968751805921</v>
      </c>
      <c r="AK58">
        <v>2.6651172690137912</v>
      </c>
      <c r="AL58">
        <v>2.2379048437998388</v>
      </c>
      <c r="AM58">
        <v>2.7579947941790981</v>
      </c>
      <c r="AN58">
        <v>2.4869358211587378</v>
      </c>
      <c r="AO58">
        <v>2.8366352218862692</v>
      </c>
      <c r="AP58">
        <v>3.150772712145169</v>
      </c>
      <c r="AQ58">
        <v>3.1472567906547511</v>
      </c>
      <c r="AR58">
        <v>2.6576857141319858</v>
      </c>
      <c r="AS58">
        <v>2.9482811038841419</v>
      </c>
      <c r="AT58">
        <v>3.1375750136104732</v>
      </c>
      <c r="AU58">
        <v>3.227289232877212</v>
      </c>
      <c r="AV58">
        <v>2.87732654482565</v>
      </c>
      <c r="AW58">
        <v>3.0175102767622661</v>
      </c>
      <c r="BA58">
        <v>4.3705019447348548</v>
      </c>
      <c r="BB58">
        <v>4.0339477660635907</v>
      </c>
      <c r="BC58">
        <v>4.1307109939292266</v>
      </c>
      <c r="BD58">
        <v>4.5155794284217166</v>
      </c>
      <c r="BE58">
        <v>4.8670008483910294</v>
      </c>
      <c r="BF58">
        <v>4.9564758797251898</v>
      </c>
      <c r="BG58">
        <v>4.9643880930212836</v>
      </c>
      <c r="BH58">
        <v>4.9283691800223721</v>
      </c>
      <c r="BI58">
        <v>4.7212500251344238</v>
      </c>
      <c r="BJ58">
        <v>4.8437007957081732</v>
      </c>
      <c r="BK58">
        <v>4.6746477185456854</v>
      </c>
      <c r="BL58">
        <v>3.984739200405556</v>
      </c>
      <c r="BM58">
        <v>3.3904832247982308</v>
      </c>
      <c r="BN58">
        <v>2.7176925874223339</v>
      </c>
      <c r="BO58">
        <v>2.3912604534055499</v>
      </c>
      <c r="BP58">
        <v>2.3749625657455908</v>
      </c>
      <c r="BQ58">
        <v>2.9516085935486269</v>
      </c>
      <c r="BR58">
        <v>3.766874534602294</v>
      </c>
      <c r="BS58">
        <v>4.2575858636167538</v>
      </c>
      <c r="BT58">
        <v>4.4189414143841654</v>
      </c>
      <c r="BU58">
        <v>3.4866713981079158</v>
      </c>
      <c r="BV58">
        <v>3.783820192111421</v>
      </c>
      <c r="BW58">
        <v>4.0321297451187093</v>
      </c>
      <c r="BX58">
        <v>3.671002894152537</v>
      </c>
      <c r="BY58">
        <v>4.8405102467891368</v>
      </c>
      <c r="BZ58">
        <v>4.5710957911801984</v>
      </c>
    </row>
    <row r="59" spans="1:79" ht="15" customHeight="1" x14ac:dyDescent="0.35">
      <c r="A59" s="3" t="s">
        <v>28</v>
      </c>
      <c r="B59">
        <v>-1.5995483905300321</v>
      </c>
      <c r="C59">
        <v>-2.6365863552907172</v>
      </c>
      <c r="D59">
        <v>-2.6047163448172341</v>
      </c>
      <c r="E59">
        <v>-2.630579494891236</v>
      </c>
      <c r="F59">
        <v>-2.9917080517442969</v>
      </c>
      <c r="G59">
        <v>-3.160423645308839</v>
      </c>
      <c r="H59">
        <v>-3.124419279051637</v>
      </c>
      <c r="I59">
        <v>-2.822027546012833</v>
      </c>
      <c r="J59">
        <v>-2.8685938723828031</v>
      </c>
      <c r="K59">
        <v>-2.7294221795652329</v>
      </c>
      <c r="L59">
        <v>-2.9871899138650519</v>
      </c>
      <c r="M59">
        <v>-3.2546834655440189</v>
      </c>
      <c r="N59">
        <v>-3.1684269675356229</v>
      </c>
      <c r="O59">
        <v>-3.049642999009563</v>
      </c>
      <c r="P59">
        <v>-2.750049837094366</v>
      </c>
      <c r="Q59">
        <v>-2.6780094976031421</v>
      </c>
      <c r="R59">
        <v>-2.8632051058553429</v>
      </c>
      <c r="S59">
        <v>-2.6565293998652351</v>
      </c>
      <c r="T59">
        <v>-2.6099692821993021</v>
      </c>
      <c r="U59">
        <v>-2.5631869031047358</v>
      </c>
      <c r="V59">
        <v>-2.5856647830761972</v>
      </c>
      <c r="W59">
        <v>-2.0669935618929571</v>
      </c>
      <c r="X59">
        <v>-1.646362233407729</v>
      </c>
      <c r="Y59">
        <v>-1.706010783893674</v>
      </c>
      <c r="Z59">
        <v>-1.789220143277817</v>
      </c>
      <c r="AA59">
        <v>-2.2289025436828638</v>
      </c>
      <c r="AB59">
        <v>-2.576097933135316</v>
      </c>
      <c r="AC59">
        <v>-2.458115833338383</v>
      </c>
      <c r="AD59">
        <v>-2.523666424908328</v>
      </c>
      <c r="AF59">
        <v>-2.6470178248785881</v>
      </c>
      <c r="AG59">
        <v>-2.930762435061808</v>
      </c>
      <c r="AH59">
        <v>-2.8847397244211379</v>
      </c>
      <c r="AI59">
        <v>-3.0004066259494948</v>
      </c>
      <c r="AJ59">
        <v>-2.8525928225424479</v>
      </c>
      <c r="AK59">
        <v>-3.8742436212364169</v>
      </c>
      <c r="AL59">
        <v>-3.4019685210099908</v>
      </c>
      <c r="AM59">
        <v>-3.9072047477198741</v>
      </c>
      <c r="AN59">
        <v>-3.7844785011762379</v>
      </c>
      <c r="AO59">
        <v>-3.4374909824116462</v>
      </c>
      <c r="AP59">
        <v>-4.0748236170760777</v>
      </c>
      <c r="AQ59">
        <v>-4.5018318443536032</v>
      </c>
      <c r="AR59">
        <v>-4.4288704123936782</v>
      </c>
      <c r="AS59">
        <v>-4.1277958251400264</v>
      </c>
      <c r="AT59">
        <v>-3.8583138339010929</v>
      </c>
      <c r="AU59">
        <v>-3.56900853823339</v>
      </c>
      <c r="AV59">
        <v>-3.7938055666541288</v>
      </c>
      <c r="AW59">
        <v>-4.5744284167431033</v>
      </c>
      <c r="BA59">
        <v>-3.6385679624209222</v>
      </c>
      <c r="BB59">
        <v>-2.8794899011131458</v>
      </c>
      <c r="BC59">
        <v>-3.6375242820715532</v>
      </c>
      <c r="BD59">
        <v>-3.4758261108084412</v>
      </c>
      <c r="BE59">
        <v>-3.2869606930213422</v>
      </c>
      <c r="BF59">
        <v>-3.3510287432174271</v>
      </c>
      <c r="BG59">
        <v>-3.520461739378959</v>
      </c>
      <c r="BH59">
        <v>-3.7219904680713398</v>
      </c>
      <c r="BI59">
        <v>-3.8399459364966901</v>
      </c>
      <c r="BJ59">
        <v>-3.9577945757135922</v>
      </c>
      <c r="BK59">
        <v>-4.0314844188936547</v>
      </c>
      <c r="BL59">
        <v>-3.857436906563009</v>
      </c>
      <c r="BM59">
        <v>-4.0889142767782687</v>
      </c>
      <c r="BN59">
        <v>-3.92431574323308</v>
      </c>
      <c r="BO59">
        <v>-3.9226033151939532</v>
      </c>
      <c r="BP59">
        <v>-3.771935440861427</v>
      </c>
      <c r="BQ59">
        <v>-3.5120349492640628</v>
      </c>
      <c r="BR59">
        <v>-3.3265763994046438</v>
      </c>
      <c r="BS59">
        <v>-3.101043549285436</v>
      </c>
      <c r="BT59">
        <v>-3.307007424204556</v>
      </c>
      <c r="BU59">
        <v>-3.0384954291280049</v>
      </c>
      <c r="BV59">
        <v>-3.1204724420883849</v>
      </c>
      <c r="BW59">
        <v>-2.531670545998963</v>
      </c>
      <c r="BX59">
        <v>-3.2264075751890569</v>
      </c>
      <c r="BY59">
        <v>-2.179462863436981</v>
      </c>
      <c r="BZ59">
        <v>-2.8669072168838738</v>
      </c>
    </row>
    <row r="60" spans="1:79" ht="15" customHeight="1" x14ac:dyDescent="0.35">
      <c r="A60" s="4" t="s">
        <v>29</v>
      </c>
      <c r="B60">
        <v>1.5995483905300321</v>
      </c>
      <c r="C60">
        <v>2.6365863552907172</v>
      </c>
      <c r="D60">
        <v>2.6047163448172341</v>
      </c>
      <c r="E60">
        <v>2.630579494891236</v>
      </c>
      <c r="F60">
        <v>2.9917080517442969</v>
      </c>
      <c r="G60">
        <v>3.160423645308839</v>
      </c>
      <c r="H60">
        <v>3.124419279051637</v>
      </c>
      <c r="I60">
        <v>2.822027546012833</v>
      </c>
      <c r="J60">
        <v>2.8685938723828031</v>
      </c>
      <c r="K60">
        <v>2.7294221795652329</v>
      </c>
      <c r="L60">
        <v>2.9871899138650519</v>
      </c>
      <c r="M60">
        <v>3.2546834655440189</v>
      </c>
      <c r="N60">
        <v>3.1684269675356229</v>
      </c>
      <c r="O60">
        <v>3.049642999009563</v>
      </c>
      <c r="P60">
        <v>2.750049837094366</v>
      </c>
      <c r="Q60">
        <v>2.6780094976031421</v>
      </c>
      <c r="R60">
        <v>2.8632051058553429</v>
      </c>
      <c r="S60">
        <v>2.6565293998652351</v>
      </c>
      <c r="T60">
        <v>2.6099692821993021</v>
      </c>
      <c r="U60">
        <v>2.5631869031047358</v>
      </c>
      <c r="V60">
        <v>2.5856647830761972</v>
      </c>
      <c r="W60">
        <v>2.0669935618929571</v>
      </c>
      <c r="X60">
        <v>1.646362233407729</v>
      </c>
      <c r="Y60">
        <v>1.706010783893674</v>
      </c>
      <c r="Z60">
        <v>1.789220143277817</v>
      </c>
      <c r="AA60">
        <v>2.2289025436828638</v>
      </c>
      <c r="AB60">
        <v>2.576097933135316</v>
      </c>
      <c r="AC60">
        <v>2.458115833338383</v>
      </c>
      <c r="AD60">
        <v>2.523666424908328</v>
      </c>
      <c r="AF60">
        <v>2.6470178248785881</v>
      </c>
      <c r="AG60">
        <v>2.930762435061808</v>
      </c>
      <c r="AH60">
        <v>2.8847397244211379</v>
      </c>
      <c r="AI60">
        <v>3.0004066259494948</v>
      </c>
      <c r="AJ60">
        <v>2.8525928225424479</v>
      </c>
      <c r="AK60">
        <v>3.8742436212364169</v>
      </c>
      <c r="AL60">
        <v>3.4019685210099908</v>
      </c>
      <c r="AM60">
        <v>3.9072047477198741</v>
      </c>
      <c r="AN60">
        <v>3.7844785011762379</v>
      </c>
      <c r="AO60">
        <v>3.4374909824116462</v>
      </c>
      <c r="AP60">
        <v>4.0748236170760777</v>
      </c>
      <c r="AQ60">
        <v>4.5018318443536032</v>
      </c>
      <c r="AR60">
        <v>4.4288704123936782</v>
      </c>
      <c r="AS60">
        <v>4.1277958251400264</v>
      </c>
      <c r="AT60">
        <v>3.8583138339010929</v>
      </c>
      <c r="AU60">
        <v>3.56900853823339</v>
      </c>
      <c r="AV60">
        <v>3.7938055666541288</v>
      </c>
      <c r="AW60">
        <v>4.5744284167431033</v>
      </c>
      <c r="BA60">
        <v>3.6385679624209222</v>
      </c>
      <c r="BB60">
        <v>2.8794899011131458</v>
      </c>
      <c r="BC60">
        <v>3.6375242820715532</v>
      </c>
      <c r="BD60">
        <v>3.4758261108084412</v>
      </c>
      <c r="BE60">
        <v>3.2869606930213422</v>
      </c>
      <c r="BF60">
        <v>3.3510287432174271</v>
      </c>
      <c r="BG60">
        <v>3.520461739378959</v>
      </c>
      <c r="BH60">
        <v>3.7219904680713398</v>
      </c>
      <c r="BI60">
        <v>3.8399459364966901</v>
      </c>
      <c r="BJ60">
        <v>3.9577945757135922</v>
      </c>
      <c r="BK60">
        <v>4.0314844188936547</v>
      </c>
      <c r="BL60">
        <v>3.857436906563009</v>
      </c>
      <c r="BM60">
        <v>4.0889142767782687</v>
      </c>
      <c r="BN60">
        <v>3.92431574323308</v>
      </c>
      <c r="BO60">
        <v>3.9226033151939532</v>
      </c>
      <c r="BP60">
        <v>3.771935440861427</v>
      </c>
      <c r="BQ60">
        <v>3.5120349492640628</v>
      </c>
      <c r="BR60">
        <v>3.3265763994046438</v>
      </c>
      <c r="BS60">
        <v>3.101043549285436</v>
      </c>
      <c r="BT60">
        <v>3.307007424204556</v>
      </c>
      <c r="BU60">
        <v>3.0384954291280049</v>
      </c>
      <c r="BV60">
        <v>3.1204724420883849</v>
      </c>
      <c r="BW60">
        <v>2.531670545998963</v>
      </c>
      <c r="BX60">
        <v>3.2264075751890569</v>
      </c>
      <c r="BY60">
        <v>2.179462863436981</v>
      </c>
      <c r="BZ60">
        <v>2.8669072168838738</v>
      </c>
    </row>
    <row r="61" spans="1:79" ht="15" customHeight="1" x14ac:dyDescent="0.35">
      <c r="A61" s="3" t="s">
        <v>30</v>
      </c>
      <c r="B61">
        <v>141.28447549822729</v>
      </c>
      <c r="C61">
        <v>143.71455316331779</v>
      </c>
      <c r="D61">
        <v>142.24346124603721</v>
      </c>
      <c r="E61">
        <v>141.36187931159591</v>
      </c>
      <c r="F61">
        <v>140.51024320389089</v>
      </c>
      <c r="G61">
        <v>140.46291210180479</v>
      </c>
      <c r="H61">
        <v>140.00155445820999</v>
      </c>
      <c r="I61">
        <v>140.85345195402601</v>
      </c>
      <c r="J61">
        <v>142.8136622062357</v>
      </c>
      <c r="K61">
        <v>143.71215998257099</v>
      </c>
      <c r="L61">
        <v>143.68530784470391</v>
      </c>
      <c r="M61">
        <v>142.81213468783471</v>
      </c>
      <c r="N61">
        <v>142.51290939846609</v>
      </c>
      <c r="O61">
        <v>141.57389425763131</v>
      </c>
      <c r="P61">
        <v>140.48641267310839</v>
      </c>
      <c r="Q61">
        <v>140.72955097207009</v>
      </c>
      <c r="R61">
        <v>140.08734732026619</v>
      </c>
      <c r="S61">
        <v>139.15359173766379</v>
      </c>
      <c r="T61">
        <v>138.97169066264229</v>
      </c>
      <c r="U61">
        <v>139.4603916150366</v>
      </c>
      <c r="V61">
        <v>139.36569651607249</v>
      </c>
      <c r="W61">
        <v>139.0787728694809</v>
      </c>
      <c r="X61">
        <v>137.35774100736771</v>
      </c>
      <c r="Y61">
        <v>139.42114756552479</v>
      </c>
      <c r="Z61">
        <v>137.0714355843771</v>
      </c>
      <c r="AA61">
        <v>137.11537049906391</v>
      </c>
      <c r="AB61">
        <v>136.09812599821859</v>
      </c>
      <c r="AC61">
        <v>135.7536736518577</v>
      </c>
      <c r="AD61">
        <v>135.18657416670621</v>
      </c>
      <c r="AF61">
        <v>136.74508387090521</v>
      </c>
      <c r="AG61">
        <v>137.60015814899239</v>
      </c>
      <c r="AH61">
        <v>137.09572979604039</v>
      </c>
      <c r="AI61">
        <v>137.81311733062009</v>
      </c>
      <c r="AJ61">
        <v>138.1215417939531</v>
      </c>
      <c r="AK61">
        <v>138.95796537759921</v>
      </c>
      <c r="AL61">
        <v>138.31234463481721</v>
      </c>
      <c r="AM61">
        <v>140.03467434658219</v>
      </c>
      <c r="AN61">
        <v>141.11974801544969</v>
      </c>
      <c r="AO61">
        <v>142.11941525614651</v>
      </c>
      <c r="AP61">
        <v>143.5201203770051</v>
      </c>
      <c r="AQ61">
        <v>142.96963911363321</v>
      </c>
      <c r="AR61">
        <v>142.8050762232844</v>
      </c>
      <c r="AS61">
        <v>143.39348623116351</v>
      </c>
      <c r="AT61">
        <v>143.87587460492429</v>
      </c>
      <c r="AU61">
        <v>144.00433154747549</v>
      </c>
      <c r="AV61">
        <v>143.54461636482739</v>
      </c>
      <c r="AW61">
        <v>143.6510129642034</v>
      </c>
      <c r="BA61">
        <v>145.21443629717399</v>
      </c>
      <c r="BB61">
        <v>144.39669259943309</v>
      </c>
      <c r="BC61">
        <v>142.66529576180309</v>
      </c>
      <c r="BD61">
        <v>144.59420426896031</v>
      </c>
      <c r="BE61">
        <v>145.42310348822369</v>
      </c>
      <c r="BF61">
        <v>145.53310292235889</v>
      </c>
      <c r="BG61">
        <v>145.10772494838261</v>
      </c>
      <c r="BH61">
        <v>144.6438648398584</v>
      </c>
      <c r="BI61">
        <v>144.45488675417249</v>
      </c>
      <c r="BJ61">
        <v>145.11973117307221</v>
      </c>
      <c r="BK61">
        <v>144.87559961512409</v>
      </c>
      <c r="BL61">
        <v>143.55143217523681</v>
      </c>
      <c r="BM61">
        <v>142.96205804189501</v>
      </c>
      <c r="BN61">
        <v>142.67448541569979</v>
      </c>
      <c r="BO61">
        <v>141.9624481044705</v>
      </c>
      <c r="BP61">
        <v>142.0588239479801</v>
      </c>
      <c r="BQ61">
        <v>142.76106944052839</v>
      </c>
      <c r="BR61">
        <v>143.54300567687071</v>
      </c>
      <c r="BS61">
        <v>144.28487205022719</v>
      </c>
      <c r="BT61">
        <v>144.5517179923277</v>
      </c>
      <c r="BU61">
        <v>143.2774870604031</v>
      </c>
      <c r="BV61">
        <v>143.6275856327774</v>
      </c>
      <c r="BW61">
        <v>144.25177873061611</v>
      </c>
      <c r="BX61">
        <v>144.44005938182841</v>
      </c>
      <c r="BY61">
        <v>146.6824622696972</v>
      </c>
      <c r="BZ61">
        <v>146.290276921838</v>
      </c>
    </row>
    <row r="62" spans="1:79" ht="15" customHeight="1" x14ac:dyDescent="0.35">
      <c r="A62" s="5" t="s">
        <v>31</v>
      </c>
      <c r="B62">
        <v>1.5869319682647449</v>
      </c>
      <c r="C62">
        <v>1.571889770412024</v>
      </c>
      <c r="D62">
        <v>1.585633194488973</v>
      </c>
      <c r="E62">
        <v>1.6092025705913131</v>
      </c>
      <c r="F62">
        <v>1.742585170610411</v>
      </c>
      <c r="G62">
        <v>1.7069369016679199</v>
      </c>
      <c r="H62">
        <v>1.675450606134707</v>
      </c>
      <c r="I62">
        <v>1.750556117834418</v>
      </c>
      <c r="J62">
        <v>1.7656216083002101</v>
      </c>
      <c r="K62">
        <v>1.708588742574805</v>
      </c>
      <c r="L62">
        <v>1.6026612960250199</v>
      </c>
      <c r="M62">
        <v>1.5486624973588401</v>
      </c>
      <c r="N62">
        <v>1.5876728368877679</v>
      </c>
      <c r="O62">
        <v>1.671920858808706</v>
      </c>
      <c r="P62">
        <v>1.736321222684156</v>
      </c>
      <c r="Q62">
        <v>1.7560464341296269</v>
      </c>
      <c r="R62">
        <v>1.7265692525403959</v>
      </c>
      <c r="S62">
        <v>1.640643484937627</v>
      </c>
      <c r="T62">
        <v>1.4813918283046921</v>
      </c>
      <c r="U62">
        <v>1.435319655484514</v>
      </c>
      <c r="V62">
        <v>1.4283304641080921</v>
      </c>
      <c r="W62">
        <v>1.4261178891327639</v>
      </c>
      <c r="X62">
        <v>1.454228875939984</v>
      </c>
      <c r="Y62">
        <v>1.5011774333675569</v>
      </c>
      <c r="Z62">
        <v>1.4862306010311419</v>
      </c>
      <c r="AA62">
        <v>1.4816820981566681</v>
      </c>
      <c r="AB62">
        <v>1.495153765504784</v>
      </c>
      <c r="AC62">
        <v>1.499158256160708</v>
      </c>
      <c r="AD62">
        <v>1.636929077301609</v>
      </c>
      <c r="AF62">
        <v>1.5101903049258409</v>
      </c>
      <c r="AG62">
        <v>1.563684982919975</v>
      </c>
      <c r="AH62">
        <v>1.658790969038449</v>
      </c>
      <c r="AI62">
        <v>1.6331300709874941</v>
      </c>
      <c r="AJ62">
        <v>1.5946108989518379</v>
      </c>
      <c r="AK62">
        <v>1.692888556840948</v>
      </c>
      <c r="AL62">
        <v>1.707081027595031</v>
      </c>
      <c r="AM62">
        <v>1.741500729119887</v>
      </c>
      <c r="AN62">
        <v>1.7928600546420459</v>
      </c>
      <c r="AO62">
        <v>1.79362742351167</v>
      </c>
      <c r="AP62">
        <v>1.8338606547598879</v>
      </c>
      <c r="AQ62">
        <v>1.7686175758521849</v>
      </c>
      <c r="AR62">
        <v>1.8303153117091979</v>
      </c>
      <c r="AS62">
        <v>1.8232192457952381</v>
      </c>
      <c r="AT62">
        <v>1.6709909300475581</v>
      </c>
      <c r="AU62">
        <v>1.7887788147091599</v>
      </c>
      <c r="AV62">
        <v>2.0258206473434801</v>
      </c>
      <c r="AW62">
        <v>1.802483459972563</v>
      </c>
      <c r="BA62">
        <v>1.950406876657762</v>
      </c>
      <c r="BB62">
        <v>1.898526377356299</v>
      </c>
      <c r="BC62">
        <v>1.9781911652535611</v>
      </c>
      <c r="BD62">
        <v>1.7214237085184749</v>
      </c>
      <c r="BE62">
        <v>1.682732838950102</v>
      </c>
      <c r="BF62">
        <v>1.600644115734781</v>
      </c>
      <c r="BG62">
        <v>1.607987055084273</v>
      </c>
      <c r="BH62">
        <v>1.695643269966107</v>
      </c>
      <c r="BI62">
        <v>1.6379445571246409</v>
      </c>
      <c r="BJ62">
        <v>1.6577445123844159</v>
      </c>
      <c r="BK62">
        <v>1.649331565716776</v>
      </c>
      <c r="BL62">
        <v>1.686800329432238</v>
      </c>
      <c r="BM62">
        <v>1.662869345946177</v>
      </c>
      <c r="BN62">
        <v>1.683902105121355</v>
      </c>
      <c r="BO62">
        <v>1.590845521545684</v>
      </c>
      <c r="BP62">
        <v>1.600056948189208</v>
      </c>
      <c r="BQ62">
        <v>1.5744699965820339</v>
      </c>
      <c r="BR62">
        <v>1.589523922700115</v>
      </c>
      <c r="BS62">
        <v>1.602630097883843</v>
      </c>
      <c r="BT62">
        <v>1.547644777690794</v>
      </c>
      <c r="BU62">
        <v>1.574533613337235</v>
      </c>
      <c r="BV62">
        <v>1.6150980683631539</v>
      </c>
      <c r="BW62">
        <v>1.6092212613365251</v>
      </c>
      <c r="BX62">
        <v>1.559776989093022</v>
      </c>
      <c r="BY62">
        <v>1.5040949371390031</v>
      </c>
      <c r="BZ62">
        <v>1.4876446174487761</v>
      </c>
    </row>
    <row r="63" spans="1:79" ht="15" customHeight="1" x14ac:dyDescent="0.35"/>
    <row r="64" spans="1:79" ht="15" customHeight="1" x14ac:dyDescent="0.35">
      <c r="A64" s="1" t="s">
        <v>38</v>
      </c>
      <c r="B64" s="2">
        <v>2016</v>
      </c>
      <c r="C64" s="2">
        <v>2017</v>
      </c>
      <c r="D64" s="2">
        <v>2018</v>
      </c>
      <c r="E64" s="2">
        <v>2019</v>
      </c>
      <c r="F64" s="2" t="s">
        <v>39</v>
      </c>
      <c r="G64" s="2" t="s">
        <v>40</v>
      </c>
      <c r="H64" s="2" t="s">
        <v>41</v>
      </c>
      <c r="I64" s="2" t="s">
        <v>42</v>
      </c>
      <c r="J64" s="2" t="s">
        <v>43</v>
      </c>
      <c r="K64" s="2" t="s">
        <v>44</v>
      </c>
      <c r="L64" s="2" t="s">
        <v>45</v>
      </c>
      <c r="M64" s="2" t="s">
        <v>46</v>
      </c>
      <c r="N64" s="2" t="s">
        <v>47</v>
      </c>
      <c r="O64" s="2" t="s">
        <v>48</v>
      </c>
      <c r="P64" s="2" t="s">
        <v>49</v>
      </c>
      <c r="Q64" s="2" t="s">
        <v>50</v>
      </c>
      <c r="R64" s="2" t="s">
        <v>51</v>
      </c>
      <c r="S64" s="2" t="s">
        <v>52</v>
      </c>
      <c r="T64" s="2" t="s">
        <v>53</v>
      </c>
      <c r="U64" s="2" t="s">
        <v>54</v>
      </c>
      <c r="V64" s="2" t="s">
        <v>55</v>
      </c>
      <c r="W64" s="2" t="s">
        <v>56</v>
      </c>
      <c r="X64" s="2" t="s">
        <v>57</v>
      </c>
      <c r="Y64" s="2" t="s">
        <v>58</v>
      </c>
      <c r="Z64" s="2" t="s">
        <v>59</v>
      </c>
      <c r="AA64" s="2" t="s">
        <v>60</v>
      </c>
      <c r="AB64" s="2" t="s">
        <v>61</v>
      </c>
      <c r="AC64" s="2" t="s">
        <v>62</v>
      </c>
      <c r="AD64" s="2" t="s">
        <v>63</v>
      </c>
      <c r="AE64" s="2" t="s">
        <v>64</v>
      </c>
      <c r="AF64" s="2" t="s">
        <v>65</v>
      </c>
      <c r="AG64" s="2" t="s">
        <v>66</v>
      </c>
      <c r="AH64" s="2" t="s">
        <v>67</v>
      </c>
      <c r="AI64" s="2" t="s">
        <v>68</v>
      </c>
      <c r="AJ64" s="2" t="s">
        <v>69</v>
      </c>
      <c r="AK64" s="2" t="s">
        <v>70</v>
      </c>
      <c r="AL64" s="2" t="s">
        <v>71</v>
      </c>
      <c r="AM64" s="2" t="s">
        <v>72</v>
      </c>
      <c r="AN64" s="2" t="s">
        <v>73</v>
      </c>
      <c r="AO64" s="2" t="s">
        <v>74</v>
      </c>
      <c r="AP64" s="2" t="s">
        <v>75</v>
      </c>
      <c r="AQ64" s="2" t="s">
        <v>76</v>
      </c>
      <c r="AR64" s="2" t="s">
        <v>77</v>
      </c>
      <c r="AS64" s="2" t="s">
        <v>78</v>
      </c>
      <c r="AT64" s="2" t="s">
        <v>79</v>
      </c>
      <c r="AU64" s="2" t="s">
        <v>80</v>
      </c>
      <c r="AV64" s="2" t="s">
        <v>81</v>
      </c>
      <c r="AW64" s="2" t="s">
        <v>82</v>
      </c>
      <c r="AX64" s="2" t="s">
        <v>83</v>
      </c>
      <c r="AY64" s="2" t="s">
        <v>84</v>
      </c>
      <c r="AZ64" s="2" t="s">
        <v>85</v>
      </c>
      <c r="BA64" s="2" t="s">
        <v>86</v>
      </c>
      <c r="BB64" s="2" t="s">
        <v>87</v>
      </c>
      <c r="BC64" s="2" t="s">
        <v>88</v>
      </c>
      <c r="BD64" s="2" t="s">
        <v>89</v>
      </c>
      <c r="BE64" s="2" t="s">
        <v>90</v>
      </c>
      <c r="BF64" s="2" t="s">
        <v>91</v>
      </c>
      <c r="BG64" s="2" t="s">
        <v>92</v>
      </c>
      <c r="BH64" s="2" t="s">
        <v>93</v>
      </c>
      <c r="BI64" s="2" t="s">
        <v>94</v>
      </c>
      <c r="BJ64" s="2" t="s">
        <v>95</v>
      </c>
      <c r="BK64" s="2" t="s">
        <v>96</v>
      </c>
      <c r="BL64" s="2" t="s">
        <v>97</v>
      </c>
      <c r="BM64" s="2" t="s">
        <v>98</v>
      </c>
      <c r="BN64" s="2" t="s">
        <v>99</v>
      </c>
      <c r="BO64" s="2" t="s">
        <v>100</v>
      </c>
      <c r="BP64" s="2" t="s">
        <v>101</v>
      </c>
      <c r="BQ64" s="2" t="s">
        <v>102</v>
      </c>
      <c r="BR64" s="2" t="s">
        <v>103</v>
      </c>
      <c r="BS64" s="2" t="s">
        <v>104</v>
      </c>
      <c r="BT64" s="2" t="s">
        <v>105</v>
      </c>
      <c r="BU64" s="2" t="s">
        <v>106</v>
      </c>
      <c r="BV64" s="2" t="s">
        <v>107</v>
      </c>
      <c r="BW64" s="2" t="s">
        <v>108</v>
      </c>
      <c r="BX64" s="2" t="s">
        <v>109</v>
      </c>
      <c r="BY64" s="2" t="s">
        <v>110</v>
      </c>
      <c r="BZ64" s="116" t="s">
        <v>111</v>
      </c>
    </row>
    <row r="65" spans="1:79" ht="15" customHeight="1" x14ac:dyDescent="0.35">
      <c r="A65" s="5" t="s">
        <v>25</v>
      </c>
      <c r="B65">
        <v>133.97025543751101</v>
      </c>
      <c r="C65">
        <v>137.088049236567</v>
      </c>
      <c r="D65">
        <v>136.1776779193803</v>
      </c>
      <c r="E65">
        <v>135.2240325927319</v>
      </c>
      <c r="F65">
        <v>134.058654046687</v>
      </c>
      <c r="G65">
        <v>134.6600662130225</v>
      </c>
      <c r="H65">
        <v>134.03644431126489</v>
      </c>
      <c r="I65">
        <v>133.89067798299419</v>
      </c>
      <c r="J65">
        <v>136.75845043416419</v>
      </c>
      <c r="K65">
        <v>137.7925697771455</v>
      </c>
      <c r="L65">
        <v>138.05386872717631</v>
      </c>
      <c r="M65">
        <v>137.6387494463234</v>
      </c>
      <c r="N65">
        <v>137.3338829041011</v>
      </c>
      <c r="O65">
        <v>136.64385048009939</v>
      </c>
      <c r="P65">
        <v>136.00633926848161</v>
      </c>
      <c r="Q65">
        <v>136.30158178839869</v>
      </c>
      <c r="R65">
        <v>135.9752233694372</v>
      </c>
      <c r="S65">
        <v>135.1436452834229</v>
      </c>
      <c r="T65">
        <v>134.9255336917069</v>
      </c>
      <c r="U65">
        <v>135.08979005526399</v>
      </c>
      <c r="V65">
        <v>135.09398618399459</v>
      </c>
      <c r="W65">
        <v>134.75598359330101</v>
      </c>
      <c r="X65">
        <v>133.54132870987411</v>
      </c>
      <c r="Y65">
        <v>135.4591011496866</v>
      </c>
      <c r="Z65">
        <v>133.55743875921519</v>
      </c>
      <c r="AA65">
        <v>133.5371970947796</v>
      </c>
      <c r="AB65">
        <v>132.5557214370132</v>
      </c>
      <c r="AC65">
        <v>132.26549686196381</v>
      </c>
      <c r="AD65">
        <v>132.18318793940011</v>
      </c>
      <c r="AE65">
        <v>133.0840594950954</v>
      </c>
      <c r="AF65">
        <v>133.50522303222169</v>
      </c>
      <c r="AG65">
        <v>134.5573115917914</v>
      </c>
      <c r="AH65">
        <v>134.67672894039919</v>
      </c>
      <c r="AI65">
        <v>135.27614424995619</v>
      </c>
      <c r="AJ65">
        <v>135.8478112876931</v>
      </c>
      <c r="AK65">
        <v>136.07802270455599</v>
      </c>
      <c r="AL65">
        <v>135.77856814248449</v>
      </c>
      <c r="AM65">
        <v>136.26093495530961</v>
      </c>
      <c r="AN65">
        <v>137.5574469876502</v>
      </c>
      <c r="AO65">
        <v>137.80543015359191</v>
      </c>
      <c r="AP65">
        <v>138.5565580103459</v>
      </c>
      <c r="AQ65">
        <v>138.629836739014</v>
      </c>
      <c r="AR65">
        <v>138.50617920217331</v>
      </c>
      <c r="AS65">
        <v>138.90741735074801</v>
      </c>
      <c r="AT65">
        <v>139.3613513434035</v>
      </c>
      <c r="AU65">
        <v>138.69173214043249</v>
      </c>
      <c r="AV65">
        <v>138.57662248183209</v>
      </c>
      <c r="AW65">
        <v>139.25133140369579</v>
      </c>
      <c r="AX65">
        <v>139.35696473695279</v>
      </c>
      <c r="AY65">
        <v>138.9129111671825</v>
      </c>
      <c r="AZ65">
        <v>138.8698124065522</v>
      </c>
      <c r="BA65">
        <v>138.01359643693959</v>
      </c>
      <c r="BB65">
        <v>138.34091949835849</v>
      </c>
      <c r="BC65">
        <v>138.97094697560479</v>
      </c>
      <c r="BD65">
        <v>139.32091721802931</v>
      </c>
      <c r="BE65">
        <v>139.41972860069669</v>
      </c>
      <c r="BF65">
        <v>139.29997148089501</v>
      </c>
      <c r="BG65">
        <v>139.60041160421909</v>
      </c>
      <c r="BH65">
        <v>139.7687774509979</v>
      </c>
      <c r="BI65">
        <v>139.13918196668499</v>
      </c>
      <c r="BJ65">
        <v>138.49100334788781</v>
      </c>
      <c r="BK65">
        <v>138.20992827605869</v>
      </c>
      <c r="BL65">
        <v>138.2695898406956</v>
      </c>
      <c r="BM65">
        <v>138.27332810471239</v>
      </c>
      <c r="BN65">
        <v>138.33087188788079</v>
      </c>
      <c r="BO65">
        <v>138.81098189163851</v>
      </c>
      <c r="BP65">
        <v>139.16850220225729</v>
      </c>
      <c r="BQ65">
        <v>139.3798083875013</v>
      </c>
      <c r="BR65">
        <v>139.52930124737901</v>
      </c>
      <c r="BS65">
        <v>139.2546394476401</v>
      </c>
      <c r="BT65">
        <v>139.45689149303851</v>
      </c>
      <c r="BU65">
        <v>139.66882136837961</v>
      </c>
      <c r="BV65">
        <v>140.04554940102881</v>
      </c>
      <c r="BW65">
        <v>141.30084766917341</v>
      </c>
      <c r="BX65">
        <v>141.54262106234401</v>
      </c>
      <c r="BY65">
        <v>139.03921056426091</v>
      </c>
      <c r="BZ65">
        <v>138.88184424849871</v>
      </c>
      <c r="CA65">
        <v>141.41905817321901</v>
      </c>
    </row>
    <row r="66" spans="1:79" ht="15" customHeight="1" x14ac:dyDescent="0.35">
      <c r="A66" s="6" t="s">
        <v>26</v>
      </c>
      <c r="B66">
        <v>-2.3534024115176919</v>
      </c>
      <c r="C66">
        <v>-0.81646254324027723</v>
      </c>
      <c r="D66">
        <v>-0.3530037715904939</v>
      </c>
      <c r="E66">
        <v>-0.54593932066842399</v>
      </c>
      <c r="F66">
        <v>-0.63351394582619491</v>
      </c>
      <c r="G66">
        <v>-0.48107002327799359</v>
      </c>
      <c r="H66">
        <v>-0.42038598391215493</v>
      </c>
      <c r="I66">
        <v>-0.56066890462238916</v>
      </c>
      <c r="J66">
        <v>-0.40910978066921189</v>
      </c>
      <c r="K66">
        <v>-0.33633613722423661</v>
      </c>
      <c r="L66">
        <v>-0.29350318362065758</v>
      </c>
      <c r="M66">
        <v>-0.22877567122210959</v>
      </c>
      <c r="N66">
        <v>-0.1956463713119376</v>
      </c>
      <c r="O66">
        <v>-0.1355330169531328</v>
      </c>
      <c r="P66">
        <v>-0.1030874120326359</v>
      </c>
      <c r="Q66">
        <v>-6.5622552919734289E-2</v>
      </c>
      <c r="R66">
        <v>-3.224490502560684E-2</v>
      </c>
      <c r="S66">
        <v>1.221459773205424E-3</v>
      </c>
      <c r="T66">
        <v>2.073369120239477E-3</v>
      </c>
      <c r="U66">
        <v>4.6943335944888531E-2</v>
      </c>
      <c r="V66">
        <v>5.8053005395038333E-2</v>
      </c>
      <c r="W66">
        <v>5.2350712221823407E-2</v>
      </c>
      <c r="X66">
        <v>7.4250746036113924E-2</v>
      </c>
      <c r="Y66">
        <v>4.5408939759852267E-2</v>
      </c>
      <c r="Z66">
        <v>5.4842947347339077E-2</v>
      </c>
      <c r="AA66">
        <v>7.3216076421317666E-2</v>
      </c>
      <c r="AB66">
        <v>3.2491986566839159E-2</v>
      </c>
      <c r="AC66">
        <v>9.3870679140138691E-2</v>
      </c>
      <c r="AD66">
        <v>0.14773755422609719</v>
      </c>
      <c r="AE66">
        <v>-0.39985165284082308</v>
      </c>
      <c r="AF66">
        <v>5.428372242991486E-2</v>
      </c>
      <c r="AG66">
        <v>1.5324912070013849E-4</v>
      </c>
      <c r="AH66">
        <v>-0.2103736877669746</v>
      </c>
      <c r="AI66">
        <v>-0.17365996463558989</v>
      </c>
      <c r="AJ66">
        <v>-0.37510767324977218</v>
      </c>
      <c r="AK66">
        <v>-0.40630495321886428</v>
      </c>
      <c r="AL66">
        <v>-0.25469523656184379</v>
      </c>
      <c r="AM66">
        <v>-0.10356874430550531</v>
      </c>
      <c r="AN66">
        <v>-0.30781744500015412</v>
      </c>
      <c r="AO66">
        <v>-0.14799876735108339</v>
      </c>
      <c r="AP66">
        <v>-0.8502087855459024</v>
      </c>
      <c r="AQ66">
        <v>-0.36361184763379129</v>
      </c>
      <c r="AR66">
        <v>5.2422513698672901E-2</v>
      </c>
      <c r="AS66">
        <v>0.9071440545950793</v>
      </c>
      <c r="AT66">
        <v>2.0157784173335361E-2</v>
      </c>
      <c r="AU66">
        <v>-0.22003357263494649</v>
      </c>
      <c r="AV66">
        <v>-1.01428267142154</v>
      </c>
      <c r="AW66">
        <v>-1.1124434506498631</v>
      </c>
      <c r="AX66">
        <v>-2.4194133398752631</v>
      </c>
      <c r="AY66">
        <v>0.52702781149127986</v>
      </c>
      <c r="AZ66">
        <v>0.1301636059020552</v>
      </c>
      <c r="BA66">
        <v>6.0762208014438102E-2</v>
      </c>
      <c r="BB66">
        <v>0.17618449581979689</v>
      </c>
      <c r="BC66">
        <v>0.11345713947127931</v>
      </c>
      <c r="BD66">
        <v>0.1091062068612132</v>
      </c>
      <c r="BE66">
        <v>-1.035337312600859E-2</v>
      </c>
      <c r="BF66">
        <v>-7.5197569066091319E-2</v>
      </c>
      <c r="BG66">
        <v>-0.13370589502031291</v>
      </c>
      <c r="BH66">
        <v>-0.1015707982626282</v>
      </c>
      <c r="BI66">
        <v>-2.680362893715937E-2</v>
      </c>
      <c r="BJ66">
        <v>2.5448042174161859E-2</v>
      </c>
      <c r="BK66">
        <v>0.10402387282894671</v>
      </c>
      <c r="BL66">
        <v>0.1285771531219666</v>
      </c>
      <c r="BM66">
        <v>8.2720642492347451E-2</v>
      </c>
      <c r="BN66">
        <v>6.6619944381642426E-2</v>
      </c>
      <c r="BO66">
        <v>1.578814238641257E-2</v>
      </c>
      <c r="BP66">
        <v>-7.9787847972625059E-2</v>
      </c>
      <c r="BQ66">
        <v>-3.3364743661422842E-2</v>
      </c>
      <c r="BR66">
        <v>-4.1521497051235201E-2</v>
      </c>
      <c r="BS66">
        <v>-6.1269762184679166E-3</v>
      </c>
      <c r="BT66">
        <v>-5.0039784659730913E-2</v>
      </c>
      <c r="BU66">
        <v>-0.17929723111788581</v>
      </c>
      <c r="BV66">
        <v>-1.693960315708409E-2</v>
      </c>
      <c r="BW66">
        <v>4.3053065397202772E-3</v>
      </c>
      <c r="BX66">
        <v>-5.9222750157601922E-2</v>
      </c>
    </row>
    <row r="67" spans="1:79" ht="15" customHeight="1" x14ac:dyDescent="0.35">
      <c r="A67" s="4" t="s">
        <v>27</v>
      </c>
      <c r="B67">
        <v>1.433396583678729</v>
      </c>
      <c r="C67">
        <v>3.009763942940594</v>
      </c>
      <c r="D67">
        <v>3.1573317731686359</v>
      </c>
      <c r="E67">
        <v>3.2778811305171018</v>
      </c>
      <c r="F67">
        <v>2.4852191253816041</v>
      </c>
      <c r="G67">
        <v>2.6715138369566489</v>
      </c>
      <c r="H67">
        <v>2.6508163344622631</v>
      </c>
      <c r="I67">
        <v>2.1651594817586211</v>
      </c>
      <c r="J67">
        <v>2.767440400659297</v>
      </c>
      <c r="K67">
        <v>2.8512430458155511</v>
      </c>
      <c r="L67">
        <v>2.7547909403462261</v>
      </c>
      <c r="M67">
        <v>2.653009183039416</v>
      </c>
      <c r="N67">
        <v>2.6988377164066999</v>
      </c>
      <c r="O67">
        <v>2.5107784885003919</v>
      </c>
      <c r="P67">
        <v>2.5239006054948159</v>
      </c>
      <c r="Q67">
        <v>2.2725412999589878</v>
      </c>
      <c r="R67">
        <v>2.5299619557125079</v>
      </c>
      <c r="S67">
        <v>2.6760388106239361</v>
      </c>
      <c r="T67">
        <v>2.622307456496372</v>
      </c>
      <c r="U67">
        <v>2.2892741195767878</v>
      </c>
      <c r="V67">
        <v>2.1758494480874622</v>
      </c>
      <c r="W67">
        <v>2.0231407128908638</v>
      </c>
      <c r="X67">
        <v>2.1292115676419878</v>
      </c>
      <c r="Y67">
        <v>2.1667153473740939</v>
      </c>
      <c r="Z67">
        <v>2.0843816932027148</v>
      </c>
      <c r="AA67">
        <v>2.0411392729156428</v>
      </c>
      <c r="AB67">
        <v>1.8594206639231741</v>
      </c>
      <c r="AC67">
        <v>1.7488153855416331</v>
      </c>
      <c r="AD67">
        <v>1.4780175615650251</v>
      </c>
      <c r="AE67">
        <v>0.30962206710967172</v>
      </c>
      <c r="AF67">
        <v>1.938292069171069</v>
      </c>
      <c r="AG67">
        <v>1.891241575464903</v>
      </c>
      <c r="AH67">
        <v>2.1077378191208709</v>
      </c>
      <c r="AI67">
        <v>1.7213289144214059</v>
      </c>
      <c r="AJ67">
        <v>1.1220608538411909</v>
      </c>
      <c r="AK67">
        <v>1.4363440362562869</v>
      </c>
      <c r="AL67">
        <v>1.211776402352172</v>
      </c>
      <c r="AM67">
        <v>1.282200788507851</v>
      </c>
      <c r="AN67">
        <v>1.4846585981197791</v>
      </c>
      <c r="AO67">
        <v>1.464586604767248</v>
      </c>
      <c r="AP67">
        <v>1.375661073415785</v>
      </c>
      <c r="AQ67">
        <v>1.8787355545682369</v>
      </c>
      <c r="AR67">
        <v>1.3092627105068571</v>
      </c>
      <c r="AS67">
        <v>2.4327893561316221</v>
      </c>
      <c r="AT67">
        <v>1.9998392328656389</v>
      </c>
      <c r="AU67">
        <v>1.584759824726518</v>
      </c>
      <c r="AV67">
        <v>1.028726584337079</v>
      </c>
      <c r="AW67">
        <v>1.328607820843416</v>
      </c>
      <c r="AX67">
        <v>-3.6848113284338808</v>
      </c>
      <c r="AY67">
        <v>2.890137625326219</v>
      </c>
      <c r="AZ67">
        <v>2.4297956782600072</v>
      </c>
      <c r="BA67">
        <v>2.778227693599661</v>
      </c>
      <c r="BB67">
        <v>2.4042359096809212</v>
      </c>
      <c r="BC67">
        <v>2.7225811083337992</v>
      </c>
      <c r="BD67">
        <v>3.1623458583593731</v>
      </c>
      <c r="BE67">
        <v>3.1400791490383431</v>
      </c>
      <c r="BF67">
        <v>3.038877029088781</v>
      </c>
      <c r="BG67">
        <v>3.221000657320388</v>
      </c>
      <c r="BH67">
        <v>3.126305078442527</v>
      </c>
      <c r="BI67">
        <v>2.9392572071504328</v>
      </c>
      <c r="BJ67">
        <v>2.756053684243454</v>
      </c>
      <c r="BK67">
        <v>2.1313083088796532</v>
      </c>
      <c r="BL67">
        <v>1.8151584982483659</v>
      </c>
      <c r="BM67">
        <v>1.719515507348405</v>
      </c>
      <c r="BN67">
        <v>1.46829738714365</v>
      </c>
      <c r="BO67">
        <v>2.068614687605105</v>
      </c>
      <c r="BP67">
        <v>2.6551357157727011</v>
      </c>
      <c r="BQ67">
        <v>3.1857312192722991</v>
      </c>
      <c r="BR67">
        <v>3.0528735976286039</v>
      </c>
      <c r="BS67">
        <v>2.622632820908223</v>
      </c>
      <c r="BT67">
        <v>2.9733833316066982</v>
      </c>
      <c r="BU67">
        <v>3.184727684996858</v>
      </c>
      <c r="BV67">
        <v>3.1674062769495208</v>
      </c>
      <c r="BW67">
        <v>4.0297509733481149</v>
      </c>
      <c r="BX67">
        <v>3.7189532311730029</v>
      </c>
    </row>
    <row r="68" spans="1:79" ht="15" customHeight="1" x14ac:dyDescent="0.35">
      <c r="A68" s="3" t="s">
        <v>28</v>
      </c>
      <c r="B68">
        <v>-0.70206127354850878</v>
      </c>
      <c r="C68">
        <v>-1.339396342899249</v>
      </c>
      <c r="D68">
        <v>-1.5391228394227601</v>
      </c>
      <c r="E68">
        <v>-1.718224257817496</v>
      </c>
      <c r="F68">
        <v>-1.7396741332906061</v>
      </c>
      <c r="G68">
        <v>-2.0728799859770111</v>
      </c>
      <c r="H68">
        <v>-2.1525648994914661</v>
      </c>
      <c r="I68">
        <v>-1.879938308377149</v>
      </c>
      <c r="J68">
        <v>-2.0252876475457242</v>
      </c>
      <c r="K68">
        <v>-1.8760692980538349</v>
      </c>
      <c r="L68">
        <v>-2.1124133532662479</v>
      </c>
      <c r="M68">
        <v>-2.1318458523995498</v>
      </c>
      <c r="N68">
        <v>-2.0902374642879522</v>
      </c>
      <c r="O68">
        <v>-1.981352462076899</v>
      </c>
      <c r="P68">
        <v>-1.914779816385817</v>
      </c>
      <c r="Q68">
        <v>-1.6745550615449081</v>
      </c>
      <c r="R68">
        <v>-1.8844111122492111</v>
      </c>
      <c r="S68">
        <v>-1.9050709411832829</v>
      </c>
      <c r="T68">
        <v>-1.87394956969797</v>
      </c>
      <c r="U68">
        <v>-1.672218483680211</v>
      </c>
      <c r="V68">
        <v>-1.543108156186435</v>
      </c>
      <c r="W68">
        <v>-1.3213506136856099</v>
      </c>
      <c r="X68">
        <v>-1.2400040264443251</v>
      </c>
      <c r="Y68">
        <v>-1.36497818814172</v>
      </c>
      <c r="Z68">
        <v>-1.3796599933270099</v>
      </c>
      <c r="AA68">
        <v>-1.7168546402953671</v>
      </c>
      <c r="AB68">
        <v>-1.964082039971828</v>
      </c>
      <c r="AC68">
        <v>-1.835304039901217</v>
      </c>
      <c r="AD68">
        <v>-1.88688814252663</v>
      </c>
      <c r="AE68">
        <v>-1.5835258183365111</v>
      </c>
      <c r="AF68">
        <v>-2.417749809032955</v>
      </c>
      <c r="AG68">
        <v>-2.5219460725704441</v>
      </c>
      <c r="AH68">
        <v>-2.591730247530307</v>
      </c>
      <c r="AI68">
        <v>-2.778335823260448</v>
      </c>
      <c r="AJ68">
        <v>-2.8984982638436918</v>
      </c>
      <c r="AK68">
        <v>-3.386167975742751</v>
      </c>
      <c r="AL68">
        <v>-3.269461376970384</v>
      </c>
      <c r="AM68">
        <v>-2.8786439216684698</v>
      </c>
      <c r="AN68">
        <v>-3.079118323195388</v>
      </c>
      <c r="AO68">
        <v>-3.3994861057566368</v>
      </c>
      <c r="AP68">
        <v>-3.894909534717613</v>
      </c>
      <c r="AQ68">
        <v>-4.2443372268912753</v>
      </c>
      <c r="AR68">
        <v>-3.9835147248458331</v>
      </c>
      <c r="AS68">
        <v>-4.0065715303150853</v>
      </c>
      <c r="AT68">
        <v>-3.764189765196079</v>
      </c>
      <c r="AU68">
        <v>-3.5401115865089992</v>
      </c>
      <c r="AV68">
        <v>-3.3627670224784372</v>
      </c>
      <c r="AW68">
        <v>-2.9538944388471009</v>
      </c>
      <c r="AX68">
        <v>-4.225082521928698</v>
      </c>
      <c r="AY68">
        <v>-3.0339236392295561</v>
      </c>
      <c r="AZ68">
        <v>-2.6339898050506179</v>
      </c>
      <c r="BA68">
        <v>-3.0090185214784242</v>
      </c>
      <c r="BB68">
        <v>-2.9054204785480811</v>
      </c>
      <c r="BC68">
        <v>-2.7596452612726239</v>
      </c>
      <c r="BD68">
        <v>-2.577834807448852</v>
      </c>
      <c r="BE68">
        <v>-2.649853234583333</v>
      </c>
      <c r="BF68">
        <v>-2.506887883212642</v>
      </c>
      <c r="BG68">
        <v>-2.903810112297208</v>
      </c>
      <c r="BH68">
        <v>-2.7517790153032422</v>
      </c>
      <c r="BI68">
        <v>-2.4232750080712151</v>
      </c>
      <c r="BJ68">
        <v>-2.2531489555442761</v>
      </c>
      <c r="BK68">
        <v>-1.694375214318256</v>
      </c>
      <c r="BL68">
        <v>-1.65368328854322</v>
      </c>
      <c r="BM68">
        <v>-1.8308300256019829</v>
      </c>
      <c r="BN68">
        <v>-1.809839833112534</v>
      </c>
      <c r="BO68">
        <v>-1.695698059234559</v>
      </c>
      <c r="BP68">
        <v>-1.6293345611003931</v>
      </c>
      <c r="BQ68">
        <v>-1.662724093591549</v>
      </c>
      <c r="BR68">
        <v>-1.4489966635775891</v>
      </c>
      <c r="BS68">
        <v>-1.475306857326331</v>
      </c>
      <c r="BT68">
        <v>-1.5834131576235391</v>
      </c>
      <c r="BU68">
        <v>-0.78092858411622501</v>
      </c>
      <c r="BV68">
        <v>-1.3821923361920481</v>
      </c>
      <c r="BW68">
        <v>-0.59466358313926548</v>
      </c>
      <c r="BX68">
        <v>-1.5231535084721199</v>
      </c>
    </row>
    <row r="69" spans="1:79" ht="15" customHeight="1" x14ac:dyDescent="0.35">
      <c r="A69" s="4" t="s">
        <v>29</v>
      </c>
      <c r="B69">
        <v>0.70206127354850878</v>
      </c>
      <c r="C69">
        <v>1.339396342899249</v>
      </c>
      <c r="D69">
        <v>1.5391228394227601</v>
      </c>
      <c r="E69">
        <v>1.718224257817496</v>
      </c>
      <c r="F69">
        <v>1.7396741332906061</v>
      </c>
      <c r="G69">
        <v>2.0728799859770111</v>
      </c>
      <c r="H69">
        <v>2.1525648994914661</v>
      </c>
      <c r="I69">
        <v>1.879938308377149</v>
      </c>
      <c r="J69">
        <v>2.0252876475457242</v>
      </c>
      <c r="K69">
        <v>1.8760692980538349</v>
      </c>
      <c r="L69">
        <v>2.1124133532662479</v>
      </c>
      <c r="M69">
        <v>2.1318458523995498</v>
      </c>
      <c r="N69">
        <v>2.0902374642879522</v>
      </c>
      <c r="O69">
        <v>1.981352462076899</v>
      </c>
      <c r="P69">
        <v>1.914779816385817</v>
      </c>
      <c r="Q69">
        <v>1.6745550615449081</v>
      </c>
      <c r="R69">
        <v>1.8844111122492111</v>
      </c>
      <c r="S69">
        <v>1.9050709411832829</v>
      </c>
      <c r="T69">
        <v>1.87394956969797</v>
      </c>
      <c r="U69">
        <v>1.672218483680211</v>
      </c>
      <c r="V69">
        <v>1.543108156186435</v>
      </c>
      <c r="W69">
        <v>1.3213506136856099</v>
      </c>
      <c r="X69">
        <v>1.2400040264443251</v>
      </c>
      <c r="Y69">
        <v>1.36497818814172</v>
      </c>
      <c r="Z69">
        <v>1.3796599933270099</v>
      </c>
      <c r="AA69">
        <v>1.7168546402953671</v>
      </c>
      <c r="AB69">
        <v>1.964082039971828</v>
      </c>
      <c r="AC69">
        <v>1.835304039901217</v>
      </c>
      <c r="AD69">
        <v>1.88688814252663</v>
      </c>
      <c r="AE69">
        <v>1.5835258183365111</v>
      </c>
      <c r="AF69">
        <v>2.417749809032955</v>
      </c>
      <c r="AG69">
        <v>2.5219460725704441</v>
      </c>
      <c r="AH69">
        <v>2.591730247530307</v>
      </c>
      <c r="AI69">
        <v>2.778335823260448</v>
      </c>
      <c r="AJ69">
        <v>2.8984982638436918</v>
      </c>
      <c r="AK69">
        <v>3.386167975742751</v>
      </c>
      <c r="AL69">
        <v>3.269461376970384</v>
      </c>
      <c r="AM69">
        <v>2.8786439216684698</v>
      </c>
      <c r="AN69">
        <v>3.079118323195388</v>
      </c>
      <c r="AO69">
        <v>3.3994861057566368</v>
      </c>
      <c r="AP69">
        <v>3.894909534717613</v>
      </c>
      <c r="AQ69">
        <v>4.2443372268912753</v>
      </c>
      <c r="AR69">
        <v>3.9835147248458331</v>
      </c>
      <c r="AS69">
        <v>4.0065715303150853</v>
      </c>
      <c r="AT69">
        <v>3.764189765196079</v>
      </c>
      <c r="AU69">
        <v>3.5401115865089992</v>
      </c>
      <c r="AV69">
        <v>3.3627670224784372</v>
      </c>
      <c r="AW69">
        <v>2.9538944388471009</v>
      </c>
      <c r="AX69">
        <v>4.225082521928698</v>
      </c>
      <c r="AY69">
        <v>3.0339236392295561</v>
      </c>
      <c r="AZ69">
        <v>2.6339898050506179</v>
      </c>
      <c r="BA69">
        <v>3.0090185214784242</v>
      </c>
      <c r="BB69">
        <v>2.9054204785480811</v>
      </c>
      <c r="BC69">
        <v>2.7596452612726239</v>
      </c>
      <c r="BD69">
        <v>2.577834807448852</v>
      </c>
      <c r="BE69">
        <v>2.649853234583333</v>
      </c>
      <c r="BF69">
        <v>2.506887883212642</v>
      </c>
      <c r="BG69">
        <v>2.903810112297208</v>
      </c>
      <c r="BH69">
        <v>2.7517790153032422</v>
      </c>
      <c r="BI69">
        <v>2.4232750080712151</v>
      </c>
      <c r="BJ69">
        <v>2.2531489555442761</v>
      </c>
      <c r="BK69">
        <v>1.694375214318256</v>
      </c>
      <c r="BL69">
        <v>1.65368328854322</v>
      </c>
      <c r="BM69">
        <v>1.8308300256019829</v>
      </c>
      <c r="BN69">
        <v>1.809839833112534</v>
      </c>
      <c r="BO69">
        <v>1.695698059234559</v>
      </c>
      <c r="BP69">
        <v>1.6293345611003931</v>
      </c>
      <c r="BQ69">
        <v>1.662724093591549</v>
      </c>
      <c r="BR69">
        <v>1.4489966635775891</v>
      </c>
      <c r="BS69">
        <v>1.475306857326331</v>
      </c>
      <c r="BT69">
        <v>1.5834131576235391</v>
      </c>
      <c r="BU69">
        <v>0.78092858411622501</v>
      </c>
      <c r="BV69">
        <v>1.3821923361920481</v>
      </c>
      <c r="BW69">
        <v>0.59466358313926548</v>
      </c>
      <c r="BX69">
        <v>1.5231535084721199</v>
      </c>
    </row>
    <row r="70" spans="1:79" ht="15" customHeight="1" x14ac:dyDescent="0.35">
      <c r="A70" s="3" t="s">
        <v>30</v>
      </c>
      <c r="B70">
        <v>133.05024960967199</v>
      </c>
      <c r="C70">
        <v>139.28135063626729</v>
      </c>
      <c r="D70">
        <v>138.98200592095839</v>
      </c>
      <c r="E70">
        <v>137.95597440258061</v>
      </c>
      <c r="F70">
        <v>135.91035922624241</v>
      </c>
      <c r="G70">
        <v>136.8505100267011</v>
      </c>
      <c r="H70">
        <v>136.266874661815</v>
      </c>
      <c r="I70">
        <v>135.49516856013051</v>
      </c>
      <c r="J70">
        <v>139.1167810541543</v>
      </c>
      <c r="K70">
        <v>140.30747668573679</v>
      </c>
      <c r="L70">
        <v>140.51515648390179</v>
      </c>
      <c r="M70">
        <v>140.06298295814071</v>
      </c>
      <c r="N70">
        <v>139.83707424919589</v>
      </c>
      <c r="O70">
        <v>139.01909595164659</v>
      </c>
      <c r="P70">
        <v>138.42715246194379</v>
      </c>
      <c r="Q70">
        <v>138.508500535438</v>
      </c>
      <c r="R70">
        <v>138.4729404201241</v>
      </c>
      <c r="S70">
        <v>137.82090555382001</v>
      </c>
      <c r="T70">
        <v>137.54991451732349</v>
      </c>
      <c r="U70">
        <v>137.42600751078561</v>
      </c>
      <c r="V70">
        <v>137.32788863747709</v>
      </c>
      <c r="W70">
        <v>136.8314750184137</v>
      </c>
      <c r="X70">
        <v>135.74479102355221</v>
      </c>
      <c r="Y70">
        <v>137.67122543682049</v>
      </c>
      <c r="Z70">
        <v>135.6966633997653</v>
      </c>
      <c r="AA70">
        <v>135.6515524441165</v>
      </c>
      <c r="AB70">
        <v>134.44763408750319</v>
      </c>
      <c r="AC70">
        <v>134.10818292664561</v>
      </c>
      <c r="AD70">
        <v>133.80894305519129</v>
      </c>
      <c r="AE70">
        <v>132.99382990936431</v>
      </c>
      <c r="AF70">
        <v>135.49779882382271</v>
      </c>
      <c r="AG70">
        <v>136.44870641637701</v>
      </c>
      <c r="AH70">
        <v>136.57409307175311</v>
      </c>
      <c r="AI70">
        <v>136.82381319974201</v>
      </c>
      <c r="AJ70">
        <v>136.5947644682845</v>
      </c>
      <c r="AK70">
        <v>137.1080617875935</v>
      </c>
      <c r="AL70">
        <v>136.73564930827479</v>
      </c>
      <c r="AM70">
        <v>137.4395669995119</v>
      </c>
      <c r="AN70">
        <v>138.73428814076979</v>
      </c>
      <c r="AO70">
        <v>139.12201799100811</v>
      </c>
      <c r="AP70">
        <v>139.08201029821581</v>
      </c>
      <c r="AQ70">
        <v>140.14496044594841</v>
      </c>
      <c r="AR70">
        <v>139.86786442637879</v>
      </c>
      <c r="AS70">
        <v>142.24735076147471</v>
      </c>
      <c r="AT70">
        <v>141.38134836044239</v>
      </c>
      <c r="AU70">
        <v>140.05645839252409</v>
      </c>
      <c r="AV70">
        <v>138.5910663947476</v>
      </c>
      <c r="AW70">
        <v>139.4674957738894</v>
      </c>
      <c r="AX70">
        <v>133.25274006864359</v>
      </c>
      <c r="AY70">
        <v>142.330076604</v>
      </c>
      <c r="AZ70">
        <v>141.4297716907142</v>
      </c>
      <c r="BA70">
        <v>140.85258633855369</v>
      </c>
      <c r="BB70">
        <v>140.92133990385921</v>
      </c>
      <c r="BC70">
        <v>141.8069852234099</v>
      </c>
      <c r="BD70">
        <v>142.59236928324989</v>
      </c>
      <c r="BE70">
        <v>142.54945437660911</v>
      </c>
      <c r="BF70">
        <v>142.2636509409177</v>
      </c>
      <c r="BG70">
        <v>142.68770636651911</v>
      </c>
      <c r="BH70">
        <v>142.7935117311778</v>
      </c>
      <c r="BI70">
        <v>142.0516355448982</v>
      </c>
      <c r="BJ70">
        <v>141.27250507430551</v>
      </c>
      <c r="BK70">
        <v>140.44526045776729</v>
      </c>
      <c r="BL70">
        <v>140.21332549206599</v>
      </c>
      <c r="BM70">
        <v>140.07556425455309</v>
      </c>
      <c r="BN70">
        <v>139.86578921940611</v>
      </c>
      <c r="BO70">
        <v>140.89538472162999</v>
      </c>
      <c r="BP70">
        <v>141.74385007005739</v>
      </c>
      <c r="BQ70">
        <v>142.53217486311209</v>
      </c>
      <c r="BR70">
        <v>142.54065334795641</v>
      </c>
      <c r="BS70">
        <v>141.8711452923298</v>
      </c>
      <c r="BT70">
        <v>142.38023503998551</v>
      </c>
      <c r="BU70">
        <v>142.67425182225861</v>
      </c>
      <c r="BV70">
        <v>143.1960160748213</v>
      </c>
      <c r="BW70">
        <v>145.33490394906119</v>
      </c>
      <c r="BX70">
        <v>145.20235154335941</v>
      </c>
    </row>
    <row r="71" spans="1:79" x14ac:dyDescent="0.35">
      <c r="A71" s="5" t="s">
        <v>31</v>
      </c>
      <c r="B71">
        <v>1.9010808113811639</v>
      </c>
      <c r="C71">
        <v>1.731406468469012</v>
      </c>
      <c r="D71">
        <v>1.722432019614206</v>
      </c>
      <c r="E71">
        <v>1.7236400094603741</v>
      </c>
      <c r="F71">
        <v>1.799912064865423</v>
      </c>
      <c r="G71">
        <v>1.764287067009221</v>
      </c>
      <c r="H71">
        <v>1.7152814981122551</v>
      </c>
      <c r="I71">
        <v>1.7667218450393449</v>
      </c>
      <c r="J71">
        <v>1.800439367985651</v>
      </c>
      <c r="K71">
        <v>1.7461129834049469</v>
      </c>
      <c r="L71">
        <v>1.62210222560795</v>
      </c>
      <c r="M71">
        <v>1.5689333736821169</v>
      </c>
      <c r="N71">
        <v>1.5984360210136921</v>
      </c>
      <c r="O71">
        <v>1.668330476823471</v>
      </c>
      <c r="P71">
        <v>1.736736646476035</v>
      </c>
      <c r="Q71">
        <v>1.704774895216683</v>
      </c>
      <c r="R71">
        <v>1.6998965947589111</v>
      </c>
      <c r="S71">
        <v>1.624563255668479</v>
      </c>
      <c r="T71">
        <v>1.495588168984848</v>
      </c>
      <c r="U71">
        <v>1.436998206185758</v>
      </c>
      <c r="V71">
        <v>1.416032179539471</v>
      </c>
      <c r="W71">
        <v>1.419830200844441</v>
      </c>
      <c r="X71">
        <v>1.4487038809553849</v>
      </c>
      <c r="Y71">
        <v>1.498643634590193</v>
      </c>
      <c r="Z71">
        <v>1.5068496025358049</v>
      </c>
      <c r="AA71">
        <v>1.499712994123469</v>
      </c>
      <c r="AB71">
        <v>1.5182801056645541</v>
      </c>
      <c r="AC71">
        <v>1.5239045252963881</v>
      </c>
      <c r="AD71">
        <v>1.576995205483962</v>
      </c>
      <c r="AE71">
        <v>1.5305929080379399</v>
      </c>
      <c r="AF71">
        <v>1.516113416847922</v>
      </c>
      <c r="AG71">
        <v>1.548014269944082</v>
      </c>
      <c r="AH71">
        <v>1.6421928303397679</v>
      </c>
      <c r="AI71">
        <v>1.5971163887078521</v>
      </c>
      <c r="AJ71">
        <v>1.566207346594245</v>
      </c>
      <c r="AK71">
        <v>1.631855916145051</v>
      </c>
      <c r="AL71">
        <v>1.6345063378287941</v>
      </c>
      <c r="AM71">
        <v>1.620563648503859</v>
      </c>
      <c r="AN71">
        <v>1.661328219996709</v>
      </c>
      <c r="AO71">
        <v>1.684009760322571</v>
      </c>
      <c r="AP71">
        <v>1.653584072229535</v>
      </c>
      <c r="AQ71">
        <v>1.642577973520249</v>
      </c>
      <c r="AR71">
        <v>1.762924226754957</v>
      </c>
      <c r="AS71">
        <v>1.8725692909139751</v>
      </c>
      <c r="AT71">
        <v>1.633093161595617</v>
      </c>
      <c r="AU71">
        <v>1.6297661863471371</v>
      </c>
      <c r="AV71">
        <v>1.7489775810752679</v>
      </c>
      <c r="AW71">
        <v>1.5834403925953779</v>
      </c>
      <c r="AX71">
        <v>1.493880211864653</v>
      </c>
      <c r="AY71">
        <v>1.771379463963874</v>
      </c>
      <c r="AZ71">
        <v>1.709024695586832</v>
      </c>
      <c r="BA71">
        <v>1.7923332169962589</v>
      </c>
      <c r="BB71">
        <v>1.5847584645932979</v>
      </c>
      <c r="BC71">
        <v>1.5645822935878111</v>
      </c>
      <c r="BD71">
        <v>1.5241508891777471</v>
      </c>
      <c r="BE71">
        <v>1.524830331445453</v>
      </c>
      <c r="BF71">
        <v>1.571489310098054</v>
      </c>
      <c r="BG71">
        <v>1.558936138036711</v>
      </c>
      <c r="BH71">
        <v>1.555460333530108</v>
      </c>
      <c r="BI71">
        <v>1.563639663046164</v>
      </c>
      <c r="BJ71">
        <v>1.5797837685374809</v>
      </c>
      <c r="BK71">
        <v>1.5594958397665131</v>
      </c>
      <c r="BL71">
        <v>1.557820889551041</v>
      </c>
      <c r="BM71">
        <v>1.5226338132463479</v>
      </c>
      <c r="BN71">
        <v>1.514617042740757</v>
      </c>
      <c r="BO71">
        <v>1.4930046786260009</v>
      </c>
      <c r="BP71">
        <v>1.492701433930306</v>
      </c>
      <c r="BQ71">
        <v>1.501127572963469</v>
      </c>
      <c r="BR71">
        <v>1.4767712091809391</v>
      </c>
      <c r="BS71">
        <v>1.493391796972751</v>
      </c>
      <c r="BT71">
        <v>1.526000559995446</v>
      </c>
      <c r="BU71">
        <v>1.4892613956977709</v>
      </c>
      <c r="BV71">
        <v>1.4900493591612549</v>
      </c>
      <c r="BW71">
        <v>1.4631703302368551</v>
      </c>
      <c r="BX71">
        <v>1.4719479072548289</v>
      </c>
    </row>
  </sheetData>
  <pageMargins left="0.7" right="0.7" top="0.75" bottom="0.75" header="0.3" footer="0.3"/>
  <pageSetup orientation="portrait" horizontalDpi="204" verticalDpi="1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08"/>
  <sheetViews>
    <sheetView topLeftCell="A148" workbookViewId="0">
      <selection activeCell="X154" sqref="X154"/>
    </sheetView>
  </sheetViews>
  <sheetFormatPr defaultColWidth="9.1796875" defaultRowHeight="14.5" x14ac:dyDescent="0.35"/>
  <cols>
    <col min="1" max="1" width="12.7265625" style="127" customWidth="1"/>
    <col min="2" max="25" width="12.7265625" style="66" customWidth="1"/>
    <col min="26" max="26" width="11.453125" style="66" customWidth="1"/>
    <col min="27" max="63" width="9.1796875" style="66" customWidth="1"/>
    <col min="64" max="16384" width="9.1796875" style="66"/>
  </cols>
  <sheetData>
    <row r="1" spans="1:33" x14ac:dyDescent="0.35">
      <c r="A1" s="129" t="s">
        <v>0</v>
      </c>
    </row>
    <row r="2" spans="1:33" ht="60" customHeight="1" x14ac:dyDescent="0.35">
      <c r="A2" s="128" t="s">
        <v>112</v>
      </c>
      <c r="B2" s="123" t="s">
        <v>113</v>
      </c>
      <c r="C2" s="123" t="s">
        <v>114</v>
      </c>
      <c r="D2" s="123" t="s">
        <v>115</v>
      </c>
      <c r="E2" s="123" t="s">
        <v>116</v>
      </c>
      <c r="F2" s="123" t="s">
        <v>117</v>
      </c>
      <c r="G2" s="123" t="s">
        <v>118</v>
      </c>
      <c r="H2" s="123" t="s">
        <v>119</v>
      </c>
      <c r="I2" s="123" t="s">
        <v>120</v>
      </c>
      <c r="J2" s="124" t="s">
        <v>121</v>
      </c>
      <c r="K2" s="123" t="s">
        <v>122</v>
      </c>
      <c r="L2" s="123" t="s">
        <v>123</v>
      </c>
      <c r="M2" s="123" t="s">
        <v>124</v>
      </c>
      <c r="N2" s="124" t="s">
        <v>125</v>
      </c>
      <c r="O2" s="123" t="s">
        <v>126</v>
      </c>
      <c r="P2" s="123" t="s">
        <v>127</v>
      </c>
      <c r="Q2" s="123" t="s">
        <v>128</v>
      </c>
      <c r="R2" s="123" t="s">
        <v>129</v>
      </c>
      <c r="S2" s="123" t="s">
        <v>130</v>
      </c>
      <c r="T2" s="123" t="s">
        <v>131</v>
      </c>
      <c r="U2" s="123" t="s">
        <v>132</v>
      </c>
      <c r="V2" s="123" t="s">
        <v>133</v>
      </c>
      <c r="W2" s="123" t="s">
        <v>134</v>
      </c>
      <c r="X2" s="123" t="s">
        <v>135</v>
      </c>
      <c r="Y2" s="123" t="s">
        <v>136</v>
      </c>
      <c r="Z2" s="124" t="s">
        <v>137</v>
      </c>
      <c r="AA2" s="124" t="s">
        <v>138</v>
      </c>
      <c r="AB2" s="124" t="s">
        <v>139</v>
      </c>
      <c r="AC2" s="124" t="s">
        <v>140</v>
      </c>
      <c r="AD2" s="124" t="s">
        <v>141</v>
      </c>
      <c r="AE2" s="124" t="s">
        <v>142</v>
      </c>
      <c r="AF2" s="123" t="s">
        <v>143</v>
      </c>
      <c r="AG2" s="124" t="s">
        <v>144</v>
      </c>
    </row>
    <row r="3" spans="1:33" x14ac:dyDescent="0.35">
      <c r="A3" s="127" t="s">
        <v>145</v>
      </c>
      <c r="B3" s="66">
        <v>0</v>
      </c>
      <c r="C3" s="66">
        <v>-8.8849019073336422E-2</v>
      </c>
      <c r="D3" s="66">
        <v>-9.5606620481873961E-3</v>
      </c>
      <c r="E3" s="66">
        <v>-5.5668889319520083E-2</v>
      </c>
      <c r="F3" s="66">
        <v>-0.43648122079437712</v>
      </c>
      <c r="G3" s="66">
        <v>-1.7747536007050261E-2</v>
      </c>
      <c r="H3" s="66">
        <v>0.28441189728837912</v>
      </c>
      <c r="I3" s="66">
        <v>0.25114359738333292</v>
      </c>
      <c r="J3" s="99">
        <v>0</v>
      </c>
      <c r="K3" s="66">
        <v>1.744299853797315E-2</v>
      </c>
      <c r="L3" s="66">
        <v>-0.63058383491565451</v>
      </c>
      <c r="M3" s="66">
        <v>0</v>
      </c>
      <c r="N3" s="99">
        <v>0</v>
      </c>
      <c r="O3" s="66">
        <v>-4.2806451545885693E-2</v>
      </c>
      <c r="P3" s="66">
        <v>0.1342110187890739</v>
      </c>
      <c r="Q3" s="66">
        <v>0</v>
      </c>
      <c r="R3" s="66">
        <v>0.66652400196556982</v>
      </c>
      <c r="S3" s="66">
        <v>0</v>
      </c>
      <c r="T3" s="66">
        <v>0</v>
      </c>
      <c r="U3" s="66">
        <v>0</v>
      </c>
      <c r="V3" s="66">
        <v>0</v>
      </c>
      <c r="W3" s="66">
        <v>0</v>
      </c>
      <c r="X3" s="66">
        <v>0</v>
      </c>
      <c r="Y3" s="66">
        <v>0</v>
      </c>
      <c r="Z3" s="99">
        <v>0</v>
      </c>
      <c r="AA3" s="99">
        <v>0</v>
      </c>
      <c r="AB3" s="99">
        <v>0</v>
      </c>
      <c r="AC3" s="99">
        <v>0</v>
      </c>
      <c r="AD3" s="99">
        <v>0</v>
      </c>
      <c r="AE3" s="99">
        <v>0</v>
      </c>
      <c r="AF3" s="66">
        <v>-0.1405008713085181</v>
      </c>
      <c r="AG3" s="99">
        <v>0</v>
      </c>
    </row>
    <row r="4" spans="1:33" x14ac:dyDescent="0.35">
      <c r="A4" s="127" t="s">
        <v>146</v>
      </c>
      <c r="B4" s="66">
        <v>0</v>
      </c>
      <c r="C4" s="66">
        <v>-1.6332402634475329E-2</v>
      </c>
      <c r="D4" s="66">
        <v>-8.4102165087927006E-3</v>
      </c>
      <c r="E4" s="66">
        <v>-0.1010691324257209</v>
      </c>
      <c r="F4" s="66">
        <v>-0.41665540701310988</v>
      </c>
      <c r="G4" s="66">
        <v>-2.2255338835748258E-2</v>
      </c>
      <c r="H4" s="66">
        <v>0.27247611732332189</v>
      </c>
      <c r="I4" s="66">
        <v>0.27296891049650179</v>
      </c>
      <c r="J4" s="99">
        <v>0</v>
      </c>
      <c r="K4" s="66">
        <v>-3.3041539042443453E-2</v>
      </c>
      <c r="L4" s="66">
        <v>-2.5449251429193961E-2</v>
      </c>
      <c r="M4" s="66">
        <v>0</v>
      </c>
      <c r="N4" s="99">
        <v>0</v>
      </c>
      <c r="O4" s="66">
        <v>-1.5825799721341131E-2</v>
      </c>
      <c r="P4" s="66">
        <v>4.1150486166799283E-2</v>
      </c>
      <c r="Q4" s="66">
        <v>0</v>
      </c>
      <c r="R4" s="66">
        <v>0.56269949005050535</v>
      </c>
      <c r="S4" s="66">
        <v>0</v>
      </c>
      <c r="T4" s="66">
        <v>0</v>
      </c>
      <c r="U4" s="66">
        <v>0</v>
      </c>
      <c r="V4" s="66">
        <v>0</v>
      </c>
      <c r="W4" s="66">
        <v>0</v>
      </c>
      <c r="X4" s="66">
        <v>0</v>
      </c>
      <c r="Y4" s="66">
        <v>0</v>
      </c>
      <c r="Z4" s="99">
        <v>0</v>
      </c>
      <c r="AA4" s="99">
        <v>0</v>
      </c>
      <c r="AB4" s="99">
        <v>0</v>
      </c>
      <c r="AC4" s="99">
        <v>0</v>
      </c>
      <c r="AD4" s="99">
        <v>0</v>
      </c>
      <c r="AE4" s="99">
        <v>0</v>
      </c>
      <c r="AF4" s="66">
        <v>7.1119222374932178E-2</v>
      </c>
      <c r="AG4" s="99">
        <v>0</v>
      </c>
    </row>
    <row r="5" spans="1:33" x14ac:dyDescent="0.35">
      <c r="A5" s="127" t="s">
        <v>147</v>
      </c>
      <c r="B5" s="66">
        <v>0</v>
      </c>
      <c r="C5" s="66">
        <v>-8.6610508432443112E-3</v>
      </c>
      <c r="D5" s="66">
        <v>-9.0471230955131432E-3</v>
      </c>
      <c r="E5" s="66">
        <v>-0.1231252437081594</v>
      </c>
      <c r="F5" s="66">
        <v>-0.37133884688810781</v>
      </c>
      <c r="G5" s="66">
        <v>-1.3071307045322561E-2</v>
      </c>
      <c r="H5" s="66">
        <v>0.33112636817691049</v>
      </c>
      <c r="I5" s="66">
        <v>0.28445469558980108</v>
      </c>
      <c r="J5" s="99">
        <v>0</v>
      </c>
      <c r="K5" s="66">
        <v>-5.9515430251281032E-2</v>
      </c>
      <c r="L5" s="66">
        <v>0.24055522210096569</v>
      </c>
      <c r="M5" s="66">
        <v>0</v>
      </c>
      <c r="N5" s="99">
        <v>0</v>
      </c>
      <c r="O5" s="66">
        <v>0</v>
      </c>
      <c r="P5" s="66">
        <v>3.5605690834472631E-4</v>
      </c>
      <c r="Q5" s="66">
        <v>0</v>
      </c>
      <c r="R5" s="66">
        <v>0.42579934923975321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99">
        <v>0</v>
      </c>
      <c r="AA5" s="99">
        <v>0</v>
      </c>
      <c r="AB5" s="99">
        <v>0</v>
      </c>
      <c r="AC5" s="99">
        <v>0</v>
      </c>
      <c r="AD5" s="99">
        <v>0</v>
      </c>
      <c r="AE5" s="99">
        <v>0</v>
      </c>
      <c r="AF5" s="66">
        <v>0.21867199971029549</v>
      </c>
      <c r="AG5" s="99">
        <v>0</v>
      </c>
    </row>
    <row r="6" spans="1:33" x14ac:dyDescent="0.35">
      <c r="A6" s="127" t="s">
        <v>148</v>
      </c>
      <c r="B6" s="66">
        <v>0</v>
      </c>
      <c r="C6" s="66">
        <v>-1.842697350338085E-2</v>
      </c>
      <c r="D6" s="66">
        <v>-1.0602480456640251E-2</v>
      </c>
      <c r="E6" s="66">
        <v>-0.1156210758737473</v>
      </c>
      <c r="F6" s="66">
        <v>-0.33294813148407337</v>
      </c>
      <c r="G6" s="66">
        <v>-2.1989209934247359E-2</v>
      </c>
      <c r="H6" s="66">
        <v>0.3949012865050463</v>
      </c>
      <c r="I6" s="66">
        <v>0.28135823881584088</v>
      </c>
      <c r="J6" s="99">
        <v>0</v>
      </c>
      <c r="K6" s="66">
        <v>-3.0195970999471911E-2</v>
      </c>
      <c r="L6" s="66">
        <v>0.23797680185643341</v>
      </c>
      <c r="M6" s="66">
        <v>0</v>
      </c>
      <c r="N6" s="99">
        <v>0</v>
      </c>
      <c r="O6" s="66">
        <v>0</v>
      </c>
      <c r="P6" s="66">
        <v>1.6167563142346351E-3</v>
      </c>
      <c r="Q6" s="66">
        <v>0</v>
      </c>
      <c r="R6" s="66">
        <v>0.51074024942411711</v>
      </c>
      <c r="S6" s="66">
        <v>0</v>
      </c>
      <c r="T6" s="66">
        <v>0</v>
      </c>
      <c r="U6" s="66">
        <v>0</v>
      </c>
      <c r="V6" s="66">
        <v>0</v>
      </c>
      <c r="W6" s="66">
        <v>0</v>
      </c>
      <c r="X6" s="66">
        <v>0</v>
      </c>
      <c r="Y6" s="66">
        <v>0</v>
      </c>
      <c r="Z6" s="99">
        <v>0</v>
      </c>
      <c r="AA6" s="99">
        <v>0</v>
      </c>
      <c r="AB6" s="99">
        <v>0</v>
      </c>
      <c r="AC6" s="99">
        <v>0</v>
      </c>
      <c r="AD6" s="99">
        <v>0</v>
      </c>
      <c r="AE6" s="99">
        <v>0</v>
      </c>
      <c r="AF6" s="66">
        <v>0.21635181282667301</v>
      </c>
      <c r="AG6" s="99">
        <v>0</v>
      </c>
    </row>
    <row r="7" spans="1:33" x14ac:dyDescent="0.35">
      <c r="A7" s="127" t="s">
        <v>149</v>
      </c>
      <c r="B7" s="66">
        <v>0</v>
      </c>
      <c r="C7" s="66">
        <v>-1.580440650874948E-2</v>
      </c>
      <c r="D7" s="66">
        <v>-1.454272425309E-2</v>
      </c>
      <c r="E7" s="66">
        <v>-8.4214278897036365E-2</v>
      </c>
      <c r="F7" s="66">
        <v>-0.3508425181348116</v>
      </c>
      <c r="G7" s="66">
        <v>-1.6345840614832241E-2</v>
      </c>
      <c r="H7" s="66">
        <v>0.3233984229943303</v>
      </c>
      <c r="I7" s="66">
        <v>0.27959446506230279</v>
      </c>
      <c r="J7" s="99">
        <v>0</v>
      </c>
      <c r="K7" s="66">
        <v>-2.90038505286816E-2</v>
      </c>
      <c r="L7" s="66">
        <v>0.23643041321952299</v>
      </c>
      <c r="M7" s="66">
        <v>0</v>
      </c>
      <c r="N7" s="99">
        <v>0</v>
      </c>
      <c r="O7" s="66">
        <v>-9.2166125463677417E-3</v>
      </c>
      <c r="P7" s="66">
        <v>1.401238636844937E-3</v>
      </c>
      <c r="Q7" s="66">
        <v>0</v>
      </c>
      <c r="R7" s="66">
        <v>0.73157820879117708</v>
      </c>
      <c r="S7" s="66">
        <v>0</v>
      </c>
      <c r="T7" s="66">
        <v>0</v>
      </c>
      <c r="U7" s="66">
        <v>0</v>
      </c>
      <c r="V7" s="66">
        <v>0</v>
      </c>
      <c r="W7" s="66">
        <v>0</v>
      </c>
      <c r="X7" s="66">
        <v>0</v>
      </c>
      <c r="Y7" s="66">
        <v>0</v>
      </c>
      <c r="Z7" s="99">
        <v>0</v>
      </c>
      <c r="AA7" s="99">
        <v>0</v>
      </c>
      <c r="AB7" s="99">
        <v>0</v>
      </c>
      <c r="AC7" s="99">
        <v>0</v>
      </c>
      <c r="AD7" s="99">
        <v>0</v>
      </c>
      <c r="AE7" s="99">
        <v>0</v>
      </c>
      <c r="AF7" s="66">
        <v>0.21491378737670169</v>
      </c>
      <c r="AG7" s="99">
        <v>0</v>
      </c>
    </row>
    <row r="8" spans="1:33" x14ac:dyDescent="0.35">
      <c r="A8" s="127" t="s">
        <v>150</v>
      </c>
      <c r="B8" s="66">
        <v>0</v>
      </c>
      <c r="C8" s="66">
        <v>-2.3581611839205149E-2</v>
      </c>
      <c r="D8" s="66">
        <v>-1.481365477187069E-2</v>
      </c>
      <c r="E8" s="66">
        <v>-0.111923788110829</v>
      </c>
      <c r="F8" s="66">
        <v>-0.31483375142349251</v>
      </c>
      <c r="G8" s="66">
        <v>-1.1060913863360611E-2</v>
      </c>
      <c r="H8" s="66">
        <v>0.31222253001587319</v>
      </c>
      <c r="I8" s="66">
        <v>0.28077868522578342</v>
      </c>
      <c r="J8" s="99">
        <v>0</v>
      </c>
      <c r="K8" s="66">
        <v>-5.6025420578038172E-2</v>
      </c>
      <c r="L8" s="66">
        <v>0.2376152814839827</v>
      </c>
      <c r="M8" s="66">
        <v>0</v>
      </c>
      <c r="N8" s="99">
        <v>0</v>
      </c>
      <c r="O8" s="66">
        <v>-8.9687166960743525E-3</v>
      </c>
      <c r="P8" s="66">
        <v>6.944818543843212E-3</v>
      </c>
      <c r="Q8" s="66">
        <v>0</v>
      </c>
      <c r="R8" s="66">
        <v>0.52616728543478075</v>
      </c>
      <c r="S8" s="66">
        <v>0</v>
      </c>
      <c r="T8" s="66">
        <v>0</v>
      </c>
      <c r="U8" s="66">
        <v>0</v>
      </c>
      <c r="V8" s="66">
        <v>0</v>
      </c>
      <c r="W8" s="66">
        <v>0</v>
      </c>
      <c r="X8" s="66">
        <v>0</v>
      </c>
      <c r="Y8" s="66">
        <v>0</v>
      </c>
      <c r="Z8" s="99">
        <v>0</v>
      </c>
      <c r="AA8" s="99">
        <v>0</v>
      </c>
      <c r="AB8" s="99">
        <v>0</v>
      </c>
      <c r="AC8" s="99">
        <v>0</v>
      </c>
      <c r="AD8" s="99">
        <v>0</v>
      </c>
      <c r="AE8" s="99">
        <v>0</v>
      </c>
      <c r="AF8" s="66">
        <v>0.21609897870968101</v>
      </c>
      <c r="AG8" s="99">
        <v>0</v>
      </c>
    </row>
    <row r="9" spans="1:33" x14ac:dyDescent="0.35">
      <c r="A9" s="127" t="s">
        <v>151</v>
      </c>
      <c r="B9" s="66">
        <v>0</v>
      </c>
      <c r="C9" s="66">
        <v>-3.1593722378204347E-2</v>
      </c>
      <c r="D9" s="66">
        <v>-1.002663560129236E-2</v>
      </c>
      <c r="E9" s="66">
        <v>-0.13081730394733879</v>
      </c>
      <c r="F9" s="66">
        <v>-0.32215106268259319</v>
      </c>
      <c r="G9" s="66">
        <v>-1.7742758392358841E-2</v>
      </c>
      <c r="H9" s="66">
        <v>0.3386722361059924</v>
      </c>
      <c r="I9" s="66">
        <v>0.28057653857933929</v>
      </c>
      <c r="J9" s="99">
        <v>0</v>
      </c>
      <c r="K9" s="66">
        <v>-1.6288366309822781E-2</v>
      </c>
      <c r="L9" s="66">
        <v>0.23736071602789369</v>
      </c>
      <c r="M9" s="66">
        <v>0</v>
      </c>
      <c r="N9" s="99">
        <v>0</v>
      </c>
      <c r="O9" s="66">
        <v>-1.344245579710446E-2</v>
      </c>
      <c r="P9" s="66">
        <v>2.297263590889997E-3</v>
      </c>
      <c r="Q9" s="66">
        <v>0</v>
      </c>
      <c r="R9" s="66">
        <v>0.60268324165892295</v>
      </c>
      <c r="S9" s="66">
        <v>0</v>
      </c>
      <c r="T9" s="66">
        <v>0</v>
      </c>
      <c r="U9" s="66">
        <v>0</v>
      </c>
      <c r="V9" s="66">
        <v>0</v>
      </c>
      <c r="W9" s="66">
        <v>0</v>
      </c>
      <c r="X9" s="66">
        <v>0</v>
      </c>
      <c r="Y9" s="66">
        <v>0</v>
      </c>
      <c r="Z9" s="99">
        <v>0</v>
      </c>
      <c r="AA9" s="99">
        <v>0</v>
      </c>
      <c r="AB9" s="99">
        <v>0</v>
      </c>
      <c r="AC9" s="99">
        <v>0</v>
      </c>
      <c r="AD9" s="99">
        <v>0</v>
      </c>
      <c r="AE9" s="99">
        <v>0</v>
      </c>
      <c r="AF9" s="66">
        <v>0.21581828327120431</v>
      </c>
      <c r="AG9" s="99">
        <v>0</v>
      </c>
    </row>
    <row r="10" spans="1:33" x14ac:dyDescent="0.35">
      <c r="A10" s="127" t="s">
        <v>152</v>
      </c>
      <c r="B10" s="66">
        <v>0</v>
      </c>
      <c r="C10" s="66">
        <v>-2.899966298008394E-2</v>
      </c>
      <c r="D10" s="66">
        <v>-1.089145808089143E-2</v>
      </c>
      <c r="E10" s="66">
        <v>-0.11933850373551989</v>
      </c>
      <c r="F10" s="66">
        <v>-0.30182908380430717</v>
      </c>
      <c r="G10" s="66">
        <v>-2.1758245461001021E-2</v>
      </c>
      <c r="H10" s="66">
        <v>0.31155831921032018</v>
      </c>
      <c r="I10" s="66">
        <v>0.27933776100618962</v>
      </c>
      <c r="J10" s="99">
        <v>0</v>
      </c>
      <c r="K10" s="66">
        <v>-5.424258489949807E-2</v>
      </c>
      <c r="L10" s="66">
        <v>0.23630397190535751</v>
      </c>
      <c r="M10" s="66">
        <v>0</v>
      </c>
      <c r="N10" s="99">
        <v>0</v>
      </c>
      <c r="O10" s="66">
        <v>-5.9058477003191001E-3</v>
      </c>
      <c r="P10" s="66">
        <v>1.197771102226852E-3</v>
      </c>
      <c r="Q10" s="66">
        <v>0</v>
      </c>
      <c r="R10" s="66">
        <v>0.7432198056569348</v>
      </c>
      <c r="S10" s="66">
        <v>0</v>
      </c>
      <c r="T10" s="66">
        <v>0</v>
      </c>
      <c r="U10" s="66">
        <v>0</v>
      </c>
      <c r="V10" s="66">
        <v>0</v>
      </c>
      <c r="W10" s="66">
        <v>0</v>
      </c>
      <c r="X10" s="66">
        <v>0</v>
      </c>
      <c r="Y10" s="66">
        <v>0</v>
      </c>
      <c r="Z10" s="99">
        <v>0</v>
      </c>
      <c r="AA10" s="99">
        <v>0</v>
      </c>
      <c r="AB10" s="99">
        <v>0</v>
      </c>
      <c r="AC10" s="99">
        <v>0</v>
      </c>
      <c r="AD10" s="99">
        <v>0</v>
      </c>
      <c r="AE10" s="99">
        <v>0</v>
      </c>
      <c r="AF10" s="66">
        <v>0.21485228006568491</v>
      </c>
      <c r="AG10" s="99">
        <v>0</v>
      </c>
    </row>
    <row r="11" spans="1:33" x14ac:dyDescent="0.35">
      <c r="A11" s="127" t="s">
        <v>153</v>
      </c>
      <c r="B11" s="66">
        <v>0</v>
      </c>
      <c r="C11" s="66">
        <v>-2.8383621019770541E-2</v>
      </c>
      <c r="D11" s="66">
        <v>-1.313063454239227E-2</v>
      </c>
      <c r="E11" s="66">
        <v>-9.2487995609474183E-2</v>
      </c>
      <c r="F11" s="66">
        <v>-0.34469311792994972</v>
      </c>
      <c r="G11" s="66">
        <v>-1.0962787578932881E-2</v>
      </c>
      <c r="H11" s="66">
        <v>0.29344601722962688</v>
      </c>
      <c r="I11" s="66">
        <v>0.27774239159532499</v>
      </c>
      <c r="J11" s="99">
        <v>0</v>
      </c>
      <c r="K11" s="66">
        <v>-2.840681957334823E-2</v>
      </c>
      <c r="L11" s="66">
        <v>0.234988785353579</v>
      </c>
      <c r="M11" s="66">
        <v>0</v>
      </c>
      <c r="N11" s="99">
        <v>0</v>
      </c>
      <c r="O11" s="66">
        <v>-2.222964582335862E-2</v>
      </c>
      <c r="P11" s="66">
        <v>1.0404969373212229E-3</v>
      </c>
      <c r="Q11" s="66">
        <v>0</v>
      </c>
      <c r="R11" s="66">
        <v>0.86504317086678384</v>
      </c>
      <c r="S11" s="66">
        <v>0</v>
      </c>
      <c r="T11" s="66">
        <v>0</v>
      </c>
      <c r="U11" s="66">
        <v>0</v>
      </c>
      <c r="V11" s="66">
        <v>0</v>
      </c>
      <c r="W11" s="66">
        <v>0</v>
      </c>
      <c r="X11" s="66">
        <v>0</v>
      </c>
      <c r="Y11" s="66">
        <v>0</v>
      </c>
      <c r="Z11" s="99">
        <v>0</v>
      </c>
      <c r="AA11" s="99">
        <v>0</v>
      </c>
      <c r="AB11" s="99">
        <v>0</v>
      </c>
      <c r="AC11" s="99">
        <v>0</v>
      </c>
      <c r="AD11" s="99">
        <v>0</v>
      </c>
      <c r="AE11" s="99">
        <v>0</v>
      </c>
      <c r="AF11" s="66">
        <v>0.21367676042396511</v>
      </c>
      <c r="AG11" s="99">
        <v>0</v>
      </c>
    </row>
    <row r="12" spans="1:33" x14ac:dyDescent="0.35">
      <c r="A12" s="127" t="s">
        <v>154</v>
      </c>
      <c r="B12" s="66">
        <v>0</v>
      </c>
      <c r="C12" s="66">
        <v>-2.1828867586634711E-2</v>
      </c>
      <c r="D12" s="66">
        <v>-1.057657439494619E-2</v>
      </c>
      <c r="E12" s="66">
        <v>-8.3738872359731431E-2</v>
      </c>
      <c r="F12" s="66">
        <v>-0.32091486126947188</v>
      </c>
      <c r="G12" s="66">
        <v>-1.4716883437273511E-2</v>
      </c>
      <c r="H12" s="66">
        <v>0.27210379368000298</v>
      </c>
      <c r="I12" s="66">
        <v>0.27842982837771052</v>
      </c>
      <c r="J12" s="99">
        <v>0</v>
      </c>
      <c r="K12" s="66">
        <v>-3.858227236068501E-2</v>
      </c>
      <c r="L12" s="66">
        <v>0.23546452754962391</v>
      </c>
      <c r="M12" s="66">
        <v>0</v>
      </c>
      <c r="N12" s="99">
        <v>0</v>
      </c>
      <c r="O12" s="66">
        <v>-1.7780069965027678E-2</v>
      </c>
      <c r="P12" s="66">
        <v>2.4239912474115499E-3</v>
      </c>
      <c r="Q12" s="66">
        <v>0</v>
      </c>
      <c r="R12" s="66">
        <v>0.83497923379971439</v>
      </c>
      <c r="S12" s="66">
        <v>0</v>
      </c>
      <c r="T12" s="66">
        <v>0</v>
      </c>
      <c r="U12" s="66">
        <v>0</v>
      </c>
      <c r="V12" s="66">
        <v>0</v>
      </c>
      <c r="W12" s="66">
        <v>0</v>
      </c>
      <c r="X12" s="66">
        <v>0</v>
      </c>
      <c r="Y12" s="66">
        <v>0</v>
      </c>
      <c r="Z12" s="99">
        <v>0</v>
      </c>
      <c r="AA12" s="99">
        <v>0</v>
      </c>
      <c r="AB12" s="99">
        <v>0</v>
      </c>
      <c r="AC12" s="99">
        <v>0</v>
      </c>
      <c r="AD12" s="99">
        <v>0</v>
      </c>
      <c r="AE12" s="99">
        <v>0</v>
      </c>
      <c r="AF12" s="66">
        <v>0.2140469760762187</v>
      </c>
      <c r="AG12" s="99">
        <v>0</v>
      </c>
    </row>
    <row r="13" spans="1:33" x14ac:dyDescent="0.35">
      <c r="A13" s="127" t="s">
        <v>155</v>
      </c>
      <c r="B13" s="66">
        <v>0</v>
      </c>
      <c r="C13" s="66">
        <v>-2.6568185223396771E-2</v>
      </c>
      <c r="D13" s="66">
        <v>-1.287447223774052E-2</v>
      </c>
      <c r="E13" s="66">
        <v>-0.13136604384558839</v>
      </c>
      <c r="F13" s="66">
        <v>-0.34734141322783779</v>
      </c>
      <c r="G13" s="66">
        <v>-9.5121611227000358E-3</v>
      </c>
      <c r="H13" s="66">
        <v>0.33227490951065869</v>
      </c>
      <c r="I13" s="66">
        <v>0.27904035930211529</v>
      </c>
      <c r="J13" s="99">
        <v>0</v>
      </c>
      <c r="K13" s="66">
        <v>-4.6784943768528819E-2</v>
      </c>
      <c r="L13" s="66">
        <v>0.23610744669781519</v>
      </c>
      <c r="M13" s="66">
        <v>0</v>
      </c>
      <c r="N13" s="99">
        <v>0</v>
      </c>
      <c r="O13" s="66">
        <v>-1.9099697475951419E-2</v>
      </c>
      <c r="P13" s="66">
        <v>3.9980487790103334E-3</v>
      </c>
      <c r="Q13" s="66">
        <v>0</v>
      </c>
      <c r="R13" s="66">
        <v>0.71744418130148802</v>
      </c>
      <c r="S13" s="66">
        <v>0</v>
      </c>
      <c r="T13" s="66">
        <v>0</v>
      </c>
      <c r="U13" s="66">
        <v>0</v>
      </c>
      <c r="V13" s="66">
        <v>0</v>
      </c>
      <c r="W13" s="66">
        <v>0</v>
      </c>
      <c r="X13" s="66">
        <v>0</v>
      </c>
      <c r="Y13" s="66">
        <v>0</v>
      </c>
      <c r="Z13" s="99">
        <v>0</v>
      </c>
      <c r="AA13" s="99">
        <v>0</v>
      </c>
      <c r="AB13" s="99">
        <v>0</v>
      </c>
      <c r="AC13" s="99">
        <v>0</v>
      </c>
      <c r="AD13" s="99">
        <v>0</v>
      </c>
      <c r="AE13" s="99">
        <v>0</v>
      </c>
      <c r="AF13" s="66">
        <v>0.21470604026325191</v>
      </c>
      <c r="AG13" s="99">
        <v>0</v>
      </c>
    </row>
    <row r="14" spans="1:33" x14ac:dyDescent="0.35">
      <c r="A14" s="127" t="s">
        <v>156</v>
      </c>
      <c r="B14" s="66">
        <v>0</v>
      </c>
      <c r="C14" s="66">
        <v>-2.467269481866197E-2</v>
      </c>
      <c r="D14" s="66">
        <v>-1.0848322705840021E-2</v>
      </c>
      <c r="E14" s="66">
        <v>-0.1139088050184114</v>
      </c>
      <c r="F14" s="66">
        <v>-0.40481772298673491</v>
      </c>
      <c r="G14" s="66">
        <v>-1.0395054772686761E-2</v>
      </c>
      <c r="H14" s="66">
        <v>0.30955733201560071</v>
      </c>
      <c r="I14" s="66">
        <v>0.28002584160753941</v>
      </c>
      <c r="J14" s="99">
        <v>0</v>
      </c>
      <c r="K14" s="66">
        <v>-2.9127987622388218E-2</v>
      </c>
      <c r="L14" s="66">
        <v>0.2370623769322151</v>
      </c>
      <c r="M14" s="66">
        <v>0</v>
      </c>
      <c r="N14" s="99">
        <v>0</v>
      </c>
      <c r="O14" s="66">
        <v>-2.8696173682362769E-2</v>
      </c>
      <c r="P14" s="66">
        <v>2.072970308063304E-3</v>
      </c>
      <c r="Q14" s="66">
        <v>0</v>
      </c>
      <c r="R14" s="66">
        <v>0.65860642462780561</v>
      </c>
      <c r="S14" s="66">
        <v>0</v>
      </c>
      <c r="T14" s="66">
        <v>0</v>
      </c>
      <c r="U14" s="66">
        <v>0</v>
      </c>
      <c r="V14" s="66">
        <v>0</v>
      </c>
      <c r="W14" s="66">
        <v>0</v>
      </c>
      <c r="X14" s="66">
        <v>0</v>
      </c>
      <c r="Y14" s="66">
        <v>0</v>
      </c>
      <c r="Z14" s="99">
        <v>0</v>
      </c>
      <c r="AA14" s="99">
        <v>0</v>
      </c>
      <c r="AB14" s="99">
        <v>0</v>
      </c>
      <c r="AC14" s="99">
        <v>0</v>
      </c>
      <c r="AD14" s="99">
        <v>0</v>
      </c>
      <c r="AE14" s="99">
        <v>0</v>
      </c>
      <c r="AF14" s="66">
        <v>0.21564574075316051</v>
      </c>
      <c r="AG14" s="99">
        <v>0</v>
      </c>
    </row>
    <row r="15" spans="1:33" x14ac:dyDescent="0.35">
      <c r="A15" s="127" t="s">
        <v>157</v>
      </c>
      <c r="B15" s="66">
        <v>0</v>
      </c>
      <c r="C15" s="66">
        <v>-1.4527088905254001E-2</v>
      </c>
      <c r="D15" s="66">
        <v>-9.6853163672392384E-3</v>
      </c>
      <c r="E15" s="66">
        <v>-9.2353430355473165E-2</v>
      </c>
      <c r="F15" s="66">
        <v>-0.36067716597040089</v>
      </c>
      <c r="G15" s="66">
        <v>-1.426597597856016E-2</v>
      </c>
      <c r="H15" s="66">
        <v>0.28233516615910048</v>
      </c>
      <c r="I15" s="66">
        <v>0.28384310889595099</v>
      </c>
      <c r="J15" s="99">
        <v>0</v>
      </c>
      <c r="K15" s="66">
        <v>-3.0790155744711001E-2</v>
      </c>
      <c r="L15" s="66">
        <v>0.24000430309254739</v>
      </c>
      <c r="M15" s="66">
        <v>0</v>
      </c>
      <c r="N15" s="99">
        <v>0</v>
      </c>
      <c r="O15" s="66">
        <v>-2.6006734562230349E-2</v>
      </c>
      <c r="P15" s="66">
        <v>3.453282371793875E-3</v>
      </c>
      <c r="Q15" s="66">
        <v>0</v>
      </c>
      <c r="R15" s="66">
        <v>0.45955862596380831</v>
      </c>
      <c r="S15" s="66">
        <v>0</v>
      </c>
      <c r="T15" s="66">
        <v>0</v>
      </c>
      <c r="U15" s="66">
        <v>0</v>
      </c>
      <c r="V15" s="66">
        <v>0</v>
      </c>
      <c r="W15" s="66">
        <v>0</v>
      </c>
      <c r="X15" s="66">
        <v>0</v>
      </c>
      <c r="Y15" s="66">
        <v>0</v>
      </c>
      <c r="Z15" s="99">
        <v>0</v>
      </c>
      <c r="AA15" s="99">
        <v>0</v>
      </c>
      <c r="AB15" s="99">
        <v>0</v>
      </c>
      <c r="AC15" s="99">
        <v>0</v>
      </c>
      <c r="AD15" s="99">
        <v>0</v>
      </c>
      <c r="AE15" s="99">
        <v>0</v>
      </c>
      <c r="AF15" s="66">
        <v>0.2181513226238678</v>
      </c>
      <c r="AG15" s="99">
        <v>0</v>
      </c>
    </row>
    <row r="16" spans="1:33" x14ac:dyDescent="0.35">
      <c r="A16" s="127" t="s">
        <v>158</v>
      </c>
      <c r="B16" s="66">
        <v>0</v>
      </c>
      <c r="C16" s="66">
        <v>-6.8153776907422534E-3</v>
      </c>
      <c r="D16" s="66">
        <v>-1.020516128474469E-2</v>
      </c>
      <c r="E16" s="66">
        <v>-0.1092547627105773</v>
      </c>
      <c r="F16" s="66">
        <v>-0.32136588694217488</v>
      </c>
      <c r="G16" s="66">
        <v>-2.22617721346694E-2</v>
      </c>
      <c r="H16" s="66">
        <v>0.34510618642613622</v>
      </c>
      <c r="I16" s="66">
        <v>0.28075521563724237</v>
      </c>
      <c r="J16" s="99">
        <v>0</v>
      </c>
      <c r="K16" s="66">
        <v>-3.7345647766244383E-2</v>
      </c>
      <c r="L16" s="66">
        <v>0.237389675456086</v>
      </c>
      <c r="M16" s="66">
        <v>0</v>
      </c>
      <c r="N16" s="99">
        <v>0</v>
      </c>
      <c r="O16" s="66">
        <v>-2.2431552582787621E-2</v>
      </c>
      <c r="P16" s="66">
        <v>7.6782094487271024E-4</v>
      </c>
      <c r="Q16" s="66">
        <v>0</v>
      </c>
      <c r="R16" s="66">
        <v>0.66393475187425111</v>
      </c>
      <c r="S16" s="66">
        <v>0</v>
      </c>
      <c r="T16" s="66">
        <v>0</v>
      </c>
      <c r="U16" s="66">
        <v>0</v>
      </c>
      <c r="V16" s="66">
        <v>0</v>
      </c>
      <c r="W16" s="66">
        <v>0</v>
      </c>
      <c r="X16" s="66">
        <v>0</v>
      </c>
      <c r="Y16" s="66">
        <v>0</v>
      </c>
      <c r="Z16" s="99">
        <v>0</v>
      </c>
      <c r="AA16" s="99">
        <v>0</v>
      </c>
      <c r="AB16" s="99">
        <v>0</v>
      </c>
      <c r="AC16" s="99">
        <v>0</v>
      </c>
      <c r="AD16" s="99">
        <v>0</v>
      </c>
      <c r="AE16" s="99">
        <v>0</v>
      </c>
      <c r="AF16" s="66">
        <v>0.21577261072943091</v>
      </c>
      <c r="AG16" s="99">
        <v>0</v>
      </c>
    </row>
    <row r="17" spans="1:33" x14ac:dyDescent="0.35">
      <c r="A17" s="127" t="s">
        <v>159</v>
      </c>
      <c r="B17" s="66">
        <v>0</v>
      </c>
      <c r="C17" s="66">
        <v>-2.9571178573348789E-3</v>
      </c>
      <c r="D17" s="66">
        <v>-9.5750246839543252E-3</v>
      </c>
      <c r="E17" s="66">
        <v>-0.12861231688825109</v>
      </c>
      <c r="F17" s="66">
        <v>-0.37337265689814098</v>
      </c>
      <c r="G17" s="66">
        <v>-1.0523851817993091E-2</v>
      </c>
      <c r="H17" s="66">
        <v>0.30203435185799782</v>
      </c>
      <c r="I17" s="66">
        <v>0.27811928483473031</v>
      </c>
      <c r="J17" s="99">
        <v>0</v>
      </c>
      <c r="K17" s="66">
        <v>-3.4104255359977742E-2</v>
      </c>
      <c r="L17" s="66">
        <v>0.23518999912531061</v>
      </c>
      <c r="M17" s="66">
        <v>0</v>
      </c>
      <c r="N17" s="99">
        <v>0</v>
      </c>
      <c r="O17" s="66">
        <v>-2.5436904128781631E-2</v>
      </c>
      <c r="P17" s="66">
        <v>3.311141946426233E-3</v>
      </c>
      <c r="Q17" s="66">
        <v>0</v>
      </c>
      <c r="R17" s="66">
        <v>0.9129791104201388</v>
      </c>
      <c r="S17" s="66">
        <v>0</v>
      </c>
      <c r="T17" s="66">
        <v>0</v>
      </c>
      <c r="U17" s="66">
        <v>0</v>
      </c>
      <c r="V17" s="66">
        <v>0</v>
      </c>
      <c r="W17" s="66">
        <v>0</v>
      </c>
      <c r="X17" s="66">
        <v>0</v>
      </c>
      <c r="Y17" s="66">
        <v>0</v>
      </c>
      <c r="Z17" s="99">
        <v>0</v>
      </c>
      <c r="AA17" s="99">
        <v>0</v>
      </c>
      <c r="AB17" s="99">
        <v>0</v>
      </c>
      <c r="AC17" s="99">
        <v>0</v>
      </c>
      <c r="AD17" s="99">
        <v>0</v>
      </c>
      <c r="AE17" s="99">
        <v>0</v>
      </c>
      <c r="AF17" s="66">
        <v>0.21379040064289259</v>
      </c>
      <c r="AG17" s="99">
        <v>0</v>
      </c>
    </row>
    <row r="18" spans="1:33" x14ac:dyDescent="0.35">
      <c r="A18" s="127" t="s">
        <v>160</v>
      </c>
      <c r="B18" s="66">
        <v>0</v>
      </c>
      <c r="C18" s="66">
        <v>-4.3421242251042713E-3</v>
      </c>
      <c r="D18" s="66">
        <v>-8.9961041325352653E-3</v>
      </c>
      <c r="E18" s="66">
        <v>-0.1270759402757449</v>
      </c>
      <c r="F18" s="66">
        <v>-0.38872629377337381</v>
      </c>
      <c r="G18" s="66">
        <v>-9.9955290486093418E-3</v>
      </c>
      <c r="H18" s="66">
        <v>0.30663705485321202</v>
      </c>
      <c r="I18" s="66">
        <v>0.28137016839275469</v>
      </c>
      <c r="J18" s="99">
        <v>0</v>
      </c>
      <c r="K18" s="66">
        <v>-3.9315521865432863E-2</v>
      </c>
      <c r="L18" s="66">
        <v>0.2379647111232828</v>
      </c>
      <c r="M18" s="66">
        <v>0</v>
      </c>
      <c r="N18" s="99">
        <v>0</v>
      </c>
      <c r="O18" s="66">
        <v>-1.7498818270041738E-2</v>
      </c>
      <c r="P18" s="66">
        <v>4.7814427001924287E-3</v>
      </c>
      <c r="Q18" s="66">
        <v>0</v>
      </c>
      <c r="R18" s="66">
        <v>0.65066167581755963</v>
      </c>
      <c r="S18" s="66">
        <v>0</v>
      </c>
      <c r="T18" s="66">
        <v>0</v>
      </c>
      <c r="U18" s="66">
        <v>0</v>
      </c>
      <c r="V18" s="66">
        <v>0</v>
      </c>
      <c r="W18" s="66">
        <v>0</v>
      </c>
      <c r="X18" s="66">
        <v>0</v>
      </c>
      <c r="Y18" s="66">
        <v>0</v>
      </c>
      <c r="Z18" s="99">
        <v>0</v>
      </c>
      <c r="AA18" s="99">
        <v>0</v>
      </c>
      <c r="AB18" s="99">
        <v>0</v>
      </c>
      <c r="AC18" s="99">
        <v>0</v>
      </c>
      <c r="AD18" s="99">
        <v>0</v>
      </c>
      <c r="AE18" s="99">
        <v>0</v>
      </c>
      <c r="AF18" s="66">
        <v>0.21632774833290111</v>
      </c>
      <c r="AG18" s="99">
        <v>0</v>
      </c>
    </row>
    <row r="19" spans="1:33" x14ac:dyDescent="0.35">
      <c r="A19" s="127" t="s">
        <v>1</v>
      </c>
      <c r="B19" s="66">
        <v>0</v>
      </c>
      <c r="C19" s="66">
        <v>-1.088331487153482E-2</v>
      </c>
      <c r="D19" s="66">
        <v>-7.842774439779987E-3</v>
      </c>
      <c r="E19" s="66">
        <v>-0.1163050521317643</v>
      </c>
      <c r="F19" s="66">
        <v>-0.35662440390399303</v>
      </c>
      <c r="G19" s="66">
        <v>-2.341135025929475E-2</v>
      </c>
      <c r="H19" s="66">
        <v>0.25395214377519443</v>
      </c>
      <c r="I19" s="66">
        <v>0.28227085069514152</v>
      </c>
      <c r="J19" s="99">
        <v>0</v>
      </c>
      <c r="K19" s="66">
        <v>-5.4364561170700647E-2</v>
      </c>
      <c r="L19" s="66">
        <v>0.23865795955322261</v>
      </c>
      <c r="M19" s="66">
        <v>0</v>
      </c>
      <c r="N19" s="99">
        <v>0</v>
      </c>
      <c r="O19" s="66">
        <v>-2.8275376616420541E-2</v>
      </c>
      <c r="P19" s="66">
        <v>8.7339092235083626E-4</v>
      </c>
      <c r="Q19" s="66">
        <v>0</v>
      </c>
      <c r="R19" s="66">
        <v>0.71635745290069508</v>
      </c>
      <c r="S19" s="66">
        <v>0</v>
      </c>
      <c r="T19" s="66">
        <v>0</v>
      </c>
      <c r="U19" s="66">
        <v>0</v>
      </c>
      <c r="V19" s="66">
        <v>0</v>
      </c>
      <c r="W19" s="66">
        <v>0</v>
      </c>
      <c r="X19" s="66">
        <v>0</v>
      </c>
      <c r="Y19" s="66">
        <v>0</v>
      </c>
      <c r="Z19" s="99">
        <v>0</v>
      </c>
      <c r="AA19" s="99">
        <v>0</v>
      </c>
      <c r="AB19" s="99">
        <v>0</v>
      </c>
      <c r="AC19" s="99">
        <v>0</v>
      </c>
      <c r="AD19" s="99">
        <v>0</v>
      </c>
      <c r="AE19" s="99">
        <v>0</v>
      </c>
      <c r="AF19" s="66">
        <v>0.21691759412036049</v>
      </c>
      <c r="AG19" s="99">
        <v>0</v>
      </c>
    </row>
    <row r="20" spans="1:33" x14ac:dyDescent="0.35">
      <c r="A20" s="127" t="s">
        <v>2</v>
      </c>
      <c r="B20" s="66">
        <v>0</v>
      </c>
      <c r="C20" s="66">
        <v>-1.045710624788398E-2</v>
      </c>
      <c r="D20" s="66">
        <v>-8.8512002004108581E-3</v>
      </c>
      <c r="E20" s="66">
        <v>-4.4198433405455262E-2</v>
      </c>
      <c r="F20" s="66">
        <v>-0.30176002225286419</v>
      </c>
      <c r="G20" s="66">
        <v>-1.1741095303108301E-2</v>
      </c>
      <c r="H20" s="66">
        <v>0.28244704856527392</v>
      </c>
      <c r="I20" s="66">
        <v>0.28414722639121243</v>
      </c>
      <c r="J20" s="99">
        <v>0</v>
      </c>
      <c r="K20" s="66">
        <v>-5.0082374054795757E-2</v>
      </c>
      <c r="L20" s="66">
        <v>0.240234097386093</v>
      </c>
      <c r="M20" s="66">
        <v>0</v>
      </c>
      <c r="N20" s="99">
        <v>0</v>
      </c>
      <c r="O20" s="66">
        <v>-1.805429629766309E-2</v>
      </c>
      <c r="P20" s="66">
        <v>0</v>
      </c>
      <c r="Q20" s="66">
        <v>0</v>
      </c>
      <c r="R20" s="66">
        <v>0.39200137425515891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66">
        <v>0</v>
      </c>
      <c r="Y20" s="66">
        <v>0</v>
      </c>
      <c r="Z20" s="99">
        <v>0</v>
      </c>
      <c r="AA20" s="99">
        <v>0</v>
      </c>
      <c r="AB20" s="99">
        <v>0</v>
      </c>
      <c r="AC20" s="99">
        <v>0</v>
      </c>
      <c r="AD20" s="99">
        <v>0</v>
      </c>
      <c r="AE20" s="99">
        <v>0</v>
      </c>
      <c r="AF20" s="66">
        <v>0.2183440679274895</v>
      </c>
      <c r="AG20" s="99">
        <v>0</v>
      </c>
    </row>
    <row r="21" spans="1:33" x14ac:dyDescent="0.35">
      <c r="A21" s="127" t="s">
        <v>3</v>
      </c>
      <c r="B21" s="66">
        <v>0</v>
      </c>
      <c r="C21" s="66">
        <v>-1.0438728503800119E-2</v>
      </c>
      <c r="D21" s="66">
        <v>-7.6787735349626018E-3</v>
      </c>
      <c r="E21" s="66">
        <v>-5.4365931200123903E-2</v>
      </c>
      <c r="F21" s="66">
        <v>-0.21777581217307329</v>
      </c>
      <c r="G21" s="66">
        <v>-3.1848553015521468E-2</v>
      </c>
      <c r="H21" s="66">
        <v>0.34752171840852952</v>
      </c>
      <c r="I21" s="66">
        <v>0.28416766161075202</v>
      </c>
      <c r="J21" s="99">
        <v>0</v>
      </c>
      <c r="K21" s="66">
        <v>-8.6031282899170947E-2</v>
      </c>
      <c r="L21" s="66">
        <v>0.24013816054770129</v>
      </c>
      <c r="M21" s="66">
        <v>0</v>
      </c>
      <c r="N21" s="99">
        <v>0</v>
      </c>
      <c r="O21" s="66">
        <v>-2.6246318155642712E-2</v>
      </c>
      <c r="P21" s="66">
        <v>4.5460894796178758E-4</v>
      </c>
      <c r="Q21" s="66">
        <v>0</v>
      </c>
      <c r="R21" s="66">
        <v>0.36543965069344608</v>
      </c>
      <c r="S21" s="66">
        <v>0</v>
      </c>
      <c r="T21" s="66">
        <v>0</v>
      </c>
      <c r="U21" s="66">
        <v>0</v>
      </c>
      <c r="V21" s="66">
        <v>0</v>
      </c>
      <c r="W21" s="66">
        <v>0</v>
      </c>
      <c r="X21" s="66">
        <v>0</v>
      </c>
      <c r="Y21" s="66">
        <v>0</v>
      </c>
      <c r="Z21" s="99">
        <v>0</v>
      </c>
      <c r="AA21" s="99">
        <v>0</v>
      </c>
      <c r="AB21" s="99">
        <v>0</v>
      </c>
      <c r="AC21" s="99">
        <v>0</v>
      </c>
      <c r="AD21" s="99">
        <v>0</v>
      </c>
      <c r="AE21" s="99">
        <v>0</v>
      </c>
      <c r="AF21" s="66">
        <v>0.2181901213814115</v>
      </c>
      <c r="AG21" s="99">
        <v>0</v>
      </c>
    </row>
    <row r="22" spans="1:33" x14ac:dyDescent="0.35">
      <c r="A22" s="127" t="s">
        <v>4</v>
      </c>
      <c r="B22" s="66">
        <v>0</v>
      </c>
      <c r="C22" s="66">
        <v>-9.6215543731830167E-3</v>
      </c>
      <c r="D22" s="66">
        <v>-8.4049565664940928E-3</v>
      </c>
      <c r="E22" s="66">
        <v>-9.0191734712703919E-2</v>
      </c>
      <c r="F22" s="66">
        <v>-0.17208794969653241</v>
      </c>
      <c r="G22" s="66">
        <v>-2.9031548550221942E-2</v>
      </c>
      <c r="H22" s="66">
        <v>0.40008755180795669</v>
      </c>
      <c r="I22" s="66">
        <v>0.27727240844379247</v>
      </c>
      <c r="J22" s="99">
        <v>0</v>
      </c>
      <c r="K22" s="66">
        <v>-3.7582937894541153E-2</v>
      </c>
      <c r="L22" s="66">
        <v>0.2342828176734599</v>
      </c>
      <c r="M22" s="66">
        <v>0</v>
      </c>
      <c r="N22" s="99">
        <v>0</v>
      </c>
      <c r="O22" s="66">
        <v>-2.1208800606956402E-2</v>
      </c>
      <c r="P22" s="66">
        <v>9.0406833862743952E-5</v>
      </c>
      <c r="Q22" s="66">
        <v>0</v>
      </c>
      <c r="R22" s="66">
        <v>0.796653984307369</v>
      </c>
      <c r="S22" s="66">
        <v>0</v>
      </c>
      <c r="T22" s="66">
        <v>0</v>
      </c>
      <c r="U22" s="66">
        <v>0</v>
      </c>
      <c r="V22" s="66">
        <v>0</v>
      </c>
      <c r="W22" s="66">
        <v>0</v>
      </c>
      <c r="X22" s="66">
        <v>0</v>
      </c>
      <c r="Y22" s="66">
        <v>0</v>
      </c>
      <c r="Z22" s="99">
        <v>0</v>
      </c>
      <c r="AA22" s="99">
        <v>0</v>
      </c>
      <c r="AB22" s="99">
        <v>0</v>
      </c>
      <c r="AC22" s="99">
        <v>0</v>
      </c>
      <c r="AD22" s="99">
        <v>0</v>
      </c>
      <c r="AE22" s="99">
        <v>0</v>
      </c>
      <c r="AF22" s="66">
        <v>0.21285315803189059</v>
      </c>
      <c r="AG22" s="99">
        <v>0</v>
      </c>
    </row>
    <row r="23" spans="1:33" x14ac:dyDescent="0.35">
      <c r="A23" s="127" t="s">
        <v>5</v>
      </c>
      <c r="B23" s="66">
        <v>0</v>
      </c>
      <c r="C23" s="66">
        <v>-3.8443862348742641E-3</v>
      </c>
      <c r="D23" s="66">
        <v>-5.6398373733088647E-3</v>
      </c>
      <c r="E23" s="66">
        <v>-6.6101412214919719E-2</v>
      </c>
      <c r="F23" s="66">
        <v>-0.22929639832358359</v>
      </c>
      <c r="G23" s="66">
        <v>-3.5121833971516032E-2</v>
      </c>
      <c r="H23" s="66">
        <v>0.43215352650562983</v>
      </c>
      <c r="I23" s="66">
        <v>0.28011743304000453</v>
      </c>
      <c r="J23" s="99">
        <v>0</v>
      </c>
      <c r="K23" s="66">
        <v>-5.6704714445032778E-2</v>
      </c>
      <c r="L23" s="66">
        <v>0.23681855552038661</v>
      </c>
      <c r="M23" s="66">
        <v>0</v>
      </c>
      <c r="N23" s="99">
        <v>0</v>
      </c>
      <c r="O23" s="66">
        <v>-2.4721236073531831E-2</v>
      </c>
      <c r="P23" s="66">
        <v>0</v>
      </c>
      <c r="Q23" s="66">
        <v>0</v>
      </c>
      <c r="R23" s="66">
        <v>0.52297279983065437</v>
      </c>
      <c r="S23" s="66">
        <v>0</v>
      </c>
      <c r="T23" s="66">
        <v>0</v>
      </c>
      <c r="U23" s="66">
        <v>0</v>
      </c>
      <c r="V23" s="66">
        <v>0</v>
      </c>
      <c r="W23" s="66">
        <v>0</v>
      </c>
      <c r="X23" s="66">
        <v>0</v>
      </c>
      <c r="Y23" s="66">
        <v>0</v>
      </c>
      <c r="Z23" s="99">
        <v>0</v>
      </c>
      <c r="AA23" s="99">
        <v>0</v>
      </c>
      <c r="AB23" s="99">
        <v>0</v>
      </c>
      <c r="AC23" s="99">
        <v>0</v>
      </c>
      <c r="AD23" s="99">
        <v>0</v>
      </c>
      <c r="AE23" s="99">
        <v>0</v>
      </c>
      <c r="AF23" s="66">
        <v>0.2152347211204528</v>
      </c>
      <c r="AG23" s="99">
        <v>0</v>
      </c>
    </row>
    <row r="24" spans="1:33" x14ac:dyDescent="0.35">
      <c r="A24" s="127" t="s">
        <v>6</v>
      </c>
      <c r="B24" s="66">
        <v>0</v>
      </c>
      <c r="C24" s="66">
        <v>-7.4641643582822326E-3</v>
      </c>
      <c r="D24" s="66">
        <v>-6.2077685069539257E-3</v>
      </c>
      <c r="E24" s="66">
        <v>-3.6870748029116378E-2</v>
      </c>
      <c r="F24" s="66">
        <v>-0.2053036753942763</v>
      </c>
      <c r="G24" s="66">
        <v>-4.4844738419016039E-2</v>
      </c>
      <c r="H24" s="66">
        <v>0.43962701606540122</v>
      </c>
      <c r="I24" s="66">
        <v>0.27376071297607041</v>
      </c>
      <c r="J24" s="99">
        <v>0</v>
      </c>
      <c r="K24" s="66">
        <v>-5.4886659455092968E-2</v>
      </c>
      <c r="L24" s="66">
        <v>0.23136785542942559</v>
      </c>
      <c r="M24" s="66">
        <v>0</v>
      </c>
      <c r="N24" s="99">
        <v>0</v>
      </c>
      <c r="O24" s="66">
        <v>-1.7657930858604232E-2</v>
      </c>
      <c r="P24" s="66">
        <v>6.3833777420541082E-4</v>
      </c>
      <c r="Q24" s="66">
        <v>0</v>
      </c>
      <c r="R24" s="66">
        <v>0.98496648883386229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99">
        <v>0</v>
      </c>
      <c r="AA24" s="99">
        <v>0</v>
      </c>
      <c r="AB24" s="99">
        <v>0</v>
      </c>
      <c r="AC24" s="99">
        <v>0</v>
      </c>
      <c r="AD24" s="99">
        <v>0</v>
      </c>
      <c r="AE24" s="99">
        <v>0</v>
      </c>
      <c r="AF24" s="66">
        <v>0.21023565825842641</v>
      </c>
      <c r="AG24" s="99">
        <v>0</v>
      </c>
    </row>
    <row r="25" spans="1:33" x14ac:dyDescent="0.35">
      <c r="A25" s="127" t="s">
        <v>7</v>
      </c>
      <c r="B25" s="66">
        <v>0</v>
      </c>
      <c r="C25" s="66">
        <v>-9.7993829733695748E-3</v>
      </c>
      <c r="D25" s="66">
        <v>-2.9030182679434802E-3</v>
      </c>
      <c r="E25" s="66">
        <v>-8.9094288821598866E-2</v>
      </c>
      <c r="F25" s="66">
        <v>-0.25427336417163809</v>
      </c>
      <c r="G25" s="66">
        <v>-6.0502808052859791E-2</v>
      </c>
      <c r="H25" s="66">
        <v>0.40939768611352179</v>
      </c>
      <c r="I25" s="66">
        <v>0.27828133442591252</v>
      </c>
      <c r="J25" s="99">
        <v>0</v>
      </c>
      <c r="K25" s="66">
        <v>-7.700249582478591E-2</v>
      </c>
      <c r="L25" s="66">
        <v>0.23542773049507559</v>
      </c>
      <c r="M25" s="66">
        <v>0</v>
      </c>
      <c r="N25" s="99">
        <v>0</v>
      </c>
      <c r="O25" s="66">
        <v>-2.7332824942618569E-2</v>
      </c>
      <c r="P25" s="66">
        <v>2.060370751166829E-3</v>
      </c>
      <c r="Q25" s="66">
        <v>0</v>
      </c>
      <c r="R25" s="66">
        <v>0.67518210169922099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99">
        <v>0</v>
      </c>
      <c r="AA25" s="99">
        <v>0</v>
      </c>
      <c r="AB25" s="99">
        <v>0</v>
      </c>
      <c r="AC25" s="99">
        <v>0</v>
      </c>
      <c r="AD25" s="99">
        <v>0</v>
      </c>
      <c r="AE25" s="99">
        <v>0</v>
      </c>
      <c r="AF25" s="66">
        <v>0.21406585823260121</v>
      </c>
      <c r="AG25" s="99">
        <v>0</v>
      </c>
    </row>
    <row r="26" spans="1:33" x14ac:dyDescent="0.35">
      <c r="A26" s="127" t="s">
        <v>8</v>
      </c>
      <c r="B26" s="66">
        <v>0</v>
      </c>
      <c r="C26" s="66">
        <v>-2.6082568209005789E-2</v>
      </c>
      <c r="D26" s="66">
        <v>-3.240917017762968E-3</v>
      </c>
      <c r="E26" s="66">
        <v>-0.12138691685319709</v>
      </c>
      <c r="F26" s="66">
        <v>-0.33127450004485581</v>
      </c>
      <c r="G26" s="66">
        <v>-5.8066137160778908E-2</v>
      </c>
      <c r="H26" s="66">
        <v>0.34313533790464129</v>
      </c>
      <c r="I26" s="66">
        <v>0.28081773997141107</v>
      </c>
      <c r="J26" s="99">
        <v>0</v>
      </c>
      <c r="K26" s="66">
        <v>-6.6040427148038816E-2</v>
      </c>
      <c r="L26" s="66">
        <v>0.2376633511612454</v>
      </c>
      <c r="M26" s="66">
        <v>0</v>
      </c>
      <c r="N26" s="99">
        <v>0</v>
      </c>
      <c r="O26" s="66">
        <v>-2.59126902610376E-2</v>
      </c>
      <c r="P26" s="66">
        <v>2.2961590545662598E-3</v>
      </c>
      <c r="Q26" s="66">
        <v>0</v>
      </c>
      <c r="R26" s="66">
        <v>0.59600274383100782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99">
        <v>0</v>
      </c>
      <c r="AA26" s="99">
        <v>0</v>
      </c>
      <c r="AB26" s="99">
        <v>0</v>
      </c>
      <c r="AC26" s="99">
        <v>0</v>
      </c>
      <c r="AD26" s="99">
        <v>0</v>
      </c>
      <c r="AE26" s="99">
        <v>0</v>
      </c>
      <c r="AF26" s="66">
        <v>0.21615154219375651</v>
      </c>
      <c r="AG26" s="99">
        <v>0</v>
      </c>
    </row>
    <row r="27" spans="1:33" x14ac:dyDescent="0.35">
      <c r="A27" s="127" t="s">
        <v>9</v>
      </c>
      <c r="B27" s="66">
        <v>0</v>
      </c>
      <c r="C27" s="66">
        <v>-9.0915908453723659E-3</v>
      </c>
      <c r="D27" s="66">
        <v>-2.772430980002127E-3</v>
      </c>
      <c r="E27" s="66">
        <v>-7.9006006372111415E-2</v>
      </c>
      <c r="F27" s="66">
        <v>-0.33659412364951891</v>
      </c>
      <c r="G27" s="66">
        <v>-2.5722035752465899E-2</v>
      </c>
      <c r="H27" s="66">
        <v>0.33210850120499907</v>
      </c>
      <c r="I27" s="66">
        <v>0.28140191268943232</v>
      </c>
      <c r="J27" s="99">
        <v>0</v>
      </c>
      <c r="K27" s="66">
        <v>-0.1022790330358703</v>
      </c>
      <c r="L27" s="66">
        <v>0.23797248265356069</v>
      </c>
      <c r="M27" s="66">
        <v>0</v>
      </c>
      <c r="N27" s="99">
        <v>0</v>
      </c>
      <c r="O27" s="66">
        <v>-3.2099854357255708E-2</v>
      </c>
      <c r="P27" s="66">
        <v>8.5001405753644121E-3</v>
      </c>
      <c r="Q27" s="66">
        <v>0</v>
      </c>
      <c r="R27" s="66">
        <v>0.61447102471484527</v>
      </c>
      <c r="S27" s="66">
        <v>0</v>
      </c>
      <c r="T27" s="66">
        <v>0</v>
      </c>
      <c r="U27" s="66">
        <v>0</v>
      </c>
      <c r="V27" s="66">
        <v>0</v>
      </c>
      <c r="W27" s="66">
        <v>0</v>
      </c>
      <c r="X27" s="66">
        <v>0</v>
      </c>
      <c r="Y27" s="66">
        <v>0</v>
      </c>
      <c r="Z27" s="99">
        <v>0</v>
      </c>
      <c r="AA27" s="99">
        <v>0</v>
      </c>
      <c r="AB27" s="99">
        <v>0</v>
      </c>
      <c r="AC27" s="99">
        <v>0</v>
      </c>
      <c r="AD27" s="99">
        <v>0</v>
      </c>
      <c r="AE27" s="99">
        <v>0</v>
      </c>
      <c r="AF27" s="66">
        <v>0.2163235698023698</v>
      </c>
      <c r="AG27" s="99">
        <v>0</v>
      </c>
    </row>
    <row r="28" spans="1:33" x14ac:dyDescent="0.35">
      <c r="A28" s="127" t="s">
        <v>10</v>
      </c>
      <c r="B28" s="66">
        <v>0</v>
      </c>
      <c r="C28" s="66">
        <v>-1.0177755881187521E-2</v>
      </c>
      <c r="D28" s="66">
        <v>-1.9535043817029418E-3</v>
      </c>
      <c r="E28" s="66">
        <v>-3.2695008624813227E-2</v>
      </c>
      <c r="F28" s="66">
        <v>-0.18800550169697769</v>
      </c>
      <c r="G28" s="66">
        <v>-1.4841338828944121E-2</v>
      </c>
      <c r="H28" s="66">
        <v>0.40515210631784271</v>
      </c>
      <c r="I28" s="66">
        <v>0.28464087902432311</v>
      </c>
      <c r="J28" s="99">
        <v>0</v>
      </c>
      <c r="K28" s="66">
        <v>-7.8297613880238259E-2</v>
      </c>
      <c r="L28" s="66">
        <v>0.24050974218764051</v>
      </c>
      <c r="M28" s="66">
        <v>0</v>
      </c>
      <c r="N28" s="99">
        <v>0</v>
      </c>
      <c r="O28" s="66">
        <v>-4.9570490265551832E-2</v>
      </c>
      <c r="P28" s="66">
        <v>0</v>
      </c>
      <c r="Q28" s="66">
        <v>0</v>
      </c>
      <c r="R28" s="66">
        <v>0.23245861351571759</v>
      </c>
      <c r="S28" s="66">
        <v>0</v>
      </c>
      <c r="T28" s="66">
        <v>0</v>
      </c>
      <c r="U28" s="66">
        <v>0</v>
      </c>
      <c r="V28" s="66">
        <v>0</v>
      </c>
      <c r="W28" s="66">
        <v>0</v>
      </c>
      <c r="X28" s="66">
        <v>0</v>
      </c>
      <c r="Y28" s="66">
        <v>0</v>
      </c>
      <c r="Z28" s="99">
        <v>0</v>
      </c>
      <c r="AA28" s="99">
        <v>0</v>
      </c>
      <c r="AB28" s="99">
        <v>0</v>
      </c>
      <c r="AC28" s="99">
        <v>0</v>
      </c>
      <c r="AD28" s="99">
        <v>0</v>
      </c>
      <c r="AE28" s="99">
        <v>0</v>
      </c>
      <c r="AF28" s="66">
        <v>0.21851103912814551</v>
      </c>
      <c r="AG28" s="99">
        <v>0</v>
      </c>
    </row>
    <row r="29" spans="1:33" x14ac:dyDescent="0.35">
      <c r="A29" s="127" t="s">
        <v>11</v>
      </c>
      <c r="B29" s="66">
        <v>0</v>
      </c>
      <c r="C29" s="66">
        <v>-1.287041236420805E-2</v>
      </c>
      <c r="D29" s="66">
        <v>-1.7480164141545631E-3</v>
      </c>
      <c r="E29" s="66">
        <v>-5.4196440016795577E-2</v>
      </c>
      <c r="F29" s="66">
        <v>-0.11717947133578829</v>
      </c>
      <c r="G29" s="66">
        <v>-6.9033587216722481E-3</v>
      </c>
      <c r="H29" s="66">
        <v>0.3804032501282677</v>
      </c>
      <c r="I29" s="66">
        <v>0.2099977446789012</v>
      </c>
      <c r="J29" s="99">
        <v>0</v>
      </c>
      <c r="K29" s="66">
        <v>-2.6484781331191701E-2</v>
      </c>
      <c r="L29" s="66">
        <v>0.24192053840550901</v>
      </c>
      <c r="M29" s="66">
        <v>0</v>
      </c>
      <c r="N29" s="99">
        <v>0</v>
      </c>
      <c r="O29" s="66">
        <v>-4.8818035650469938E-2</v>
      </c>
      <c r="P29" s="66">
        <v>0</v>
      </c>
      <c r="Q29" s="66">
        <v>0</v>
      </c>
      <c r="R29" s="66">
        <v>7.7247042545536715E-2</v>
      </c>
      <c r="S29" s="66">
        <v>0</v>
      </c>
      <c r="T29" s="66">
        <v>0</v>
      </c>
      <c r="U29" s="66">
        <v>0</v>
      </c>
      <c r="V29" s="66">
        <v>0</v>
      </c>
      <c r="W29" s="66">
        <v>0</v>
      </c>
      <c r="X29" s="66">
        <v>0</v>
      </c>
      <c r="Y29" s="66">
        <v>0</v>
      </c>
      <c r="Z29" s="99">
        <v>0</v>
      </c>
      <c r="AA29" s="99">
        <v>0</v>
      </c>
      <c r="AB29" s="99">
        <v>0</v>
      </c>
      <c r="AC29" s="99">
        <v>0</v>
      </c>
      <c r="AD29" s="99">
        <v>0</v>
      </c>
      <c r="AE29" s="99">
        <v>0</v>
      </c>
      <c r="AF29" s="66">
        <v>0.21982584453533599</v>
      </c>
      <c r="AG29" s="99">
        <v>0</v>
      </c>
    </row>
    <row r="30" spans="1:33" x14ac:dyDescent="0.35">
      <c r="A30" s="127" t="s">
        <v>12</v>
      </c>
      <c r="B30" s="66">
        <v>0</v>
      </c>
      <c r="C30" s="66">
        <v>-9.3223553483028354E-3</v>
      </c>
      <c r="D30" s="66">
        <v>-4.7076708992221938E-4</v>
      </c>
      <c r="E30" s="66">
        <v>-5.1030278969733438E-2</v>
      </c>
      <c r="F30" s="66">
        <v>-0.1214979071622793</v>
      </c>
      <c r="G30" s="66">
        <v>-8.9204651962120352E-3</v>
      </c>
      <c r="H30" s="66">
        <v>0.47698550327163503</v>
      </c>
      <c r="I30" s="66">
        <v>0.18509220022471601</v>
      </c>
      <c r="J30" s="99">
        <v>0</v>
      </c>
      <c r="K30" s="66">
        <v>-4.0199324857098873E-2</v>
      </c>
      <c r="L30" s="66">
        <v>0.23715538741365089</v>
      </c>
      <c r="M30" s="66">
        <v>0</v>
      </c>
      <c r="N30" s="99">
        <v>0</v>
      </c>
      <c r="O30" s="66">
        <v>-4.2357806638392503E-2</v>
      </c>
      <c r="P30" s="66">
        <v>0</v>
      </c>
      <c r="Q30" s="66">
        <v>0</v>
      </c>
      <c r="R30" s="66">
        <v>0.49704496154222971</v>
      </c>
      <c r="S30" s="66">
        <v>0</v>
      </c>
      <c r="T30" s="66">
        <v>0</v>
      </c>
      <c r="U30" s="66">
        <v>0</v>
      </c>
      <c r="V30" s="66">
        <v>0</v>
      </c>
      <c r="W30" s="66">
        <v>0</v>
      </c>
      <c r="X30" s="66">
        <v>0</v>
      </c>
      <c r="Y30" s="66">
        <v>0</v>
      </c>
      <c r="Z30" s="99">
        <v>0</v>
      </c>
      <c r="AA30" s="99">
        <v>0</v>
      </c>
      <c r="AB30" s="99">
        <v>0</v>
      </c>
      <c r="AC30" s="99">
        <v>0</v>
      </c>
      <c r="AD30" s="99">
        <v>0</v>
      </c>
      <c r="AE30" s="99">
        <v>0</v>
      </c>
      <c r="AF30" s="66">
        <v>0.21541322352680939</v>
      </c>
      <c r="AG30" s="99">
        <v>0</v>
      </c>
    </row>
    <row r="31" spans="1:33" x14ac:dyDescent="0.35">
      <c r="A31" s="127" t="s">
        <v>13</v>
      </c>
      <c r="B31" s="66">
        <v>0</v>
      </c>
      <c r="C31" s="66">
        <v>-1.026568503334602E-2</v>
      </c>
      <c r="D31" s="66">
        <v>-3.1862094817824982E-4</v>
      </c>
      <c r="E31" s="66">
        <v>-2.7273096069166058E-2</v>
      </c>
      <c r="F31" s="66">
        <v>-0.12647254406974179</v>
      </c>
      <c r="G31" s="66">
        <v>-1.2101605157766929E-2</v>
      </c>
      <c r="H31" s="66">
        <v>0.61466689038132927</v>
      </c>
      <c r="I31" s="66">
        <v>0.18940879745551339</v>
      </c>
      <c r="J31" s="99">
        <v>0</v>
      </c>
      <c r="K31" s="66">
        <v>-4.3197254430538123E-2</v>
      </c>
      <c r="L31" s="66">
        <v>3.16902350634507E-2</v>
      </c>
      <c r="M31" s="66">
        <v>0</v>
      </c>
      <c r="N31" s="99">
        <v>0</v>
      </c>
      <c r="O31" s="66">
        <v>-4.5606692034681373E-2</v>
      </c>
      <c r="P31" s="66">
        <v>1.070580471122184E-3</v>
      </c>
      <c r="Q31" s="66">
        <v>0</v>
      </c>
      <c r="R31" s="66">
        <v>9.1274606968624994E-2</v>
      </c>
      <c r="S31" s="66">
        <v>0</v>
      </c>
      <c r="T31" s="66">
        <v>0</v>
      </c>
      <c r="U31" s="66">
        <v>0</v>
      </c>
      <c r="V31" s="66">
        <v>0</v>
      </c>
      <c r="W31" s="66">
        <v>0</v>
      </c>
      <c r="X31" s="66">
        <v>0</v>
      </c>
      <c r="Y31" s="66">
        <v>0</v>
      </c>
      <c r="Z31" s="99">
        <v>0</v>
      </c>
      <c r="AA31" s="99">
        <v>0</v>
      </c>
      <c r="AB31" s="99">
        <v>0</v>
      </c>
      <c r="AC31" s="99">
        <v>0</v>
      </c>
      <c r="AD31" s="99">
        <v>0</v>
      </c>
      <c r="AE31" s="99">
        <v>0</v>
      </c>
      <c r="AF31" s="66">
        <v>0.21847942526440531</v>
      </c>
      <c r="AG31" s="99">
        <v>0</v>
      </c>
    </row>
    <row r="32" spans="1:33" x14ac:dyDescent="0.35">
      <c r="A32" s="127" t="s">
        <v>14</v>
      </c>
      <c r="B32" s="66">
        <v>0</v>
      </c>
      <c r="C32" s="66">
        <v>-9.9524501635528395E-4</v>
      </c>
      <c r="D32" s="66">
        <v>-9.2615787619365619E-4</v>
      </c>
      <c r="E32" s="66">
        <v>-3.8847073905373009E-2</v>
      </c>
      <c r="F32" s="66">
        <v>-0.105405181959469</v>
      </c>
      <c r="G32" s="66">
        <v>-1.7065313305351989E-2</v>
      </c>
      <c r="H32" s="66">
        <v>0.49233944601030538</v>
      </c>
      <c r="I32" s="66">
        <v>0.20856460561668649</v>
      </c>
      <c r="J32" s="99">
        <v>0</v>
      </c>
      <c r="K32" s="66">
        <v>-1.323187891105704E-2</v>
      </c>
      <c r="L32" s="66">
        <v>-6.4556550635245458E-2</v>
      </c>
      <c r="M32" s="66">
        <v>0</v>
      </c>
      <c r="N32" s="99">
        <v>0</v>
      </c>
      <c r="O32" s="66">
        <v>-5.7343881336691993E-2</v>
      </c>
      <c r="P32" s="66">
        <v>3.9302936972092084E-3</v>
      </c>
      <c r="Q32" s="66">
        <v>0</v>
      </c>
      <c r="R32" s="66">
        <v>0.5215862094904935</v>
      </c>
      <c r="S32" s="66">
        <v>0</v>
      </c>
      <c r="T32" s="66">
        <v>0</v>
      </c>
      <c r="U32" s="66">
        <v>0</v>
      </c>
      <c r="V32" s="66">
        <v>0</v>
      </c>
      <c r="W32" s="66">
        <v>0</v>
      </c>
      <c r="X32" s="66">
        <v>0</v>
      </c>
      <c r="Y32" s="66">
        <v>0</v>
      </c>
      <c r="Z32" s="99">
        <v>0</v>
      </c>
      <c r="AA32" s="99">
        <v>0</v>
      </c>
      <c r="AB32" s="99">
        <v>0</v>
      </c>
      <c r="AC32" s="99">
        <v>0</v>
      </c>
      <c r="AD32" s="99">
        <v>0</v>
      </c>
      <c r="AE32" s="99">
        <v>0</v>
      </c>
      <c r="AF32" s="66">
        <v>0.2160971605519251</v>
      </c>
      <c r="AG32" s="99">
        <v>0</v>
      </c>
    </row>
    <row r="33" spans="1:33" x14ac:dyDescent="0.35">
      <c r="A33" s="127" t="s">
        <v>15</v>
      </c>
      <c r="B33" s="66">
        <v>0</v>
      </c>
      <c r="C33" s="66">
        <v>-3.492625093059587E-3</v>
      </c>
      <c r="D33" s="66">
        <v>-1.901973054458495E-3</v>
      </c>
      <c r="E33" s="66">
        <v>-3.2020623586106467E-2</v>
      </c>
      <c r="F33" s="66">
        <v>-8.2778714288679112E-2</v>
      </c>
      <c r="G33" s="66">
        <v>-2.278399405616938E-2</v>
      </c>
      <c r="H33" s="66">
        <v>0.48536312180675623</v>
      </c>
      <c r="I33" s="66">
        <v>0.1906757371677088</v>
      </c>
      <c r="J33" s="99">
        <v>0</v>
      </c>
      <c r="K33" s="66">
        <v>-1.277954876903209E-2</v>
      </c>
      <c r="L33" s="66">
        <v>-0.10341106625392631</v>
      </c>
      <c r="M33" s="66">
        <v>0</v>
      </c>
      <c r="N33" s="99">
        <v>0</v>
      </c>
      <c r="O33" s="66">
        <v>-5.6283701554178833E-2</v>
      </c>
      <c r="P33" s="66">
        <v>8.1723095603081219E-3</v>
      </c>
      <c r="Q33" s="66">
        <v>0</v>
      </c>
      <c r="R33" s="66">
        <v>0.143275768917448</v>
      </c>
      <c r="S33" s="66">
        <v>0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  <c r="Z33" s="99">
        <v>0</v>
      </c>
      <c r="AA33" s="99">
        <v>0</v>
      </c>
      <c r="AB33" s="99">
        <v>0</v>
      </c>
      <c r="AC33" s="99">
        <v>0</v>
      </c>
      <c r="AD33" s="99">
        <v>0</v>
      </c>
      <c r="AE33" s="99">
        <v>0</v>
      </c>
      <c r="AF33" s="66">
        <v>0.21856810850403011</v>
      </c>
      <c r="AG33" s="99">
        <v>0</v>
      </c>
    </row>
    <row r="34" spans="1:33" x14ac:dyDescent="0.35">
      <c r="A34" s="127" t="s">
        <v>16</v>
      </c>
      <c r="B34" s="66">
        <v>0</v>
      </c>
      <c r="C34" s="66">
        <v>-3.1883529408958111E-3</v>
      </c>
      <c r="D34" s="66">
        <v>-7.6459046982790824E-4</v>
      </c>
      <c r="E34" s="66">
        <v>-6.237540770302985E-2</v>
      </c>
      <c r="F34" s="66">
        <v>-7.9878674783316228E-2</v>
      </c>
      <c r="G34" s="66">
        <v>-6.0247286897663344E-3</v>
      </c>
      <c r="H34" s="66">
        <v>0.57584036826057172</v>
      </c>
      <c r="I34" s="66">
        <v>0.18003945099306409</v>
      </c>
      <c r="J34" s="99">
        <v>0</v>
      </c>
      <c r="K34" s="66">
        <v>-2.1095771151749428E-2</v>
      </c>
      <c r="L34" s="66">
        <v>-0.13921188656394179</v>
      </c>
      <c r="M34" s="66">
        <v>0</v>
      </c>
      <c r="N34" s="99">
        <v>0</v>
      </c>
      <c r="O34" s="66">
        <v>-2.9631497541799941E-2</v>
      </c>
      <c r="P34" s="66">
        <v>6.2366647898954852E-3</v>
      </c>
      <c r="Q34" s="66">
        <v>0</v>
      </c>
      <c r="R34" s="66">
        <v>0.27590418911969999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99">
        <v>0</v>
      </c>
      <c r="AA34" s="99">
        <v>0</v>
      </c>
      <c r="AB34" s="99">
        <v>0</v>
      </c>
      <c r="AC34" s="99">
        <v>0</v>
      </c>
      <c r="AD34" s="99">
        <v>0</v>
      </c>
      <c r="AE34" s="99">
        <v>0</v>
      </c>
      <c r="AF34" s="66">
        <v>0.2164398597977879</v>
      </c>
      <c r="AG34" s="99">
        <v>0</v>
      </c>
    </row>
    <row r="35" spans="1:33" x14ac:dyDescent="0.35">
      <c r="A35" s="127" t="s">
        <v>17</v>
      </c>
      <c r="B35" s="66">
        <v>0</v>
      </c>
      <c r="C35" s="66">
        <v>-4.712605466693276E-3</v>
      </c>
      <c r="D35" s="66">
        <v>-1.178426816892397E-3</v>
      </c>
      <c r="E35" s="66">
        <v>-6.0085492604088131E-2</v>
      </c>
      <c r="F35" s="66">
        <v>-5.4715825328855772E-2</v>
      </c>
      <c r="G35" s="66">
        <v>-1.8693281268610921E-2</v>
      </c>
      <c r="H35" s="66">
        <v>0.56388147596697991</v>
      </c>
      <c r="I35" s="66">
        <v>0.16933499412675701</v>
      </c>
      <c r="J35" s="99">
        <v>0</v>
      </c>
      <c r="K35" s="66">
        <v>-1.624406611591667E-2</v>
      </c>
      <c r="L35" s="66">
        <v>-0.1929398135439726</v>
      </c>
      <c r="M35" s="66">
        <v>1.1526081766703561E-2</v>
      </c>
      <c r="N35" s="99">
        <v>0</v>
      </c>
      <c r="O35" s="66">
        <v>-4.7585419418481933E-2</v>
      </c>
      <c r="P35" s="66">
        <v>5.6454914211769847E-3</v>
      </c>
      <c r="Q35" s="66">
        <v>0</v>
      </c>
      <c r="R35" s="66">
        <v>0.6287478955950121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99">
        <v>0</v>
      </c>
      <c r="AA35" s="99">
        <v>0</v>
      </c>
      <c r="AB35" s="99">
        <v>0</v>
      </c>
      <c r="AC35" s="99">
        <v>0</v>
      </c>
      <c r="AD35" s="99">
        <v>0</v>
      </c>
      <c r="AE35" s="99">
        <v>0</v>
      </c>
      <c r="AF35" s="66">
        <v>0.21262106999583349</v>
      </c>
      <c r="AG35" s="99">
        <v>0</v>
      </c>
    </row>
    <row r="36" spans="1:33" x14ac:dyDescent="0.35">
      <c r="A36" s="127" t="s">
        <v>18</v>
      </c>
      <c r="B36" s="66">
        <v>0</v>
      </c>
      <c r="C36" s="66">
        <v>-4.9658686897373627E-3</v>
      </c>
      <c r="D36" s="66">
        <v>-1.215693759149872E-3</v>
      </c>
      <c r="E36" s="66">
        <v>-4.0764849030296091E-2</v>
      </c>
      <c r="F36" s="66">
        <v>-3.1369195047091132E-2</v>
      </c>
      <c r="G36" s="66">
        <v>-8.3319321671524449E-3</v>
      </c>
      <c r="H36" s="66">
        <v>0.60652460435179023</v>
      </c>
      <c r="I36" s="66">
        <v>0.18693081995829169</v>
      </c>
      <c r="J36" s="66">
        <v>0</v>
      </c>
      <c r="K36" s="66">
        <v>-5.1847635879482823E-3</v>
      </c>
      <c r="L36" s="66">
        <v>-0.17377618151010671</v>
      </c>
      <c r="M36" s="66">
        <v>-5.7774095250806567E-4</v>
      </c>
      <c r="N36" s="66">
        <v>0</v>
      </c>
      <c r="O36" s="66">
        <v>-4.5816814293033303E-2</v>
      </c>
      <c r="P36" s="66">
        <v>9.0797845072074779E-3</v>
      </c>
      <c r="Q36" s="66">
        <v>0</v>
      </c>
      <c r="R36" s="66">
        <v>0.54917516964624724</v>
      </c>
      <c r="S36" s="66">
        <v>0</v>
      </c>
      <c r="T36" s="66">
        <v>0</v>
      </c>
      <c r="U36" s="66">
        <v>0</v>
      </c>
      <c r="V36" s="66">
        <v>0</v>
      </c>
      <c r="W36" s="66">
        <v>0</v>
      </c>
      <c r="X36" s="66">
        <v>0</v>
      </c>
      <c r="Y36" s="66">
        <v>0</v>
      </c>
      <c r="Z36" s="66">
        <v>0</v>
      </c>
      <c r="AA36" s="66">
        <v>0</v>
      </c>
      <c r="AB36" s="66">
        <v>0</v>
      </c>
      <c r="AC36" s="66">
        <v>0</v>
      </c>
      <c r="AD36" s="66">
        <v>0</v>
      </c>
      <c r="AE36" s="66">
        <v>0</v>
      </c>
      <c r="AF36" s="66">
        <v>0.21316603810896589</v>
      </c>
      <c r="AG36" s="66">
        <v>0</v>
      </c>
    </row>
    <row r="37" spans="1:33" x14ac:dyDescent="0.35">
      <c r="A37" s="127" t="s">
        <v>19</v>
      </c>
      <c r="B37" s="66">
        <v>0</v>
      </c>
      <c r="C37" s="66">
        <v>-7.0857536549908673E-3</v>
      </c>
      <c r="D37" s="66">
        <v>-2.069065643041768E-3</v>
      </c>
      <c r="E37" s="66">
        <v>-4.5207317414252657E-2</v>
      </c>
      <c r="F37" s="66">
        <v>-2.6810540862641119E-2</v>
      </c>
      <c r="G37" s="66">
        <v>-1.7635906151269861E-2</v>
      </c>
      <c r="H37" s="66">
        <v>0.65458946589561151</v>
      </c>
      <c r="I37" s="66">
        <v>0.20549553555343891</v>
      </c>
      <c r="J37" s="66">
        <v>0</v>
      </c>
      <c r="K37" s="66">
        <v>-1.1059218208373521E-2</v>
      </c>
      <c r="L37" s="66">
        <v>-0.1720357615253931</v>
      </c>
      <c r="M37" s="66">
        <v>1.917462051179086E-2</v>
      </c>
      <c r="N37" s="66">
        <v>0</v>
      </c>
      <c r="O37" s="66">
        <v>-6.8295287036107766E-2</v>
      </c>
      <c r="P37" s="66">
        <v>7.8035759045747E-4</v>
      </c>
      <c r="Q37" s="66">
        <v>0</v>
      </c>
      <c r="R37" s="66">
        <v>0.85362638002757762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0</v>
      </c>
      <c r="AE37" s="66">
        <v>0</v>
      </c>
      <c r="AF37" s="66">
        <v>0.21036808755101791</v>
      </c>
      <c r="AG37" s="66">
        <v>0</v>
      </c>
    </row>
    <row r="38" spans="1:33" x14ac:dyDescent="0.35">
      <c r="A38" s="127" t="s">
        <v>20</v>
      </c>
      <c r="B38" s="66">
        <v>0</v>
      </c>
      <c r="C38" s="66">
        <v>-3.095276099031707E-3</v>
      </c>
      <c r="D38" s="66">
        <v>0</v>
      </c>
      <c r="E38" s="66">
        <v>0</v>
      </c>
      <c r="F38" s="66">
        <v>-4.0513450128401018E-2</v>
      </c>
      <c r="G38" s="66">
        <v>0</v>
      </c>
      <c r="H38" s="66">
        <v>1.6861439401831719</v>
      </c>
      <c r="I38" s="66">
        <v>0</v>
      </c>
      <c r="J38" s="66">
        <v>0</v>
      </c>
      <c r="K38" s="66">
        <v>1.191749579200518E-2</v>
      </c>
      <c r="L38" s="66">
        <v>-0.1952459617212412</v>
      </c>
      <c r="M38" s="66">
        <v>3.581133625289112E-3</v>
      </c>
      <c r="N38" s="66">
        <v>0</v>
      </c>
      <c r="O38" s="66">
        <v>-3.4495633495083673E-2</v>
      </c>
      <c r="P38" s="66">
        <v>-0.1050526540067835</v>
      </c>
      <c r="Q38" s="66">
        <v>0</v>
      </c>
      <c r="R38" s="66">
        <v>1.061995581359668</v>
      </c>
      <c r="S38" s="66">
        <v>0</v>
      </c>
      <c r="T38" s="66">
        <v>0</v>
      </c>
      <c r="U38" s="66">
        <v>0</v>
      </c>
      <c r="V38" s="66">
        <v>0</v>
      </c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0</v>
      </c>
      <c r="AC38" s="66">
        <v>0</v>
      </c>
      <c r="AD38" s="66">
        <v>0</v>
      </c>
      <c r="AE38" s="66">
        <v>0</v>
      </c>
      <c r="AF38" s="66">
        <v>0.13628727090400619</v>
      </c>
      <c r="AG38" s="66">
        <v>0</v>
      </c>
    </row>
    <row r="39" spans="1:33" x14ac:dyDescent="0.35">
      <c r="A39" s="127" t="s">
        <v>21</v>
      </c>
      <c r="B39" s="123">
        <v>0</v>
      </c>
      <c r="C39" s="123">
        <v>-1.6042812293051161E-3</v>
      </c>
      <c r="D39" s="123">
        <v>0</v>
      </c>
      <c r="E39" s="123">
        <v>0</v>
      </c>
      <c r="F39" s="123">
        <v>-1.329793131461088E-2</v>
      </c>
      <c r="G39" s="123">
        <v>0</v>
      </c>
      <c r="H39" s="123">
        <v>1.7023993168635341</v>
      </c>
      <c r="I39" s="123">
        <v>0</v>
      </c>
      <c r="J39" s="124">
        <v>0</v>
      </c>
      <c r="K39" s="123">
        <v>4.928980093905011E-2</v>
      </c>
      <c r="L39" s="123">
        <v>-0.24648852523114331</v>
      </c>
      <c r="M39" s="123">
        <v>8.0948058173362369E-3</v>
      </c>
      <c r="N39" s="124">
        <v>0</v>
      </c>
      <c r="O39" s="123">
        <v>-3.2902348813053102E-2</v>
      </c>
      <c r="P39" s="123">
        <v>-0.116800563910715</v>
      </c>
      <c r="Q39" s="123">
        <v>0</v>
      </c>
      <c r="R39" s="123">
        <v>1.252033970514276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Z39" s="124">
        <v>0</v>
      </c>
      <c r="AA39" s="124">
        <v>0</v>
      </c>
      <c r="AB39" s="124">
        <v>0</v>
      </c>
      <c r="AC39" s="124">
        <v>0</v>
      </c>
      <c r="AD39" s="124">
        <v>0</v>
      </c>
      <c r="AE39" s="124">
        <v>0</v>
      </c>
      <c r="AF39" s="123">
        <v>-1.465735244437383E-3</v>
      </c>
      <c r="AG39" s="124">
        <v>0</v>
      </c>
    </row>
    <row r="40" spans="1:33" x14ac:dyDescent="0.35">
      <c r="B40" s="125">
        <v>0</v>
      </c>
      <c r="C40" s="125"/>
      <c r="D40" s="125"/>
      <c r="E40" s="125"/>
      <c r="F40" s="125"/>
      <c r="G40" s="125"/>
      <c r="H40" s="125"/>
      <c r="I40" s="125"/>
      <c r="J40" s="126"/>
      <c r="K40" s="125"/>
      <c r="L40" s="125"/>
      <c r="M40" s="125"/>
      <c r="N40" s="126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6"/>
      <c r="AA40" s="126"/>
      <c r="AB40" s="126"/>
      <c r="AC40" s="126"/>
      <c r="AD40" s="126"/>
      <c r="AE40" s="126"/>
      <c r="AF40" s="125"/>
      <c r="AG40" s="126"/>
    </row>
    <row r="41" spans="1:33" x14ac:dyDescent="0.35">
      <c r="B41" s="125">
        <v>0</v>
      </c>
      <c r="C41" s="125"/>
      <c r="D41" s="125"/>
      <c r="E41" s="125"/>
      <c r="F41" s="125"/>
      <c r="G41" s="125"/>
      <c r="H41" s="125"/>
      <c r="I41" s="125"/>
      <c r="J41" s="126"/>
      <c r="K41" s="125"/>
      <c r="L41" s="125"/>
      <c r="M41" s="125"/>
      <c r="N41" s="126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6"/>
      <c r="AA41" s="126"/>
      <c r="AB41" s="126"/>
      <c r="AC41" s="126"/>
      <c r="AD41" s="126"/>
      <c r="AE41" s="126"/>
      <c r="AF41" s="125"/>
      <c r="AG41" s="126"/>
    </row>
    <row r="42" spans="1:33" x14ac:dyDescent="0.35">
      <c r="B42" s="125">
        <v>0</v>
      </c>
      <c r="C42" s="125"/>
      <c r="D42" s="125"/>
      <c r="E42" s="125"/>
      <c r="F42" s="125"/>
      <c r="G42" s="125"/>
      <c r="H42" s="125"/>
      <c r="I42" s="125"/>
      <c r="J42" s="126"/>
      <c r="K42" s="125"/>
      <c r="L42" s="125"/>
      <c r="M42" s="125"/>
      <c r="N42" s="126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6"/>
      <c r="AA42" s="126"/>
      <c r="AB42" s="126"/>
      <c r="AC42" s="126"/>
      <c r="AD42" s="126"/>
      <c r="AE42" s="126"/>
      <c r="AF42" s="125"/>
      <c r="AG42" s="126"/>
    </row>
    <row r="43" spans="1:33" x14ac:dyDescent="0.35">
      <c r="B43" s="125">
        <v>0</v>
      </c>
      <c r="C43" s="125"/>
      <c r="D43" s="125"/>
      <c r="E43" s="125"/>
      <c r="F43" s="125"/>
      <c r="G43" s="125"/>
      <c r="H43" s="125"/>
      <c r="I43" s="125"/>
      <c r="J43" s="126"/>
      <c r="K43" s="125"/>
      <c r="L43" s="125"/>
      <c r="M43" s="125"/>
      <c r="N43" s="126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6"/>
      <c r="AA43" s="126"/>
      <c r="AB43" s="126"/>
      <c r="AC43" s="126"/>
      <c r="AD43" s="126"/>
      <c r="AE43" s="126"/>
      <c r="AF43" s="125"/>
      <c r="AG43" s="126"/>
    </row>
    <row r="44" spans="1:33" x14ac:dyDescent="0.35">
      <c r="B44" s="125">
        <v>0</v>
      </c>
      <c r="C44" s="125"/>
      <c r="D44" s="125"/>
      <c r="E44" s="125"/>
      <c r="F44" s="125"/>
      <c r="G44" s="125"/>
      <c r="H44" s="125"/>
      <c r="I44" s="125"/>
      <c r="J44" s="126"/>
      <c r="K44" s="125"/>
      <c r="L44" s="125"/>
      <c r="M44" s="125"/>
      <c r="N44" s="126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6"/>
      <c r="AA44" s="126"/>
      <c r="AB44" s="126"/>
      <c r="AC44" s="126"/>
      <c r="AD44" s="126"/>
      <c r="AE44" s="126"/>
      <c r="AF44" s="125"/>
      <c r="AG44" s="126"/>
    </row>
    <row r="45" spans="1:33" x14ac:dyDescent="0.35">
      <c r="B45" s="125">
        <v>0</v>
      </c>
      <c r="C45" s="125"/>
      <c r="D45" s="125"/>
      <c r="E45" s="125"/>
      <c r="F45" s="125"/>
      <c r="G45" s="125"/>
      <c r="H45" s="125"/>
      <c r="I45" s="125"/>
      <c r="J45" s="126"/>
      <c r="K45" s="125"/>
      <c r="L45" s="125"/>
      <c r="M45" s="125"/>
      <c r="N45" s="126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6"/>
      <c r="AA45" s="126"/>
      <c r="AB45" s="126"/>
      <c r="AC45" s="126"/>
      <c r="AD45" s="126"/>
      <c r="AE45" s="126"/>
      <c r="AF45" s="125"/>
      <c r="AG45" s="126"/>
    </row>
    <row r="46" spans="1:33" x14ac:dyDescent="0.35">
      <c r="A46" s="129" t="s">
        <v>33</v>
      </c>
      <c r="B46">
        <v>0</v>
      </c>
    </row>
    <row r="47" spans="1:33" ht="45" customHeight="1" x14ac:dyDescent="0.35">
      <c r="A47" s="128" t="s">
        <v>112</v>
      </c>
      <c r="B47" s="123">
        <v>0</v>
      </c>
      <c r="C47" s="123" t="s">
        <v>114</v>
      </c>
      <c r="D47" s="123" t="s">
        <v>115</v>
      </c>
      <c r="E47" s="123" t="s">
        <v>116</v>
      </c>
      <c r="F47" s="123" t="s">
        <v>117</v>
      </c>
      <c r="G47" s="123" t="s">
        <v>118</v>
      </c>
      <c r="H47" s="123" t="s">
        <v>119</v>
      </c>
      <c r="I47" s="123" t="s">
        <v>120</v>
      </c>
      <c r="J47" s="124" t="s">
        <v>121</v>
      </c>
      <c r="K47" s="123" t="s">
        <v>122</v>
      </c>
      <c r="L47" s="123" t="s">
        <v>123</v>
      </c>
      <c r="M47" s="123" t="s">
        <v>124</v>
      </c>
      <c r="N47" s="124" t="s">
        <v>125</v>
      </c>
      <c r="O47" s="123" t="s">
        <v>126</v>
      </c>
      <c r="P47" s="123" t="s">
        <v>127</v>
      </c>
      <c r="Q47" s="123" t="s">
        <v>128</v>
      </c>
      <c r="R47" s="123" t="s">
        <v>129</v>
      </c>
      <c r="S47" s="123" t="s">
        <v>130</v>
      </c>
      <c r="T47" s="123" t="s">
        <v>131</v>
      </c>
      <c r="U47" s="123" t="s">
        <v>132</v>
      </c>
      <c r="V47" s="123" t="s">
        <v>133</v>
      </c>
      <c r="W47" s="123" t="s">
        <v>134</v>
      </c>
      <c r="X47" s="123" t="s">
        <v>135</v>
      </c>
      <c r="Y47" s="123" t="s">
        <v>136</v>
      </c>
      <c r="Z47" s="124" t="s">
        <v>137</v>
      </c>
      <c r="AA47" s="124" t="s">
        <v>138</v>
      </c>
      <c r="AB47" s="124" t="s">
        <v>139</v>
      </c>
      <c r="AC47" s="124" t="s">
        <v>140</v>
      </c>
      <c r="AD47" s="124" t="s">
        <v>141</v>
      </c>
      <c r="AE47" s="124" t="s">
        <v>142</v>
      </c>
      <c r="AF47" s="123" t="s">
        <v>143</v>
      </c>
      <c r="AG47" s="124" t="s">
        <v>144</v>
      </c>
    </row>
    <row r="48" spans="1:33" x14ac:dyDescent="0.35">
      <c r="A48" s="127" t="s">
        <v>145</v>
      </c>
      <c r="B48" s="66">
        <v>0</v>
      </c>
      <c r="C48" s="66">
        <v>-6.6487452335934449E-2</v>
      </c>
      <c r="D48" s="66">
        <v>-1.5468451653248391E-2</v>
      </c>
      <c r="E48" s="66">
        <v>-0.14534015824035859</v>
      </c>
      <c r="F48" s="66">
        <v>-0.62859970266838161</v>
      </c>
      <c r="G48" s="66">
        <v>-9.3342211845310885E-3</v>
      </c>
      <c r="H48" s="66">
        <v>0.17529677962703261</v>
      </c>
      <c r="I48" s="66">
        <v>0.2582907590805803</v>
      </c>
      <c r="J48" s="99">
        <v>0</v>
      </c>
      <c r="K48" s="66">
        <v>-9.9797011508186984E-2</v>
      </c>
      <c r="L48" s="66">
        <v>-0.59657887723132319</v>
      </c>
      <c r="M48" s="66">
        <v>0</v>
      </c>
      <c r="N48" s="99">
        <v>0</v>
      </c>
      <c r="O48" s="66">
        <v>-3.8085740486096142E-2</v>
      </c>
      <c r="P48" s="66">
        <v>0.19956806233464869</v>
      </c>
      <c r="Q48" s="66">
        <v>0</v>
      </c>
      <c r="R48" s="66">
        <v>-0.91242482376871692</v>
      </c>
      <c r="S48" s="66">
        <v>0</v>
      </c>
      <c r="T48" s="66">
        <v>0</v>
      </c>
      <c r="U48" s="66">
        <v>0</v>
      </c>
      <c r="V48" s="66">
        <v>0</v>
      </c>
      <c r="W48" s="66">
        <v>0</v>
      </c>
      <c r="X48" s="66">
        <v>0</v>
      </c>
      <c r="Y48" s="66">
        <v>0</v>
      </c>
      <c r="Z48" s="99">
        <v>0</v>
      </c>
      <c r="AA48" s="99">
        <v>0</v>
      </c>
      <c r="AB48" s="99">
        <v>0</v>
      </c>
      <c r="AC48" s="99">
        <v>0</v>
      </c>
      <c r="AD48" s="99">
        <v>0</v>
      </c>
      <c r="AE48" s="99">
        <v>0</v>
      </c>
      <c r="AF48" s="66">
        <v>-7.0534534915083213E-2</v>
      </c>
      <c r="AG48" s="99">
        <v>0</v>
      </c>
    </row>
    <row r="49" spans="1:33" x14ac:dyDescent="0.35">
      <c r="A49" s="127" t="s">
        <v>146</v>
      </c>
      <c r="B49" s="66">
        <v>0</v>
      </c>
      <c r="C49" s="66">
        <v>-2.1585174864156901E-2</v>
      </c>
      <c r="D49" s="66">
        <v>-1.24539929097125E-2</v>
      </c>
      <c r="E49" s="66">
        <v>-0.21920307352229429</v>
      </c>
      <c r="F49" s="66">
        <v>-0.59428088687130298</v>
      </c>
      <c r="G49" s="66">
        <v>-8.2439270928205133E-3</v>
      </c>
      <c r="H49" s="66">
        <v>0.19597396000528991</v>
      </c>
      <c r="I49" s="66">
        <v>0.29095850779768279</v>
      </c>
      <c r="J49" s="99">
        <v>0</v>
      </c>
      <c r="K49" s="66">
        <v>-0.1193298490728409</v>
      </c>
      <c r="L49" s="66">
        <v>5.1432359969567187E-2</v>
      </c>
      <c r="M49" s="66">
        <v>0</v>
      </c>
      <c r="N49" s="99">
        <v>0</v>
      </c>
      <c r="O49" s="66">
        <v>-1.049536339701262E-2</v>
      </c>
      <c r="P49" s="66">
        <v>4.1691873270110591E-2</v>
      </c>
      <c r="Q49" s="66">
        <v>0</v>
      </c>
      <c r="R49" s="66">
        <v>-0.7501529705935468</v>
      </c>
      <c r="S49" s="66">
        <v>0</v>
      </c>
      <c r="T49" s="66">
        <v>0</v>
      </c>
      <c r="U49" s="66">
        <v>0</v>
      </c>
      <c r="V49" s="66">
        <v>0</v>
      </c>
      <c r="W49" s="66">
        <v>0</v>
      </c>
      <c r="X49" s="66">
        <v>0</v>
      </c>
      <c r="Y49" s="66">
        <v>0</v>
      </c>
      <c r="Z49" s="99">
        <v>0</v>
      </c>
      <c r="AA49" s="99">
        <v>0</v>
      </c>
      <c r="AB49" s="99">
        <v>0</v>
      </c>
      <c r="AC49" s="99">
        <v>0</v>
      </c>
      <c r="AD49" s="99">
        <v>0</v>
      </c>
      <c r="AE49" s="99">
        <v>0</v>
      </c>
      <c r="AF49" s="66">
        <v>0.1483992748349294</v>
      </c>
      <c r="AG49" s="99">
        <v>0</v>
      </c>
    </row>
    <row r="50" spans="1:33" x14ac:dyDescent="0.35">
      <c r="A50" s="127" t="s">
        <v>147</v>
      </c>
      <c r="B50" s="66">
        <v>0</v>
      </c>
      <c r="C50" s="66">
        <v>-5.7730205165285042E-4</v>
      </c>
      <c r="D50" s="66">
        <v>-1.036494095913554E-2</v>
      </c>
      <c r="E50" s="66">
        <v>-0.24518989293653701</v>
      </c>
      <c r="F50" s="66">
        <v>-0.4953381379615962</v>
      </c>
      <c r="G50" s="66">
        <v>-1.4812538139722159E-2</v>
      </c>
      <c r="H50" s="66">
        <v>0.1769990445005476</v>
      </c>
      <c r="I50" s="66">
        <v>0.291727564739233</v>
      </c>
      <c r="J50" s="99">
        <v>0</v>
      </c>
      <c r="K50" s="66">
        <v>-0.1073904246497932</v>
      </c>
      <c r="L50" s="66">
        <v>0.2472174613086793</v>
      </c>
      <c r="M50" s="66">
        <v>0</v>
      </c>
      <c r="N50" s="99">
        <v>0</v>
      </c>
      <c r="O50" s="66">
        <v>0</v>
      </c>
      <c r="P50" s="66">
        <v>2.4082344277474022E-3</v>
      </c>
      <c r="Q50" s="66">
        <v>0</v>
      </c>
      <c r="R50" s="66">
        <v>-3.025577605262697E-2</v>
      </c>
      <c r="S50" s="66">
        <v>0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0</v>
      </c>
      <c r="Z50" s="99">
        <v>0</v>
      </c>
      <c r="AA50" s="99">
        <v>0</v>
      </c>
      <c r="AB50" s="99">
        <v>0</v>
      </c>
      <c r="AC50" s="99">
        <v>0</v>
      </c>
      <c r="AD50" s="99">
        <v>0</v>
      </c>
      <c r="AE50" s="99">
        <v>0</v>
      </c>
      <c r="AF50" s="66">
        <v>0.2250298491440503</v>
      </c>
      <c r="AG50" s="99">
        <v>0</v>
      </c>
    </row>
    <row r="51" spans="1:33" x14ac:dyDescent="0.35">
      <c r="A51" s="127" t="s">
        <v>148</v>
      </c>
      <c r="B51" s="66">
        <v>0</v>
      </c>
      <c r="C51" s="66">
        <v>-1.3656674355900121E-2</v>
      </c>
      <c r="D51" s="66">
        <v>-1.4626450057903639E-2</v>
      </c>
      <c r="E51" s="66">
        <v>-0.2288722886753192</v>
      </c>
      <c r="F51" s="66">
        <v>-0.43866305798144373</v>
      </c>
      <c r="G51" s="66">
        <v>-8.5183793520400286E-3</v>
      </c>
      <c r="H51" s="66">
        <v>0.16089445951871539</v>
      </c>
      <c r="I51" s="66">
        <v>0.28767877379917189</v>
      </c>
      <c r="J51" s="99">
        <v>0</v>
      </c>
      <c r="K51" s="66">
        <v>-0.1079083641163834</v>
      </c>
      <c r="L51" s="66">
        <v>0.24349287894119701</v>
      </c>
      <c r="M51" s="66">
        <v>0</v>
      </c>
      <c r="N51" s="99">
        <v>0</v>
      </c>
      <c r="O51" s="66">
        <v>-1.150376641618323E-3</v>
      </c>
      <c r="P51" s="66">
        <v>3.3717001515469751E-3</v>
      </c>
      <c r="Q51" s="66">
        <v>0</v>
      </c>
      <c r="R51" s="66">
        <v>0.42097954026337447</v>
      </c>
      <c r="S51" s="66">
        <v>0</v>
      </c>
      <c r="T51" s="66">
        <v>0</v>
      </c>
      <c r="U51" s="66">
        <v>0</v>
      </c>
      <c r="V51" s="66">
        <v>0</v>
      </c>
      <c r="W51" s="66">
        <v>0</v>
      </c>
      <c r="X51" s="66">
        <v>0</v>
      </c>
      <c r="Y51" s="66">
        <v>0</v>
      </c>
      <c r="Z51" s="99">
        <v>0</v>
      </c>
      <c r="AA51" s="99">
        <v>0</v>
      </c>
      <c r="AB51" s="99">
        <v>0</v>
      </c>
      <c r="AC51" s="99">
        <v>0</v>
      </c>
      <c r="AD51" s="99">
        <v>0</v>
      </c>
      <c r="AE51" s="99">
        <v>0</v>
      </c>
      <c r="AF51" s="66">
        <v>0.2214668798377204</v>
      </c>
      <c r="AG51" s="99">
        <v>0</v>
      </c>
    </row>
    <row r="52" spans="1:33" x14ac:dyDescent="0.35">
      <c r="A52" s="127" t="s">
        <v>149</v>
      </c>
      <c r="B52" s="66">
        <v>0</v>
      </c>
      <c r="C52" s="66">
        <v>-6.0864617641982477E-3</v>
      </c>
      <c r="D52" s="66">
        <v>-3.0437734921008541E-2</v>
      </c>
      <c r="E52" s="66">
        <v>-0.12809884667265689</v>
      </c>
      <c r="F52" s="66">
        <v>-0.37574676859543388</v>
      </c>
      <c r="G52" s="66">
        <v>-6.9271106944768226E-3</v>
      </c>
      <c r="H52" s="66">
        <v>0.18746686854018441</v>
      </c>
      <c r="I52" s="66">
        <v>0.29316510928475742</v>
      </c>
      <c r="J52" s="99">
        <v>0</v>
      </c>
      <c r="K52" s="66">
        <v>-0.1195935707806086</v>
      </c>
      <c r="L52" s="66">
        <v>0.24813809205093659</v>
      </c>
      <c r="M52" s="66">
        <v>0</v>
      </c>
      <c r="N52" s="99">
        <v>0</v>
      </c>
      <c r="O52" s="66">
        <v>-1.7806779427644411E-2</v>
      </c>
      <c r="P52" s="66">
        <v>5.9782634375551416E-3</v>
      </c>
      <c r="Q52" s="66">
        <v>0</v>
      </c>
      <c r="R52" s="66">
        <v>-0.1921407781591995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99">
        <v>0</v>
      </c>
      <c r="AA52" s="99">
        <v>0</v>
      </c>
      <c r="AB52" s="99">
        <v>0</v>
      </c>
      <c r="AC52" s="99">
        <v>0</v>
      </c>
      <c r="AD52" s="99">
        <v>0</v>
      </c>
      <c r="AE52" s="99">
        <v>0</v>
      </c>
      <c r="AF52" s="66">
        <v>0.22569280618742479</v>
      </c>
      <c r="AG52" s="99">
        <v>0</v>
      </c>
    </row>
    <row r="53" spans="1:33" x14ac:dyDescent="0.35">
      <c r="A53" s="127" t="s">
        <v>150</v>
      </c>
      <c r="B53" s="66">
        <v>0</v>
      </c>
      <c r="C53" s="66">
        <v>-9.6765878498672464E-3</v>
      </c>
      <c r="D53" s="66">
        <v>-3.7301416951748927E-2</v>
      </c>
      <c r="E53" s="66">
        <v>-0.1266607405088962</v>
      </c>
      <c r="F53" s="66">
        <v>-0.3323577045530044</v>
      </c>
      <c r="G53" s="66">
        <v>0</v>
      </c>
      <c r="H53" s="66">
        <v>0.22652935139387859</v>
      </c>
      <c r="I53" s="66">
        <v>0.29250788666996641</v>
      </c>
      <c r="J53" s="99">
        <v>0</v>
      </c>
      <c r="K53" s="66">
        <v>-0.1188895371562069</v>
      </c>
      <c r="L53" s="66">
        <v>0.24759800409592</v>
      </c>
      <c r="M53" s="66">
        <v>0</v>
      </c>
      <c r="N53" s="99">
        <v>0</v>
      </c>
      <c r="O53" s="66">
        <v>-5.509964835169967E-3</v>
      </c>
      <c r="P53" s="66">
        <v>1.2741951871930719E-3</v>
      </c>
      <c r="Q53" s="66">
        <v>0</v>
      </c>
      <c r="R53" s="66">
        <v>-0.22612589991010171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99">
        <v>0</v>
      </c>
      <c r="AA53" s="99">
        <v>0</v>
      </c>
      <c r="AB53" s="99">
        <v>0</v>
      </c>
      <c r="AC53" s="99">
        <v>0</v>
      </c>
      <c r="AD53" s="99">
        <v>0</v>
      </c>
      <c r="AE53" s="99">
        <v>0</v>
      </c>
      <c r="AF53" s="66">
        <v>0.22521110808551731</v>
      </c>
      <c r="AG53" s="99">
        <v>0</v>
      </c>
    </row>
    <row r="54" spans="1:33" x14ac:dyDescent="0.35">
      <c r="A54" s="127" t="s">
        <v>151</v>
      </c>
      <c r="B54" s="66">
        <v>0</v>
      </c>
      <c r="C54" s="66">
        <v>-2.0905500547343081E-2</v>
      </c>
      <c r="D54" s="66">
        <v>-4.8216142166353393E-2</v>
      </c>
      <c r="E54" s="66">
        <v>-0.14365868900725329</v>
      </c>
      <c r="F54" s="66">
        <v>-0.30999971329308101</v>
      </c>
      <c r="G54" s="66">
        <v>0</v>
      </c>
      <c r="H54" s="66">
        <v>0.17095008712104229</v>
      </c>
      <c r="I54" s="66">
        <v>0.29361924405264972</v>
      </c>
      <c r="J54" s="99">
        <v>0</v>
      </c>
      <c r="K54" s="66">
        <v>-0.121558187063215</v>
      </c>
      <c r="L54" s="66">
        <v>0.24851189643266031</v>
      </c>
      <c r="M54" s="66">
        <v>0</v>
      </c>
      <c r="N54" s="99">
        <v>0</v>
      </c>
      <c r="O54" s="66">
        <v>-8.3271219058360657E-3</v>
      </c>
      <c r="P54" s="66">
        <v>1.497764830048709E-3</v>
      </c>
      <c r="Q54" s="66">
        <v>0</v>
      </c>
      <c r="R54" s="66">
        <v>-0.1875536549209755</v>
      </c>
      <c r="S54" s="66">
        <v>0</v>
      </c>
      <c r="T54" s="66">
        <v>0</v>
      </c>
      <c r="U54" s="66">
        <v>0</v>
      </c>
      <c r="V54" s="66">
        <v>0</v>
      </c>
      <c r="W54" s="66">
        <v>0</v>
      </c>
      <c r="X54" s="66">
        <v>0</v>
      </c>
      <c r="Y54" s="66">
        <v>0</v>
      </c>
      <c r="Z54" s="99">
        <v>0</v>
      </c>
      <c r="AA54" s="99">
        <v>0</v>
      </c>
      <c r="AB54" s="99">
        <v>0</v>
      </c>
      <c r="AC54" s="99">
        <v>0</v>
      </c>
      <c r="AD54" s="99">
        <v>0</v>
      </c>
      <c r="AE54" s="99">
        <v>0</v>
      </c>
      <c r="AF54" s="66">
        <v>0.22602656708875199</v>
      </c>
      <c r="AG54" s="99">
        <v>0</v>
      </c>
    </row>
    <row r="55" spans="1:33" x14ac:dyDescent="0.35">
      <c r="A55" s="127" t="s">
        <v>152</v>
      </c>
      <c r="B55" s="66">
        <v>0</v>
      </c>
      <c r="C55" s="66">
        <v>-1.1009458237055011E-2</v>
      </c>
      <c r="D55" s="66">
        <v>-6.2386538456848939E-2</v>
      </c>
      <c r="E55" s="66">
        <v>-0.15643325544536421</v>
      </c>
      <c r="F55" s="66">
        <v>-0.27984876158907918</v>
      </c>
      <c r="G55" s="66">
        <v>-9.4114414777948241E-3</v>
      </c>
      <c r="H55" s="66">
        <v>0.15834045861009829</v>
      </c>
      <c r="I55" s="66">
        <v>0.29354899831852782</v>
      </c>
      <c r="J55" s="99">
        <v>0</v>
      </c>
      <c r="K55" s="66">
        <v>-0.1237705740041122</v>
      </c>
      <c r="L55" s="66">
        <v>0.24797565327313009</v>
      </c>
      <c r="M55" s="66">
        <v>0</v>
      </c>
      <c r="N55" s="99">
        <v>0</v>
      </c>
      <c r="O55" s="66">
        <v>-1.4872248327861831E-2</v>
      </c>
      <c r="P55" s="66">
        <v>6.985952920103955E-3</v>
      </c>
      <c r="Q55" s="66">
        <v>0</v>
      </c>
      <c r="R55" s="66">
        <v>3.254854320309164E-2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0</v>
      </c>
      <c r="Z55" s="99">
        <v>0</v>
      </c>
      <c r="AA55" s="99">
        <v>0</v>
      </c>
      <c r="AB55" s="99">
        <v>0</v>
      </c>
      <c r="AC55" s="99">
        <v>0</v>
      </c>
      <c r="AD55" s="99">
        <v>0</v>
      </c>
      <c r="AE55" s="99">
        <v>0</v>
      </c>
      <c r="AF55" s="66">
        <v>0.22525803127322769</v>
      </c>
      <c r="AG55" s="99">
        <v>0</v>
      </c>
    </row>
    <row r="56" spans="1:33" x14ac:dyDescent="0.35">
      <c r="A56" s="127" t="s">
        <v>153</v>
      </c>
      <c r="B56" s="66">
        <v>0</v>
      </c>
      <c r="C56" s="66">
        <v>-3.7112404524464182E-3</v>
      </c>
      <c r="D56" s="66">
        <v>-6.2979423157287329E-2</v>
      </c>
      <c r="E56" s="66">
        <v>-0.1029087797768113</v>
      </c>
      <c r="F56" s="66">
        <v>-0.33564161114119878</v>
      </c>
      <c r="G56" s="66">
        <v>-8.1656736579986955E-3</v>
      </c>
      <c r="H56" s="66">
        <v>0.17707709430442259</v>
      </c>
      <c r="I56" s="66">
        <v>0.29514472529714908</v>
      </c>
      <c r="J56" s="99">
        <v>0</v>
      </c>
      <c r="K56" s="66">
        <v>-0.10537582318025331</v>
      </c>
      <c r="L56" s="66">
        <v>0.2497670356619324</v>
      </c>
      <c r="M56" s="66">
        <v>0</v>
      </c>
      <c r="N56" s="99">
        <v>0</v>
      </c>
      <c r="O56" s="66">
        <v>-8.8560257232188633E-3</v>
      </c>
      <c r="P56" s="66">
        <v>1.602216150786262E-3</v>
      </c>
      <c r="Q56" s="66">
        <v>0</v>
      </c>
      <c r="R56" s="66">
        <v>-0.32758673161481511</v>
      </c>
      <c r="S56" s="66">
        <v>0</v>
      </c>
      <c r="T56" s="66">
        <v>0</v>
      </c>
      <c r="U56" s="66">
        <v>0</v>
      </c>
      <c r="V56" s="66">
        <v>0</v>
      </c>
      <c r="W56" s="66">
        <v>0</v>
      </c>
      <c r="X56" s="66">
        <v>0</v>
      </c>
      <c r="Y56" s="66">
        <v>0</v>
      </c>
      <c r="Z56" s="99">
        <v>0</v>
      </c>
      <c r="AA56" s="99">
        <v>0</v>
      </c>
      <c r="AB56" s="99">
        <v>0</v>
      </c>
      <c r="AC56" s="99">
        <v>0</v>
      </c>
      <c r="AD56" s="99">
        <v>0</v>
      </c>
      <c r="AE56" s="99">
        <v>0</v>
      </c>
      <c r="AF56" s="66">
        <v>0.22714694491955359</v>
      </c>
      <c r="AG56" s="99">
        <v>0</v>
      </c>
    </row>
    <row r="57" spans="1:33" x14ac:dyDescent="0.35">
      <c r="A57" s="127" t="s">
        <v>154</v>
      </c>
      <c r="B57" s="66">
        <v>0</v>
      </c>
      <c r="C57" s="66">
        <v>-1.904079480013365E-2</v>
      </c>
      <c r="D57" s="66">
        <v>-4.8931756778841873E-2</v>
      </c>
      <c r="E57" s="66">
        <v>-0.13637733691774659</v>
      </c>
      <c r="F57" s="66">
        <v>-0.37900482940696628</v>
      </c>
      <c r="G57" s="66">
        <v>0</v>
      </c>
      <c r="H57" s="66">
        <v>0.15343342304379351</v>
      </c>
      <c r="I57" s="66">
        <v>0.29709815760566022</v>
      </c>
      <c r="J57" s="99">
        <v>0</v>
      </c>
      <c r="K57" s="66">
        <v>-0.1436222463068475</v>
      </c>
      <c r="L57" s="66">
        <v>0.25166088797263342</v>
      </c>
      <c r="M57" s="66">
        <v>0</v>
      </c>
      <c r="N57" s="99">
        <v>0</v>
      </c>
      <c r="O57" s="66">
        <v>-1.8966189527304781E-2</v>
      </c>
      <c r="P57" s="66">
        <v>8.4890457262929431E-3</v>
      </c>
      <c r="Q57" s="66">
        <v>0</v>
      </c>
      <c r="R57" s="66">
        <v>-0.55183172549604365</v>
      </c>
      <c r="S57" s="66">
        <v>0</v>
      </c>
      <c r="T57" s="66">
        <v>0</v>
      </c>
      <c r="U57" s="66">
        <v>0</v>
      </c>
      <c r="V57" s="66">
        <v>0</v>
      </c>
      <c r="W57" s="66">
        <v>0</v>
      </c>
      <c r="X57" s="66">
        <v>0</v>
      </c>
      <c r="Y57" s="66">
        <v>0</v>
      </c>
      <c r="Z57" s="99">
        <v>0</v>
      </c>
      <c r="AA57" s="99">
        <v>0</v>
      </c>
      <c r="AB57" s="99">
        <v>0</v>
      </c>
      <c r="AC57" s="99">
        <v>0</v>
      </c>
      <c r="AD57" s="99">
        <v>0</v>
      </c>
      <c r="AE57" s="99">
        <v>0</v>
      </c>
      <c r="AF57" s="66">
        <v>0.22901109750407039</v>
      </c>
      <c r="AG57" s="99">
        <v>0</v>
      </c>
    </row>
    <row r="58" spans="1:33" x14ac:dyDescent="0.35">
      <c r="A58" s="127" t="s">
        <v>155</v>
      </c>
      <c r="B58" s="66">
        <v>0</v>
      </c>
      <c r="C58" s="66">
        <v>-2.1657241566089169E-2</v>
      </c>
      <c r="D58" s="66">
        <v>-5.5874622611838731E-2</v>
      </c>
      <c r="E58" s="66">
        <v>-0.1308665903161739</v>
      </c>
      <c r="F58" s="66">
        <v>-0.38834315854600732</v>
      </c>
      <c r="G58" s="66">
        <v>0</v>
      </c>
      <c r="H58" s="66">
        <v>0.13189847185685721</v>
      </c>
      <c r="I58" s="66">
        <v>0.29727112794762428</v>
      </c>
      <c r="J58" s="99">
        <v>0</v>
      </c>
      <c r="K58" s="66">
        <v>-9.1788596268969513E-2</v>
      </c>
      <c r="L58" s="66">
        <v>0.25159003206394459</v>
      </c>
      <c r="M58" s="66">
        <v>0</v>
      </c>
      <c r="N58" s="99">
        <v>0</v>
      </c>
      <c r="O58" s="66">
        <v>-3.2975087527518099E-3</v>
      </c>
      <c r="P58" s="66">
        <v>9.9732250598378869E-3</v>
      </c>
      <c r="Q58" s="66">
        <v>0</v>
      </c>
      <c r="R58" s="66">
        <v>-0.46083937279661308</v>
      </c>
      <c r="S58" s="66">
        <v>0</v>
      </c>
      <c r="T58" s="66">
        <v>0</v>
      </c>
      <c r="U58" s="66">
        <v>0</v>
      </c>
      <c r="V58" s="66">
        <v>0</v>
      </c>
      <c r="W58" s="66">
        <v>0</v>
      </c>
      <c r="X58" s="66">
        <v>0</v>
      </c>
      <c r="Y58" s="66">
        <v>0</v>
      </c>
      <c r="Z58" s="99">
        <v>0</v>
      </c>
      <c r="AA58" s="99">
        <v>0</v>
      </c>
      <c r="AB58" s="99">
        <v>0</v>
      </c>
      <c r="AC58" s="99">
        <v>0</v>
      </c>
      <c r="AD58" s="99">
        <v>0</v>
      </c>
      <c r="AE58" s="99">
        <v>0</v>
      </c>
      <c r="AF58" s="66">
        <v>0.22881869790376189</v>
      </c>
      <c r="AG58" s="99">
        <v>0</v>
      </c>
    </row>
    <row r="59" spans="1:33" x14ac:dyDescent="0.35">
      <c r="A59" s="127" t="s">
        <v>156</v>
      </c>
      <c r="B59" s="66">
        <v>0</v>
      </c>
      <c r="C59" s="66">
        <v>-1.511967725929253E-2</v>
      </c>
      <c r="D59" s="66">
        <v>-5.1643510787698688E-2</v>
      </c>
      <c r="E59" s="66">
        <v>-0.1899589905711139</v>
      </c>
      <c r="F59" s="66">
        <v>-0.43226569924595992</v>
      </c>
      <c r="G59" s="66">
        <v>-6.836592344740211E-3</v>
      </c>
      <c r="H59" s="66">
        <v>0.18879901475906991</v>
      </c>
      <c r="I59" s="66">
        <v>0.29803880996448129</v>
      </c>
      <c r="J59" s="99">
        <v>0</v>
      </c>
      <c r="K59" s="66">
        <v>-9.5723055246395461E-2</v>
      </c>
      <c r="L59" s="66">
        <v>0.2522507717828546</v>
      </c>
      <c r="M59" s="66">
        <v>0</v>
      </c>
      <c r="N59" s="99">
        <v>0</v>
      </c>
      <c r="O59" s="66">
        <v>-4.1091504082061192E-2</v>
      </c>
      <c r="P59" s="66">
        <v>1.504095387119264E-2</v>
      </c>
      <c r="Q59" s="66">
        <v>0</v>
      </c>
      <c r="R59" s="66">
        <v>-0.49889606600052622</v>
      </c>
      <c r="S59" s="66">
        <v>0</v>
      </c>
      <c r="T59" s="66">
        <v>0</v>
      </c>
      <c r="U59" s="66">
        <v>0</v>
      </c>
      <c r="V59" s="66">
        <v>0</v>
      </c>
      <c r="W59" s="66">
        <v>0</v>
      </c>
      <c r="X59" s="66">
        <v>0</v>
      </c>
      <c r="Y59" s="66">
        <v>0</v>
      </c>
      <c r="Z59" s="99">
        <v>0</v>
      </c>
      <c r="AA59" s="99">
        <v>0</v>
      </c>
      <c r="AB59" s="99">
        <v>0</v>
      </c>
      <c r="AC59" s="99">
        <v>0</v>
      </c>
      <c r="AD59" s="99">
        <v>0</v>
      </c>
      <c r="AE59" s="99">
        <v>0</v>
      </c>
      <c r="AF59" s="66">
        <v>0.22942612850746971</v>
      </c>
      <c r="AG59" s="99">
        <v>0</v>
      </c>
    </row>
    <row r="60" spans="1:33" x14ac:dyDescent="0.35">
      <c r="A60" s="127" t="s">
        <v>157</v>
      </c>
      <c r="B60" s="66">
        <v>0</v>
      </c>
      <c r="C60" s="66">
        <v>-1.59753494060908E-2</v>
      </c>
      <c r="D60" s="66">
        <v>-4.4848173251409662E-2</v>
      </c>
      <c r="E60" s="66">
        <v>-8.2126663471967731E-2</v>
      </c>
      <c r="F60" s="66">
        <v>-0.46847879083921379</v>
      </c>
      <c r="G60" s="66">
        <v>-8.818696226001066E-3</v>
      </c>
      <c r="H60" s="66">
        <v>0.1987154155417841</v>
      </c>
      <c r="I60" s="66">
        <v>0.30223525236684168</v>
      </c>
      <c r="J60" s="99">
        <v>0</v>
      </c>
      <c r="K60" s="66">
        <v>-0.1233058953789339</v>
      </c>
      <c r="L60" s="66">
        <v>0.25569762994317102</v>
      </c>
      <c r="M60" s="66">
        <v>0</v>
      </c>
      <c r="N60" s="99">
        <v>0</v>
      </c>
      <c r="O60" s="66">
        <v>-6.5878497968526517E-2</v>
      </c>
      <c r="P60" s="66">
        <v>7.9198086493192932E-4</v>
      </c>
      <c r="Q60" s="66">
        <v>0</v>
      </c>
      <c r="R60" s="66">
        <v>-0.67505529707312917</v>
      </c>
      <c r="S60" s="66">
        <v>0</v>
      </c>
      <c r="T60" s="66">
        <v>0</v>
      </c>
      <c r="U60" s="66">
        <v>0</v>
      </c>
      <c r="V60" s="66">
        <v>0</v>
      </c>
      <c r="W60" s="66">
        <v>0</v>
      </c>
      <c r="X60" s="66">
        <v>0</v>
      </c>
      <c r="Y60" s="66">
        <v>0</v>
      </c>
      <c r="Z60" s="99">
        <v>0</v>
      </c>
      <c r="AA60" s="99">
        <v>0</v>
      </c>
      <c r="AB60" s="99">
        <v>0</v>
      </c>
      <c r="AC60" s="99">
        <v>0</v>
      </c>
      <c r="AD60" s="99">
        <v>0</v>
      </c>
      <c r="AE60" s="99">
        <v>0</v>
      </c>
      <c r="AF60" s="66">
        <v>0.23249933028048991</v>
      </c>
      <c r="AG60" s="99">
        <v>0</v>
      </c>
    </row>
    <row r="61" spans="1:33" x14ac:dyDescent="0.35">
      <c r="A61" s="127" t="s">
        <v>158</v>
      </c>
      <c r="B61" s="66">
        <v>0</v>
      </c>
      <c r="C61" s="66">
        <v>-1.0300099746615389E-2</v>
      </c>
      <c r="D61" s="66">
        <v>-3.8651134052031473E-2</v>
      </c>
      <c r="E61" s="66">
        <v>-0.11952328072032969</v>
      </c>
      <c r="F61" s="66">
        <v>-0.47053499812324162</v>
      </c>
      <c r="G61" s="66">
        <v>-1.288503875457536E-2</v>
      </c>
      <c r="H61" s="66">
        <v>0.1140934954154886</v>
      </c>
      <c r="I61" s="66">
        <v>0.29576957990946079</v>
      </c>
      <c r="J61" s="99">
        <v>0</v>
      </c>
      <c r="K61" s="66">
        <v>-0.1779849274680316</v>
      </c>
      <c r="L61" s="66">
        <v>0.25058856925116402</v>
      </c>
      <c r="M61" s="66">
        <v>0</v>
      </c>
      <c r="N61" s="99">
        <v>0</v>
      </c>
      <c r="O61" s="66">
        <v>-8.9695679201611256E-3</v>
      </c>
      <c r="P61" s="66">
        <v>1.4907519352817641E-2</v>
      </c>
      <c r="Q61" s="66">
        <v>0</v>
      </c>
      <c r="R61" s="66">
        <v>-0.40115038359584793</v>
      </c>
      <c r="S61" s="66">
        <v>0</v>
      </c>
      <c r="T61" s="66">
        <v>0</v>
      </c>
      <c r="U61" s="66">
        <v>0</v>
      </c>
      <c r="V61" s="66">
        <v>0</v>
      </c>
      <c r="W61" s="66">
        <v>0</v>
      </c>
      <c r="X61" s="66">
        <v>0</v>
      </c>
      <c r="Y61" s="66">
        <v>0</v>
      </c>
      <c r="Z61" s="99">
        <v>0</v>
      </c>
      <c r="AA61" s="99">
        <v>0</v>
      </c>
      <c r="AB61" s="99">
        <v>0</v>
      </c>
      <c r="AC61" s="99">
        <v>0</v>
      </c>
      <c r="AD61" s="99">
        <v>0</v>
      </c>
      <c r="AE61" s="99">
        <v>0</v>
      </c>
      <c r="AF61" s="66">
        <v>0.22806651999877661</v>
      </c>
      <c r="AG61" s="99">
        <v>0</v>
      </c>
    </row>
    <row r="62" spans="1:33" x14ac:dyDescent="0.35">
      <c r="A62" s="127" t="s">
        <v>159</v>
      </c>
      <c r="B62" s="66">
        <v>0</v>
      </c>
      <c r="C62" s="66">
        <v>-5.1202430833541257E-3</v>
      </c>
      <c r="D62" s="66">
        <v>-2.3744334152496549E-2</v>
      </c>
      <c r="E62" s="66">
        <v>-0.126917098575035</v>
      </c>
      <c r="F62" s="66">
        <v>-0.45535321006173041</v>
      </c>
      <c r="G62" s="66">
        <v>0</v>
      </c>
      <c r="H62" s="66">
        <v>0.1499070734767258</v>
      </c>
      <c r="I62" s="66">
        <v>0.29511693890390228</v>
      </c>
      <c r="J62" s="99">
        <v>0</v>
      </c>
      <c r="K62" s="66">
        <v>-0.13170135470340941</v>
      </c>
      <c r="L62" s="66">
        <v>0.24986707216604029</v>
      </c>
      <c r="M62" s="66">
        <v>0</v>
      </c>
      <c r="N62" s="99">
        <v>0</v>
      </c>
      <c r="O62" s="66">
        <v>-3.4362389861115623E-2</v>
      </c>
      <c r="P62" s="66">
        <v>4.8134298191655489E-3</v>
      </c>
      <c r="Q62" s="66">
        <v>0</v>
      </c>
      <c r="R62" s="66">
        <v>-0.23950565527505319</v>
      </c>
      <c r="S62" s="66">
        <v>0</v>
      </c>
      <c r="T62" s="66">
        <v>0</v>
      </c>
      <c r="U62" s="66">
        <v>0</v>
      </c>
      <c r="V62" s="66">
        <v>0</v>
      </c>
      <c r="W62" s="66">
        <v>0</v>
      </c>
      <c r="X62" s="66">
        <v>0</v>
      </c>
      <c r="Y62" s="66">
        <v>0</v>
      </c>
      <c r="Z62" s="99">
        <v>0</v>
      </c>
      <c r="AA62" s="99">
        <v>0</v>
      </c>
      <c r="AB62" s="99">
        <v>0</v>
      </c>
      <c r="AC62" s="99">
        <v>0</v>
      </c>
      <c r="AD62" s="99">
        <v>0</v>
      </c>
      <c r="AE62" s="99">
        <v>0</v>
      </c>
      <c r="AF62" s="66">
        <v>0.22731069920124011</v>
      </c>
      <c r="AG62" s="99">
        <v>0</v>
      </c>
    </row>
    <row r="63" spans="1:33" x14ac:dyDescent="0.35">
      <c r="A63" s="127" t="s">
        <v>160</v>
      </c>
      <c r="B63" s="66">
        <v>0</v>
      </c>
      <c r="C63" s="66">
        <v>-9.2001209478098644E-3</v>
      </c>
      <c r="D63" s="66">
        <v>-1.289287020205165E-2</v>
      </c>
      <c r="E63" s="66">
        <v>-0.1968825391575422</v>
      </c>
      <c r="F63" s="66">
        <v>-0.43059389849787522</v>
      </c>
      <c r="G63" s="66">
        <v>-2.0678104148373681E-2</v>
      </c>
      <c r="H63" s="66">
        <v>0.15341995964209329</v>
      </c>
      <c r="I63" s="66">
        <v>0.29587948179769802</v>
      </c>
      <c r="J63" s="99">
        <v>0</v>
      </c>
      <c r="K63" s="66">
        <v>-7.3213021457206651E-2</v>
      </c>
      <c r="L63" s="66">
        <v>0.25053107545537051</v>
      </c>
      <c r="M63" s="66">
        <v>0</v>
      </c>
      <c r="N63" s="99">
        <v>0</v>
      </c>
      <c r="O63" s="66">
        <v>-1.3833410257035441E-2</v>
      </c>
      <c r="P63" s="66">
        <v>8.3708283095518254E-3</v>
      </c>
      <c r="Q63" s="66">
        <v>0</v>
      </c>
      <c r="R63" s="66">
        <v>-0.3651953869702993</v>
      </c>
      <c r="S63" s="66">
        <v>0</v>
      </c>
      <c r="T63" s="66">
        <v>0</v>
      </c>
      <c r="U63" s="66">
        <v>0</v>
      </c>
      <c r="V63" s="66">
        <v>0</v>
      </c>
      <c r="W63" s="66">
        <v>0</v>
      </c>
      <c r="X63" s="66">
        <v>0</v>
      </c>
      <c r="Y63" s="66">
        <v>0</v>
      </c>
      <c r="Z63" s="99">
        <v>0</v>
      </c>
      <c r="AA63" s="99">
        <v>0</v>
      </c>
      <c r="AB63" s="99">
        <v>0</v>
      </c>
      <c r="AC63" s="99">
        <v>0</v>
      </c>
      <c r="AD63" s="99">
        <v>0</v>
      </c>
      <c r="AE63" s="99">
        <v>0</v>
      </c>
      <c r="AF63" s="66">
        <v>0.22792558199080301</v>
      </c>
      <c r="AG63" s="99">
        <v>0</v>
      </c>
    </row>
    <row r="64" spans="1:33" x14ac:dyDescent="0.35">
      <c r="A64" s="127" t="s">
        <v>1</v>
      </c>
      <c r="B64" s="66">
        <v>0</v>
      </c>
      <c r="C64" s="66">
        <v>-4.8096664631316344E-3</v>
      </c>
      <c r="D64" s="66">
        <v>-9.4939759562748804E-3</v>
      </c>
      <c r="E64" s="66">
        <v>-0.11186687634432251</v>
      </c>
      <c r="F64" s="66">
        <v>-0.34948883304110723</v>
      </c>
      <c r="G64" s="66">
        <v>-3.0871605783403311E-2</v>
      </c>
      <c r="H64" s="66">
        <v>0.13738587681854139</v>
      </c>
      <c r="I64" s="66">
        <v>0.30161416144093778</v>
      </c>
      <c r="J64" s="99">
        <v>0</v>
      </c>
      <c r="K64" s="66">
        <v>-0.10114667941368791</v>
      </c>
      <c r="L64" s="66">
        <v>0.25514937525571207</v>
      </c>
      <c r="M64" s="66">
        <v>0</v>
      </c>
      <c r="N64" s="99">
        <v>0</v>
      </c>
      <c r="O64" s="66">
        <v>-2.6301720667646581E-2</v>
      </c>
      <c r="P64" s="66">
        <v>9.9832123237320047E-4</v>
      </c>
      <c r="Q64" s="66">
        <v>0</v>
      </c>
      <c r="R64" s="66">
        <v>-0.71032526618242287</v>
      </c>
      <c r="S64" s="66">
        <v>0</v>
      </c>
      <c r="T64" s="66">
        <v>0</v>
      </c>
      <c r="U64" s="66">
        <v>0</v>
      </c>
      <c r="V64" s="66">
        <v>0</v>
      </c>
      <c r="W64" s="66">
        <v>0</v>
      </c>
      <c r="X64" s="66">
        <v>0</v>
      </c>
      <c r="Y64" s="66">
        <v>0</v>
      </c>
      <c r="Z64" s="99">
        <v>0</v>
      </c>
      <c r="AA64" s="99">
        <v>0</v>
      </c>
      <c r="AB64" s="99">
        <v>0</v>
      </c>
      <c r="AC64" s="99">
        <v>0</v>
      </c>
      <c r="AD64" s="99">
        <v>0</v>
      </c>
      <c r="AE64" s="99">
        <v>0</v>
      </c>
      <c r="AF64" s="66">
        <v>0.23198738335429431</v>
      </c>
      <c r="AG64" s="99">
        <v>0</v>
      </c>
    </row>
    <row r="65" spans="1:33" x14ac:dyDescent="0.35">
      <c r="A65" s="127" t="s">
        <v>2</v>
      </c>
      <c r="B65" s="66">
        <v>0</v>
      </c>
      <c r="C65" s="66">
        <v>-8.7732326268792349E-3</v>
      </c>
      <c r="D65" s="66">
        <v>-8.6739431532976141E-3</v>
      </c>
      <c r="E65" s="66">
        <v>-5.4637328754353121E-2</v>
      </c>
      <c r="F65" s="66">
        <v>-0.28498327159348952</v>
      </c>
      <c r="G65" s="66">
        <v>-1.343926233673187E-2</v>
      </c>
      <c r="H65" s="66">
        <v>0.11568172261212339</v>
      </c>
      <c r="I65" s="66">
        <v>0.29956941409912469</v>
      </c>
      <c r="J65" s="99">
        <v>0</v>
      </c>
      <c r="K65" s="66">
        <v>-8.97078005545211E-2</v>
      </c>
      <c r="L65" s="66">
        <v>0.25334573141651617</v>
      </c>
      <c r="M65" s="66">
        <v>0</v>
      </c>
      <c r="N65" s="99">
        <v>0</v>
      </c>
      <c r="O65" s="66">
        <v>-1.1696562579459171E-2</v>
      </c>
      <c r="P65" s="66">
        <v>1.741228673040496E-3</v>
      </c>
      <c r="Q65" s="66">
        <v>0</v>
      </c>
      <c r="R65" s="66">
        <v>-0.65492063033931913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99">
        <v>0</v>
      </c>
      <c r="AA65" s="99">
        <v>0</v>
      </c>
      <c r="AB65" s="99">
        <v>0</v>
      </c>
      <c r="AC65" s="99">
        <v>0</v>
      </c>
      <c r="AD65" s="99">
        <v>0</v>
      </c>
      <c r="AE65" s="99">
        <v>0</v>
      </c>
      <c r="AF65" s="66">
        <v>0.2303039259580828</v>
      </c>
      <c r="AG65" s="99">
        <v>0</v>
      </c>
    </row>
    <row r="66" spans="1:33" x14ac:dyDescent="0.35">
      <c r="A66" s="127" t="s">
        <v>3</v>
      </c>
      <c r="B66" s="66">
        <v>0</v>
      </c>
      <c r="C66" s="66">
        <v>-8.0070742304201303E-3</v>
      </c>
      <c r="D66" s="66">
        <v>-6.2715669594979317E-3</v>
      </c>
      <c r="E66" s="66">
        <v>-9.0485782593077602E-2</v>
      </c>
      <c r="F66" s="66">
        <v>-0.28418807615736341</v>
      </c>
      <c r="G66" s="66">
        <v>-2.2898895181043599E-2</v>
      </c>
      <c r="H66" s="66">
        <v>0.1010224963863777</v>
      </c>
      <c r="I66" s="66">
        <v>0.30175189667278352</v>
      </c>
      <c r="J66" s="99">
        <v>0</v>
      </c>
      <c r="K66" s="66">
        <v>-0.16748418860061071</v>
      </c>
      <c r="L66" s="66">
        <v>0.25532124991804039</v>
      </c>
      <c r="M66" s="66">
        <v>0</v>
      </c>
      <c r="N66" s="99">
        <v>0</v>
      </c>
      <c r="O66" s="66">
        <v>-1.9001000503379831E-2</v>
      </c>
      <c r="P66" s="66">
        <v>1.0936971279704719E-3</v>
      </c>
      <c r="Q66" s="66">
        <v>0</v>
      </c>
      <c r="R66" s="66">
        <v>-0.7724397650631829</v>
      </c>
      <c r="S66" s="66">
        <v>0</v>
      </c>
      <c r="T66" s="66">
        <v>0</v>
      </c>
      <c r="U66" s="66">
        <v>0</v>
      </c>
      <c r="V66" s="66">
        <v>0</v>
      </c>
      <c r="W66" s="66">
        <v>0</v>
      </c>
      <c r="X66" s="66">
        <v>0</v>
      </c>
      <c r="Y66" s="66">
        <v>0</v>
      </c>
      <c r="Z66" s="99">
        <v>0</v>
      </c>
      <c r="AA66" s="99">
        <v>0</v>
      </c>
      <c r="AB66" s="99">
        <v>0</v>
      </c>
      <c r="AC66" s="99">
        <v>0</v>
      </c>
      <c r="AD66" s="99">
        <v>0</v>
      </c>
      <c r="AE66" s="99">
        <v>0</v>
      </c>
      <c r="AF66" s="66">
        <v>0.2321762760054753</v>
      </c>
      <c r="AG66" s="99">
        <v>0</v>
      </c>
    </row>
    <row r="67" spans="1:33" x14ac:dyDescent="0.35">
      <c r="A67" s="127" t="s">
        <v>4</v>
      </c>
      <c r="B67" s="66">
        <v>0</v>
      </c>
      <c r="C67" s="66">
        <v>-1.0511440051374169E-2</v>
      </c>
      <c r="D67" s="66">
        <v>-2.5141025282948699E-3</v>
      </c>
      <c r="E67" s="66">
        <v>-0.12749890767585731</v>
      </c>
      <c r="F67" s="66">
        <v>-0.29713714342545933</v>
      </c>
      <c r="G67" s="66">
        <v>-4.1453976053134063E-2</v>
      </c>
      <c r="H67" s="66">
        <v>9.8659470211458711E-2</v>
      </c>
      <c r="I67" s="66">
        <v>0.30293197453295312</v>
      </c>
      <c r="J67" s="99">
        <v>0</v>
      </c>
      <c r="K67" s="66">
        <v>-0.14027326406295509</v>
      </c>
      <c r="L67" s="66">
        <v>0.25640113597813752</v>
      </c>
      <c r="M67" s="66">
        <v>0</v>
      </c>
      <c r="N67" s="99">
        <v>0</v>
      </c>
      <c r="O67" s="66">
        <v>-1.2183545341486021E-2</v>
      </c>
      <c r="P67" s="66">
        <v>1.7307692750989641E-3</v>
      </c>
      <c r="Q67" s="66">
        <v>0</v>
      </c>
      <c r="R67" s="66">
        <v>-0.8913327045468975</v>
      </c>
      <c r="S67" s="66">
        <v>0</v>
      </c>
      <c r="T67" s="66">
        <v>0</v>
      </c>
      <c r="U67" s="66">
        <v>0</v>
      </c>
      <c r="V67" s="66">
        <v>0</v>
      </c>
      <c r="W67" s="66">
        <v>0</v>
      </c>
      <c r="X67" s="66">
        <v>0</v>
      </c>
      <c r="Y67" s="66">
        <v>0</v>
      </c>
      <c r="Z67" s="99">
        <v>0</v>
      </c>
      <c r="AA67" s="99">
        <v>0</v>
      </c>
      <c r="AB67" s="99">
        <v>0</v>
      </c>
      <c r="AC67" s="99">
        <v>0</v>
      </c>
      <c r="AD67" s="99">
        <v>0</v>
      </c>
      <c r="AE67" s="99">
        <v>0</v>
      </c>
      <c r="AF67" s="66">
        <v>0.23320621797128641</v>
      </c>
      <c r="AG67" s="99">
        <v>0</v>
      </c>
    </row>
    <row r="68" spans="1:33" x14ac:dyDescent="0.35">
      <c r="A68" s="127" t="s">
        <v>5</v>
      </c>
      <c r="B68" s="66">
        <v>0</v>
      </c>
      <c r="C68" s="66">
        <v>-1.389392813211998E-2</v>
      </c>
      <c r="D68" s="66">
        <v>-7.8175463952163682E-3</v>
      </c>
      <c r="E68" s="66">
        <v>-4.9798602804855818E-2</v>
      </c>
      <c r="F68" s="66">
        <v>-0.1761886474384653</v>
      </c>
      <c r="G68" s="66">
        <v>-2.3312496460448529E-2</v>
      </c>
      <c r="H68" s="66">
        <v>0.1636805605925247</v>
      </c>
      <c r="I68" s="66">
        <v>0.30125043582566491</v>
      </c>
      <c r="J68" s="99">
        <v>0</v>
      </c>
      <c r="K68" s="66">
        <v>-0.13650398194965871</v>
      </c>
      <c r="L68" s="66">
        <v>0.25461657389033121</v>
      </c>
      <c r="M68" s="66">
        <v>0</v>
      </c>
      <c r="N68" s="99">
        <v>0</v>
      </c>
      <c r="O68" s="66">
        <v>-2.463213300308098E-2</v>
      </c>
      <c r="P68" s="66">
        <v>7.5293805730325403E-4</v>
      </c>
      <c r="Q68" s="66">
        <v>0</v>
      </c>
      <c r="R68" s="66">
        <v>-0.78946163424939186</v>
      </c>
      <c r="S68" s="66">
        <v>0</v>
      </c>
      <c r="T68" s="66">
        <v>0</v>
      </c>
      <c r="U68" s="66">
        <v>0</v>
      </c>
      <c r="V68" s="66">
        <v>0</v>
      </c>
      <c r="W68" s="66">
        <v>0</v>
      </c>
      <c r="X68" s="66">
        <v>0</v>
      </c>
      <c r="Y68" s="66">
        <v>0</v>
      </c>
      <c r="Z68" s="99">
        <v>0</v>
      </c>
      <c r="AA68" s="99">
        <v>0</v>
      </c>
      <c r="AB68" s="99">
        <v>0</v>
      </c>
      <c r="AC68" s="99">
        <v>0</v>
      </c>
      <c r="AD68" s="99">
        <v>0</v>
      </c>
      <c r="AE68" s="99">
        <v>0</v>
      </c>
      <c r="AF68" s="66">
        <v>0.2313703002892282</v>
      </c>
      <c r="AG68" s="99">
        <v>0</v>
      </c>
    </row>
    <row r="69" spans="1:33" x14ac:dyDescent="0.35">
      <c r="A69" s="127" t="s">
        <v>6</v>
      </c>
      <c r="B69" s="66">
        <v>0</v>
      </c>
      <c r="C69" s="66">
        <v>-8.4395184729828543E-3</v>
      </c>
      <c r="D69" s="66">
        <v>-5.4157132099703631E-3</v>
      </c>
      <c r="E69" s="66">
        <v>-3.578497966265104E-2</v>
      </c>
      <c r="F69" s="66">
        <v>-0.1829478638829585</v>
      </c>
      <c r="G69" s="66">
        <v>-3.6078627904799987E-2</v>
      </c>
      <c r="H69" s="66">
        <v>0.1580429832386869</v>
      </c>
      <c r="I69" s="66">
        <v>0.30183323978499738</v>
      </c>
      <c r="J69" s="99">
        <v>0</v>
      </c>
      <c r="K69" s="66">
        <v>-0.1449034963500537</v>
      </c>
      <c r="L69" s="66">
        <v>0.2550770624158929</v>
      </c>
      <c r="M69" s="66">
        <v>0</v>
      </c>
      <c r="N69" s="99">
        <v>0</v>
      </c>
      <c r="O69" s="66">
        <v>-2.361514814143106E-2</v>
      </c>
      <c r="P69" s="66">
        <v>4.8369944036608098E-4</v>
      </c>
      <c r="Q69" s="66">
        <v>0</v>
      </c>
      <c r="R69" s="66">
        <v>-0.80772783302700191</v>
      </c>
      <c r="S69" s="66">
        <v>0</v>
      </c>
      <c r="T69" s="66">
        <v>0</v>
      </c>
      <c r="U69" s="66">
        <v>0</v>
      </c>
      <c r="V69" s="66">
        <v>0</v>
      </c>
      <c r="W69" s="66">
        <v>0</v>
      </c>
      <c r="X69" s="66">
        <v>0</v>
      </c>
      <c r="Y69" s="66">
        <v>0</v>
      </c>
      <c r="Z69" s="99">
        <v>0</v>
      </c>
      <c r="AA69" s="99">
        <v>0</v>
      </c>
      <c r="AB69" s="99">
        <v>0</v>
      </c>
      <c r="AC69" s="99">
        <v>0</v>
      </c>
      <c r="AD69" s="99">
        <v>0</v>
      </c>
      <c r="AE69" s="99">
        <v>0</v>
      </c>
      <c r="AF69" s="66">
        <v>0.23176981642430411</v>
      </c>
      <c r="AG69" s="99">
        <v>0</v>
      </c>
    </row>
    <row r="70" spans="1:33" x14ac:dyDescent="0.35">
      <c r="A70" s="127" t="s">
        <v>7</v>
      </c>
      <c r="B70" s="66">
        <v>0</v>
      </c>
      <c r="C70" s="66">
        <v>-6.5224572168176556E-3</v>
      </c>
      <c r="D70" s="66">
        <v>-4.4903838256971076E-3</v>
      </c>
      <c r="E70" s="66">
        <v>-8.4021838228579782E-2</v>
      </c>
      <c r="F70" s="66">
        <v>-0.23134031290553031</v>
      </c>
      <c r="G70" s="66">
        <v>-3.1615652173485387E-2</v>
      </c>
      <c r="H70" s="66">
        <v>0.18622314608259671</v>
      </c>
      <c r="I70" s="66">
        <v>0.29851524835424931</v>
      </c>
      <c r="J70" s="99">
        <v>0</v>
      </c>
      <c r="K70" s="66">
        <v>-0.125883217510534</v>
      </c>
      <c r="L70" s="66">
        <v>0.25245205788118602</v>
      </c>
      <c r="M70" s="66">
        <v>0</v>
      </c>
      <c r="N70" s="99">
        <v>0</v>
      </c>
      <c r="O70" s="66">
        <v>-3.7428517168677899E-2</v>
      </c>
      <c r="P70" s="66">
        <v>1.202619756156764E-3</v>
      </c>
      <c r="Q70" s="66">
        <v>0</v>
      </c>
      <c r="R70" s="66">
        <v>-0.61150537711981201</v>
      </c>
      <c r="S70" s="66">
        <v>0</v>
      </c>
      <c r="T70" s="66">
        <v>0</v>
      </c>
      <c r="U70" s="66">
        <v>0</v>
      </c>
      <c r="V70" s="66">
        <v>0</v>
      </c>
      <c r="W70" s="66">
        <v>0</v>
      </c>
      <c r="X70" s="66">
        <v>0</v>
      </c>
      <c r="Y70" s="66">
        <v>0</v>
      </c>
      <c r="Z70" s="99">
        <v>0</v>
      </c>
      <c r="AA70" s="99">
        <v>0</v>
      </c>
      <c r="AB70" s="99">
        <v>0</v>
      </c>
      <c r="AC70" s="99">
        <v>0</v>
      </c>
      <c r="AD70" s="99">
        <v>0</v>
      </c>
      <c r="AE70" s="99">
        <v>0</v>
      </c>
      <c r="AF70" s="66">
        <v>0.22949025535748999</v>
      </c>
      <c r="AG70" s="99">
        <v>0</v>
      </c>
    </row>
    <row r="71" spans="1:33" x14ac:dyDescent="0.35">
      <c r="A71" s="127" t="s">
        <v>8</v>
      </c>
      <c r="B71" s="66">
        <v>0</v>
      </c>
      <c r="C71" s="66">
        <v>-8.9570354102761485E-3</v>
      </c>
      <c r="D71" s="66">
        <v>-3.1305854468541838E-3</v>
      </c>
      <c r="E71" s="66">
        <v>-8.550047932550342E-2</v>
      </c>
      <c r="F71" s="66">
        <v>-0.41080390421237212</v>
      </c>
      <c r="G71" s="66">
        <v>-3.0193935898040539E-2</v>
      </c>
      <c r="H71" s="66">
        <v>0.16806531380376549</v>
      </c>
      <c r="I71" s="66">
        <v>0.30105811170358271</v>
      </c>
      <c r="J71" s="99">
        <v>0</v>
      </c>
      <c r="K71" s="66">
        <v>-0.13243490664078189</v>
      </c>
      <c r="L71" s="66">
        <v>0.25476627543065428</v>
      </c>
      <c r="M71" s="66">
        <v>0</v>
      </c>
      <c r="N71" s="99">
        <v>0</v>
      </c>
      <c r="O71" s="66">
        <v>-4.1571319533971973E-2</v>
      </c>
      <c r="P71" s="66">
        <v>1.310270930190427E-3</v>
      </c>
      <c r="Q71" s="66">
        <v>0</v>
      </c>
      <c r="R71" s="66">
        <v>-0.69509212743031412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99">
        <v>0</v>
      </c>
      <c r="AA71" s="99">
        <v>0</v>
      </c>
      <c r="AB71" s="99">
        <v>0</v>
      </c>
      <c r="AC71" s="99">
        <v>0</v>
      </c>
      <c r="AD71" s="99">
        <v>0</v>
      </c>
      <c r="AE71" s="99">
        <v>0</v>
      </c>
      <c r="AF71" s="66">
        <v>0.2316904964400521</v>
      </c>
      <c r="AG71" s="99">
        <v>0</v>
      </c>
    </row>
    <row r="72" spans="1:33" x14ac:dyDescent="0.35">
      <c r="A72" s="127" t="s">
        <v>9</v>
      </c>
      <c r="B72" s="66">
        <v>0</v>
      </c>
      <c r="C72" s="66">
        <v>-1.0371111509783759E-2</v>
      </c>
      <c r="D72" s="66">
        <v>-4.774794110090852E-3</v>
      </c>
      <c r="E72" s="66">
        <v>-5.9741865289083762E-2</v>
      </c>
      <c r="F72" s="66">
        <v>-0.32081719867460379</v>
      </c>
      <c r="G72" s="66">
        <v>-1.1856826514531351E-2</v>
      </c>
      <c r="H72" s="66">
        <v>0.18849055151181909</v>
      </c>
      <c r="I72" s="66">
        <v>0.3035327165960382</v>
      </c>
      <c r="J72" s="99">
        <v>0</v>
      </c>
      <c r="K72" s="66">
        <v>-0.15969468766448361</v>
      </c>
      <c r="L72" s="66">
        <v>0.25670216815291269</v>
      </c>
      <c r="M72" s="66">
        <v>0</v>
      </c>
      <c r="N72" s="99">
        <v>0</v>
      </c>
      <c r="O72" s="66">
        <v>-2.6216357760375789E-2</v>
      </c>
      <c r="P72" s="66">
        <v>1.507809685364236E-3</v>
      </c>
      <c r="Q72" s="66">
        <v>0</v>
      </c>
      <c r="R72" s="66">
        <v>-0.94401478929415816</v>
      </c>
      <c r="S72" s="66">
        <v>0</v>
      </c>
      <c r="T72" s="66">
        <v>0</v>
      </c>
      <c r="U72" s="66">
        <v>0</v>
      </c>
      <c r="V72" s="66">
        <v>0</v>
      </c>
      <c r="W72" s="66">
        <v>0</v>
      </c>
      <c r="X72" s="66">
        <v>0</v>
      </c>
      <c r="Y72" s="66">
        <v>0</v>
      </c>
      <c r="Z72" s="99">
        <v>0</v>
      </c>
      <c r="AA72" s="99">
        <v>0</v>
      </c>
      <c r="AB72" s="99">
        <v>0</v>
      </c>
      <c r="AC72" s="99">
        <v>0</v>
      </c>
      <c r="AD72" s="99">
        <v>0</v>
      </c>
      <c r="AE72" s="99">
        <v>0</v>
      </c>
      <c r="AF72" s="66">
        <v>0.23335784930779371</v>
      </c>
      <c r="AG72" s="99">
        <v>0</v>
      </c>
    </row>
    <row r="73" spans="1:33" x14ac:dyDescent="0.35">
      <c r="A73" s="127" t="s">
        <v>10</v>
      </c>
      <c r="B73" s="66">
        <v>0</v>
      </c>
      <c r="C73" s="66">
        <v>-5.6286244117700326E-3</v>
      </c>
      <c r="D73" s="66">
        <v>-2.9000165579020631E-3</v>
      </c>
      <c r="E73" s="66">
        <v>-3.5738581500623923E-2</v>
      </c>
      <c r="F73" s="66">
        <v>-0.138252913156208</v>
      </c>
      <c r="G73" s="66">
        <v>-1.191924851235626E-2</v>
      </c>
      <c r="H73" s="66">
        <v>0.24486228710671301</v>
      </c>
      <c r="I73" s="66">
        <v>0.29673210218908253</v>
      </c>
      <c r="J73" s="99">
        <v>0</v>
      </c>
      <c r="K73" s="66">
        <v>-0.1115315606743934</v>
      </c>
      <c r="L73" s="66">
        <v>0.25079177855326412</v>
      </c>
      <c r="M73" s="66">
        <v>0</v>
      </c>
      <c r="N73" s="99">
        <v>0</v>
      </c>
      <c r="O73" s="66">
        <v>-4.0900419756439987E-2</v>
      </c>
      <c r="P73" s="66">
        <v>1.3424512636390771E-3</v>
      </c>
      <c r="Q73" s="66">
        <v>0</v>
      </c>
      <c r="R73" s="66">
        <v>-0.60670152786940434</v>
      </c>
      <c r="S73" s="66">
        <v>0</v>
      </c>
      <c r="T73" s="66">
        <v>0</v>
      </c>
      <c r="U73" s="66">
        <v>0</v>
      </c>
      <c r="V73" s="66">
        <v>0</v>
      </c>
      <c r="W73" s="66">
        <v>0</v>
      </c>
      <c r="X73" s="66">
        <v>0</v>
      </c>
      <c r="Y73" s="66">
        <v>0</v>
      </c>
      <c r="Z73" s="99">
        <v>0</v>
      </c>
      <c r="AA73" s="99">
        <v>0</v>
      </c>
      <c r="AB73" s="99">
        <v>0</v>
      </c>
      <c r="AC73" s="99">
        <v>0</v>
      </c>
      <c r="AD73" s="99">
        <v>0</v>
      </c>
      <c r="AE73" s="99">
        <v>0</v>
      </c>
      <c r="AF73" s="66">
        <v>0.227891223286349</v>
      </c>
      <c r="AG73" s="99">
        <v>0</v>
      </c>
    </row>
    <row r="74" spans="1:33" x14ac:dyDescent="0.35">
      <c r="A74" s="127" t="s">
        <v>11</v>
      </c>
      <c r="B74" s="66">
        <v>0</v>
      </c>
      <c r="C74" s="66">
        <v>-6.5260310493897578E-3</v>
      </c>
      <c r="D74" s="66">
        <v>-5.0518655357620901E-3</v>
      </c>
      <c r="E74" s="66">
        <v>-3.5059799045626512E-2</v>
      </c>
      <c r="F74" s="66">
        <v>-7.2917633694800088E-2</v>
      </c>
      <c r="G74" s="66">
        <v>-8.4497488221586536E-3</v>
      </c>
      <c r="H74" s="66">
        <v>0.22574554533414931</v>
      </c>
      <c r="I74" s="66">
        <v>0.17762687407113731</v>
      </c>
      <c r="J74" s="99">
        <v>0</v>
      </c>
      <c r="K74" s="66">
        <v>-0.1275599297483723</v>
      </c>
      <c r="L74" s="66">
        <v>0.24883600253443211</v>
      </c>
      <c r="M74" s="66">
        <v>0</v>
      </c>
      <c r="N74" s="99">
        <v>0</v>
      </c>
      <c r="O74" s="66">
        <v>-3.7466816236644718E-2</v>
      </c>
      <c r="P74" s="66">
        <v>0</v>
      </c>
      <c r="Q74" s="66">
        <v>0</v>
      </c>
      <c r="R74" s="66">
        <v>-0.30261462086309621</v>
      </c>
      <c r="S74" s="66">
        <v>0</v>
      </c>
      <c r="T74" s="66">
        <v>0</v>
      </c>
      <c r="U74" s="66">
        <v>0</v>
      </c>
      <c r="V74" s="66">
        <v>0</v>
      </c>
      <c r="W74" s="66">
        <v>0</v>
      </c>
      <c r="X74" s="66">
        <v>0</v>
      </c>
      <c r="Y74" s="66">
        <v>0</v>
      </c>
      <c r="Z74" s="99">
        <v>0</v>
      </c>
      <c r="AA74" s="99">
        <v>0</v>
      </c>
      <c r="AB74" s="99">
        <v>0</v>
      </c>
      <c r="AC74" s="99">
        <v>0</v>
      </c>
      <c r="AD74" s="99">
        <v>0</v>
      </c>
      <c r="AE74" s="99">
        <v>0</v>
      </c>
      <c r="AF74" s="66">
        <v>0.2260609469366841</v>
      </c>
      <c r="AG74" s="99">
        <v>0</v>
      </c>
    </row>
    <row r="75" spans="1:33" x14ac:dyDescent="0.35">
      <c r="A75" s="127" t="s">
        <v>12</v>
      </c>
      <c r="B75" s="66">
        <v>0</v>
      </c>
      <c r="C75" s="66">
        <v>-4.5005509863926818E-4</v>
      </c>
      <c r="D75" s="66">
        <v>-9.5904390594228062E-3</v>
      </c>
      <c r="E75" s="66">
        <v>-2.892859187508634E-2</v>
      </c>
      <c r="F75" s="66">
        <v>-6.0248698362386222E-2</v>
      </c>
      <c r="G75" s="66">
        <v>-9.8532827444159921E-3</v>
      </c>
      <c r="H75" s="66">
        <v>0.26065031301155273</v>
      </c>
      <c r="I75" s="66">
        <v>0.17026900626632371</v>
      </c>
      <c r="J75" s="99">
        <v>0</v>
      </c>
      <c r="K75" s="66">
        <v>-0.1659236593737887</v>
      </c>
      <c r="L75" s="66">
        <v>0.25168008482154391</v>
      </c>
      <c r="M75" s="66">
        <v>0</v>
      </c>
      <c r="N75" s="99">
        <v>0</v>
      </c>
      <c r="O75" s="66">
        <v>-3.8593427692575233E-2</v>
      </c>
      <c r="P75" s="66">
        <v>0</v>
      </c>
      <c r="Q75" s="66">
        <v>0</v>
      </c>
      <c r="R75" s="66">
        <v>-0.55483889948587262</v>
      </c>
      <c r="S75" s="66">
        <v>0</v>
      </c>
      <c r="T75" s="66">
        <v>0</v>
      </c>
      <c r="U75" s="66">
        <v>0</v>
      </c>
      <c r="V75" s="66">
        <v>0</v>
      </c>
      <c r="W75" s="66">
        <v>0</v>
      </c>
      <c r="X75" s="66">
        <v>0</v>
      </c>
      <c r="Y75" s="66">
        <v>0</v>
      </c>
      <c r="Z75" s="99">
        <v>0</v>
      </c>
      <c r="AA75" s="99">
        <v>0</v>
      </c>
      <c r="AB75" s="99">
        <v>0</v>
      </c>
      <c r="AC75" s="99">
        <v>0</v>
      </c>
      <c r="AD75" s="99">
        <v>0</v>
      </c>
      <c r="AE75" s="99">
        <v>0</v>
      </c>
      <c r="AF75" s="66">
        <v>0.22863828412380369</v>
      </c>
      <c r="AG75" s="99">
        <v>0</v>
      </c>
    </row>
    <row r="76" spans="1:33" x14ac:dyDescent="0.35">
      <c r="A76" s="127" t="s">
        <v>13</v>
      </c>
      <c r="B76" s="66">
        <v>0</v>
      </c>
      <c r="C76" s="66">
        <v>-7.8852254730747973E-3</v>
      </c>
      <c r="D76" s="66">
        <v>-1.305906249632471E-2</v>
      </c>
      <c r="E76" s="66">
        <v>-9.3974501538411914E-3</v>
      </c>
      <c r="F76" s="66">
        <v>-3.3526001472040427E-2</v>
      </c>
      <c r="G76" s="66">
        <v>0</v>
      </c>
      <c r="H76" s="66">
        <v>0.28421002282317431</v>
      </c>
      <c r="I76" s="66">
        <v>0.16084931164959931</v>
      </c>
      <c r="J76" s="99">
        <v>0</v>
      </c>
      <c r="K76" s="66">
        <v>-8.4516128884757791E-2</v>
      </c>
      <c r="L76" s="66">
        <v>8.8016588456838463E-2</v>
      </c>
      <c r="M76" s="66">
        <v>0</v>
      </c>
      <c r="N76" s="99">
        <v>0</v>
      </c>
      <c r="O76" s="66">
        <v>-5.485393103205638E-2</v>
      </c>
      <c r="P76" s="66">
        <v>6.9088791485683032E-4</v>
      </c>
      <c r="Q76" s="66">
        <v>0</v>
      </c>
      <c r="R76" s="66">
        <v>-0.2117596073420884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99">
        <v>0</v>
      </c>
      <c r="AA76" s="99">
        <v>0</v>
      </c>
      <c r="AB76" s="99">
        <v>0</v>
      </c>
      <c r="AC76" s="99">
        <v>0</v>
      </c>
      <c r="AD76" s="99">
        <v>0</v>
      </c>
      <c r="AE76" s="99">
        <v>0</v>
      </c>
      <c r="AF76" s="66">
        <v>0.2244809468108997</v>
      </c>
      <c r="AG76" s="99">
        <v>0</v>
      </c>
    </row>
    <row r="77" spans="1:33" x14ac:dyDescent="0.35">
      <c r="A77" s="127" t="s">
        <v>14</v>
      </c>
      <c r="B77" s="66">
        <v>0</v>
      </c>
      <c r="C77" s="66">
        <v>-3.5950120787333621E-3</v>
      </c>
      <c r="D77" s="66">
        <v>-7.4473018908065569E-3</v>
      </c>
      <c r="E77" s="66">
        <v>-9.1837984385279015E-3</v>
      </c>
      <c r="F77" s="66">
        <v>-4.0478557000341198E-2</v>
      </c>
      <c r="G77" s="66">
        <v>-2.4506170889537771E-3</v>
      </c>
      <c r="H77" s="66">
        <v>0.27121987574332712</v>
      </c>
      <c r="I77" s="66">
        <v>0.196373116812083</v>
      </c>
      <c r="J77" s="99">
        <v>0</v>
      </c>
      <c r="K77" s="66">
        <v>-7.9637252775569323E-2</v>
      </c>
      <c r="L77" s="66">
        <v>-7.7248738928233251E-2</v>
      </c>
      <c r="M77" s="66">
        <v>0</v>
      </c>
      <c r="N77" s="99">
        <v>0</v>
      </c>
      <c r="O77" s="66">
        <v>-5.4147645521851473E-2</v>
      </c>
      <c r="P77" s="66">
        <v>2.672136250197354E-3</v>
      </c>
      <c r="Q77" s="66">
        <v>0</v>
      </c>
      <c r="R77" s="66">
        <v>0.44331296808658749</v>
      </c>
      <c r="S77" s="66">
        <v>0</v>
      </c>
      <c r="T77" s="66">
        <v>0</v>
      </c>
      <c r="U77" s="66">
        <v>0</v>
      </c>
      <c r="V77" s="66">
        <v>0</v>
      </c>
      <c r="W77" s="66">
        <v>0</v>
      </c>
      <c r="X77" s="66">
        <v>0</v>
      </c>
      <c r="Y77" s="66">
        <v>0</v>
      </c>
      <c r="Z77" s="99">
        <v>0</v>
      </c>
      <c r="AA77" s="99">
        <v>0</v>
      </c>
      <c r="AB77" s="99">
        <v>0</v>
      </c>
      <c r="AC77" s="99">
        <v>0</v>
      </c>
      <c r="AD77" s="99">
        <v>0</v>
      </c>
      <c r="AE77" s="99">
        <v>0</v>
      </c>
      <c r="AF77" s="66">
        <v>0.21773619130689781</v>
      </c>
      <c r="AG77" s="99">
        <v>0</v>
      </c>
    </row>
    <row r="78" spans="1:33" x14ac:dyDescent="0.35">
      <c r="A78" s="127" t="s">
        <v>15</v>
      </c>
      <c r="B78" s="66">
        <v>0</v>
      </c>
      <c r="C78" s="66">
        <v>-4.9161202395850978E-3</v>
      </c>
      <c r="D78" s="66">
        <v>-8.4679045060909175E-3</v>
      </c>
      <c r="E78" s="66">
        <v>-1.1212237634566691E-2</v>
      </c>
      <c r="F78" s="66">
        <v>-2.985151407386866E-2</v>
      </c>
      <c r="G78" s="66">
        <v>-1.6029661941104219E-2</v>
      </c>
      <c r="H78" s="66">
        <v>0.2694462299113809</v>
      </c>
      <c r="I78" s="66">
        <v>0.18856670925427471</v>
      </c>
      <c r="J78" s="99">
        <v>0</v>
      </c>
      <c r="K78" s="66">
        <v>-9.6624366172306964E-2</v>
      </c>
      <c r="L78" s="66">
        <v>-9.1108874389306038E-2</v>
      </c>
      <c r="M78" s="66">
        <v>0</v>
      </c>
      <c r="N78" s="99">
        <v>0</v>
      </c>
      <c r="O78" s="66">
        <v>-5.3662171998666963E-2</v>
      </c>
      <c r="P78" s="66">
        <v>6.7439733224716747E-3</v>
      </c>
      <c r="Q78" s="66">
        <v>0</v>
      </c>
      <c r="R78" s="66">
        <v>-8.5662935662270456E-2</v>
      </c>
      <c r="S78" s="66">
        <v>0</v>
      </c>
      <c r="T78" s="66">
        <v>0</v>
      </c>
      <c r="U78" s="66">
        <v>0</v>
      </c>
      <c r="V78" s="66">
        <v>0</v>
      </c>
      <c r="W78" s="66">
        <v>0</v>
      </c>
      <c r="X78" s="66">
        <v>0</v>
      </c>
      <c r="Y78" s="66">
        <v>0</v>
      </c>
      <c r="Z78" s="99">
        <v>0</v>
      </c>
      <c r="AA78" s="99">
        <v>0</v>
      </c>
      <c r="AB78" s="99">
        <v>0</v>
      </c>
      <c r="AC78" s="99">
        <v>0</v>
      </c>
      <c r="AD78" s="99">
        <v>0</v>
      </c>
      <c r="AE78" s="99">
        <v>0</v>
      </c>
      <c r="AF78" s="66">
        <v>0.22223014333840749</v>
      </c>
      <c r="AG78" s="99">
        <v>0</v>
      </c>
    </row>
    <row r="79" spans="1:33" x14ac:dyDescent="0.35">
      <c r="A79" s="127" t="s">
        <v>16</v>
      </c>
      <c r="B79" s="66">
        <v>0</v>
      </c>
      <c r="C79" s="66">
        <v>-5.4152947736838541E-3</v>
      </c>
      <c r="D79" s="66">
        <v>-3.9507108405700819E-3</v>
      </c>
      <c r="E79" s="66">
        <v>-1.7274858695287779E-2</v>
      </c>
      <c r="F79" s="66">
        <v>-2.163788996611515E-2</v>
      </c>
      <c r="G79" s="66">
        <v>-9.413405879598713E-3</v>
      </c>
      <c r="H79" s="66">
        <v>0.26427798327432578</v>
      </c>
      <c r="I79" s="66">
        <v>0.18511089574707279</v>
      </c>
      <c r="J79" s="99">
        <v>0</v>
      </c>
      <c r="K79" s="66">
        <v>-0.10859499300727291</v>
      </c>
      <c r="L79" s="66">
        <v>-0.1988469332625584</v>
      </c>
      <c r="M79" s="66">
        <v>0</v>
      </c>
      <c r="N79" s="99">
        <v>0</v>
      </c>
      <c r="O79" s="66">
        <v>-4.3267226891146038E-2</v>
      </c>
      <c r="P79" s="66">
        <v>3.0011996799430558E-3</v>
      </c>
      <c r="Q79" s="66">
        <v>0</v>
      </c>
      <c r="R79" s="66">
        <v>-0.48324752625845241</v>
      </c>
      <c r="S79" s="66">
        <v>0</v>
      </c>
      <c r="T79" s="66">
        <v>0</v>
      </c>
      <c r="U79" s="66">
        <v>0</v>
      </c>
      <c r="V79" s="66">
        <v>0</v>
      </c>
      <c r="W79" s="66">
        <v>0</v>
      </c>
      <c r="X79" s="66">
        <v>0</v>
      </c>
      <c r="Y79" s="66">
        <v>0</v>
      </c>
      <c r="Z79" s="99">
        <v>0</v>
      </c>
      <c r="AA79" s="99">
        <v>0</v>
      </c>
      <c r="AB79" s="99">
        <v>0</v>
      </c>
      <c r="AC79" s="99">
        <v>0</v>
      </c>
      <c r="AD79" s="99">
        <v>0</v>
      </c>
      <c r="AE79" s="99">
        <v>0</v>
      </c>
      <c r="AF79" s="66">
        <v>0.22697074369244771</v>
      </c>
      <c r="AG79" s="99">
        <v>0</v>
      </c>
    </row>
    <row r="80" spans="1:33" x14ac:dyDescent="0.35">
      <c r="A80" s="127" t="s">
        <v>17</v>
      </c>
      <c r="B80" s="66">
        <v>0</v>
      </c>
      <c r="C80" s="66">
        <v>-4.8319735515178763E-3</v>
      </c>
      <c r="D80" s="66">
        <v>-3.3846422998635721E-3</v>
      </c>
      <c r="E80" s="66">
        <v>-6.5545096420009941E-3</v>
      </c>
      <c r="F80" s="66">
        <v>-3.012038185494248E-2</v>
      </c>
      <c r="G80" s="66">
        <v>-8.4726772243755022E-3</v>
      </c>
      <c r="H80" s="66">
        <v>0.25067697956322382</v>
      </c>
      <c r="I80" s="66">
        <v>0.15259740589837631</v>
      </c>
      <c r="J80" s="99">
        <v>0</v>
      </c>
      <c r="K80" s="66">
        <v>-8.6554910993783096E-2</v>
      </c>
      <c r="L80" s="66">
        <v>-0.37432906287338602</v>
      </c>
      <c r="M80" s="66">
        <v>-1.2148679758183791E-5</v>
      </c>
      <c r="N80" s="99">
        <v>0</v>
      </c>
      <c r="O80" s="66">
        <v>-4.2335632828070402E-2</v>
      </c>
      <c r="P80" s="66">
        <v>7.4836018904136381E-3</v>
      </c>
      <c r="Q80" s="66">
        <v>0</v>
      </c>
      <c r="R80" s="66">
        <v>-0.83191714113289095</v>
      </c>
      <c r="S80" s="66">
        <v>0</v>
      </c>
      <c r="T80" s="66">
        <v>0</v>
      </c>
      <c r="U80" s="66">
        <v>0</v>
      </c>
      <c r="V80" s="66">
        <v>0</v>
      </c>
      <c r="W80" s="66">
        <v>0</v>
      </c>
      <c r="X80" s="66">
        <v>0</v>
      </c>
      <c r="Y80" s="66">
        <v>0</v>
      </c>
      <c r="Z80" s="99">
        <v>0</v>
      </c>
      <c r="AA80" s="99">
        <v>0</v>
      </c>
      <c r="AB80" s="99">
        <v>0</v>
      </c>
      <c r="AC80" s="99">
        <v>0</v>
      </c>
      <c r="AD80" s="99">
        <v>0</v>
      </c>
      <c r="AE80" s="99">
        <v>0</v>
      </c>
      <c r="AF80" s="66">
        <v>0.22888759299146949</v>
      </c>
      <c r="AG80" s="99">
        <v>0</v>
      </c>
    </row>
    <row r="81" spans="1:33" x14ac:dyDescent="0.35">
      <c r="A81" s="127" t="s">
        <v>18</v>
      </c>
      <c r="B81" s="66">
        <v>0</v>
      </c>
      <c r="C81" s="66">
        <v>-3.0083799629494479E-3</v>
      </c>
      <c r="D81" s="66">
        <v>-3.0762346586072908E-3</v>
      </c>
      <c r="E81" s="66">
        <v>-1.1890959839007559E-2</v>
      </c>
      <c r="F81" s="66">
        <v>-1.5248132027721789E-2</v>
      </c>
      <c r="G81" s="66">
        <v>-8.2485836189789552E-3</v>
      </c>
      <c r="H81" s="66">
        <v>0.29918807010551518</v>
      </c>
      <c r="I81" s="66">
        <v>0.1789495423294909</v>
      </c>
      <c r="J81" s="66">
        <v>0</v>
      </c>
      <c r="K81" s="66">
        <v>-8.4375853175345128E-2</v>
      </c>
      <c r="L81" s="66">
        <v>-0.22697146392226841</v>
      </c>
      <c r="M81" s="66">
        <v>-1.9028865990065921E-2</v>
      </c>
      <c r="N81" s="66">
        <v>0</v>
      </c>
      <c r="O81" s="66">
        <v>-4.2152336063708162E-2</v>
      </c>
      <c r="P81" s="66">
        <v>4.223192623982186E-3</v>
      </c>
      <c r="Q81" s="66">
        <v>0</v>
      </c>
      <c r="R81" s="66">
        <v>-0.68691827799673888</v>
      </c>
      <c r="S81" s="66">
        <v>0</v>
      </c>
      <c r="T81" s="66">
        <v>0</v>
      </c>
      <c r="U81" s="66">
        <v>0</v>
      </c>
      <c r="V81" s="66">
        <v>0</v>
      </c>
      <c r="W81" s="66">
        <v>0</v>
      </c>
      <c r="X81" s="66">
        <v>0</v>
      </c>
      <c r="Y81" s="66">
        <v>0</v>
      </c>
      <c r="Z81" s="66">
        <v>0</v>
      </c>
      <c r="AA81" s="66">
        <v>0</v>
      </c>
      <c r="AB81" s="66">
        <v>0</v>
      </c>
      <c r="AC81" s="66">
        <v>0</v>
      </c>
      <c r="AD81" s="66">
        <v>0</v>
      </c>
      <c r="AE81" s="66">
        <v>0</v>
      </c>
      <c r="AF81" s="66">
        <v>0.22859781352264011</v>
      </c>
      <c r="AG81" s="66">
        <v>0</v>
      </c>
    </row>
    <row r="82" spans="1:33" x14ac:dyDescent="0.35">
      <c r="A82" s="127" t="s">
        <v>19</v>
      </c>
      <c r="B82" s="66">
        <v>0</v>
      </c>
      <c r="C82" s="66">
        <v>-4.6762125419377298E-3</v>
      </c>
      <c r="D82" s="66">
        <v>-2.9672586136371142E-3</v>
      </c>
      <c r="E82" s="66">
        <v>-9.8868317730591571E-3</v>
      </c>
      <c r="F82" s="66">
        <v>-5.2087178210626917E-3</v>
      </c>
      <c r="G82" s="66">
        <v>-7.1667930220655762E-3</v>
      </c>
      <c r="H82" s="66">
        <v>0.36796906613710689</v>
      </c>
      <c r="I82" s="66">
        <v>0.1732658655381272</v>
      </c>
      <c r="J82" s="66">
        <v>0</v>
      </c>
      <c r="K82" s="66">
        <v>-5.3945262987951992E-2</v>
      </c>
      <c r="L82" s="66">
        <v>-0.1488729391977017</v>
      </c>
      <c r="M82" s="66">
        <v>-3.8247895802214771E-3</v>
      </c>
      <c r="N82" s="66">
        <v>0</v>
      </c>
      <c r="O82" s="66">
        <v>-4.675658912915992E-2</v>
      </c>
      <c r="P82" s="66">
        <v>5.3181161470945426E-3</v>
      </c>
      <c r="Q82" s="66">
        <v>0</v>
      </c>
      <c r="R82" s="66">
        <v>-0.36860542852747358</v>
      </c>
      <c r="S82" s="66">
        <v>0</v>
      </c>
      <c r="T82" s="66">
        <v>0</v>
      </c>
      <c r="U82" s="66">
        <v>0</v>
      </c>
      <c r="V82" s="66">
        <v>0</v>
      </c>
      <c r="W82" s="66">
        <v>0</v>
      </c>
      <c r="X82" s="66">
        <v>0</v>
      </c>
      <c r="Y82" s="66">
        <v>0</v>
      </c>
      <c r="Z82" s="66">
        <v>0</v>
      </c>
      <c r="AA82" s="66">
        <v>0</v>
      </c>
      <c r="AB82" s="66">
        <v>0</v>
      </c>
      <c r="AC82" s="66">
        <v>0</v>
      </c>
      <c r="AD82" s="66">
        <v>0</v>
      </c>
      <c r="AE82" s="66">
        <v>0</v>
      </c>
      <c r="AF82" s="66">
        <v>0.22375677006729691</v>
      </c>
      <c r="AG82" s="66">
        <v>0</v>
      </c>
    </row>
    <row r="83" spans="1:33" x14ac:dyDescent="0.35">
      <c r="A83" s="127" t="s">
        <v>20</v>
      </c>
      <c r="B83" s="66">
        <v>0</v>
      </c>
      <c r="C83" s="66">
        <v>-8.9203797674599627E-3</v>
      </c>
      <c r="D83" s="66">
        <v>0</v>
      </c>
      <c r="E83" s="66">
        <v>0</v>
      </c>
      <c r="F83" s="66">
        <v>-1.0142971151338999E-2</v>
      </c>
      <c r="G83" s="66">
        <v>0</v>
      </c>
      <c r="H83" s="66">
        <v>1.2655637603058381</v>
      </c>
      <c r="I83" s="66">
        <v>0</v>
      </c>
      <c r="J83" s="66">
        <v>0</v>
      </c>
      <c r="K83" s="66">
        <v>-4.0178908004691039E-2</v>
      </c>
      <c r="L83" s="66">
        <v>-0.2050170703048195</v>
      </c>
      <c r="M83" s="66">
        <v>-1.314802049969899E-2</v>
      </c>
      <c r="N83" s="66">
        <v>0</v>
      </c>
      <c r="O83" s="66">
        <v>-4.3598384178324068E-2</v>
      </c>
      <c r="P83" s="66">
        <v>-8.312538451187379E-2</v>
      </c>
      <c r="Q83" s="66">
        <v>0</v>
      </c>
      <c r="R83" s="66">
        <v>0.37484864474760121</v>
      </c>
      <c r="S83" s="66">
        <v>0</v>
      </c>
      <c r="T83" s="66">
        <v>0</v>
      </c>
      <c r="U83" s="66">
        <v>0</v>
      </c>
      <c r="V83" s="66">
        <v>0</v>
      </c>
      <c r="W83" s="66">
        <v>0</v>
      </c>
      <c r="X83" s="66">
        <v>0</v>
      </c>
      <c r="Y83" s="66">
        <v>0</v>
      </c>
      <c r="Z83" s="66">
        <v>0</v>
      </c>
      <c r="AA83" s="66">
        <v>0</v>
      </c>
      <c r="AB83" s="66">
        <v>0</v>
      </c>
      <c r="AC83" s="66">
        <v>0</v>
      </c>
      <c r="AD83" s="66">
        <v>0</v>
      </c>
      <c r="AE83" s="66">
        <v>0</v>
      </c>
      <c r="AF83" s="66">
        <v>0.15457973634826769</v>
      </c>
      <c r="AG83" s="66">
        <v>0</v>
      </c>
    </row>
    <row r="84" spans="1:33" x14ac:dyDescent="0.35">
      <c r="A84" s="127" t="s">
        <v>21</v>
      </c>
      <c r="B84" s="123">
        <v>0</v>
      </c>
      <c r="C84" s="123">
        <v>-5.817388405461088E-3</v>
      </c>
      <c r="D84" s="123">
        <v>0</v>
      </c>
      <c r="E84" s="123">
        <v>0</v>
      </c>
      <c r="F84" s="123">
        <v>-6.5081629353187509E-3</v>
      </c>
      <c r="G84" s="123">
        <v>0</v>
      </c>
      <c r="H84" s="123">
        <v>1.533039115788966</v>
      </c>
      <c r="I84" s="123">
        <v>0</v>
      </c>
      <c r="J84" s="124">
        <v>0</v>
      </c>
      <c r="K84" s="123">
        <v>-5.1340888139179697E-3</v>
      </c>
      <c r="L84" s="123">
        <v>-0.28711705251251368</v>
      </c>
      <c r="M84" s="123">
        <v>-6.769385913514725E-3</v>
      </c>
      <c r="N84" s="124">
        <v>0</v>
      </c>
      <c r="O84" s="123">
        <v>-3.630832037839582E-2</v>
      </c>
      <c r="P84" s="123">
        <v>-8.6228608759142844E-2</v>
      </c>
      <c r="Q84" s="123">
        <v>0</v>
      </c>
      <c r="R84" s="123">
        <v>0.4795552931065572</v>
      </c>
      <c r="S84" s="123">
        <v>0</v>
      </c>
      <c r="T84" s="123">
        <v>0</v>
      </c>
      <c r="U84" s="123">
        <v>0</v>
      </c>
      <c r="V84" s="123">
        <v>0</v>
      </c>
      <c r="W84" s="123">
        <v>0</v>
      </c>
      <c r="X84" s="123">
        <v>0</v>
      </c>
      <c r="Y84" s="123">
        <v>0</v>
      </c>
      <c r="Z84" s="124">
        <v>0</v>
      </c>
      <c r="AA84" s="124">
        <v>0</v>
      </c>
      <c r="AB84" s="124">
        <v>0</v>
      </c>
      <c r="AC84" s="124">
        <v>0</v>
      </c>
      <c r="AD84" s="124">
        <v>0</v>
      </c>
      <c r="AE84" s="124">
        <v>0</v>
      </c>
      <c r="AF84" s="123">
        <v>2.6578803957022501E-3</v>
      </c>
      <c r="AG84" s="124">
        <v>0</v>
      </c>
    </row>
    <row r="85" spans="1:33" x14ac:dyDescent="0.35">
      <c r="B85">
        <v>0</v>
      </c>
    </row>
    <row r="86" spans="1:33" x14ac:dyDescent="0.35">
      <c r="B86">
        <v>0</v>
      </c>
    </row>
    <row r="87" spans="1:33" x14ac:dyDescent="0.35">
      <c r="B87">
        <v>0</v>
      </c>
    </row>
    <row r="88" spans="1:33" x14ac:dyDescent="0.35">
      <c r="B88">
        <v>0</v>
      </c>
    </row>
    <row r="89" spans="1:33" x14ac:dyDescent="0.35">
      <c r="B89">
        <v>0</v>
      </c>
    </row>
    <row r="90" spans="1:33" x14ac:dyDescent="0.35">
      <c r="A90" s="129" t="s">
        <v>34</v>
      </c>
      <c r="B90">
        <v>0</v>
      </c>
    </row>
    <row r="91" spans="1:33" ht="45" customHeight="1" x14ac:dyDescent="0.35">
      <c r="A91" s="128" t="s">
        <v>112</v>
      </c>
      <c r="B91" s="123">
        <v>0</v>
      </c>
      <c r="C91" s="123" t="s">
        <v>114</v>
      </c>
      <c r="D91" s="123" t="s">
        <v>115</v>
      </c>
      <c r="E91" s="123" t="s">
        <v>116</v>
      </c>
      <c r="F91" s="123" t="s">
        <v>117</v>
      </c>
      <c r="G91" s="123" t="s">
        <v>118</v>
      </c>
      <c r="H91" s="123" t="s">
        <v>119</v>
      </c>
      <c r="I91" s="123" t="s">
        <v>120</v>
      </c>
      <c r="J91" s="124" t="s">
        <v>121</v>
      </c>
      <c r="K91" s="123" t="s">
        <v>122</v>
      </c>
      <c r="L91" s="123" t="s">
        <v>123</v>
      </c>
      <c r="M91" s="123" t="s">
        <v>124</v>
      </c>
      <c r="N91" s="124" t="s">
        <v>125</v>
      </c>
      <c r="O91" s="123" t="s">
        <v>126</v>
      </c>
      <c r="P91" s="123" t="s">
        <v>127</v>
      </c>
      <c r="Q91" s="123" t="s">
        <v>128</v>
      </c>
      <c r="R91" s="123" t="s">
        <v>129</v>
      </c>
      <c r="S91" s="123" t="s">
        <v>130</v>
      </c>
      <c r="T91" s="123" t="s">
        <v>131</v>
      </c>
      <c r="U91" s="123" t="s">
        <v>132</v>
      </c>
      <c r="V91" s="123" t="s">
        <v>133</v>
      </c>
      <c r="W91" s="123" t="s">
        <v>134</v>
      </c>
      <c r="X91" s="123" t="s">
        <v>135</v>
      </c>
      <c r="Y91" s="123" t="s">
        <v>136</v>
      </c>
      <c r="Z91" s="124" t="s">
        <v>137</v>
      </c>
      <c r="AA91" s="124" t="s">
        <v>138</v>
      </c>
      <c r="AB91" s="124" t="s">
        <v>139</v>
      </c>
      <c r="AC91" s="124" t="s">
        <v>140</v>
      </c>
      <c r="AD91" s="124" t="s">
        <v>141</v>
      </c>
      <c r="AE91" s="124" t="s">
        <v>142</v>
      </c>
      <c r="AF91" s="123" t="s">
        <v>143</v>
      </c>
      <c r="AG91" s="124" t="s">
        <v>144</v>
      </c>
    </row>
    <row r="92" spans="1:33" x14ac:dyDescent="0.35">
      <c r="A92" s="127" t="s">
        <v>145</v>
      </c>
      <c r="B92" s="66">
        <v>0</v>
      </c>
      <c r="C92" s="66">
        <v>-9.1078532323905392E-2</v>
      </c>
      <c r="D92" s="66">
        <v>-9.5684872101173823E-3</v>
      </c>
      <c r="E92" s="66">
        <v>-0.14538102574127271</v>
      </c>
      <c r="F92" s="66">
        <v>-0.38064136862408299</v>
      </c>
      <c r="G92" s="66">
        <v>-1.2235843929971679E-2</v>
      </c>
      <c r="H92" s="66">
        <v>0.35341087074090177</v>
      </c>
      <c r="I92" s="66">
        <v>0.25315122166595933</v>
      </c>
      <c r="J92" s="99">
        <v>0</v>
      </c>
      <c r="K92" s="66">
        <v>-4.5844378416774127E-2</v>
      </c>
      <c r="L92" s="66">
        <v>-0.63093451435989323</v>
      </c>
      <c r="M92" s="66">
        <v>0</v>
      </c>
      <c r="N92" s="99">
        <v>0</v>
      </c>
      <c r="O92" s="66">
        <v>-4.5542625726909591E-2</v>
      </c>
      <c r="P92" s="66">
        <v>0.1040135370285213</v>
      </c>
      <c r="Q92" s="66">
        <v>0</v>
      </c>
      <c r="R92" s="66">
        <v>0.97238659335823741</v>
      </c>
      <c r="S92" s="66">
        <v>0</v>
      </c>
      <c r="T92" s="66">
        <v>0</v>
      </c>
      <c r="U92" s="66">
        <v>0</v>
      </c>
      <c r="V92" s="66">
        <v>0</v>
      </c>
      <c r="W92" s="66">
        <v>0</v>
      </c>
      <c r="X92" s="66">
        <v>0</v>
      </c>
      <c r="Y92" s="66">
        <v>0</v>
      </c>
      <c r="Z92" s="99">
        <v>0</v>
      </c>
      <c r="AA92" s="99">
        <v>0</v>
      </c>
      <c r="AB92" s="99">
        <v>0</v>
      </c>
      <c r="AC92" s="99">
        <v>0</v>
      </c>
      <c r="AD92" s="99">
        <v>0</v>
      </c>
      <c r="AE92" s="99">
        <v>0</v>
      </c>
      <c r="AF92" s="66">
        <v>-6.9292497309731971E-2</v>
      </c>
      <c r="AG92" s="99">
        <v>0</v>
      </c>
    </row>
    <row r="93" spans="1:33" x14ac:dyDescent="0.35">
      <c r="A93" s="127" t="s">
        <v>146</v>
      </c>
      <c r="B93" s="66">
        <v>0</v>
      </c>
      <c r="C93" s="66">
        <v>-1.8090697818280429E-2</v>
      </c>
      <c r="D93" s="66">
        <v>-7.2472403885797121E-3</v>
      </c>
      <c r="E93" s="66">
        <v>-0.17177772776520331</v>
      </c>
      <c r="F93" s="66">
        <v>-0.37463702730246951</v>
      </c>
      <c r="G93" s="66">
        <v>-1.3990776329364961E-2</v>
      </c>
      <c r="H93" s="66">
        <v>0.299101318416092</v>
      </c>
      <c r="I93" s="66">
        <v>0.26934283142787763</v>
      </c>
      <c r="J93" s="99">
        <v>0</v>
      </c>
      <c r="K93" s="66">
        <v>-4.7048503702058042E-2</v>
      </c>
      <c r="L93" s="66">
        <v>-5.5836037541041614E-3</v>
      </c>
      <c r="M93" s="66">
        <v>0</v>
      </c>
      <c r="N93" s="99">
        <v>0</v>
      </c>
      <c r="O93" s="66">
        <v>-1.488554419819366E-2</v>
      </c>
      <c r="P93" s="66">
        <v>1.7415346702051689E-2</v>
      </c>
      <c r="Q93" s="66">
        <v>0</v>
      </c>
      <c r="R93" s="66">
        <v>1.094301044390704</v>
      </c>
      <c r="S93" s="66">
        <v>0</v>
      </c>
      <c r="T93" s="66">
        <v>0</v>
      </c>
      <c r="U93" s="66">
        <v>0</v>
      </c>
      <c r="V93" s="66">
        <v>0</v>
      </c>
      <c r="W93" s="66">
        <v>0</v>
      </c>
      <c r="X93" s="66">
        <v>0</v>
      </c>
      <c r="Y93" s="66">
        <v>0</v>
      </c>
      <c r="Z93" s="99">
        <v>0</v>
      </c>
      <c r="AA93" s="99">
        <v>0</v>
      </c>
      <c r="AB93" s="99">
        <v>0</v>
      </c>
      <c r="AC93" s="99">
        <v>0</v>
      </c>
      <c r="AD93" s="99">
        <v>0</v>
      </c>
      <c r="AE93" s="99">
        <v>0</v>
      </c>
      <c r="AF93" s="66">
        <v>0.1166939733683421</v>
      </c>
      <c r="AG93" s="99">
        <v>0</v>
      </c>
    </row>
    <row r="94" spans="1:33" x14ac:dyDescent="0.35">
      <c r="A94" s="127" t="s">
        <v>147</v>
      </c>
      <c r="B94" s="66">
        <v>0</v>
      </c>
      <c r="C94" s="66">
        <v>-3.217264899774364E-3</v>
      </c>
      <c r="D94" s="66">
        <v>-6.8291189804767782E-3</v>
      </c>
      <c r="E94" s="66">
        <v>-0.26099162301156298</v>
      </c>
      <c r="F94" s="66">
        <v>-0.35050482325678439</v>
      </c>
      <c r="G94" s="66">
        <v>-1.4546265121055059E-2</v>
      </c>
      <c r="H94" s="66">
        <v>0.27905333802306131</v>
      </c>
      <c r="I94" s="66">
        <v>0.28211501463078997</v>
      </c>
      <c r="J94" s="99">
        <v>0</v>
      </c>
      <c r="K94" s="66">
        <v>-9.1686655602444489E-2</v>
      </c>
      <c r="L94" s="66">
        <v>0.23883065073272289</v>
      </c>
      <c r="M94" s="66">
        <v>0</v>
      </c>
      <c r="N94" s="99">
        <v>0</v>
      </c>
      <c r="O94" s="66">
        <v>0</v>
      </c>
      <c r="P94" s="66">
        <v>3.2867028827752161E-3</v>
      </c>
      <c r="Q94" s="66">
        <v>0</v>
      </c>
      <c r="R94" s="66">
        <v>0.63240485855982342</v>
      </c>
      <c r="S94" s="66">
        <v>0</v>
      </c>
      <c r="T94" s="66">
        <v>0</v>
      </c>
      <c r="U94" s="66">
        <v>0</v>
      </c>
      <c r="V94" s="66">
        <v>0</v>
      </c>
      <c r="W94" s="66">
        <v>0</v>
      </c>
      <c r="X94" s="66">
        <v>0</v>
      </c>
      <c r="Y94" s="66">
        <v>0</v>
      </c>
      <c r="Z94" s="99">
        <v>0</v>
      </c>
      <c r="AA94" s="99">
        <v>0</v>
      </c>
      <c r="AB94" s="99">
        <v>0</v>
      </c>
      <c r="AC94" s="99">
        <v>0</v>
      </c>
      <c r="AD94" s="99">
        <v>0</v>
      </c>
      <c r="AE94" s="99">
        <v>0</v>
      </c>
      <c r="AF94" s="66">
        <v>0.2172540511532475</v>
      </c>
      <c r="AG94" s="99">
        <v>0</v>
      </c>
    </row>
    <row r="95" spans="1:33" x14ac:dyDescent="0.35">
      <c r="A95" s="127" t="s">
        <v>148</v>
      </c>
      <c r="B95" s="66">
        <v>0</v>
      </c>
      <c r="C95" s="66">
        <v>-7.2504695243083006E-3</v>
      </c>
      <c r="D95" s="66">
        <v>-5.9838668315137511E-3</v>
      </c>
      <c r="E95" s="66">
        <v>-0.26603942317294133</v>
      </c>
      <c r="F95" s="66">
        <v>-0.34303692719976198</v>
      </c>
      <c r="G95" s="66">
        <v>-1.3215052301347899E-2</v>
      </c>
      <c r="H95" s="66">
        <v>0.27567249260690119</v>
      </c>
      <c r="I95" s="66">
        <v>0.28254705980083372</v>
      </c>
      <c r="J95" s="99">
        <v>0</v>
      </c>
      <c r="K95" s="66">
        <v>-5.8193820127769413E-2</v>
      </c>
      <c r="L95" s="66">
        <v>0.23909213483207739</v>
      </c>
      <c r="M95" s="66">
        <v>0</v>
      </c>
      <c r="N95" s="99">
        <v>0</v>
      </c>
      <c r="O95" s="66">
        <v>0</v>
      </c>
      <c r="P95" s="66">
        <v>2.454457505535856E-3</v>
      </c>
      <c r="Q95" s="66">
        <v>0</v>
      </c>
      <c r="R95" s="66">
        <v>0.64178641743421849</v>
      </c>
      <c r="S95" s="66">
        <v>0</v>
      </c>
      <c r="T95" s="66">
        <v>0</v>
      </c>
      <c r="U95" s="66">
        <v>0</v>
      </c>
      <c r="V95" s="66">
        <v>0</v>
      </c>
      <c r="W95" s="66">
        <v>0</v>
      </c>
      <c r="X95" s="66">
        <v>0</v>
      </c>
      <c r="Y95" s="66">
        <v>0</v>
      </c>
      <c r="Z95" s="99">
        <v>0</v>
      </c>
      <c r="AA95" s="99">
        <v>0</v>
      </c>
      <c r="AB95" s="99">
        <v>0</v>
      </c>
      <c r="AC95" s="99">
        <v>0</v>
      </c>
      <c r="AD95" s="99">
        <v>0</v>
      </c>
      <c r="AE95" s="99">
        <v>0</v>
      </c>
      <c r="AF95" s="66">
        <v>0.21743051314311401</v>
      </c>
      <c r="AG95" s="99">
        <v>0</v>
      </c>
    </row>
    <row r="96" spans="1:33" x14ac:dyDescent="0.35">
      <c r="A96" s="127" t="s">
        <v>149</v>
      </c>
      <c r="B96" s="66">
        <v>0</v>
      </c>
      <c r="C96" s="66">
        <v>-1.119828694803005E-2</v>
      </c>
      <c r="D96" s="66">
        <v>-6.7422861414740956E-3</v>
      </c>
      <c r="E96" s="66">
        <v>-0.17899301203490839</v>
      </c>
      <c r="F96" s="66">
        <v>-0.346552943569435</v>
      </c>
      <c r="G96" s="66">
        <v>-1.384896887114451E-2</v>
      </c>
      <c r="H96" s="66">
        <v>0.31372820482346242</v>
      </c>
      <c r="I96" s="66">
        <v>0.28078417108406478</v>
      </c>
      <c r="J96" s="99">
        <v>0</v>
      </c>
      <c r="K96" s="66">
        <v>-8.3753818577804395E-2</v>
      </c>
      <c r="L96" s="66">
        <v>0.2374824433271954</v>
      </c>
      <c r="M96" s="66">
        <v>0</v>
      </c>
      <c r="N96" s="99">
        <v>0</v>
      </c>
      <c r="O96" s="66">
        <v>-1.4468918816788801E-2</v>
      </c>
      <c r="P96" s="66">
        <v>7.5881153901491416E-4</v>
      </c>
      <c r="Q96" s="66">
        <v>0</v>
      </c>
      <c r="R96" s="66">
        <v>0.75442648524662559</v>
      </c>
      <c r="S96" s="66">
        <v>0</v>
      </c>
      <c r="T96" s="66">
        <v>0</v>
      </c>
      <c r="U96" s="66">
        <v>0</v>
      </c>
      <c r="V96" s="66">
        <v>0</v>
      </c>
      <c r="W96" s="66">
        <v>0</v>
      </c>
      <c r="X96" s="66">
        <v>0</v>
      </c>
      <c r="Y96" s="66">
        <v>0</v>
      </c>
      <c r="Z96" s="99">
        <v>0</v>
      </c>
      <c r="AA96" s="99">
        <v>0</v>
      </c>
      <c r="AB96" s="99">
        <v>0</v>
      </c>
      <c r="AC96" s="99">
        <v>0</v>
      </c>
      <c r="AD96" s="99">
        <v>0</v>
      </c>
      <c r="AE96" s="99">
        <v>0</v>
      </c>
      <c r="AF96" s="66">
        <v>0.21589718812717251</v>
      </c>
      <c r="AG96" s="99">
        <v>0</v>
      </c>
    </row>
    <row r="97" spans="1:33" x14ac:dyDescent="0.35">
      <c r="A97" s="127" t="s">
        <v>150</v>
      </c>
      <c r="B97" s="66">
        <v>0</v>
      </c>
      <c r="C97" s="66">
        <v>-9.210718195362233E-3</v>
      </c>
      <c r="D97" s="66">
        <v>-6.3933095728998524E-3</v>
      </c>
      <c r="E97" s="66">
        <v>-0.21249064242869051</v>
      </c>
      <c r="F97" s="66">
        <v>-0.31373329462641658</v>
      </c>
      <c r="G97" s="66">
        <v>-1.8082519049983151E-2</v>
      </c>
      <c r="H97" s="66">
        <v>0.29570034169171322</v>
      </c>
      <c r="I97" s="66">
        <v>0.27965947917289208</v>
      </c>
      <c r="J97" s="99">
        <v>0</v>
      </c>
      <c r="K97" s="66">
        <v>-9.2271234662149482E-2</v>
      </c>
      <c r="L97" s="66">
        <v>0.23671342038949211</v>
      </c>
      <c r="M97" s="66">
        <v>0</v>
      </c>
      <c r="N97" s="99">
        <v>0</v>
      </c>
      <c r="O97" s="66">
        <v>-4.2582178299994666E-3</v>
      </c>
      <c r="P97" s="66">
        <v>2.262469851132209E-3</v>
      </c>
      <c r="Q97" s="66">
        <v>0</v>
      </c>
      <c r="R97" s="66">
        <v>0.75744223697699908</v>
      </c>
      <c r="S97" s="66">
        <v>0</v>
      </c>
      <c r="T97" s="66">
        <v>0</v>
      </c>
      <c r="U97" s="66">
        <v>0</v>
      </c>
      <c r="V97" s="66">
        <v>0</v>
      </c>
      <c r="W97" s="66">
        <v>0</v>
      </c>
      <c r="X97" s="66">
        <v>0</v>
      </c>
      <c r="Y97" s="66">
        <v>0</v>
      </c>
      <c r="Z97" s="99">
        <v>0</v>
      </c>
      <c r="AA97" s="99">
        <v>0</v>
      </c>
      <c r="AB97" s="99">
        <v>0</v>
      </c>
      <c r="AC97" s="99">
        <v>0</v>
      </c>
      <c r="AD97" s="99">
        <v>0</v>
      </c>
      <c r="AE97" s="99">
        <v>0</v>
      </c>
      <c r="AF97" s="66">
        <v>0.2153054607838101</v>
      </c>
      <c r="AG97" s="99">
        <v>0</v>
      </c>
    </row>
    <row r="98" spans="1:33" x14ac:dyDescent="0.35">
      <c r="A98" s="127" t="s">
        <v>151</v>
      </c>
      <c r="B98" s="66">
        <v>0</v>
      </c>
      <c r="C98" s="66">
        <v>-3.1617845537425637E-2</v>
      </c>
      <c r="D98" s="66">
        <v>-6.2505989482701807E-3</v>
      </c>
      <c r="E98" s="66">
        <v>-0.25833417818745369</v>
      </c>
      <c r="F98" s="66">
        <v>-0.31168569936679091</v>
      </c>
      <c r="G98" s="66">
        <v>-1.998175149861936E-2</v>
      </c>
      <c r="H98" s="66">
        <v>0.28242560814913992</v>
      </c>
      <c r="I98" s="66">
        <v>0.27783583276050189</v>
      </c>
      <c r="J98" s="99">
        <v>0</v>
      </c>
      <c r="K98" s="66">
        <v>-8.5426520129601613E-2</v>
      </c>
      <c r="L98" s="66">
        <v>0.23515770439144029</v>
      </c>
      <c r="M98" s="66">
        <v>0</v>
      </c>
      <c r="N98" s="99">
        <v>0</v>
      </c>
      <c r="O98" s="66">
        <v>-1.209805022395471E-2</v>
      </c>
      <c r="P98" s="66">
        <v>4.671286961666965E-3</v>
      </c>
      <c r="Q98" s="66">
        <v>0</v>
      </c>
      <c r="R98" s="66">
        <v>0.96686246145202404</v>
      </c>
      <c r="S98" s="66">
        <v>0</v>
      </c>
      <c r="T98" s="66">
        <v>0</v>
      </c>
      <c r="U98" s="66">
        <v>0</v>
      </c>
      <c r="V98" s="66">
        <v>0</v>
      </c>
      <c r="W98" s="66">
        <v>0</v>
      </c>
      <c r="X98" s="66">
        <v>0</v>
      </c>
      <c r="Y98" s="66">
        <v>0</v>
      </c>
      <c r="Z98" s="99">
        <v>0</v>
      </c>
      <c r="AA98" s="99">
        <v>0</v>
      </c>
      <c r="AB98" s="99">
        <v>0</v>
      </c>
      <c r="AC98" s="99">
        <v>0</v>
      </c>
      <c r="AD98" s="99">
        <v>0</v>
      </c>
      <c r="AE98" s="99">
        <v>0</v>
      </c>
      <c r="AF98" s="66">
        <v>0.2138833040377506</v>
      </c>
      <c r="AG98" s="99">
        <v>0</v>
      </c>
    </row>
    <row r="99" spans="1:33" x14ac:dyDescent="0.35">
      <c r="A99" s="127" t="s">
        <v>152</v>
      </c>
      <c r="B99" s="66">
        <v>0</v>
      </c>
      <c r="C99" s="66">
        <v>-2.5271102177498509E-2</v>
      </c>
      <c r="D99" s="66">
        <v>-4.4305336915897442E-3</v>
      </c>
      <c r="E99" s="66">
        <v>-0.25268159958585562</v>
      </c>
      <c r="F99" s="66">
        <v>-0.31146047346703648</v>
      </c>
      <c r="G99" s="66">
        <v>-2.5014071601333399E-2</v>
      </c>
      <c r="H99" s="66">
        <v>0.27794681646466302</v>
      </c>
      <c r="I99" s="66">
        <v>0.28232246378976811</v>
      </c>
      <c r="J99" s="99">
        <v>0</v>
      </c>
      <c r="K99" s="66">
        <v>-8.7285028631470141E-2</v>
      </c>
      <c r="L99" s="66">
        <v>0.23894486646210569</v>
      </c>
      <c r="M99" s="66">
        <v>0</v>
      </c>
      <c r="N99" s="99">
        <v>0</v>
      </c>
      <c r="O99" s="66">
        <v>-6.6110284055582724E-3</v>
      </c>
      <c r="P99" s="66">
        <v>6.4212980682896159E-3</v>
      </c>
      <c r="Q99" s="66">
        <v>0</v>
      </c>
      <c r="R99" s="66">
        <v>0.59104509760427959</v>
      </c>
      <c r="S99" s="66">
        <v>0</v>
      </c>
      <c r="T99" s="66">
        <v>0</v>
      </c>
      <c r="U99" s="66">
        <v>0</v>
      </c>
      <c r="V99" s="66">
        <v>0</v>
      </c>
      <c r="W99" s="66">
        <v>0</v>
      </c>
      <c r="X99" s="66">
        <v>0</v>
      </c>
      <c r="Y99" s="66">
        <v>0</v>
      </c>
      <c r="Z99" s="99">
        <v>0</v>
      </c>
      <c r="AA99" s="99">
        <v>0</v>
      </c>
      <c r="AB99" s="99">
        <v>0</v>
      </c>
      <c r="AC99" s="99">
        <v>0</v>
      </c>
      <c r="AD99" s="99">
        <v>0</v>
      </c>
      <c r="AE99" s="99">
        <v>0</v>
      </c>
      <c r="AF99" s="66">
        <v>0.21732179143057809</v>
      </c>
      <c r="AG99" s="99">
        <v>0</v>
      </c>
    </row>
    <row r="100" spans="1:33" x14ac:dyDescent="0.35">
      <c r="A100" s="127" t="s">
        <v>153</v>
      </c>
      <c r="B100" s="66">
        <v>0</v>
      </c>
      <c r="C100" s="66">
        <v>-1.8256227999529528E-2</v>
      </c>
      <c r="D100" s="66">
        <v>-8.1043167602672384E-3</v>
      </c>
      <c r="E100" s="66">
        <v>-0.18010386624266059</v>
      </c>
      <c r="F100" s="66">
        <v>-0.34296108416373272</v>
      </c>
      <c r="G100" s="66">
        <v>-9.0977418610691529E-3</v>
      </c>
      <c r="H100" s="66">
        <v>0.29396258495862071</v>
      </c>
      <c r="I100" s="66">
        <v>0.27909063377728671</v>
      </c>
      <c r="J100" s="99">
        <v>0</v>
      </c>
      <c r="K100" s="66">
        <v>-5.4247491894898303E-2</v>
      </c>
      <c r="L100" s="66">
        <v>0.23614784309995679</v>
      </c>
      <c r="M100" s="66">
        <v>0</v>
      </c>
      <c r="N100" s="99">
        <v>0</v>
      </c>
      <c r="O100" s="66">
        <v>-1.2780934488461069E-2</v>
      </c>
      <c r="P100" s="66">
        <v>3.0365108609657909E-3</v>
      </c>
      <c r="Q100" s="66">
        <v>0</v>
      </c>
      <c r="R100" s="66">
        <v>0.82097908573376799</v>
      </c>
      <c r="S100" s="66">
        <v>0</v>
      </c>
      <c r="T100" s="66">
        <v>0</v>
      </c>
      <c r="U100" s="66">
        <v>0</v>
      </c>
      <c r="V100" s="66">
        <v>0</v>
      </c>
      <c r="W100" s="66">
        <v>0</v>
      </c>
      <c r="X100" s="66">
        <v>0</v>
      </c>
      <c r="Y100" s="66">
        <v>0</v>
      </c>
      <c r="Z100" s="99">
        <v>0</v>
      </c>
      <c r="AA100" s="99">
        <v>0</v>
      </c>
      <c r="AB100" s="99">
        <v>0</v>
      </c>
      <c r="AC100" s="99">
        <v>0</v>
      </c>
      <c r="AD100" s="99">
        <v>0</v>
      </c>
      <c r="AE100" s="99">
        <v>0</v>
      </c>
      <c r="AF100" s="66">
        <v>0.2147415125956513</v>
      </c>
      <c r="AG100" s="99">
        <v>0</v>
      </c>
    </row>
    <row r="101" spans="1:33" x14ac:dyDescent="0.35">
      <c r="A101" s="127" t="s">
        <v>154</v>
      </c>
      <c r="B101" s="66">
        <v>0</v>
      </c>
      <c r="C101" s="66">
        <v>-1.262214648258464E-2</v>
      </c>
      <c r="D101" s="66">
        <v>-7.5697092293296464E-3</v>
      </c>
      <c r="E101" s="66">
        <v>-0.20479021918157511</v>
      </c>
      <c r="F101" s="66">
        <v>-0.33138476243632908</v>
      </c>
      <c r="G101" s="66">
        <v>-1.1743597506665541E-2</v>
      </c>
      <c r="H101" s="66">
        <v>0.32203238020753128</v>
      </c>
      <c r="I101" s="66">
        <v>0.27894565918720099</v>
      </c>
      <c r="J101" s="99">
        <v>0</v>
      </c>
      <c r="K101" s="66">
        <v>-7.4380554559155598E-2</v>
      </c>
      <c r="L101" s="66">
        <v>0.23598595321740851</v>
      </c>
      <c r="M101" s="66">
        <v>0</v>
      </c>
      <c r="N101" s="99">
        <v>0</v>
      </c>
      <c r="O101" s="66">
        <v>-1.8265333592523799E-2</v>
      </c>
      <c r="P101" s="66">
        <v>2.859742997316062E-3</v>
      </c>
      <c r="Q101" s="66">
        <v>0</v>
      </c>
      <c r="R101" s="66">
        <v>0.85239484694531598</v>
      </c>
      <c r="S101" s="66">
        <v>0</v>
      </c>
      <c r="T101" s="66">
        <v>0</v>
      </c>
      <c r="U101" s="66">
        <v>0</v>
      </c>
      <c r="V101" s="66">
        <v>0</v>
      </c>
      <c r="W101" s="66">
        <v>0</v>
      </c>
      <c r="X101" s="66">
        <v>0</v>
      </c>
      <c r="Y101" s="66">
        <v>0</v>
      </c>
      <c r="Z101" s="99">
        <v>0</v>
      </c>
      <c r="AA101" s="99">
        <v>0</v>
      </c>
      <c r="AB101" s="99">
        <v>0</v>
      </c>
      <c r="AC101" s="99">
        <v>0</v>
      </c>
      <c r="AD101" s="99">
        <v>0</v>
      </c>
      <c r="AE101" s="99">
        <v>0</v>
      </c>
      <c r="AF101" s="66">
        <v>0.2145711906961196</v>
      </c>
      <c r="AG101" s="99">
        <v>0</v>
      </c>
    </row>
    <row r="102" spans="1:33" x14ac:dyDescent="0.35">
      <c r="A102" s="127" t="s">
        <v>155</v>
      </c>
      <c r="B102" s="66">
        <v>0</v>
      </c>
      <c r="C102" s="66">
        <v>-1.871266920147718E-2</v>
      </c>
      <c r="D102" s="66">
        <v>-7.7433179150148126E-3</v>
      </c>
      <c r="E102" s="66">
        <v>-0.28420244096690789</v>
      </c>
      <c r="F102" s="66">
        <v>-0.37867360811483758</v>
      </c>
      <c r="G102" s="66">
        <v>-1.123311673910621E-2</v>
      </c>
      <c r="H102" s="66">
        <v>0.28516719096268162</v>
      </c>
      <c r="I102" s="66">
        <v>0.28157634012188743</v>
      </c>
      <c r="J102" s="99">
        <v>0</v>
      </c>
      <c r="K102" s="66">
        <v>-6.2912848953857292E-2</v>
      </c>
      <c r="L102" s="66">
        <v>0.23845840988622061</v>
      </c>
      <c r="M102" s="66">
        <v>0</v>
      </c>
      <c r="N102" s="99">
        <v>0</v>
      </c>
      <c r="O102" s="66">
        <v>-2.343805947600686E-2</v>
      </c>
      <c r="P102" s="66">
        <v>4.6993694634807071E-3</v>
      </c>
      <c r="Q102" s="66">
        <v>0</v>
      </c>
      <c r="R102" s="66">
        <v>0.65274229386278648</v>
      </c>
      <c r="S102" s="66">
        <v>0</v>
      </c>
      <c r="T102" s="66">
        <v>0</v>
      </c>
      <c r="U102" s="66">
        <v>0</v>
      </c>
      <c r="V102" s="66">
        <v>0</v>
      </c>
      <c r="W102" s="66">
        <v>0</v>
      </c>
      <c r="X102" s="66">
        <v>0</v>
      </c>
      <c r="Y102" s="66">
        <v>0</v>
      </c>
      <c r="Z102" s="99">
        <v>0</v>
      </c>
      <c r="AA102" s="99">
        <v>0</v>
      </c>
      <c r="AB102" s="99">
        <v>0</v>
      </c>
      <c r="AC102" s="99">
        <v>0</v>
      </c>
      <c r="AD102" s="99">
        <v>0</v>
      </c>
      <c r="AE102" s="99">
        <v>0</v>
      </c>
      <c r="AF102" s="66">
        <v>0.2169647749657031</v>
      </c>
      <c r="AG102" s="99">
        <v>0</v>
      </c>
    </row>
    <row r="103" spans="1:33" x14ac:dyDescent="0.35">
      <c r="A103" s="127" t="s">
        <v>156</v>
      </c>
      <c r="B103" s="66">
        <v>0</v>
      </c>
      <c r="C103" s="66">
        <v>-1.8445758966606721E-2</v>
      </c>
      <c r="D103" s="66">
        <v>-7.837080093423765E-3</v>
      </c>
      <c r="E103" s="66">
        <v>-0.25650565925516838</v>
      </c>
      <c r="F103" s="66">
        <v>-0.41531570871381968</v>
      </c>
      <c r="G103" s="66">
        <v>-2.4647265545155509E-2</v>
      </c>
      <c r="H103" s="66">
        <v>0.27128520963461261</v>
      </c>
      <c r="I103" s="66">
        <v>0.28249965683744449</v>
      </c>
      <c r="J103" s="99">
        <v>0</v>
      </c>
      <c r="K103" s="66">
        <v>-6.4023770693211191E-2</v>
      </c>
      <c r="L103" s="66">
        <v>0.2392465987200012</v>
      </c>
      <c r="M103" s="66">
        <v>0</v>
      </c>
      <c r="N103" s="99">
        <v>0</v>
      </c>
      <c r="O103" s="66">
        <v>-1.1256653067164279E-2</v>
      </c>
      <c r="P103" s="66">
        <v>9.4368678598470979E-3</v>
      </c>
      <c r="Q103" s="66">
        <v>0</v>
      </c>
      <c r="R103" s="66">
        <v>0.56745838870492094</v>
      </c>
      <c r="S103" s="66">
        <v>0</v>
      </c>
      <c r="T103" s="66">
        <v>0</v>
      </c>
      <c r="U103" s="66">
        <v>0</v>
      </c>
      <c r="V103" s="66">
        <v>0</v>
      </c>
      <c r="W103" s="66">
        <v>0</v>
      </c>
      <c r="X103" s="66">
        <v>0</v>
      </c>
      <c r="Y103" s="66">
        <v>0</v>
      </c>
      <c r="Z103" s="99">
        <v>0</v>
      </c>
      <c r="AA103" s="99">
        <v>0</v>
      </c>
      <c r="AB103" s="99">
        <v>0</v>
      </c>
      <c r="AC103" s="99">
        <v>0</v>
      </c>
      <c r="AD103" s="99">
        <v>0</v>
      </c>
      <c r="AE103" s="99">
        <v>0</v>
      </c>
      <c r="AF103" s="66">
        <v>0.21768560459781841</v>
      </c>
      <c r="AG103" s="99">
        <v>0</v>
      </c>
    </row>
    <row r="104" spans="1:33" x14ac:dyDescent="0.35">
      <c r="A104" s="127" t="s">
        <v>157</v>
      </c>
      <c r="B104" s="66">
        <v>0</v>
      </c>
      <c r="C104" s="66">
        <v>-1.4900002015707511E-2</v>
      </c>
      <c r="D104" s="66">
        <v>-7.5891168902444406E-3</v>
      </c>
      <c r="E104" s="66">
        <v>-0.2093291634504055</v>
      </c>
      <c r="F104" s="66">
        <v>-0.39784524291741258</v>
      </c>
      <c r="G104" s="66">
        <v>-1.527478615773248E-2</v>
      </c>
      <c r="H104" s="66">
        <v>0.279346454236304</v>
      </c>
      <c r="I104" s="66">
        <v>0.28255985433719388</v>
      </c>
      <c r="J104" s="99">
        <v>0</v>
      </c>
      <c r="K104" s="66">
        <v>-5.7942678326554642E-2</v>
      </c>
      <c r="L104" s="66">
        <v>0.23918625534389551</v>
      </c>
      <c r="M104" s="66">
        <v>0</v>
      </c>
      <c r="N104" s="99">
        <v>0</v>
      </c>
      <c r="O104" s="66">
        <v>-1.68344956094586E-2</v>
      </c>
      <c r="P104" s="66">
        <v>5.604905330613974E-3</v>
      </c>
      <c r="Q104" s="66">
        <v>0</v>
      </c>
      <c r="R104" s="66">
        <v>0.56594357943379237</v>
      </c>
      <c r="S104" s="66">
        <v>0</v>
      </c>
      <c r="T104" s="66">
        <v>0</v>
      </c>
      <c r="U104" s="66">
        <v>0</v>
      </c>
      <c r="V104" s="66">
        <v>0</v>
      </c>
      <c r="W104" s="66">
        <v>0</v>
      </c>
      <c r="X104" s="66">
        <v>0</v>
      </c>
      <c r="Y104" s="66">
        <v>0</v>
      </c>
      <c r="Z104" s="99">
        <v>0</v>
      </c>
      <c r="AA104" s="99">
        <v>0</v>
      </c>
      <c r="AB104" s="99">
        <v>0</v>
      </c>
      <c r="AC104" s="99">
        <v>0</v>
      </c>
      <c r="AD104" s="99">
        <v>0</v>
      </c>
      <c r="AE104" s="99">
        <v>0</v>
      </c>
      <c r="AF104" s="66">
        <v>0.2175651734214625</v>
      </c>
      <c r="AG104" s="99">
        <v>0</v>
      </c>
    </row>
    <row r="105" spans="1:33" x14ac:dyDescent="0.35">
      <c r="A105" s="127" t="s">
        <v>158</v>
      </c>
      <c r="B105" s="66">
        <v>0</v>
      </c>
      <c r="C105" s="66">
        <v>-3.9455825678942347E-3</v>
      </c>
      <c r="D105" s="66">
        <v>-7.7136076269255227E-3</v>
      </c>
      <c r="E105" s="66">
        <v>-0.23425673662444521</v>
      </c>
      <c r="F105" s="66">
        <v>-0.40688943466068389</v>
      </c>
      <c r="G105" s="66">
        <v>-1.665206083762882E-2</v>
      </c>
      <c r="H105" s="66">
        <v>0.26905785635824492</v>
      </c>
      <c r="I105" s="66">
        <v>0.28494836612554758</v>
      </c>
      <c r="J105" s="99">
        <v>0</v>
      </c>
      <c r="K105" s="66">
        <v>-6.5151536286720102E-2</v>
      </c>
      <c r="L105" s="66">
        <v>0.24125245741760179</v>
      </c>
      <c r="M105" s="66">
        <v>0</v>
      </c>
      <c r="N105" s="99">
        <v>0</v>
      </c>
      <c r="O105" s="66">
        <v>-1.238487431891144E-2</v>
      </c>
      <c r="P105" s="66">
        <v>5.8593116177405591E-3</v>
      </c>
      <c r="Q105" s="66">
        <v>0</v>
      </c>
      <c r="R105" s="66">
        <v>0.39614161400666598</v>
      </c>
      <c r="S105" s="66">
        <v>0</v>
      </c>
      <c r="T105" s="66">
        <v>0</v>
      </c>
      <c r="U105" s="66">
        <v>0</v>
      </c>
      <c r="V105" s="66">
        <v>0</v>
      </c>
      <c r="W105" s="66">
        <v>0</v>
      </c>
      <c r="X105" s="66">
        <v>0</v>
      </c>
      <c r="Y105" s="66">
        <v>0</v>
      </c>
      <c r="Z105" s="99">
        <v>0</v>
      </c>
      <c r="AA105" s="99">
        <v>0</v>
      </c>
      <c r="AB105" s="99">
        <v>0</v>
      </c>
      <c r="AC105" s="99">
        <v>0</v>
      </c>
      <c r="AD105" s="99">
        <v>0</v>
      </c>
      <c r="AE105" s="99">
        <v>0</v>
      </c>
      <c r="AF105" s="66">
        <v>0.2194707089859094</v>
      </c>
      <c r="AG105" s="99">
        <v>0</v>
      </c>
    </row>
    <row r="106" spans="1:33" x14ac:dyDescent="0.35">
      <c r="A106" s="127" t="s">
        <v>159</v>
      </c>
      <c r="B106" s="66">
        <v>0</v>
      </c>
      <c r="C106" s="66">
        <v>-7.9063542420669819E-3</v>
      </c>
      <c r="D106" s="66">
        <v>-6.1352871652218246E-3</v>
      </c>
      <c r="E106" s="66">
        <v>-0.29873155262333739</v>
      </c>
      <c r="F106" s="66">
        <v>-0.42079114105052889</v>
      </c>
      <c r="G106" s="66">
        <v>-1.1386322691947731E-2</v>
      </c>
      <c r="H106" s="66">
        <v>0.27316494839328698</v>
      </c>
      <c r="I106" s="66">
        <v>0.27998207069194342</v>
      </c>
      <c r="J106" s="99">
        <v>0</v>
      </c>
      <c r="K106" s="66">
        <v>-5.6311731386841757E-2</v>
      </c>
      <c r="L106" s="66">
        <v>0.2371320977957225</v>
      </c>
      <c r="M106" s="66">
        <v>0</v>
      </c>
      <c r="N106" s="99">
        <v>0</v>
      </c>
      <c r="O106" s="66">
        <v>-1.6285583862782001E-2</v>
      </c>
      <c r="P106" s="66">
        <v>4.0810349099729137E-3</v>
      </c>
      <c r="Q106" s="66">
        <v>0</v>
      </c>
      <c r="R106" s="66">
        <v>0.82642386138192592</v>
      </c>
      <c r="S106" s="66">
        <v>0</v>
      </c>
      <c r="T106" s="66">
        <v>0</v>
      </c>
      <c r="U106" s="66">
        <v>0</v>
      </c>
      <c r="V106" s="66">
        <v>0</v>
      </c>
      <c r="W106" s="66">
        <v>0</v>
      </c>
      <c r="X106" s="66">
        <v>0</v>
      </c>
      <c r="Y106" s="66">
        <v>0</v>
      </c>
      <c r="Z106" s="99">
        <v>0</v>
      </c>
      <c r="AA106" s="99">
        <v>0</v>
      </c>
      <c r="AB106" s="99">
        <v>0</v>
      </c>
      <c r="AC106" s="99">
        <v>0</v>
      </c>
      <c r="AD106" s="99">
        <v>0</v>
      </c>
      <c r="AE106" s="99">
        <v>0</v>
      </c>
      <c r="AF106" s="66">
        <v>0.21577203554898011</v>
      </c>
      <c r="AG106" s="99">
        <v>0</v>
      </c>
    </row>
    <row r="107" spans="1:33" x14ac:dyDescent="0.35">
      <c r="A107" s="127" t="s">
        <v>160</v>
      </c>
      <c r="B107" s="66">
        <v>0</v>
      </c>
      <c r="C107" s="66">
        <v>-6.1253949126296448E-3</v>
      </c>
      <c r="D107" s="66">
        <v>-7.3347080927135266E-3</v>
      </c>
      <c r="E107" s="66">
        <v>-0.27549804523701482</v>
      </c>
      <c r="F107" s="66">
        <v>-0.42866026684174591</v>
      </c>
      <c r="G107" s="66">
        <v>-1.9189354387094681E-2</v>
      </c>
      <c r="H107" s="66">
        <v>0.25352470456101628</v>
      </c>
      <c r="I107" s="66">
        <v>0.27858808312029743</v>
      </c>
      <c r="J107" s="99">
        <v>0</v>
      </c>
      <c r="K107" s="66">
        <v>-3.7074871743982378E-2</v>
      </c>
      <c r="L107" s="66">
        <v>0.23596990103388291</v>
      </c>
      <c r="M107" s="66">
        <v>0</v>
      </c>
      <c r="N107" s="99">
        <v>0</v>
      </c>
      <c r="O107" s="66">
        <v>-1.131683017180762E-2</v>
      </c>
      <c r="P107" s="66">
        <v>6.7464173093298996E-3</v>
      </c>
      <c r="Q107" s="66">
        <v>0</v>
      </c>
      <c r="R107" s="66">
        <v>0.89792601025550312</v>
      </c>
      <c r="S107" s="66">
        <v>0</v>
      </c>
      <c r="T107" s="66">
        <v>0</v>
      </c>
      <c r="U107" s="66">
        <v>0</v>
      </c>
      <c r="V107" s="66">
        <v>0</v>
      </c>
      <c r="W107" s="66">
        <v>0</v>
      </c>
      <c r="X107" s="66">
        <v>0</v>
      </c>
      <c r="Y107" s="66">
        <v>0</v>
      </c>
      <c r="Z107" s="99">
        <v>0</v>
      </c>
      <c r="AA107" s="99">
        <v>0</v>
      </c>
      <c r="AB107" s="99">
        <v>0</v>
      </c>
      <c r="AC107" s="99">
        <v>0</v>
      </c>
      <c r="AD107" s="99">
        <v>0</v>
      </c>
      <c r="AE107" s="99">
        <v>0</v>
      </c>
      <c r="AF107" s="66">
        <v>0.21472538299386201</v>
      </c>
      <c r="AG107" s="99">
        <v>0</v>
      </c>
    </row>
    <row r="108" spans="1:33" x14ac:dyDescent="0.35">
      <c r="A108" s="127" t="s">
        <v>1</v>
      </c>
      <c r="B108" s="66">
        <v>0</v>
      </c>
      <c r="C108" s="66">
        <v>-6.0253386001818399E-3</v>
      </c>
      <c r="D108" s="66">
        <v>-7.414572849910428E-3</v>
      </c>
      <c r="E108" s="66">
        <v>-0.1988975511081037</v>
      </c>
      <c r="F108" s="66">
        <v>-0.37007110005546912</v>
      </c>
      <c r="G108" s="66">
        <v>-1.7892960616762821E-2</v>
      </c>
      <c r="H108" s="66">
        <v>0.257240545312726</v>
      </c>
      <c r="I108" s="66">
        <v>0.28150137844187378</v>
      </c>
      <c r="J108" s="99">
        <v>0</v>
      </c>
      <c r="K108" s="66">
        <v>-4.0515957174164903E-2</v>
      </c>
      <c r="L108" s="66">
        <v>0.2382100988244247</v>
      </c>
      <c r="M108" s="66">
        <v>0</v>
      </c>
      <c r="N108" s="99">
        <v>0</v>
      </c>
      <c r="O108" s="66">
        <v>-1.3976720022952799E-2</v>
      </c>
      <c r="P108" s="66">
        <v>4.5821424146481604E-3</v>
      </c>
      <c r="Q108" s="66">
        <v>0</v>
      </c>
      <c r="R108" s="66">
        <v>0.66742589474480951</v>
      </c>
      <c r="S108" s="66">
        <v>0</v>
      </c>
      <c r="T108" s="66">
        <v>0</v>
      </c>
      <c r="U108" s="66">
        <v>0</v>
      </c>
      <c r="V108" s="66">
        <v>0</v>
      </c>
      <c r="W108" s="66">
        <v>0</v>
      </c>
      <c r="X108" s="66">
        <v>0</v>
      </c>
      <c r="Y108" s="66">
        <v>0</v>
      </c>
      <c r="Z108" s="99">
        <v>0</v>
      </c>
      <c r="AA108" s="99">
        <v>0</v>
      </c>
      <c r="AB108" s="99">
        <v>0</v>
      </c>
      <c r="AC108" s="99">
        <v>0</v>
      </c>
      <c r="AD108" s="99">
        <v>0</v>
      </c>
      <c r="AE108" s="99">
        <v>0</v>
      </c>
      <c r="AF108" s="66">
        <v>0.21663005186363191</v>
      </c>
      <c r="AG108" s="99">
        <v>0</v>
      </c>
    </row>
    <row r="109" spans="1:33" x14ac:dyDescent="0.35">
      <c r="A109" s="127" t="s">
        <v>2</v>
      </c>
      <c r="B109" s="66">
        <v>0</v>
      </c>
      <c r="C109" s="66">
        <v>-9.0612655481834281E-3</v>
      </c>
      <c r="D109" s="66">
        <v>-7.7515865161217326E-3</v>
      </c>
      <c r="E109" s="66">
        <v>-7.9206966884726171E-2</v>
      </c>
      <c r="F109" s="66">
        <v>-0.30964542511847531</v>
      </c>
      <c r="G109" s="66">
        <v>-3.7462845362028929E-2</v>
      </c>
      <c r="H109" s="66">
        <v>0.29063738514722098</v>
      </c>
      <c r="I109" s="66">
        <v>0.28187081000177733</v>
      </c>
      <c r="J109" s="99">
        <v>0</v>
      </c>
      <c r="K109" s="66">
        <v>-7.2639223872613456E-2</v>
      </c>
      <c r="L109" s="66">
        <v>0.23837371246779071</v>
      </c>
      <c r="M109" s="66">
        <v>0</v>
      </c>
      <c r="N109" s="99">
        <v>0</v>
      </c>
      <c r="O109" s="66">
        <v>-1.136193614405556E-2</v>
      </c>
      <c r="P109" s="66">
        <v>2.5677984932599429E-3</v>
      </c>
      <c r="Q109" s="66">
        <v>0</v>
      </c>
      <c r="R109" s="66">
        <v>0.58130563862522422</v>
      </c>
      <c r="S109" s="66">
        <v>0</v>
      </c>
      <c r="T109" s="66">
        <v>0</v>
      </c>
      <c r="U109" s="66">
        <v>0</v>
      </c>
      <c r="V109" s="66">
        <v>0</v>
      </c>
      <c r="W109" s="66">
        <v>0</v>
      </c>
      <c r="X109" s="66">
        <v>0</v>
      </c>
      <c r="Y109" s="66">
        <v>0</v>
      </c>
      <c r="Z109" s="99">
        <v>0</v>
      </c>
      <c r="AA109" s="99">
        <v>0</v>
      </c>
      <c r="AB109" s="99">
        <v>0</v>
      </c>
      <c r="AC109" s="99">
        <v>0</v>
      </c>
      <c r="AD109" s="99">
        <v>0</v>
      </c>
      <c r="AE109" s="99">
        <v>0</v>
      </c>
      <c r="AF109" s="66">
        <v>0.2166910683940273</v>
      </c>
      <c r="AG109" s="99">
        <v>0</v>
      </c>
    </row>
    <row r="110" spans="1:33" x14ac:dyDescent="0.35">
      <c r="A110" s="127" t="s">
        <v>3</v>
      </c>
      <c r="B110" s="66">
        <v>0</v>
      </c>
      <c r="C110" s="66">
        <v>-1.343525464088202E-2</v>
      </c>
      <c r="D110" s="66">
        <v>-6.9861386161846886E-3</v>
      </c>
      <c r="E110" s="66">
        <v>-9.0746241036328001E-2</v>
      </c>
      <c r="F110" s="66">
        <v>-0.22084589113003969</v>
      </c>
      <c r="G110" s="66">
        <v>-2.37175795379585E-2</v>
      </c>
      <c r="H110" s="66">
        <v>0.25174413613953561</v>
      </c>
      <c r="I110" s="66">
        <v>0.28151022338931853</v>
      </c>
      <c r="J110" s="99">
        <v>0</v>
      </c>
      <c r="K110" s="66">
        <v>-6.7977387646152465E-2</v>
      </c>
      <c r="L110" s="66">
        <v>0.23798593585709679</v>
      </c>
      <c r="M110" s="66">
        <v>0</v>
      </c>
      <c r="N110" s="99">
        <v>0</v>
      </c>
      <c r="O110" s="66">
        <v>-2.3340317379847871E-2</v>
      </c>
      <c r="P110" s="66">
        <v>5.3196301803382084E-4</v>
      </c>
      <c r="Q110" s="66">
        <v>0</v>
      </c>
      <c r="R110" s="66">
        <v>0.63027964648722445</v>
      </c>
      <c r="S110" s="66">
        <v>0</v>
      </c>
      <c r="T110" s="66">
        <v>0</v>
      </c>
      <c r="U110" s="66">
        <v>0</v>
      </c>
      <c r="V110" s="66">
        <v>0</v>
      </c>
      <c r="W110" s="66">
        <v>0</v>
      </c>
      <c r="X110" s="66">
        <v>0</v>
      </c>
      <c r="Y110" s="66">
        <v>0</v>
      </c>
      <c r="Z110" s="99">
        <v>0</v>
      </c>
      <c r="AA110" s="99">
        <v>0</v>
      </c>
      <c r="AB110" s="99">
        <v>0</v>
      </c>
      <c r="AC110" s="99">
        <v>0</v>
      </c>
      <c r="AD110" s="99">
        <v>0</v>
      </c>
      <c r="AE110" s="99">
        <v>0</v>
      </c>
      <c r="AF110" s="66">
        <v>0.2162897379811852</v>
      </c>
      <c r="AG110" s="99">
        <v>0</v>
      </c>
    </row>
    <row r="111" spans="1:33" x14ac:dyDescent="0.35">
      <c r="A111" s="127" t="s">
        <v>4</v>
      </c>
      <c r="B111" s="66">
        <v>0</v>
      </c>
      <c r="C111" s="66">
        <v>-1.577644424025948E-2</v>
      </c>
      <c r="D111" s="66">
        <v>-4.5858726393248617E-3</v>
      </c>
      <c r="E111" s="66">
        <v>-0.1274194295489792</v>
      </c>
      <c r="F111" s="66">
        <v>-0.22961556268430169</v>
      </c>
      <c r="G111" s="66">
        <v>-1.202919320394358E-2</v>
      </c>
      <c r="H111" s="66">
        <v>0.26527665669235029</v>
      </c>
      <c r="I111" s="66">
        <v>0.27848206516574692</v>
      </c>
      <c r="J111" s="99">
        <v>0</v>
      </c>
      <c r="K111" s="66">
        <v>-3.7916644933858379E-2</v>
      </c>
      <c r="L111" s="66">
        <v>0.2355290860297998</v>
      </c>
      <c r="M111" s="66">
        <v>0</v>
      </c>
      <c r="N111" s="99">
        <v>0</v>
      </c>
      <c r="O111" s="66">
        <v>-1.653731365271938E-2</v>
      </c>
      <c r="P111" s="66">
        <v>6.7714484464431735E-4</v>
      </c>
      <c r="Q111" s="66">
        <v>0</v>
      </c>
      <c r="R111" s="66">
        <v>0.78482719119594435</v>
      </c>
      <c r="S111" s="66">
        <v>0</v>
      </c>
      <c r="T111" s="66">
        <v>0</v>
      </c>
      <c r="U111" s="66">
        <v>0</v>
      </c>
      <c r="V111" s="66">
        <v>0</v>
      </c>
      <c r="W111" s="66">
        <v>0</v>
      </c>
      <c r="X111" s="66">
        <v>0</v>
      </c>
      <c r="Y111" s="66">
        <v>0</v>
      </c>
      <c r="Z111" s="99">
        <v>0</v>
      </c>
      <c r="AA111" s="99">
        <v>0</v>
      </c>
      <c r="AB111" s="99">
        <v>0</v>
      </c>
      <c r="AC111" s="99">
        <v>0</v>
      </c>
      <c r="AD111" s="99">
        <v>0</v>
      </c>
      <c r="AE111" s="99">
        <v>0</v>
      </c>
      <c r="AF111" s="66">
        <v>0.21411767673325241</v>
      </c>
      <c r="AG111" s="99">
        <v>0</v>
      </c>
    </row>
    <row r="112" spans="1:33" x14ac:dyDescent="0.35">
      <c r="A112" s="127" t="s">
        <v>5</v>
      </c>
      <c r="B112" s="66">
        <v>0</v>
      </c>
      <c r="C112" s="66">
        <v>-9.0811452192554043E-3</v>
      </c>
      <c r="D112" s="66">
        <v>-7.436171046350637E-3</v>
      </c>
      <c r="E112" s="66">
        <v>-7.6981908713037228E-2</v>
      </c>
      <c r="F112" s="66">
        <v>-0.18640345884927001</v>
      </c>
      <c r="G112" s="66">
        <v>-9.6910810851795759E-3</v>
      </c>
      <c r="H112" s="66">
        <v>0.2659016730091821</v>
      </c>
      <c r="I112" s="66">
        <v>0.27955465676899388</v>
      </c>
      <c r="J112" s="99">
        <v>0</v>
      </c>
      <c r="K112" s="66">
        <v>-5.0686196490772772E-2</v>
      </c>
      <c r="L112" s="66">
        <v>0.23621966480476431</v>
      </c>
      <c r="M112" s="66">
        <v>0</v>
      </c>
      <c r="N112" s="99">
        <v>0</v>
      </c>
      <c r="O112" s="66">
        <v>-1.878729742858809E-2</v>
      </c>
      <c r="P112" s="66">
        <v>9.5329097075591562E-4</v>
      </c>
      <c r="Q112" s="66">
        <v>0</v>
      </c>
      <c r="R112" s="66">
        <v>0.73214252149315939</v>
      </c>
      <c r="S112" s="66">
        <v>0</v>
      </c>
      <c r="T112" s="66">
        <v>0</v>
      </c>
      <c r="U112" s="66">
        <v>0</v>
      </c>
      <c r="V112" s="66">
        <v>0</v>
      </c>
      <c r="W112" s="66">
        <v>0</v>
      </c>
      <c r="X112" s="66">
        <v>0</v>
      </c>
      <c r="Y112" s="66">
        <v>0</v>
      </c>
      <c r="Z112" s="99">
        <v>0</v>
      </c>
      <c r="AA112" s="99">
        <v>0</v>
      </c>
      <c r="AB112" s="99">
        <v>0</v>
      </c>
      <c r="AC112" s="99">
        <v>0</v>
      </c>
      <c r="AD112" s="99">
        <v>0</v>
      </c>
      <c r="AE112" s="99">
        <v>0</v>
      </c>
      <c r="AF112" s="66">
        <v>0.21461782790137821</v>
      </c>
      <c r="AG112" s="99">
        <v>0</v>
      </c>
    </row>
    <row r="113" spans="1:33" x14ac:dyDescent="0.35">
      <c r="A113" s="127" t="s">
        <v>6</v>
      </c>
      <c r="B113" s="66">
        <v>0</v>
      </c>
      <c r="C113" s="66">
        <v>-1.1825690666597669E-2</v>
      </c>
      <c r="D113" s="66">
        <v>-6.7317831325510724E-3</v>
      </c>
      <c r="E113" s="66">
        <v>-6.1130112709889772E-2</v>
      </c>
      <c r="F113" s="66">
        <v>-0.18527664836031479</v>
      </c>
      <c r="G113" s="66">
        <v>-2.171753162386381E-2</v>
      </c>
      <c r="H113" s="66">
        <v>0.27351801747744281</v>
      </c>
      <c r="I113" s="66">
        <v>0.28038717573673472</v>
      </c>
      <c r="J113" s="99">
        <v>0</v>
      </c>
      <c r="K113" s="66">
        <v>-8.2005401460520488E-2</v>
      </c>
      <c r="L113" s="66">
        <v>0.2369677371700902</v>
      </c>
      <c r="M113" s="66">
        <v>0</v>
      </c>
      <c r="N113" s="99">
        <v>0</v>
      </c>
      <c r="O113" s="66">
        <v>-2.1345798507240939E-2</v>
      </c>
      <c r="P113" s="66">
        <v>5.4421729836917621E-4</v>
      </c>
      <c r="Q113" s="66">
        <v>0</v>
      </c>
      <c r="R113" s="66">
        <v>0.66500506127178483</v>
      </c>
      <c r="S113" s="66">
        <v>0</v>
      </c>
      <c r="T113" s="66">
        <v>0</v>
      </c>
      <c r="U113" s="66">
        <v>0</v>
      </c>
      <c r="V113" s="66">
        <v>0</v>
      </c>
      <c r="W113" s="66">
        <v>0</v>
      </c>
      <c r="X113" s="66">
        <v>0</v>
      </c>
      <c r="Y113" s="66">
        <v>0</v>
      </c>
      <c r="Z113" s="99">
        <v>0</v>
      </c>
      <c r="AA113" s="99">
        <v>0</v>
      </c>
      <c r="AB113" s="99">
        <v>0</v>
      </c>
      <c r="AC113" s="99">
        <v>0</v>
      </c>
      <c r="AD113" s="99">
        <v>0</v>
      </c>
      <c r="AE113" s="99">
        <v>0</v>
      </c>
      <c r="AF113" s="66">
        <v>0.21532380491490241</v>
      </c>
      <c r="AG113" s="99">
        <v>0</v>
      </c>
    </row>
    <row r="114" spans="1:33" x14ac:dyDescent="0.35">
      <c r="A114" s="127" t="s">
        <v>7</v>
      </c>
      <c r="B114" s="66">
        <v>0</v>
      </c>
      <c r="C114" s="66">
        <v>-1.032693124997763E-2</v>
      </c>
      <c r="D114" s="66">
        <v>-4.071021875461156E-3</v>
      </c>
      <c r="E114" s="66">
        <v>-8.2095732253634424E-2</v>
      </c>
      <c r="F114" s="66">
        <v>-0.23340609665254419</v>
      </c>
      <c r="G114" s="66">
        <v>-3.502393424517436E-2</v>
      </c>
      <c r="H114" s="66">
        <v>0.24418992896508479</v>
      </c>
      <c r="I114" s="66">
        <v>0.28191454992204967</v>
      </c>
      <c r="J114" s="99">
        <v>0</v>
      </c>
      <c r="K114" s="66">
        <v>-4.6447609299292481E-2</v>
      </c>
      <c r="L114" s="66">
        <v>0.23833241680708281</v>
      </c>
      <c r="M114" s="66">
        <v>0</v>
      </c>
      <c r="N114" s="99">
        <v>0</v>
      </c>
      <c r="O114" s="66">
        <v>-2.9756744889880341E-2</v>
      </c>
      <c r="P114" s="66">
        <v>1.690879433681403E-3</v>
      </c>
      <c r="Q114" s="66">
        <v>0</v>
      </c>
      <c r="R114" s="66">
        <v>0.56827588162812503</v>
      </c>
      <c r="S114" s="66">
        <v>0</v>
      </c>
      <c r="T114" s="66">
        <v>0</v>
      </c>
      <c r="U114" s="66">
        <v>0</v>
      </c>
      <c r="V114" s="66">
        <v>0</v>
      </c>
      <c r="W114" s="66">
        <v>0</v>
      </c>
      <c r="X114" s="66">
        <v>0</v>
      </c>
      <c r="Y114" s="66">
        <v>0</v>
      </c>
      <c r="Z114" s="99">
        <v>0</v>
      </c>
      <c r="AA114" s="99">
        <v>0</v>
      </c>
      <c r="AB114" s="99">
        <v>0</v>
      </c>
      <c r="AC114" s="99">
        <v>0</v>
      </c>
      <c r="AD114" s="99">
        <v>0</v>
      </c>
      <c r="AE114" s="99">
        <v>0</v>
      </c>
      <c r="AF114" s="66">
        <v>0.21660738378460559</v>
      </c>
      <c r="AG114" s="99">
        <v>0</v>
      </c>
    </row>
    <row r="115" spans="1:33" x14ac:dyDescent="0.35">
      <c r="A115" s="127" t="s">
        <v>8</v>
      </c>
      <c r="B115" s="66">
        <v>0</v>
      </c>
      <c r="C115" s="66">
        <v>-1.353169011753153E-2</v>
      </c>
      <c r="D115" s="66">
        <v>-3.5004708512929028E-3</v>
      </c>
      <c r="E115" s="66">
        <v>-0.15344314733113151</v>
      </c>
      <c r="F115" s="66">
        <v>-0.31208543961577112</v>
      </c>
      <c r="G115" s="66">
        <v>-1.836686742049665E-2</v>
      </c>
      <c r="H115" s="66">
        <v>0.22165398767100439</v>
      </c>
      <c r="I115" s="66">
        <v>0.28089260933614918</v>
      </c>
      <c r="J115" s="99">
        <v>0</v>
      </c>
      <c r="K115" s="66">
        <v>-3.7490121157446772E-2</v>
      </c>
      <c r="L115" s="66">
        <v>0.2378115674189871</v>
      </c>
      <c r="M115" s="66">
        <v>0</v>
      </c>
      <c r="N115" s="99">
        <v>0</v>
      </c>
      <c r="O115" s="66">
        <v>-1.8086996592643349E-2</v>
      </c>
      <c r="P115" s="66">
        <v>2.1349877062561968E-3</v>
      </c>
      <c r="Q115" s="66">
        <v>0</v>
      </c>
      <c r="R115" s="66">
        <v>0.59404950560198699</v>
      </c>
      <c r="S115" s="66">
        <v>0</v>
      </c>
      <c r="T115" s="66">
        <v>0</v>
      </c>
      <c r="U115" s="66">
        <v>0</v>
      </c>
      <c r="V115" s="66">
        <v>0</v>
      </c>
      <c r="W115" s="66">
        <v>0</v>
      </c>
      <c r="X115" s="66">
        <v>0</v>
      </c>
      <c r="Y115" s="66">
        <v>0</v>
      </c>
      <c r="Z115" s="99">
        <v>0</v>
      </c>
      <c r="AA115" s="99">
        <v>0</v>
      </c>
      <c r="AB115" s="99">
        <v>0</v>
      </c>
      <c r="AC115" s="99">
        <v>0</v>
      </c>
      <c r="AD115" s="99">
        <v>0</v>
      </c>
      <c r="AE115" s="99">
        <v>0</v>
      </c>
      <c r="AF115" s="66">
        <v>0.2163363207663451</v>
      </c>
      <c r="AG115" s="99">
        <v>0</v>
      </c>
    </row>
    <row r="116" spans="1:33" x14ac:dyDescent="0.35">
      <c r="A116" s="127" t="s">
        <v>9</v>
      </c>
      <c r="B116" s="66">
        <v>0</v>
      </c>
      <c r="C116" s="66">
        <v>-8.8407947830830835E-3</v>
      </c>
      <c r="D116" s="66">
        <v>-4.1870546602922332E-3</v>
      </c>
      <c r="E116" s="66">
        <v>-9.2761349436557339E-2</v>
      </c>
      <c r="F116" s="66">
        <v>-0.2501303103616408</v>
      </c>
      <c r="G116" s="66">
        <v>-2.6816274149069841E-2</v>
      </c>
      <c r="H116" s="66">
        <v>0.25445094316154382</v>
      </c>
      <c r="I116" s="66">
        <v>0.28413640806874702</v>
      </c>
      <c r="J116" s="99">
        <v>0</v>
      </c>
      <c r="K116" s="66">
        <v>-6.1791662137352432E-2</v>
      </c>
      <c r="L116" s="66">
        <v>0.24028636551332741</v>
      </c>
      <c r="M116" s="66">
        <v>0</v>
      </c>
      <c r="N116" s="99">
        <v>0</v>
      </c>
      <c r="O116" s="66">
        <v>-3.038697363052734E-2</v>
      </c>
      <c r="P116" s="66">
        <v>3.7765966139886591E-3</v>
      </c>
      <c r="Q116" s="66">
        <v>0</v>
      </c>
      <c r="R116" s="66">
        <v>0.36616542672041419</v>
      </c>
      <c r="S116" s="66">
        <v>0</v>
      </c>
      <c r="T116" s="66">
        <v>0</v>
      </c>
      <c r="U116" s="66">
        <v>0</v>
      </c>
      <c r="V116" s="66">
        <v>0</v>
      </c>
      <c r="W116" s="66">
        <v>0</v>
      </c>
      <c r="X116" s="66">
        <v>0</v>
      </c>
      <c r="Y116" s="66">
        <v>0</v>
      </c>
      <c r="Z116" s="99">
        <v>0</v>
      </c>
      <c r="AA116" s="99">
        <v>0</v>
      </c>
      <c r="AB116" s="99">
        <v>0</v>
      </c>
      <c r="AC116" s="99">
        <v>0</v>
      </c>
      <c r="AD116" s="99">
        <v>0</v>
      </c>
      <c r="AE116" s="99">
        <v>0</v>
      </c>
      <c r="AF116" s="66">
        <v>0.21842778369403959</v>
      </c>
      <c r="AG116" s="99">
        <v>0</v>
      </c>
    </row>
    <row r="117" spans="1:33" x14ac:dyDescent="0.35">
      <c r="A117" s="127" t="s">
        <v>10</v>
      </c>
      <c r="B117" s="66">
        <v>0</v>
      </c>
      <c r="C117" s="66">
        <v>-8.9918323178608262E-3</v>
      </c>
      <c r="D117" s="66">
        <v>-2.5630394391669138E-3</v>
      </c>
      <c r="E117" s="66">
        <v>-4.12001864487479E-2</v>
      </c>
      <c r="F117" s="66">
        <v>-0.17256472293803429</v>
      </c>
      <c r="G117" s="66">
        <v>-1.446399485686811E-2</v>
      </c>
      <c r="H117" s="66">
        <v>0.29689286150241401</v>
      </c>
      <c r="I117" s="66">
        <v>0.28527753145056067</v>
      </c>
      <c r="J117" s="99">
        <v>0</v>
      </c>
      <c r="K117" s="66">
        <v>-8.7884420364019888E-2</v>
      </c>
      <c r="L117" s="66">
        <v>0.24108386828987699</v>
      </c>
      <c r="M117" s="66">
        <v>0</v>
      </c>
      <c r="N117" s="99">
        <v>0</v>
      </c>
      <c r="O117" s="66">
        <v>-4.1742253025546461E-2</v>
      </c>
      <c r="P117" s="66">
        <v>2.215616406260779E-3</v>
      </c>
      <c r="Q117" s="66">
        <v>0</v>
      </c>
      <c r="R117" s="66">
        <v>0.24051764812378451</v>
      </c>
      <c r="S117" s="66">
        <v>0</v>
      </c>
      <c r="T117" s="66">
        <v>0</v>
      </c>
      <c r="U117" s="66">
        <v>0</v>
      </c>
      <c r="V117" s="66">
        <v>0</v>
      </c>
      <c r="W117" s="66">
        <v>0</v>
      </c>
      <c r="X117" s="66">
        <v>0</v>
      </c>
      <c r="Y117" s="66">
        <v>0</v>
      </c>
      <c r="Z117" s="99">
        <v>0</v>
      </c>
      <c r="AA117" s="99">
        <v>0</v>
      </c>
      <c r="AB117" s="99">
        <v>0</v>
      </c>
      <c r="AC117" s="99">
        <v>0</v>
      </c>
      <c r="AD117" s="99">
        <v>0</v>
      </c>
      <c r="AE117" s="99">
        <v>0</v>
      </c>
      <c r="AF117" s="66">
        <v>0.21905399680525761</v>
      </c>
      <c r="AG117" s="99">
        <v>0</v>
      </c>
    </row>
    <row r="118" spans="1:33" x14ac:dyDescent="0.35">
      <c r="A118" s="127" t="s">
        <v>11</v>
      </c>
      <c r="B118" s="66">
        <v>0</v>
      </c>
      <c r="C118" s="66">
        <v>-1.3720269954944801E-2</v>
      </c>
      <c r="D118" s="66">
        <v>-3.4714587329176538E-3</v>
      </c>
      <c r="E118" s="66">
        <v>-5.1749463618818943E-2</v>
      </c>
      <c r="F118" s="66">
        <v>-0.1157301086539064</v>
      </c>
      <c r="G118" s="66">
        <v>-6.0655007414425199E-3</v>
      </c>
      <c r="H118" s="66">
        <v>0.28974645230141499</v>
      </c>
      <c r="I118" s="66">
        <v>0.204998225855519</v>
      </c>
      <c r="J118" s="99">
        <v>0</v>
      </c>
      <c r="K118" s="66">
        <v>-5.6619826957813757E-2</v>
      </c>
      <c r="L118" s="66">
        <v>0.24328117697078261</v>
      </c>
      <c r="M118" s="66">
        <v>0</v>
      </c>
      <c r="N118" s="99">
        <v>0</v>
      </c>
      <c r="O118" s="66">
        <v>-4.2159769004712189E-2</v>
      </c>
      <c r="P118" s="66">
        <v>2.061156001531117E-3</v>
      </c>
      <c r="Q118" s="66">
        <v>0</v>
      </c>
      <c r="R118" s="66">
        <v>5.7154065273437027E-2</v>
      </c>
      <c r="S118" s="66">
        <v>0</v>
      </c>
      <c r="T118" s="66">
        <v>0</v>
      </c>
      <c r="U118" s="66">
        <v>0</v>
      </c>
      <c r="V118" s="66">
        <v>0</v>
      </c>
      <c r="W118" s="66">
        <v>0</v>
      </c>
      <c r="X118" s="66">
        <v>0</v>
      </c>
      <c r="Y118" s="66">
        <v>0</v>
      </c>
      <c r="Z118" s="99">
        <v>0</v>
      </c>
      <c r="AA118" s="99">
        <v>0</v>
      </c>
      <c r="AB118" s="99">
        <v>0</v>
      </c>
      <c r="AC118" s="99">
        <v>0</v>
      </c>
      <c r="AD118" s="99">
        <v>0</v>
      </c>
      <c r="AE118" s="99">
        <v>0</v>
      </c>
      <c r="AF118" s="66">
        <v>0.2210381648248472</v>
      </c>
      <c r="AG118" s="99">
        <v>0</v>
      </c>
    </row>
    <row r="119" spans="1:33" x14ac:dyDescent="0.35">
      <c r="A119" s="127" t="s">
        <v>12</v>
      </c>
      <c r="B119" s="66">
        <v>0</v>
      </c>
      <c r="C119" s="66">
        <v>-1.1777767144792509E-2</v>
      </c>
      <c r="D119" s="66">
        <v>-4.920366720881475E-3</v>
      </c>
      <c r="E119" s="66">
        <v>-3.7401427518631181E-2</v>
      </c>
      <c r="F119" s="66">
        <v>-8.3589126013691839E-2</v>
      </c>
      <c r="G119" s="66">
        <v>-8.0302832956249404E-3</v>
      </c>
      <c r="H119" s="66">
        <v>0.29561101545164092</v>
      </c>
      <c r="I119" s="66">
        <v>0.23219965501894541</v>
      </c>
      <c r="J119" s="99">
        <v>0</v>
      </c>
      <c r="K119" s="66">
        <v>-8.9028917366277938E-2</v>
      </c>
      <c r="L119" s="66">
        <v>0.2419088356662655</v>
      </c>
      <c r="M119" s="66">
        <v>0</v>
      </c>
      <c r="N119" s="99">
        <v>0</v>
      </c>
      <c r="O119" s="66">
        <v>-3.3478991447026367E-2</v>
      </c>
      <c r="P119" s="66">
        <v>0</v>
      </c>
      <c r="Q119" s="66">
        <v>0</v>
      </c>
      <c r="R119" s="66">
        <v>0.1593443203515221</v>
      </c>
      <c r="S119" s="66">
        <v>0</v>
      </c>
      <c r="T119" s="66">
        <v>0</v>
      </c>
      <c r="U119" s="66">
        <v>0</v>
      </c>
      <c r="V119" s="66">
        <v>0</v>
      </c>
      <c r="W119" s="66">
        <v>0</v>
      </c>
      <c r="X119" s="66">
        <v>0</v>
      </c>
      <c r="Y119" s="66">
        <v>0</v>
      </c>
      <c r="Z119" s="99">
        <v>0</v>
      </c>
      <c r="AA119" s="99">
        <v>0</v>
      </c>
      <c r="AB119" s="99">
        <v>0</v>
      </c>
      <c r="AC119" s="99">
        <v>0</v>
      </c>
      <c r="AD119" s="99">
        <v>0</v>
      </c>
      <c r="AE119" s="99">
        <v>0</v>
      </c>
      <c r="AF119" s="66">
        <v>0.21978373095922171</v>
      </c>
      <c r="AG119" s="99">
        <v>0</v>
      </c>
    </row>
    <row r="120" spans="1:33" x14ac:dyDescent="0.35">
      <c r="A120" s="127" t="s">
        <v>13</v>
      </c>
      <c r="B120" s="66">
        <v>0</v>
      </c>
      <c r="C120" s="66">
        <v>-5.5437588196980414E-3</v>
      </c>
      <c r="D120" s="66">
        <v>-7.8662473393933396E-3</v>
      </c>
      <c r="E120" s="66">
        <v>-2.0238093705188479E-2</v>
      </c>
      <c r="F120" s="66">
        <v>-7.0610238072021048E-2</v>
      </c>
      <c r="G120" s="66">
        <v>-3.8204998809277413E-2</v>
      </c>
      <c r="H120" s="66">
        <v>0.3196487876311096</v>
      </c>
      <c r="I120" s="66">
        <v>0.15931682530563759</v>
      </c>
      <c r="J120" s="99">
        <v>0</v>
      </c>
      <c r="K120" s="66">
        <v>-6.3875000331364618E-2</v>
      </c>
      <c r="L120" s="66">
        <v>0.1044858409840685</v>
      </c>
      <c r="M120" s="66">
        <v>0</v>
      </c>
      <c r="N120" s="99">
        <v>0</v>
      </c>
      <c r="O120" s="66">
        <v>-6.1202730921792181E-2</v>
      </c>
      <c r="P120" s="66">
        <v>2.0285497370196031E-3</v>
      </c>
      <c r="Q120" s="66">
        <v>0</v>
      </c>
      <c r="R120" s="66">
        <v>4.031189711062666E-2</v>
      </c>
      <c r="S120" s="66">
        <v>0</v>
      </c>
      <c r="T120" s="66">
        <v>0</v>
      </c>
      <c r="U120" s="66">
        <v>0</v>
      </c>
      <c r="V120" s="66">
        <v>0</v>
      </c>
      <c r="W120" s="66">
        <v>0</v>
      </c>
      <c r="X120" s="66">
        <v>0</v>
      </c>
      <c r="Y120" s="66">
        <v>0</v>
      </c>
      <c r="Z120" s="99">
        <v>0</v>
      </c>
      <c r="AA120" s="99">
        <v>0</v>
      </c>
      <c r="AB120" s="99">
        <v>0</v>
      </c>
      <c r="AC120" s="99">
        <v>0</v>
      </c>
      <c r="AD120" s="99">
        <v>0</v>
      </c>
      <c r="AE120" s="99">
        <v>0</v>
      </c>
      <c r="AF120" s="66">
        <v>0.22188459536138791</v>
      </c>
      <c r="AG120" s="99">
        <v>0</v>
      </c>
    </row>
    <row r="121" spans="1:33" x14ac:dyDescent="0.35">
      <c r="A121" s="127" t="s">
        <v>14</v>
      </c>
      <c r="B121" s="66">
        <v>0</v>
      </c>
      <c r="C121" s="66">
        <v>-1.459018673335777E-2</v>
      </c>
      <c r="D121" s="66">
        <v>-5.0613314547831578E-3</v>
      </c>
      <c r="E121" s="66">
        <v>-4.0291641202912842E-2</v>
      </c>
      <c r="F121" s="66">
        <v>-8.0423984260193038E-2</v>
      </c>
      <c r="G121" s="66">
        <v>-1.9490233703095331E-2</v>
      </c>
      <c r="H121" s="66">
        <v>0.38214610268167348</v>
      </c>
      <c r="I121" s="66">
        <v>0.22303628847512871</v>
      </c>
      <c r="J121" s="99">
        <v>0</v>
      </c>
      <c r="K121" s="66">
        <v>-9.1429011301698893E-2</v>
      </c>
      <c r="L121" s="66">
        <v>-9.1325136785172845E-2</v>
      </c>
      <c r="M121" s="66">
        <v>0</v>
      </c>
      <c r="N121" s="99">
        <v>0</v>
      </c>
      <c r="O121" s="66">
        <v>-5.2170736278299053E-2</v>
      </c>
      <c r="P121" s="66">
        <v>3.0817000251204257E-4</v>
      </c>
      <c r="Q121" s="66">
        <v>0</v>
      </c>
      <c r="R121" s="66">
        <v>-5.2906547507774349E-2</v>
      </c>
      <c r="S121" s="66">
        <v>0</v>
      </c>
      <c r="T121" s="66">
        <v>0</v>
      </c>
      <c r="U121" s="66">
        <v>0</v>
      </c>
      <c r="V121" s="66">
        <v>0</v>
      </c>
      <c r="W121" s="66">
        <v>0</v>
      </c>
      <c r="X121" s="66">
        <v>0</v>
      </c>
      <c r="Y121" s="66">
        <v>0</v>
      </c>
      <c r="Z121" s="99">
        <v>0</v>
      </c>
      <c r="AA121" s="99">
        <v>0</v>
      </c>
      <c r="AB121" s="99">
        <v>0</v>
      </c>
      <c r="AC121" s="99">
        <v>0</v>
      </c>
      <c r="AD121" s="99">
        <v>0</v>
      </c>
      <c r="AE121" s="99">
        <v>0</v>
      </c>
      <c r="AF121" s="66">
        <v>0.2244854922452646</v>
      </c>
      <c r="AG121" s="99">
        <v>0</v>
      </c>
    </row>
    <row r="122" spans="1:33" x14ac:dyDescent="0.35">
      <c r="A122" s="127" t="s">
        <v>15</v>
      </c>
      <c r="B122" s="66">
        <v>0</v>
      </c>
      <c r="C122" s="66">
        <v>-1.9015997495728241E-3</v>
      </c>
      <c r="D122" s="66">
        <v>-2.12003494380042E-3</v>
      </c>
      <c r="E122" s="66">
        <v>-4.0716639817077287E-2</v>
      </c>
      <c r="F122" s="66">
        <v>-4.3274739039446793E-2</v>
      </c>
      <c r="G122" s="66">
        <v>-1.012560245476379E-2</v>
      </c>
      <c r="H122" s="66">
        <v>0.32845531838088959</v>
      </c>
      <c r="I122" s="66">
        <v>0.18929218852636609</v>
      </c>
      <c r="J122" s="99">
        <v>0</v>
      </c>
      <c r="K122" s="66">
        <v>-5.8656616946194617E-2</v>
      </c>
      <c r="L122" s="66">
        <v>-7.4367857791628467E-2</v>
      </c>
      <c r="M122" s="66">
        <v>0</v>
      </c>
      <c r="N122" s="99">
        <v>0</v>
      </c>
      <c r="O122" s="66">
        <v>-2.6010823730246099E-2</v>
      </c>
      <c r="P122" s="66">
        <v>1.0637493336957959E-2</v>
      </c>
      <c r="Q122" s="66">
        <v>0</v>
      </c>
      <c r="R122" s="66">
        <v>0.36938128838193052</v>
      </c>
      <c r="S122" s="66">
        <v>0</v>
      </c>
      <c r="T122" s="66">
        <v>0</v>
      </c>
      <c r="U122" s="66">
        <v>0</v>
      </c>
      <c r="V122" s="66">
        <v>0</v>
      </c>
      <c r="W122" s="66">
        <v>0</v>
      </c>
      <c r="X122" s="66">
        <v>0</v>
      </c>
      <c r="Y122" s="66">
        <v>0</v>
      </c>
      <c r="Z122" s="99">
        <v>0</v>
      </c>
      <c r="AA122" s="99">
        <v>0</v>
      </c>
      <c r="AB122" s="99">
        <v>0</v>
      </c>
      <c r="AC122" s="99">
        <v>0</v>
      </c>
      <c r="AD122" s="99">
        <v>0</v>
      </c>
      <c r="AE122" s="99">
        <v>0</v>
      </c>
      <c r="AF122" s="66">
        <v>0.21790617712019869</v>
      </c>
      <c r="AG122" s="99">
        <v>0</v>
      </c>
    </row>
    <row r="123" spans="1:33" x14ac:dyDescent="0.35">
      <c r="A123" s="127" t="s">
        <v>16</v>
      </c>
      <c r="B123" s="66">
        <v>0</v>
      </c>
      <c r="C123" s="66">
        <v>-8.7998921698897448E-3</v>
      </c>
      <c r="D123" s="66">
        <v>-2.773094674978438E-3</v>
      </c>
      <c r="E123" s="66">
        <v>-4.2802376126957142E-2</v>
      </c>
      <c r="F123" s="66">
        <v>-4.6449208846894408E-2</v>
      </c>
      <c r="G123" s="66">
        <v>-4.8135418452943668E-3</v>
      </c>
      <c r="H123" s="66">
        <v>0.3864542034489773</v>
      </c>
      <c r="I123" s="66">
        <v>0.1920328206083752</v>
      </c>
      <c r="J123" s="99">
        <v>0</v>
      </c>
      <c r="K123" s="66">
        <v>-2.668821829109902E-2</v>
      </c>
      <c r="L123" s="66">
        <v>-0.11861900407083679</v>
      </c>
      <c r="M123" s="66">
        <v>0</v>
      </c>
      <c r="N123" s="99">
        <v>0</v>
      </c>
      <c r="O123" s="66">
        <v>-4.5913048551113889E-2</v>
      </c>
      <c r="P123" s="66">
        <v>1.5261924011724659E-3</v>
      </c>
      <c r="Q123" s="66">
        <v>0</v>
      </c>
      <c r="R123" s="66">
        <v>0.93184949851954002</v>
      </c>
      <c r="S123" s="66">
        <v>0</v>
      </c>
      <c r="T123" s="66">
        <v>0</v>
      </c>
      <c r="U123" s="66">
        <v>0</v>
      </c>
      <c r="V123" s="66">
        <v>0</v>
      </c>
      <c r="W123" s="66">
        <v>0</v>
      </c>
      <c r="X123" s="66">
        <v>0</v>
      </c>
      <c r="Y123" s="66">
        <v>0</v>
      </c>
      <c r="Z123" s="99">
        <v>0</v>
      </c>
      <c r="AA123" s="99">
        <v>0</v>
      </c>
      <c r="AB123" s="99">
        <v>0</v>
      </c>
      <c r="AC123" s="99">
        <v>0</v>
      </c>
      <c r="AD123" s="99">
        <v>0</v>
      </c>
      <c r="AE123" s="99">
        <v>0</v>
      </c>
      <c r="AF123" s="66">
        <v>0.2114924369406026</v>
      </c>
      <c r="AG123" s="99">
        <v>0</v>
      </c>
    </row>
    <row r="124" spans="1:33" x14ac:dyDescent="0.35">
      <c r="A124" s="127" t="s">
        <v>17</v>
      </c>
      <c r="B124" s="66">
        <v>0</v>
      </c>
      <c r="C124" s="66">
        <v>-1.4169232877065949E-3</v>
      </c>
      <c r="D124" s="66">
        <v>-2.7626751489151502E-3</v>
      </c>
      <c r="E124" s="66">
        <v>-3.4861554113035709E-2</v>
      </c>
      <c r="F124" s="66">
        <v>-4.2044160322973312E-2</v>
      </c>
      <c r="G124" s="66">
        <v>-4.5535836499084334E-3</v>
      </c>
      <c r="H124" s="66">
        <v>0.46662515611620847</v>
      </c>
      <c r="I124" s="66">
        <v>0.1626786919866845</v>
      </c>
      <c r="J124" s="99">
        <v>0</v>
      </c>
      <c r="K124" s="66">
        <v>-2.7363694855495169E-2</v>
      </c>
      <c r="L124" s="66">
        <v>-0.23406021186821141</v>
      </c>
      <c r="M124" s="66">
        <v>-4.3517626416189614E-3</v>
      </c>
      <c r="N124" s="99">
        <v>0</v>
      </c>
      <c r="O124" s="66">
        <v>-3.4238669467754328E-2</v>
      </c>
      <c r="P124" s="66">
        <v>4.0854842816315804E-3</v>
      </c>
      <c r="Q124" s="66">
        <v>0</v>
      </c>
      <c r="R124" s="66">
        <v>1.243789342770498</v>
      </c>
      <c r="S124" s="66">
        <v>0</v>
      </c>
      <c r="T124" s="66">
        <v>0</v>
      </c>
      <c r="U124" s="66">
        <v>0</v>
      </c>
      <c r="V124" s="66">
        <v>0</v>
      </c>
      <c r="W124" s="66">
        <v>0</v>
      </c>
      <c r="X124" s="66">
        <v>0</v>
      </c>
      <c r="Y124" s="66">
        <v>0</v>
      </c>
      <c r="Z124" s="99">
        <v>0</v>
      </c>
      <c r="AA124" s="99">
        <v>0</v>
      </c>
      <c r="AB124" s="99">
        <v>0</v>
      </c>
      <c r="AC124" s="99">
        <v>0</v>
      </c>
      <c r="AD124" s="99">
        <v>0</v>
      </c>
      <c r="AE124" s="99">
        <v>0</v>
      </c>
      <c r="AF124" s="66">
        <v>0.2073641857461439</v>
      </c>
      <c r="AG124" s="99">
        <v>0</v>
      </c>
    </row>
    <row r="125" spans="1:33" x14ac:dyDescent="0.35">
      <c r="A125" s="127" t="s">
        <v>18</v>
      </c>
      <c r="B125" s="66">
        <v>0</v>
      </c>
      <c r="C125" s="66">
        <v>-3.9558523387484001E-3</v>
      </c>
      <c r="D125" s="66">
        <v>-1.3826541905075369E-3</v>
      </c>
      <c r="E125" s="66">
        <v>-3.6416623225420608E-2</v>
      </c>
      <c r="F125" s="66">
        <v>-2.1812180516292301E-2</v>
      </c>
      <c r="G125" s="66">
        <v>-1.461447681592176E-2</v>
      </c>
      <c r="H125" s="66">
        <v>0.50194292661583972</v>
      </c>
      <c r="I125" s="66">
        <v>0.19159028159751301</v>
      </c>
      <c r="J125" s="66">
        <v>0</v>
      </c>
      <c r="K125" s="66">
        <v>-3.8909547220526967E-2</v>
      </c>
      <c r="L125" s="66">
        <v>-0.17095801720034839</v>
      </c>
      <c r="M125" s="66">
        <v>-6.0042293881679143E-5</v>
      </c>
      <c r="N125" s="66">
        <v>0</v>
      </c>
      <c r="O125" s="66">
        <v>-4.6151206748987761E-2</v>
      </c>
      <c r="P125" s="66">
        <v>2.9573476579969342E-3</v>
      </c>
      <c r="Q125" s="66">
        <v>0</v>
      </c>
      <c r="R125" s="66">
        <v>1.4703355966207139</v>
      </c>
      <c r="S125" s="66">
        <v>0</v>
      </c>
      <c r="T125" s="66">
        <v>0</v>
      </c>
      <c r="U125" s="66">
        <v>0</v>
      </c>
      <c r="V125" s="66">
        <v>0</v>
      </c>
      <c r="W125" s="66">
        <v>0</v>
      </c>
      <c r="X125" s="66">
        <v>0</v>
      </c>
      <c r="Y125" s="66">
        <v>0</v>
      </c>
      <c r="Z125" s="66">
        <v>0</v>
      </c>
      <c r="AA125" s="66">
        <v>0</v>
      </c>
      <c r="AB125" s="66">
        <v>0</v>
      </c>
      <c r="AC125" s="66">
        <v>0</v>
      </c>
      <c r="AD125" s="66">
        <v>0</v>
      </c>
      <c r="AE125" s="66">
        <v>0</v>
      </c>
      <c r="AF125" s="66">
        <v>0.20561268895602319</v>
      </c>
      <c r="AG125" s="66">
        <v>0</v>
      </c>
    </row>
    <row r="126" spans="1:33" x14ac:dyDescent="0.35">
      <c r="A126" s="127" t="s">
        <v>19</v>
      </c>
      <c r="B126" s="66">
        <v>0</v>
      </c>
      <c r="C126" s="66">
        <v>-3.6425678662226351E-3</v>
      </c>
      <c r="D126" s="66">
        <v>-2.5841085226829819E-3</v>
      </c>
      <c r="E126" s="66">
        <v>-3.3536655088198593E-2</v>
      </c>
      <c r="F126" s="66">
        <v>-1.647396281606461E-2</v>
      </c>
      <c r="G126" s="66">
        <v>-1.615961225635942E-2</v>
      </c>
      <c r="H126" s="66">
        <v>0.57356405506072861</v>
      </c>
      <c r="I126" s="66">
        <v>0.2155337950824503</v>
      </c>
      <c r="J126" s="66">
        <v>0</v>
      </c>
      <c r="K126" s="66">
        <v>-3.4163570914756747E-2</v>
      </c>
      <c r="L126" s="66">
        <v>-0.12808985131405851</v>
      </c>
      <c r="M126" s="66">
        <v>-9.9601116600069872E-3</v>
      </c>
      <c r="N126" s="66">
        <v>0</v>
      </c>
      <c r="O126" s="66">
        <v>-4.4302685199738789E-2</v>
      </c>
      <c r="P126" s="66">
        <v>1.216233377505205E-3</v>
      </c>
      <c r="Q126" s="66">
        <v>0</v>
      </c>
      <c r="R126" s="66">
        <v>1.923643935165074</v>
      </c>
      <c r="S126" s="66">
        <v>0</v>
      </c>
      <c r="T126" s="66">
        <v>0</v>
      </c>
      <c r="U126" s="66">
        <v>0</v>
      </c>
      <c r="V126" s="66">
        <v>0</v>
      </c>
      <c r="W126" s="66">
        <v>0</v>
      </c>
      <c r="X126" s="66">
        <v>0</v>
      </c>
      <c r="Y126" s="66">
        <v>0</v>
      </c>
      <c r="Z126" s="66">
        <v>0</v>
      </c>
      <c r="AA126" s="66">
        <v>0</v>
      </c>
      <c r="AB126" s="66">
        <v>0</v>
      </c>
      <c r="AC126" s="66">
        <v>0</v>
      </c>
      <c r="AD126" s="66">
        <v>0</v>
      </c>
      <c r="AE126" s="66">
        <v>0</v>
      </c>
      <c r="AF126" s="66">
        <v>0.19981827140489369</v>
      </c>
      <c r="AG126" s="66">
        <v>0</v>
      </c>
    </row>
    <row r="127" spans="1:33" x14ac:dyDescent="0.35">
      <c r="A127" s="127" t="s">
        <v>20</v>
      </c>
      <c r="B127" s="66">
        <v>0</v>
      </c>
      <c r="C127" s="66">
        <v>-3.2726125329816109E-3</v>
      </c>
      <c r="D127" s="66">
        <v>0</v>
      </c>
      <c r="E127" s="66">
        <v>0</v>
      </c>
      <c r="F127" s="66">
        <v>-2.056972136929858E-2</v>
      </c>
      <c r="G127" s="66">
        <v>0</v>
      </c>
      <c r="H127" s="66">
        <v>1.6257583953727419</v>
      </c>
      <c r="I127" s="66">
        <v>0</v>
      </c>
      <c r="J127" s="66">
        <v>0</v>
      </c>
      <c r="K127" s="66">
        <v>-1.029248473750499E-2</v>
      </c>
      <c r="L127" s="66">
        <v>-0.17304332792619451</v>
      </c>
      <c r="M127" s="66">
        <v>-1.9939323467212939E-3</v>
      </c>
      <c r="N127" s="66">
        <v>0</v>
      </c>
      <c r="O127" s="66">
        <v>-3.6166540877303532E-2</v>
      </c>
      <c r="P127" s="66">
        <v>-8.8884841849193208E-2</v>
      </c>
      <c r="Q127" s="66">
        <v>0</v>
      </c>
      <c r="R127" s="66">
        <v>2.039934855871024</v>
      </c>
      <c r="S127" s="66">
        <v>0</v>
      </c>
      <c r="T127" s="66">
        <v>0</v>
      </c>
      <c r="U127" s="66">
        <v>0</v>
      </c>
      <c r="V127" s="66">
        <v>0</v>
      </c>
      <c r="W127" s="66">
        <v>0</v>
      </c>
      <c r="X127" s="66">
        <v>0</v>
      </c>
      <c r="Y127" s="66">
        <v>0</v>
      </c>
      <c r="Z127" s="66">
        <v>0</v>
      </c>
      <c r="AA127" s="66">
        <v>0</v>
      </c>
      <c r="AB127" s="66">
        <v>0</v>
      </c>
      <c r="AC127" s="66">
        <v>0</v>
      </c>
      <c r="AD127" s="66">
        <v>0</v>
      </c>
      <c r="AE127" s="66">
        <v>0</v>
      </c>
      <c r="AF127" s="66">
        <v>0.13751929554575781</v>
      </c>
      <c r="AG127" s="66">
        <v>0</v>
      </c>
    </row>
    <row r="128" spans="1:33" x14ac:dyDescent="0.35">
      <c r="A128" s="127" t="s">
        <v>21</v>
      </c>
      <c r="B128" s="123">
        <v>0</v>
      </c>
      <c r="C128" s="123">
        <v>-2.136840975737186E-3</v>
      </c>
      <c r="D128" s="123">
        <v>0</v>
      </c>
      <c r="E128" s="123">
        <v>0</v>
      </c>
      <c r="F128" s="123">
        <v>-2.043630707476041E-2</v>
      </c>
      <c r="G128" s="123">
        <v>0</v>
      </c>
      <c r="H128" s="123">
        <v>1.671193524049926</v>
      </c>
      <c r="I128" s="123">
        <v>0</v>
      </c>
      <c r="J128" s="124">
        <v>0</v>
      </c>
      <c r="K128" s="123">
        <v>-1.8485461988319681E-2</v>
      </c>
      <c r="L128" s="123">
        <v>-0.2371631931977731</v>
      </c>
      <c r="M128" s="123">
        <v>-1.320034706651541E-3</v>
      </c>
      <c r="N128" s="124">
        <v>0</v>
      </c>
      <c r="O128" s="123">
        <v>-5.2797234359246659E-2</v>
      </c>
      <c r="P128" s="123">
        <v>-8.8417135459707197E-2</v>
      </c>
      <c r="Q128" s="123">
        <v>0</v>
      </c>
      <c r="R128" s="123">
        <v>2.2904163520102538</v>
      </c>
      <c r="S128" s="123">
        <v>0</v>
      </c>
      <c r="T128" s="123">
        <v>0</v>
      </c>
      <c r="U128" s="123">
        <v>0</v>
      </c>
      <c r="V128" s="123">
        <v>0</v>
      </c>
      <c r="W128" s="123">
        <v>0</v>
      </c>
      <c r="X128" s="123">
        <v>0</v>
      </c>
      <c r="Y128" s="123">
        <v>0</v>
      </c>
      <c r="Z128" s="124">
        <v>0</v>
      </c>
      <c r="AA128" s="124">
        <v>0</v>
      </c>
      <c r="AB128" s="124">
        <v>0</v>
      </c>
      <c r="AC128" s="124">
        <v>0</v>
      </c>
      <c r="AD128" s="124">
        <v>0</v>
      </c>
      <c r="AE128" s="124">
        <v>0</v>
      </c>
      <c r="AF128" s="123">
        <v>2.8771196480477101E-3</v>
      </c>
      <c r="AG128" s="124">
        <v>0</v>
      </c>
    </row>
    <row r="129" spans="1:33" x14ac:dyDescent="0.35">
      <c r="B129">
        <v>0</v>
      </c>
    </row>
    <row r="130" spans="1:33" x14ac:dyDescent="0.35">
      <c r="B130">
        <v>0</v>
      </c>
    </row>
    <row r="131" spans="1:33" x14ac:dyDescent="0.35">
      <c r="B131">
        <v>0</v>
      </c>
    </row>
    <row r="132" spans="1:33" x14ac:dyDescent="0.35">
      <c r="B132">
        <v>0</v>
      </c>
    </row>
    <row r="133" spans="1:33" x14ac:dyDescent="0.35">
      <c r="A133" s="129" t="s">
        <v>32</v>
      </c>
      <c r="B133">
        <v>0</v>
      </c>
    </row>
    <row r="134" spans="1:33" ht="45" customHeight="1" x14ac:dyDescent="0.35">
      <c r="A134" s="128" t="s">
        <v>112</v>
      </c>
      <c r="B134" s="123">
        <v>0</v>
      </c>
      <c r="C134" s="123" t="s">
        <v>114</v>
      </c>
      <c r="D134" s="123" t="s">
        <v>115</v>
      </c>
      <c r="E134" s="123" t="s">
        <v>116</v>
      </c>
      <c r="F134" s="123" t="s">
        <v>117</v>
      </c>
      <c r="G134" s="123" t="s">
        <v>118</v>
      </c>
      <c r="H134" s="123" t="s">
        <v>119</v>
      </c>
      <c r="I134" s="123" t="s">
        <v>120</v>
      </c>
      <c r="J134" s="124" t="s">
        <v>121</v>
      </c>
      <c r="K134" s="123" t="s">
        <v>122</v>
      </c>
      <c r="L134" s="123" t="s">
        <v>123</v>
      </c>
      <c r="M134" s="123" t="s">
        <v>124</v>
      </c>
      <c r="N134" s="124" t="s">
        <v>125</v>
      </c>
      <c r="O134" s="123" t="s">
        <v>126</v>
      </c>
      <c r="P134" s="123" t="s">
        <v>127</v>
      </c>
      <c r="Q134" s="123" t="s">
        <v>128</v>
      </c>
      <c r="R134" s="123" t="s">
        <v>129</v>
      </c>
      <c r="S134" s="123" t="s">
        <v>130</v>
      </c>
      <c r="T134" s="123" t="s">
        <v>131</v>
      </c>
      <c r="U134" s="123" t="s">
        <v>132</v>
      </c>
      <c r="V134" s="123" t="s">
        <v>133</v>
      </c>
      <c r="W134" s="123" t="s">
        <v>134</v>
      </c>
      <c r="X134" s="123" t="s">
        <v>135</v>
      </c>
      <c r="Y134" s="123" t="s">
        <v>136</v>
      </c>
      <c r="Z134" s="124" t="s">
        <v>137</v>
      </c>
      <c r="AA134" s="124" t="s">
        <v>138</v>
      </c>
      <c r="AB134" s="124" t="s">
        <v>139</v>
      </c>
      <c r="AC134" s="124" t="s">
        <v>140</v>
      </c>
      <c r="AD134" s="124" t="s">
        <v>141</v>
      </c>
      <c r="AE134" s="124" t="s">
        <v>142</v>
      </c>
      <c r="AF134" s="123" t="s">
        <v>143</v>
      </c>
      <c r="AG134" s="124" t="s">
        <v>144</v>
      </c>
    </row>
    <row r="135" spans="1:33" x14ac:dyDescent="0.35">
      <c r="A135" s="127" t="s">
        <v>159</v>
      </c>
      <c r="B135" s="66">
        <v>0</v>
      </c>
      <c r="C135" s="66">
        <v>-4.2212115716296239E-2</v>
      </c>
      <c r="D135" s="66">
        <v>-9.914139554268786E-3</v>
      </c>
      <c r="E135" s="66">
        <v>-0.2179838445853477</v>
      </c>
      <c r="F135" s="66">
        <v>-0.3397378063929466</v>
      </c>
      <c r="G135" s="66">
        <v>-7.7858335851630045E-2</v>
      </c>
      <c r="H135" s="66">
        <v>0.2353209021327132</v>
      </c>
      <c r="I135" s="66">
        <v>0.26300397951479232</v>
      </c>
      <c r="J135" s="99">
        <v>0</v>
      </c>
      <c r="K135" s="66">
        <v>-5.5684828927894607E-2</v>
      </c>
      <c r="L135" s="66">
        <v>-0.73925670043271907</v>
      </c>
      <c r="M135" s="66">
        <v>0</v>
      </c>
      <c r="N135" s="99">
        <v>0</v>
      </c>
      <c r="O135" s="66">
        <v>-8.0991995168290032E-2</v>
      </c>
      <c r="P135" s="66">
        <v>0.10951515665220771</v>
      </c>
      <c r="Q135" s="66">
        <v>0</v>
      </c>
      <c r="R135" s="66">
        <v>0.29594118956677562</v>
      </c>
      <c r="S135" s="66">
        <v>0</v>
      </c>
      <c r="T135" s="66">
        <v>0</v>
      </c>
      <c r="U135" s="66">
        <v>0</v>
      </c>
      <c r="V135" s="66">
        <v>0</v>
      </c>
      <c r="W135" s="66">
        <v>0</v>
      </c>
      <c r="X135" s="66">
        <v>0</v>
      </c>
      <c r="Y135" s="66">
        <v>0</v>
      </c>
      <c r="Z135" s="99">
        <v>0</v>
      </c>
      <c r="AA135" s="99">
        <v>0</v>
      </c>
      <c r="AB135" s="99">
        <v>0</v>
      </c>
      <c r="AC135" s="99">
        <v>0</v>
      </c>
      <c r="AD135" s="99">
        <v>0</v>
      </c>
      <c r="AE135" s="99">
        <v>0</v>
      </c>
      <c r="AF135" s="66">
        <v>-6.1482648831486131E-2</v>
      </c>
      <c r="AG135" s="99">
        <v>0</v>
      </c>
    </row>
    <row r="136" spans="1:33" x14ac:dyDescent="0.35">
      <c r="A136" s="127" t="s">
        <v>160</v>
      </c>
      <c r="B136" s="66">
        <v>0</v>
      </c>
      <c r="C136" s="66">
        <v>0</v>
      </c>
      <c r="D136" s="66">
        <v>-9.0808833787150434E-3</v>
      </c>
      <c r="E136" s="66">
        <v>-0.23751188562923181</v>
      </c>
      <c r="F136" s="66">
        <v>-0.27638545573387319</v>
      </c>
      <c r="G136" s="66">
        <v>0</v>
      </c>
      <c r="H136" s="66">
        <v>0.202836384272814</v>
      </c>
      <c r="I136" s="66">
        <v>0.2400230096072562</v>
      </c>
      <c r="J136" s="99">
        <v>0</v>
      </c>
      <c r="K136" s="66">
        <v>8.3510483218702802E-2</v>
      </c>
      <c r="L136" s="66">
        <v>-7.6318031224104743E-2</v>
      </c>
      <c r="M136" s="66">
        <v>0</v>
      </c>
      <c r="N136" s="99">
        <v>0</v>
      </c>
      <c r="O136" s="66">
        <v>0</v>
      </c>
      <c r="P136" s="66">
        <v>5.2853793673733662E-2</v>
      </c>
      <c r="Q136" s="66">
        <v>0</v>
      </c>
      <c r="R136" s="66">
        <v>3.1775802557640418</v>
      </c>
      <c r="S136" s="66">
        <v>0</v>
      </c>
      <c r="T136" s="66">
        <v>0</v>
      </c>
      <c r="U136" s="66">
        <v>0</v>
      </c>
      <c r="V136" s="66">
        <v>0</v>
      </c>
      <c r="W136" s="66">
        <v>0</v>
      </c>
      <c r="X136" s="66">
        <v>0</v>
      </c>
      <c r="Y136" s="66">
        <v>0</v>
      </c>
      <c r="Z136" s="99">
        <v>0</v>
      </c>
      <c r="AA136" s="99">
        <v>0</v>
      </c>
      <c r="AB136" s="99">
        <v>0</v>
      </c>
      <c r="AC136" s="99">
        <v>0</v>
      </c>
      <c r="AD136" s="99">
        <v>0</v>
      </c>
      <c r="AE136" s="99">
        <v>0</v>
      </c>
      <c r="AF136" s="66">
        <v>5.657160666874006E-2</v>
      </c>
      <c r="AG136" s="99">
        <v>0</v>
      </c>
    </row>
    <row r="137" spans="1:33" x14ac:dyDescent="0.35">
      <c r="A137" s="127" t="s">
        <v>1</v>
      </c>
      <c r="B137" s="66">
        <v>0</v>
      </c>
      <c r="C137" s="66">
        <v>0</v>
      </c>
      <c r="D137" s="66">
        <v>-6.6976863439833778E-3</v>
      </c>
      <c r="E137" s="66">
        <v>-0.35601349462243093</v>
      </c>
      <c r="F137" s="66">
        <v>-0.25736679163966869</v>
      </c>
      <c r="G137" s="66">
        <v>-4.408482675137293E-2</v>
      </c>
      <c r="H137" s="66">
        <v>0.1129423458537246</v>
      </c>
      <c r="I137" s="66">
        <v>0.27261247281344941</v>
      </c>
      <c r="J137" s="99">
        <v>0</v>
      </c>
      <c r="K137" s="66">
        <v>-1.2290365115234181E-2</v>
      </c>
      <c r="L137" s="66">
        <v>0.23074927664222861</v>
      </c>
      <c r="M137" s="66">
        <v>0</v>
      </c>
      <c r="N137" s="99">
        <v>0</v>
      </c>
      <c r="O137" s="66">
        <v>0</v>
      </c>
      <c r="P137" s="66">
        <v>0</v>
      </c>
      <c r="Q137" s="66">
        <v>0</v>
      </c>
      <c r="R137" s="66">
        <v>1.5756843519200461</v>
      </c>
      <c r="S137" s="66">
        <v>0</v>
      </c>
      <c r="T137" s="66">
        <v>0</v>
      </c>
      <c r="U137" s="66">
        <v>0</v>
      </c>
      <c r="V137" s="66">
        <v>0</v>
      </c>
      <c r="W137" s="66">
        <v>0</v>
      </c>
      <c r="X137" s="66">
        <v>0</v>
      </c>
      <c r="Y137" s="66">
        <v>0</v>
      </c>
      <c r="Z137" s="99">
        <v>0</v>
      </c>
      <c r="AA137" s="99">
        <v>0</v>
      </c>
      <c r="AB137" s="99">
        <v>0</v>
      </c>
      <c r="AC137" s="99">
        <v>0</v>
      </c>
      <c r="AD137" s="99">
        <v>0</v>
      </c>
      <c r="AE137" s="99">
        <v>0</v>
      </c>
      <c r="AF137" s="66">
        <v>0.20988110764173479</v>
      </c>
      <c r="AG137" s="99">
        <v>0</v>
      </c>
    </row>
    <row r="138" spans="1:33" x14ac:dyDescent="0.35">
      <c r="A138" s="127" t="s">
        <v>2</v>
      </c>
      <c r="B138" s="66">
        <v>0</v>
      </c>
      <c r="C138" s="66">
        <v>0</v>
      </c>
      <c r="D138" s="66">
        <v>-6.2449178421672968E-3</v>
      </c>
      <c r="E138" s="66">
        <v>-0.47759908012514529</v>
      </c>
      <c r="F138" s="66">
        <v>-0.31568735123482838</v>
      </c>
      <c r="G138" s="66">
        <v>0</v>
      </c>
      <c r="H138" s="66">
        <v>0.1736775307229266</v>
      </c>
      <c r="I138" s="66">
        <v>0.29219396510274009</v>
      </c>
      <c r="J138" s="99">
        <v>0</v>
      </c>
      <c r="K138" s="66">
        <v>2.3228860804664461E-2</v>
      </c>
      <c r="L138" s="66">
        <v>0.24719964060062691</v>
      </c>
      <c r="M138" s="66">
        <v>0</v>
      </c>
      <c r="N138" s="99">
        <v>0</v>
      </c>
      <c r="O138" s="66">
        <v>0</v>
      </c>
      <c r="P138" s="66">
        <v>0</v>
      </c>
      <c r="Q138" s="66">
        <v>0</v>
      </c>
      <c r="R138" s="66">
        <v>0.12130032970881641</v>
      </c>
      <c r="S138" s="66">
        <v>0</v>
      </c>
      <c r="T138" s="66">
        <v>0</v>
      </c>
      <c r="U138" s="66">
        <v>0</v>
      </c>
      <c r="V138" s="66">
        <v>0</v>
      </c>
      <c r="W138" s="66">
        <v>0</v>
      </c>
      <c r="X138" s="66">
        <v>0</v>
      </c>
      <c r="Y138" s="66">
        <v>0</v>
      </c>
      <c r="Z138" s="99">
        <v>0</v>
      </c>
      <c r="AA138" s="99">
        <v>0</v>
      </c>
      <c r="AB138" s="99">
        <v>0</v>
      </c>
      <c r="AC138" s="99">
        <v>0</v>
      </c>
      <c r="AD138" s="99">
        <v>0</v>
      </c>
      <c r="AE138" s="99">
        <v>0</v>
      </c>
      <c r="AF138" s="66">
        <v>0.2247706515685195</v>
      </c>
      <c r="AG138" s="99">
        <v>0</v>
      </c>
    </row>
    <row r="139" spans="1:33" x14ac:dyDescent="0.35">
      <c r="A139" s="127" t="s">
        <v>3</v>
      </c>
      <c r="B139" s="66">
        <v>0</v>
      </c>
      <c r="C139" s="66">
        <v>0</v>
      </c>
      <c r="D139" s="66">
        <v>0</v>
      </c>
      <c r="E139" s="66">
        <v>-0.14689003502871861</v>
      </c>
      <c r="F139" s="66">
        <v>-0.12776921933607349</v>
      </c>
      <c r="G139" s="66">
        <v>0</v>
      </c>
      <c r="H139" s="66">
        <v>0.21326185828215219</v>
      </c>
      <c r="I139" s="66">
        <v>0.28389489482165692</v>
      </c>
      <c r="J139" s="99">
        <v>0</v>
      </c>
      <c r="K139" s="66">
        <v>-7.3631604101166204E-2</v>
      </c>
      <c r="L139" s="66">
        <v>0.2404254672825914</v>
      </c>
      <c r="M139" s="66">
        <v>0</v>
      </c>
      <c r="N139" s="99">
        <v>0</v>
      </c>
      <c r="O139" s="66">
        <v>-9.8234864079245199E-3</v>
      </c>
      <c r="P139" s="66">
        <v>0</v>
      </c>
      <c r="Q139" s="66">
        <v>0</v>
      </c>
      <c r="R139" s="66">
        <v>0.14340081595801729</v>
      </c>
      <c r="S139" s="66">
        <v>0</v>
      </c>
      <c r="T139" s="66">
        <v>0</v>
      </c>
      <c r="U139" s="66">
        <v>0</v>
      </c>
      <c r="V139" s="66">
        <v>0</v>
      </c>
      <c r="W139" s="66">
        <v>0</v>
      </c>
      <c r="X139" s="66">
        <v>0</v>
      </c>
      <c r="Y139" s="66">
        <v>0</v>
      </c>
      <c r="Z139" s="99">
        <v>0</v>
      </c>
      <c r="AA139" s="99">
        <v>0</v>
      </c>
      <c r="AB139" s="99">
        <v>0</v>
      </c>
      <c r="AC139" s="99">
        <v>0</v>
      </c>
      <c r="AD139" s="99">
        <v>0</v>
      </c>
      <c r="AE139" s="99">
        <v>0</v>
      </c>
      <c r="AF139" s="66">
        <v>0.21875661628206439</v>
      </c>
      <c r="AG139" s="99">
        <v>0</v>
      </c>
    </row>
    <row r="140" spans="1:33" x14ac:dyDescent="0.35">
      <c r="A140" s="127" t="s">
        <v>4</v>
      </c>
      <c r="B140" s="66">
        <v>0</v>
      </c>
      <c r="C140" s="66">
        <v>0</v>
      </c>
      <c r="D140" s="66">
        <v>-2.3229250990084438E-3</v>
      </c>
      <c r="E140" s="66">
        <v>-0.135602475058306</v>
      </c>
      <c r="F140" s="66">
        <v>-5.9212902339197633E-2</v>
      </c>
      <c r="G140" s="66">
        <v>0</v>
      </c>
      <c r="H140" s="66">
        <v>0.21372336216987259</v>
      </c>
      <c r="I140" s="66">
        <v>0.29052039280745129</v>
      </c>
      <c r="J140" s="99">
        <v>0</v>
      </c>
      <c r="K140" s="66">
        <v>-0.15891026362274371</v>
      </c>
      <c r="L140" s="66">
        <v>0.2453278295644736</v>
      </c>
      <c r="M140" s="66">
        <v>0</v>
      </c>
      <c r="N140" s="99">
        <v>0</v>
      </c>
      <c r="O140" s="66">
        <v>-3.5638775707553798E-2</v>
      </c>
      <c r="P140" s="66">
        <v>0</v>
      </c>
      <c r="Q140" s="66">
        <v>0</v>
      </c>
      <c r="R140" s="66">
        <v>9.0534468109666477E-2</v>
      </c>
      <c r="S140" s="66">
        <v>0</v>
      </c>
      <c r="T140" s="66">
        <v>0</v>
      </c>
      <c r="U140" s="66">
        <v>0</v>
      </c>
      <c r="V140" s="66">
        <v>0</v>
      </c>
      <c r="W140" s="66">
        <v>0</v>
      </c>
      <c r="X140" s="66">
        <v>0</v>
      </c>
      <c r="Y140" s="66">
        <v>0</v>
      </c>
      <c r="Z140" s="99">
        <v>0</v>
      </c>
      <c r="AA140" s="99">
        <v>0</v>
      </c>
      <c r="AB140" s="99">
        <v>0</v>
      </c>
      <c r="AC140" s="99">
        <v>0</v>
      </c>
      <c r="AD140" s="99">
        <v>0</v>
      </c>
      <c r="AE140" s="99">
        <v>0</v>
      </c>
      <c r="AF140" s="66">
        <v>0.22280002152365341</v>
      </c>
      <c r="AG140" s="99">
        <v>0</v>
      </c>
    </row>
    <row r="141" spans="1:33" x14ac:dyDescent="0.35">
      <c r="A141" s="127" t="s">
        <v>5</v>
      </c>
      <c r="B141" s="66">
        <v>0</v>
      </c>
      <c r="C141" s="66">
        <v>-3.335609514883231E-2</v>
      </c>
      <c r="D141" s="66">
        <v>0</v>
      </c>
      <c r="E141" s="66">
        <v>-0.25692796207039242</v>
      </c>
      <c r="F141" s="66">
        <v>-6.5523499932879758E-2</v>
      </c>
      <c r="G141" s="66">
        <v>0</v>
      </c>
      <c r="H141" s="66">
        <v>0.13228027880586521</v>
      </c>
      <c r="I141" s="66">
        <v>0.2900603200655496</v>
      </c>
      <c r="J141" s="99">
        <v>0</v>
      </c>
      <c r="K141" s="66">
        <v>-0.13461705711259239</v>
      </c>
      <c r="L141" s="66">
        <v>0.2454767582972863</v>
      </c>
      <c r="M141" s="66">
        <v>0</v>
      </c>
      <c r="N141" s="99">
        <v>0</v>
      </c>
      <c r="O141" s="66">
        <v>-1.325524963260705E-2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6">
        <v>0</v>
      </c>
      <c r="X141" s="66">
        <v>0</v>
      </c>
      <c r="Y141" s="66">
        <v>0</v>
      </c>
      <c r="Z141" s="99">
        <v>0</v>
      </c>
      <c r="AA141" s="99">
        <v>0</v>
      </c>
      <c r="AB141" s="99">
        <v>0</v>
      </c>
      <c r="AC141" s="99">
        <v>0</v>
      </c>
      <c r="AD141" s="99">
        <v>0</v>
      </c>
      <c r="AE141" s="99">
        <v>0</v>
      </c>
      <c r="AF141" s="66">
        <v>0.223252528264311</v>
      </c>
      <c r="AG141" s="99">
        <v>0</v>
      </c>
    </row>
    <row r="142" spans="1:33" x14ac:dyDescent="0.35">
      <c r="A142" s="127" t="s">
        <v>6</v>
      </c>
      <c r="B142" s="66">
        <v>0</v>
      </c>
      <c r="C142" s="66">
        <v>-3.2484736757027122E-2</v>
      </c>
      <c r="D142" s="66">
        <v>0</v>
      </c>
      <c r="E142" s="66">
        <v>-0.32826733443494049</v>
      </c>
      <c r="F142" s="66">
        <v>-1.343918294955415E-2</v>
      </c>
      <c r="G142" s="66">
        <v>-4.1192883985644357E-2</v>
      </c>
      <c r="H142" s="66">
        <v>0.1913710573419394</v>
      </c>
      <c r="I142" s="66">
        <v>0.25371329237790968</v>
      </c>
      <c r="J142" s="99">
        <v>0</v>
      </c>
      <c r="K142" s="66">
        <v>-0.1174786346590508</v>
      </c>
      <c r="L142" s="66">
        <v>0.21498693677835939</v>
      </c>
      <c r="M142" s="66">
        <v>0</v>
      </c>
      <c r="N142" s="99">
        <v>0</v>
      </c>
      <c r="O142" s="66">
        <v>0</v>
      </c>
      <c r="P142" s="66">
        <v>0</v>
      </c>
      <c r="Q142" s="66">
        <v>0</v>
      </c>
      <c r="R142" s="66">
        <v>2.6465637525762129</v>
      </c>
      <c r="S142" s="66">
        <v>0</v>
      </c>
      <c r="T142" s="66">
        <v>0</v>
      </c>
      <c r="U142" s="66">
        <v>0</v>
      </c>
      <c r="V142" s="66">
        <v>0</v>
      </c>
      <c r="W142" s="66">
        <v>0</v>
      </c>
      <c r="X142" s="66">
        <v>0</v>
      </c>
      <c r="Y142" s="66">
        <v>0</v>
      </c>
      <c r="Z142" s="99">
        <v>0</v>
      </c>
      <c r="AA142" s="99">
        <v>0</v>
      </c>
      <c r="AB142" s="99">
        <v>0</v>
      </c>
      <c r="AC142" s="99">
        <v>0</v>
      </c>
      <c r="AD142" s="99">
        <v>0</v>
      </c>
      <c r="AE142" s="99">
        <v>0</v>
      </c>
      <c r="AF142" s="66">
        <v>0.19568243527496071</v>
      </c>
      <c r="AG142" s="99">
        <v>0</v>
      </c>
    </row>
    <row r="143" spans="1:33" x14ac:dyDescent="0.35">
      <c r="A143" s="127" t="s">
        <v>7</v>
      </c>
      <c r="B143" s="66">
        <v>0</v>
      </c>
      <c r="C143" s="66">
        <v>0</v>
      </c>
      <c r="D143" s="66">
        <v>0</v>
      </c>
      <c r="E143" s="66">
        <v>-0.104732461087508</v>
      </c>
      <c r="F143" s="66">
        <v>-2.4743691901022661E-2</v>
      </c>
      <c r="G143" s="66">
        <v>-2.6821609479043221E-2</v>
      </c>
      <c r="H143" s="66">
        <v>0.23474927899405881</v>
      </c>
      <c r="I143" s="66">
        <v>0.25632962150959321</v>
      </c>
      <c r="J143" s="99">
        <v>0</v>
      </c>
      <c r="K143" s="66">
        <v>-4.9097905291091593E-2</v>
      </c>
      <c r="L143" s="66">
        <v>0.21645568178652749</v>
      </c>
      <c r="M143" s="66">
        <v>0</v>
      </c>
      <c r="N143" s="99">
        <v>0</v>
      </c>
      <c r="O143" s="66">
        <v>-3.8715485950774557E-2</v>
      </c>
      <c r="P143" s="66">
        <v>0</v>
      </c>
      <c r="Q143" s="66">
        <v>0</v>
      </c>
      <c r="R143" s="66">
        <v>2.5195525125881768</v>
      </c>
      <c r="S143" s="66">
        <v>0</v>
      </c>
      <c r="T143" s="66">
        <v>0</v>
      </c>
      <c r="U143" s="66">
        <v>0</v>
      </c>
      <c r="V143" s="66">
        <v>0</v>
      </c>
      <c r="W143" s="66">
        <v>0</v>
      </c>
      <c r="X143" s="66">
        <v>0</v>
      </c>
      <c r="Y143" s="66">
        <v>0</v>
      </c>
      <c r="Z143" s="99">
        <v>0</v>
      </c>
      <c r="AA143" s="99">
        <v>0</v>
      </c>
      <c r="AB143" s="99">
        <v>0</v>
      </c>
      <c r="AC143" s="99">
        <v>0</v>
      </c>
      <c r="AD143" s="99">
        <v>0</v>
      </c>
      <c r="AE143" s="99">
        <v>0</v>
      </c>
      <c r="AF143" s="66">
        <v>0.19657912698519911</v>
      </c>
      <c r="AG143" s="99">
        <v>0</v>
      </c>
    </row>
    <row r="144" spans="1:33" x14ac:dyDescent="0.35">
      <c r="A144" s="127" t="s">
        <v>8</v>
      </c>
      <c r="B144" s="66">
        <v>0</v>
      </c>
      <c r="C144" s="66">
        <v>-1.546617430128094E-2</v>
      </c>
      <c r="D144" s="66">
        <v>-3.3809759713676608E-3</v>
      </c>
      <c r="E144" s="66">
        <v>-0.2893919831560936</v>
      </c>
      <c r="F144" s="66">
        <v>-6.7422208082064117E-3</v>
      </c>
      <c r="G144" s="66">
        <v>0</v>
      </c>
      <c r="H144" s="66">
        <v>0.1557176342480204</v>
      </c>
      <c r="I144" s="66">
        <v>0.24818700508305369</v>
      </c>
      <c r="J144" s="99">
        <v>0</v>
      </c>
      <c r="K144" s="66">
        <v>-3.3578013268169123E-2</v>
      </c>
      <c r="L144" s="66">
        <v>0.2099672479307628</v>
      </c>
      <c r="M144" s="66">
        <v>0</v>
      </c>
      <c r="N144" s="99">
        <v>0</v>
      </c>
      <c r="O144" s="66">
        <v>-3.7044878022356897E-2</v>
      </c>
      <c r="P144" s="66">
        <v>0</v>
      </c>
      <c r="Q144" s="66">
        <v>0</v>
      </c>
      <c r="R144" s="66">
        <v>3.1696732214116139</v>
      </c>
      <c r="S144" s="66">
        <v>0</v>
      </c>
      <c r="T144" s="66">
        <v>0</v>
      </c>
      <c r="U144" s="66">
        <v>0</v>
      </c>
      <c r="V144" s="66">
        <v>0</v>
      </c>
      <c r="W144" s="66">
        <v>0</v>
      </c>
      <c r="X144" s="66">
        <v>0</v>
      </c>
      <c r="Y144" s="66">
        <v>0</v>
      </c>
      <c r="Z144" s="99">
        <v>0</v>
      </c>
      <c r="AA144" s="99">
        <v>0</v>
      </c>
      <c r="AB144" s="99">
        <v>0</v>
      </c>
      <c r="AC144" s="99">
        <v>0</v>
      </c>
      <c r="AD144" s="99">
        <v>0</v>
      </c>
      <c r="AE144" s="99">
        <v>0</v>
      </c>
      <c r="AF144" s="66">
        <v>0.1909152780775685</v>
      </c>
      <c r="AG144" s="99">
        <v>0</v>
      </c>
    </row>
    <row r="145" spans="1:33" x14ac:dyDescent="0.35">
      <c r="A145" s="127" t="s">
        <v>9</v>
      </c>
      <c r="B145" s="66">
        <v>0</v>
      </c>
      <c r="C145" s="66">
        <v>-2.0818951049932369E-2</v>
      </c>
      <c r="D145" s="66">
        <v>0</v>
      </c>
      <c r="E145" s="66">
        <v>-0.18962254050956059</v>
      </c>
      <c r="F145" s="66">
        <v>-3.1145337262529441E-2</v>
      </c>
      <c r="G145" s="66">
        <v>0</v>
      </c>
      <c r="H145" s="66">
        <v>0.1996527188294408</v>
      </c>
      <c r="I145" s="66">
        <v>0.27088627628918971</v>
      </c>
      <c r="J145" s="99">
        <v>0</v>
      </c>
      <c r="K145" s="66">
        <v>-0.12506960929891869</v>
      </c>
      <c r="L145" s="66">
        <v>0.22874794288495079</v>
      </c>
      <c r="M145" s="66">
        <v>0</v>
      </c>
      <c r="N145" s="99">
        <v>0</v>
      </c>
      <c r="O145" s="66">
        <v>0</v>
      </c>
      <c r="P145" s="66">
        <v>0</v>
      </c>
      <c r="Q145" s="66">
        <v>0</v>
      </c>
      <c r="R145" s="66">
        <v>1.589079116732961</v>
      </c>
      <c r="S145" s="66">
        <v>0</v>
      </c>
      <c r="T145" s="66">
        <v>0</v>
      </c>
      <c r="U145" s="66">
        <v>0</v>
      </c>
      <c r="V145" s="66">
        <v>0</v>
      </c>
      <c r="W145" s="66">
        <v>0</v>
      </c>
      <c r="X145" s="66">
        <v>0</v>
      </c>
      <c r="Y145" s="66">
        <v>0</v>
      </c>
      <c r="Z145" s="99">
        <v>0</v>
      </c>
      <c r="AA145" s="99">
        <v>0</v>
      </c>
      <c r="AB145" s="99">
        <v>0</v>
      </c>
      <c r="AC145" s="99">
        <v>0</v>
      </c>
      <c r="AD145" s="99">
        <v>0</v>
      </c>
      <c r="AE145" s="99">
        <v>0</v>
      </c>
      <c r="AF145" s="66">
        <v>0.20774262214251851</v>
      </c>
      <c r="AG145" s="99">
        <v>0</v>
      </c>
    </row>
    <row r="146" spans="1:33" x14ac:dyDescent="0.35">
      <c r="A146" s="127" t="s">
        <v>10</v>
      </c>
      <c r="B146" s="66">
        <v>0</v>
      </c>
      <c r="C146" s="66">
        <v>-2.3393104666155299E-2</v>
      </c>
      <c r="D146" s="66">
        <v>-2.0231480020811432E-3</v>
      </c>
      <c r="E146" s="66">
        <v>-0.31929298089730201</v>
      </c>
      <c r="F146" s="66">
        <v>-2.6034791994675292E-2</v>
      </c>
      <c r="G146" s="66">
        <v>-2.0209609173122089E-2</v>
      </c>
      <c r="H146" s="66">
        <v>0.1886764696158707</v>
      </c>
      <c r="I146" s="66">
        <v>0.28356106063407083</v>
      </c>
      <c r="J146" s="99">
        <v>0</v>
      </c>
      <c r="K146" s="66">
        <v>-9.6239715768149381E-2</v>
      </c>
      <c r="L146" s="66">
        <v>0.23972988896892389</v>
      </c>
      <c r="M146" s="66">
        <v>0</v>
      </c>
      <c r="N146" s="99">
        <v>0</v>
      </c>
      <c r="O146" s="66">
        <v>-4.1551598325952448E-2</v>
      </c>
      <c r="P146" s="66">
        <v>0</v>
      </c>
      <c r="Q146" s="66">
        <v>0</v>
      </c>
      <c r="R146" s="66">
        <v>0.63023544953426835</v>
      </c>
      <c r="S146" s="66">
        <v>0</v>
      </c>
      <c r="T146" s="66">
        <v>0</v>
      </c>
      <c r="U146" s="66">
        <v>0</v>
      </c>
      <c r="V146" s="66">
        <v>0</v>
      </c>
      <c r="W146" s="66">
        <v>0</v>
      </c>
      <c r="X146" s="66">
        <v>0</v>
      </c>
      <c r="Y146" s="66">
        <v>0</v>
      </c>
      <c r="Z146" s="99">
        <v>0</v>
      </c>
      <c r="AA146" s="99">
        <v>0</v>
      </c>
      <c r="AB146" s="99">
        <v>0</v>
      </c>
      <c r="AC146" s="99">
        <v>0</v>
      </c>
      <c r="AD146" s="99">
        <v>0</v>
      </c>
      <c r="AE146" s="99">
        <v>0</v>
      </c>
      <c r="AF146" s="66">
        <v>0.21788071400251849</v>
      </c>
      <c r="AG146" s="99">
        <v>0</v>
      </c>
    </row>
    <row r="147" spans="1:33" x14ac:dyDescent="0.35">
      <c r="A147" s="127" t="s">
        <v>11</v>
      </c>
      <c r="B147" s="66">
        <v>0</v>
      </c>
      <c r="C147" s="66">
        <v>-7.7942090786109466E-3</v>
      </c>
      <c r="D147" s="66">
        <v>-8.3169854173092972E-4</v>
      </c>
      <c r="E147" s="66">
        <v>-0.18171228533134351</v>
      </c>
      <c r="F147" s="66">
        <v>-3.6629181818739198E-3</v>
      </c>
      <c r="G147" s="66">
        <v>-1.7455300175043931E-2</v>
      </c>
      <c r="H147" s="66">
        <v>0.2048996282657356</v>
      </c>
      <c r="I147" s="66">
        <v>0.2814783790572335</v>
      </c>
      <c r="J147" s="99">
        <v>0</v>
      </c>
      <c r="K147" s="66">
        <v>3.251000648319291E-2</v>
      </c>
      <c r="L147" s="66">
        <v>0.23773061712722671</v>
      </c>
      <c r="M147" s="66">
        <v>0</v>
      </c>
      <c r="N147" s="99">
        <v>0</v>
      </c>
      <c r="O147" s="66">
        <v>-4.3415709743953812E-2</v>
      </c>
      <c r="P147" s="66">
        <v>0</v>
      </c>
      <c r="Q147" s="66">
        <v>0</v>
      </c>
      <c r="R147" s="66">
        <v>0.59533915459869036</v>
      </c>
      <c r="S147" s="66">
        <v>0</v>
      </c>
      <c r="T147" s="66">
        <v>0</v>
      </c>
      <c r="U147" s="66">
        <v>0</v>
      </c>
      <c r="V147" s="66">
        <v>0</v>
      </c>
      <c r="W147" s="66">
        <v>0</v>
      </c>
      <c r="X147" s="66">
        <v>0</v>
      </c>
      <c r="Y147" s="66">
        <v>0</v>
      </c>
      <c r="Z147" s="99">
        <v>0</v>
      </c>
      <c r="AA147" s="99">
        <v>0</v>
      </c>
      <c r="AB147" s="99">
        <v>0</v>
      </c>
      <c r="AC147" s="99">
        <v>0</v>
      </c>
      <c r="AD147" s="99">
        <v>0</v>
      </c>
      <c r="AE147" s="99">
        <v>0</v>
      </c>
      <c r="AF147" s="66">
        <v>0.215923020650024</v>
      </c>
      <c r="AG147" s="99">
        <v>0</v>
      </c>
    </row>
    <row r="148" spans="1:33" x14ac:dyDescent="0.35">
      <c r="A148" s="127" t="s">
        <v>12</v>
      </c>
      <c r="B148" s="66">
        <v>0</v>
      </c>
      <c r="C148" s="66">
        <v>-9.1311870265826656E-3</v>
      </c>
      <c r="D148" s="66">
        <v>0</v>
      </c>
      <c r="E148" s="66">
        <v>-0.30753365440941138</v>
      </c>
      <c r="F148" s="66">
        <v>-1.158343727155398E-3</v>
      </c>
      <c r="G148" s="66">
        <v>-1.1813577693089879E-2</v>
      </c>
      <c r="H148" s="66">
        <v>0.1699871011746836</v>
      </c>
      <c r="I148" s="66">
        <v>0.28887113745480519</v>
      </c>
      <c r="J148" s="99">
        <v>0</v>
      </c>
      <c r="K148" s="66">
        <v>-4.1042320546665678E-2</v>
      </c>
      <c r="L148" s="66">
        <v>0.244132833914847</v>
      </c>
      <c r="M148" s="66">
        <v>0</v>
      </c>
      <c r="N148" s="99">
        <v>0</v>
      </c>
      <c r="O148" s="66">
        <v>-2.26274073903312E-2</v>
      </c>
      <c r="P148" s="66">
        <v>0</v>
      </c>
      <c r="Q148" s="66">
        <v>0</v>
      </c>
      <c r="R148" s="66">
        <v>0.14522035112884171</v>
      </c>
      <c r="S148" s="66">
        <v>0</v>
      </c>
      <c r="T148" s="66">
        <v>0</v>
      </c>
      <c r="U148" s="66">
        <v>0</v>
      </c>
      <c r="V148" s="66">
        <v>0</v>
      </c>
      <c r="W148" s="66">
        <v>0</v>
      </c>
      <c r="X148" s="66">
        <v>0</v>
      </c>
      <c r="Y148" s="66">
        <v>0</v>
      </c>
      <c r="Z148" s="99">
        <v>0</v>
      </c>
      <c r="AA148" s="99">
        <v>0</v>
      </c>
      <c r="AB148" s="99">
        <v>0</v>
      </c>
      <c r="AC148" s="99">
        <v>0</v>
      </c>
      <c r="AD148" s="99">
        <v>0</v>
      </c>
      <c r="AE148" s="99">
        <v>0</v>
      </c>
      <c r="AF148" s="66">
        <v>0.22183146745325641</v>
      </c>
      <c r="AG148" s="99">
        <v>0</v>
      </c>
    </row>
    <row r="149" spans="1:33" x14ac:dyDescent="0.35">
      <c r="A149" s="127" t="s">
        <v>13</v>
      </c>
      <c r="B149" s="66">
        <v>0</v>
      </c>
      <c r="C149" s="66">
        <v>-1.947305035173486E-3</v>
      </c>
      <c r="D149" s="66">
        <v>0</v>
      </c>
      <c r="E149" s="66">
        <v>-0.4355056826967143</v>
      </c>
      <c r="F149" s="66">
        <v>-4.5340795004165102E-3</v>
      </c>
      <c r="G149" s="66">
        <v>-8.2263186370710173E-3</v>
      </c>
      <c r="H149" s="66">
        <v>0.12607364757150211</v>
      </c>
      <c r="I149" s="66">
        <v>0.28975945563178129</v>
      </c>
      <c r="J149" s="99">
        <v>0</v>
      </c>
      <c r="K149" s="66">
        <v>-5.3751830289314739E-2</v>
      </c>
      <c r="L149" s="66">
        <v>0.24478740595696991</v>
      </c>
      <c r="M149" s="66">
        <v>0</v>
      </c>
      <c r="N149" s="99">
        <v>0</v>
      </c>
      <c r="O149" s="66">
        <v>-1.7495604263046971E-2</v>
      </c>
      <c r="P149" s="66">
        <v>0</v>
      </c>
      <c r="Q149" s="66">
        <v>0</v>
      </c>
      <c r="R149" s="66">
        <v>0.30801961493557428</v>
      </c>
      <c r="S149" s="66">
        <v>0</v>
      </c>
      <c r="T149" s="66">
        <v>0</v>
      </c>
      <c r="U149" s="66">
        <v>0</v>
      </c>
      <c r="V149" s="66">
        <v>0</v>
      </c>
      <c r="W149" s="66">
        <v>0</v>
      </c>
      <c r="X149" s="66">
        <v>0</v>
      </c>
      <c r="Y149" s="66">
        <v>0</v>
      </c>
      <c r="Z149" s="99">
        <v>0</v>
      </c>
      <c r="AA149" s="99">
        <v>0</v>
      </c>
      <c r="AB149" s="99">
        <v>0</v>
      </c>
      <c r="AC149" s="99">
        <v>0</v>
      </c>
      <c r="AD149" s="99">
        <v>0</v>
      </c>
      <c r="AE149" s="99">
        <v>0</v>
      </c>
      <c r="AF149" s="66">
        <v>0.22236952058875659</v>
      </c>
      <c r="AG149" s="99">
        <v>0</v>
      </c>
    </row>
    <row r="150" spans="1:33" x14ac:dyDescent="0.35">
      <c r="A150" s="127" t="s">
        <v>14</v>
      </c>
      <c r="B150" s="66">
        <v>0</v>
      </c>
      <c r="C150" s="66">
        <v>-6.9117184723666014E-3</v>
      </c>
      <c r="D150" s="66">
        <v>0</v>
      </c>
      <c r="E150" s="66">
        <v>-0.44093641809834588</v>
      </c>
      <c r="F150" s="66">
        <v>-4.27610399731293E-3</v>
      </c>
      <c r="G150" s="66">
        <v>-1.7732524997398968E-2</v>
      </c>
      <c r="H150" s="66">
        <v>7.6514962356554861E-2</v>
      </c>
      <c r="I150" s="66">
        <v>0.28818278128485991</v>
      </c>
      <c r="J150" s="99">
        <v>0</v>
      </c>
      <c r="K150" s="66">
        <v>-5.3176290247563429E-2</v>
      </c>
      <c r="L150" s="66">
        <v>0.24358353894911031</v>
      </c>
      <c r="M150" s="66">
        <v>0</v>
      </c>
      <c r="N150" s="99">
        <v>0</v>
      </c>
      <c r="O150" s="66">
        <v>-1.9773406133566599E-2</v>
      </c>
      <c r="P150" s="66">
        <v>0</v>
      </c>
      <c r="Q150" s="66">
        <v>0</v>
      </c>
      <c r="R150" s="66">
        <v>0.42896273351524877</v>
      </c>
      <c r="S150" s="66">
        <v>0</v>
      </c>
      <c r="T150" s="66">
        <v>0</v>
      </c>
      <c r="U150" s="66">
        <v>0</v>
      </c>
      <c r="V150" s="66">
        <v>0</v>
      </c>
      <c r="W150" s="66">
        <v>0</v>
      </c>
      <c r="X150" s="66">
        <v>0</v>
      </c>
      <c r="Y150" s="66">
        <v>0</v>
      </c>
      <c r="Z150" s="99">
        <v>0</v>
      </c>
      <c r="AA150" s="99">
        <v>0</v>
      </c>
      <c r="AB150" s="99">
        <v>0</v>
      </c>
      <c r="AC150" s="99">
        <v>0</v>
      </c>
      <c r="AD150" s="99">
        <v>0</v>
      </c>
      <c r="AE150" s="99">
        <v>0</v>
      </c>
      <c r="AF150" s="66">
        <v>0.2213514923908235</v>
      </c>
      <c r="AG150" s="99">
        <v>0</v>
      </c>
    </row>
    <row r="151" spans="1:33" x14ac:dyDescent="0.35">
      <c r="A151" s="127" t="s">
        <v>15</v>
      </c>
      <c r="B151" s="66">
        <v>0</v>
      </c>
      <c r="C151" s="66">
        <v>-7.2319454136788863E-3</v>
      </c>
      <c r="D151" s="66">
        <v>-7.8452650888038988E-4</v>
      </c>
      <c r="E151" s="66">
        <v>-0.21826452312771491</v>
      </c>
      <c r="F151" s="66">
        <v>-8.6467728758350404E-3</v>
      </c>
      <c r="G151" s="66">
        <v>-1.5106049979721091E-2</v>
      </c>
      <c r="H151" s="66">
        <v>8.5226373910785469E-2</v>
      </c>
      <c r="I151" s="66">
        <v>0.27340732928428219</v>
      </c>
      <c r="J151" s="99">
        <v>0</v>
      </c>
      <c r="K151" s="66">
        <v>-6.5560715541607806E-2</v>
      </c>
      <c r="L151" s="66">
        <v>0.23102913804157771</v>
      </c>
      <c r="M151" s="66">
        <v>0</v>
      </c>
      <c r="N151" s="99">
        <v>0</v>
      </c>
      <c r="O151" s="66">
        <v>-1.9282486976067052E-2</v>
      </c>
      <c r="P151" s="66">
        <v>0</v>
      </c>
      <c r="Q151" s="66">
        <v>0</v>
      </c>
      <c r="R151" s="66">
        <v>1.3824392509926331</v>
      </c>
      <c r="S151" s="66">
        <v>0</v>
      </c>
      <c r="T151" s="66">
        <v>0</v>
      </c>
      <c r="U151" s="66">
        <v>0</v>
      </c>
      <c r="V151" s="66">
        <v>0</v>
      </c>
      <c r="W151" s="66">
        <v>0</v>
      </c>
      <c r="X151" s="66">
        <v>0</v>
      </c>
      <c r="Y151" s="66">
        <v>0</v>
      </c>
      <c r="Z151" s="99">
        <v>0</v>
      </c>
      <c r="AA151" s="99">
        <v>0</v>
      </c>
      <c r="AB151" s="99">
        <v>0</v>
      </c>
      <c r="AC151" s="99">
        <v>0</v>
      </c>
      <c r="AD151" s="99">
        <v>0</v>
      </c>
      <c r="AE151" s="99">
        <v>0</v>
      </c>
      <c r="AF151" s="66">
        <v>0.20990425180087871</v>
      </c>
      <c r="AG151" s="99">
        <v>0</v>
      </c>
    </row>
    <row r="152" spans="1:33" x14ac:dyDescent="0.35">
      <c r="A152" s="127" t="s">
        <v>16</v>
      </c>
      <c r="B152" s="66">
        <v>0</v>
      </c>
      <c r="C152" s="66">
        <v>-1.172920180914616E-2</v>
      </c>
      <c r="D152" s="66">
        <v>-9.8196203362022061E-4</v>
      </c>
      <c r="E152" s="66">
        <v>-5.741761739139406E-2</v>
      </c>
      <c r="F152" s="66">
        <v>-6.1994294683245244E-3</v>
      </c>
      <c r="G152" s="66">
        <v>-3.2773946970934283E-2</v>
      </c>
      <c r="H152" s="66">
        <v>0.1107725890616109</v>
      </c>
      <c r="I152" s="66">
        <v>0.27396596880578272</v>
      </c>
      <c r="J152" s="99">
        <v>0</v>
      </c>
      <c r="K152" s="66">
        <v>-7.8358081657597722E-2</v>
      </c>
      <c r="L152" s="66">
        <v>0.23141266906347371</v>
      </c>
      <c r="M152" s="66">
        <v>0</v>
      </c>
      <c r="N152" s="99">
        <v>0</v>
      </c>
      <c r="O152" s="66">
        <v>-2.2044356853001549E-2</v>
      </c>
      <c r="P152" s="66">
        <v>0</v>
      </c>
      <c r="Q152" s="66">
        <v>0</v>
      </c>
      <c r="R152" s="66">
        <v>1.230526652818924</v>
      </c>
      <c r="S152" s="66">
        <v>0</v>
      </c>
      <c r="T152" s="66">
        <v>0</v>
      </c>
      <c r="U152" s="66">
        <v>0</v>
      </c>
      <c r="V152" s="66">
        <v>0</v>
      </c>
      <c r="W152" s="66">
        <v>0</v>
      </c>
      <c r="X152" s="66">
        <v>0</v>
      </c>
      <c r="Y152" s="66">
        <v>0</v>
      </c>
      <c r="Z152" s="99">
        <v>0</v>
      </c>
      <c r="AA152" s="99">
        <v>0</v>
      </c>
      <c r="AB152" s="99">
        <v>0</v>
      </c>
      <c r="AC152" s="99">
        <v>0</v>
      </c>
      <c r="AD152" s="99">
        <v>0</v>
      </c>
      <c r="AE152" s="99">
        <v>0</v>
      </c>
      <c r="AF152" s="66">
        <v>0.21020049388889109</v>
      </c>
      <c r="AG152" s="99">
        <v>0</v>
      </c>
    </row>
    <row r="153" spans="1:33" x14ac:dyDescent="0.35">
      <c r="A153" s="127" t="s">
        <v>17</v>
      </c>
      <c r="B153" s="66">
        <v>0</v>
      </c>
      <c r="C153" s="66">
        <v>-1.011661109075135E-2</v>
      </c>
      <c r="D153" s="66">
        <v>-1.3757379131504881E-3</v>
      </c>
      <c r="E153" s="66">
        <v>-7.380251029363194E-2</v>
      </c>
      <c r="F153" s="66">
        <v>-1.059651150166019E-2</v>
      </c>
      <c r="G153" s="66">
        <v>-3.149664876133329E-2</v>
      </c>
      <c r="H153" s="66">
        <v>8.8040879179118292E-2</v>
      </c>
      <c r="I153" s="66">
        <v>0.27899336134387909</v>
      </c>
      <c r="J153" s="99">
        <v>0</v>
      </c>
      <c r="K153" s="66">
        <v>-5.3770806186207658E-2</v>
      </c>
      <c r="L153" s="66">
        <v>0.2356721693829513</v>
      </c>
      <c r="M153" s="66">
        <v>0</v>
      </c>
      <c r="N153" s="99">
        <v>0</v>
      </c>
      <c r="O153" s="66">
        <v>-2.2286435115972839E-2</v>
      </c>
      <c r="P153" s="66">
        <v>0</v>
      </c>
      <c r="Q153" s="66">
        <v>0</v>
      </c>
      <c r="R153" s="66">
        <v>0.85546734627180854</v>
      </c>
      <c r="S153" s="66">
        <v>0</v>
      </c>
      <c r="T153" s="66">
        <v>0</v>
      </c>
      <c r="U153" s="66">
        <v>0</v>
      </c>
      <c r="V153" s="66">
        <v>0</v>
      </c>
      <c r="W153" s="66">
        <v>0</v>
      </c>
      <c r="X153" s="66">
        <v>0</v>
      </c>
      <c r="Y153" s="66">
        <v>0</v>
      </c>
      <c r="Z153" s="99">
        <v>0</v>
      </c>
      <c r="AA153" s="99">
        <v>0</v>
      </c>
      <c r="AB153" s="99">
        <v>0</v>
      </c>
      <c r="AC153" s="99">
        <v>0</v>
      </c>
      <c r="AD153" s="99">
        <v>0</v>
      </c>
      <c r="AE153" s="99">
        <v>0</v>
      </c>
      <c r="AF153" s="66">
        <v>0.2140772115721461</v>
      </c>
      <c r="AG153" s="99">
        <v>0</v>
      </c>
    </row>
    <row r="154" spans="1:33" x14ac:dyDescent="0.35">
      <c r="A154" s="127" t="s">
        <v>18</v>
      </c>
      <c r="B154" s="66">
        <v>0</v>
      </c>
      <c r="C154" s="66">
        <v>-7.9840961814454658E-3</v>
      </c>
      <c r="D154" s="66">
        <v>-2.741400472302757E-3</v>
      </c>
      <c r="E154" s="66">
        <v>-6.7660347020790823E-2</v>
      </c>
      <c r="F154" s="66">
        <v>-1.65047107832379E-2</v>
      </c>
      <c r="G154" s="66">
        <v>-2.210040068655417E-2</v>
      </c>
      <c r="H154" s="66">
        <v>0.17050972106230231</v>
      </c>
      <c r="I154" s="66">
        <v>0.27896918045652802</v>
      </c>
      <c r="J154" s="66">
        <v>0</v>
      </c>
      <c r="K154" s="66">
        <v>-0.107481286677455</v>
      </c>
      <c r="L154" s="66">
        <v>0.2357128331723288</v>
      </c>
      <c r="M154" s="66">
        <v>0</v>
      </c>
      <c r="N154" s="66">
        <v>0</v>
      </c>
      <c r="O154" s="66">
        <v>-3.1875877684370828E-2</v>
      </c>
      <c r="P154" s="66">
        <v>0</v>
      </c>
      <c r="Q154" s="66">
        <v>0</v>
      </c>
      <c r="R154" s="66">
        <v>0.78604131272385303</v>
      </c>
      <c r="S154" s="66">
        <v>0</v>
      </c>
      <c r="T154" s="66">
        <v>0</v>
      </c>
      <c r="U154" s="66">
        <v>0</v>
      </c>
      <c r="V154" s="66">
        <v>0</v>
      </c>
      <c r="W154" s="66">
        <v>0</v>
      </c>
      <c r="X154" s="66">
        <v>0</v>
      </c>
      <c r="Y154" s="66">
        <v>0</v>
      </c>
      <c r="Z154" s="66">
        <v>0</v>
      </c>
      <c r="AA154" s="66">
        <v>0</v>
      </c>
      <c r="AB154" s="66">
        <v>0</v>
      </c>
      <c r="AC154" s="66">
        <v>0</v>
      </c>
      <c r="AD154" s="66">
        <v>0</v>
      </c>
      <c r="AE154" s="66">
        <v>0</v>
      </c>
      <c r="AF154" s="66">
        <v>0.21415019945035851</v>
      </c>
      <c r="AG154" s="66">
        <v>0</v>
      </c>
    </row>
    <row r="155" spans="1:33" x14ac:dyDescent="0.35">
      <c r="A155" s="127" t="s">
        <v>19</v>
      </c>
      <c r="B155" s="66">
        <v>0</v>
      </c>
      <c r="C155">
        <v>-1.469616205875468E-2</v>
      </c>
      <c r="D155">
        <v>-1.1600737017261049E-3</v>
      </c>
      <c r="E155">
        <v>-6.9058519905524918E-2</v>
      </c>
      <c r="F155">
        <v>-2.371897987936222E-2</v>
      </c>
      <c r="G155">
        <v>-5.0984798658532782E-2</v>
      </c>
      <c r="H155">
        <v>0.25081914737390321</v>
      </c>
      <c r="I155">
        <v>0.28128049967898511</v>
      </c>
      <c r="J155">
        <v>0</v>
      </c>
      <c r="K155">
        <v>-1.309843156730039E-2</v>
      </c>
      <c r="L155">
        <v>0.23752526911525251</v>
      </c>
      <c r="M155">
        <v>0</v>
      </c>
      <c r="N155">
        <v>0</v>
      </c>
      <c r="O155">
        <v>-1.447648690734127E-2</v>
      </c>
      <c r="P155">
        <v>0</v>
      </c>
      <c r="Q155">
        <v>0</v>
      </c>
      <c r="R155">
        <v>0.54596560768212044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0.2157139496372622</v>
      </c>
      <c r="AG155">
        <v>0</v>
      </c>
    </row>
    <row r="156" spans="1:33" x14ac:dyDescent="0.35">
      <c r="A156" s="127" t="s">
        <v>20</v>
      </c>
      <c r="B156">
        <v>0</v>
      </c>
      <c r="C156">
        <v>-1.108243832578637E-2</v>
      </c>
      <c r="D156">
        <v>-1.165533702277344E-3</v>
      </c>
      <c r="E156">
        <v>-6.0325485458093908E-2</v>
      </c>
      <c r="F156">
        <v>-2.5779930865127199E-2</v>
      </c>
      <c r="G156">
        <v>-5.4002269777498668E-2</v>
      </c>
      <c r="H156">
        <v>0.17800509812715859</v>
      </c>
      <c r="I156">
        <v>0.28081244011525541</v>
      </c>
      <c r="J156">
        <v>0</v>
      </c>
      <c r="K156">
        <v>-6.3838405289118327E-2</v>
      </c>
      <c r="L156">
        <v>0.2371880384236533</v>
      </c>
      <c r="M156">
        <v>0</v>
      </c>
      <c r="N156">
        <v>0</v>
      </c>
      <c r="O156">
        <v>-2.707059103178722E-2</v>
      </c>
      <c r="P156">
        <v>1.587007260837936E-3</v>
      </c>
      <c r="Q156">
        <v>0</v>
      </c>
      <c r="R156">
        <v>0.67191496246445581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0.21544193515617849</v>
      </c>
      <c r="AG156">
        <v>0</v>
      </c>
    </row>
    <row r="157" spans="1:33" x14ac:dyDescent="0.35">
      <c r="A157" s="127" t="s">
        <v>21</v>
      </c>
      <c r="B157">
        <v>0</v>
      </c>
      <c r="C157">
        <v>-1.379445796706591E-2</v>
      </c>
      <c r="D157">
        <v>-7.598869147784626E-4</v>
      </c>
      <c r="E157">
        <v>-0.17537583701670201</v>
      </c>
      <c r="F157">
        <v>-4.7721976992932007E-2</v>
      </c>
      <c r="G157">
        <v>-7.118744773052299E-2</v>
      </c>
      <c r="H157">
        <v>0.2205929659537276</v>
      </c>
      <c r="I157">
        <v>0.2769361568316242</v>
      </c>
      <c r="J157">
        <v>0</v>
      </c>
      <c r="K157">
        <v>-3.3823786025124043E-2</v>
      </c>
      <c r="L157">
        <v>0.23403990274459829</v>
      </c>
      <c r="M157">
        <v>0</v>
      </c>
      <c r="N157">
        <v>0</v>
      </c>
      <c r="O157">
        <v>-4.2099818949253631E-2</v>
      </c>
      <c r="P157">
        <v>1.912203566035942E-3</v>
      </c>
      <c r="Q157">
        <v>0</v>
      </c>
      <c r="R157">
        <v>0.98796802407372297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0.2126567700254611</v>
      </c>
      <c r="AG157">
        <v>0</v>
      </c>
    </row>
    <row r="158" spans="1:33" x14ac:dyDescent="0.35">
      <c r="B158">
        <v>0</v>
      </c>
      <c r="C158">
        <v>-1.229159060187612E-2</v>
      </c>
      <c r="D158">
        <v>-2.9385588115360411E-4</v>
      </c>
      <c r="E158">
        <v>-0.17413885934183779</v>
      </c>
      <c r="F158">
        <v>-6.2218914106694001E-2</v>
      </c>
      <c r="G158">
        <v>-8.0213835197326944E-2</v>
      </c>
      <c r="H158">
        <v>0.20458715002294531</v>
      </c>
      <c r="I158">
        <v>0.26942174690918819</v>
      </c>
      <c r="J158">
        <v>0</v>
      </c>
      <c r="K158">
        <v>-7.1417142539786482E-2</v>
      </c>
      <c r="L158">
        <v>0.22772776149147941</v>
      </c>
      <c r="M158">
        <v>0</v>
      </c>
      <c r="N158">
        <v>0</v>
      </c>
      <c r="O158">
        <v>-3.689559559626332E-2</v>
      </c>
      <c r="P158">
        <v>2.2232700555662181E-3</v>
      </c>
      <c r="Q158">
        <v>0</v>
      </c>
      <c r="R158">
        <v>1.6228994823902949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0.20694394148779341</v>
      </c>
      <c r="AG158">
        <v>0</v>
      </c>
    </row>
    <row r="159" spans="1:33" x14ac:dyDescent="0.35">
      <c r="B159">
        <v>0</v>
      </c>
      <c r="C159">
        <v>-1.1635804030419189E-2</v>
      </c>
      <c r="D159">
        <v>-1.3698657910197201E-3</v>
      </c>
      <c r="E159">
        <v>-0.1224841071393428</v>
      </c>
      <c r="F159">
        <v>-0.13677360241197789</v>
      </c>
      <c r="G159">
        <v>-4.1376944968789083E-2</v>
      </c>
      <c r="H159">
        <v>0.2077200538184911</v>
      </c>
      <c r="I159">
        <v>0.27445765558420021</v>
      </c>
      <c r="J159">
        <v>0</v>
      </c>
      <c r="K159">
        <v>-5.8046452253506693E-2</v>
      </c>
      <c r="L159">
        <v>0.23221049984658751</v>
      </c>
      <c r="M159">
        <v>0</v>
      </c>
      <c r="N159">
        <v>0</v>
      </c>
      <c r="O159">
        <v>-3.9924403650587692E-2</v>
      </c>
      <c r="P159">
        <v>0</v>
      </c>
      <c r="Q159">
        <v>0</v>
      </c>
      <c r="R159">
        <v>1.091848579515897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0.21115093281980529</v>
      </c>
      <c r="AG159">
        <v>0</v>
      </c>
    </row>
    <row r="160" spans="1:33" x14ac:dyDescent="0.35">
      <c r="B160">
        <v>0</v>
      </c>
      <c r="C160">
        <v>-8.9178713819251243E-3</v>
      </c>
      <c r="D160">
        <v>-2.1716267432054792E-3</v>
      </c>
      <c r="E160">
        <v>-6.5105687982281779E-2</v>
      </c>
      <c r="F160">
        <v>-5.7825077285883708E-2</v>
      </c>
      <c r="G160">
        <v>-8.45868094253035E-2</v>
      </c>
      <c r="H160">
        <v>0.18739103323974859</v>
      </c>
      <c r="I160">
        <v>0.27905588517751312</v>
      </c>
      <c r="J160">
        <v>0</v>
      </c>
      <c r="K160">
        <v>-8.5539247574445199E-2</v>
      </c>
      <c r="L160">
        <v>0.2357515706255526</v>
      </c>
      <c r="M160">
        <v>0</v>
      </c>
      <c r="N160">
        <v>0</v>
      </c>
      <c r="O160">
        <v>-4.9046562760508998E-2</v>
      </c>
      <c r="P160">
        <v>0</v>
      </c>
      <c r="Q160">
        <v>0</v>
      </c>
      <c r="R160">
        <v>0.88721385257784391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0.2141650259473806</v>
      </c>
      <c r="AG160">
        <v>0</v>
      </c>
    </row>
    <row r="161" spans="1:33" x14ac:dyDescent="0.35">
      <c r="B161">
        <v>0</v>
      </c>
      <c r="C161">
        <v>-5.8626631534650642E-3</v>
      </c>
      <c r="D161">
        <v>-2.4358856992421352E-3</v>
      </c>
      <c r="E161">
        <v>-7.8864779892938941E-2</v>
      </c>
      <c r="F161">
        <v>-3.5421352121915113E-2</v>
      </c>
      <c r="G161">
        <v>-2.6402698676804452E-2</v>
      </c>
      <c r="H161">
        <v>0.2034762097582927</v>
      </c>
      <c r="I161">
        <v>0.15285399154083729</v>
      </c>
      <c r="J161">
        <v>0</v>
      </c>
      <c r="K161">
        <v>-5.1305044616952962E-2</v>
      </c>
      <c r="L161">
        <v>0.23421559288092911</v>
      </c>
      <c r="M161">
        <v>0</v>
      </c>
      <c r="N161">
        <v>0</v>
      </c>
      <c r="O161">
        <v>-3.7985854874932563E-2</v>
      </c>
      <c r="P161">
        <v>2.879819919769488E-3</v>
      </c>
      <c r="Q161">
        <v>0</v>
      </c>
      <c r="R161">
        <v>0.93655223873335558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0.2128357140661592</v>
      </c>
      <c r="AG161">
        <v>0</v>
      </c>
    </row>
    <row r="162" spans="1:33" x14ac:dyDescent="0.35">
      <c r="A162" s="129" t="s">
        <v>35</v>
      </c>
      <c r="B162">
        <v>0</v>
      </c>
      <c r="C162">
        <v>0</v>
      </c>
      <c r="D162">
        <v>-3.9176509576179797E-3</v>
      </c>
      <c r="E162">
        <v>-4.4848968337504402E-2</v>
      </c>
      <c r="F162">
        <v>-1.390622809046249E-2</v>
      </c>
      <c r="G162">
        <v>-0.1002958500314151</v>
      </c>
      <c r="H162">
        <v>0.3152615933778975</v>
      </c>
      <c r="I162">
        <v>0.15973718254497271</v>
      </c>
      <c r="J162">
        <v>0</v>
      </c>
      <c r="K162">
        <v>-8.7246056327870747E-2</v>
      </c>
      <c r="L162">
        <v>0.2339136493102956</v>
      </c>
      <c r="M162">
        <v>0</v>
      </c>
      <c r="N162">
        <v>0</v>
      </c>
      <c r="O162">
        <v>-0.1045043818827764</v>
      </c>
      <c r="P162">
        <v>0</v>
      </c>
      <c r="Q162">
        <v>0</v>
      </c>
      <c r="R162">
        <v>0.75502032238992456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0.21280334125128769</v>
      </c>
      <c r="AG162">
        <v>0</v>
      </c>
    </row>
    <row r="163" spans="1:33" ht="45" customHeight="1" x14ac:dyDescent="0.35">
      <c r="A163" s="128" t="s">
        <v>112</v>
      </c>
      <c r="B163" s="123">
        <v>0</v>
      </c>
      <c r="C163" s="123">
        <v>-8.6255046613246122E-3</v>
      </c>
      <c r="D163" s="123">
        <v>-5.6347642762091246E-3</v>
      </c>
      <c r="E163" s="123">
        <v>-4.2178043010210331E-3</v>
      </c>
      <c r="F163" s="123">
        <v>-1.1177865712255651E-2</v>
      </c>
      <c r="G163" s="123">
        <v>-9.2690822765177927E-3</v>
      </c>
      <c r="H163" s="123">
        <v>0.29196103406911789</v>
      </c>
      <c r="I163" s="123">
        <v>0.13243076102506279</v>
      </c>
      <c r="J163" s="124">
        <v>0</v>
      </c>
      <c r="K163" s="123">
        <v>-1.155421214841112E-2</v>
      </c>
      <c r="L163" s="123">
        <v>8.5112495020496226E-3</v>
      </c>
      <c r="M163" s="123">
        <v>0</v>
      </c>
      <c r="N163" s="124">
        <v>0</v>
      </c>
      <c r="O163" s="123">
        <v>-3.117868277004732E-2</v>
      </c>
      <c r="P163" s="123">
        <v>1.038353654564617E-3</v>
      </c>
      <c r="Q163" s="123">
        <v>0</v>
      </c>
      <c r="R163" s="123">
        <v>1.34067734584238</v>
      </c>
      <c r="S163" s="123">
        <v>0</v>
      </c>
      <c r="T163" s="123">
        <v>0</v>
      </c>
      <c r="U163" s="123">
        <v>0</v>
      </c>
      <c r="V163" s="123">
        <v>0</v>
      </c>
      <c r="W163" s="123">
        <v>0</v>
      </c>
      <c r="X163" s="123">
        <v>0</v>
      </c>
      <c r="Y163" s="123">
        <v>0</v>
      </c>
      <c r="Z163" s="124">
        <v>0</v>
      </c>
      <c r="AA163" s="124">
        <v>0</v>
      </c>
      <c r="AB163" s="124">
        <v>0</v>
      </c>
      <c r="AC163" s="124">
        <v>0</v>
      </c>
      <c r="AD163" s="124">
        <v>0</v>
      </c>
      <c r="AE163" s="124">
        <v>0</v>
      </c>
      <c r="AF163" s="123">
        <v>0.2071216575793926</v>
      </c>
      <c r="AG163" s="124">
        <v>0</v>
      </c>
    </row>
    <row r="164" spans="1:33" x14ac:dyDescent="0.35">
      <c r="A164" s="127" t="s">
        <v>160</v>
      </c>
      <c r="B164" s="66">
        <v>0</v>
      </c>
      <c r="C164" s="66">
        <v>0</v>
      </c>
      <c r="D164" s="66">
        <v>0</v>
      </c>
      <c r="E164" s="66">
        <v>-0.91301461818429175</v>
      </c>
      <c r="F164" s="66">
        <v>0</v>
      </c>
      <c r="G164" s="66">
        <v>-6.0828657464639946E-3</v>
      </c>
      <c r="H164" s="66">
        <v>6.4952177849221471E-2</v>
      </c>
      <c r="I164" s="66">
        <v>0.30069134651775192</v>
      </c>
      <c r="J164" s="99">
        <v>0</v>
      </c>
      <c r="K164" s="66">
        <v>-0.10490831658827909</v>
      </c>
      <c r="L164" s="66">
        <v>0.25410511862182261</v>
      </c>
      <c r="M164" s="66">
        <v>0</v>
      </c>
      <c r="N164" s="99">
        <v>0</v>
      </c>
      <c r="O164" s="66">
        <v>-1.19359711406446E-2</v>
      </c>
      <c r="P164" s="66">
        <v>0</v>
      </c>
      <c r="Q164" s="66">
        <v>0</v>
      </c>
      <c r="R164" s="66">
        <v>0</v>
      </c>
      <c r="S164" s="66">
        <v>0</v>
      </c>
      <c r="T164" s="66">
        <v>0</v>
      </c>
      <c r="U164" s="66">
        <v>0</v>
      </c>
      <c r="V164" s="66">
        <v>0</v>
      </c>
      <c r="W164" s="66">
        <v>0</v>
      </c>
      <c r="X164" s="99">
        <v>0</v>
      </c>
      <c r="Y164" s="66">
        <v>0</v>
      </c>
      <c r="Z164" s="99">
        <v>0</v>
      </c>
      <c r="AA164" s="99">
        <v>0</v>
      </c>
      <c r="AB164" s="99">
        <v>0</v>
      </c>
      <c r="AC164" s="99">
        <v>0</v>
      </c>
      <c r="AD164" s="99">
        <v>0</v>
      </c>
      <c r="AE164" s="99">
        <v>0</v>
      </c>
      <c r="AF164" s="66">
        <v>0.2308825898676474</v>
      </c>
      <c r="AG164" s="99">
        <v>0</v>
      </c>
    </row>
    <row r="165" spans="1:33" x14ac:dyDescent="0.35">
      <c r="A165" s="127" t="s">
        <v>1</v>
      </c>
      <c r="B165" s="66">
        <v>0</v>
      </c>
      <c r="C165" s="66">
        <v>-6.0180705127947931E-3</v>
      </c>
      <c r="D165" s="66">
        <v>0</v>
      </c>
      <c r="E165" s="66">
        <v>-0.38159159038605139</v>
      </c>
      <c r="F165" s="66">
        <v>-5.9962950967928919E-4</v>
      </c>
      <c r="G165" s="66">
        <v>-1.496814396358559E-2</v>
      </c>
      <c r="H165" s="66">
        <v>5.1346828830077129E-2</v>
      </c>
      <c r="I165" s="66">
        <v>0.29508537863378592</v>
      </c>
      <c r="J165" s="99">
        <v>0</v>
      </c>
      <c r="K165" s="66">
        <v>-0.1118228298231827</v>
      </c>
      <c r="L165" s="66">
        <v>0.24924650282665081</v>
      </c>
      <c r="M165" s="66">
        <v>0</v>
      </c>
      <c r="N165" s="99">
        <v>0</v>
      </c>
      <c r="O165" s="66">
        <v>-1.2673943240002931E-2</v>
      </c>
      <c r="P165" s="66">
        <v>0</v>
      </c>
      <c r="Q165" s="66">
        <v>0</v>
      </c>
      <c r="R165" s="66">
        <v>0</v>
      </c>
      <c r="S165" s="66">
        <v>0</v>
      </c>
      <c r="T165" s="66">
        <v>0</v>
      </c>
      <c r="U165" s="66">
        <v>0</v>
      </c>
      <c r="V165" s="66">
        <v>0</v>
      </c>
      <c r="W165" s="66">
        <v>0</v>
      </c>
      <c r="X165" s="99">
        <v>0</v>
      </c>
      <c r="Y165" s="66">
        <v>0</v>
      </c>
      <c r="Z165" s="99">
        <v>0</v>
      </c>
      <c r="AA165" s="99">
        <v>0</v>
      </c>
      <c r="AB165" s="99">
        <v>0</v>
      </c>
      <c r="AC165" s="99">
        <v>0</v>
      </c>
      <c r="AD165" s="99">
        <v>0</v>
      </c>
      <c r="AE165" s="99">
        <v>0</v>
      </c>
      <c r="AF165" s="66">
        <v>0.22639651776523809</v>
      </c>
      <c r="AG165" s="99">
        <v>0</v>
      </c>
    </row>
    <row r="166" spans="1:33" x14ac:dyDescent="0.35">
      <c r="A166" s="127" t="s">
        <v>2</v>
      </c>
      <c r="B166" s="66">
        <v>0</v>
      </c>
      <c r="C166" s="66">
        <v>-7.8167083285336503E-3</v>
      </c>
      <c r="D166" s="66">
        <v>0</v>
      </c>
      <c r="E166" s="66">
        <v>-0.1985102382681703</v>
      </c>
      <c r="F166" s="66">
        <v>0</v>
      </c>
      <c r="G166" s="66">
        <v>-2.35403605311717E-2</v>
      </c>
      <c r="H166" s="66">
        <v>2.6300830679076629E-2</v>
      </c>
      <c r="I166" s="66">
        <v>0.29427691700948339</v>
      </c>
      <c r="J166" s="99">
        <v>0</v>
      </c>
      <c r="K166" s="66">
        <v>-0.1858725653328861</v>
      </c>
      <c r="L166" s="66">
        <v>0.24853762566092999</v>
      </c>
      <c r="M166" s="66">
        <v>0</v>
      </c>
      <c r="N166" s="99">
        <v>0</v>
      </c>
      <c r="O166" s="66">
        <v>-1.2810709764693231E-2</v>
      </c>
      <c r="P166" s="66">
        <v>0</v>
      </c>
      <c r="Q166" s="66">
        <v>0</v>
      </c>
      <c r="R166" s="66">
        <v>0</v>
      </c>
      <c r="S166" s="66">
        <v>0</v>
      </c>
      <c r="T166" s="66">
        <v>0</v>
      </c>
      <c r="U166" s="66">
        <v>0</v>
      </c>
      <c r="V166" s="66">
        <v>0</v>
      </c>
      <c r="W166" s="66">
        <v>0</v>
      </c>
      <c r="X166" s="99">
        <v>0</v>
      </c>
      <c r="Y166" s="66">
        <v>0</v>
      </c>
      <c r="Z166" s="99">
        <v>0</v>
      </c>
      <c r="AA166" s="99">
        <v>0</v>
      </c>
      <c r="AB166" s="99">
        <v>0</v>
      </c>
      <c r="AC166" s="99">
        <v>0</v>
      </c>
      <c r="AD166" s="99">
        <v>0</v>
      </c>
      <c r="AE166" s="99">
        <v>0</v>
      </c>
      <c r="AF166" s="66">
        <v>0.22573728194322479</v>
      </c>
      <c r="AG166" s="99">
        <v>0</v>
      </c>
    </row>
    <row r="167" spans="1:33" x14ac:dyDescent="0.35">
      <c r="A167" s="127" t="s">
        <v>3</v>
      </c>
      <c r="B167" s="66">
        <v>0</v>
      </c>
      <c r="C167" s="66">
        <v>-1.0989553129434171E-2</v>
      </c>
      <c r="D167" s="66">
        <v>0</v>
      </c>
      <c r="E167" s="66">
        <v>-0.20829734834020999</v>
      </c>
      <c r="F167" s="66">
        <v>-9.5492159769605678E-4</v>
      </c>
      <c r="G167" s="66">
        <v>-3.7552730650816102E-2</v>
      </c>
      <c r="H167" s="66">
        <v>7.3203945612704047E-2</v>
      </c>
      <c r="I167" s="66">
        <v>0.29268075764304058</v>
      </c>
      <c r="J167" s="99">
        <v>0</v>
      </c>
      <c r="K167" s="66">
        <v>-0.18181865768650601</v>
      </c>
      <c r="L167" s="66">
        <v>0.2472079818516022</v>
      </c>
      <c r="M167" s="66">
        <v>0</v>
      </c>
      <c r="N167" s="99">
        <v>0</v>
      </c>
      <c r="O167" s="66">
        <v>-2.011944565248314E-2</v>
      </c>
      <c r="P167" s="66">
        <v>1.056514839859801E-3</v>
      </c>
      <c r="Q167" s="66">
        <v>0</v>
      </c>
      <c r="R167" s="66">
        <v>8.780647145073317E-2</v>
      </c>
      <c r="S167" s="66">
        <v>0</v>
      </c>
      <c r="T167" s="66">
        <v>0</v>
      </c>
      <c r="U167" s="66">
        <v>0</v>
      </c>
      <c r="V167" s="66">
        <v>0</v>
      </c>
      <c r="W167" s="66">
        <v>0</v>
      </c>
      <c r="X167" s="99">
        <v>0</v>
      </c>
      <c r="Y167" s="66">
        <v>0</v>
      </c>
      <c r="Z167" s="99">
        <v>0</v>
      </c>
      <c r="AA167" s="99">
        <v>0</v>
      </c>
      <c r="AB167" s="99">
        <v>0</v>
      </c>
      <c r="AC167" s="99">
        <v>0</v>
      </c>
      <c r="AD167" s="99">
        <v>0</v>
      </c>
      <c r="AE167" s="99">
        <v>0</v>
      </c>
      <c r="AF167" s="66">
        <v>0.22454049210102769</v>
      </c>
      <c r="AG167" s="99">
        <v>0</v>
      </c>
    </row>
    <row r="168" spans="1:33" x14ac:dyDescent="0.35">
      <c r="A168" s="127" t="s">
        <v>4</v>
      </c>
      <c r="B168" s="66">
        <v>0</v>
      </c>
      <c r="C168" s="66">
        <v>-1.616209216402353E-2</v>
      </c>
      <c r="D168" s="66">
        <v>0</v>
      </c>
      <c r="E168" s="66">
        <v>-0.34827000439048561</v>
      </c>
      <c r="F168" s="66">
        <v>0</v>
      </c>
      <c r="G168" s="66">
        <v>-4.8440731828463868E-2</v>
      </c>
      <c r="H168" s="66">
        <v>5.7374980546057941E-2</v>
      </c>
      <c r="I168" s="66">
        <v>0.29987006085744378</v>
      </c>
      <c r="J168" s="99">
        <v>0</v>
      </c>
      <c r="K168" s="66">
        <v>-0.1478434490869347</v>
      </c>
      <c r="L168" s="66">
        <v>0.25328064099039688</v>
      </c>
      <c r="M168" s="66">
        <v>0</v>
      </c>
      <c r="N168" s="99">
        <v>0</v>
      </c>
      <c r="O168" s="66">
        <v>-1.6194671382237399E-2</v>
      </c>
      <c r="P168" s="66">
        <v>7.1732287642589654E-4</v>
      </c>
      <c r="Q168" s="66">
        <v>0</v>
      </c>
      <c r="R168" s="66">
        <v>-0.33114421469034028</v>
      </c>
      <c r="S168" s="66">
        <v>0</v>
      </c>
      <c r="T168" s="66">
        <v>0</v>
      </c>
      <c r="U168" s="66">
        <v>0</v>
      </c>
      <c r="V168" s="66">
        <v>0</v>
      </c>
      <c r="W168" s="66">
        <v>0</v>
      </c>
      <c r="X168" s="99">
        <v>0</v>
      </c>
      <c r="Y168" s="66">
        <v>0</v>
      </c>
      <c r="Z168" s="99">
        <v>0</v>
      </c>
      <c r="AA168" s="99">
        <v>0</v>
      </c>
      <c r="AB168" s="99">
        <v>0</v>
      </c>
      <c r="AC168" s="99">
        <v>0</v>
      </c>
      <c r="AD168" s="99">
        <v>0</v>
      </c>
      <c r="AE168" s="99">
        <v>0</v>
      </c>
      <c r="AF168" s="66">
        <v>0.2300565210869934</v>
      </c>
      <c r="AG168" s="99">
        <v>0</v>
      </c>
    </row>
    <row r="169" spans="1:33" x14ac:dyDescent="0.35">
      <c r="A169" s="127" t="s">
        <v>5</v>
      </c>
      <c r="B169" s="66">
        <v>0</v>
      </c>
      <c r="C169" s="66">
        <v>-1.0135597044524051E-2</v>
      </c>
      <c r="D169" s="66">
        <v>0</v>
      </c>
      <c r="E169" s="66">
        <v>-0.26651388872087978</v>
      </c>
      <c r="F169" s="66">
        <v>-4.7634651275529899E-4</v>
      </c>
      <c r="G169" s="66">
        <v>-5.6031087383132672E-2</v>
      </c>
      <c r="H169" s="66">
        <v>7.3611696953349792E-2</v>
      </c>
      <c r="I169" s="66">
        <v>0.29600056378376388</v>
      </c>
      <c r="J169" s="99">
        <v>0</v>
      </c>
      <c r="K169" s="66">
        <v>-0.11869234758856349</v>
      </c>
      <c r="L169" s="66">
        <v>0.250029830870659</v>
      </c>
      <c r="M169" s="66">
        <v>0</v>
      </c>
      <c r="N169" s="99">
        <v>0</v>
      </c>
      <c r="O169" s="66">
        <v>-2.3081531082567611E-2</v>
      </c>
      <c r="P169" s="66">
        <v>9.92606598799739E-5</v>
      </c>
      <c r="Q169" s="66">
        <v>0</v>
      </c>
      <c r="R169" s="66">
        <v>-0.1602566834780248</v>
      </c>
      <c r="S169" s="66">
        <v>0</v>
      </c>
      <c r="T169" s="66">
        <v>0</v>
      </c>
      <c r="U169" s="66">
        <v>0</v>
      </c>
      <c r="V169" s="66">
        <v>0</v>
      </c>
      <c r="W169" s="66">
        <v>0</v>
      </c>
      <c r="X169" s="99">
        <v>0</v>
      </c>
      <c r="Y169" s="66">
        <v>0</v>
      </c>
      <c r="Z169" s="99">
        <v>0</v>
      </c>
      <c r="AA169" s="99">
        <v>0</v>
      </c>
      <c r="AB169" s="99">
        <v>0</v>
      </c>
      <c r="AC169" s="99">
        <v>0</v>
      </c>
      <c r="AD169" s="99">
        <v>0</v>
      </c>
      <c r="AE169" s="99">
        <v>0</v>
      </c>
      <c r="AF169" s="66">
        <v>0.22711411703971859</v>
      </c>
      <c r="AG169" s="99">
        <v>0</v>
      </c>
    </row>
    <row r="170" spans="1:33" x14ac:dyDescent="0.35">
      <c r="A170" s="127" t="s">
        <v>6</v>
      </c>
      <c r="B170" s="66">
        <v>0</v>
      </c>
      <c r="C170" s="66">
        <v>-7.7402308047282986E-3</v>
      </c>
      <c r="D170" s="66">
        <v>0</v>
      </c>
      <c r="E170" s="66">
        <v>-0.26414103346539258</v>
      </c>
      <c r="F170" s="66">
        <v>0</v>
      </c>
      <c r="G170" s="66">
        <v>-0.1237601128902668</v>
      </c>
      <c r="H170" s="66">
        <v>0.1213136764824583</v>
      </c>
      <c r="I170" s="66">
        <v>0.29546401944674022</v>
      </c>
      <c r="J170" s="99">
        <v>0</v>
      </c>
      <c r="K170" s="66">
        <v>-0.1620621877049189</v>
      </c>
      <c r="L170" s="66">
        <v>0.2496382372675896</v>
      </c>
      <c r="M170" s="66">
        <v>0</v>
      </c>
      <c r="N170" s="99">
        <v>0</v>
      </c>
      <c r="O170" s="66">
        <v>-1.7523923454234591E-2</v>
      </c>
      <c r="P170" s="66">
        <v>1.251770192425283E-4</v>
      </c>
      <c r="Q170" s="66">
        <v>0</v>
      </c>
      <c r="R170" s="66">
        <v>-0.10594405661549899</v>
      </c>
      <c r="S170" s="66">
        <v>0</v>
      </c>
      <c r="T170" s="66">
        <v>0</v>
      </c>
      <c r="U170" s="66">
        <v>0</v>
      </c>
      <c r="V170" s="66">
        <v>0</v>
      </c>
      <c r="W170" s="66">
        <v>0</v>
      </c>
      <c r="X170" s="99">
        <v>0</v>
      </c>
      <c r="Y170" s="66">
        <v>0</v>
      </c>
      <c r="Z170" s="99">
        <v>0</v>
      </c>
      <c r="AA170" s="99">
        <v>0</v>
      </c>
      <c r="AB170" s="99">
        <v>0</v>
      </c>
      <c r="AC170" s="99">
        <v>0</v>
      </c>
      <c r="AD170" s="99">
        <v>0</v>
      </c>
      <c r="AE170" s="99">
        <v>0</v>
      </c>
      <c r="AF170" s="66">
        <v>0.22679477918131849</v>
      </c>
      <c r="AG170" s="99">
        <v>0</v>
      </c>
    </row>
    <row r="171" spans="1:33" x14ac:dyDescent="0.35">
      <c r="A171" s="127" t="s">
        <v>7</v>
      </c>
      <c r="B171" s="66">
        <v>0</v>
      </c>
      <c r="C171" s="66">
        <v>-6.2423296276961082E-3</v>
      </c>
      <c r="D171" s="66">
        <v>0</v>
      </c>
      <c r="E171" s="66">
        <v>-0.40702472421486391</v>
      </c>
      <c r="F171" s="66">
        <v>0</v>
      </c>
      <c r="G171" s="66">
        <v>-0.111332206190923</v>
      </c>
      <c r="H171" s="66">
        <v>0.1246151151609638</v>
      </c>
      <c r="I171" s="66">
        <v>0.29463735450897838</v>
      </c>
      <c r="J171" s="99">
        <v>0</v>
      </c>
      <c r="K171" s="66">
        <v>-0.1794494260265935</v>
      </c>
      <c r="L171" s="66">
        <v>0.24901889952758441</v>
      </c>
      <c r="M171" s="66">
        <v>0</v>
      </c>
      <c r="N171" s="99">
        <v>0</v>
      </c>
      <c r="O171" s="66">
        <v>-3.0195397332391849E-2</v>
      </c>
      <c r="P171" s="66">
        <v>0</v>
      </c>
      <c r="Q171" s="66">
        <v>0</v>
      </c>
      <c r="R171" s="66">
        <v>7.2554214557300156E-2</v>
      </c>
      <c r="S171" s="66">
        <v>0</v>
      </c>
      <c r="T171" s="66">
        <v>0</v>
      </c>
      <c r="U171" s="66">
        <v>0</v>
      </c>
      <c r="V171" s="66">
        <v>0</v>
      </c>
      <c r="W171" s="66">
        <v>0</v>
      </c>
      <c r="X171" s="99">
        <v>0</v>
      </c>
      <c r="Y171" s="66">
        <v>0</v>
      </c>
      <c r="Z171" s="99">
        <v>0</v>
      </c>
      <c r="AA171" s="99">
        <v>0</v>
      </c>
      <c r="AB171" s="99">
        <v>0</v>
      </c>
      <c r="AC171" s="99">
        <v>0</v>
      </c>
      <c r="AD171" s="99">
        <v>0</v>
      </c>
      <c r="AE171" s="99">
        <v>0</v>
      </c>
      <c r="AF171" s="66">
        <v>0.22627879090808281</v>
      </c>
      <c r="AG171" s="99">
        <v>0</v>
      </c>
    </row>
    <row r="172" spans="1:33" x14ac:dyDescent="0.35">
      <c r="A172" s="127" t="s">
        <v>8</v>
      </c>
      <c r="B172" s="66">
        <v>0</v>
      </c>
      <c r="C172" s="66">
        <v>-1.409437672828062E-2</v>
      </c>
      <c r="D172" s="66">
        <v>0</v>
      </c>
      <c r="E172" s="66">
        <v>-0.50301625878674372</v>
      </c>
      <c r="F172" s="66">
        <v>0</v>
      </c>
      <c r="G172" s="66">
        <v>-0.1023057367389697</v>
      </c>
      <c r="H172" s="66">
        <v>0.14571045241436309</v>
      </c>
      <c r="I172" s="66">
        <v>0.29356196772380372</v>
      </c>
      <c r="J172" s="99">
        <v>0</v>
      </c>
      <c r="K172" s="66">
        <v>-0.189146406618562</v>
      </c>
      <c r="L172" s="66">
        <v>0.24826526592133291</v>
      </c>
      <c r="M172" s="66">
        <v>0</v>
      </c>
      <c r="N172" s="99">
        <v>0</v>
      </c>
      <c r="O172" s="66">
        <v>-2.8210338530811899E-2</v>
      </c>
      <c r="P172" s="66">
        <v>3.131869993836744E-3</v>
      </c>
      <c r="Q172" s="66">
        <v>0</v>
      </c>
      <c r="R172" s="66">
        <v>0.12286204715340431</v>
      </c>
      <c r="S172" s="66">
        <v>0</v>
      </c>
      <c r="T172" s="66">
        <v>0</v>
      </c>
      <c r="U172" s="66">
        <v>0</v>
      </c>
      <c r="V172" s="66">
        <v>0</v>
      </c>
      <c r="W172" s="66">
        <v>0</v>
      </c>
      <c r="X172" s="99">
        <v>0</v>
      </c>
      <c r="Y172" s="66">
        <v>0</v>
      </c>
      <c r="Z172" s="99">
        <v>0</v>
      </c>
      <c r="AA172" s="99">
        <v>0</v>
      </c>
      <c r="AB172" s="99">
        <v>0</v>
      </c>
      <c r="AC172" s="99">
        <v>0</v>
      </c>
      <c r="AD172" s="99">
        <v>0</v>
      </c>
      <c r="AE172" s="99">
        <v>0</v>
      </c>
      <c r="AF172" s="66">
        <v>0.225685546386444</v>
      </c>
      <c r="AG172" s="99">
        <v>0</v>
      </c>
    </row>
    <row r="173" spans="1:33" x14ac:dyDescent="0.35">
      <c r="A173" s="127" t="s">
        <v>9</v>
      </c>
      <c r="B173" s="66">
        <v>0</v>
      </c>
      <c r="C173" s="66">
        <v>-7.0807688821332704E-3</v>
      </c>
      <c r="D173" s="66">
        <v>0</v>
      </c>
      <c r="E173" s="66">
        <v>-0.33761480826584028</v>
      </c>
      <c r="F173" s="66">
        <v>-4.586226402523153E-4</v>
      </c>
      <c r="G173" s="66">
        <v>-9.2104138388265255E-2</v>
      </c>
      <c r="H173" s="66">
        <v>0.1116013464911703</v>
      </c>
      <c r="I173" s="66">
        <v>0.29000856977555151</v>
      </c>
      <c r="J173" s="99">
        <v>0</v>
      </c>
      <c r="K173" s="66">
        <v>-0.18150715990731209</v>
      </c>
      <c r="L173" s="66">
        <v>0.24511146000853051</v>
      </c>
      <c r="M173" s="66">
        <v>0</v>
      </c>
      <c r="N173" s="99">
        <v>0</v>
      </c>
      <c r="O173" s="66">
        <v>-1.9423971500287959E-2</v>
      </c>
      <c r="P173" s="66">
        <v>1.8974910614417691E-3</v>
      </c>
      <c r="Q173" s="66">
        <v>0</v>
      </c>
      <c r="R173" s="66">
        <v>0.33387217022499271</v>
      </c>
      <c r="S173" s="66">
        <v>0</v>
      </c>
      <c r="T173" s="66">
        <v>0</v>
      </c>
      <c r="U173" s="66">
        <v>0</v>
      </c>
      <c r="V173" s="66">
        <v>0</v>
      </c>
      <c r="W173" s="66">
        <v>0</v>
      </c>
      <c r="X173" s="99">
        <v>0</v>
      </c>
      <c r="Y173" s="66">
        <v>0</v>
      </c>
      <c r="Z173" s="99">
        <v>0</v>
      </c>
      <c r="AA173" s="99">
        <v>0</v>
      </c>
      <c r="AB173" s="99">
        <v>0</v>
      </c>
      <c r="AC173" s="99">
        <v>0</v>
      </c>
      <c r="AD173" s="99">
        <v>0</v>
      </c>
      <c r="AE173" s="99">
        <v>0</v>
      </c>
      <c r="AF173" s="66">
        <v>0.2227309310488863</v>
      </c>
      <c r="AG173" s="99">
        <v>0</v>
      </c>
    </row>
    <row r="174" spans="1:33" x14ac:dyDescent="0.35">
      <c r="A174" s="127" t="s">
        <v>10</v>
      </c>
      <c r="B174" s="66">
        <v>0</v>
      </c>
      <c r="C174" s="66">
        <v>-5.3495676402803838E-3</v>
      </c>
      <c r="D174" s="66">
        <v>0</v>
      </c>
      <c r="E174" s="66">
        <v>-0.20131992672557431</v>
      </c>
      <c r="F174" s="66">
        <v>0</v>
      </c>
      <c r="G174" s="66">
        <v>-6.5153150149143357E-2</v>
      </c>
      <c r="H174" s="66">
        <v>0.17016950963173369</v>
      </c>
      <c r="I174" s="66">
        <v>0.29181966609144178</v>
      </c>
      <c r="J174" s="99">
        <v>0</v>
      </c>
      <c r="K174" s="66">
        <v>-0.1821168053280644</v>
      </c>
      <c r="L174" s="66">
        <v>0.2464698440699635</v>
      </c>
      <c r="M174" s="66">
        <v>0</v>
      </c>
      <c r="N174" s="99">
        <v>0</v>
      </c>
      <c r="O174" s="66">
        <v>-3.529937156588403E-2</v>
      </c>
      <c r="P174" s="66">
        <v>1.6814873322061889E-3</v>
      </c>
      <c r="Q174" s="66">
        <v>0</v>
      </c>
      <c r="R174" s="66">
        <v>8.6694288626461002E-2</v>
      </c>
      <c r="S174" s="66">
        <v>0</v>
      </c>
      <c r="T174" s="66">
        <v>0</v>
      </c>
      <c r="U174" s="66">
        <v>0</v>
      </c>
      <c r="V174" s="66">
        <v>0</v>
      </c>
      <c r="W174" s="66">
        <v>0</v>
      </c>
      <c r="X174" s="99">
        <v>0</v>
      </c>
      <c r="Y174" s="66">
        <v>0</v>
      </c>
      <c r="Z174" s="99">
        <v>0</v>
      </c>
      <c r="AA174" s="99">
        <v>0</v>
      </c>
      <c r="AB174" s="99">
        <v>0</v>
      </c>
      <c r="AC174" s="99">
        <v>0</v>
      </c>
      <c r="AD174" s="99">
        <v>0</v>
      </c>
      <c r="AE174" s="99">
        <v>0</v>
      </c>
      <c r="AF174" s="66">
        <v>0.22386364491075031</v>
      </c>
      <c r="AG174" s="99">
        <v>0</v>
      </c>
    </row>
    <row r="175" spans="1:33" x14ac:dyDescent="0.35">
      <c r="A175" s="127" t="s">
        <v>11</v>
      </c>
      <c r="B175" s="66">
        <v>0</v>
      </c>
      <c r="C175" s="66">
        <v>-3.7757793448633952E-3</v>
      </c>
      <c r="D175" s="66">
        <v>0</v>
      </c>
      <c r="E175" s="66">
        <v>-0.26156687614920321</v>
      </c>
      <c r="F175" s="66">
        <v>0</v>
      </c>
      <c r="G175" s="66">
        <v>-5.5238417799785111E-2</v>
      </c>
      <c r="H175" s="66">
        <v>0.11516957624834839</v>
      </c>
      <c r="I175" s="66">
        <v>-2.0815372798438151E-2</v>
      </c>
      <c r="J175" s="99">
        <v>0</v>
      </c>
      <c r="K175" s="66">
        <v>-0.1779308686753609</v>
      </c>
      <c r="L175" s="66">
        <v>0.24697839198213961</v>
      </c>
      <c r="M175" s="66">
        <v>0</v>
      </c>
      <c r="N175" s="99">
        <v>0</v>
      </c>
      <c r="O175" s="66">
        <v>-3.4471938688341197E-2</v>
      </c>
      <c r="P175" s="66">
        <v>2.260850913216927E-3</v>
      </c>
      <c r="Q175" s="66">
        <v>0</v>
      </c>
      <c r="R175" s="66">
        <v>0.14648997872538419</v>
      </c>
      <c r="S175" s="66">
        <v>0</v>
      </c>
      <c r="T175" s="66">
        <v>0</v>
      </c>
      <c r="U175" s="66">
        <v>0</v>
      </c>
      <c r="V175" s="66">
        <v>0</v>
      </c>
      <c r="W175" s="66">
        <v>0</v>
      </c>
      <c r="X175" s="99">
        <v>0</v>
      </c>
      <c r="Y175" s="66">
        <v>0</v>
      </c>
      <c r="Z175" s="99">
        <v>0</v>
      </c>
      <c r="AA175" s="99">
        <v>0</v>
      </c>
      <c r="AB175" s="99">
        <v>0</v>
      </c>
      <c r="AC175" s="99">
        <v>0</v>
      </c>
      <c r="AD175" s="99">
        <v>0</v>
      </c>
      <c r="AE175" s="99">
        <v>0</v>
      </c>
      <c r="AF175" s="66">
        <v>0.22466161714032751</v>
      </c>
      <c r="AG175" s="99">
        <v>0</v>
      </c>
    </row>
    <row r="176" spans="1:33" x14ac:dyDescent="0.35">
      <c r="A176" s="127" t="s">
        <v>12</v>
      </c>
      <c r="B176" s="66">
        <v>0</v>
      </c>
      <c r="C176" s="66">
        <v>-3.7825956575261439E-3</v>
      </c>
      <c r="D176" s="66">
        <v>0</v>
      </c>
      <c r="E176" s="66">
        <v>-0.2431377043062071</v>
      </c>
      <c r="F176" s="66">
        <v>0</v>
      </c>
      <c r="G176" s="66">
        <v>-2.2861782316169869E-2</v>
      </c>
      <c r="H176" s="66">
        <v>8.2598406293556081E-2</v>
      </c>
      <c r="I176" s="66">
        <v>-9.6621770096533055E-2</v>
      </c>
      <c r="J176" s="99">
        <v>0</v>
      </c>
      <c r="K176" s="66">
        <v>-0.18246438358011119</v>
      </c>
      <c r="L176" s="66">
        <v>0.25140765528911402</v>
      </c>
      <c r="M176" s="66">
        <v>0</v>
      </c>
      <c r="N176" s="99">
        <v>0</v>
      </c>
      <c r="O176" s="66">
        <v>-3.9443155573252398E-2</v>
      </c>
      <c r="P176" s="66">
        <v>0</v>
      </c>
      <c r="Q176" s="66">
        <v>0</v>
      </c>
      <c r="R176" s="66">
        <v>-0.19389159302426151</v>
      </c>
      <c r="S176" s="66">
        <v>0</v>
      </c>
      <c r="T176" s="66">
        <v>0</v>
      </c>
      <c r="U176" s="66">
        <v>0</v>
      </c>
      <c r="V176" s="66">
        <v>0</v>
      </c>
      <c r="W176" s="66">
        <v>0</v>
      </c>
      <c r="X176" s="99">
        <v>0</v>
      </c>
      <c r="Y176" s="66">
        <v>0</v>
      </c>
      <c r="Z176" s="99">
        <v>0</v>
      </c>
      <c r="AA176" s="99">
        <v>0</v>
      </c>
      <c r="AB176" s="99">
        <v>0</v>
      </c>
      <c r="AC176" s="99">
        <v>0</v>
      </c>
      <c r="AD176" s="99">
        <v>0</v>
      </c>
      <c r="AE176" s="99">
        <v>0</v>
      </c>
      <c r="AF176" s="66">
        <v>0.22870564785330319</v>
      </c>
      <c r="AG176" s="99">
        <v>0</v>
      </c>
    </row>
    <row r="177" spans="1:33" x14ac:dyDescent="0.35">
      <c r="A177" s="127" t="s">
        <v>13</v>
      </c>
      <c r="B177" s="66">
        <v>0</v>
      </c>
      <c r="C177" s="66">
        <v>-2.7880299925300278E-3</v>
      </c>
      <c r="D177" s="66">
        <v>0</v>
      </c>
      <c r="E177" s="66">
        <v>-0.14235384768591081</v>
      </c>
      <c r="F177" s="66">
        <v>0</v>
      </c>
      <c r="G177" s="66">
        <v>-4.0100328908010852E-2</v>
      </c>
      <c r="H177" s="66">
        <v>0.1265881150752648</v>
      </c>
      <c r="I177" s="66">
        <v>-0.1066997648293579</v>
      </c>
      <c r="J177" s="99">
        <v>0</v>
      </c>
      <c r="K177" s="66">
        <v>-0.15007919800510189</v>
      </c>
      <c r="L177" s="66">
        <v>1.1349958349399E-2</v>
      </c>
      <c r="M177" s="66">
        <v>0</v>
      </c>
      <c r="N177" s="99">
        <v>0</v>
      </c>
      <c r="O177" s="66">
        <v>-2.701514390631132E-2</v>
      </c>
      <c r="P177" s="66">
        <v>4.308872014746612E-3</v>
      </c>
      <c r="Q177" s="66">
        <v>0</v>
      </c>
      <c r="R177" s="66">
        <v>-3.1375429303380997E-2</v>
      </c>
      <c r="S177" s="66">
        <v>0</v>
      </c>
      <c r="T177" s="66">
        <v>0</v>
      </c>
      <c r="U177" s="66">
        <v>0</v>
      </c>
      <c r="V177" s="66">
        <v>0</v>
      </c>
      <c r="W177" s="66">
        <v>0</v>
      </c>
      <c r="X177" s="99">
        <v>0</v>
      </c>
      <c r="Y177" s="66">
        <v>0</v>
      </c>
      <c r="Z177" s="99">
        <v>0</v>
      </c>
      <c r="AA177" s="99">
        <v>0</v>
      </c>
      <c r="AB177" s="99">
        <v>0</v>
      </c>
      <c r="AC177" s="99">
        <v>0</v>
      </c>
      <c r="AD177" s="99">
        <v>0</v>
      </c>
      <c r="AE177" s="99">
        <v>0</v>
      </c>
      <c r="AF177" s="66">
        <v>0.22471311881909631</v>
      </c>
      <c r="AG177" s="99">
        <v>0</v>
      </c>
    </row>
    <row r="178" spans="1:33" x14ac:dyDescent="0.35">
      <c r="A178" s="127" t="s">
        <v>14</v>
      </c>
      <c r="B178" s="66">
        <v>0</v>
      </c>
      <c r="C178" s="66">
        <v>-1.5392124327888721E-3</v>
      </c>
      <c r="D178" s="66">
        <v>0</v>
      </c>
      <c r="E178" s="66">
        <v>-0.14839479786300561</v>
      </c>
      <c r="F178" s="66">
        <v>0</v>
      </c>
      <c r="G178" s="66">
        <v>-5.4185148499556128E-2</v>
      </c>
      <c r="H178" s="66">
        <v>0.15825890562203429</v>
      </c>
      <c r="I178" s="66">
        <v>-8.1527417810150382E-2</v>
      </c>
      <c r="J178" s="99">
        <v>0</v>
      </c>
      <c r="K178" s="66">
        <v>-0.18986362731956771</v>
      </c>
      <c r="L178" s="66">
        <v>-0.13440965765218491</v>
      </c>
      <c r="M178" s="66">
        <v>0</v>
      </c>
      <c r="N178" s="99">
        <v>0</v>
      </c>
      <c r="O178" s="66">
        <v>-4.0855527086023358E-2</v>
      </c>
      <c r="P178" s="66">
        <v>1.119388332264748E-2</v>
      </c>
      <c r="Q178" s="66">
        <v>0</v>
      </c>
      <c r="R178" s="66">
        <v>-1.9710210931492611E-2</v>
      </c>
      <c r="S178" s="66">
        <v>0</v>
      </c>
      <c r="T178" s="66">
        <v>0</v>
      </c>
      <c r="U178" s="66">
        <v>0</v>
      </c>
      <c r="V178" s="66">
        <v>0</v>
      </c>
      <c r="W178" s="66">
        <v>0</v>
      </c>
      <c r="X178" s="99">
        <v>0</v>
      </c>
      <c r="Y178" s="66">
        <v>0</v>
      </c>
      <c r="Z178" s="99">
        <v>0</v>
      </c>
      <c r="AA178" s="99">
        <v>0</v>
      </c>
      <c r="AB178" s="99">
        <v>0</v>
      </c>
      <c r="AC178" s="99">
        <v>0</v>
      </c>
      <c r="AD178" s="99">
        <v>0</v>
      </c>
      <c r="AE178" s="99">
        <v>0</v>
      </c>
      <c r="AF178" s="66">
        <v>0.22226223093952061</v>
      </c>
      <c r="AG178" s="99">
        <v>0</v>
      </c>
    </row>
    <row r="179" spans="1:33" x14ac:dyDescent="0.35">
      <c r="A179" s="127" t="s">
        <v>15</v>
      </c>
      <c r="B179" s="66">
        <v>0</v>
      </c>
      <c r="C179" s="66">
        <v>-2.860550836402354E-3</v>
      </c>
      <c r="D179" s="66">
        <v>0</v>
      </c>
      <c r="E179" s="66">
        <v>-0.16122049547621489</v>
      </c>
      <c r="F179" s="66">
        <v>0</v>
      </c>
      <c r="G179" s="66">
        <v>-4.4979883075455973E-2</v>
      </c>
      <c r="H179" s="66">
        <v>0.15794359256616991</v>
      </c>
      <c r="I179" s="66">
        <v>-5.7644381987387312E-2</v>
      </c>
      <c r="J179" s="99">
        <v>0</v>
      </c>
      <c r="K179" s="66">
        <v>-0.1902932982370942</v>
      </c>
      <c r="L179" s="66">
        <v>-0.12927307652520881</v>
      </c>
      <c r="M179" s="66">
        <v>0</v>
      </c>
      <c r="N179" s="99">
        <v>0</v>
      </c>
      <c r="O179" s="66">
        <v>-4.7845733656117773E-2</v>
      </c>
      <c r="P179" s="66">
        <v>8.999407636252954E-3</v>
      </c>
      <c r="Q179" s="66">
        <v>0</v>
      </c>
      <c r="R179" s="66">
        <v>-0.20497740111994739</v>
      </c>
      <c r="S179" s="66">
        <v>0</v>
      </c>
      <c r="T179" s="66">
        <v>0</v>
      </c>
      <c r="U179" s="66">
        <v>0</v>
      </c>
      <c r="V179" s="66">
        <v>0</v>
      </c>
      <c r="W179" s="66">
        <v>0</v>
      </c>
      <c r="X179" s="99">
        <v>0</v>
      </c>
      <c r="Y179" s="66">
        <v>0</v>
      </c>
      <c r="Z179" s="99">
        <v>0</v>
      </c>
      <c r="AA179" s="99">
        <v>0</v>
      </c>
      <c r="AB179" s="99">
        <v>0</v>
      </c>
      <c r="AC179" s="99">
        <v>0</v>
      </c>
      <c r="AD179" s="99">
        <v>0</v>
      </c>
      <c r="AE179" s="99">
        <v>0</v>
      </c>
      <c r="AF179" s="66">
        <v>0.22488827482035839</v>
      </c>
      <c r="AG179" s="99">
        <v>0</v>
      </c>
    </row>
    <row r="180" spans="1:33" x14ac:dyDescent="0.35">
      <c r="A180" s="127" t="s">
        <v>16</v>
      </c>
      <c r="B180" s="66">
        <v>0</v>
      </c>
      <c r="C180" s="66">
        <v>-1.146116462280133E-3</v>
      </c>
      <c r="D180" s="66">
        <v>0</v>
      </c>
      <c r="E180" s="66">
        <v>-0.15608004254593771</v>
      </c>
      <c r="F180" s="66">
        <v>0</v>
      </c>
      <c r="G180" s="66">
        <v>-3.5628465984444802E-2</v>
      </c>
      <c r="H180" s="66">
        <v>0.3060954969654972</v>
      </c>
      <c r="I180" s="66">
        <v>8.3961951946662339E-2</v>
      </c>
      <c r="J180" s="99">
        <v>0</v>
      </c>
      <c r="K180" s="66">
        <v>-0.10517156149390421</v>
      </c>
      <c r="L180" s="66">
        <v>-0.16818114544730631</v>
      </c>
      <c r="M180" s="66">
        <v>0</v>
      </c>
      <c r="N180" s="99">
        <v>0</v>
      </c>
      <c r="O180" s="66">
        <v>-4.56998800777626E-2</v>
      </c>
      <c r="P180" s="66">
        <v>7.4080317064044721E-3</v>
      </c>
      <c r="Q180" s="66">
        <v>0</v>
      </c>
      <c r="R180" s="66">
        <v>6.8203253691962118E-2</v>
      </c>
      <c r="S180" s="66">
        <v>0</v>
      </c>
      <c r="T180" s="66">
        <v>0</v>
      </c>
      <c r="U180" s="66">
        <v>0</v>
      </c>
      <c r="V180" s="66">
        <v>0</v>
      </c>
      <c r="W180" s="66">
        <v>0</v>
      </c>
      <c r="X180" s="99">
        <v>0</v>
      </c>
      <c r="Y180" s="66">
        <v>0</v>
      </c>
      <c r="Z180" s="99">
        <v>0</v>
      </c>
      <c r="AA180" s="99">
        <v>0</v>
      </c>
      <c r="AB180" s="99">
        <v>0</v>
      </c>
      <c r="AC180" s="99">
        <v>0</v>
      </c>
      <c r="AD180" s="99">
        <v>0</v>
      </c>
      <c r="AE180" s="99">
        <v>0</v>
      </c>
      <c r="AF180" s="66">
        <v>0.22318583987180321</v>
      </c>
      <c r="AG180" s="99">
        <v>0</v>
      </c>
    </row>
    <row r="181" spans="1:33" x14ac:dyDescent="0.35">
      <c r="A181" s="127" t="s">
        <v>17</v>
      </c>
      <c r="B181" s="66">
        <v>0</v>
      </c>
      <c r="C181" s="66">
        <v>-4.0380468113028201E-3</v>
      </c>
      <c r="D181" s="66">
        <v>0</v>
      </c>
      <c r="E181" s="66">
        <v>-9.6891432371478459E-2</v>
      </c>
      <c r="F181" s="66">
        <v>0</v>
      </c>
      <c r="G181" s="66">
        <v>-2.1827854399106169E-2</v>
      </c>
      <c r="H181" s="66">
        <v>0.1818550717820244</v>
      </c>
      <c r="I181" s="66">
        <v>0.1250696731852656</v>
      </c>
      <c r="J181" s="99">
        <v>0</v>
      </c>
      <c r="K181" s="66">
        <v>-0.1044489022096684</v>
      </c>
      <c r="L181" s="66">
        <v>-0.31113715343673221</v>
      </c>
      <c r="M181" s="66">
        <v>-1.814716801618488E-3</v>
      </c>
      <c r="N181" s="99">
        <v>0</v>
      </c>
      <c r="O181" s="66">
        <v>-3.6025488896086699E-2</v>
      </c>
      <c r="P181" s="66">
        <v>4.4785557921045438E-3</v>
      </c>
      <c r="Q181" s="66">
        <v>0</v>
      </c>
      <c r="R181" s="66">
        <v>6.4193297938885507E-2</v>
      </c>
      <c r="S181" s="66">
        <v>0</v>
      </c>
      <c r="T181" s="66">
        <v>0</v>
      </c>
      <c r="U181" s="66">
        <v>0</v>
      </c>
      <c r="V181" s="66">
        <v>0</v>
      </c>
      <c r="W181" s="66">
        <v>0</v>
      </c>
      <c r="X181" s="99">
        <v>0</v>
      </c>
      <c r="Y181" s="66">
        <v>0</v>
      </c>
      <c r="Z181" s="99">
        <v>0</v>
      </c>
      <c r="AA181" s="99">
        <v>0</v>
      </c>
      <c r="AB181" s="99">
        <v>0</v>
      </c>
      <c r="AC181" s="99">
        <v>0</v>
      </c>
      <c r="AD181" s="99">
        <v>0</v>
      </c>
      <c r="AE181" s="99">
        <v>0</v>
      </c>
      <c r="AF181" s="66">
        <v>0.2235477930330205</v>
      </c>
      <c r="AG181" s="99">
        <v>0</v>
      </c>
    </row>
    <row r="182" spans="1:33" x14ac:dyDescent="0.35">
      <c r="A182" s="127" t="s">
        <v>18</v>
      </c>
      <c r="B182" s="66">
        <v>0</v>
      </c>
      <c r="C182" s="66">
        <v>-3.4243212698754628E-3</v>
      </c>
      <c r="D182" s="66">
        <v>0</v>
      </c>
      <c r="E182" s="66">
        <v>-7.7333159130972717E-2</v>
      </c>
      <c r="F182" s="66">
        <v>0</v>
      </c>
      <c r="G182" s="66">
        <v>-2.8422780016654769E-2</v>
      </c>
      <c r="H182" s="66">
        <v>0.23111655219753399</v>
      </c>
      <c r="I182" s="66">
        <v>0.16387952518584831</v>
      </c>
      <c r="J182" s="66">
        <v>0</v>
      </c>
      <c r="K182" s="66">
        <v>-0.1419640622494853</v>
      </c>
      <c r="L182" s="66">
        <v>-0.26426445255492581</v>
      </c>
      <c r="M182" s="66">
        <v>1.3654451474309329E-2</v>
      </c>
      <c r="N182" s="66">
        <v>0</v>
      </c>
      <c r="O182" s="66">
        <v>-3.4805641891381363E-2</v>
      </c>
      <c r="P182" s="66">
        <v>7.3837532340519374E-3</v>
      </c>
      <c r="Q182" s="66">
        <v>0</v>
      </c>
      <c r="R182" s="66">
        <v>0.11562423221238299</v>
      </c>
      <c r="S182" s="66">
        <v>0</v>
      </c>
      <c r="T182" s="66">
        <v>0</v>
      </c>
      <c r="U182" s="66">
        <v>0</v>
      </c>
      <c r="V182" s="66">
        <v>0</v>
      </c>
      <c r="W182" s="66">
        <v>0</v>
      </c>
      <c r="X182" s="66">
        <v>0</v>
      </c>
      <c r="Y182" s="66">
        <v>0</v>
      </c>
      <c r="Z182" s="66">
        <v>0</v>
      </c>
      <c r="AA182" s="66">
        <v>0</v>
      </c>
      <c r="AB182" s="66">
        <v>0</v>
      </c>
      <c r="AC182" s="66">
        <v>0</v>
      </c>
      <c r="AD182" s="66">
        <v>0</v>
      </c>
      <c r="AE182" s="66">
        <v>0</v>
      </c>
      <c r="AF182" s="66">
        <v>0.22261985945769419</v>
      </c>
      <c r="AG182" s="66">
        <v>0</v>
      </c>
    </row>
    <row r="183" spans="1:33" x14ac:dyDescent="0.35">
      <c r="A183" s="127" t="s">
        <v>19</v>
      </c>
      <c r="B183" s="66">
        <v>0</v>
      </c>
      <c r="C183" s="66">
        <v>-1.2738698841303631E-3</v>
      </c>
      <c r="D183" s="66">
        <v>0</v>
      </c>
      <c r="E183" s="66">
        <v>-0.13473615200780389</v>
      </c>
      <c r="F183" s="66">
        <v>0</v>
      </c>
      <c r="G183" s="66">
        <v>-2.7768495566618871E-2</v>
      </c>
      <c r="H183" s="66">
        <v>0.40504846046982829</v>
      </c>
      <c r="I183" s="66">
        <v>0.2157521141057259</v>
      </c>
      <c r="J183" s="66">
        <v>0</v>
      </c>
      <c r="K183" s="66">
        <v>-0.112028088374899</v>
      </c>
      <c r="L183" s="66">
        <v>-0.24041836899385771</v>
      </c>
      <c r="M183" s="66">
        <v>6.7359317659736462E-3</v>
      </c>
      <c r="N183" s="66">
        <v>0</v>
      </c>
      <c r="O183" s="66">
        <v>-4.2567146324614669E-2</v>
      </c>
      <c r="P183" s="66">
        <v>4.641153983101276E-3</v>
      </c>
      <c r="Q183" s="66">
        <v>0</v>
      </c>
      <c r="R183" s="66">
        <v>0.2292646485083765</v>
      </c>
      <c r="S183" s="66">
        <v>0</v>
      </c>
      <c r="T183" s="66">
        <v>0</v>
      </c>
      <c r="U183" s="66">
        <v>0</v>
      </c>
      <c r="V183" s="66">
        <v>0</v>
      </c>
      <c r="W183" s="66">
        <v>0</v>
      </c>
      <c r="X183" s="66">
        <v>0</v>
      </c>
      <c r="Y183" s="66">
        <v>0</v>
      </c>
      <c r="Z183" s="66">
        <v>0</v>
      </c>
      <c r="AA183" s="66">
        <v>0</v>
      </c>
      <c r="AB183" s="66">
        <v>0</v>
      </c>
      <c r="AC183" s="66">
        <v>0</v>
      </c>
      <c r="AD183" s="66">
        <v>0</v>
      </c>
      <c r="AE183" s="66">
        <v>0</v>
      </c>
      <c r="AF183" s="66">
        <v>0.2201209636814099</v>
      </c>
      <c r="AG183" s="66">
        <v>0</v>
      </c>
    </row>
    <row r="184" spans="1:33" x14ac:dyDescent="0.35">
      <c r="A184" s="127" t="s">
        <v>20</v>
      </c>
      <c r="B184" s="66">
        <v>0</v>
      </c>
      <c r="C184" s="66">
        <v>-2.8562855760583261E-3</v>
      </c>
      <c r="D184" s="66">
        <v>0</v>
      </c>
      <c r="E184" s="66">
        <v>0</v>
      </c>
      <c r="F184" s="66">
        <v>0</v>
      </c>
      <c r="G184" s="66">
        <v>0</v>
      </c>
      <c r="H184" s="66">
        <v>1.862186665736544</v>
      </c>
      <c r="I184" s="66">
        <v>0</v>
      </c>
      <c r="J184" s="66">
        <v>0</v>
      </c>
      <c r="K184" s="66">
        <v>-8.367289914548337E-2</v>
      </c>
      <c r="L184" s="66">
        <v>-0.30056996509745199</v>
      </c>
      <c r="M184" s="66">
        <v>-7.6024337369062778E-4</v>
      </c>
      <c r="N184" s="66">
        <v>0</v>
      </c>
      <c r="O184" s="66">
        <v>-3.6234781395506843E-2</v>
      </c>
      <c r="P184" s="66">
        <v>-8.4071557700696076E-2</v>
      </c>
      <c r="Q184" s="66">
        <v>0</v>
      </c>
      <c r="R184" s="66">
        <v>0.20073769879479639</v>
      </c>
      <c r="S184" s="66">
        <v>0</v>
      </c>
      <c r="T184" s="66">
        <v>0</v>
      </c>
      <c r="U184" s="66">
        <v>0</v>
      </c>
      <c r="V184" s="66">
        <v>0</v>
      </c>
      <c r="W184" s="66">
        <v>0</v>
      </c>
      <c r="X184" s="66">
        <v>0</v>
      </c>
      <c r="Y184" s="66">
        <v>0</v>
      </c>
      <c r="Z184" s="66">
        <v>0</v>
      </c>
      <c r="AA184" s="66">
        <v>0</v>
      </c>
      <c r="AB184" s="66">
        <v>0</v>
      </c>
      <c r="AC184" s="66">
        <v>0</v>
      </c>
      <c r="AD184" s="66">
        <v>0</v>
      </c>
      <c r="AE184" s="66">
        <v>0</v>
      </c>
      <c r="AF184" s="66">
        <v>0.15438300268971261</v>
      </c>
      <c r="AG184" s="66">
        <v>0</v>
      </c>
    </row>
    <row r="185" spans="1:33" x14ac:dyDescent="0.35">
      <c r="A185" s="127" t="s">
        <v>21</v>
      </c>
      <c r="B185" s="123">
        <v>0</v>
      </c>
      <c r="C185" s="124">
        <v>-1.099940729858417E-3</v>
      </c>
      <c r="D185" s="124">
        <v>0</v>
      </c>
      <c r="E185" s="124">
        <v>0</v>
      </c>
      <c r="F185" s="124">
        <v>0</v>
      </c>
      <c r="G185" s="123">
        <v>0</v>
      </c>
      <c r="H185" s="124">
        <v>2.4499664299752908</v>
      </c>
      <c r="I185" s="124">
        <v>0</v>
      </c>
      <c r="J185" s="124">
        <v>0</v>
      </c>
      <c r="K185" s="124">
        <v>-7.9108278685907862E-2</v>
      </c>
      <c r="L185" s="123">
        <v>-0.37316397413826508</v>
      </c>
      <c r="M185" s="123">
        <v>9.1965016145252321E-3</v>
      </c>
      <c r="N185" s="124">
        <v>0</v>
      </c>
      <c r="O185" s="123">
        <v>-2.6768294662872449E-2</v>
      </c>
      <c r="P185" s="123">
        <v>-8.9103733764176241E-2</v>
      </c>
      <c r="Q185" s="124">
        <v>0</v>
      </c>
      <c r="R185" s="124">
        <v>0.25091524807990601</v>
      </c>
      <c r="S185" s="124">
        <v>0</v>
      </c>
      <c r="T185" s="124">
        <v>0</v>
      </c>
      <c r="U185" s="124">
        <v>0</v>
      </c>
      <c r="V185" s="124">
        <v>0</v>
      </c>
      <c r="W185" s="124">
        <v>0</v>
      </c>
      <c r="X185" s="124">
        <v>0</v>
      </c>
      <c r="Y185" s="124">
        <v>0</v>
      </c>
      <c r="Z185" s="124">
        <v>0</v>
      </c>
      <c r="AA185" s="123">
        <v>0</v>
      </c>
      <c r="AB185" s="123">
        <v>0</v>
      </c>
      <c r="AC185" s="123">
        <v>0</v>
      </c>
      <c r="AD185" s="123">
        <v>0</v>
      </c>
      <c r="AE185" s="123">
        <v>0</v>
      </c>
      <c r="AF185" s="123">
        <v>1.03566466057714E-3</v>
      </c>
      <c r="AG185" s="123">
        <v>0</v>
      </c>
    </row>
    <row r="186" spans="1:33" x14ac:dyDescent="0.35">
      <c r="B186">
        <v>0</v>
      </c>
    </row>
    <row r="187" spans="1:33" x14ac:dyDescent="0.35">
      <c r="B187">
        <v>0</v>
      </c>
    </row>
    <row r="188" spans="1:33" x14ac:dyDescent="0.35">
      <c r="A188" s="129" t="s">
        <v>37</v>
      </c>
      <c r="B188">
        <v>0</v>
      </c>
    </row>
    <row r="189" spans="1:33" ht="45" customHeight="1" x14ac:dyDescent="0.35">
      <c r="A189" s="128" t="s">
        <v>112</v>
      </c>
      <c r="B189" s="123">
        <v>0</v>
      </c>
      <c r="C189" s="123" t="s">
        <v>114</v>
      </c>
      <c r="D189" s="123" t="s">
        <v>115</v>
      </c>
      <c r="E189" s="123" t="s">
        <v>116</v>
      </c>
      <c r="F189" s="123" t="s">
        <v>117</v>
      </c>
      <c r="G189" s="123" t="s">
        <v>118</v>
      </c>
      <c r="H189" s="123" t="s">
        <v>119</v>
      </c>
      <c r="I189" s="123" t="s">
        <v>120</v>
      </c>
      <c r="J189" s="124" t="s">
        <v>121</v>
      </c>
      <c r="K189" s="123" t="s">
        <v>122</v>
      </c>
      <c r="L189" s="123" t="s">
        <v>123</v>
      </c>
      <c r="M189" s="123" t="s">
        <v>124</v>
      </c>
      <c r="N189" s="124" t="s">
        <v>125</v>
      </c>
      <c r="O189" s="123" t="s">
        <v>126</v>
      </c>
      <c r="P189" s="123" t="s">
        <v>127</v>
      </c>
      <c r="Q189" s="123" t="s">
        <v>128</v>
      </c>
      <c r="R189" s="123" t="s">
        <v>129</v>
      </c>
      <c r="S189" s="123" t="s">
        <v>130</v>
      </c>
      <c r="T189" s="123" t="s">
        <v>131</v>
      </c>
      <c r="U189" s="123" t="s">
        <v>132</v>
      </c>
      <c r="V189" s="123" t="s">
        <v>133</v>
      </c>
      <c r="W189" s="123" t="s">
        <v>134</v>
      </c>
      <c r="X189" s="123" t="s">
        <v>135</v>
      </c>
      <c r="Y189" s="123" t="s">
        <v>136</v>
      </c>
      <c r="Z189" s="124" t="s">
        <v>137</v>
      </c>
      <c r="AA189" s="124" t="s">
        <v>138</v>
      </c>
      <c r="AB189" s="124" t="s">
        <v>139</v>
      </c>
      <c r="AC189" s="124" t="s">
        <v>140</v>
      </c>
      <c r="AD189" s="124" t="s">
        <v>141</v>
      </c>
      <c r="AE189" s="124" t="s">
        <v>142</v>
      </c>
      <c r="AF189" s="123" t="s">
        <v>143</v>
      </c>
      <c r="AG189" s="124" t="s">
        <v>144</v>
      </c>
    </row>
    <row r="190" spans="1:33" x14ac:dyDescent="0.35">
      <c r="A190" s="127" t="s">
        <v>145</v>
      </c>
      <c r="B190" s="66">
        <v>0</v>
      </c>
      <c r="C190" s="99">
        <v>0</v>
      </c>
      <c r="D190" s="99">
        <v>0</v>
      </c>
      <c r="E190" s="99">
        <v>0</v>
      </c>
      <c r="F190" s="99">
        <v>0</v>
      </c>
      <c r="G190" s="66">
        <v>-0.42935240665167379</v>
      </c>
      <c r="H190" s="99">
        <v>0</v>
      </c>
      <c r="I190" s="99">
        <v>0</v>
      </c>
      <c r="J190" s="99">
        <v>0</v>
      </c>
      <c r="K190" s="99">
        <v>0</v>
      </c>
      <c r="L190" s="66">
        <v>-0.23514772434850781</v>
      </c>
      <c r="M190" s="66">
        <v>0</v>
      </c>
      <c r="N190" s="99">
        <v>0</v>
      </c>
      <c r="O190" s="66">
        <v>4.2536416830500912E-3</v>
      </c>
      <c r="P190" s="66">
        <v>0.10144121816125561</v>
      </c>
      <c r="Q190" s="99">
        <v>1.996250366585286</v>
      </c>
      <c r="R190" s="99">
        <v>0</v>
      </c>
      <c r="S190" s="99">
        <v>0</v>
      </c>
      <c r="T190" s="99">
        <v>0</v>
      </c>
      <c r="U190" s="99">
        <v>0</v>
      </c>
      <c r="V190" s="99">
        <v>0</v>
      </c>
      <c r="W190" s="99">
        <v>0</v>
      </c>
      <c r="X190" s="99">
        <v>0</v>
      </c>
      <c r="Y190" s="99">
        <v>0</v>
      </c>
      <c r="Z190" s="99">
        <v>0</v>
      </c>
      <c r="AA190" s="66">
        <v>-0.61254973648041755</v>
      </c>
      <c r="AB190" s="66">
        <v>-0.18347931410772839</v>
      </c>
      <c r="AC190" s="66">
        <v>-7.9853412279931035E-3</v>
      </c>
      <c r="AD190" s="66">
        <v>-0.1142044546768943</v>
      </c>
      <c r="AE190" s="66">
        <v>-0.20275031384576889</v>
      </c>
      <c r="AF190" s="66">
        <v>-0.15191857355017649</v>
      </c>
      <c r="AG190" s="66">
        <v>0.42250908222152361</v>
      </c>
    </row>
    <row r="191" spans="1:33" x14ac:dyDescent="0.35">
      <c r="A191" s="127" t="s">
        <v>146</v>
      </c>
      <c r="B191" s="66">
        <v>0</v>
      </c>
      <c r="C191" s="99">
        <v>0</v>
      </c>
      <c r="D191" s="99">
        <v>0</v>
      </c>
      <c r="E191" s="99">
        <v>0</v>
      </c>
      <c r="F191" s="99">
        <v>0</v>
      </c>
      <c r="G191" s="66">
        <v>-0.28787540847829968</v>
      </c>
      <c r="H191" s="99">
        <v>0</v>
      </c>
      <c r="I191" s="99">
        <v>0</v>
      </c>
      <c r="J191" s="99">
        <v>0</v>
      </c>
      <c r="K191" s="99">
        <v>0</v>
      </c>
      <c r="L191" s="66">
        <v>0.123152907625979</v>
      </c>
      <c r="M191" s="66">
        <v>0</v>
      </c>
      <c r="N191" s="99">
        <v>0</v>
      </c>
      <c r="O191" s="66">
        <v>0.1713142423384397</v>
      </c>
      <c r="P191" s="66">
        <v>4.925407869777132E-2</v>
      </c>
      <c r="Q191" s="99">
        <v>1.880248504000207</v>
      </c>
      <c r="R191" s="99">
        <v>0</v>
      </c>
      <c r="S191" s="99">
        <v>0</v>
      </c>
      <c r="T191" s="99">
        <v>0</v>
      </c>
      <c r="U191" s="99">
        <v>0</v>
      </c>
      <c r="V191" s="99">
        <v>0</v>
      </c>
      <c r="W191" s="99">
        <v>0</v>
      </c>
      <c r="X191" s="99">
        <v>0</v>
      </c>
      <c r="Y191" s="99">
        <v>0</v>
      </c>
      <c r="Z191" s="99">
        <v>0</v>
      </c>
      <c r="AA191" s="66">
        <v>-0.71232911419892275</v>
      </c>
      <c r="AB191" s="66">
        <v>-0.20285202172800609</v>
      </c>
      <c r="AC191" s="66">
        <v>-3.8364925426037639E-3</v>
      </c>
      <c r="AD191" s="66">
        <v>-8.6625860924954168E-2</v>
      </c>
      <c r="AE191" s="66">
        <v>-1.353493250243787E-2</v>
      </c>
      <c r="AF191" s="66">
        <v>0.1325698519053162</v>
      </c>
      <c r="AG191" s="66">
        <v>0.3944486574955306</v>
      </c>
    </row>
    <row r="192" spans="1:33" x14ac:dyDescent="0.35">
      <c r="A192" s="127" t="s">
        <v>147</v>
      </c>
      <c r="B192" s="66">
        <v>0</v>
      </c>
      <c r="C192" s="99">
        <v>0</v>
      </c>
      <c r="D192" s="99">
        <v>0</v>
      </c>
      <c r="E192" s="99">
        <v>0</v>
      </c>
      <c r="F192" s="99">
        <v>0</v>
      </c>
      <c r="G192" s="66">
        <v>-0.3509782588429573</v>
      </c>
      <c r="H192" s="99">
        <v>0</v>
      </c>
      <c r="I192" s="99">
        <v>0</v>
      </c>
      <c r="J192" s="99">
        <v>0</v>
      </c>
      <c r="K192" s="99">
        <v>0</v>
      </c>
      <c r="L192" s="66">
        <v>0.20092622399400281</v>
      </c>
      <c r="M192" s="66">
        <v>0</v>
      </c>
      <c r="N192" s="99">
        <v>0</v>
      </c>
      <c r="O192" s="66">
        <v>0.20092622399400281</v>
      </c>
      <c r="P192" s="66">
        <v>3.2236815068756641E-2</v>
      </c>
      <c r="Q192" s="99">
        <v>1.761875392380063</v>
      </c>
      <c r="R192" s="99">
        <v>0</v>
      </c>
      <c r="S192" s="99">
        <v>0</v>
      </c>
      <c r="T192" s="99">
        <v>0</v>
      </c>
      <c r="U192" s="99">
        <v>0</v>
      </c>
      <c r="V192" s="99">
        <v>0</v>
      </c>
      <c r="W192" s="99">
        <v>0</v>
      </c>
      <c r="X192" s="99">
        <v>0</v>
      </c>
      <c r="Y192" s="99">
        <v>0</v>
      </c>
      <c r="Z192" s="99">
        <v>0</v>
      </c>
      <c r="AA192" s="66">
        <v>-0.82145811559266235</v>
      </c>
      <c r="AB192" s="66">
        <v>-0.21665616380138891</v>
      </c>
      <c r="AC192" s="66">
        <v>0</v>
      </c>
      <c r="AD192" s="66">
        <v>-0.1078736476714823</v>
      </c>
      <c r="AE192" s="66">
        <v>0</v>
      </c>
      <c r="AF192" s="66">
        <v>0.17270386087150769</v>
      </c>
      <c r="AG192" s="66">
        <v>0.3855844975713012</v>
      </c>
    </row>
    <row r="193" spans="1:33" x14ac:dyDescent="0.35">
      <c r="A193" s="127" t="s">
        <v>148</v>
      </c>
      <c r="B193" s="66">
        <v>0</v>
      </c>
      <c r="C193" s="99">
        <v>0</v>
      </c>
      <c r="D193" s="99">
        <v>0</v>
      </c>
      <c r="E193" s="99">
        <v>0</v>
      </c>
      <c r="F193" s="99">
        <v>0</v>
      </c>
      <c r="G193" s="66">
        <v>-0.34073231282474131</v>
      </c>
      <c r="H193" s="99">
        <v>0</v>
      </c>
      <c r="I193" s="99">
        <v>0</v>
      </c>
      <c r="J193" s="99">
        <v>0</v>
      </c>
      <c r="K193" s="99">
        <v>0</v>
      </c>
      <c r="L193" s="66">
        <v>0.1986441803850596</v>
      </c>
      <c r="M193" s="66">
        <v>0</v>
      </c>
      <c r="N193" s="99">
        <v>0</v>
      </c>
      <c r="O193" s="66">
        <v>0.1986441803850596</v>
      </c>
      <c r="P193" s="66">
        <v>6.8707691338005361E-2</v>
      </c>
      <c r="Q193" s="99">
        <v>1.8204951885767</v>
      </c>
      <c r="R193" s="99">
        <v>0</v>
      </c>
      <c r="S193" s="99">
        <v>0</v>
      </c>
      <c r="T193" s="99">
        <v>0</v>
      </c>
      <c r="U193" s="99">
        <v>0</v>
      </c>
      <c r="V193" s="99">
        <v>0</v>
      </c>
      <c r="W193" s="99">
        <v>0</v>
      </c>
      <c r="X193" s="99">
        <v>0</v>
      </c>
      <c r="Y193" s="99">
        <v>0</v>
      </c>
      <c r="Z193" s="99">
        <v>0</v>
      </c>
      <c r="AA193" s="66">
        <v>-0.82917249150773387</v>
      </c>
      <c r="AB193" s="66">
        <v>-0.2349925399405777</v>
      </c>
      <c r="AC193" s="66">
        <v>0</v>
      </c>
      <c r="AD193" s="66">
        <v>-0.14771956182940471</v>
      </c>
      <c r="AE193" s="66">
        <v>0</v>
      </c>
      <c r="AF193" s="66">
        <v>0.17337944002846939</v>
      </c>
      <c r="AG193" s="66">
        <v>0.37913974421050511</v>
      </c>
    </row>
    <row r="194" spans="1:33" x14ac:dyDescent="0.35">
      <c r="A194" s="127" t="s">
        <v>149</v>
      </c>
      <c r="B194" s="66">
        <v>0</v>
      </c>
      <c r="C194" s="99">
        <v>0</v>
      </c>
      <c r="D194" s="99">
        <v>0</v>
      </c>
      <c r="E194" s="99">
        <v>0</v>
      </c>
      <c r="F194" s="99">
        <v>0</v>
      </c>
      <c r="G194" s="66">
        <v>-0.29861996198198432</v>
      </c>
      <c r="H194" s="99">
        <v>0</v>
      </c>
      <c r="I194" s="99">
        <v>0</v>
      </c>
      <c r="J194" s="99">
        <v>0</v>
      </c>
      <c r="K194" s="99">
        <v>0</v>
      </c>
      <c r="L194" s="66">
        <v>0.1973708782585675</v>
      </c>
      <c r="M194" s="66">
        <v>0</v>
      </c>
      <c r="N194" s="99">
        <v>0</v>
      </c>
      <c r="O194" s="66">
        <v>0.13768307585775119</v>
      </c>
      <c r="P194" s="66">
        <v>5.1891385015352398E-2</v>
      </c>
      <c r="Q194" s="99">
        <v>1.8179464283326181</v>
      </c>
      <c r="R194" s="99">
        <v>0</v>
      </c>
      <c r="S194" s="99">
        <v>0</v>
      </c>
      <c r="T194" s="99">
        <v>0</v>
      </c>
      <c r="U194" s="99">
        <v>0</v>
      </c>
      <c r="V194" s="99">
        <v>0</v>
      </c>
      <c r="W194" s="99">
        <v>0</v>
      </c>
      <c r="X194" s="99">
        <v>0</v>
      </c>
      <c r="Y194" s="99">
        <v>0</v>
      </c>
      <c r="Z194" s="99">
        <v>0</v>
      </c>
      <c r="AA194" s="66">
        <v>-0.71232339009216616</v>
      </c>
      <c r="AB194" s="66">
        <v>-0.26718375482951728</v>
      </c>
      <c r="AC194" s="66">
        <v>0</v>
      </c>
      <c r="AD194" s="66">
        <v>-0.13136629443792461</v>
      </c>
      <c r="AE194" s="66">
        <v>0</v>
      </c>
      <c r="AF194" s="66">
        <v>0.1702602029270395</v>
      </c>
      <c r="AG194" s="66">
        <v>0.3964966123484146</v>
      </c>
    </row>
    <row r="195" spans="1:33" x14ac:dyDescent="0.35">
      <c r="A195" s="127" t="s">
        <v>150</v>
      </c>
      <c r="B195" s="66">
        <v>0</v>
      </c>
      <c r="C195" s="99">
        <v>0</v>
      </c>
      <c r="D195" s="99">
        <v>0</v>
      </c>
      <c r="E195" s="99">
        <v>0</v>
      </c>
      <c r="F195" s="99">
        <v>0</v>
      </c>
      <c r="G195" s="66">
        <v>-0.28504037295053308</v>
      </c>
      <c r="H195" s="99">
        <v>0</v>
      </c>
      <c r="I195" s="99">
        <v>0</v>
      </c>
      <c r="J195" s="99">
        <v>0</v>
      </c>
      <c r="K195" s="99">
        <v>0</v>
      </c>
      <c r="L195" s="66">
        <v>0.1972507354499555</v>
      </c>
      <c r="M195" s="66">
        <v>0</v>
      </c>
      <c r="N195" s="99">
        <v>0</v>
      </c>
      <c r="O195" s="66">
        <v>0.14289135789243801</v>
      </c>
      <c r="P195" s="66">
        <v>4.7765339094922872E-2</v>
      </c>
      <c r="Q195" s="99">
        <v>1.786190679224916</v>
      </c>
      <c r="R195" s="99">
        <v>0</v>
      </c>
      <c r="S195" s="99">
        <v>0</v>
      </c>
      <c r="T195" s="99">
        <v>0</v>
      </c>
      <c r="U195" s="99">
        <v>0</v>
      </c>
      <c r="V195" s="99">
        <v>0</v>
      </c>
      <c r="W195" s="99">
        <v>0</v>
      </c>
      <c r="X195" s="99">
        <v>0</v>
      </c>
      <c r="Y195" s="99">
        <v>0</v>
      </c>
      <c r="Z195" s="99">
        <v>0</v>
      </c>
      <c r="AA195" s="66">
        <v>-0.71983628652458265</v>
      </c>
      <c r="AB195" s="66">
        <v>-0.21645094453518249</v>
      </c>
      <c r="AC195" s="66">
        <v>0</v>
      </c>
      <c r="AD195" s="66">
        <v>-9.5345319305067733E-2</v>
      </c>
      <c r="AE195" s="66">
        <v>0</v>
      </c>
      <c r="AF195" s="66">
        <v>0.17116542532153289</v>
      </c>
      <c r="AG195" s="66">
        <v>0.39479145337043059</v>
      </c>
    </row>
    <row r="196" spans="1:33" x14ac:dyDescent="0.35">
      <c r="A196" s="127" t="s">
        <v>151</v>
      </c>
      <c r="B196" s="66">
        <v>0</v>
      </c>
      <c r="C196" s="99">
        <v>0</v>
      </c>
      <c r="D196" s="99">
        <v>0</v>
      </c>
      <c r="E196" s="99">
        <v>0</v>
      </c>
      <c r="F196" s="99">
        <v>0</v>
      </c>
      <c r="G196" s="66">
        <v>-0.29208335259758661</v>
      </c>
      <c r="H196" s="99">
        <v>0</v>
      </c>
      <c r="I196" s="99">
        <v>0</v>
      </c>
      <c r="J196" s="99">
        <v>0</v>
      </c>
      <c r="K196" s="99">
        <v>0</v>
      </c>
      <c r="L196" s="66">
        <v>0.19896964884193841</v>
      </c>
      <c r="M196" s="66">
        <v>0</v>
      </c>
      <c r="N196" s="99">
        <v>0</v>
      </c>
      <c r="O196" s="66">
        <v>0.15260973382723361</v>
      </c>
      <c r="P196" s="66">
        <v>4.4857940903312972E-2</v>
      </c>
      <c r="Q196" s="99">
        <v>1.7674491631825049</v>
      </c>
      <c r="R196" s="99">
        <v>0</v>
      </c>
      <c r="S196" s="99">
        <v>0</v>
      </c>
      <c r="T196" s="99">
        <v>0</v>
      </c>
      <c r="U196" s="99">
        <v>0</v>
      </c>
      <c r="V196" s="99">
        <v>0</v>
      </c>
      <c r="W196" s="99">
        <v>0</v>
      </c>
      <c r="X196" s="99">
        <v>0</v>
      </c>
      <c r="Y196" s="99">
        <v>0</v>
      </c>
      <c r="Z196" s="99">
        <v>0</v>
      </c>
      <c r="AA196" s="66">
        <v>-0.80671950471023024</v>
      </c>
      <c r="AB196" s="66">
        <v>-0.2236146234843375</v>
      </c>
      <c r="AC196" s="66">
        <v>0</v>
      </c>
      <c r="AD196" s="66">
        <v>-6.9484961829061831E-2</v>
      </c>
      <c r="AE196" s="66">
        <v>0</v>
      </c>
      <c r="AF196" s="66">
        <v>0.1757637880967593</v>
      </c>
      <c r="AG196" s="66">
        <v>0.3846704402807859</v>
      </c>
    </row>
    <row r="197" spans="1:33" x14ac:dyDescent="0.35">
      <c r="A197" s="127" t="s">
        <v>152</v>
      </c>
      <c r="B197" s="66">
        <v>0</v>
      </c>
      <c r="C197" s="99">
        <v>0</v>
      </c>
      <c r="D197" s="99">
        <v>0</v>
      </c>
      <c r="E197" s="99">
        <v>0</v>
      </c>
      <c r="F197" s="99">
        <v>0</v>
      </c>
      <c r="G197" s="66">
        <v>-0.31580223794622952</v>
      </c>
      <c r="H197" s="99">
        <v>0</v>
      </c>
      <c r="I197" s="99">
        <v>0</v>
      </c>
      <c r="J197" s="99">
        <v>0</v>
      </c>
      <c r="K197" s="99">
        <v>0</v>
      </c>
      <c r="L197" s="66">
        <v>0.1999831844805442</v>
      </c>
      <c r="M197" s="66">
        <v>0</v>
      </c>
      <c r="N197" s="99">
        <v>0</v>
      </c>
      <c r="O197" s="66">
        <v>0.16026109828891319</v>
      </c>
      <c r="P197" s="66">
        <v>4.3753778533698551E-2</v>
      </c>
      <c r="Q197" s="99">
        <v>1.730174941221293</v>
      </c>
      <c r="R197" s="99">
        <v>0</v>
      </c>
      <c r="S197" s="99">
        <v>0</v>
      </c>
      <c r="T197" s="99">
        <v>0</v>
      </c>
      <c r="U197" s="99">
        <v>0</v>
      </c>
      <c r="V197" s="99">
        <v>0</v>
      </c>
      <c r="W197" s="99">
        <v>0</v>
      </c>
      <c r="X197" s="99">
        <v>0</v>
      </c>
      <c r="Y197" s="99">
        <v>0</v>
      </c>
      <c r="Z197" s="99">
        <v>0</v>
      </c>
      <c r="AA197" s="66">
        <v>-0.90877030114896229</v>
      </c>
      <c r="AB197" s="66">
        <v>-0.2298819849882818</v>
      </c>
      <c r="AC197" s="66">
        <v>0</v>
      </c>
      <c r="AD197" s="66">
        <v>-7.0656812537521319E-2</v>
      </c>
      <c r="AE197" s="66">
        <v>0</v>
      </c>
      <c r="AF197" s="66">
        <v>0.17741444287622701</v>
      </c>
      <c r="AG197" s="66">
        <v>0.37368174557769862</v>
      </c>
    </row>
    <row r="198" spans="1:33" x14ac:dyDescent="0.35">
      <c r="A198" s="127" t="s">
        <v>153</v>
      </c>
      <c r="B198" s="66">
        <v>0</v>
      </c>
      <c r="C198" s="99">
        <v>0</v>
      </c>
      <c r="D198" s="99">
        <v>0</v>
      </c>
      <c r="E198" s="99">
        <v>0</v>
      </c>
      <c r="F198" s="99">
        <v>0</v>
      </c>
      <c r="G198" s="66">
        <v>-0.26626855408798628</v>
      </c>
      <c r="H198" s="99">
        <v>0</v>
      </c>
      <c r="I198" s="99">
        <v>0</v>
      </c>
      <c r="J198" s="99">
        <v>0</v>
      </c>
      <c r="K198" s="99">
        <v>0</v>
      </c>
      <c r="L198" s="66">
        <v>0.1989349898821331</v>
      </c>
      <c r="M198" s="66">
        <v>0</v>
      </c>
      <c r="N198" s="99">
        <v>0</v>
      </c>
      <c r="O198" s="66">
        <v>0.14092987899283571</v>
      </c>
      <c r="P198" s="66">
        <v>5.0547342776610549E-2</v>
      </c>
      <c r="Q198" s="99">
        <v>1.6924107517169771</v>
      </c>
      <c r="R198" s="99">
        <v>0</v>
      </c>
      <c r="S198" s="99">
        <v>0</v>
      </c>
      <c r="T198" s="99">
        <v>0</v>
      </c>
      <c r="U198" s="99">
        <v>0</v>
      </c>
      <c r="V198" s="99">
        <v>0</v>
      </c>
      <c r="W198" s="99">
        <v>0</v>
      </c>
      <c r="X198" s="99">
        <v>0</v>
      </c>
      <c r="Y198" s="99">
        <v>0</v>
      </c>
      <c r="Z198" s="99">
        <v>0</v>
      </c>
      <c r="AA198" s="66">
        <v>-0.79213870247190243</v>
      </c>
      <c r="AB198" s="66">
        <v>-0.25199752909537659</v>
      </c>
      <c r="AC198" s="66">
        <v>0</v>
      </c>
      <c r="AD198" s="66">
        <v>-0.10430868084034731</v>
      </c>
      <c r="AE198" s="66">
        <v>0</v>
      </c>
      <c r="AF198" s="66">
        <v>0.17568049471967129</v>
      </c>
      <c r="AG198" s="66">
        <v>0.38893289210287207</v>
      </c>
    </row>
    <row r="199" spans="1:33" x14ac:dyDescent="0.35">
      <c r="A199" s="127" t="s">
        <v>154</v>
      </c>
      <c r="B199" s="66">
        <v>0</v>
      </c>
      <c r="C199" s="99">
        <v>0</v>
      </c>
      <c r="D199" s="99">
        <v>0</v>
      </c>
      <c r="E199" s="99">
        <v>0</v>
      </c>
      <c r="F199" s="99">
        <v>0</v>
      </c>
      <c r="G199" s="66">
        <v>-0.2606634795008631</v>
      </c>
      <c r="H199" s="99">
        <v>0</v>
      </c>
      <c r="I199" s="99">
        <v>0</v>
      </c>
      <c r="J199" s="99">
        <v>0</v>
      </c>
      <c r="K199" s="99">
        <v>0</v>
      </c>
      <c r="L199" s="66">
        <v>0.19804058233921751</v>
      </c>
      <c r="M199" s="66">
        <v>0</v>
      </c>
      <c r="N199" s="99">
        <v>0</v>
      </c>
      <c r="O199" s="66">
        <v>0.1296804921336161</v>
      </c>
      <c r="P199" s="66">
        <v>4.5558724380697413E-2</v>
      </c>
      <c r="Q199" s="99">
        <v>1.731738119326508</v>
      </c>
      <c r="R199" s="99">
        <v>0</v>
      </c>
      <c r="S199" s="99">
        <v>0</v>
      </c>
      <c r="T199" s="99">
        <v>0</v>
      </c>
      <c r="U199" s="99">
        <v>0</v>
      </c>
      <c r="V199" s="99">
        <v>0</v>
      </c>
      <c r="W199" s="99">
        <v>0</v>
      </c>
      <c r="X199" s="99">
        <v>0</v>
      </c>
      <c r="Y199" s="99">
        <v>0</v>
      </c>
      <c r="Z199" s="99">
        <v>0</v>
      </c>
      <c r="AA199" s="66">
        <v>-0.8248665685582921</v>
      </c>
      <c r="AB199" s="66">
        <v>-0.19186390094193939</v>
      </c>
      <c r="AC199" s="66">
        <v>0</v>
      </c>
      <c r="AD199" s="66">
        <v>-7.7618687323536051E-2</v>
      </c>
      <c r="AE199" s="66">
        <v>0</v>
      </c>
      <c r="AF199" s="66">
        <v>0.17590096475356631</v>
      </c>
      <c r="AG199" s="66">
        <v>0.38219985754463442</v>
      </c>
    </row>
    <row r="200" spans="1:33" x14ac:dyDescent="0.35">
      <c r="A200" s="127" t="s">
        <v>155</v>
      </c>
      <c r="B200" s="66">
        <v>0</v>
      </c>
      <c r="C200" s="99">
        <v>0</v>
      </c>
      <c r="D200" s="99">
        <v>0</v>
      </c>
      <c r="E200" s="99">
        <v>0</v>
      </c>
      <c r="F200" s="99">
        <v>0</v>
      </c>
      <c r="G200" s="66">
        <v>-0.24667415351819949</v>
      </c>
      <c r="H200" s="99">
        <v>0</v>
      </c>
      <c r="I200" s="99">
        <v>0</v>
      </c>
      <c r="J200" s="99">
        <v>0</v>
      </c>
      <c r="K200" s="99">
        <v>0</v>
      </c>
      <c r="L200" s="66">
        <v>0.19956735838243839</v>
      </c>
      <c r="M200" s="66">
        <v>0</v>
      </c>
      <c r="N200" s="99">
        <v>0</v>
      </c>
      <c r="O200" s="66">
        <v>0.13478058122220199</v>
      </c>
      <c r="P200" s="66">
        <v>4.0576866530102507E-2</v>
      </c>
      <c r="Q200" s="99">
        <v>1.635029932846578</v>
      </c>
      <c r="R200" s="99">
        <v>0</v>
      </c>
      <c r="S200" s="99">
        <v>0</v>
      </c>
      <c r="T200" s="99">
        <v>0</v>
      </c>
      <c r="U200" s="99">
        <v>0</v>
      </c>
      <c r="V200" s="99">
        <v>0</v>
      </c>
      <c r="W200" s="99">
        <v>0</v>
      </c>
      <c r="X200" s="99">
        <v>0</v>
      </c>
      <c r="Y200" s="99">
        <v>0</v>
      </c>
      <c r="Z200" s="99">
        <v>0</v>
      </c>
      <c r="AA200" s="66">
        <v>-0.89091513796998356</v>
      </c>
      <c r="AB200" s="66">
        <v>-0.21393496375881679</v>
      </c>
      <c r="AC200" s="66">
        <v>0</v>
      </c>
      <c r="AD200" s="66">
        <v>-7.4274579497625837E-2</v>
      </c>
      <c r="AE200" s="66">
        <v>0</v>
      </c>
      <c r="AF200" s="66">
        <v>0.1773788966514189</v>
      </c>
      <c r="AG200" s="66">
        <v>0.3761902951406455</v>
      </c>
    </row>
    <row r="201" spans="1:33" x14ac:dyDescent="0.35">
      <c r="A201" s="127" t="s">
        <v>156</v>
      </c>
      <c r="B201" s="66">
        <v>0</v>
      </c>
      <c r="C201" s="99">
        <v>0</v>
      </c>
      <c r="D201" s="99">
        <v>0</v>
      </c>
      <c r="E201" s="99">
        <v>0</v>
      </c>
      <c r="F201" s="99">
        <v>0</v>
      </c>
      <c r="G201" s="66">
        <v>-0.25193290313174538</v>
      </c>
      <c r="H201" s="99">
        <v>0</v>
      </c>
      <c r="I201" s="99">
        <v>0</v>
      </c>
      <c r="J201" s="99">
        <v>0</v>
      </c>
      <c r="K201" s="99">
        <v>0</v>
      </c>
      <c r="L201" s="66">
        <v>0.1997338675842002</v>
      </c>
      <c r="M201" s="66">
        <v>0</v>
      </c>
      <c r="N201" s="99">
        <v>0</v>
      </c>
      <c r="O201" s="66">
        <v>0.11964311161449361</v>
      </c>
      <c r="P201" s="66">
        <v>6.5251538089057703E-2</v>
      </c>
      <c r="Q201" s="99">
        <v>1.6047521697859111</v>
      </c>
      <c r="R201" s="99">
        <v>0</v>
      </c>
      <c r="S201" s="99">
        <v>0</v>
      </c>
      <c r="T201" s="99">
        <v>0</v>
      </c>
      <c r="U201" s="99">
        <v>0</v>
      </c>
      <c r="V201" s="99">
        <v>0</v>
      </c>
      <c r="W201" s="99">
        <v>0</v>
      </c>
      <c r="X201" s="99">
        <v>0</v>
      </c>
      <c r="Y201" s="99">
        <v>0</v>
      </c>
      <c r="Z201" s="99">
        <v>0</v>
      </c>
      <c r="AA201" s="66">
        <v>-0.93400672915760197</v>
      </c>
      <c r="AB201" s="66">
        <v>-0.22281275631232231</v>
      </c>
      <c r="AC201" s="66">
        <v>0</v>
      </c>
      <c r="AD201" s="66">
        <v>-9.5446128756123017E-2</v>
      </c>
      <c r="AE201" s="66">
        <v>0</v>
      </c>
      <c r="AF201" s="66">
        <v>0.17798975160758351</v>
      </c>
      <c r="AG201" s="66">
        <v>0.37048934173267872</v>
      </c>
    </row>
    <row r="202" spans="1:33" x14ac:dyDescent="0.35">
      <c r="A202" s="127" t="s">
        <v>157</v>
      </c>
      <c r="B202" s="66">
        <v>0</v>
      </c>
      <c r="C202" s="99">
        <v>0</v>
      </c>
      <c r="D202" s="99">
        <v>0</v>
      </c>
      <c r="E202" s="99">
        <v>0</v>
      </c>
      <c r="F202" s="99">
        <v>0</v>
      </c>
      <c r="G202" s="66">
        <v>-0.27804699377051628</v>
      </c>
      <c r="H202" s="99">
        <v>0</v>
      </c>
      <c r="I202" s="99">
        <v>0</v>
      </c>
      <c r="J202" s="99">
        <v>0</v>
      </c>
      <c r="K202" s="99">
        <v>0</v>
      </c>
      <c r="L202" s="66">
        <v>0.19868997308333289</v>
      </c>
      <c r="M202" s="66">
        <v>0</v>
      </c>
      <c r="N202" s="99">
        <v>0</v>
      </c>
      <c r="O202" s="66">
        <v>0.118339064126701</v>
      </c>
      <c r="P202" s="66">
        <v>5.974021622841974E-2</v>
      </c>
      <c r="Q202" s="99">
        <v>1.626534916164559</v>
      </c>
      <c r="R202" s="99">
        <v>0</v>
      </c>
      <c r="S202" s="99">
        <v>0</v>
      </c>
      <c r="T202" s="99">
        <v>0</v>
      </c>
      <c r="U202" s="99">
        <v>0</v>
      </c>
      <c r="V202" s="99">
        <v>0</v>
      </c>
      <c r="W202" s="99">
        <v>0</v>
      </c>
      <c r="X202" s="99">
        <v>0</v>
      </c>
      <c r="Y202" s="99">
        <v>0</v>
      </c>
      <c r="Z202" s="99">
        <v>0</v>
      </c>
      <c r="AA202" s="66">
        <v>-0.76679954654244398</v>
      </c>
      <c r="AB202" s="66">
        <v>-0.22015200843725319</v>
      </c>
      <c r="AC202" s="66">
        <v>0</v>
      </c>
      <c r="AD202" s="66">
        <v>-0.13443720317641811</v>
      </c>
      <c r="AE202" s="66">
        <v>0</v>
      </c>
      <c r="AF202" s="66">
        <v>0.17504776784110729</v>
      </c>
      <c r="AG202" s="66">
        <v>0.39187914561040321</v>
      </c>
    </row>
    <row r="203" spans="1:33" x14ac:dyDescent="0.35">
      <c r="A203" s="127" t="s">
        <v>158</v>
      </c>
      <c r="B203" s="66">
        <v>0</v>
      </c>
      <c r="C203" s="99">
        <v>0</v>
      </c>
      <c r="D203" s="99">
        <v>0</v>
      </c>
      <c r="E203" s="99">
        <v>0</v>
      </c>
      <c r="F203" s="99">
        <v>0</v>
      </c>
      <c r="G203" s="66">
        <v>-0.2426156074306505</v>
      </c>
      <c r="H203" s="99">
        <v>0</v>
      </c>
      <c r="I203" s="99">
        <v>0</v>
      </c>
      <c r="J203" s="99">
        <v>0</v>
      </c>
      <c r="K203" s="99">
        <v>0</v>
      </c>
      <c r="L203" s="66">
        <v>0.19787536807385209</v>
      </c>
      <c r="M203" s="66">
        <v>0</v>
      </c>
      <c r="N203" s="99">
        <v>0</v>
      </c>
      <c r="O203" s="66">
        <v>0.13143168790134041</v>
      </c>
      <c r="P203" s="66">
        <v>6.1088799743117761E-2</v>
      </c>
      <c r="Q203" s="99">
        <v>1.6995906674661969</v>
      </c>
      <c r="R203" s="99">
        <v>0</v>
      </c>
      <c r="S203" s="99">
        <v>0</v>
      </c>
      <c r="T203" s="99">
        <v>0</v>
      </c>
      <c r="U203" s="99">
        <v>0</v>
      </c>
      <c r="V203" s="99">
        <v>0</v>
      </c>
      <c r="W203" s="99">
        <v>0</v>
      </c>
      <c r="X203" s="99">
        <v>0</v>
      </c>
      <c r="Y203" s="99">
        <v>0</v>
      </c>
      <c r="Z203" s="99">
        <v>0</v>
      </c>
      <c r="AA203" s="66">
        <v>-0.80961951884546579</v>
      </c>
      <c r="AB203" s="66">
        <v>-0.22083842113065091</v>
      </c>
      <c r="AC203" s="66">
        <v>0</v>
      </c>
      <c r="AD203" s="66">
        <v>-0.1109099253522743</v>
      </c>
      <c r="AE203" s="66">
        <v>0</v>
      </c>
      <c r="AF203" s="66">
        <v>0.17434261784529781</v>
      </c>
      <c r="AG203" s="66">
        <v>0.38429660270207933</v>
      </c>
    </row>
    <row r="204" spans="1:33" x14ac:dyDescent="0.35">
      <c r="A204" s="127" t="s">
        <v>159</v>
      </c>
      <c r="B204" s="66">
        <v>0</v>
      </c>
      <c r="C204" s="99">
        <v>0</v>
      </c>
      <c r="D204" s="99">
        <v>0</v>
      </c>
      <c r="E204" s="99">
        <v>0</v>
      </c>
      <c r="F204" s="99">
        <v>0</v>
      </c>
      <c r="G204" s="66">
        <v>-0.20391811921754771</v>
      </c>
      <c r="H204" s="99">
        <v>0</v>
      </c>
      <c r="I204" s="99">
        <v>0</v>
      </c>
      <c r="J204" s="99">
        <v>0</v>
      </c>
      <c r="K204" s="99">
        <v>0</v>
      </c>
      <c r="L204" s="66">
        <v>0.20015919839445931</v>
      </c>
      <c r="M204" s="66">
        <v>0</v>
      </c>
      <c r="N204" s="99">
        <v>0</v>
      </c>
      <c r="O204" s="66">
        <v>0.139152482357531</v>
      </c>
      <c r="P204" s="66">
        <v>3.7343837955575047E-2</v>
      </c>
      <c r="Q204" s="99">
        <v>1.5607868471441011</v>
      </c>
      <c r="R204" s="99">
        <v>0</v>
      </c>
      <c r="S204" s="99">
        <v>0</v>
      </c>
      <c r="T204" s="99">
        <v>0</v>
      </c>
      <c r="U204" s="99">
        <v>0</v>
      </c>
      <c r="V204" s="99">
        <v>0</v>
      </c>
      <c r="W204" s="99">
        <v>0</v>
      </c>
      <c r="X204" s="99">
        <v>0</v>
      </c>
      <c r="Y204" s="99">
        <v>0</v>
      </c>
      <c r="Z204" s="99">
        <v>0</v>
      </c>
      <c r="AA204" s="66">
        <v>-0.84373885628559719</v>
      </c>
      <c r="AB204" s="66">
        <v>-0.22364770405462761</v>
      </c>
      <c r="AC204" s="66">
        <v>0</v>
      </c>
      <c r="AD204" s="66">
        <v>-7.575765274071955E-2</v>
      </c>
      <c r="AE204" s="66">
        <v>0</v>
      </c>
      <c r="AF204" s="66">
        <v>0.1804465787040499</v>
      </c>
      <c r="AG204" s="66">
        <v>0.3837503483750595</v>
      </c>
    </row>
    <row r="205" spans="1:33" x14ac:dyDescent="0.35">
      <c r="A205" s="127" t="s">
        <v>160</v>
      </c>
      <c r="B205" s="66">
        <v>0</v>
      </c>
      <c r="C205" s="99">
        <v>0</v>
      </c>
      <c r="D205" s="99">
        <v>0</v>
      </c>
      <c r="E205" s="99">
        <v>0</v>
      </c>
      <c r="F205" s="99">
        <v>0</v>
      </c>
      <c r="G205" s="66">
        <v>-0.15829552267814509</v>
      </c>
      <c r="H205" s="99">
        <v>0</v>
      </c>
      <c r="I205" s="99">
        <v>0</v>
      </c>
      <c r="J205" s="99">
        <v>0</v>
      </c>
      <c r="K205" s="99">
        <v>0</v>
      </c>
      <c r="L205" s="66">
        <v>0.20081622509420069</v>
      </c>
      <c r="M205" s="66">
        <v>0</v>
      </c>
      <c r="N205" s="99">
        <v>0</v>
      </c>
      <c r="O205" s="66">
        <v>0.12501578033766239</v>
      </c>
      <c r="P205" s="66">
        <v>3.651484587868481E-2</v>
      </c>
      <c r="Q205" s="99">
        <v>1.430280997847007</v>
      </c>
      <c r="R205" s="99">
        <v>0</v>
      </c>
      <c r="S205" s="99">
        <v>0</v>
      </c>
      <c r="T205" s="99">
        <v>0</v>
      </c>
      <c r="U205" s="99">
        <v>0</v>
      </c>
      <c r="V205" s="99">
        <v>0</v>
      </c>
      <c r="W205" s="99">
        <v>0</v>
      </c>
      <c r="X205" s="99">
        <v>0</v>
      </c>
      <c r="Y205" s="99">
        <v>0</v>
      </c>
      <c r="Z205" s="99">
        <v>0</v>
      </c>
      <c r="AA205" s="66">
        <v>-0.83566469798071807</v>
      </c>
      <c r="AB205" s="66">
        <v>-0.22511708929127389</v>
      </c>
      <c r="AC205" s="66">
        <v>0</v>
      </c>
      <c r="AD205" s="66">
        <v>-5.637049628799673E-2</v>
      </c>
      <c r="AE205" s="66">
        <v>0</v>
      </c>
      <c r="AF205" s="66">
        <v>0.17905859195013821</v>
      </c>
      <c r="AG205" s="66">
        <v>0.38674473342931043</v>
      </c>
    </row>
    <row r="206" spans="1:33" x14ac:dyDescent="0.35">
      <c r="A206" s="127" t="s">
        <v>1</v>
      </c>
      <c r="B206" s="66">
        <v>0</v>
      </c>
      <c r="C206" s="99">
        <v>0</v>
      </c>
      <c r="D206" s="99">
        <v>0</v>
      </c>
      <c r="E206" s="99">
        <v>0</v>
      </c>
      <c r="F206" s="99">
        <v>0</v>
      </c>
      <c r="G206" s="66">
        <v>-0.15508635087715561</v>
      </c>
      <c r="H206" s="99">
        <v>0</v>
      </c>
      <c r="I206" s="99">
        <v>0</v>
      </c>
      <c r="J206" s="99">
        <v>0</v>
      </c>
      <c r="K206" s="99">
        <v>0</v>
      </c>
      <c r="L206" s="66">
        <v>0.20055466168957989</v>
      </c>
      <c r="M206" s="66">
        <v>0</v>
      </c>
      <c r="N206" s="99">
        <v>0</v>
      </c>
      <c r="O206" s="66">
        <v>0.1523268210743822</v>
      </c>
      <c r="P206" s="66">
        <v>3.8091020104332067E-2</v>
      </c>
      <c r="Q206" s="99">
        <v>1.3621911613889779</v>
      </c>
      <c r="R206" s="99">
        <v>0</v>
      </c>
      <c r="S206" s="99">
        <v>0</v>
      </c>
      <c r="T206" s="99">
        <v>0</v>
      </c>
      <c r="U206" s="99">
        <v>0</v>
      </c>
      <c r="V206" s="99">
        <v>0</v>
      </c>
      <c r="W206" s="99">
        <v>0</v>
      </c>
      <c r="X206" s="99">
        <v>0</v>
      </c>
      <c r="Y206" s="99">
        <v>0</v>
      </c>
      <c r="Z206" s="99">
        <v>0</v>
      </c>
      <c r="AA206" s="66">
        <v>-0.71778690818143787</v>
      </c>
      <c r="AB206" s="66">
        <v>-0.31689534313116502</v>
      </c>
      <c r="AC206" s="66">
        <v>0</v>
      </c>
      <c r="AD206" s="66">
        <v>-6.9722393153313078E-2</v>
      </c>
      <c r="AE206" s="66">
        <v>0</v>
      </c>
      <c r="AF206" s="66">
        <v>0.1754678765022675</v>
      </c>
      <c r="AG206" s="66">
        <v>0.40445114893060458</v>
      </c>
    </row>
    <row r="207" spans="1:33" x14ac:dyDescent="0.35">
      <c r="A207" s="127" t="s">
        <v>2</v>
      </c>
      <c r="B207" s="66">
        <v>0</v>
      </c>
      <c r="C207" s="99">
        <v>0</v>
      </c>
      <c r="D207" s="99">
        <v>0</v>
      </c>
      <c r="E207" s="99">
        <v>0</v>
      </c>
      <c r="F207" s="99">
        <v>0</v>
      </c>
      <c r="G207" s="66">
        <v>-0.20903272306125589</v>
      </c>
      <c r="H207" s="99">
        <v>0</v>
      </c>
      <c r="I207" s="99">
        <v>0</v>
      </c>
      <c r="J207" s="99">
        <v>0</v>
      </c>
      <c r="K207" s="99">
        <v>0</v>
      </c>
      <c r="L207" s="66">
        <v>0.20097023542120951</v>
      </c>
      <c r="M207" s="66">
        <v>0</v>
      </c>
      <c r="N207" s="99">
        <v>0</v>
      </c>
      <c r="O207" s="66">
        <v>0.13350499057062851</v>
      </c>
      <c r="P207" s="66">
        <v>3.378846513973599E-2</v>
      </c>
      <c r="Q207" s="99">
        <v>1.313935299394672</v>
      </c>
      <c r="R207" s="99">
        <v>0</v>
      </c>
      <c r="S207" s="99">
        <v>0</v>
      </c>
      <c r="T207" s="99">
        <v>0</v>
      </c>
      <c r="U207" s="99">
        <v>0</v>
      </c>
      <c r="V207" s="99">
        <v>0</v>
      </c>
      <c r="W207" s="99">
        <v>0</v>
      </c>
      <c r="X207" s="99">
        <v>0</v>
      </c>
      <c r="Y207" s="99">
        <v>0</v>
      </c>
      <c r="Z207" s="99">
        <v>0</v>
      </c>
      <c r="AA207" s="66">
        <v>-0.66450247430654485</v>
      </c>
      <c r="AB207" s="66">
        <v>-0.2240623199761558</v>
      </c>
      <c r="AC207" s="66">
        <v>0</v>
      </c>
      <c r="AD207" s="66">
        <v>-7.9150936388458604E-2</v>
      </c>
      <c r="AE207" s="66">
        <v>0</v>
      </c>
      <c r="AF207" s="66">
        <v>0.1737759889289805</v>
      </c>
      <c r="AG207" s="66">
        <v>0.41267146771517099</v>
      </c>
    </row>
    <row r="208" spans="1:33" x14ac:dyDescent="0.35">
      <c r="A208" s="127" t="s">
        <v>3</v>
      </c>
      <c r="B208" s="66">
        <v>0</v>
      </c>
      <c r="C208" s="99">
        <v>0</v>
      </c>
      <c r="D208" s="99">
        <v>0</v>
      </c>
      <c r="E208" s="99">
        <v>0</v>
      </c>
      <c r="F208" s="99">
        <v>0</v>
      </c>
      <c r="G208" s="66">
        <v>-0.22327343497951799</v>
      </c>
      <c r="H208" s="99">
        <v>0</v>
      </c>
      <c r="I208" s="99">
        <v>0</v>
      </c>
      <c r="J208" s="99">
        <v>0</v>
      </c>
      <c r="K208" s="99">
        <v>0</v>
      </c>
      <c r="L208" s="66">
        <v>0.20271875574698581</v>
      </c>
      <c r="M208" s="66">
        <v>0</v>
      </c>
      <c r="N208" s="99">
        <v>0</v>
      </c>
      <c r="O208" s="66">
        <v>0.13749068858189159</v>
      </c>
      <c r="P208" s="66">
        <v>3.1855062563238327E-2</v>
      </c>
      <c r="Q208" s="99">
        <v>1.221534674995183</v>
      </c>
      <c r="R208" s="99">
        <v>0</v>
      </c>
      <c r="S208" s="99">
        <v>0</v>
      </c>
      <c r="T208" s="99">
        <v>0</v>
      </c>
      <c r="U208" s="99">
        <v>0</v>
      </c>
      <c r="V208" s="99">
        <v>0</v>
      </c>
      <c r="W208" s="99">
        <v>0</v>
      </c>
      <c r="X208" s="99">
        <v>0</v>
      </c>
      <c r="Y208" s="99">
        <v>0</v>
      </c>
      <c r="Z208" s="99">
        <v>0</v>
      </c>
      <c r="AA208" s="66">
        <v>-0.73914766638904439</v>
      </c>
      <c r="AB208" s="66">
        <v>-0.23021428502568139</v>
      </c>
      <c r="AC208" s="66">
        <v>0</v>
      </c>
      <c r="AD208" s="66">
        <v>-6.6529523071693575E-2</v>
      </c>
      <c r="AE208" s="66">
        <v>0</v>
      </c>
      <c r="AF208" s="66">
        <v>0.1734291466819684</v>
      </c>
      <c r="AG208" s="66">
        <v>0.40611050172660162</v>
      </c>
    </row>
    <row r="209" spans="1:33" x14ac:dyDescent="0.35">
      <c r="A209" s="127" t="s">
        <v>4</v>
      </c>
      <c r="B209" s="66">
        <v>0</v>
      </c>
      <c r="C209" s="99">
        <v>0</v>
      </c>
      <c r="D209" s="99">
        <v>0</v>
      </c>
      <c r="E209" s="99">
        <v>0</v>
      </c>
      <c r="F209" s="99">
        <v>0</v>
      </c>
      <c r="G209" s="66">
        <v>-0.2061769134114684</v>
      </c>
      <c r="H209" s="99">
        <v>0</v>
      </c>
      <c r="I209" s="99">
        <v>0</v>
      </c>
      <c r="J209" s="99">
        <v>0</v>
      </c>
      <c r="K209" s="99">
        <v>0</v>
      </c>
      <c r="L209" s="66">
        <v>0.20516421357734771</v>
      </c>
      <c r="M209" s="66">
        <v>0</v>
      </c>
      <c r="N209" s="99">
        <v>0</v>
      </c>
      <c r="O209" s="66">
        <v>0.14862024993337289</v>
      </c>
      <c r="P209" s="66">
        <v>3.5001267558868683E-2</v>
      </c>
      <c r="Q209" s="99">
        <v>1.113845738677725</v>
      </c>
      <c r="R209" s="99">
        <v>0</v>
      </c>
      <c r="S209" s="99">
        <v>0</v>
      </c>
      <c r="T209" s="99">
        <v>0</v>
      </c>
      <c r="U209" s="99">
        <v>0</v>
      </c>
      <c r="V209" s="99">
        <v>0</v>
      </c>
      <c r="W209" s="99">
        <v>0</v>
      </c>
      <c r="X209" s="99">
        <v>0</v>
      </c>
      <c r="Y209" s="99">
        <v>0</v>
      </c>
      <c r="Z209" s="99">
        <v>0</v>
      </c>
      <c r="AA209" s="66">
        <v>-0.92834103902515608</v>
      </c>
      <c r="AB209" s="66">
        <v>-0.22321590936243749</v>
      </c>
      <c r="AC209" s="66">
        <v>0</v>
      </c>
      <c r="AD209" s="66">
        <v>-5.6346156318625162E-2</v>
      </c>
      <c r="AE209" s="66">
        <v>0</v>
      </c>
      <c r="AF209" s="66">
        <v>0.1722528039818769</v>
      </c>
      <c r="AG209" s="66">
        <v>0.38391825222046799</v>
      </c>
    </row>
    <row r="210" spans="1:33" x14ac:dyDescent="0.35">
      <c r="A210" s="127" t="s">
        <v>5</v>
      </c>
      <c r="B210" s="66">
        <v>0</v>
      </c>
      <c r="C210" s="99">
        <v>0</v>
      </c>
      <c r="D210" s="99">
        <v>0</v>
      </c>
      <c r="E210" s="99">
        <v>0</v>
      </c>
      <c r="F210" s="99">
        <v>0</v>
      </c>
      <c r="G210" s="66">
        <v>-0.28272123461442789</v>
      </c>
      <c r="H210" s="99">
        <v>0</v>
      </c>
      <c r="I210" s="99">
        <v>0</v>
      </c>
      <c r="J210" s="99">
        <v>0</v>
      </c>
      <c r="K210" s="99">
        <v>0</v>
      </c>
      <c r="L210" s="66">
        <v>0.2045361158148182</v>
      </c>
      <c r="M210" s="66">
        <v>0</v>
      </c>
      <c r="N210" s="99">
        <v>0</v>
      </c>
      <c r="O210" s="66">
        <v>0.1556526806005252</v>
      </c>
      <c r="P210" s="66">
        <v>6.2254785999414253E-2</v>
      </c>
      <c r="Q210" s="99">
        <v>1.213827159857686</v>
      </c>
      <c r="R210" s="99">
        <v>0</v>
      </c>
      <c r="S210" s="99">
        <v>0</v>
      </c>
      <c r="T210" s="99">
        <v>0</v>
      </c>
      <c r="U210" s="99">
        <v>0</v>
      </c>
      <c r="V210" s="99">
        <v>0</v>
      </c>
      <c r="W210" s="99">
        <v>0</v>
      </c>
      <c r="X210" s="99">
        <v>0</v>
      </c>
      <c r="Y210" s="99">
        <v>0</v>
      </c>
      <c r="Z210" s="99">
        <v>0</v>
      </c>
      <c r="AA210" s="66">
        <v>-0.9463811202553245</v>
      </c>
      <c r="AB210" s="66">
        <v>-0.31235003684537332</v>
      </c>
      <c r="AC210" s="66">
        <v>0</v>
      </c>
      <c r="AD210" s="66">
        <v>-9.321773929156052E-2</v>
      </c>
      <c r="AE210" s="66">
        <v>0</v>
      </c>
      <c r="AF210" s="66">
        <v>0.17331050257840269</v>
      </c>
      <c r="AG210" s="66">
        <v>0.3807900551107366</v>
      </c>
    </row>
    <row r="211" spans="1:33" x14ac:dyDescent="0.35">
      <c r="A211" s="127" t="s">
        <v>6</v>
      </c>
      <c r="B211" s="66">
        <v>0</v>
      </c>
      <c r="C211" s="99">
        <v>0</v>
      </c>
      <c r="D211" s="99">
        <v>0</v>
      </c>
      <c r="E211" s="99">
        <v>0</v>
      </c>
      <c r="F211" s="99">
        <v>0</v>
      </c>
      <c r="G211" s="66">
        <v>-0.424772817585648</v>
      </c>
      <c r="H211" s="99">
        <v>0</v>
      </c>
      <c r="I211" s="99">
        <v>0</v>
      </c>
      <c r="J211" s="99">
        <v>0</v>
      </c>
      <c r="K211" s="99">
        <v>0</v>
      </c>
      <c r="L211" s="66">
        <v>0.2058162872062326</v>
      </c>
      <c r="M211" s="66">
        <v>0</v>
      </c>
      <c r="N211" s="99">
        <v>0</v>
      </c>
      <c r="O211" s="66">
        <v>0.14244432755111799</v>
      </c>
      <c r="P211" s="66">
        <v>7.6816028852249474E-2</v>
      </c>
      <c r="Q211" s="99">
        <v>1.135185856132551</v>
      </c>
      <c r="R211" s="99">
        <v>0</v>
      </c>
      <c r="S211" s="99">
        <v>0</v>
      </c>
      <c r="T211" s="99">
        <v>0</v>
      </c>
      <c r="U211" s="99">
        <v>0</v>
      </c>
      <c r="V211" s="99">
        <v>0</v>
      </c>
      <c r="W211" s="99">
        <v>0</v>
      </c>
      <c r="X211" s="99">
        <v>0</v>
      </c>
      <c r="Y211" s="99">
        <v>0</v>
      </c>
      <c r="Z211" s="99">
        <v>0</v>
      </c>
      <c r="AA211" s="66">
        <v>-0.94269432030534972</v>
      </c>
      <c r="AB211" s="66">
        <v>-0.28006755708082659</v>
      </c>
      <c r="AC211" s="66">
        <v>0</v>
      </c>
      <c r="AD211" s="66">
        <v>-0.1231687793843719</v>
      </c>
      <c r="AE211" s="66">
        <v>0</v>
      </c>
      <c r="AF211" s="66">
        <v>0.16947389860166601</v>
      </c>
      <c r="AG211" s="66">
        <v>0.3848571806822747</v>
      </c>
    </row>
    <row r="212" spans="1:33" x14ac:dyDescent="0.35">
      <c r="A212" s="127" t="s">
        <v>7</v>
      </c>
      <c r="B212" s="66">
        <v>0</v>
      </c>
      <c r="C212" s="99">
        <v>0</v>
      </c>
      <c r="D212" s="99">
        <v>0</v>
      </c>
      <c r="E212" s="99">
        <v>0</v>
      </c>
      <c r="F212" s="99">
        <v>0</v>
      </c>
      <c r="G212" s="66">
        <v>-0.45650310700165159</v>
      </c>
      <c r="H212" s="99">
        <v>0</v>
      </c>
      <c r="I212" s="99">
        <v>0</v>
      </c>
      <c r="J212" s="99">
        <v>0</v>
      </c>
      <c r="K212" s="99">
        <v>0</v>
      </c>
      <c r="L212" s="66">
        <v>0.20743732077883689</v>
      </c>
      <c r="M212" s="66">
        <v>0</v>
      </c>
      <c r="N212" s="99">
        <v>0</v>
      </c>
      <c r="O212" s="66">
        <v>0.12666322229910071</v>
      </c>
      <c r="P212" s="66">
        <v>6.6439837714199257E-2</v>
      </c>
      <c r="Q212" s="99">
        <v>1.133639384304217</v>
      </c>
      <c r="R212" s="99">
        <v>0</v>
      </c>
      <c r="S212" s="99">
        <v>0</v>
      </c>
      <c r="T212" s="99">
        <v>0</v>
      </c>
      <c r="U212" s="99">
        <v>0</v>
      </c>
      <c r="V212" s="99">
        <v>0</v>
      </c>
      <c r="W212" s="99">
        <v>0</v>
      </c>
      <c r="X212" s="99">
        <v>0</v>
      </c>
      <c r="Y212" s="99">
        <v>0</v>
      </c>
      <c r="Z212" s="99">
        <v>0</v>
      </c>
      <c r="AA212" s="66">
        <v>-1.076903788235114</v>
      </c>
      <c r="AB212" s="66">
        <v>-0.25650437166083861</v>
      </c>
      <c r="AC212" s="66">
        <v>0</v>
      </c>
      <c r="AD212" s="66">
        <v>-7.9332426458762484E-2</v>
      </c>
      <c r="AE212" s="66">
        <v>0</v>
      </c>
      <c r="AF212" s="66">
        <v>0.16991044955301501</v>
      </c>
      <c r="AG212" s="66">
        <v>0.36944823856362058</v>
      </c>
    </row>
    <row r="213" spans="1:33" x14ac:dyDescent="0.35">
      <c r="A213" s="127" t="s">
        <v>8</v>
      </c>
      <c r="B213" s="66">
        <v>0</v>
      </c>
      <c r="C213" s="99">
        <v>0</v>
      </c>
      <c r="D213" s="99">
        <v>0</v>
      </c>
      <c r="E213" s="99">
        <v>0</v>
      </c>
      <c r="F213" s="99">
        <v>0</v>
      </c>
      <c r="G213" s="66">
        <v>-0.4253406433024054</v>
      </c>
      <c r="H213" s="99">
        <v>0</v>
      </c>
      <c r="I213" s="99">
        <v>0</v>
      </c>
      <c r="J213" s="99">
        <v>0</v>
      </c>
      <c r="K213" s="99">
        <v>0</v>
      </c>
      <c r="L213" s="66">
        <v>0.21028272028834749</v>
      </c>
      <c r="M213" s="66">
        <v>0</v>
      </c>
      <c r="N213" s="99">
        <v>0</v>
      </c>
      <c r="O213" s="66">
        <v>0.1268121699043547</v>
      </c>
      <c r="P213" s="66">
        <v>6.4283783029679853E-2</v>
      </c>
      <c r="Q213" s="99">
        <v>0.99201715510417898</v>
      </c>
      <c r="R213" s="99">
        <v>0</v>
      </c>
      <c r="S213" s="99">
        <v>0</v>
      </c>
      <c r="T213" s="99">
        <v>0</v>
      </c>
      <c r="U213" s="99">
        <v>0</v>
      </c>
      <c r="V213" s="99">
        <v>0</v>
      </c>
      <c r="W213" s="99">
        <v>0</v>
      </c>
      <c r="X213" s="99">
        <v>0</v>
      </c>
      <c r="Y213" s="99">
        <v>0</v>
      </c>
      <c r="Z213" s="99">
        <v>0</v>
      </c>
      <c r="AA213" s="66">
        <v>-1.215859502743371</v>
      </c>
      <c r="AB213" s="66">
        <v>-0.28147444348587669</v>
      </c>
      <c r="AC213" s="66">
        <v>0</v>
      </c>
      <c r="AD213" s="66">
        <v>-7.4218074221647612E-2</v>
      </c>
      <c r="AE213" s="66">
        <v>0</v>
      </c>
      <c r="AF213" s="66">
        <v>0.17025280994587891</v>
      </c>
      <c r="AG213" s="66">
        <v>0.35551148334582189</v>
      </c>
    </row>
    <row r="214" spans="1:33" x14ac:dyDescent="0.35">
      <c r="A214" s="127" t="s">
        <v>9</v>
      </c>
      <c r="B214" s="66">
        <v>0</v>
      </c>
      <c r="C214" s="99">
        <v>0</v>
      </c>
      <c r="D214" s="99">
        <v>0</v>
      </c>
      <c r="E214" s="99">
        <v>0</v>
      </c>
      <c r="F214" s="99">
        <v>0</v>
      </c>
      <c r="G214" s="66">
        <v>-0.4932358529510168</v>
      </c>
      <c r="H214" s="99">
        <v>0</v>
      </c>
      <c r="I214" s="99">
        <v>0</v>
      </c>
      <c r="J214" s="99">
        <v>0</v>
      </c>
      <c r="K214" s="99">
        <v>0</v>
      </c>
      <c r="L214" s="66">
        <v>0.20922659074935271</v>
      </c>
      <c r="M214" s="66">
        <v>0</v>
      </c>
      <c r="N214" s="99">
        <v>0</v>
      </c>
      <c r="O214" s="66">
        <v>0.1015430231735195</v>
      </c>
      <c r="P214" s="66">
        <v>9.0461345207529575E-2</v>
      </c>
      <c r="Q214" s="99">
        <v>0.88059242381146419</v>
      </c>
      <c r="R214" s="99">
        <v>0</v>
      </c>
      <c r="S214" s="99">
        <v>0</v>
      </c>
      <c r="T214" s="99">
        <v>0</v>
      </c>
      <c r="U214" s="99">
        <v>0</v>
      </c>
      <c r="V214" s="99">
        <v>0</v>
      </c>
      <c r="W214" s="99">
        <v>0</v>
      </c>
      <c r="X214" s="99">
        <v>0</v>
      </c>
      <c r="Y214" s="99">
        <v>0</v>
      </c>
      <c r="Z214" s="99">
        <v>0</v>
      </c>
      <c r="AA214" s="66">
        <v>-1.115983002662148</v>
      </c>
      <c r="AB214" s="66">
        <v>-0.3638435703048799</v>
      </c>
      <c r="AC214" s="66">
        <v>0</v>
      </c>
      <c r="AD214" s="66">
        <v>-9.2865268331195239E-2</v>
      </c>
      <c r="AE214" s="66">
        <v>0</v>
      </c>
      <c r="AF214" s="66">
        <v>0.16846441448586799</v>
      </c>
      <c r="AG214" s="66">
        <v>0.3722748063781296</v>
      </c>
    </row>
    <row r="215" spans="1:33" x14ac:dyDescent="0.35">
      <c r="A215" s="127" t="s">
        <v>10</v>
      </c>
      <c r="B215" s="66">
        <v>0</v>
      </c>
      <c r="C215" s="99">
        <v>0</v>
      </c>
      <c r="D215" s="99">
        <v>0</v>
      </c>
      <c r="E215" s="99">
        <v>0</v>
      </c>
      <c r="F215" s="99">
        <v>0</v>
      </c>
      <c r="G215" s="66">
        <v>-0.44082676472677917</v>
      </c>
      <c r="H215" s="99">
        <v>0</v>
      </c>
      <c r="I215" s="99">
        <v>0</v>
      </c>
      <c r="J215" s="99">
        <v>0</v>
      </c>
      <c r="K215" s="99">
        <v>0</v>
      </c>
      <c r="L215" s="66">
        <v>0.21143266387196041</v>
      </c>
      <c r="M215" s="66">
        <v>0</v>
      </c>
      <c r="N215" s="99">
        <v>0</v>
      </c>
      <c r="O215" s="66">
        <v>7.6656916453828217E-2</v>
      </c>
      <c r="P215" s="66">
        <v>8.7973281297280437E-2</v>
      </c>
      <c r="Q215" s="99">
        <v>0.65953778764412618</v>
      </c>
      <c r="R215" s="99">
        <v>0</v>
      </c>
      <c r="S215" s="99">
        <v>0</v>
      </c>
      <c r="T215" s="99">
        <v>0</v>
      </c>
      <c r="U215" s="99">
        <v>0</v>
      </c>
      <c r="V215" s="99">
        <v>0</v>
      </c>
      <c r="W215" s="99">
        <v>0</v>
      </c>
      <c r="X215" s="99">
        <v>0</v>
      </c>
      <c r="Y215" s="99">
        <v>0</v>
      </c>
      <c r="Z215" s="99">
        <v>0</v>
      </c>
      <c r="AA215" s="66">
        <v>-1.0559094363983661</v>
      </c>
      <c r="AB215" s="66">
        <v>-0.31253089292576419</v>
      </c>
      <c r="AC215" s="66">
        <v>0</v>
      </c>
      <c r="AD215" s="66">
        <v>-5.1556182892966262E-2</v>
      </c>
      <c r="AE215" s="66">
        <v>-0.13323066100204531</v>
      </c>
      <c r="AF215" s="66">
        <v>0.159854089998646</v>
      </c>
      <c r="AG215" s="66">
        <v>0.3922754210451842</v>
      </c>
    </row>
    <row r="216" spans="1:33" x14ac:dyDescent="0.35">
      <c r="A216" s="127" t="s">
        <v>11</v>
      </c>
      <c r="B216" s="66">
        <v>0</v>
      </c>
      <c r="C216" s="99">
        <v>0</v>
      </c>
      <c r="D216" s="99">
        <v>0</v>
      </c>
      <c r="E216" s="99">
        <v>0</v>
      </c>
      <c r="F216" s="99">
        <v>0</v>
      </c>
      <c r="G216" s="66">
        <v>-0.41671307252403272</v>
      </c>
      <c r="H216" s="99">
        <v>0</v>
      </c>
      <c r="I216" s="99">
        <v>0</v>
      </c>
      <c r="J216" s="99">
        <v>0</v>
      </c>
      <c r="K216" s="99">
        <v>0</v>
      </c>
      <c r="L216" s="66">
        <v>0.21309678346960939</v>
      </c>
      <c r="M216" s="66">
        <v>0</v>
      </c>
      <c r="N216" s="99">
        <v>0</v>
      </c>
      <c r="O216" s="66">
        <v>7.7107280765062569E-2</v>
      </c>
      <c r="P216" s="66">
        <v>9.7202729290359002E-2</v>
      </c>
      <c r="Q216" s="99">
        <v>0.56793992883731903</v>
      </c>
      <c r="R216" s="99">
        <v>0</v>
      </c>
      <c r="S216" s="99">
        <v>0</v>
      </c>
      <c r="T216" s="99">
        <v>0</v>
      </c>
      <c r="U216" s="99">
        <v>0</v>
      </c>
      <c r="V216" s="99">
        <v>0</v>
      </c>
      <c r="W216" s="99">
        <v>0</v>
      </c>
      <c r="X216" s="99">
        <v>0</v>
      </c>
      <c r="Y216" s="99">
        <v>0</v>
      </c>
      <c r="Z216" s="99">
        <v>0</v>
      </c>
      <c r="AA216" s="66">
        <v>-1.1214077540598739</v>
      </c>
      <c r="AB216" s="66">
        <v>-0.34089911562608682</v>
      </c>
      <c r="AC216" s="66">
        <v>0</v>
      </c>
      <c r="AD216" s="66">
        <v>-4.5819280856790101E-2</v>
      </c>
      <c r="AE216" s="66">
        <v>-0.2093817282131738</v>
      </c>
      <c r="AF216" s="66">
        <v>0.1644780165066777</v>
      </c>
      <c r="AG216" s="66">
        <v>0.43026911192717421</v>
      </c>
    </row>
    <row r="217" spans="1:33" x14ac:dyDescent="0.35">
      <c r="A217" s="127" t="s">
        <v>12</v>
      </c>
      <c r="B217" s="66">
        <v>0</v>
      </c>
      <c r="C217" s="99">
        <v>0</v>
      </c>
      <c r="D217" s="99">
        <v>0</v>
      </c>
      <c r="E217" s="99">
        <v>0</v>
      </c>
      <c r="F217" s="99">
        <v>0</v>
      </c>
      <c r="G217" s="66">
        <v>-0.30751432332846212</v>
      </c>
      <c r="H217" s="99">
        <v>0</v>
      </c>
      <c r="I217" s="99">
        <v>0</v>
      </c>
      <c r="J217" s="99">
        <v>0</v>
      </c>
      <c r="K217" s="99">
        <v>0</v>
      </c>
      <c r="L217" s="66">
        <v>0.21121951604033029</v>
      </c>
      <c r="M217" s="66">
        <v>0</v>
      </c>
      <c r="N217" s="99">
        <v>0</v>
      </c>
      <c r="O217" s="66">
        <v>6.5552324941478446E-2</v>
      </c>
      <c r="P217" s="66">
        <v>9.5512707638306438E-2</v>
      </c>
      <c r="Q217" s="99">
        <v>0.51325158968938922</v>
      </c>
      <c r="R217" s="99">
        <v>0</v>
      </c>
      <c r="S217" s="99">
        <v>0</v>
      </c>
      <c r="T217" s="99">
        <v>0</v>
      </c>
      <c r="U217" s="99">
        <v>0</v>
      </c>
      <c r="V217" s="99">
        <v>0</v>
      </c>
      <c r="W217" s="99">
        <v>0</v>
      </c>
      <c r="X217" s="99">
        <v>0</v>
      </c>
      <c r="Y217" s="99">
        <v>0</v>
      </c>
      <c r="Z217" s="99">
        <v>0</v>
      </c>
      <c r="AA217" s="66">
        <v>-1.14406852071869</v>
      </c>
      <c r="AB217" s="66">
        <v>-0.32870853371809972</v>
      </c>
      <c r="AC217" s="66">
        <v>0</v>
      </c>
      <c r="AD217" s="66">
        <v>-4.5031438552712189E-2</v>
      </c>
      <c r="AE217" s="66">
        <v>-0.19574273251095059</v>
      </c>
      <c r="AF217" s="66">
        <v>0.16425148974539641</v>
      </c>
      <c r="AG217" s="66">
        <v>0.5248323858632773</v>
      </c>
    </row>
    <row r="218" spans="1:33" x14ac:dyDescent="0.35">
      <c r="A218" s="127" t="s">
        <v>13</v>
      </c>
      <c r="B218" s="66">
        <v>0</v>
      </c>
      <c r="C218" s="99">
        <v>0</v>
      </c>
      <c r="D218" s="99">
        <v>0</v>
      </c>
      <c r="E218" s="99">
        <v>0</v>
      </c>
      <c r="F218" s="99">
        <v>0</v>
      </c>
      <c r="G218" s="66">
        <v>-0.25482374060160851</v>
      </c>
      <c r="H218" s="99">
        <v>0</v>
      </c>
      <c r="I218" s="99">
        <v>0</v>
      </c>
      <c r="J218" s="99">
        <v>0</v>
      </c>
      <c r="K218" s="99">
        <v>0</v>
      </c>
      <c r="L218" s="66">
        <v>1.6234444308167891E-2</v>
      </c>
      <c r="M218" s="66">
        <v>0</v>
      </c>
      <c r="N218" s="99">
        <v>0</v>
      </c>
      <c r="O218" s="66">
        <v>6.4211953472607775E-2</v>
      </c>
      <c r="P218" s="66">
        <v>8.6460998265408762E-2</v>
      </c>
      <c r="Q218" s="99">
        <v>0.42357340376253211</v>
      </c>
      <c r="R218" s="99">
        <v>0</v>
      </c>
      <c r="S218" s="99">
        <v>0</v>
      </c>
      <c r="T218" s="99">
        <v>0</v>
      </c>
      <c r="U218" s="99">
        <v>0</v>
      </c>
      <c r="V218" s="99">
        <v>0</v>
      </c>
      <c r="W218" s="99">
        <v>0</v>
      </c>
      <c r="X218" s="99">
        <v>0</v>
      </c>
      <c r="Y218" s="99">
        <v>0</v>
      </c>
      <c r="Z218" s="99">
        <v>0</v>
      </c>
      <c r="AA218" s="66">
        <v>-0.94966275069697303</v>
      </c>
      <c r="AB218" s="66">
        <v>-0.34139345051806907</v>
      </c>
      <c r="AC218" s="66">
        <v>0</v>
      </c>
      <c r="AD218" s="66">
        <v>-5.2698082004695827E-2</v>
      </c>
      <c r="AE218" s="66">
        <v>-0.17682765226925309</v>
      </c>
      <c r="AF218" s="66">
        <v>0.16862821330317959</v>
      </c>
      <c r="AG218" s="66">
        <v>0.51248946500044212</v>
      </c>
    </row>
    <row r="219" spans="1:33" x14ac:dyDescent="0.35">
      <c r="A219" s="127" t="s">
        <v>14</v>
      </c>
      <c r="B219" s="66">
        <v>0</v>
      </c>
      <c r="C219" s="99">
        <v>0</v>
      </c>
      <c r="D219" s="99">
        <v>0</v>
      </c>
      <c r="E219" s="99">
        <v>0</v>
      </c>
      <c r="F219" s="99">
        <v>0</v>
      </c>
      <c r="G219" s="66">
        <v>-0.261026194239804</v>
      </c>
      <c r="H219" s="99">
        <v>0</v>
      </c>
      <c r="I219" s="99">
        <v>0</v>
      </c>
      <c r="J219" s="99">
        <v>0</v>
      </c>
      <c r="K219" s="99">
        <v>0</v>
      </c>
      <c r="L219" s="66">
        <v>-6.9571687338964239E-2</v>
      </c>
      <c r="M219" s="66">
        <v>0</v>
      </c>
      <c r="N219" s="99">
        <v>0</v>
      </c>
      <c r="O219" s="66">
        <v>4.7349334554183997E-2</v>
      </c>
      <c r="P219" s="66">
        <v>7.1300731878835677E-2</v>
      </c>
      <c r="Q219" s="99">
        <v>0.48352807553567351</v>
      </c>
      <c r="R219" s="99">
        <v>0</v>
      </c>
      <c r="S219" s="99">
        <v>0</v>
      </c>
      <c r="T219" s="99">
        <v>0</v>
      </c>
      <c r="U219" s="99">
        <v>0</v>
      </c>
      <c r="V219" s="99">
        <v>0</v>
      </c>
      <c r="W219" s="99">
        <v>0</v>
      </c>
      <c r="X219" s="99">
        <v>0</v>
      </c>
      <c r="Y219" s="99">
        <v>0</v>
      </c>
      <c r="Z219" s="99">
        <v>0</v>
      </c>
      <c r="AA219" s="66">
        <v>-0.85806332203955549</v>
      </c>
      <c r="AB219" s="66">
        <v>-0.2470867003910939</v>
      </c>
      <c r="AC219" s="66">
        <v>0</v>
      </c>
      <c r="AD219" s="66">
        <v>-5.0082593314471069E-2</v>
      </c>
      <c r="AE219" s="66">
        <v>-0.15561768383378191</v>
      </c>
      <c r="AF219" s="66">
        <v>0.17076426562701391</v>
      </c>
      <c r="AG219" s="66">
        <v>0.47510888459893857</v>
      </c>
    </row>
    <row r="220" spans="1:33" x14ac:dyDescent="0.35">
      <c r="A220" s="127" t="s">
        <v>15</v>
      </c>
      <c r="B220" s="66">
        <v>0</v>
      </c>
      <c r="C220" s="99">
        <v>0</v>
      </c>
      <c r="D220" s="99">
        <v>0</v>
      </c>
      <c r="E220" s="99">
        <v>0</v>
      </c>
      <c r="F220" s="99">
        <v>0</v>
      </c>
      <c r="G220" s="66">
        <v>-0.28696390313845649</v>
      </c>
      <c r="H220" s="99">
        <v>0</v>
      </c>
      <c r="I220" s="99">
        <v>0</v>
      </c>
      <c r="J220" s="99">
        <v>0</v>
      </c>
      <c r="K220" s="99">
        <v>0</v>
      </c>
      <c r="L220" s="66">
        <v>-6.0240800975321918E-2</v>
      </c>
      <c r="M220" s="66">
        <v>0</v>
      </c>
      <c r="N220" s="99">
        <v>0</v>
      </c>
      <c r="O220" s="66">
        <v>3.23301989336926E-2</v>
      </c>
      <c r="P220" s="66">
        <v>5.684522299782202E-2</v>
      </c>
      <c r="Q220" s="99">
        <v>0.48122064796717717</v>
      </c>
      <c r="R220" s="99">
        <v>0</v>
      </c>
      <c r="S220" s="99">
        <v>0</v>
      </c>
      <c r="T220" s="99">
        <v>0</v>
      </c>
      <c r="U220" s="99">
        <v>0</v>
      </c>
      <c r="V220" s="99">
        <v>0</v>
      </c>
      <c r="W220" s="99">
        <v>0</v>
      </c>
      <c r="X220" s="99">
        <v>0</v>
      </c>
      <c r="Y220" s="99">
        <v>0</v>
      </c>
      <c r="Z220" s="99">
        <v>0</v>
      </c>
      <c r="AA220" s="66">
        <v>-0.88447518712717965</v>
      </c>
      <c r="AB220" s="66">
        <v>-0.21949135360290481</v>
      </c>
      <c r="AC220" s="66">
        <v>0</v>
      </c>
      <c r="AD220" s="66">
        <v>-4.485278127873471E-2</v>
      </c>
      <c r="AE220" s="66">
        <v>-0.1415912930700074</v>
      </c>
      <c r="AF220" s="66">
        <v>0.17052301394258509</v>
      </c>
      <c r="AG220" s="66">
        <v>0.4831656968100333</v>
      </c>
    </row>
    <row r="221" spans="1:33" x14ac:dyDescent="0.35">
      <c r="A221" s="127" t="s">
        <v>16</v>
      </c>
      <c r="B221" s="66">
        <v>0</v>
      </c>
      <c r="C221" s="99">
        <v>0</v>
      </c>
      <c r="D221" s="99">
        <v>0</v>
      </c>
      <c r="E221" s="99">
        <v>0</v>
      </c>
      <c r="F221" s="99">
        <v>0</v>
      </c>
      <c r="G221" s="66">
        <v>-0.32839115771895422</v>
      </c>
      <c r="H221" s="99">
        <v>0</v>
      </c>
      <c r="I221" s="99">
        <v>0</v>
      </c>
      <c r="J221" s="99">
        <v>0</v>
      </c>
      <c r="K221" s="99">
        <v>0</v>
      </c>
      <c r="L221" s="66">
        <v>-2.743838295796763E-2</v>
      </c>
      <c r="M221" s="66">
        <v>0</v>
      </c>
      <c r="N221" s="99">
        <v>0</v>
      </c>
      <c r="O221" s="66">
        <v>6.0866579475714389E-2</v>
      </c>
      <c r="P221" s="66">
        <v>6.4077566456006707E-2</v>
      </c>
      <c r="Q221" s="99">
        <v>0.62226570622982535</v>
      </c>
      <c r="R221" s="99">
        <v>0</v>
      </c>
      <c r="S221" s="99">
        <v>0</v>
      </c>
      <c r="T221" s="99">
        <v>0</v>
      </c>
      <c r="U221" s="99">
        <v>0</v>
      </c>
      <c r="V221" s="99">
        <v>0</v>
      </c>
      <c r="W221" s="99">
        <v>0</v>
      </c>
      <c r="X221" s="99">
        <v>0</v>
      </c>
      <c r="Y221" s="99">
        <v>0</v>
      </c>
      <c r="Z221" s="99">
        <v>0</v>
      </c>
      <c r="AA221" s="66">
        <v>-0.83462430911200158</v>
      </c>
      <c r="AB221" s="66">
        <v>-0.17539858248491669</v>
      </c>
      <c r="AC221" s="66">
        <v>0</v>
      </c>
      <c r="AD221" s="66">
        <v>-4.6163171163669858E-2</v>
      </c>
      <c r="AE221" s="66">
        <v>-0.13792141354116441</v>
      </c>
      <c r="AF221" s="66">
        <v>0.16893720420779351</v>
      </c>
      <c r="AG221" s="66">
        <v>0.5011830221159812</v>
      </c>
    </row>
    <row r="222" spans="1:33" x14ac:dyDescent="0.35">
      <c r="A222" s="127" t="s">
        <v>17</v>
      </c>
      <c r="B222" s="66">
        <v>0</v>
      </c>
      <c r="C222" s="99">
        <v>0</v>
      </c>
      <c r="D222" s="99">
        <v>0</v>
      </c>
      <c r="E222" s="99">
        <v>0</v>
      </c>
      <c r="F222" s="99">
        <v>0</v>
      </c>
      <c r="G222" s="66">
        <v>-0.2336783181748672</v>
      </c>
      <c r="H222" s="99">
        <v>0</v>
      </c>
      <c r="I222" s="99">
        <v>0</v>
      </c>
      <c r="J222" s="99">
        <v>0</v>
      </c>
      <c r="K222" s="99">
        <v>0</v>
      </c>
      <c r="L222" s="66">
        <v>-8.7758215816393204E-2</v>
      </c>
      <c r="M222" s="66">
        <v>-1.5715293666687561E-2</v>
      </c>
      <c r="N222" s="99">
        <v>0</v>
      </c>
      <c r="O222" s="66">
        <v>9.1866550460480312E-2</v>
      </c>
      <c r="P222" s="66">
        <v>4.9265230333929821E-2</v>
      </c>
      <c r="Q222" s="99">
        <v>0.65040832938612425</v>
      </c>
      <c r="R222" s="99">
        <v>0</v>
      </c>
      <c r="S222" s="99">
        <v>0</v>
      </c>
      <c r="T222" s="99">
        <v>0</v>
      </c>
      <c r="U222" s="99">
        <v>0</v>
      </c>
      <c r="V222" s="99">
        <v>0</v>
      </c>
      <c r="W222" s="99">
        <v>0</v>
      </c>
      <c r="X222" s="99">
        <v>0</v>
      </c>
      <c r="Y222" s="99">
        <v>0</v>
      </c>
      <c r="Z222" s="99">
        <v>0</v>
      </c>
      <c r="AA222" s="66">
        <v>-0.69306513477846465</v>
      </c>
      <c r="AB222" s="66">
        <v>-0.13841209533805451</v>
      </c>
      <c r="AC222" s="66">
        <v>0</v>
      </c>
      <c r="AD222" s="66">
        <v>-4.5284727631013773E-2</v>
      </c>
      <c r="AE222" s="66">
        <v>-0.165715252157554</v>
      </c>
      <c r="AF222" s="66">
        <v>0.18027582894626451</v>
      </c>
      <c r="AG222" s="66">
        <v>0.51786735507428716</v>
      </c>
    </row>
    <row r="223" spans="1:33" x14ac:dyDescent="0.35">
      <c r="B223" s="66">
        <v>0</v>
      </c>
      <c r="C223" s="66">
        <v>0</v>
      </c>
      <c r="D223" s="66">
        <v>0</v>
      </c>
      <c r="E223" s="66">
        <v>0</v>
      </c>
      <c r="F223" s="66">
        <v>0</v>
      </c>
      <c r="G223" s="66">
        <v>-0.26210128479547729</v>
      </c>
      <c r="H223" s="66">
        <v>0</v>
      </c>
      <c r="I223" s="66">
        <v>0</v>
      </c>
      <c r="J223" s="66">
        <v>0</v>
      </c>
      <c r="K223" s="66">
        <v>0</v>
      </c>
      <c r="L223" s="66">
        <v>-8.9866113352854882E-2</v>
      </c>
      <c r="M223" s="66">
        <v>-1.26811440636061E-2</v>
      </c>
      <c r="N223" s="66">
        <v>0</v>
      </c>
      <c r="O223" s="66">
        <v>6.8286349138190872E-2</v>
      </c>
      <c r="P223" s="66">
        <v>3.5356876178070713E-2</v>
      </c>
      <c r="Q223" s="66">
        <v>1.0534184303390079</v>
      </c>
      <c r="R223" s="66">
        <v>0</v>
      </c>
      <c r="S223" s="66">
        <v>0</v>
      </c>
      <c r="T223" s="66">
        <v>0</v>
      </c>
      <c r="U223" s="66">
        <v>0</v>
      </c>
      <c r="V223" s="66">
        <v>0</v>
      </c>
      <c r="W223" s="66">
        <v>0</v>
      </c>
      <c r="X223" s="66">
        <v>0</v>
      </c>
      <c r="Y223" s="66">
        <v>0</v>
      </c>
      <c r="Z223" s="66">
        <v>0</v>
      </c>
      <c r="AA223" s="66">
        <v>-0.57658061194382526</v>
      </c>
      <c r="AB223" s="66">
        <v>-0.1032147036940216</v>
      </c>
      <c r="AC223" s="66">
        <v>0</v>
      </c>
      <c r="AD223" s="66">
        <v>-4.669415356056561E-2</v>
      </c>
      <c r="AE223" s="66">
        <v>-0.15706002799683461</v>
      </c>
      <c r="AF223" s="66">
        <v>0.17666025321526041</v>
      </c>
      <c r="AG223" s="66">
        <v>0.50480355347789896</v>
      </c>
    </row>
    <row r="224" spans="1:33" x14ac:dyDescent="0.35">
      <c r="B224" s="66">
        <v>0</v>
      </c>
      <c r="C224">
        <v>0</v>
      </c>
      <c r="D224">
        <v>0</v>
      </c>
      <c r="E224">
        <v>0</v>
      </c>
      <c r="F224">
        <v>0</v>
      </c>
      <c r="G224">
        <v>-0.2605379307861142</v>
      </c>
      <c r="H224">
        <v>0</v>
      </c>
      <c r="I224">
        <v>0</v>
      </c>
      <c r="J224">
        <v>0</v>
      </c>
      <c r="K224">
        <v>0</v>
      </c>
      <c r="L224">
        <v>-9.7624792638441704E-2</v>
      </c>
      <c r="M224">
        <v>-1.460920272626254E-2</v>
      </c>
      <c r="N224">
        <v>0</v>
      </c>
      <c r="O224">
        <v>7.2475582462459442E-2</v>
      </c>
      <c r="P224">
        <v>3.4037273026740422E-2</v>
      </c>
      <c r="Q224">
        <v>0.97538855485510112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-0.62782793421899896</v>
      </c>
      <c r="AB224">
        <v>-9.7487737527472973E-2</v>
      </c>
      <c r="AC224">
        <v>0</v>
      </c>
      <c r="AD224">
        <v>-3.4422509621123247E-2</v>
      </c>
      <c r="AE224">
        <v>-0.1456331930523902</v>
      </c>
      <c r="AF224">
        <v>0.17751879868825429</v>
      </c>
      <c r="AG224">
        <v>0.51654822537165046</v>
      </c>
    </row>
    <row r="225" spans="2:33" x14ac:dyDescent="0.35">
      <c r="B225">
        <v>0</v>
      </c>
      <c r="C225">
        <v>0</v>
      </c>
      <c r="D225">
        <v>0</v>
      </c>
      <c r="E225">
        <v>0</v>
      </c>
      <c r="F225">
        <v>0</v>
      </c>
      <c r="G225">
        <v>-0.26278929661938832</v>
      </c>
      <c r="H225">
        <v>0</v>
      </c>
      <c r="I225">
        <v>0</v>
      </c>
      <c r="J225">
        <v>0</v>
      </c>
      <c r="K225">
        <v>0</v>
      </c>
      <c r="L225">
        <v>-5.7092638269011793E-2</v>
      </c>
      <c r="M225">
        <v>-1.215346413266616E-2</v>
      </c>
      <c r="N225">
        <v>0</v>
      </c>
      <c r="O225">
        <v>6.8776120116496031E-2</v>
      </c>
      <c r="P225">
        <v>3.5997965565854877E-2</v>
      </c>
      <c r="Q225">
        <v>0.96675240362930026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-0.57360315185340482</v>
      </c>
      <c r="AB225">
        <v>-0.13155218647088421</v>
      </c>
      <c r="AC225">
        <v>0</v>
      </c>
      <c r="AD225">
        <v>-4.0837328230054482E-2</v>
      </c>
      <c r="AE225">
        <v>-0.16723557694285771</v>
      </c>
      <c r="AF225">
        <v>0.15992253403615561</v>
      </c>
      <c r="AG225">
        <v>0.3724070894038789</v>
      </c>
    </row>
    <row r="226" spans="2:33" x14ac:dyDescent="0.35">
      <c r="B226">
        <v>0</v>
      </c>
      <c r="C226">
        <v>0</v>
      </c>
      <c r="D226">
        <v>0</v>
      </c>
      <c r="E226">
        <v>0</v>
      </c>
      <c r="F226">
        <v>0</v>
      </c>
      <c r="G226">
        <v>-1.219984777577565E-3</v>
      </c>
      <c r="H226">
        <v>0</v>
      </c>
      <c r="I226">
        <v>0</v>
      </c>
      <c r="J226">
        <v>0</v>
      </c>
      <c r="K226">
        <v>0</v>
      </c>
      <c r="L226">
        <v>-9.3703723342741796E-4</v>
      </c>
      <c r="M226">
        <v>0</v>
      </c>
      <c r="N226">
        <v>0</v>
      </c>
      <c r="O226">
        <v>0.1161174048005478</v>
      </c>
      <c r="P226">
        <v>-9.303590516159943E-2</v>
      </c>
      <c r="Q226">
        <v>5.4254321034363784E-3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-5.0925717129643999E-3</v>
      </c>
      <c r="AB226">
        <v>-2.3802166638233761E-3</v>
      </c>
      <c r="AC226">
        <v>0</v>
      </c>
      <c r="AD226">
        <v>-2.1203022436480978E-2</v>
      </c>
      <c r="AE226">
        <v>0</v>
      </c>
      <c r="AF226">
        <v>4.4754675906233388E-4</v>
      </c>
      <c r="AG226">
        <v>-0.69279599540021763</v>
      </c>
    </row>
    <row r="227" spans="2:33" x14ac:dyDescent="0.35">
      <c r="B227">
        <v>0</v>
      </c>
    </row>
    <row r="228" spans="2:33" x14ac:dyDescent="0.35">
      <c r="B228">
        <v>0</v>
      </c>
    </row>
    <row r="229" spans="2:33" x14ac:dyDescent="0.35">
      <c r="B229">
        <v>0</v>
      </c>
    </row>
    <row r="230" spans="2:33" x14ac:dyDescent="0.35">
      <c r="B230">
        <v>0</v>
      </c>
    </row>
    <row r="231" spans="2:33" x14ac:dyDescent="0.35">
      <c r="B231">
        <v>0</v>
      </c>
    </row>
    <row r="232" spans="2:33" x14ac:dyDescent="0.35">
      <c r="B232">
        <v>0</v>
      </c>
    </row>
    <row r="233" spans="2:33" x14ac:dyDescent="0.35">
      <c r="B233">
        <v>0</v>
      </c>
    </row>
    <row r="234" spans="2:33" x14ac:dyDescent="0.35">
      <c r="B234">
        <v>0</v>
      </c>
    </row>
    <row r="235" spans="2:33" x14ac:dyDescent="0.35">
      <c r="B235">
        <v>0</v>
      </c>
    </row>
    <row r="236" spans="2:33" x14ac:dyDescent="0.35">
      <c r="B236">
        <v>0</v>
      </c>
    </row>
    <row r="237" spans="2:33" x14ac:dyDescent="0.35">
      <c r="B237">
        <v>0</v>
      </c>
    </row>
    <row r="238" spans="2:33" x14ac:dyDescent="0.35">
      <c r="B238">
        <v>0</v>
      </c>
    </row>
    <row r="239" spans="2:33" x14ac:dyDescent="0.35">
      <c r="B239">
        <v>0</v>
      </c>
    </row>
    <row r="240" spans="2:33" x14ac:dyDescent="0.35">
      <c r="B240">
        <v>0</v>
      </c>
    </row>
    <row r="241" spans="2:2" x14ac:dyDescent="0.35">
      <c r="B241">
        <v>0</v>
      </c>
    </row>
    <row r="242" spans="2:2" x14ac:dyDescent="0.35">
      <c r="B242">
        <v>0</v>
      </c>
    </row>
    <row r="243" spans="2:2" x14ac:dyDescent="0.35">
      <c r="B243">
        <v>0</v>
      </c>
    </row>
    <row r="244" spans="2:2" x14ac:dyDescent="0.35">
      <c r="B244">
        <v>0</v>
      </c>
    </row>
    <row r="245" spans="2:2" x14ac:dyDescent="0.35">
      <c r="B245">
        <v>0</v>
      </c>
    </row>
    <row r="246" spans="2:2" x14ac:dyDescent="0.35">
      <c r="B246">
        <v>0</v>
      </c>
    </row>
    <row r="247" spans="2:2" x14ac:dyDescent="0.35">
      <c r="B247">
        <v>0</v>
      </c>
    </row>
    <row r="248" spans="2:2" x14ac:dyDescent="0.35">
      <c r="B248">
        <v>0</v>
      </c>
    </row>
    <row r="249" spans="2:2" x14ac:dyDescent="0.35">
      <c r="B249">
        <v>0</v>
      </c>
    </row>
    <row r="250" spans="2:2" x14ac:dyDescent="0.35">
      <c r="B250">
        <v>0</v>
      </c>
    </row>
    <row r="251" spans="2:2" x14ac:dyDescent="0.35">
      <c r="B251">
        <v>0</v>
      </c>
    </row>
    <row r="252" spans="2:2" x14ac:dyDescent="0.35">
      <c r="B252">
        <v>0</v>
      </c>
    </row>
    <row r="253" spans="2:2" x14ac:dyDescent="0.35">
      <c r="B253">
        <v>0</v>
      </c>
    </row>
    <row r="254" spans="2:2" x14ac:dyDescent="0.35">
      <c r="B254">
        <v>0</v>
      </c>
    </row>
    <row r="255" spans="2:2" x14ac:dyDescent="0.35">
      <c r="B255">
        <v>0</v>
      </c>
    </row>
    <row r="256" spans="2:2" x14ac:dyDescent="0.35">
      <c r="B256">
        <v>0</v>
      </c>
    </row>
    <row r="257" spans="2:2" x14ac:dyDescent="0.35">
      <c r="B257">
        <v>0</v>
      </c>
    </row>
    <row r="258" spans="2:2" x14ac:dyDescent="0.35">
      <c r="B258">
        <v>0</v>
      </c>
    </row>
    <row r="259" spans="2:2" x14ac:dyDescent="0.35">
      <c r="B259">
        <v>0</v>
      </c>
    </row>
    <row r="260" spans="2:2" x14ac:dyDescent="0.35">
      <c r="B260">
        <v>0</v>
      </c>
    </row>
    <row r="261" spans="2:2" x14ac:dyDescent="0.35">
      <c r="B261">
        <v>0</v>
      </c>
    </row>
    <row r="262" spans="2:2" x14ac:dyDescent="0.35">
      <c r="B262">
        <v>0</v>
      </c>
    </row>
    <row r="263" spans="2:2" x14ac:dyDescent="0.35">
      <c r="B263">
        <v>0</v>
      </c>
    </row>
    <row r="264" spans="2:2" x14ac:dyDescent="0.35">
      <c r="B264">
        <v>0</v>
      </c>
    </row>
    <row r="265" spans="2:2" x14ac:dyDescent="0.35">
      <c r="B265">
        <v>0</v>
      </c>
    </row>
    <row r="266" spans="2:2" x14ac:dyDescent="0.35">
      <c r="B266">
        <v>0</v>
      </c>
    </row>
    <row r="267" spans="2:2" x14ac:dyDescent="0.35">
      <c r="B267">
        <v>0</v>
      </c>
    </row>
    <row r="268" spans="2:2" x14ac:dyDescent="0.35">
      <c r="B268" s="66">
        <v>0</v>
      </c>
    </row>
    <row r="269" spans="2:2" x14ac:dyDescent="0.35">
      <c r="B269" s="66">
        <v>0</v>
      </c>
    </row>
    <row r="270" spans="2:2" x14ac:dyDescent="0.35">
      <c r="B270" s="66">
        <v>0</v>
      </c>
    </row>
    <row r="271" spans="2:2" x14ac:dyDescent="0.35">
      <c r="B271" s="66">
        <v>0</v>
      </c>
    </row>
    <row r="272" spans="2:2" x14ac:dyDescent="0.35">
      <c r="B272" s="66">
        <v>0</v>
      </c>
    </row>
    <row r="273" spans="2:2" x14ac:dyDescent="0.35">
      <c r="B273" s="66">
        <v>0</v>
      </c>
    </row>
    <row r="274" spans="2:2" x14ac:dyDescent="0.35">
      <c r="B274" s="66">
        <v>0</v>
      </c>
    </row>
    <row r="275" spans="2:2" x14ac:dyDescent="0.35">
      <c r="B275" s="66">
        <v>0</v>
      </c>
    </row>
    <row r="276" spans="2:2" x14ac:dyDescent="0.35">
      <c r="B276" s="66">
        <v>0</v>
      </c>
    </row>
    <row r="277" spans="2:2" x14ac:dyDescent="0.35">
      <c r="B277" s="66">
        <v>0</v>
      </c>
    </row>
    <row r="278" spans="2:2" x14ac:dyDescent="0.35">
      <c r="B278" s="66">
        <v>0</v>
      </c>
    </row>
    <row r="279" spans="2:2" x14ac:dyDescent="0.35">
      <c r="B279" s="66">
        <v>0</v>
      </c>
    </row>
    <row r="280" spans="2:2" x14ac:dyDescent="0.35">
      <c r="B280" s="66">
        <v>0</v>
      </c>
    </row>
    <row r="281" spans="2:2" x14ac:dyDescent="0.35">
      <c r="B281" s="66">
        <v>0</v>
      </c>
    </row>
    <row r="282" spans="2:2" x14ac:dyDescent="0.35">
      <c r="B282" s="66">
        <v>0</v>
      </c>
    </row>
    <row r="283" spans="2:2" x14ac:dyDescent="0.35">
      <c r="B283" s="66">
        <v>0</v>
      </c>
    </row>
    <row r="284" spans="2:2" x14ac:dyDescent="0.35">
      <c r="B284" s="66">
        <v>0</v>
      </c>
    </row>
    <row r="285" spans="2:2" x14ac:dyDescent="0.35">
      <c r="B285" s="66">
        <v>0</v>
      </c>
    </row>
    <row r="286" spans="2:2" x14ac:dyDescent="0.35">
      <c r="B286" s="66">
        <v>0</v>
      </c>
    </row>
    <row r="287" spans="2:2" x14ac:dyDescent="0.35">
      <c r="B287" s="66">
        <v>0</v>
      </c>
    </row>
    <row r="288" spans="2:2" x14ac:dyDescent="0.35">
      <c r="B288" s="66">
        <v>0</v>
      </c>
    </row>
    <row r="289" spans="2:2" x14ac:dyDescent="0.35">
      <c r="B289" s="66">
        <v>0</v>
      </c>
    </row>
    <row r="290" spans="2:2" x14ac:dyDescent="0.35">
      <c r="B290" s="66">
        <v>0</v>
      </c>
    </row>
    <row r="291" spans="2:2" x14ac:dyDescent="0.35">
      <c r="B291" s="66">
        <v>0</v>
      </c>
    </row>
    <row r="292" spans="2:2" x14ac:dyDescent="0.35">
      <c r="B292" s="66">
        <v>0</v>
      </c>
    </row>
    <row r="293" spans="2:2" x14ac:dyDescent="0.35">
      <c r="B293" s="66">
        <v>0</v>
      </c>
    </row>
    <row r="294" spans="2:2" x14ac:dyDescent="0.35">
      <c r="B294">
        <v>0</v>
      </c>
    </row>
    <row r="295" spans="2:2" x14ac:dyDescent="0.35">
      <c r="B295">
        <v>0</v>
      </c>
    </row>
    <row r="296" spans="2:2" x14ac:dyDescent="0.35">
      <c r="B296">
        <v>0</v>
      </c>
    </row>
    <row r="297" spans="2:2" x14ac:dyDescent="0.35">
      <c r="B297">
        <v>0</v>
      </c>
    </row>
    <row r="298" spans="2:2" x14ac:dyDescent="0.35">
      <c r="B298">
        <v>0</v>
      </c>
    </row>
    <row r="299" spans="2:2" x14ac:dyDescent="0.35">
      <c r="B299">
        <v>0</v>
      </c>
    </row>
    <row r="300" spans="2:2" x14ac:dyDescent="0.35">
      <c r="B300">
        <v>0</v>
      </c>
    </row>
    <row r="301" spans="2:2" x14ac:dyDescent="0.35">
      <c r="B301">
        <v>0</v>
      </c>
    </row>
    <row r="302" spans="2:2" x14ac:dyDescent="0.35">
      <c r="B302">
        <v>0</v>
      </c>
    </row>
    <row r="303" spans="2:2" x14ac:dyDescent="0.35">
      <c r="B303">
        <v>0</v>
      </c>
    </row>
    <row r="304" spans="2:2" x14ac:dyDescent="0.35">
      <c r="B304">
        <v>0</v>
      </c>
    </row>
    <row r="305" spans="2:2" x14ac:dyDescent="0.35">
      <c r="B305">
        <v>0</v>
      </c>
    </row>
    <row r="306" spans="2:2" x14ac:dyDescent="0.35">
      <c r="B306">
        <v>0</v>
      </c>
    </row>
    <row r="307" spans="2:2" x14ac:dyDescent="0.35">
      <c r="B307">
        <v>0</v>
      </c>
    </row>
    <row r="308" spans="2:2" x14ac:dyDescent="0.35">
      <c r="B308">
        <v>0</v>
      </c>
    </row>
  </sheetData>
  <pageMargins left="0.7" right="0.7" top="0.75" bottom="0.75" header="0.3" footer="0.3"/>
  <pageSetup orientation="portrait" horizontalDpi="204" verticalDpi="1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8"/>
  <sheetViews>
    <sheetView topLeftCell="A4" workbookViewId="0">
      <selection activeCell="O13" sqref="O13"/>
    </sheetView>
  </sheetViews>
  <sheetFormatPr defaultRowHeight="14.5" x14ac:dyDescent="0.35"/>
  <cols>
    <col min="1" max="1" width="16.81640625" style="115" bestFit="1" customWidth="1"/>
    <col min="2" max="3" width="9.1796875" style="115" hidden="1" customWidth="1"/>
    <col min="4" max="4" width="32.453125" style="115" hidden="1" customWidth="1"/>
    <col min="5" max="5" width="18.26953125" style="115" hidden="1" customWidth="1"/>
    <col min="6" max="6" width="17.81640625" style="115" hidden="1" customWidth="1"/>
    <col min="7" max="7" width="14.1796875" style="115" hidden="1" customWidth="1"/>
    <col min="8" max="8" width="15" style="115" hidden="1" customWidth="1"/>
    <col min="9" max="11" width="12" style="115" hidden="1" customWidth="1"/>
    <col min="12" max="12" width="9" style="115" hidden="1" customWidth="1"/>
    <col min="13" max="13" width="12.54296875" style="115" customWidth="1"/>
    <col min="14" max="14" width="12" style="115" bestFit="1" customWidth="1"/>
    <col min="15" max="15" width="12.453125" style="115" bestFit="1" customWidth="1"/>
    <col min="16" max="16" width="12.7265625" style="115" bestFit="1" customWidth="1"/>
    <col min="17" max="18" width="12" style="115" bestFit="1" customWidth="1"/>
    <col min="19" max="19" width="14.1796875" style="115" bestFit="1" customWidth="1"/>
    <col min="20" max="20" width="12" style="115" bestFit="1" customWidth="1"/>
    <col min="21" max="21" width="20.7265625" style="115" bestFit="1" customWidth="1"/>
    <col min="22" max="22" width="8.54296875" style="115" bestFit="1" customWidth="1"/>
    <col min="23" max="23" width="11.54296875" style="115" bestFit="1" customWidth="1"/>
    <col min="24" max="24" width="17.26953125" style="115" bestFit="1" customWidth="1"/>
    <col min="25" max="25" width="12.453125" style="115" bestFit="1" customWidth="1"/>
    <col min="26" max="28" width="12" style="115" bestFit="1" customWidth="1"/>
    <col min="29" max="30" width="13.54296875" style="115" bestFit="1" customWidth="1"/>
    <col min="31" max="31" width="20.1796875" style="115" bestFit="1" customWidth="1"/>
    <col min="32" max="32" width="12.1796875" style="115" bestFit="1" customWidth="1"/>
    <col min="33" max="33" width="18.81640625" style="115" bestFit="1" customWidth="1"/>
    <col min="34" max="34" width="13.26953125" style="115" bestFit="1" customWidth="1"/>
    <col min="35" max="35" width="17.81640625" style="115" bestFit="1" customWidth="1"/>
    <col min="36" max="36" width="14" style="115" bestFit="1" customWidth="1"/>
    <col min="37" max="37" width="12" style="115" bestFit="1" customWidth="1"/>
    <col min="38" max="38" width="9.26953125" style="115" bestFit="1" customWidth="1"/>
    <col min="39" max="39" width="9.453125" style="115" bestFit="1" customWidth="1"/>
    <col min="40" max="40" width="19.54296875" style="115" bestFit="1" customWidth="1"/>
    <col min="41" max="41" width="4.453125" style="115" bestFit="1" customWidth="1"/>
    <col min="42" max="42" width="14.81640625" style="115" bestFit="1" customWidth="1"/>
    <col min="43" max="43" width="17.453125" style="115" bestFit="1" customWidth="1"/>
    <col min="44" max="44" width="18.81640625" style="115" bestFit="1" customWidth="1"/>
    <col min="45" max="45" width="14.26953125" style="115" bestFit="1" customWidth="1"/>
    <col min="46" max="46" width="9" style="115" bestFit="1" customWidth="1"/>
    <col min="47" max="47" width="18.26953125" style="115" bestFit="1" customWidth="1"/>
    <col min="48" max="48" width="22.1796875" style="115" bestFit="1" customWidth="1"/>
    <col min="49" max="49" width="21.54296875" style="115" bestFit="1" customWidth="1"/>
    <col min="50" max="50" width="9.26953125" style="115" bestFit="1" customWidth="1"/>
  </cols>
  <sheetData>
    <row r="1" spans="1:63" x14ac:dyDescent="0.35">
      <c r="A1" s="9" t="s">
        <v>161</v>
      </c>
      <c r="B1" s="9" t="s">
        <v>162</v>
      </c>
      <c r="C1" s="9" t="s">
        <v>163</v>
      </c>
      <c r="D1" s="9" t="s">
        <v>164</v>
      </c>
      <c r="E1" s="9" t="s">
        <v>165</v>
      </c>
      <c r="F1" s="9" t="s">
        <v>166</v>
      </c>
      <c r="G1" s="9" t="s">
        <v>167</v>
      </c>
      <c r="H1" s="9" t="s">
        <v>168</v>
      </c>
      <c r="I1" s="9" t="s">
        <v>169</v>
      </c>
      <c r="J1" s="9" t="s">
        <v>170</v>
      </c>
      <c r="K1" s="9" t="s">
        <v>171</v>
      </c>
      <c r="L1" s="9" t="s">
        <v>172</v>
      </c>
      <c r="M1" s="9" t="s">
        <v>173</v>
      </c>
      <c r="N1" s="9" t="s">
        <v>174</v>
      </c>
      <c r="O1" s="9" t="s">
        <v>175</v>
      </c>
      <c r="P1" s="9" t="s">
        <v>176</v>
      </c>
      <c r="Q1" s="9" t="s">
        <v>177</v>
      </c>
      <c r="R1" s="9" t="s">
        <v>178</v>
      </c>
      <c r="S1" s="9" t="s">
        <v>179</v>
      </c>
      <c r="T1" s="9" t="s">
        <v>180</v>
      </c>
      <c r="U1" s="9" t="s">
        <v>181</v>
      </c>
      <c r="V1" s="9" t="s">
        <v>182</v>
      </c>
      <c r="W1" s="9" t="s">
        <v>183</v>
      </c>
      <c r="X1" s="9" t="s">
        <v>184</v>
      </c>
      <c r="Y1" s="9" t="s">
        <v>185</v>
      </c>
      <c r="Z1" s="9" t="s">
        <v>186</v>
      </c>
      <c r="AA1" s="9" t="s">
        <v>187</v>
      </c>
      <c r="AB1" s="9" t="s">
        <v>188</v>
      </c>
      <c r="AC1" s="9" t="s">
        <v>189</v>
      </c>
      <c r="AD1" s="9" t="s">
        <v>190</v>
      </c>
      <c r="AE1" s="9" t="s">
        <v>191</v>
      </c>
      <c r="AF1" s="9" t="s">
        <v>192</v>
      </c>
      <c r="AG1" s="9" t="s">
        <v>193</v>
      </c>
      <c r="AH1" s="9" t="s">
        <v>194</v>
      </c>
      <c r="AI1" s="9" t="s">
        <v>195</v>
      </c>
      <c r="AJ1" s="9" t="s">
        <v>196</v>
      </c>
      <c r="AK1" s="9" t="s">
        <v>197</v>
      </c>
      <c r="AL1" s="9" t="s">
        <v>198</v>
      </c>
      <c r="AM1" s="9" t="s">
        <v>199</v>
      </c>
      <c r="AN1" s="9" t="s">
        <v>200</v>
      </c>
      <c r="AO1" s="9" t="s">
        <v>201</v>
      </c>
      <c r="AP1" s="9" t="s">
        <v>202</v>
      </c>
      <c r="AQ1" s="9" t="s">
        <v>203</v>
      </c>
      <c r="AR1" s="9" t="s">
        <v>204</v>
      </c>
      <c r="AS1" s="9" t="s">
        <v>205</v>
      </c>
      <c r="AT1" s="9" t="s">
        <v>206</v>
      </c>
      <c r="AU1" s="9" t="s">
        <v>207</v>
      </c>
      <c r="AV1" s="9" t="s">
        <v>208</v>
      </c>
      <c r="AW1" s="9" t="s">
        <v>209</v>
      </c>
      <c r="AX1" s="9" t="s">
        <v>210</v>
      </c>
    </row>
    <row r="2" spans="1:63" s="63" customFormat="1" x14ac:dyDescent="0.35">
      <c r="A2" s="22" t="s">
        <v>0</v>
      </c>
      <c r="B2" s="22">
        <v>393</v>
      </c>
      <c r="C2" s="22" t="s">
        <v>211</v>
      </c>
      <c r="D2" s="22" t="s">
        <v>212</v>
      </c>
      <c r="E2" s="64">
        <v>46048.576805555553</v>
      </c>
      <c r="F2" s="117">
        <v>46045</v>
      </c>
      <c r="G2" s="117"/>
      <c r="H2" s="22">
        <v>7.9841893013280596E-2</v>
      </c>
      <c r="I2" s="22">
        <v>0.26518302692481599</v>
      </c>
      <c r="J2" s="22">
        <v>0.112882369648723</v>
      </c>
      <c r="K2" s="22">
        <v>2.7276764262812499E-2</v>
      </c>
      <c r="L2" s="22">
        <v>4.5182E-2</v>
      </c>
      <c r="M2" s="22">
        <v>188.69759999999999</v>
      </c>
      <c r="N2" s="22">
        <v>139.6</v>
      </c>
      <c r="O2" s="22" t="s">
        <v>213</v>
      </c>
      <c r="P2" s="22">
        <v>2.11000000036494</v>
      </c>
      <c r="Q2" s="22">
        <v>2.2067214609999999</v>
      </c>
      <c r="R2" s="22">
        <v>0.95616961073499995</v>
      </c>
      <c r="S2" s="22">
        <v>0.25076584699999999</v>
      </c>
      <c r="T2" s="22">
        <v>0.92279999999999995</v>
      </c>
      <c r="U2" s="22">
        <v>5.2699999999999997E-2</v>
      </c>
      <c r="V2" s="22">
        <v>3.0000000000000001E-3</v>
      </c>
      <c r="W2" s="22">
        <v>4.1000000000000003E-3</v>
      </c>
      <c r="X2" s="22">
        <v>1.6999999999999999E-3</v>
      </c>
      <c r="Y2" s="22">
        <v>0.2381818</v>
      </c>
      <c r="Z2" s="22">
        <v>0.54668854789023602</v>
      </c>
      <c r="AA2" s="22">
        <v>0.30850674789023602</v>
      </c>
      <c r="AB2" s="22">
        <v>1.2476716591852799</v>
      </c>
      <c r="AC2" s="22">
        <v>0.43816699999999997</v>
      </c>
      <c r="AD2" s="22">
        <v>1</v>
      </c>
      <c r="AE2" s="22">
        <v>0.24726597387944901</v>
      </c>
      <c r="AF2" s="22">
        <v>1</v>
      </c>
      <c r="AG2" s="22">
        <v>5.2499999999999998E-2</v>
      </c>
      <c r="AH2" s="22">
        <v>2.5999999999999999E-3</v>
      </c>
      <c r="AI2" s="22">
        <v>0.82</v>
      </c>
      <c r="AJ2" s="22">
        <v>3.1600972599999999E-2</v>
      </c>
      <c r="AK2" s="22">
        <v>1.23E-2</v>
      </c>
      <c r="AL2" s="22">
        <v>0</v>
      </c>
      <c r="AM2" s="22">
        <v>16</v>
      </c>
      <c r="AN2" s="22">
        <v>2</v>
      </c>
      <c r="AO2" s="22">
        <v>1</v>
      </c>
      <c r="AP2" s="22">
        <v>1</v>
      </c>
      <c r="AQ2" s="22">
        <v>0</v>
      </c>
      <c r="AR2" s="22">
        <v>1</v>
      </c>
      <c r="AS2" s="22">
        <v>0.01</v>
      </c>
      <c r="AT2" s="22">
        <v>0.99350000000000005</v>
      </c>
      <c r="AU2" s="64">
        <v>46048.576805555553</v>
      </c>
      <c r="AV2" s="64">
        <v>2958101</v>
      </c>
      <c r="AW2" s="22"/>
      <c r="AX2" s="22">
        <v>0</v>
      </c>
      <c r="AZ2">
        <v>5.0000000000000001E-3</v>
      </c>
      <c r="BA2">
        <v>2.7000000000000001E-3</v>
      </c>
      <c r="BB2">
        <v>7.2141893013280597E-2</v>
      </c>
      <c r="BC2">
        <v>147.30000000000001</v>
      </c>
      <c r="BD2">
        <v>1.94</v>
      </c>
      <c r="BE2">
        <v>1.58</v>
      </c>
      <c r="BF2">
        <v>0.25</v>
      </c>
      <c r="BG2">
        <v>3.6</v>
      </c>
      <c r="BH2">
        <v>0.5</v>
      </c>
      <c r="BI2">
        <v>3.9</v>
      </c>
      <c r="BJ2">
        <v>0</v>
      </c>
      <c r="BK2">
        <v>-0.3</v>
      </c>
    </row>
    <row r="3" spans="1:63" x14ac:dyDescent="0.35">
      <c r="A3" s="9" t="s">
        <v>35</v>
      </c>
      <c r="B3" s="9">
        <v>277</v>
      </c>
      <c r="C3" s="9" t="s">
        <v>214</v>
      </c>
      <c r="D3" s="9" t="s">
        <v>212</v>
      </c>
      <c r="E3" s="65">
        <v>46048.580625000002</v>
      </c>
      <c r="F3" s="118">
        <v>46045</v>
      </c>
      <c r="G3" s="118"/>
      <c r="H3" s="9">
        <v>6.4707553871862597E-2</v>
      </c>
      <c r="I3" s="9">
        <v>0.250019637474658</v>
      </c>
      <c r="J3" s="9">
        <v>0.112853319318329</v>
      </c>
      <c r="K3" s="9">
        <v>2.7276764284466501E-2</v>
      </c>
      <c r="L3" s="9">
        <v>4.5182E-2</v>
      </c>
      <c r="M3" s="9">
        <v>425</v>
      </c>
      <c r="N3" s="9">
        <v>138.80000000000001</v>
      </c>
      <c r="O3" s="9" t="s">
        <v>213</v>
      </c>
      <c r="P3" s="9">
        <v>2.38000000019828</v>
      </c>
      <c r="Q3" s="9">
        <v>2.2952156270000001</v>
      </c>
      <c r="R3" s="9">
        <v>1.0369396113380001</v>
      </c>
      <c r="S3" s="9">
        <v>0.24028528099999999</v>
      </c>
      <c r="T3" s="9">
        <v>0.92589999999999995</v>
      </c>
      <c r="U3" s="9">
        <v>4.4600000000000001E-2</v>
      </c>
      <c r="V3" s="9">
        <v>3.0000000000000001E-3</v>
      </c>
      <c r="W3" s="9">
        <v>4.1000000000000003E-3</v>
      </c>
      <c r="X3" s="9">
        <v>1.6999999999999999E-3</v>
      </c>
      <c r="Y3" s="9">
        <v>0.26859090000000002</v>
      </c>
      <c r="Z3" s="9">
        <v>0.55097465810609003</v>
      </c>
      <c r="AA3" s="9">
        <v>0.28238375810609001</v>
      </c>
      <c r="AB3" s="9">
        <v>1.10005359605021</v>
      </c>
      <c r="AC3" s="9">
        <v>0.50086164899999996</v>
      </c>
      <c r="AD3" s="9">
        <v>1</v>
      </c>
      <c r="AE3" s="9">
        <v>0.25669999999999998</v>
      </c>
      <c r="AF3" s="9">
        <v>1</v>
      </c>
      <c r="AG3" s="9">
        <v>5.2499999999999998E-2</v>
      </c>
      <c r="AH3" s="9">
        <v>2.5999999999999999E-3</v>
      </c>
      <c r="AI3" s="9">
        <v>0.82</v>
      </c>
      <c r="AJ3" s="9">
        <v>3.5644699000000002E-2</v>
      </c>
      <c r="AK3" s="9">
        <v>1.23E-2</v>
      </c>
      <c r="AL3" s="9">
        <v>0</v>
      </c>
      <c r="AM3" s="9">
        <v>13</v>
      </c>
      <c r="AN3" s="9">
        <v>4</v>
      </c>
      <c r="AO3" s="9">
        <v>1</v>
      </c>
      <c r="AP3" s="9">
        <v>1</v>
      </c>
      <c r="AQ3" s="9">
        <v>0</v>
      </c>
      <c r="AR3" s="9">
        <v>1</v>
      </c>
      <c r="AS3" s="9">
        <v>0.01</v>
      </c>
      <c r="AT3" s="9">
        <v>0.99350000000000005</v>
      </c>
      <c r="AU3" s="65">
        <v>46048.580625000002</v>
      </c>
      <c r="AV3" s="65">
        <v>2958101</v>
      </c>
      <c r="AW3" s="9"/>
      <c r="AX3" s="9">
        <v>0</v>
      </c>
      <c r="AZ3">
        <v>5.0000000000000001E-3</v>
      </c>
      <c r="BA3">
        <v>2.7000000000000001E-3</v>
      </c>
      <c r="BB3">
        <v>5.7007553871862598E-2</v>
      </c>
      <c r="BC3">
        <v>141.69999999999999</v>
      </c>
      <c r="BD3">
        <v>1.45</v>
      </c>
      <c r="BE3">
        <v>1.33</v>
      </c>
      <c r="BF3">
        <v>0.23499999999999999</v>
      </c>
      <c r="BG3">
        <v>1.7</v>
      </c>
      <c r="BH3">
        <v>0</v>
      </c>
      <c r="BI3">
        <v>1.5</v>
      </c>
      <c r="BJ3">
        <v>0</v>
      </c>
      <c r="BK3">
        <v>-0.3</v>
      </c>
    </row>
    <row r="4" spans="1:63" s="63" customFormat="1" x14ac:dyDescent="0.35">
      <c r="A4" s="22" t="s">
        <v>32</v>
      </c>
      <c r="B4" s="22">
        <v>276</v>
      </c>
      <c r="C4" s="22" t="s">
        <v>215</v>
      </c>
      <c r="D4" s="22" t="s">
        <v>212</v>
      </c>
      <c r="E4" s="64">
        <v>46048.580787037034</v>
      </c>
      <c r="F4" s="117">
        <v>46045</v>
      </c>
      <c r="G4" s="117"/>
      <c r="H4" s="22">
        <v>6.7639792702429702E-2</v>
      </c>
      <c r="I4" s="22">
        <v>0.236771663401459</v>
      </c>
      <c r="J4" s="22">
        <v>9.6673106398718303E-2</v>
      </c>
      <c r="K4" s="22">
        <v>2.7276764300310698E-2</v>
      </c>
      <c r="L4" s="22">
        <v>4.5182E-2</v>
      </c>
      <c r="M4" s="22">
        <v>224.91</v>
      </c>
      <c r="N4" s="22">
        <v>138.69999999999999</v>
      </c>
      <c r="O4" s="22" t="s">
        <v>213</v>
      </c>
      <c r="P4" s="22">
        <v>2.3499999996173901</v>
      </c>
      <c r="Q4" s="22">
        <v>2.2769092999999998</v>
      </c>
      <c r="R4" s="22">
        <v>1.0321008393340001</v>
      </c>
      <c r="S4" s="22">
        <v>0.23670091400000001</v>
      </c>
      <c r="T4" s="22">
        <v>0.93300000000000005</v>
      </c>
      <c r="U4" s="22">
        <v>1.675482E-2</v>
      </c>
      <c r="V4" s="22">
        <v>3.0000000000000001E-3</v>
      </c>
      <c r="W4" s="22">
        <v>4.1000000000000003E-3</v>
      </c>
      <c r="X4" s="22">
        <v>1.6999999999999999E-3</v>
      </c>
      <c r="Y4" s="22">
        <v>0.22718179999999999</v>
      </c>
      <c r="Z4" s="22">
        <v>0.63212863270713804</v>
      </c>
      <c r="AA4" s="22">
        <v>0.40494683270713799</v>
      </c>
      <c r="AB4" s="22">
        <v>1.6447881101021</v>
      </c>
      <c r="AC4" s="22">
        <v>0.38432222900000002</v>
      </c>
      <c r="AD4" s="22">
        <v>1</v>
      </c>
      <c r="AE4" s="22">
        <v>0.2462</v>
      </c>
      <c r="AF4" s="22">
        <v>1</v>
      </c>
      <c r="AG4" s="22">
        <v>5.2499999999999998E-2</v>
      </c>
      <c r="AH4" s="22">
        <v>2.5999999999999999E-3</v>
      </c>
      <c r="AI4" s="22">
        <v>0.82</v>
      </c>
      <c r="AJ4" s="22">
        <v>3.5195396099999998E-2</v>
      </c>
      <c r="AK4" s="22">
        <v>1.23E-2</v>
      </c>
      <c r="AL4" s="22">
        <v>0</v>
      </c>
      <c r="AM4" s="22">
        <v>13</v>
      </c>
      <c r="AN4" s="22">
        <v>5</v>
      </c>
      <c r="AO4" s="22">
        <v>1</v>
      </c>
      <c r="AP4" s="22">
        <v>1</v>
      </c>
      <c r="AQ4" s="22">
        <v>0</v>
      </c>
      <c r="AR4" s="22">
        <v>1</v>
      </c>
      <c r="AS4" s="22">
        <v>0.01</v>
      </c>
      <c r="AT4" s="22">
        <v>0.99350000000000005</v>
      </c>
      <c r="AU4" s="64">
        <v>46048.580787037034</v>
      </c>
      <c r="AV4" s="64">
        <v>2958101</v>
      </c>
      <c r="AW4" s="22"/>
      <c r="AX4" s="22">
        <v>0</v>
      </c>
      <c r="AZ4">
        <v>5.0000000000000001E-3</v>
      </c>
      <c r="BA4">
        <v>2.7000000000000001E-3</v>
      </c>
      <c r="BB4">
        <v>5.9939792702429703E-2</v>
      </c>
      <c r="BC4">
        <v>147.19999999999999</v>
      </c>
      <c r="BD4">
        <v>1.45</v>
      </c>
      <c r="BE4">
        <v>1.37</v>
      </c>
      <c r="BF4">
        <v>0.23499999999999999</v>
      </c>
      <c r="BG4">
        <v>5.6</v>
      </c>
      <c r="BH4">
        <v>2</v>
      </c>
      <c r="BI4">
        <v>1</v>
      </c>
      <c r="BJ4">
        <v>0</v>
      </c>
      <c r="BK4">
        <v>-0.1</v>
      </c>
    </row>
    <row r="5" spans="1:63" x14ac:dyDescent="0.35">
      <c r="A5" s="9" t="s">
        <v>33</v>
      </c>
      <c r="B5" s="9">
        <v>404</v>
      </c>
      <c r="C5" s="9" t="s">
        <v>216</v>
      </c>
      <c r="D5" s="9" t="s">
        <v>212</v>
      </c>
      <c r="E5" s="65">
        <v>46048.580937500003</v>
      </c>
      <c r="F5" s="118">
        <v>46045</v>
      </c>
      <c r="G5" s="118"/>
      <c r="H5" s="9">
        <v>6.8789885881297405E-2</v>
      </c>
      <c r="I5" s="9">
        <v>0.27306685020933003</v>
      </c>
      <c r="J5" s="9">
        <v>0.131818200025173</v>
      </c>
      <c r="K5" s="9">
        <v>2.7276764302859999E-2</v>
      </c>
      <c r="L5" s="9">
        <v>4.5182E-2</v>
      </c>
      <c r="M5" s="9">
        <v>658.56</v>
      </c>
      <c r="N5" s="9">
        <v>142</v>
      </c>
      <c r="O5" s="9" t="s">
        <v>213</v>
      </c>
      <c r="P5" s="9">
        <v>1.99999999961807</v>
      </c>
      <c r="Q5" s="9">
        <v>2.1786755769999999</v>
      </c>
      <c r="R5" s="9">
        <v>0.91798890148300005</v>
      </c>
      <c r="S5" s="9">
        <v>0.25645294400000002</v>
      </c>
      <c r="T5" s="9">
        <v>0.90529999999999999</v>
      </c>
      <c r="U5" s="9">
        <v>6.4199999999999993E-2</v>
      </c>
      <c r="V5" s="9">
        <v>3.0000000000000001E-3</v>
      </c>
      <c r="W5" s="9">
        <v>4.1000000000000003E-3</v>
      </c>
      <c r="X5" s="9">
        <v>1.6999999999999999E-3</v>
      </c>
      <c r="Y5" s="9">
        <v>0.26363639999999999</v>
      </c>
      <c r="Z5" s="9">
        <v>0.56751474845681105</v>
      </c>
      <c r="AA5" s="9">
        <v>0.303878348456811</v>
      </c>
      <c r="AB5" s="9">
        <v>1.21374843846352</v>
      </c>
      <c r="AC5" s="9">
        <v>0.46757197</v>
      </c>
      <c r="AD5" s="9">
        <v>1</v>
      </c>
      <c r="AE5" s="9">
        <v>0.250363534013267</v>
      </c>
      <c r="AF5" s="9">
        <v>1</v>
      </c>
      <c r="AG5" s="9">
        <v>5.2499999999999998E-2</v>
      </c>
      <c r="AH5" s="9">
        <v>2.5999999999999999E-3</v>
      </c>
      <c r="AI5" s="9">
        <v>0.82</v>
      </c>
      <c r="AJ5" s="9">
        <v>2.9953528600000001E-2</v>
      </c>
      <c r="AK5" s="9">
        <v>1.23E-2</v>
      </c>
      <c r="AL5" s="9">
        <v>0</v>
      </c>
      <c r="AM5" s="9">
        <v>19</v>
      </c>
      <c r="AN5" s="9">
        <v>6</v>
      </c>
      <c r="AO5" s="9">
        <v>1</v>
      </c>
      <c r="AP5" s="9">
        <v>1</v>
      </c>
      <c r="AQ5" s="9">
        <v>0</v>
      </c>
      <c r="AR5" s="9">
        <v>1</v>
      </c>
      <c r="AS5" s="9">
        <v>0.01</v>
      </c>
      <c r="AT5" s="9">
        <v>0.99299999999999999</v>
      </c>
      <c r="AU5" s="65">
        <v>46048.580937500003</v>
      </c>
      <c r="AV5" s="65">
        <v>2958101</v>
      </c>
      <c r="AW5" s="9"/>
      <c r="AX5" s="9">
        <v>0</v>
      </c>
      <c r="AZ5">
        <v>5.0000000000000001E-3</v>
      </c>
      <c r="BA5">
        <v>2.7000000000000001E-3</v>
      </c>
      <c r="BB5">
        <v>6.10898858812974E-2</v>
      </c>
      <c r="BC5">
        <v>150.69999999999999</v>
      </c>
      <c r="BD5">
        <v>1.94</v>
      </c>
      <c r="BE5">
        <v>1.44</v>
      </c>
      <c r="BF5">
        <v>0.25</v>
      </c>
      <c r="BG5">
        <v>3.4</v>
      </c>
      <c r="BH5">
        <v>0</v>
      </c>
      <c r="BI5">
        <v>5.9</v>
      </c>
      <c r="BJ5">
        <v>0</v>
      </c>
      <c r="BK5">
        <v>-0.6</v>
      </c>
    </row>
    <row r="6" spans="1:63" s="63" customFormat="1" x14ac:dyDescent="0.35">
      <c r="A6" s="22" t="s">
        <v>37</v>
      </c>
      <c r="B6" s="22">
        <v>419</v>
      </c>
      <c r="C6" s="22" t="s">
        <v>217</v>
      </c>
      <c r="D6" s="22" t="s">
        <v>218</v>
      </c>
      <c r="E6" s="64">
        <v>46063</v>
      </c>
      <c r="F6" s="117">
        <v>46062</v>
      </c>
      <c r="G6" s="117"/>
      <c r="H6" s="22">
        <v>6.9424461559744605E-2</v>
      </c>
      <c r="I6" s="22">
        <v>0.248425676589246</v>
      </c>
      <c r="J6" s="22">
        <v>0.116902450750807</v>
      </c>
      <c r="K6" s="22">
        <v>1.6916764278693899E-2</v>
      </c>
      <c r="L6" s="22">
        <v>4.5182E-2</v>
      </c>
      <c r="M6" s="22">
        <v>1885.52</v>
      </c>
      <c r="N6" s="22">
        <v>142.20524</v>
      </c>
      <c r="O6" s="22" t="s">
        <v>219</v>
      </c>
      <c r="P6" s="22">
        <v>2.3600000004738302</v>
      </c>
      <c r="Q6" s="22">
        <v>2.3970424499999998</v>
      </c>
      <c r="R6" s="22">
        <v>0.98454660261600002</v>
      </c>
      <c r="S6" s="22">
        <v>0.24449264000000001</v>
      </c>
      <c r="T6" s="22">
        <v>0.92030000000000001</v>
      </c>
      <c r="U6" s="22">
        <v>3.2377075999999998E-2</v>
      </c>
      <c r="V6" s="22">
        <v>3.0000000000000001E-3</v>
      </c>
      <c r="W6" s="22">
        <v>4.1000000000000003E-3</v>
      </c>
      <c r="X6" s="22">
        <v>2.5999999999999999E-3</v>
      </c>
      <c r="Y6" s="22">
        <v>0.27588978382729701</v>
      </c>
      <c r="Z6" s="22">
        <v>0.63021777252768796</v>
      </c>
      <c r="AA6" s="22">
        <v>0.35432798870039101</v>
      </c>
      <c r="AB6" s="22">
        <v>1.25797256309005</v>
      </c>
      <c r="AC6" s="22">
        <v>0.50097894899999995</v>
      </c>
      <c r="AD6" s="22">
        <v>1</v>
      </c>
      <c r="AE6" s="22">
        <v>0.28166591156012999</v>
      </c>
      <c r="AF6" s="22">
        <v>1</v>
      </c>
      <c r="AG6" s="22">
        <v>5.2499999999999998E-2</v>
      </c>
      <c r="AH6" s="22">
        <v>2.5999999999999999E-3</v>
      </c>
      <c r="AI6" s="22">
        <v>0.82</v>
      </c>
      <c r="AJ6" s="22">
        <v>1.13675637E-2</v>
      </c>
      <c r="AK6" s="22">
        <v>1.21E-2</v>
      </c>
      <c r="AL6" s="22">
        <v>0</v>
      </c>
      <c r="AM6" s="22">
        <v>4</v>
      </c>
      <c r="AN6" s="22">
        <v>1</v>
      </c>
      <c r="AO6" s="22">
        <v>1</v>
      </c>
      <c r="AP6" s="22">
        <v>0</v>
      </c>
      <c r="AQ6" s="22">
        <v>0</v>
      </c>
      <c r="AR6" s="22">
        <v>1</v>
      </c>
      <c r="AS6" s="22">
        <v>6.4999999999999997E-3</v>
      </c>
      <c r="AT6" s="22">
        <v>0.94</v>
      </c>
      <c r="AU6" s="64">
        <v>46063.198750000003</v>
      </c>
      <c r="AV6" s="64">
        <v>2958101</v>
      </c>
      <c r="AW6" s="22"/>
      <c r="AX6" s="22">
        <v>0</v>
      </c>
      <c r="AZ6">
        <v>5.0000000000000001E-3</v>
      </c>
      <c r="BA6">
        <v>2.7000000000000001E-3</v>
      </c>
      <c r="BB6">
        <v>6.1724461559744599E-2</v>
      </c>
      <c r="BC6">
        <v>148.1</v>
      </c>
      <c r="BD6">
        <v>1.59</v>
      </c>
      <c r="BE6">
        <v>1.57</v>
      </c>
      <c r="BF6">
        <v>0.25</v>
      </c>
      <c r="BG6">
        <v>4.7</v>
      </c>
      <c r="BH6">
        <v>0.47</v>
      </c>
      <c r="BI6">
        <v>0.2</v>
      </c>
      <c r="BJ6">
        <v>0</v>
      </c>
      <c r="BK6">
        <v>0.5</v>
      </c>
    </row>
    <row r="7" spans="1:63" x14ac:dyDescent="0.35">
      <c r="A7" s="9" t="s">
        <v>34</v>
      </c>
      <c r="B7" s="9">
        <v>412</v>
      </c>
      <c r="C7" s="9" t="s">
        <v>220</v>
      </c>
      <c r="D7" s="9" t="s">
        <v>212</v>
      </c>
      <c r="E7" s="65">
        <v>46048.579583333332</v>
      </c>
      <c r="F7" s="118">
        <v>46045</v>
      </c>
      <c r="G7" s="118"/>
      <c r="H7" s="9">
        <v>7.1517489389500893E-2</v>
      </c>
      <c r="I7" s="9">
        <v>0.257169180482892</v>
      </c>
      <c r="J7" s="9">
        <v>0.113192926804045</v>
      </c>
      <c r="K7" s="9">
        <v>2.7276764289345602E-2</v>
      </c>
      <c r="L7" s="9">
        <v>4.5182E-2</v>
      </c>
      <c r="M7" s="9">
        <v>491.56799999999998</v>
      </c>
      <c r="N7" s="9">
        <v>138.6</v>
      </c>
      <c r="O7" s="9" t="s">
        <v>213</v>
      </c>
      <c r="P7" s="9">
        <v>2.05000000045681</v>
      </c>
      <c r="Q7" s="9">
        <v>2.1801666210000001</v>
      </c>
      <c r="R7" s="9">
        <v>0.94029510437899999</v>
      </c>
      <c r="S7" s="9">
        <v>0.24560000000000001</v>
      </c>
      <c r="T7" s="9">
        <v>0.92149999999999999</v>
      </c>
      <c r="U7" s="9">
        <v>4.5199999999999997E-2</v>
      </c>
      <c r="V7" s="9">
        <v>3.0000000000000001E-3</v>
      </c>
      <c r="W7" s="9">
        <v>4.1000000000000003E-3</v>
      </c>
      <c r="X7" s="9">
        <v>1.6999999999999999E-3</v>
      </c>
      <c r="Y7" s="9">
        <v>0.23204549999999999</v>
      </c>
      <c r="Z7" s="9">
        <v>0.49132693657777998</v>
      </c>
      <c r="AA7" s="9">
        <v>0.25928143657778002</v>
      </c>
      <c r="AB7" s="9">
        <v>1.0558866486694101</v>
      </c>
      <c r="AC7" s="9">
        <v>0.46532166800000002</v>
      </c>
      <c r="AD7" s="9">
        <v>1</v>
      </c>
      <c r="AE7" s="9">
        <v>0.245558021691549</v>
      </c>
      <c r="AF7" s="9">
        <v>1</v>
      </c>
      <c r="AG7" s="9">
        <v>5.2499999999999998E-2</v>
      </c>
      <c r="AH7" s="9">
        <v>2.5999999999999999E-3</v>
      </c>
      <c r="AI7" s="9">
        <v>0.82</v>
      </c>
      <c r="AJ7" s="9">
        <v>3.0702366799999999E-2</v>
      </c>
      <c r="AK7" s="9">
        <v>1.23E-2</v>
      </c>
      <c r="AL7" s="9">
        <v>0</v>
      </c>
      <c r="AM7" s="9">
        <v>17</v>
      </c>
      <c r="AN7" s="9">
        <v>3</v>
      </c>
      <c r="AO7" s="9">
        <v>1</v>
      </c>
      <c r="AP7" s="9">
        <v>1</v>
      </c>
      <c r="AQ7" s="9">
        <v>0</v>
      </c>
      <c r="AR7" s="9">
        <v>1</v>
      </c>
      <c r="AS7" s="9">
        <v>0.01</v>
      </c>
      <c r="AT7" s="9">
        <v>0.995</v>
      </c>
      <c r="AU7" s="65">
        <v>46048.579583333332</v>
      </c>
      <c r="AV7" s="65">
        <v>2958101</v>
      </c>
      <c r="AW7" s="9"/>
      <c r="AX7" s="9">
        <v>0</v>
      </c>
      <c r="AZ7">
        <v>5.0000000000000001E-3</v>
      </c>
      <c r="BA7">
        <v>2.7000000000000001E-3</v>
      </c>
      <c r="BB7">
        <v>6.3817489389500895E-2</v>
      </c>
      <c r="BC7">
        <v>151</v>
      </c>
      <c r="BD7">
        <v>1.94</v>
      </c>
      <c r="BE7">
        <v>1.45</v>
      </c>
      <c r="BF7">
        <v>0.25</v>
      </c>
      <c r="BG7">
        <v>3.7</v>
      </c>
      <c r="BH7">
        <v>3</v>
      </c>
      <c r="BI7">
        <v>5.7</v>
      </c>
      <c r="BJ7">
        <v>0</v>
      </c>
      <c r="BK7">
        <v>0</v>
      </c>
    </row>
    <row r="8" spans="1:63" x14ac:dyDescent="0.35">
      <c r="A8" s="22" t="s">
        <v>221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>
        <f>SUM(M2,M4,M5,M7)</f>
        <v>1563.7356</v>
      </c>
      <c r="N8" s="9">
        <f>(M2*N2+M4*N4+M5*N5+M7*N7)/M8</f>
        <v>140.16694814647693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8"/>
  <sheetViews>
    <sheetView workbookViewId="0">
      <selection activeCell="L41" sqref="L41"/>
    </sheetView>
  </sheetViews>
  <sheetFormatPr defaultRowHeight="14.5" x14ac:dyDescent="0.35"/>
  <sheetData>
    <row r="1" spans="1:29" x14ac:dyDescent="0.35">
      <c r="A1" t="s">
        <v>161</v>
      </c>
      <c r="B1">
        <v>2016</v>
      </c>
      <c r="C1">
        <v>2017</v>
      </c>
      <c r="D1">
        <v>2018</v>
      </c>
      <c r="E1">
        <v>2019</v>
      </c>
      <c r="F1">
        <v>20201</v>
      </c>
      <c r="G1">
        <v>20202</v>
      </c>
      <c r="H1">
        <v>20203</v>
      </c>
      <c r="I1">
        <v>20204</v>
      </c>
      <c r="J1">
        <v>20211</v>
      </c>
      <c r="K1">
        <v>20212</v>
      </c>
      <c r="L1">
        <v>20213</v>
      </c>
      <c r="M1">
        <v>20214</v>
      </c>
      <c r="N1">
        <v>20221</v>
      </c>
      <c r="O1">
        <v>20222</v>
      </c>
      <c r="P1">
        <v>20223</v>
      </c>
      <c r="Q1">
        <v>20224</v>
      </c>
      <c r="R1">
        <v>20231</v>
      </c>
      <c r="S1">
        <v>20232</v>
      </c>
      <c r="T1">
        <v>20233</v>
      </c>
      <c r="U1">
        <v>20234</v>
      </c>
      <c r="V1">
        <v>20241</v>
      </c>
      <c r="W1">
        <v>20242</v>
      </c>
      <c r="X1">
        <v>20243</v>
      </c>
      <c r="Y1">
        <v>20244</v>
      </c>
    </row>
    <row r="2" spans="1:29" x14ac:dyDescent="0.35">
      <c r="A2" t="s">
        <v>161</v>
      </c>
    </row>
    <row r="3" spans="1:29" x14ac:dyDescent="0.35">
      <c r="A3" t="s">
        <v>0</v>
      </c>
      <c r="B3">
        <v>0.13632879145132301</v>
      </c>
      <c r="C3">
        <v>0.144379046102145</v>
      </c>
      <c r="D3">
        <v>0.11173869684094501</v>
      </c>
      <c r="E3">
        <v>6.1138445043470803E-2</v>
      </c>
      <c r="F3">
        <v>5.7627615329673698E-2</v>
      </c>
      <c r="G3">
        <v>5.9112181892277599E-2</v>
      </c>
      <c r="H3">
        <v>4.8653702060264002E-2</v>
      </c>
      <c r="I3">
        <v>4.9697267115775101E-2</v>
      </c>
      <c r="J3">
        <v>4.8043083842931003E-2</v>
      </c>
      <c r="K3">
        <v>5.3449965323479898E-2</v>
      </c>
      <c r="L3">
        <v>4.1309420847739697E-2</v>
      </c>
      <c r="M3">
        <v>4.3412194023595897E-2</v>
      </c>
      <c r="N3">
        <v>3.9799267429932998E-2</v>
      </c>
      <c r="O3">
        <v>4.25948294588517E-2</v>
      </c>
      <c r="P3">
        <v>4.9512518733977898E-2</v>
      </c>
      <c r="Q3">
        <v>4.4590174598453602E-2</v>
      </c>
      <c r="R3">
        <v>4.6034244438242701E-2</v>
      </c>
      <c r="S3">
        <v>4.8740294746692898E-2</v>
      </c>
      <c r="T3">
        <v>4.93921183048113E-2</v>
      </c>
      <c r="U3">
        <v>5.9191727810761402E-2</v>
      </c>
      <c r="V3">
        <v>5.9998850518555101E-2</v>
      </c>
      <c r="W3">
        <v>6.0395456016063699E-2</v>
      </c>
      <c r="X3">
        <v>5.2556051909287999E-2</v>
      </c>
      <c r="Y3">
        <v>5.31448830352085E-2</v>
      </c>
      <c r="Z3">
        <v>5.8869376144674503E-2</v>
      </c>
      <c r="AA3">
        <v>6.4949183968964694E-2</v>
      </c>
      <c r="AB3">
        <v>6.3788613449197007E-2</v>
      </c>
      <c r="AC3">
        <v>5.7503561392643801E-2</v>
      </c>
    </row>
    <row r="4" spans="1:29" x14ac:dyDescent="0.35">
      <c r="A4" t="s">
        <v>35</v>
      </c>
      <c r="E4">
        <v>3.5037965526619999E-3</v>
      </c>
      <c r="F4">
        <v>7.6819119902959296E-2</v>
      </c>
      <c r="G4">
        <v>0.100271976162042</v>
      </c>
      <c r="H4">
        <v>8.7057921740236202E-2</v>
      </c>
      <c r="I4">
        <v>0.111206338311863</v>
      </c>
      <c r="J4">
        <v>0.13327727966609201</v>
      </c>
      <c r="K4">
        <v>0.175045439934018</v>
      </c>
      <c r="L4">
        <v>0.15209763565718201</v>
      </c>
      <c r="M4">
        <v>0.14082133059605201</v>
      </c>
      <c r="N4">
        <v>0.12962489253835599</v>
      </c>
      <c r="O4">
        <v>0.124756957654147</v>
      </c>
      <c r="P4">
        <v>0.124891330099921</v>
      </c>
      <c r="Q4">
        <v>0.18717175731274399</v>
      </c>
      <c r="R4">
        <v>0.20763323270662301</v>
      </c>
      <c r="S4">
        <v>0.19060656342788801</v>
      </c>
      <c r="T4">
        <v>0.16353473198215601</v>
      </c>
      <c r="U4">
        <v>0.171031469712491</v>
      </c>
      <c r="V4">
        <v>0.15414490337037901</v>
      </c>
      <c r="W4">
        <v>0.13987855297443799</v>
      </c>
      <c r="X4">
        <v>0.136669206853401</v>
      </c>
      <c r="Y4">
        <v>0.15194482298996601</v>
      </c>
      <c r="Z4">
        <v>0.15823240513437201</v>
      </c>
      <c r="AA4">
        <v>0.145926814879974</v>
      </c>
      <c r="AB4">
        <v>0.14116287916582099</v>
      </c>
      <c r="AC4">
        <v>0.13328220827419501</v>
      </c>
    </row>
    <row r="5" spans="1:29" x14ac:dyDescent="0.35">
      <c r="A5" t="s">
        <v>32</v>
      </c>
      <c r="E5">
        <v>1.5147625352469E-2</v>
      </c>
      <c r="F5">
        <v>5.06130080759538E-2</v>
      </c>
      <c r="G5">
        <v>4.0833289318399003E-2</v>
      </c>
      <c r="H5">
        <v>3.1133027734273198E-2</v>
      </c>
      <c r="I5">
        <v>1.7144042288368001E-2</v>
      </c>
      <c r="J5">
        <v>2.1178633967960599E-2</v>
      </c>
      <c r="K5">
        <v>4.0948054165404597E-2</v>
      </c>
      <c r="L5">
        <v>4.0064271702091099E-2</v>
      </c>
      <c r="M5">
        <v>3.24550527629354E-2</v>
      </c>
      <c r="N5">
        <v>2.4748143627578201E-2</v>
      </c>
      <c r="O5">
        <v>2.50686702223798E-2</v>
      </c>
      <c r="P5">
        <v>2.8075452011935301E-2</v>
      </c>
      <c r="Q5">
        <v>2.6196529918781301E-2</v>
      </c>
      <c r="R5">
        <v>1.42303220141635E-2</v>
      </c>
      <c r="S5">
        <v>2.14091505718596E-2</v>
      </c>
      <c r="T5">
        <v>2.33410739559387E-2</v>
      </c>
      <c r="U5">
        <v>2.5229677908476199E-2</v>
      </c>
      <c r="V5">
        <v>3.2670344157548603E-2</v>
      </c>
      <c r="W5">
        <v>4.7948103611470803E-2</v>
      </c>
      <c r="X5">
        <v>3.6514839329821601E-2</v>
      </c>
      <c r="Y5">
        <v>3.5716709627163501E-2</v>
      </c>
      <c r="Z5">
        <v>4.5582067555168998E-2</v>
      </c>
      <c r="AA5">
        <v>4.4852787544103601E-2</v>
      </c>
      <c r="AB5">
        <v>4.4737695913520302E-2</v>
      </c>
      <c r="AC5">
        <v>6.2794499212106503E-2</v>
      </c>
    </row>
    <row r="6" spans="1:29" x14ac:dyDescent="0.35">
      <c r="A6" t="s">
        <v>33</v>
      </c>
      <c r="B6">
        <v>1.6158291060101901E-2</v>
      </c>
      <c r="C6">
        <v>2.7996001514317598E-2</v>
      </c>
      <c r="D6">
        <v>1.7103137789436899E-2</v>
      </c>
      <c r="E6">
        <v>1.6819172140778899E-2</v>
      </c>
      <c r="F6">
        <v>4.59648503005586E-2</v>
      </c>
      <c r="G6">
        <v>6.5478304293977205E-2</v>
      </c>
      <c r="H6">
        <v>7.0236662700755695E-2</v>
      </c>
      <c r="I6">
        <v>8.0994429307676502E-2</v>
      </c>
      <c r="J6">
        <v>7.0801378033574502E-2</v>
      </c>
      <c r="K6">
        <v>0.104653890674804</v>
      </c>
      <c r="L6">
        <v>0.104391540609716</v>
      </c>
      <c r="M6">
        <v>0.122381817145683</v>
      </c>
      <c r="N6">
        <v>0.105800608953346</v>
      </c>
      <c r="O6">
        <v>0.114287377233167</v>
      </c>
      <c r="P6">
        <v>0.12854048185247899</v>
      </c>
      <c r="Q6">
        <v>9.5478588420775598E-2</v>
      </c>
      <c r="R6">
        <v>5.9170330146396999E-2</v>
      </c>
      <c r="S6">
        <v>8.1172555034636995E-2</v>
      </c>
      <c r="T6">
        <v>9.4753263604017604E-2</v>
      </c>
      <c r="U6">
        <v>0.165139356476633</v>
      </c>
      <c r="V6">
        <v>0.17909316472777201</v>
      </c>
      <c r="W6">
        <v>0.20554439898417901</v>
      </c>
      <c r="X6">
        <v>0.186864567216661</v>
      </c>
      <c r="Y6">
        <v>0.20070278088086899</v>
      </c>
      <c r="Z6">
        <v>0.18408320368700501</v>
      </c>
      <c r="AA6">
        <v>0.20142580563968099</v>
      </c>
      <c r="AB6">
        <v>0.21178024006552601</v>
      </c>
      <c r="AC6">
        <v>0.171074585225511</v>
      </c>
    </row>
    <row r="7" spans="1:29" x14ac:dyDescent="0.35">
      <c r="A7" t="s">
        <v>37</v>
      </c>
      <c r="B7">
        <v>0.62202189728985302</v>
      </c>
      <c r="C7">
        <v>0.66048827396190701</v>
      </c>
      <c r="D7">
        <v>0.68106261369568399</v>
      </c>
      <c r="E7">
        <v>0.72816299304796295</v>
      </c>
      <c r="F7">
        <v>0.64136881431147597</v>
      </c>
      <c r="G7">
        <v>0.60892731120194998</v>
      </c>
      <c r="H7">
        <v>0.65229696419715799</v>
      </c>
      <c r="I7">
        <v>0.64147256284585596</v>
      </c>
      <c r="J7">
        <v>0.63378930831355296</v>
      </c>
      <c r="K7">
        <v>0.51879531036693105</v>
      </c>
      <c r="L7">
        <v>0.56162153654869595</v>
      </c>
      <c r="M7">
        <v>0.55471527108726904</v>
      </c>
      <c r="N7">
        <v>0.60804359596596702</v>
      </c>
      <c r="O7">
        <v>0.59834995365136701</v>
      </c>
      <c r="P7">
        <v>0.591039119301775</v>
      </c>
      <c r="Q7">
        <v>0.592436748568271</v>
      </c>
      <c r="R7">
        <v>0.63796685910844797</v>
      </c>
      <c r="S7">
        <v>0.61526537461056996</v>
      </c>
      <c r="T7">
        <v>0.61425900160180902</v>
      </c>
      <c r="U7">
        <v>0.48760550851059198</v>
      </c>
      <c r="V7">
        <v>0.48605818454104099</v>
      </c>
      <c r="W7">
        <v>0.41447140883014899</v>
      </c>
      <c r="X7">
        <v>0.46955165839653501</v>
      </c>
      <c r="Y7">
        <v>0.44073587145895099</v>
      </c>
      <c r="Z7">
        <v>0.43785652247778001</v>
      </c>
      <c r="AA7">
        <v>0.41312542086325499</v>
      </c>
      <c r="AB7">
        <v>0.41654210018035898</v>
      </c>
      <c r="AC7">
        <v>0.471483989058606</v>
      </c>
    </row>
    <row r="8" spans="1:29" x14ac:dyDescent="0.35">
      <c r="A8" t="s">
        <v>34</v>
      </c>
      <c r="B8">
        <v>0.225491020198722</v>
      </c>
      <c r="C8">
        <v>0.16713667842163099</v>
      </c>
      <c r="D8">
        <v>0.19009555167393399</v>
      </c>
      <c r="E8">
        <v>0.17522796786265599</v>
      </c>
      <c r="F8">
        <v>0.12760659207937899</v>
      </c>
      <c r="G8">
        <v>0.125376937131355</v>
      </c>
      <c r="H8">
        <v>0.11062172156731299</v>
      </c>
      <c r="I8">
        <v>9.9485360130461595E-2</v>
      </c>
      <c r="J8">
        <v>9.2910316175889102E-2</v>
      </c>
      <c r="K8">
        <v>0.107107339535362</v>
      </c>
      <c r="L8">
        <v>0.100515594634576</v>
      </c>
      <c r="M8">
        <v>0.106214334384464</v>
      </c>
      <c r="N8">
        <v>9.1983491484819699E-2</v>
      </c>
      <c r="O8">
        <v>9.4942211780087604E-2</v>
      </c>
      <c r="P8">
        <v>7.7941097999911196E-2</v>
      </c>
      <c r="Q8">
        <v>5.4126201180974498E-2</v>
      </c>
      <c r="R8">
        <v>3.4965011586125701E-2</v>
      </c>
      <c r="S8">
        <v>4.28060616083525E-2</v>
      </c>
      <c r="T8">
        <v>5.47198105512667E-2</v>
      </c>
      <c r="U8">
        <v>9.1802259581047096E-2</v>
      </c>
      <c r="V8">
        <v>8.8034552684704101E-2</v>
      </c>
      <c r="W8">
        <v>0.13176207958369901</v>
      </c>
      <c r="X8">
        <v>0.117843676294293</v>
      </c>
      <c r="Y8">
        <v>0.117754932007842</v>
      </c>
      <c r="Z8">
        <v>0.115376425001</v>
      </c>
      <c r="AA8">
        <v>0.12971998710402199</v>
      </c>
      <c r="AB8">
        <v>0.121988471225576</v>
      </c>
      <c r="AC8">
        <v>0.103861156836938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36" sqref="P36"/>
    </sheetView>
  </sheetViews>
  <sheetFormatPr defaultRowHeight="14.5" x14ac:dyDescent="0.35"/>
  <cols>
    <col min="1" max="1" width="18.81640625" style="115" customWidth="1"/>
  </cols>
  <sheetData>
    <row r="1" spans="1:26" x14ac:dyDescent="0.35">
      <c r="A1" s="71" t="s">
        <v>38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/>
    </row>
    <row r="2" spans="1:26" x14ac:dyDescent="0.35">
      <c r="A2" t="s">
        <v>222</v>
      </c>
      <c r="B2" s="110">
        <f>'AN Table'!B2*distribution_rolledup!B3+'FRN Table'!B2*distribution_rolledup!B6+'STG Table'!B2*distribution_rolledup!B8+'KMX Table'!B2*distribution_rolledup!B7</f>
        <v>134.03212885261067</v>
      </c>
      <c r="C2" s="110">
        <f>'AN Table'!C2*distribution_rolledup!C3+'FRN Table'!C2*distribution_rolledup!C6+'STG Table'!C2*distribution_rolledup!C8+'KMX Table'!C2*distribution_rolledup!C7</f>
        <v>136.88480362063473</v>
      </c>
      <c r="D2" s="110">
        <f>'AN Table'!D2*distribution_rolledup!D3+'FRN Table'!D2*distribution_rolledup!D6+'STG Table'!D2*distribution_rolledup!D8+'KMX Table'!D2*distribution_rolledup!D7</f>
        <v>136.04758763282655</v>
      </c>
      <c r="E2" s="110">
        <f>'AN Table'!E2*distribution_rolledup!E3+'FRN Table'!E2*distribution_rolledup!E6+'STG Table'!E2*distribution_rolledup!E8+'KMX Table'!E2*distribution_rolledup!E7</f>
        <v>132.66846083902172</v>
      </c>
      <c r="F2" s="110">
        <f>'AN Table'!F2*distribution_rolledup!F3+'FRN Table'!F2*distribution_rolledup!F6+'STG Table'!F2*distribution_rolledup!F8+'FLD Table'!B2*distribution_rolledup!F5+'ENT Table'!B2*distribution_rolledup!F4+'KMX Table'!F2*distribution_rolledup!F7</f>
        <v>134.20188406240112</v>
      </c>
      <c r="G2" s="110">
        <f>'AN Table'!G2*distribution_rolledup!G3+'FRN Table'!G2*distribution_rolledup!G6+'STG Table'!G2*distribution_rolledup!G8+'FLD Table'!C2*distribution_rolledup!G5+'ENT Table'!C2*distribution_rolledup!G4+'KMX Table'!G2*distribution_rolledup!G7</f>
        <v>136.4557399322901</v>
      </c>
      <c r="H2" s="110">
        <f>'AN Table'!H2*distribution_rolledup!H3+'FRN Table'!H2*distribution_rolledup!H6+'STG Table'!H2*distribution_rolledup!H8+'FLD Table'!D2*distribution_rolledup!H5+'ENT Table'!D2*distribution_rolledup!H4+'KMX Table'!H2*distribution_rolledup!H7</f>
        <v>137.66853531991728</v>
      </c>
      <c r="I2" s="110">
        <f>'AN Table'!I2*distribution_rolledup!I3+'FRN Table'!I2*distribution_rolledup!I6+'STG Table'!I2*distribution_rolledup!I8+'FLD Table'!E2*distribution_rolledup!I5+'ENT Table'!E2*distribution_rolledup!I4+'KMX Table'!I2*distribution_rolledup!I7</f>
        <v>136.28155073008904</v>
      </c>
      <c r="J2" s="110">
        <f>'AN Table'!J2*distribution_rolledup!J3+'FRN Table'!J2*distribution_rolledup!J6+'STG Table'!J2*distribution_rolledup!J8+'FLD Table'!F2*distribution_rolledup!J5+'ENT Table'!F2*distribution_rolledup!J4+'KMX Table'!J2*distribution_rolledup!J7</f>
        <v>135.21564613904508</v>
      </c>
      <c r="K2" s="110">
        <f>'AN Table'!K2*distribution_rolledup!K3+'FRN Table'!K2*distribution_rolledup!K6+'STG Table'!K2*distribution_rolledup!K8+'FLD Table'!G2*distribution_rolledup!K5+'ENT Table'!G2*distribution_rolledup!K4+'KMX Table'!K2*distribution_rolledup!K7</f>
        <v>134.9649411065451</v>
      </c>
      <c r="L2" s="110">
        <f>'AN Table'!L2*distribution_rolledup!L3+'FRN Table'!L2*distribution_rolledup!L6+'STG Table'!L2*distribution_rolledup!L8+'FLD Table'!H2*distribution_rolledup!L5+'ENT Table'!H2*distribution_rolledup!L4+'KMX Table'!L2*distribution_rolledup!L7</f>
        <v>134.17383877773048</v>
      </c>
      <c r="M2" s="110">
        <f>'AN Table'!M2*distribution_rolledup!M3+'FRN Table'!M2*distribution_rolledup!M6+'STG Table'!M2*distribution_rolledup!M8+'FLD Table'!I2*distribution_rolledup!M5+'ENT Table'!I2*distribution_rolledup!M4+'KMX Table'!M2*distribution_rolledup!M7</f>
        <v>132.78166430183063</v>
      </c>
      <c r="N2" s="110">
        <f>'AN Table'!N2*distribution_rolledup!N3+'FRN Table'!N2*distribution_rolledup!N6+'STG Table'!N2*distribution_rolledup!N8+'FLD Table'!J2*distribution_rolledup!N5+'ENT Table'!J2*distribution_rolledup!N4+'KMX Table'!N2*distribution_rolledup!N7</f>
        <v>133.01380901817328</v>
      </c>
      <c r="O2" s="110">
        <f>'AN Table'!O2*distribution_rolledup!O3+'FRN Table'!O2*distribution_rolledup!O6+'STG Table'!O2*distribution_rolledup!O8+'FLD Table'!K2*distribution_rolledup!O5+'ENT Table'!K2*distribution_rolledup!O4+'KMX Table'!O2*distribution_rolledup!O7</f>
        <v>134.80941054942264</v>
      </c>
      <c r="P2" s="110">
        <f>'AN Table'!P2*distribution_rolledup!P3+'FRN Table'!P2*distribution_rolledup!P6+'STG Table'!P2*distribution_rolledup!P8+'FLD Table'!L2*distribution_rolledup!P5+'ENT Table'!L2*distribution_rolledup!P4+'KMX Table'!P2*distribution_rolledup!P7</f>
        <v>135.89018995448674</v>
      </c>
      <c r="Q2" s="110">
        <f>'AN Table'!Q2*distribution_rolledup!Q3+'FRN Table'!Q2*distribution_rolledup!Q6+'STG Table'!Q2*distribution_rolledup!Q8+'FLD Table'!M2*distribution_rolledup!Q5+'ENT Table'!M2*distribution_rolledup!Q4+'KMX Table'!Q2*distribution_rolledup!Q7</f>
        <v>137.08653944141844</v>
      </c>
      <c r="R2" s="110">
        <f>'AN Table'!R2*distribution_rolledup!R3+'FRN Table'!R2*distribution_rolledup!R6+'STG Table'!R2*distribution_rolledup!R8+'FLD Table'!N2*distribution_rolledup!R5+'ENT Table'!N2*distribution_rolledup!R4+'KMX Table'!R2*distribution_rolledup!R7</f>
        <v>138.46688322089986</v>
      </c>
      <c r="S2" s="110">
        <f>'AN Table'!S2*distribution_rolledup!S3+'FRN Table'!S2*distribution_rolledup!S6+'STG Table'!S2*distribution_rolledup!S8+'FLD Table'!O2*distribution_rolledup!S5+'ENT Table'!O2*distribution_rolledup!S4+'KMX Table'!S2*distribution_rolledup!S7</f>
        <v>138.93018604260814</v>
      </c>
      <c r="T2" s="114">
        <f>'AN Table'!T2*distribution_rolledup!T3+'FRN Table'!T2*distribution_rolledup!T6+'STG Table'!T2*distribution_rolledup!T8+'FLD Table'!P2*distribution_rolledup!T5+'ENT Table'!P2*distribution_rolledup!T4+'KMX Table'!T2*distribution_rolledup!T7</f>
        <v>139.05554608214959</v>
      </c>
      <c r="U2" s="110">
        <f>'AN Table'!U2*distribution_rolledup!U3+'FRN Table'!U2*distribution_rolledup!U6+'STG Table'!U2*distribution_rolledup!U8+'FLD Table'!Q2*distribution_rolledup!U5+'ENT Table'!Q2*distribution_rolledup!U4+'KMX Table'!U2*distribution_rolledup!U7</f>
        <v>138.89302996516071</v>
      </c>
      <c r="V2" s="110">
        <f>'AN Table'!V2*distribution_rolledup!V3+'FRN Table'!V2*distribution_rolledup!V6+'STG Table'!V2*distribution_rolledup!V8+'FLD Table'!R2*distribution_rolledup!V5+'ENT Table'!R2*distribution_rolledup!V4+'KMX Table'!V2*distribution_rolledup!V7</f>
        <v>138.31477326608035</v>
      </c>
      <c r="W2" s="110">
        <f>'AN Table'!W2*distribution_rolledup!W3+'FRN Table'!W2*distribution_rolledup!W6+'STG Table'!W2*distribution_rolledup!W8+'FLD Table'!S2*distribution_rolledup!W5+'ENT Table'!S2*distribution_rolledup!W4+'KMX Table'!W2*distribution_rolledup!W7</f>
        <v>139.18718814367776</v>
      </c>
      <c r="X2" s="110">
        <f>'AN Table'!X2*distribution_rolledup!X3+'FRN Table'!X2*distribution_rolledup!X6+'STG Table'!X2*distribution_rolledup!X8+'FLD Table'!T2*distribution_rolledup!X5+'ENT Table'!T2*distribution_rolledup!X4+'KMX Table'!X2*distribution_rolledup!X7</f>
        <v>139.5256276918229</v>
      </c>
      <c r="Y2" s="110">
        <f>'AN Table'!Y2*distribution_rolledup!Y3+'FRN Table'!Y2*distribution_rolledup!Y6+'STG Table'!Y2*distribution_rolledup!Y8+'FLD Table'!U2*distribution_rolledup!Y5+'ENT Table'!U2*distribution_rolledup!Y4+'KMX Table'!Y2*distribution_rolledup!Y7</f>
        <v>138.56810570916053</v>
      </c>
      <c r="Z2" s="110"/>
    </row>
    <row r="3" spans="1:26" x14ac:dyDescent="0.35">
      <c r="A3" t="s">
        <v>223</v>
      </c>
      <c r="B3" s="110">
        <f>'AN Table'!B7*distribution_rolledup!B3+'FRN Table'!B7*distribution_rolledup!B6+'STG Table'!B7*distribution_rolledup!B8+'KMX Table'!B6*distribution_rolledup!B7</f>
        <v>136.97368863426601</v>
      </c>
      <c r="C3" s="110">
        <f>'AN Table'!C7*distribution_rolledup!C3+'FRN Table'!C7*distribution_rolledup!C6+'STG Table'!C7*distribution_rolledup!C8+'KMX Table'!C6*distribution_rolledup!C7</f>
        <v>140.41582626544184</v>
      </c>
      <c r="D3" s="110">
        <f>'AN Table'!D7*distribution_rolledup!D3+'FRN Table'!D7*distribution_rolledup!D6+'STG Table'!D7*distribution_rolledup!D8+'KMX Table'!D6*distribution_rolledup!D7</f>
        <v>139.31895523108147</v>
      </c>
      <c r="E3" s="110">
        <f>'AN Table'!E7*distribution_rolledup!E3+'FRN Table'!E7*distribution_rolledup!E6+'STG Table'!E7*distribution_rolledup!E8+'KMX Table'!E6*distribution_rolledup!E7</f>
        <v>135.56951962022617</v>
      </c>
      <c r="F3" s="110">
        <f>'AN Table'!F7*distribution_rolledup!F3+'FRN Table'!F7*distribution_rolledup!F6+'STG Table'!F7*distribution_rolledup!F8+'FLD Table'!B7*distribution_rolledup!F5+'ENT Table'!B7*distribution_rolledup!F4+'KMX Table'!F6*distribution_rolledup!F7</f>
        <v>135.42670760658319</v>
      </c>
      <c r="G3" s="110">
        <f>'AN Table'!G7*distribution_rolledup!G3+'FRN Table'!G7*distribution_rolledup!G6+'STG Table'!G7*distribution_rolledup!G8+'FLD Table'!C7*distribution_rolledup!G5+'ENT Table'!C7*distribution_rolledup!G4+'KMX Table'!G6*distribution_rolledup!G7</f>
        <v>137.24690993924679</v>
      </c>
      <c r="H3" s="110">
        <f>'AN Table'!H7*distribution_rolledup!H3+'FRN Table'!H7*distribution_rolledup!H6+'STG Table'!H7*distribution_rolledup!H8+'FLD Table'!D7*distribution_rolledup!H5+'ENT Table'!D7*distribution_rolledup!H4+'KMX Table'!H6*distribution_rolledup!H7</f>
        <v>140.78860422649097</v>
      </c>
      <c r="I3" s="110">
        <f>'AN Table'!I7*distribution_rolledup!I3+'FRN Table'!I7*distribution_rolledup!I6+'STG Table'!I7*distribution_rolledup!I8+'FLD Table'!E7*distribution_rolledup!I5+'ENT Table'!E7*distribution_rolledup!I4+'KMX Table'!I6*distribution_rolledup!I7</f>
        <v>137.49636377696783</v>
      </c>
      <c r="J3" s="110">
        <f>'AN Table'!J7*distribution_rolledup!J3+'FRN Table'!J7*distribution_rolledup!J6+'STG Table'!J7*distribution_rolledup!J8+'FLD Table'!F7*distribution_rolledup!J5+'ENT Table'!F7*distribution_rolledup!J4+'KMX Table'!J6*distribution_rolledup!J7</f>
        <v>138.11822938028297</v>
      </c>
      <c r="K3" s="110">
        <f>'AN Table'!K7*distribution_rolledup!K3+'FRN Table'!K7*distribution_rolledup!K6+'STG Table'!K7*distribution_rolledup!K8+'FLD Table'!G7*distribution_rolledup!K5+'ENT Table'!G7*distribution_rolledup!K4+'KMX Table'!K6*distribution_rolledup!K7</f>
        <v>139.67341690414941</v>
      </c>
      <c r="L3" s="110">
        <f>'AN Table'!L7*distribution_rolledup!L3+'FRN Table'!L7*distribution_rolledup!L6+'STG Table'!L7*distribution_rolledup!L8+'FLD Table'!H7*distribution_rolledup!L5+'ENT Table'!H7*distribution_rolledup!L4+'KMX Table'!L6*distribution_rolledup!L7</f>
        <v>137.79134999539352</v>
      </c>
      <c r="M3" s="110">
        <f>'AN Table'!M7*distribution_rolledup!M3+'FRN Table'!M7*distribution_rolledup!M6+'STG Table'!M7*distribution_rolledup!M8+'FLD Table'!I7*distribution_rolledup!M5+'ENT Table'!I7*distribution_rolledup!M4+'KMX Table'!M6*distribution_rolledup!M7</f>
        <v>135.74874165413962</v>
      </c>
      <c r="N3" s="110">
        <f>'AN Table'!N7*distribution_rolledup!N3+'FRN Table'!N7*distribution_rolledup!N6+'STG Table'!N7*distribution_rolledup!N8+'FLD Table'!J7*distribution_rolledup!N5+'ENT Table'!J7*distribution_rolledup!N4+'KMX Table'!N6*distribution_rolledup!N7</f>
        <v>134.58234531300374</v>
      </c>
      <c r="O3" s="110">
        <f>'AN Table'!O7*distribution_rolledup!O3+'FRN Table'!O7*distribution_rolledup!O6+'STG Table'!O7*distribution_rolledup!O8+'FLD Table'!K7*distribution_rolledup!O5+'ENT Table'!K7*distribution_rolledup!O4+'KMX Table'!O6*distribution_rolledup!O7</f>
        <v>137.00273429898829</v>
      </c>
      <c r="P3" s="110">
        <f>'AN Table'!P7*distribution_rolledup!P3+'FRN Table'!P7*distribution_rolledup!P6+'STG Table'!P7*distribution_rolledup!P8+'FLD Table'!L7*distribution_rolledup!P5+'ENT Table'!L7*distribution_rolledup!P4+'KMX Table'!P6*distribution_rolledup!P7</f>
        <v>137.05058772602456</v>
      </c>
      <c r="Q3" s="110">
        <f>'AN Table'!Q7*distribution_rolledup!Q3+'FRN Table'!Q7*distribution_rolledup!Q6+'STG Table'!Q7*distribution_rolledup!Q8+'FLD Table'!M7*distribution_rolledup!Q5+'ENT Table'!M7*distribution_rolledup!Q4+'KMX Table'!Q6*distribution_rolledup!Q7</f>
        <v>136.8935523279298</v>
      </c>
      <c r="R3" s="110">
        <f>'AN Table'!R7*distribution_rolledup!R3+'FRN Table'!R7*distribution_rolledup!R6+'STG Table'!R7*distribution_rolledup!R8+'FLD Table'!N7*distribution_rolledup!R5+'ENT Table'!N7*distribution_rolledup!R4+'KMX Table'!R6*distribution_rolledup!R7</f>
        <v>137.84271247317247</v>
      </c>
      <c r="S3" s="110">
        <f>'AN Table'!S7*distribution_rolledup!S3+'FRN Table'!S7*distribution_rolledup!S6+'STG Table'!S7*distribution_rolledup!S8+'FLD Table'!O7*distribution_rolledup!S5+'ENT Table'!O7*distribution_rolledup!S4+'KMX Table'!S6*distribution_rolledup!S7</f>
        <v>139.71353590588802</v>
      </c>
      <c r="T3" s="110">
        <f>'AN Table'!T7*distribution_rolledup!T3+'FRN Table'!T7*distribution_rolledup!T6+'STG Table'!T7*distribution_rolledup!T8+'FLD Table'!P7*distribution_rolledup!T5+'ENT Table'!P7*distribution_rolledup!T4+'KMX Table'!T6*distribution_rolledup!T7</f>
        <v>139.07174790110423</v>
      </c>
      <c r="U3" s="110">
        <f>'AN Table'!U7*distribution_rolledup!U3+'FRN Table'!U7*distribution_rolledup!U6+'STG Table'!U7*distribution_rolledup!U8+'FLD Table'!Q7*distribution_rolledup!U5+'ENT Table'!Q7*distribution_rolledup!U4+'KMX Table'!U6*distribution_rolledup!U7</f>
        <v>139.18404992470673</v>
      </c>
      <c r="V3" s="110">
        <f>'AN Table'!V7*distribution_rolledup!V3+'FRN Table'!V7*distribution_rolledup!V6+'STG Table'!V7*distribution_rolledup!V8+'FLD Table'!R7*distribution_rolledup!V5+'ENT Table'!R7*distribution_rolledup!V4+'KMX Table'!V6*distribution_rolledup!V7</f>
        <v>138.87478515189954</v>
      </c>
      <c r="W3" s="110">
        <f>'AN Table'!W7*distribution_rolledup!W3+'FRN Table'!W7*distribution_rolledup!W6+'STG Table'!W7*distribution_rolledup!W8+'FLD Table'!S7*distribution_rolledup!W5+'ENT Table'!S7*distribution_rolledup!W4+'KMX Table'!W6*distribution_rolledup!W7</f>
        <v>142.26187381580499</v>
      </c>
      <c r="X3" s="110">
        <f>'AN Table'!X7*distribution_rolledup!X3+'FRN Table'!X7*distribution_rolledup!X6+'STG Table'!X7*distribution_rolledup!X8+'FLD Table'!T7*distribution_rolledup!X5+'ENT Table'!T7*distribution_rolledup!X4+'KMX Table'!X6*distribution_rolledup!X7</f>
        <v>142.67670129461197</v>
      </c>
      <c r="Y3" s="110">
        <f>'AN Table'!Y7*distribution_rolledup!Y3+'FRN Table'!Y7*distribution_rolledup!Y6+'STG Table'!Y7*distribution_rolledup!Y8+'FLD Table'!U7*distribution_rolledup!Y5+'ENT Table'!U7*distribution_rolledup!Y4+'KMX Table'!Y6*distribution_rolledup!Y7</f>
        <v>142.48308294441145</v>
      </c>
      <c r="Z3" s="110"/>
    </row>
    <row r="4" spans="1:26" x14ac:dyDescent="0.35">
      <c r="A4" t="s">
        <v>224</v>
      </c>
      <c r="B4" s="110">
        <f>'AN Table'!B8*distribution_rolledup!B3+'FRN Table'!B8*distribution_rolledup!B6+'STG Table'!B8*distribution_rolledup!B8+'KMX Table'!B7*distribution_rolledup!B7</f>
        <v>137.12176207347142</v>
      </c>
      <c r="C4" s="110">
        <f>'AN Table'!C8*distribution_rolledup!C3+'FRN Table'!C8*distribution_rolledup!C6+'STG Table'!C8*distribution_rolledup!C8+'KMX Table'!C7*distribution_rolledup!C7</f>
        <v>140.12729320340566</v>
      </c>
      <c r="D4" s="110">
        <f>'AN Table'!D8*distribution_rolledup!D3+'FRN Table'!D8*distribution_rolledup!D6+'STG Table'!D8*distribution_rolledup!D8+'KMX Table'!D7*distribution_rolledup!D7</f>
        <v>139.2595164965594</v>
      </c>
      <c r="E4" s="110">
        <f>'AN Table'!E8*distribution_rolledup!E3+'FRN Table'!E8*distribution_rolledup!E6+'STG Table'!E8*distribution_rolledup!E8+'KMX Table'!E7*distribution_rolledup!E7</f>
        <v>136.01606716136334</v>
      </c>
      <c r="F4" s="110">
        <f>'AN Table'!F8*distribution_rolledup!F3+'FRN Table'!F8*distribution_rolledup!F6+'STG Table'!F8*distribution_rolledup!F8+'FLD Table'!B8*distribution_rolledup!F5+'ENT Table'!B8*distribution_rolledup!F4+'KMX Table'!F7*distribution_rolledup!F7</f>
        <v>136.91624534182807</v>
      </c>
      <c r="G4" s="110">
        <f>'AN Table'!G8*distribution_rolledup!G3+'FRN Table'!G8*distribution_rolledup!G6+'STG Table'!G8*distribution_rolledup!G8+'FLD Table'!C8*distribution_rolledup!G5+'ENT Table'!C8*distribution_rolledup!G4+'KMX Table'!G7*distribution_rolledup!G7</f>
        <v>139.09272017919949</v>
      </c>
      <c r="H4" s="110">
        <f>'AN Table'!H8*distribution_rolledup!H3+'FRN Table'!H8*distribution_rolledup!H6+'STG Table'!H8*distribution_rolledup!H8+'FLD Table'!D8*distribution_rolledup!H5+'ENT Table'!D8*distribution_rolledup!H4+'KMX Table'!H7*distribution_rolledup!H7</f>
        <v>140.3360726114424</v>
      </c>
      <c r="I4" s="110">
        <f>'AN Table'!I8*distribution_rolledup!I3+'FRN Table'!I8*distribution_rolledup!I6+'STG Table'!I8*distribution_rolledup!I8+'FLD Table'!E8*distribution_rolledup!I5+'ENT Table'!E8*distribution_rolledup!I4+'KMX Table'!I7*distribution_rolledup!I7</f>
        <v>138.5800973456177</v>
      </c>
      <c r="J4" s="110">
        <f>'AN Table'!J8*distribution_rolledup!J3+'FRN Table'!J8*distribution_rolledup!J6+'STG Table'!J8*distribution_rolledup!J8+'FLD Table'!F8*distribution_rolledup!J5+'ENT Table'!F8*distribution_rolledup!J4+'KMX Table'!J7*distribution_rolledup!J7</f>
        <v>137.59033915500243</v>
      </c>
      <c r="K4" s="110">
        <f>'AN Table'!K8*distribution_rolledup!K3+'FRN Table'!K8*distribution_rolledup!K6+'STG Table'!K8*distribution_rolledup!K8+'FLD Table'!G8*distribution_rolledup!K5+'ENT Table'!G8*distribution_rolledup!K4+'KMX Table'!K7*distribution_rolledup!K7</f>
        <v>136.69337682460346</v>
      </c>
      <c r="L4" s="110">
        <f>'AN Table'!L8*distribution_rolledup!L3+'FRN Table'!L8*distribution_rolledup!L6+'STG Table'!L8*distribution_rolledup!L8+'FLD Table'!H8*distribution_rolledup!L5+'ENT Table'!H8*distribution_rolledup!L4+'KMX Table'!L7*distribution_rolledup!L7</f>
        <v>135.91579862963687</v>
      </c>
      <c r="M4" s="110">
        <f>'AN Table'!M8*distribution_rolledup!M3+'FRN Table'!M8*distribution_rolledup!M6+'STG Table'!M8*distribution_rolledup!M8+'FLD Table'!I8*distribution_rolledup!M5+'ENT Table'!I8*distribution_rolledup!M4+'KMX Table'!M7*distribution_rolledup!M7</f>
        <v>134.26772266619338</v>
      </c>
      <c r="N4" s="110">
        <f>'AN Table'!N8*distribution_rolledup!N3+'FRN Table'!N8*distribution_rolledup!N6+'STG Table'!N8*distribution_rolledup!N8+'FLD Table'!J8*distribution_rolledup!N5+'ENT Table'!J8*distribution_rolledup!N4+'KMX Table'!N7*distribution_rolledup!N7</f>
        <v>134.59031254120055</v>
      </c>
      <c r="O4" s="110">
        <f>'AN Table'!O8*distribution_rolledup!O3+'FRN Table'!O8*distribution_rolledup!O6+'STG Table'!O8*distribution_rolledup!O8+'FLD Table'!K8*distribution_rolledup!O5+'ENT Table'!K8*distribution_rolledup!O4+'KMX Table'!O7*distribution_rolledup!O7</f>
        <v>136.38885422300643</v>
      </c>
      <c r="P4" s="110">
        <f>'AN Table'!P8*distribution_rolledup!P3+'FRN Table'!P8*distribution_rolledup!P6+'STG Table'!P8*distribution_rolledup!P8+'FLD Table'!L8*distribution_rolledup!P5+'ENT Table'!L8*distribution_rolledup!P4+'KMX Table'!P7*distribution_rolledup!P7</f>
        <v>137.26492530957128</v>
      </c>
      <c r="Q4" s="110">
        <f>'AN Table'!Q8*distribution_rolledup!Q3+'FRN Table'!Q8*distribution_rolledup!Q6+'STG Table'!Q8*distribution_rolledup!Q8+'FLD Table'!M8*distribution_rolledup!Q5+'ENT Table'!M8*distribution_rolledup!Q4+'KMX Table'!Q7*distribution_rolledup!Q7</f>
        <v>138.48438064752492</v>
      </c>
      <c r="R4" s="110">
        <f>'AN Table'!R8*distribution_rolledup!R3+'FRN Table'!R8*distribution_rolledup!R6+'STG Table'!R8*distribution_rolledup!R8+'FLD Table'!N8*distribution_rolledup!R5+'ENT Table'!N8*distribution_rolledup!R4+'KMX Table'!R7*distribution_rolledup!R7</f>
        <v>139.98562166399745</v>
      </c>
      <c r="S4" s="110">
        <f>'AN Table'!S8*distribution_rolledup!S3+'FRN Table'!S8*distribution_rolledup!S6+'STG Table'!S8*distribution_rolledup!S8+'FLD Table'!O8*distribution_rolledup!S5+'ENT Table'!O8*distribution_rolledup!S4+'KMX Table'!S7*distribution_rolledup!S7</f>
        <v>140.52174455415647</v>
      </c>
      <c r="T4" s="110">
        <f>'AN Table'!T8*distribution_rolledup!T3+'FRN Table'!T8*distribution_rolledup!T6+'STG Table'!T8*distribution_rolledup!T8+'FLD Table'!P8*distribution_rolledup!T5+'ENT Table'!P8*distribution_rolledup!T4+'KMX Table'!T7*distribution_rolledup!T7</f>
        <v>140.76252184084495</v>
      </c>
      <c r="U4" s="110">
        <f>'AN Table'!U8*distribution_rolledup!U3+'FRN Table'!U8*distribution_rolledup!U6+'STG Table'!U8*distribution_rolledup!U8+'FLD Table'!Q8*distribution_rolledup!U5+'ENT Table'!Q8*distribution_rolledup!U4+'KMX Table'!U7*distribution_rolledup!U7</f>
        <v>140.54931254122479</v>
      </c>
      <c r="V4" s="110">
        <f>'AN Table'!V8*distribution_rolledup!V3+'FRN Table'!V8*distribution_rolledup!V6+'STG Table'!V8*distribution_rolledup!V8+'FLD Table'!R8*distribution_rolledup!V5+'ENT Table'!R8*distribution_rolledup!V4+'KMX Table'!V7*distribution_rolledup!V7</f>
        <v>140.22666583035857</v>
      </c>
      <c r="W4" s="110">
        <f>'AN Table'!W8*distribution_rolledup!W3+'FRN Table'!W8*distribution_rolledup!W6+'STG Table'!W8*distribution_rolledup!W8+'FLD Table'!S8*distribution_rolledup!W5+'ENT Table'!S8*distribution_rolledup!W4+'KMX Table'!W7*distribution_rolledup!W7</f>
        <v>141.33400752706345</v>
      </c>
      <c r="X4" s="110">
        <f>'AN Table'!X8*distribution_rolledup!X3+'FRN Table'!X8*distribution_rolledup!X6+'STG Table'!X8*distribution_rolledup!X8+'FLD Table'!T8*distribution_rolledup!X5+'ENT Table'!T8*distribution_rolledup!X4+'KMX Table'!X7*distribution_rolledup!X7</f>
        <v>141.86943837439964</v>
      </c>
      <c r="Y4" s="110">
        <f>'AN Table'!Y8*distribution_rolledup!Y3+'FRN Table'!Y8*distribution_rolledup!Y6+'STG Table'!Y8*distribution_rolledup!Y8+'FLD Table'!U8*distribution_rolledup!Y5+'ENT Table'!U8*distribution_rolledup!Y4+'KMX Table'!Y7*distribution_rolledup!Y7</f>
        <v>140.86208847689508</v>
      </c>
      <c r="Z4" s="110"/>
    </row>
    <row r="5" spans="1:26" x14ac:dyDescent="0.35">
      <c r="A5" t="s">
        <v>225</v>
      </c>
      <c r="B5" s="110">
        <f>'AN Table'!B14*distribution_rolledup!B3+'FRN Table'!B14*distribution_rolledup!B6+'STG Table'!B14*distribution_rolledup!B8+'KMX Table'!B14*distribution_rolledup!B7</f>
        <v>137.8814443443506</v>
      </c>
      <c r="C5" s="110">
        <f>'AN Table'!C14*distribution_rolledup!C3+'FRN Table'!C14*distribution_rolledup!C6+'STG Table'!C14*distribution_rolledup!C8+'KMX Table'!C14*distribution_rolledup!C7</f>
        <v>142.95088715053117</v>
      </c>
      <c r="D5" s="110">
        <f>'AN Table'!D14*distribution_rolledup!D3+'FRN Table'!D14*distribution_rolledup!D6+'STG Table'!D14*distribution_rolledup!D8+'KMX Table'!D14*distribution_rolledup!D7</f>
        <v>142.33941974137934</v>
      </c>
      <c r="E5" s="110">
        <f>'AN Table'!E14*distribution_rolledup!E3+'FRN Table'!E14*distribution_rolledup!E6+'STG Table'!E14*distribution_rolledup!E8+'KMX Table'!E14*distribution_rolledup!E7</f>
        <v>138.97838862499728</v>
      </c>
      <c r="F5" s="110">
        <f>'AN Table'!F14*distribution_rolledup!F3+'FRN Table'!F14*distribution_rolledup!F6+'STG Table'!F14*distribution_rolledup!F8+'FLD Table'!B14*distribution_rolledup!F5+'ENT Table'!B14*distribution_rolledup!F4+'KMX Table'!F14*distribution_rolledup!F7</f>
        <v>141.02005276704045</v>
      </c>
      <c r="G5" s="110">
        <f>'AN Table'!G14*distribution_rolledup!G3+'FRN Table'!G14*distribution_rolledup!G6+'STG Table'!G14*distribution_rolledup!G8+'FLD Table'!C14*distribution_rolledup!G5+'ENT Table'!C14*distribution_rolledup!G4+'KMX Table'!G14*distribution_rolledup!G7</f>
        <v>144.70969266599843</v>
      </c>
      <c r="H5" s="110">
        <f>'AN Table'!H14*distribution_rolledup!H3+'FRN Table'!H14*distribution_rolledup!H6+'STG Table'!H14*distribution_rolledup!H8+'FLD Table'!D14*distribution_rolledup!H5+'ENT Table'!D14*distribution_rolledup!H4+'KMX Table'!H14*distribution_rolledup!H7</f>
        <v>143.48498807329412</v>
      </c>
      <c r="I5" s="110">
        <f>'AN Table'!I14*distribution_rolledup!I3+'FRN Table'!I14*distribution_rolledup!I6+'STG Table'!I14*distribution_rolledup!I8+'FLD Table'!E14*distribution_rolledup!I5+'ENT Table'!E14*distribution_rolledup!I4+'KMX Table'!I14*distribution_rolledup!I7</f>
        <v>141.37545062293745</v>
      </c>
      <c r="J5" s="110">
        <f>'AN Table'!J14*distribution_rolledup!J3+'FRN Table'!J14*distribution_rolledup!J6+'STG Table'!J14*distribution_rolledup!J8+'FLD Table'!F14*distribution_rolledup!J5+'ENT Table'!F14*distribution_rolledup!J4+'KMX Table'!J14*distribution_rolledup!J7</f>
        <v>141.15619186581591</v>
      </c>
      <c r="K5" s="110">
        <f>'AN Table'!K14*distribution_rolledup!K3+'FRN Table'!K14*distribution_rolledup!K6+'STG Table'!K14*distribution_rolledup!K8+'FLD Table'!G14*distribution_rolledup!K5+'ENT Table'!G14*distribution_rolledup!K4+'KMX Table'!K14*distribution_rolledup!K7</f>
        <v>138.74774907501259</v>
      </c>
      <c r="L5" s="110">
        <f>'AN Table'!L14*distribution_rolledup!L3+'FRN Table'!L14*distribution_rolledup!L6+'STG Table'!L14*distribution_rolledup!L8+'FLD Table'!H14*distribution_rolledup!L5+'ENT Table'!H14*distribution_rolledup!L4+'KMX Table'!L14*distribution_rolledup!L7</f>
        <v>136.87811505061586</v>
      </c>
      <c r="M5" s="110">
        <f>'AN Table'!M14*distribution_rolledup!M3+'FRN Table'!M14*distribution_rolledup!M6+'STG Table'!M14*distribution_rolledup!M8+'FLD Table'!I14*distribution_rolledup!M5+'ENT Table'!I14*distribution_rolledup!M4+'KMX Table'!M14*distribution_rolledup!M7</f>
        <v>131.5730733882553</v>
      </c>
      <c r="N5" s="110">
        <f>'AN Table'!N14*distribution_rolledup!N3+'FRN Table'!N14*distribution_rolledup!N6+'STG Table'!N14*distribution_rolledup!N8+'FLD Table'!J14*distribution_rolledup!N5+'ENT Table'!J14*distribution_rolledup!N4+'KMX Table'!N14*distribution_rolledup!N7</f>
        <v>130.81237528694766</v>
      </c>
      <c r="O5" s="110">
        <f>'AN Table'!O14*distribution_rolledup!O3+'FRN Table'!O14*distribution_rolledup!O6+'STG Table'!O14*distribution_rolledup!O8+'FLD Table'!K14*distribution_rolledup!O5+'ENT Table'!K14*distribution_rolledup!O4+'KMX Table'!O14*distribution_rolledup!O7</f>
        <v>132.75467545954459</v>
      </c>
      <c r="P5" s="110">
        <f>'AN Table'!P14*distribution_rolledup!P3+'FRN Table'!P14*distribution_rolledup!P6+'STG Table'!P14*distribution_rolledup!P8+'FLD Table'!L14*distribution_rolledup!P5+'ENT Table'!L14*distribution_rolledup!P4+'KMX Table'!P14*distribution_rolledup!P7</f>
        <v>133.8057514681995</v>
      </c>
      <c r="Q5" s="110">
        <f>'AN Table'!Q14*distribution_rolledup!Q3+'FRN Table'!Q14*distribution_rolledup!Q6+'STG Table'!Q14*distribution_rolledup!Q8+'FLD Table'!M14*distribution_rolledup!Q5+'ENT Table'!M14*distribution_rolledup!Q4+'KMX Table'!Q14*distribution_rolledup!Q7</f>
        <v>134.09926398288587</v>
      </c>
      <c r="R5" s="110">
        <f>'AN Table'!R14*distribution_rolledup!R3+'FRN Table'!R14*distribution_rolledup!R6+'STG Table'!R14*distribution_rolledup!R8+'FLD Table'!N14*distribution_rolledup!R5+'ENT Table'!N14*distribution_rolledup!R4+'KMX Table'!R14*distribution_rolledup!R7</f>
        <v>134.09677278807933</v>
      </c>
      <c r="S5" s="110">
        <f>'AN Table'!S14*distribution_rolledup!S3+'FRN Table'!S14*distribution_rolledup!S6+'STG Table'!S14*distribution_rolledup!S8+'FLD Table'!O14*distribution_rolledup!S5+'ENT Table'!O14*distribution_rolledup!S4+'KMX Table'!S14*distribution_rolledup!S7</f>
        <v>136.28664699079172</v>
      </c>
      <c r="T5" s="110">
        <f>'AN Table'!T14*distribution_rolledup!T3+'FRN Table'!T14*distribution_rolledup!T6+'STG Table'!T14*distribution_rolledup!T8+'FLD Table'!P14*distribution_rolledup!T5+'ENT Table'!P14*distribution_rolledup!T4+'KMX Table'!T14*distribution_rolledup!T7</f>
        <v>136.69967176367732</v>
      </c>
      <c r="U5" s="110">
        <f>'AN Table'!U14*distribution_rolledup!U3+'FRN Table'!U14*distribution_rolledup!U6+'STG Table'!U14*distribution_rolledup!U8+'FLD Table'!Q14*distribution_rolledup!U5+'ENT Table'!Q14*distribution_rolledup!U4+'KMX Table'!U14*distribution_rolledup!U7</f>
        <v>137.67524113422769</v>
      </c>
      <c r="V5" s="110">
        <f>'AN Table'!V14*distribution_rolledup!V3+'FRN Table'!V14*distribution_rolledup!V6+'STG Table'!V14*distribution_rolledup!V8+'FLD Table'!R14*distribution_rolledup!V5+'ENT Table'!R14*distribution_rolledup!V4+'KMX Table'!V14*distribution_rolledup!V7</f>
        <v>137.49756854354013</v>
      </c>
      <c r="W5" s="110">
        <f>'AN Table'!W14*distribution_rolledup!W3+'FRN Table'!W14*distribution_rolledup!W6+'STG Table'!W14*distribution_rolledup!W8+'FLD Table'!S14*distribution_rolledup!W5+'ENT Table'!S14*distribution_rolledup!W4+'KMX Table'!W14*distribution_rolledup!W7</f>
        <v>141.48981884030505</v>
      </c>
      <c r="X5" s="110">
        <f>'AN Table'!X14*distribution_rolledup!X3+'FRN Table'!X14*distribution_rolledup!X6+'STG Table'!X14*distribution_rolledup!X8+'FLD Table'!T14*distribution_rolledup!X5+'ENT Table'!T14*distribution_rolledup!X4+'KMX Table'!X14*distribution_rolledup!X7</f>
        <v>142.03775518534462</v>
      </c>
      <c r="Y5" s="110">
        <f>'AN Table'!Y14*distribution_rolledup!Y3+'FRN Table'!Y14*distribution_rolledup!Y6+'STG Table'!Y14*distribution_rolledup!Y8+'FLD Table'!U14*distribution_rolledup!Y5+'ENT Table'!U14*distribution_rolledup!Y4+'KMX Table'!Y14*distribution_rolledup!Y7</f>
        <v>141.85205009355695</v>
      </c>
      <c r="Z5" s="110"/>
    </row>
    <row r="6" spans="1:26" x14ac:dyDescent="0.35">
      <c r="B6" s="110"/>
      <c r="C6" s="110"/>
      <c r="D6" s="110"/>
      <c r="E6" s="110"/>
      <c r="F6" s="110"/>
    </row>
    <row r="7" spans="1:26" x14ac:dyDescent="0.35">
      <c r="A7" t="s">
        <v>31</v>
      </c>
      <c r="B7" s="111">
        <f>'AN Table'!B10*distribution_rolledup!B3+'FRN Table'!B10*distribution_rolledup!B6+'KMX Table'!B10*distribution_rolledup!B7+'STG Table'!B10*distribution_rolledup!B8</f>
        <v>1.7210952917768303</v>
      </c>
      <c r="C7" s="111">
        <f>'AN Table'!C10*distribution_rolledup!C3+'FRN Table'!C10*distribution_rolledup!C6+'KMX Table'!C10*distribution_rolledup!C7+'STG Table'!C10*distribution_rolledup!C8</f>
        <v>1.6989900110758929</v>
      </c>
      <c r="D7" s="111">
        <f>'AN Table'!D10*distribution_rolledup!D3+'FRN Table'!D10*distribution_rolledup!D6+'KMX Table'!D10*distribution_rolledup!D7+'STG Table'!D10*distribution_rolledup!D8</f>
        <v>1.70726009081468</v>
      </c>
      <c r="E7" s="111">
        <f>'AN Table'!E10*distribution_rolledup!E3+'FRN Table'!E10*distribution_rolledup!E6+'KMX Table'!E10*distribution_rolledup!E7+'STG Table'!E10*distribution_rolledup!E8</f>
        <v>1.6915079466595329</v>
      </c>
      <c r="F7" s="111">
        <f>'AN Table'!F10*distribution_rolledup!F3+'ENT Table'!B10*distribution_rolledup!F4+'FLD Table'!B10*distribution_rolledup!F5+'FRN Table'!F10*distribution_rolledup!F6+'KMX Table'!F10*distribution_rolledup!F7+'STG Table'!F10*distribution_rolledup!F8</f>
        <v>1.7407344247636289</v>
      </c>
      <c r="G7" s="111">
        <f>'AN Table'!G10*distribution_rolledup!G3+'ENT Table'!C10*distribution_rolledup!G4+'FLD Table'!C10*distribution_rolledup!G5+'FRN Table'!G10*distribution_rolledup!G6+'KMX Table'!G10*distribution_rolledup!G7+'STG Table'!G10*distribution_rolledup!G8</f>
        <v>1.7649649577357236</v>
      </c>
      <c r="H7" s="111">
        <f>'AN Table'!H10*distribution_rolledup!H3+'ENT Table'!D10*distribution_rolledup!H4+'FLD Table'!D10*distribution_rolledup!H5+'FRN Table'!H10*distribution_rolledup!H6+'KMX Table'!H10*distribution_rolledup!H7+'STG Table'!H10*distribution_rolledup!H8</f>
        <v>1.5955907911026688</v>
      </c>
      <c r="I7" s="111">
        <f>'AN Table'!I10*distribution_rolledup!I3+'ENT Table'!E10*distribution_rolledup!I4+'FLD Table'!E10*distribution_rolledup!I5+'FRN Table'!I10*distribution_rolledup!I6+'KMX Table'!I10*distribution_rolledup!I7+'STG Table'!I10*distribution_rolledup!I8</f>
        <v>1.7039471054550104</v>
      </c>
      <c r="J7" s="111">
        <f>'AN Table'!J10*distribution_rolledup!J3+'ENT Table'!F10*distribution_rolledup!J4+'FLD Table'!F10*distribution_rolledup!J5+'FRN Table'!J10*distribution_rolledup!J6+'KMX Table'!J10*distribution_rolledup!J7+'STG Table'!J10*distribution_rolledup!J8</f>
        <v>1.5703857909840131</v>
      </c>
      <c r="K7" s="111">
        <f>'AN Table'!K10*distribution_rolledup!K3+'ENT Table'!G10*distribution_rolledup!K4+'FLD Table'!G10*distribution_rolledup!K5+'FRN Table'!K10*distribution_rolledup!K6+'KMX Table'!K10*distribution_rolledup!K7+'STG Table'!K10*distribution_rolledup!K8</f>
        <v>1.4208225438725526</v>
      </c>
      <c r="L7" s="111">
        <f>'AN Table'!L10*distribution_rolledup!L3+'ENT Table'!H10*distribution_rolledup!L4+'FLD Table'!H10*distribution_rolledup!L5+'FRN Table'!L10*distribution_rolledup!L6+'KMX Table'!L10*distribution_rolledup!L7+'STG Table'!L10*distribution_rolledup!L8</f>
        <v>1.480581255972661</v>
      </c>
      <c r="M7" s="111">
        <f>'AN Table'!M10*distribution_rolledup!M3+'ENT Table'!I10*distribution_rolledup!M4+'FLD Table'!I10*distribution_rolledup!M5+'FRN Table'!M10*distribution_rolledup!M6+'KMX Table'!M10*distribution_rolledup!M7+'STG Table'!M10*distribution_rolledup!M8</f>
        <v>1.5101871446354727</v>
      </c>
      <c r="N7" s="111">
        <f>'AN Table'!N10*distribution_rolledup!N3+'ENT Table'!J10*distribution_rolledup!N4+'FLD Table'!J10*distribution_rolledup!N5+'FRN Table'!N10*distribution_rolledup!N6+'KMX Table'!N10*distribution_rolledup!N7+'STG Table'!N10*distribution_rolledup!N8</f>
        <v>1.578297770232578</v>
      </c>
      <c r="O7" s="111">
        <f>'AN Table'!O10*distribution_rolledup!O3+'ENT Table'!K10*distribution_rolledup!O4+'FLD Table'!K10*distribution_rolledup!O5+'FRN Table'!O10*distribution_rolledup!O6+'KMX Table'!O10*distribution_rolledup!O7+'STG Table'!O10*distribution_rolledup!O8</f>
        <v>1.539019202862824</v>
      </c>
      <c r="P7" s="111">
        <f>'AN Table'!P10*distribution_rolledup!P3+'ENT Table'!L10*distribution_rolledup!P4+'FLD Table'!L10*distribution_rolledup!P5+'FRN Table'!P10*distribution_rolledup!P6+'KMX Table'!P10*distribution_rolledup!P7+'STG Table'!P10*distribution_rolledup!P8</f>
        <v>1.5841948111560216</v>
      </c>
      <c r="Q7" s="111">
        <f>'AN Table'!Q10*distribution_rolledup!Q3+'ENT Table'!M10*distribution_rolledup!Q4+'FLD Table'!M10*distribution_rolledup!Q5+'FRN Table'!Q10*distribution_rolledup!Q6+'KMX Table'!Q10*distribution_rolledup!Q7+'STG Table'!Q10*distribution_rolledup!Q8</f>
        <v>1.6438507938834992</v>
      </c>
      <c r="R7" s="111">
        <f>'AN Table'!R10*distribution_rolledup!R3+'ENT Table'!N10*distribution_rolledup!R4+'FLD Table'!N10*distribution_rolledup!R5+'FRN Table'!R10*distribution_rolledup!R6+'KMX Table'!R10*distribution_rolledup!R7+'STG Table'!R10*distribution_rolledup!R8</f>
        <v>1.6714124479890586</v>
      </c>
      <c r="S7" s="111">
        <f>'AN Table'!S10*distribution_rolledup!S3+'ENT Table'!O10*distribution_rolledup!S4+'FLD Table'!O10*distribution_rolledup!S5+'FRN Table'!S10*distribution_rolledup!S6+'KMX Table'!S10*distribution_rolledup!S7+'STG Table'!S10*distribution_rolledup!S8</f>
        <v>1.5860303202849626</v>
      </c>
      <c r="T7" s="111">
        <f>'AN Table'!T10*distribution_rolledup!T3+'ENT Table'!P10*distribution_rolledup!T4+'FLD Table'!P10*distribution_rolledup!T5+'FRN Table'!T10*distribution_rolledup!T6+'KMX Table'!T10*distribution_rolledup!T7+'STG Table'!T10*distribution_rolledup!T8</f>
        <v>1.6717317669412095</v>
      </c>
      <c r="U7" s="111">
        <f>'AN Table'!U10*distribution_rolledup!U3+'ENT Table'!Q10*distribution_rolledup!U4+'FLD Table'!Q10*distribution_rolledup!U5+'FRN Table'!U10*distribution_rolledup!U6+'KMX Table'!U10*distribution_rolledup!U7+'STG Table'!U10*distribution_rolledup!U8</f>
        <v>1.6826668232415016</v>
      </c>
      <c r="V7" s="111">
        <f>'AN Table'!V10*distribution_rolledup!V3+'ENT Table'!R10*distribution_rolledup!V4+'FLD Table'!R10*distribution_rolledup!V5+'FRN Table'!V10*distribution_rolledup!V6+'KMX Table'!V10*distribution_rolledup!V7+'STG Table'!V10*distribution_rolledup!V8</f>
        <v>1.6690875957102977</v>
      </c>
      <c r="W7" s="111">
        <f>'AN Table'!W10*distribution_rolledup!W3+'ENT Table'!S10*distribution_rolledup!W4+'FLD Table'!S10*distribution_rolledup!W5+'FRN Table'!W10*distribution_rolledup!W6+'KMX Table'!W10*distribution_rolledup!W7+'STG Table'!W10*distribution_rolledup!W8</f>
        <v>1.5328042057273352</v>
      </c>
      <c r="X7" s="111">
        <f>'AN Table'!X10*distribution_rolledup!X3+'ENT Table'!T10*distribution_rolledup!X4+'FLD Table'!T10*distribution_rolledup!X5+'FRN Table'!X10*distribution_rolledup!X6+'KMX Table'!X10*distribution_rolledup!X7+'STG Table'!X10*distribution_rolledup!X8</f>
        <v>1.5560120730107976</v>
      </c>
      <c r="Y7" s="111">
        <f>'AN Table'!Y10*distribution_rolledup!Y3+'ENT Table'!U10*distribution_rolledup!Y4+'FLD Table'!U10*distribution_rolledup!Y5+'FRN Table'!Y10*distribution_rolledup!Y6+'KMX Table'!Y10*distribution_rolledup!Y7+'STG Table'!Y10*distribution_rolledup!Y8</f>
        <v>1.5519840070974755</v>
      </c>
      <c r="Z7" s="111"/>
    </row>
    <row r="8" spans="1:26" x14ac:dyDescent="0.35">
      <c r="B8" s="110"/>
      <c r="C8" s="110"/>
      <c r="D8" s="110"/>
      <c r="E8" s="110"/>
    </row>
    <row r="9" spans="1:26" x14ac:dyDescent="0.35">
      <c r="B9" s="110"/>
      <c r="C9" s="110"/>
      <c r="D9" s="110"/>
      <c r="E9" s="110"/>
    </row>
    <row r="10" spans="1:26" x14ac:dyDescent="0.35">
      <c r="A10" t="s">
        <v>226</v>
      </c>
      <c r="B10" s="110"/>
      <c r="C10" s="110"/>
      <c r="D10" s="110"/>
      <c r="E10" s="110">
        <f>('AN Table'!E14*distribution_rolledup!E3+distribution_rolledup!E6*'FRN Table'!E14+distribution_rolledup!E8*'STG Table'!E14)/SUM(distribution_rolledup!E3,distribution_rolledup!E6,distribution_rolledup!E8)</f>
        <v>132.26711788350508</v>
      </c>
      <c r="F10" s="112">
        <f>(distribution_rolledup!F3*'AN Table'!F14+distribution_rolledup!F4*'ENT Table'!B14+distribution_rolledup!F5*'FLD Table'!B14+distribution_rolledup!F6*'FRN Table'!F14+distribution_rolledup!F8*'STG Table'!F14)/SUM(distribution_rolledup!F3:F6,distribution_rolledup!F8)</f>
        <v>133.98674869015261</v>
      </c>
      <c r="G10" s="112">
        <f>(distribution_rolledup!G3*'AN Table'!G14+distribution_rolledup!G4*'ENT Table'!C14+distribution_rolledup!G5*'FLD Table'!C14+distribution_rolledup!G6*'FRN Table'!G14+distribution_rolledup!G8*'STG Table'!G14)/SUM(distribution_rolledup!G3:G6,distribution_rolledup!G8)</f>
        <v>137.64433515640596</v>
      </c>
      <c r="H10" s="112">
        <f>(distribution_rolledup!H3*'AN Table'!H14+distribution_rolledup!H4*'ENT Table'!D14+distribution_rolledup!H5*'FLD Table'!D14+distribution_rolledup!H6*'FRN Table'!H14+distribution_rolledup!H8*'STG Table'!H14)/SUM(distribution_rolledup!H3:H6,distribution_rolledup!H8)</f>
        <v>138.25168277261869</v>
      </c>
      <c r="I10" s="112">
        <f>(distribution_rolledup!I3*'AN Table'!I14+distribution_rolledup!I4*'ENT Table'!E14+distribution_rolledup!I5*'FLD Table'!E14+distribution_rolledup!I6*'FRN Table'!I14+distribution_rolledup!I8*'STG Table'!I14)/SUM(distribution_rolledup!I3:I6,distribution_rolledup!I8)</f>
        <v>137.77285487250279</v>
      </c>
      <c r="J10" s="112">
        <f>(distribution_rolledup!J3*'AN Table'!J14+distribution_rolledup!J4*'ENT Table'!F14+distribution_rolledup!J5*'FLD Table'!F14+distribution_rolledup!J6*'FRN Table'!J14+distribution_rolledup!J8*'STG Table'!J14)/SUM(distribution_rolledup!J3:J6,distribution_rolledup!J8)</f>
        <v>137.98613768471728</v>
      </c>
      <c r="K10" s="112">
        <f>(distribution_rolledup!K3*'AN Table'!K14+distribution_rolledup!K4*'ENT Table'!G14+distribution_rolledup!K5*'FLD Table'!G14+distribution_rolledup!K6*'FRN Table'!K14+distribution_rolledup!K8*'STG Table'!K14)/SUM(distribution_rolledup!K3:K6,distribution_rolledup!K8)</f>
        <v>136.1892822937663</v>
      </c>
      <c r="L10" s="112">
        <f>(distribution_rolledup!L3*'AN Table'!L14+distribution_rolledup!L4*'ENT Table'!H14+distribution_rolledup!L5*'FLD Table'!H14+distribution_rolledup!L6*'FRN Table'!L14+distribution_rolledup!L8*'STG Table'!L14)/SUM(distribution_rolledup!L3:L6,distribution_rolledup!L8)</f>
        <v>134.39692278885295</v>
      </c>
      <c r="M10" s="112">
        <f>(distribution_rolledup!M3*'AN Table'!M14+distribution_rolledup!M4*'ENT Table'!I14+distribution_rolledup!M5*'FLD Table'!I14+distribution_rolledup!M6*'FRN Table'!M14+distribution_rolledup!M8*'STG Table'!M14)/SUM(distribution_rolledup!M3:M6,distribution_rolledup!M8)</f>
        <v>129.61982301688101</v>
      </c>
      <c r="N10" s="112">
        <f>(distribution_rolledup!N3*'AN Table'!N14+distribution_rolledup!N4*'ENT Table'!J14+distribution_rolledup!N5*'FLD Table'!J14+distribution_rolledup!N6*'FRN Table'!N14+distribution_rolledup!N8*'STG Table'!N14)/SUM(distribution_rolledup!N3:N6,distribution_rolledup!N8)</f>
        <v>129.77136547968183</v>
      </c>
      <c r="O10" s="112">
        <f>(distribution_rolledup!O3*'AN Table'!O14+distribution_rolledup!O4*'ENT Table'!K14+distribution_rolledup!O5*'FLD Table'!K14+distribution_rolledup!O6*'FRN Table'!O14+distribution_rolledup!O8*'STG Table'!O14)/SUM(distribution_rolledup!O3:O6,distribution_rolledup!O8)</f>
        <v>132.13365867012152</v>
      </c>
      <c r="P10" s="112">
        <f>(distribution_rolledup!P3*'AN Table'!P14+distribution_rolledup!P4*'ENT Table'!L14+distribution_rolledup!P5*'FLD Table'!L14+distribution_rolledup!P6*'FRN Table'!P14+distribution_rolledup!P8*'STG Table'!P14)/SUM(distribution_rolledup!P3:P6,distribution_rolledup!P8)</f>
        <v>133.1312357210733</v>
      </c>
      <c r="Q10" s="112">
        <f>(distribution_rolledup!Q3*'AN Table'!Q14+distribution_rolledup!Q4*'ENT Table'!M14+distribution_rolledup!Q5*'FLD Table'!M14+distribution_rolledup!Q6*'FRN Table'!Q14+distribution_rolledup!Q8*'STG Table'!Q14)/SUM(distribution_rolledup!Q3:Q6,distribution_rolledup!Q8)</f>
        <v>132.11021363522198</v>
      </c>
      <c r="R10" s="112">
        <f>(distribution_rolledup!R3*'AN Table'!R14+distribution_rolledup!R4*'ENT Table'!N14+distribution_rolledup!R5*'FLD Table'!N14+distribution_rolledup!R6*'FRN Table'!R14+distribution_rolledup!R8*'STG Table'!R14)/SUM(distribution_rolledup!R3:R6,distribution_rolledup!R8)</f>
        <v>130.75010285064337</v>
      </c>
      <c r="S10" s="112">
        <f>(distribution_rolledup!S3*'AN Table'!S14+distribution_rolledup!S4*'ENT Table'!O14+distribution_rolledup!S5*'FLD Table'!O14+distribution_rolledup!S6*'FRN Table'!S14+distribution_rolledup!S8*'STG Table'!S14)/SUM(distribution_rolledup!S3:S6,distribution_rolledup!S8)</f>
        <v>133.03381451831615</v>
      </c>
      <c r="T10" s="112">
        <f>(distribution_rolledup!T3*'AN Table'!T14+distribution_rolledup!T4*'ENT Table'!P14+distribution_rolledup!T5*'FLD Table'!P14+distribution_rolledup!T6*'FRN Table'!T14+distribution_rolledup!T8*'STG Table'!T14)/SUM(distribution_rolledup!T3:T6,distribution_rolledup!T8)</f>
        <v>136.02868480781927</v>
      </c>
      <c r="U10" s="112">
        <f>(distribution_rolledup!U3*'AN Table'!U14+distribution_rolledup!U4*'ENT Table'!Q14+distribution_rolledup!U5*'FLD Table'!Q14+distribution_rolledup!U6*'FRN Table'!U14+distribution_rolledup!U8*'STG Table'!U14)/SUM(distribution_rolledup!U3:U6,distribution_rolledup!U8)</f>
        <v>138.20488579367461</v>
      </c>
      <c r="V10" s="112">
        <f>(distribution_rolledup!V3*'AN Table'!V14+distribution_rolledup!V4*'ENT Table'!R14+distribution_rolledup!V5*'FLD Table'!R14+distribution_rolledup!V6*'FRN Table'!V14+distribution_rolledup!V8*'STG Table'!V14)/SUM(distribution_rolledup!V3:V6,distribution_rolledup!V8)</f>
        <v>137.47726582571306</v>
      </c>
      <c r="W10" s="112">
        <f>(distribution_rolledup!W3*'AN Table'!W14+distribution_rolledup!W4*'ENT Table'!S14+distribution_rolledup!W5*'FLD Table'!S14+distribution_rolledup!W6*'FRN Table'!W14+distribution_rolledup!W8*'STG Table'!W14)/SUM(distribution_rolledup!W3:W6,distribution_rolledup!W8)</f>
        <v>140.56330232733919</v>
      </c>
      <c r="X10" s="112">
        <f>(distribution_rolledup!X3*'AN Table'!X14+distribution_rolledup!X4*'ENT Table'!T14+distribution_rolledup!X5*'FLD Table'!T14+distribution_rolledup!X6*'FRN Table'!X14+distribution_rolledup!X8*'STG Table'!X14)/SUM(distribution_rolledup!X3:X6,distribution_rolledup!X8)</f>
        <v>142.37959968758182</v>
      </c>
      <c r="Y10" s="112">
        <f>(distribution_rolledup!Y3*'AN Table'!Y14+distribution_rolledup!Y4*'ENT Table'!U14+distribution_rolledup!Y5*'FLD Table'!U14+distribution_rolledup!Y6*'FRN Table'!Y14+distribution_rolledup!Y8*'STG Table'!Y14)/SUM(distribution_rolledup!Y3:Y6,distribution_rolledup!Y8)</f>
        <v>142.20207554237899</v>
      </c>
      <c r="Z10" s="112"/>
    </row>
    <row r="11" spans="1:26" x14ac:dyDescent="0.35">
      <c r="A11" t="s">
        <v>227</v>
      </c>
      <c r="B11" s="110"/>
      <c r="C11" s="110"/>
      <c r="D11" s="110"/>
      <c r="E11" s="113">
        <f>(distribution_rolledup!E3*'AN Table'!E15+distribution_rolledup!E6*'FRN Table'!E15+distribution_rolledup!E8*'STG Table'!E15)/SUM(distribution_rolledup!E3,distribution_rolledup!E6,distribution_rolledup!E8)</f>
        <v>0.23571045868008902</v>
      </c>
      <c r="F11" s="113">
        <f>(distribution_rolledup!F3*'AN Table'!F15+distribution_rolledup!F4*'ENT Table'!B15+distribution_rolledup!F5*'FLD Table'!B15+distribution_rolledup!F6*'FRN Table'!F15+distribution_rolledup!F8*'STG Table'!F15)/SUM(distribution_rolledup!F3:F6,distribution_rolledup!F8)</f>
        <v>0.18977271140468277</v>
      </c>
      <c r="G11" s="113">
        <f>(distribution_rolledup!G3*'AN Table'!G15+distribution_rolledup!G4*'ENT Table'!C15+distribution_rolledup!G5*'FLD Table'!C15+distribution_rolledup!G6*'FRN Table'!G15+distribution_rolledup!G8*'STG Table'!G15)/SUM(distribution_rolledup!G3:G6,distribution_rolledup!G8)</f>
        <v>0.18499408331627906</v>
      </c>
      <c r="H11" s="113">
        <f>(distribution_rolledup!H3*'AN Table'!H15+distribution_rolledup!H4*'ENT Table'!D15+distribution_rolledup!H5*'FLD Table'!D15+distribution_rolledup!H6*'FRN Table'!H15+distribution_rolledup!H8*'STG Table'!H15)/SUM(distribution_rolledup!H3:H6,distribution_rolledup!H8)</f>
        <v>0.19153106937334544</v>
      </c>
      <c r="I11" s="113">
        <f>(distribution_rolledup!I3*'AN Table'!I15+distribution_rolledup!I4*'ENT Table'!E15+distribution_rolledup!I5*'FLD Table'!E15+distribution_rolledup!I6*'FRN Table'!I15+distribution_rolledup!I8*'STG Table'!I15)/SUM(distribution_rolledup!I3:I6,distribution_rolledup!I8)</f>
        <v>0.20021223241772934</v>
      </c>
      <c r="J11" s="113">
        <f>(distribution_rolledup!J3*'AN Table'!J15+distribution_rolledup!J4*'ENT Table'!F15+distribution_rolledup!J5*'FLD Table'!F15+distribution_rolledup!J6*'FRN Table'!J15+distribution_rolledup!J8*'STG Table'!J15)/SUM(distribution_rolledup!J3:J6,distribution_rolledup!J8)</f>
        <v>0.19683083393287384</v>
      </c>
      <c r="K11" s="113">
        <f>(distribution_rolledup!K3*'AN Table'!K15+distribution_rolledup!K4*'ENT Table'!G15+distribution_rolledup!K5*'FLD Table'!G15+distribution_rolledup!K6*'FRN Table'!K15+distribution_rolledup!K8*'STG Table'!K15)/SUM(distribution_rolledup!K3:K6,distribution_rolledup!K8)</f>
        <v>0.24624142789278131</v>
      </c>
      <c r="L11" s="113">
        <f>(distribution_rolledup!L3*'AN Table'!L15+distribution_rolledup!L4*'ENT Table'!H15+distribution_rolledup!L5*'FLD Table'!H15+distribution_rolledup!L6*'FRN Table'!L15+distribution_rolledup!L8*'STG Table'!L15)/SUM(distribution_rolledup!L3:L6,distribution_rolledup!L8)</f>
        <v>0.28240025907167443</v>
      </c>
      <c r="M11" s="113">
        <f>(distribution_rolledup!M3*'AN Table'!M15+distribution_rolledup!M4*'ENT Table'!I15+distribution_rolledup!M5*'FLD Table'!I15+distribution_rolledup!M6*'FRN Table'!M15+distribution_rolledup!M8*'STG Table'!M15)/SUM(distribution_rolledup!M3:M6,distribution_rolledup!M8)</f>
        <v>0.3270185998765785</v>
      </c>
      <c r="N11" s="113">
        <f>(distribution_rolledup!N3*'AN Table'!N15+distribution_rolledup!N4*'ENT Table'!J15+distribution_rolledup!N5*'FLD Table'!J15+distribution_rolledup!N6*'FRN Table'!N15+distribution_rolledup!N8*'STG Table'!N15)/SUM(distribution_rolledup!N3:N6,distribution_rolledup!N8)</f>
        <v>0.35258066986085573</v>
      </c>
      <c r="O11" s="113">
        <f>(distribution_rolledup!O3*'AN Table'!O15+distribution_rolledup!O4*'ENT Table'!K15+distribution_rolledup!O5*'FLD Table'!K15+distribution_rolledup!O6*'FRN Table'!O15+distribution_rolledup!O8*'STG Table'!O15)/SUM(distribution_rolledup!O3:O6,distribution_rolledup!O8)</f>
        <v>0.33676705641259286</v>
      </c>
      <c r="P11" s="113">
        <f>(distribution_rolledup!P3*'AN Table'!P15+distribution_rolledup!P4*'ENT Table'!L15+distribution_rolledup!P5*'FLD Table'!L15+distribution_rolledup!P6*'FRN Table'!P15+distribution_rolledup!P8*'STG Table'!P15)/SUM(distribution_rolledup!P3:P6,distribution_rolledup!P8)</f>
        <v>0.3295186124566753</v>
      </c>
      <c r="Q11" s="113">
        <f>(distribution_rolledup!Q3*'AN Table'!Q15+distribution_rolledup!Q4*'ENT Table'!M15+distribution_rolledup!Q5*'FLD Table'!M15+distribution_rolledup!Q6*'FRN Table'!Q15+distribution_rolledup!Q8*'STG Table'!Q15)/SUM(distribution_rolledup!Q3:Q6,distribution_rolledup!Q8)</f>
        <v>0.31481104142598759</v>
      </c>
      <c r="R11" s="113">
        <f>(distribution_rolledup!R3*'AN Table'!R15+distribution_rolledup!R4*'ENT Table'!N15+distribution_rolledup!R5*'FLD Table'!N15+distribution_rolledup!R6*'FRN Table'!R15+distribution_rolledup!R8*'STG Table'!R15)/SUM(distribution_rolledup!R3:R6,distribution_rolledup!R8)</f>
        <v>0.29997454804590051</v>
      </c>
      <c r="S11" s="113">
        <f>(distribution_rolledup!S3*'AN Table'!S15+distribution_rolledup!S4*'ENT Table'!O15+distribution_rolledup!S5*'FLD Table'!O15+distribution_rolledup!S6*'FRN Table'!S15+distribution_rolledup!S8*'STG Table'!S15)/SUM(distribution_rolledup!S3:S6,distribution_rolledup!S8)</f>
        <v>0</v>
      </c>
      <c r="T11" s="113">
        <f>(distribution_rolledup!T3*'AN Table'!T15+distribution_rolledup!T4*'ENT Table'!P15+distribution_rolledup!T5*'FLD Table'!P15+distribution_rolledup!T6*'FRN Table'!T15+distribution_rolledup!T8*'STG Table'!T15)/SUM(distribution_rolledup!T3:T6,distribution_rolledup!T8)</f>
        <v>0</v>
      </c>
      <c r="U11" s="113">
        <f>(distribution_rolledup!U3*'AN Table'!U15+distribution_rolledup!U4*'ENT Table'!Q15+distribution_rolledup!U5*'FLD Table'!Q15+distribution_rolledup!U6*'FRN Table'!U15+distribution_rolledup!U8*'STG Table'!U15)/SUM(distribution_rolledup!U3:U6,distribution_rolledup!U8)</f>
        <v>0</v>
      </c>
      <c r="V11" s="113">
        <f>(distribution_rolledup!V3*'AN Table'!V15+distribution_rolledup!V4*'ENT Table'!R15+distribution_rolledup!V5*'FLD Table'!R15+distribution_rolledup!V6*'FRN Table'!V15+distribution_rolledup!V8*'STG Table'!V15)/SUM(distribution_rolledup!V3:V6,distribution_rolledup!V8)</f>
        <v>0</v>
      </c>
      <c r="W11" s="113">
        <f>(distribution_rolledup!W3*'AN Table'!W15+distribution_rolledup!W4*'ENT Table'!S15+distribution_rolledup!W5*'FLD Table'!S15+distribution_rolledup!W6*'FRN Table'!W15+distribution_rolledup!W8*'STG Table'!W15)/SUM(distribution_rolledup!W3:W6,distribution_rolledup!W8)</f>
        <v>0</v>
      </c>
      <c r="X11" s="113">
        <f>(distribution_rolledup!X3*'AN Table'!X15+distribution_rolledup!X4*'ENT Table'!T15+distribution_rolledup!X5*'FLD Table'!T15+distribution_rolledup!X6*'FRN Table'!X15+distribution_rolledup!X8*'STG Table'!X15)/SUM(distribution_rolledup!X3:X6,distribution_rolledup!X8)</f>
        <v>0</v>
      </c>
      <c r="Y11" s="113">
        <f>(distribution_rolledup!Y3*'AN Table'!Y15+distribution_rolledup!Y4*'ENT Table'!U15+distribution_rolledup!Y5*'FLD Table'!U15+distribution_rolledup!Y6*'FRN Table'!Y15+distribution_rolledup!Y8*'STG Table'!Y15)/SUM(distribution_rolledup!Y3:Y6,distribution_rolledup!Y8)</f>
        <v>0</v>
      </c>
      <c r="Z11" s="113"/>
    </row>
    <row r="12" spans="1:26" x14ac:dyDescent="0.35">
      <c r="B12" s="110"/>
      <c r="C12" s="110"/>
      <c r="D12" s="110"/>
      <c r="E12" s="110"/>
    </row>
    <row r="13" spans="1:26" x14ac:dyDescent="0.35">
      <c r="B13" s="110"/>
      <c r="C13" s="110"/>
      <c r="D13" s="110"/>
      <c r="E13" s="110"/>
    </row>
    <row r="14" spans="1:26" x14ac:dyDescent="0.35">
      <c r="B14" s="110"/>
      <c r="C14" s="110"/>
      <c r="D14" s="110"/>
      <c r="E14" s="110"/>
    </row>
    <row r="15" spans="1:26" x14ac:dyDescent="0.35">
      <c r="B15" s="110"/>
      <c r="C15" s="110"/>
      <c r="D15" s="110"/>
      <c r="E15" s="110"/>
    </row>
    <row r="16" spans="1:26" x14ac:dyDescent="0.35">
      <c r="B16" s="110"/>
      <c r="C16" s="110"/>
      <c r="D16" s="110"/>
      <c r="E16" s="110"/>
    </row>
    <row r="17" spans="2:5" x14ac:dyDescent="0.35">
      <c r="B17" s="110"/>
      <c r="C17" s="110"/>
      <c r="D17" s="110"/>
      <c r="E17" s="110"/>
    </row>
    <row r="18" spans="2:5" x14ac:dyDescent="0.35">
      <c r="B18" s="110"/>
      <c r="C18" s="110"/>
      <c r="D18" s="110"/>
      <c r="E18" s="110"/>
    </row>
    <row r="19" spans="2:5" x14ac:dyDescent="0.35">
      <c r="B19" s="110"/>
      <c r="C19" s="110"/>
      <c r="D19" s="110"/>
      <c r="E19" s="110"/>
    </row>
    <row r="20" spans="2:5" x14ac:dyDescent="0.35">
      <c r="B20" s="110"/>
      <c r="C20" s="110"/>
      <c r="D20" s="110"/>
      <c r="E20" s="110"/>
    </row>
    <row r="21" spans="2:5" x14ac:dyDescent="0.35">
      <c r="B21" s="110"/>
      <c r="C21" s="110"/>
      <c r="D21" s="110"/>
      <c r="E21" s="110"/>
    </row>
    <row r="22" spans="2:5" x14ac:dyDescent="0.35">
      <c r="B22" s="110"/>
      <c r="C22" s="110"/>
      <c r="D22" s="110"/>
      <c r="E22" s="1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42"/>
  <sheetViews>
    <sheetView topLeftCell="M1" zoomScale="160" zoomScaleNormal="160" workbookViewId="0">
      <selection activeCell="AD4" sqref="AD4"/>
    </sheetView>
  </sheetViews>
  <sheetFormatPr defaultColWidth="9.1796875" defaultRowHeight="15" customHeight="1" x14ac:dyDescent="0.25"/>
  <cols>
    <col min="1" max="1" width="25" style="41" customWidth="1"/>
    <col min="2" max="31" width="5.26953125" style="41" customWidth="1"/>
    <col min="32" max="82" width="9.1796875" style="41" customWidth="1"/>
    <col min="83" max="16384" width="9.1796875" style="41"/>
  </cols>
  <sheetData>
    <row r="1" spans="1:36" ht="30" customHeight="1" x14ac:dyDescent="0.35">
      <c r="A1" s="35" t="s">
        <v>0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 t="s">
        <v>21</v>
      </c>
      <c r="AA1" s="28" t="s">
        <v>22</v>
      </c>
      <c r="AB1" s="28" t="s">
        <v>23</v>
      </c>
      <c r="AC1" s="28" t="s">
        <v>24</v>
      </c>
      <c r="AD1" s="28" t="s">
        <v>228</v>
      </c>
      <c r="AE1" s="56" t="s">
        <v>229</v>
      </c>
      <c r="AG1" s="28" t="s">
        <v>230</v>
      </c>
      <c r="AH1" s="79" t="s">
        <v>231</v>
      </c>
      <c r="AI1" s="132" t="s">
        <v>232</v>
      </c>
      <c r="AJ1" s="133"/>
    </row>
    <row r="2" spans="1:36" ht="15" customHeight="1" thickBot="1" x14ac:dyDescent="0.4">
      <c r="A2" s="38" t="s">
        <v>233</v>
      </c>
      <c r="B2" s="12">
        <f>'Data Tables (Q)'!B2</f>
        <v>130.07704220599081</v>
      </c>
      <c r="C2" s="12">
        <f>'Data Tables (Q)'!C2</f>
        <v>132.82918038518611</v>
      </c>
      <c r="D2" s="12">
        <f>'Data Tables (Q)'!D2</f>
        <v>132.9930378740759</v>
      </c>
      <c r="E2" s="12">
        <f>'Data Tables (Q)'!E2</f>
        <v>132.10910841871589</v>
      </c>
      <c r="F2" s="12">
        <f>'Data Tables (Q)'!F2</f>
        <v>131.79763521841929</v>
      </c>
      <c r="G2" s="12">
        <f>'Data Tables (Q)'!G2</f>
        <v>133.71059314411579</v>
      </c>
      <c r="H2" s="12">
        <f>'Data Tables (Q)'!H2</f>
        <v>135.28557431522441</v>
      </c>
      <c r="I2" s="12">
        <f>'Data Tables (Q)'!I2</f>
        <v>135.79608377329961</v>
      </c>
      <c r="J2" s="12">
        <f>'Data Tables (Q)'!J2</f>
        <v>134.60178841838771</v>
      </c>
      <c r="K2" s="12">
        <f>'Data Tables (Q)'!K2</f>
        <v>135.14257269364111</v>
      </c>
      <c r="L2" s="12">
        <f>'Data Tables (Q)'!L2</f>
        <v>135.3626526730819</v>
      </c>
      <c r="M2" s="12">
        <f>'Data Tables (Q)'!M2</f>
        <v>134.41537942859119</v>
      </c>
      <c r="N2" s="12">
        <f>'Data Tables (Q)'!N2</f>
        <v>134.06859534274369</v>
      </c>
      <c r="O2" s="12">
        <f>'Data Tables (Q)'!O2</f>
        <v>135.89246002160661</v>
      </c>
      <c r="P2" s="12">
        <f>'Data Tables (Q)'!P2</f>
        <v>136.14780523104511</v>
      </c>
      <c r="Q2" s="12">
        <f>'Data Tables (Q)'!Q2</f>
        <v>136.75155352499851</v>
      </c>
      <c r="R2" s="12">
        <f>'Data Tables (Q)'!R2</f>
        <v>136.66304693064629</v>
      </c>
      <c r="S2" s="12">
        <f>'Data Tables (Q)'!S2</f>
        <v>136.90906982764889</v>
      </c>
      <c r="T2" s="12">
        <f>'Data Tables (Q)'!T2</f>
        <v>136.43849356660581</v>
      </c>
      <c r="U2" s="12">
        <f>'Data Tables (Q)'!U2</f>
        <v>137.02135091300229</v>
      </c>
      <c r="V2" s="12">
        <f>'Data Tables (Q)'!V2</f>
        <v>136.3721183056237</v>
      </c>
      <c r="W2" s="12">
        <f>'Data Tables (Q)'!W2</f>
        <v>137.12198326493359</v>
      </c>
      <c r="X2" s="12">
        <f>'Data Tables (Q)'!X2</f>
        <v>138.09052083542991</v>
      </c>
      <c r="Y2" s="12">
        <f>'Data Tables (Q)'!Y2</f>
        <v>136.8013556580203</v>
      </c>
      <c r="Z2" s="12">
        <f>'Data Tables (Q)'!Z2</f>
        <v>136.83702494495719</v>
      </c>
      <c r="AA2" s="12">
        <f>'Data Tables (Q)'!AA2</f>
        <v>138.0338190269168</v>
      </c>
      <c r="AB2" s="12">
        <f>'Data Tables (Q)'!AB2</f>
        <v>138.55808093396249</v>
      </c>
      <c r="AC2" s="12">
        <f>'Data Tables (Q)'!AC2</f>
        <v>139.3761012547063</v>
      </c>
      <c r="AD2" s="12">
        <f>'Data Tables (Q)'!AD2</f>
        <v>140.4603827930018</v>
      </c>
      <c r="AE2" s="12">
        <f>'Data Tables (M)'!BS2*AH2+AG2*(1-AH2)</f>
        <v>138.34760621283601</v>
      </c>
      <c r="AG2" s="61">
        <f>'t-1 Data Table'!N2</f>
        <v>139.6</v>
      </c>
      <c r="AH2" s="75">
        <v>1</v>
      </c>
      <c r="AI2" s="134">
        <v>0</v>
      </c>
      <c r="AJ2" s="135"/>
    </row>
    <row r="3" spans="1:36" ht="15" customHeight="1" x14ac:dyDescent="0.25">
      <c r="A3" s="43" t="s">
        <v>234</v>
      </c>
      <c r="B3" s="13">
        <f>'Data Tables (Q)'!B3*AI2</f>
        <v>0</v>
      </c>
      <c r="C3" s="13">
        <f>'Data Tables (Q)'!C3*AJ2</f>
        <v>0</v>
      </c>
      <c r="D3" s="13">
        <f>'Data Tables (Q)'!D3*AK2</f>
        <v>0</v>
      </c>
      <c r="E3" s="13">
        <f>'Data Tables (Q)'!E3*AL2</f>
        <v>0</v>
      </c>
      <c r="F3" s="13">
        <f>'Data Tables (Q)'!F3*AM2</f>
        <v>0</v>
      </c>
      <c r="G3" s="13">
        <f>'Data Tables (Q)'!G3*AN2</f>
        <v>0</v>
      </c>
      <c r="H3" s="13">
        <f>'Data Tables (Q)'!H3*AO2</f>
        <v>0</v>
      </c>
      <c r="I3" s="13">
        <f>'Data Tables (Q)'!I3*AP2</f>
        <v>0</v>
      </c>
      <c r="J3" s="13">
        <f>'Data Tables (Q)'!J3*AQ2</f>
        <v>0</v>
      </c>
      <c r="K3" s="13">
        <f>'Data Tables (Q)'!K3*AR2</f>
        <v>0</v>
      </c>
      <c r="L3" s="13">
        <f>'Data Tables (Q)'!L3*AS2</f>
        <v>0</v>
      </c>
      <c r="M3" s="13">
        <f>'Data Tables (Q)'!M3*AT2</f>
        <v>0</v>
      </c>
      <c r="N3" s="13">
        <f>'Data Tables (Q)'!N3*AU2</f>
        <v>0</v>
      </c>
      <c r="O3" s="13">
        <f>'Data Tables (Q)'!O3*AV2</f>
        <v>0</v>
      </c>
      <c r="P3" s="13">
        <f>'Data Tables (Q)'!P3*AW2</f>
        <v>0</v>
      </c>
      <c r="Q3" s="13">
        <f>'Data Tables (Q)'!Q3*AX2</f>
        <v>0</v>
      </c>
      <c r="R3" s="13">
        <f>'Data Tables (Q)'!R3*AY2</f>
        <v>0</v>
      </c>
      <c r="S3" s="13">
        <f>'Data Tables (Q)'!S3*AZ2</f>
        <v>0</v>
      </c>
      <c r="T3" s="13">
        <f>'Data Tables (Q)'!T3*BA2</f>
        <v>0</v>
      </c>
      <c r="U3" s="13">
        <f>'Data Tables (Q)'!U3*BB2</f>
        <v>0</v>
      </c>
      <c r="V3" s="13">
        <f>'Data Tables (Q)'!V3*BC2</f>
        <v>0</v>
      </c>
      <c r="W3" s="13">
        <f>'Data Tables (Q)'!W3*BD2</f>
        <v>0</v>
      </c>
      <c r="X3" s="13">
        <f>'Data Tables (Q)'!X3*BE2</f>
        <v>0</v>
      </c>
      <c r="Y3" s="13">
        <f>'Data Tables (Q)'!Y3*BF2</f>
        <v>0</v>
      </c>
      <c r="Z3" s="13">
        <f>'Data Tables (Q)'!Z3*BG2</f>
        <v>0</v>
      </c>
      <c r="AA3" s="13">
        <f>'Data Tables (Q)'!AA3*BH2</f>
        <v>0</v>
      </c>
      <c r="AB3" s="13">
        <f>'Data Tables (Q)'!AB3*BI2</f>
        <v>0</v>
      </c>
      <c r="AC3" s="13">
        <f>'Data Tables (Q)'!AC3*BJ2</f>
        <v>0</v>
      </c>
      <c r="AD3" s="13">
        <f>'Data Tables (Q)'!AD3*BK2</f>
        <v>0</v>
      </c>
      <c r="AE3" s="13">
        <f>('Data Tables (M)'!BC3*AH3+AG3*(1-AH3))*$AI$2</f>
        <v>0</v>
      </c>
      <c r="AG3" s="44">
        <v>0</v>
      </c>
      <c r="AH3" s="17">
        <v>1</v>
      </c>
    </row>
    <row r="4" spans="1:36" ht="30" customHeight="1" x14ac:dyDescent="0.25">
      <c r="A4" s="36" t="s">
        <v>235</v>
      </c>
      <c r="B4" s="13">
        <f>'Data Tables (Q)'!B4</f>
        <v>0.36824634051760091</v>
      </c>
      <c r="C4" s="13">
        <f>'Data Tables (Q)'!C4</f>
        <v>0.64268495618270549</v>
      </c>
      <c r="D4" s="13">
        <f>'Data Tables (Q)'!D4</f>
        <v>0.73760946361761626</v>
      </c>
      <c r="E4" s="13">
        <f>'Data Tables (Q)'!E4</f>
        <v>0.54113332596543273</v>
      </c>
      <c r="F4" s="13">
        <f>'Data Tables (Q)'!F4</f>
        <v>0.6474952081913159</v>
      </c>
      <c r="G4" s="13">
        <f>'Data Tables (Q)'!G4</f>
        <v>0.51566418791500723</v>
      </c>
      <c r="H4" s="13">
        <f>'Data Tables (Q)'!H4</f>
        <v>-0.19174308027896811</v>
      </c>
      <c r="I4" s="13">
        <f>'Data Tables (Q)'!I4</f>
        <v>0.25673369733982548</v>
      </c>
      <c r="J4" s="13">
        <f>'Data Tables (Q)'!J4</f>
        <v>0.53917167314074277</v>
      </c>
      <c r="K4" s="13">
        <f>'Data Tables (Q)'!K4</f>
        <v>0.53578838444838084</v>
      </c>
      <c r="L4" s="13">
        <f>'Data Tables (Q)'!L4</f>
        <v>0.54503838325814513</v>
      </c>
      <c r="M4" s="13">
        <f>'Data Tables (Q)'!M4</f>
        <v>0.45373656123365441</v>
      </c>
      <c r="N4" s="13">
        <f>'Data Tables (Q)'!N4</f>
        <v>0.86176791278947462</v>
      </c>
      <c r="O4" s="13">
        <f>'Data Tables (Q)'!O4</f>
        <v>0.76242483685356888</v>
      </c>
      <c r="P4" s="13">
        <f>'Data Tables (Q)'!P4</f>
        <v>0.84667110642973853</v>
      </c>
      <c r="Q4" s="13">
        <f>'Data Tables (Q)'!Q4</f>
        <v>0.87913297173452065</v>
      </c>
      <c r="R4" s="13">
        <f>'Data Tables (Q)'!R4</f>
        <v>0.57044204988909541</v>
      </c>
      <c r="S4" s="13">
        <f>'Data Tables (Q)'!S4</f>
        <v>0.53802472981323035</v>
      </c>
      <c r="T4" s="13">
        <f>'Data Tables (Q)'!T4</f>
        <v>-9.1428861268582295E-2</v>
      </c>
      <c r="U4" s="13">
        <f>'Data Tables (Q)'!U4</f>
        <v>0.1038402655920265</v>
      </c>
      <c r="V4" s="13">
        <f>'Data Tables (Q)'!V4</f>
        <v>0.58774847462322555</v>
      </c>
      <c r="W4" s="13">
        <f>'Data Tables (Q)'!W4</f>
        <v>0.98751690205625664</v>
      </c>
      <c r="X4" s="13">
        <f>'Data Tables (Q)'!X4</f>
        <v>0.73459088048039689</v>
      </c>
      <c r="Y4" s="13">
        <f>'Data Tables (Q)'!Y4</f>
        <v>1.3084266054287641</v>
      </c>
      <c r="Z4" s="13">
        <f>'Data Tables (Q)'!Z4</f>
        <v>1.9057379992859751</v>
      </c>
      <c r="AA4" s="13">
        <f>'Data Tables (Q)'!AA4</f>
        <v>2.4385937709110119</v>
      </c>
      <c r="AB4" s="13">
        <f>'Data Tables (Q)'!AB4</f>
        <v>3.0483132015599779</v>
      </c>
      <c r="AC4" s="13">
        <f>'Data Tables (Q)'!AC4</f>
        <v>3.2623198450618531</v>
      </c>
      <c r="AD4" s="13">
        <f>'Data Tables (Q)'!AD4</f>
        <v>1.9146559980703159</v>
      </c>
      <c r="AE4" s="13">
        <f>'Data Tables (M)'!BS4*AH4+AG4*(1-AH4)</f>
        <v>2.9079804464932981</v>
      </c>
      <c r="AG4" s="44"/>
      <c r="AH4" s="17">
        <v>1</v>
      </c>
    </row>
    <row r="5" spans="1:36" ht="30" customHeight="1" x14ac:dyDescent="0.25">
      <c r="A5" s="38" t="s">
        <v>236</v>
      </c>
      <c r="B5" s="12">
        <f>'Data Tables (Q)'!B5</f>
        <v>-0.39258196956930652</v>
      </c>
      <c r="C5" s="12">
        <f>'Data Tables (Q)'!C5</f>
        <v>0.31810502149667741</v>
      </c>
      <c r="D5" s="12">
        <f>'Data Tables (Q)'!D5</f>
        <v>0.19702468063940159</v>
      </c>
      <c r="E5" s="12">
        <f>'Data Tables (Q)'!E5</f>
        <v>0.16349629554082409</v>
      </c>
      <c r="F5" s="12">
        <f>'Data Tables (Q)'!F5</f>
        <v>-0.1081993482119117</v>
      </c>
      <c r="G5" s="12">
        <f>'Data Tables (Q)'!G5</f>
        <v>-0.56943613520371628</v>
      </c>
      <c r="H5" s="12">
        <f>'Data Tables (Q)'!H5</f>
        <v>-0.21425416070690059</v>
      </c>
      <c r="I5" s="12">
        <f>'Data Tables (Q)'!I5</f>
        <v>0.68058865356454135</v>
      </c>
      <c r="J5" s="12">
        <f>'Data Tables (Q)'!J5</f>
        <v>0.22441001536151359</v>
      </c>
      <c r="K5" s="12">
        <f>'Data Tables (Q)'!K5</f>
        <v>0.2090721983110484</v>
      </c>
      <c r="L5" s="12">
        <f>'Data Tables (Q)'!L5</f>
        <v>-7.5968090308322189E-2</v>
      </c>
      <c r="M5" s="12">
        <f>'Data Tables (Q)'!M5</f>
        <v>-0.50481626028823712</v>
      </c>
      <c r="N5" s="12">
        <f>'Data Tables (Q)'!N5</f>
        <v>-1.1464984056197809</v>
      </c>
      <c r="O5" s="12">
        <f>'Data Tables (Q)'!O5</f>
        <v>-0.9927257775551368</v>
      </c>
      <c r="P5" s="12">
        <f>'Data Tables (Q)'!P5</f>
        <v>-1.33743621817689</v>
      </c>
      <c r="Q5" s="12">
        <f>'Data Tables (Q)'!Q5</f>
        <v>-1.1137921203458061</v>
      </c>
      <c r="R5" s="12">
        <f>'Data Tables (Q)'!R5</f>
        <v>-1.274267180726611</v>
      </c>
      <c r="S5" s="12">
        <f>'Data Tables (Q)'!S5</f>
        <v>-1.3069658270490829</v>
      </c>
      <c r="T5" s="12">
        <f>'Data Tables (Q)'!T5</f>
        <v>-1.559538230277099</v>
      </c>
      <c r="U5" s="12">
        <f>'Data Tables (Q)'!U5</f>
        <v>-1.084618521230539</v>
      </c>
      <c r="V5" s="12">
        <f>'Data Tables (Q)'!V5</f>
        <v>-1.74173108555982</v>
      </c>
      <c r="W5" s="12">
        <f>'Data Tables (Q)'!W5</f>
        <v>-1.102763874125571</v>
      </c>
      <c r="X5" s="12">
        <f>'Data Tables (Q)'!X5</f>
        <v>-0.63328551879868655</v>
      </c>
      <c r="Y5" s="12">
        <f>'Data Tables (Q)'!Y5</f>
        <v>0.18345642570133691</v>
      </c>
      <c r="Z5" s="12">
        <f>'Data Tables (Q)'!Z5</f>
        <v>8.0554239014418272E-2</v>
      </c>
      <c r="AA5" s="12">
        <f>'Data Tables (Q)'!AA5</f>
        <v>0.55716861083507752</v>
      </c>
      <c r="AB5" s="12">
        <f>'Data Tables (Q)'!AB5</f>
        <v>0.84213839098492826</v>
      </c>
      <c r="AC5" s="12">
        <f>'Data Tables (Q)'!AC5</f>
        <v>1.313870033344557</v>
      </c>
      <c r="AD5" s="12">
        <f>'Data Tables (Q)'!AD5</f>
        <v>1.823497888359412</v>
      </c>
      <c r="AE5" s="12">
        <f>'Data Tables (M)'!BS5*AH5+AG5*(1-AH5)</f>
        <v>0.18026339482514689</v>
      </c>
      <c r="AG5" s="44"/>
      <c r="AH5" s="17">
        <v>1</v>
      </c>
    </row>
    <row r="6" spans="1:36" ht="15" customHeight="1" x14ac:dyDescent="0.25">
      <c r="A6" s="36" t="s">
        <v>237</v>
      </c>
      <c r="B6" s="13">
        <f t="shared" ref="B6:AE6" si="0">(194%/B10-1)/10%*1.7</f>
        <v>0.27855508054465616</v>
      </c>
      <c r="C6" s="13">
        <f t="shared" si="0"/>
        <v>0.33742893772745242</v>
      </c>
      <c r="D6" s="13">
        <f t="shared" si="0"/>
        <v>0.25897309633850729</v>
      </c>
      <c r="E6" s="13">
        <f t="shared" si="0"/>
        <v>-7.1663328410567995E-2</v>
      </c>
      <c r="F6" s="13">
        <f t="shared" si="0"/>
        <v>0.33211591403742746</v>
      </c>
      <c r="G6" s="13">
        <f t="shared" si="0"/>
        <v>-6.2099711329183016E-2</v>
      </c>
      <c r="H6" s="13">
        <f t="shared" si="0"/>
        <v>2.7392365537771948</v>
      </c>
      <c r="I6" s="13">
        <f t="shared" si="0"/>
        <v>2.8651084453268729</v>
      </c>
      <c r="J6" s="13">
        <f t="shared" si="0"/>
        <v>2.5215769779939476</v>
      </c>
      <c r="K6" s="13">
        <f t="shared" si="0"/>
        <v>4.7625554696241137</v>
      </c>
      <c r="L6" s="13">
        <f t="shared" si="0"/>
        <v>3.8048387233867458</v>
      </c>
      <c r="M6" s="13">
        <f t="shared" si="0"/>
        <v>3.8373418891826372</v>
      </c>
      <c r="N6" s="13">
        <f t="shared" si="0"/>
        <v>3.4166405065651952</v>
      </c>
      <c r="O6" s="13">
        <f t="shared" si="0"/>
        <v>2.250583868753234</v>
      </c>
      <c r="P6" s="13">
        <f t="shared" si="0"/>
        <v>1.8353972904968496</v>
      </c>
      <c r="Q6" s="13">
        <f t="shared" si="0"/>
        <v>1.1674361586612541</v>
      </c>
      <c r="R6" s="13">
        <f t="shared" si="0"/>
        <v>1.0612390973955728</v>
      </c>
      <c r="S6" s="13">
        <f t="shared" si="0"/>
        <v>2.2392155295067577</v>
      </c>
      <c r="T6" s="13">
        <f t="shared" si="0"/>
        <v>2.707214768640378</v>
      </c>
      <c r="U6" s="13">
        <f t="shared" si="0"/>
        <v>2.2880394682777583</v>
      </c>
      <c r="V6" s="13">
        <f t="shared" si="0"/>
        <v>2.0027206956794088</v>
      </c>
      <c r="W6" s="13">
        <f t="shared" si="0"/>
        <v>2.5931536524031129</v>
      </c>
      <c r="X6" s="13">
        <f t="shared" si="0"/>
        <v>3.7446501775596488</v>
      </c>
      <c r="Y6" s="13">
        <f t="shared" si="0"/>
        <v>3.388185742525025</v>
      </c>
      <c r="Z6" s="13">
        <f t="shared" si="0"/>
        <v>3.5073792754688884</v>
      </c>
      <c r="AA6" s="13">
        <f t="shared" si="0"/>
        <v>4.0402815976930837</v>
      </c>
      <c r="AB6" s="13">
        <f t="shared" si="0"/>
        <v>3.9702313423319389</v>
      </c>
      <c r="AC6" s="13">
        <f t="shared" si="0"/>
        <v>4.2537913348033802</v>
      </c>
      <c r="AD6" s="13">
        <f t="shared" si="0"/>
        <v>4.040966113294794</v>
      </c>
      <c r="AE6" s="13">
        <f t="shared" si="0"/>
        <v>4.2236317380178985</v>
      </c>
      <c r="AH6" s="16"/>
    </row>
    <row r="7" spans="1:36" ht="15" customHeight="1" x14ac:dyDescent="0.25">
      <c r="A7" s="38" t="s">
        <v>30</v>
      </c>
      <c r="B7" s="12">
        <f t="shared" ref="B7:AE7" si="1">SUM(B2:B6)</f>
        <v>130.33126165748376</v>
      </c>
      <c r="C7" s="12">
        <f t="shared" si="1"/>
        <v>134.12739930059294</v>
      </c>
      <c r="D7" s="12">
        <f t="shared" si="1"/>
        <v>134.18664511467142</v>
      </c>
      <c r="E7" s="12">
        <f t="shared" si="1"/>
        <v>132.74207471181157</v>
      </c>
      <c r="F7" s="12">
        <f t="shared" si="1"/>
        <v>132.66904699243611</v>
      </c>
      <c r="G7" s="12">
        <f t="shared" si="1"/>
        <v>133.5947214854979</v>
      </c>
      <c r="H7" s="12">
        <f t="shared" si="1"/>
        <v>137.61881362801574</v>
      </c>
      <c r="I7" s="12">
        <f t="shared" si="1"/>
        <v>139.59851456953086</v>
      </c>
      <c r="J7" s="12">
        <f t="shared" si="1"/>
        <v>137.88694708488393</v>
      </c>
      <c r="K7" s="12">
        <f t="shared" si="1"/>
        <v>140.64998874602466</v>
      </c>
      <c r="L7" s="12">
        <f t="shared" si="1"/>
        <v>139.63656168941847</v>
      </c>
      <c r="M7" s="12">
        <f t="shared" si="1"/>
        <v>138.20164161871924</v>
      </c>
      <c r="N7" s="12">
        <f t="shared" si="1"/>
        <v>137.20050535647857</v>
      </c>
      <c r="O7" s="12">
        <f t="shared" si="1"/>
        <v>137.91274294965828</v>
      </c>
      <c r="P7" s="12">
        <f t="shared" si="1"/>
        <v>137.4924374097948</v>
      </c>
      <c r="Q7" s="12">
        <f t="shared" si="1"/>
        <v>137.68433053504847</v>
      </c>
      <c r="R7" s="12">
        <f t="shared" si="1"/>
        <v>137.02046089720434</v>
      </c>
      <c r="S7" s="12">
        <f t="shared" si="1"/>
        <v>138.3793442599198</v>
      </c>
      <c r="T7" s="12">
        <f t="shared" si="1"/>
        <v>137.4947412437005</v>
      </c>
      <c r="U7" s="12">
        <f t="shared" si="1"/>
        <v>138.32861212564154</v>
      </c>
      <c r="V7" s="12">
        <f t="shared" si="1"/>
        <v>137.22085639036652</v>
      </c>
      <c r="W7" s="12">
        <f t="shared" si="1"/>
        <v>139.59988994526739</v>
      </c>
      <c r="X7" s="12">
        <f t="shared" si="1"/>
        <v>141.93647637467126</v>
      </c>
      <c r="Y7" s="12">
        <f t="shared" si="1"/>
        <v>141.68142443167542</v>
      </c>
      <c r="Z7" s="12">
        <f t="shared" si="1"/>
        <v>142.33069645872646</v>
      </c>
      <c r="AA7" s="12">
        <f t="shared" si="1"/>
        <v>145.06986300635597</v>
      </c>
      <c r="AB7" s="12">
        <f t="shared" si="1"/>
        <v>146.41876386883933</v>
      </c>
      <c r="AC7" s="12">
        <f t="shared" si="1"/>
        <v>148.20608246791608</v>
      </c>
      <c r="AD7" s="12">
        <f t="shared" si="1"/>
        <v>148.23950279272631</v>
      </c>
      <c r="AE7" s="12">
        <f t="shared" si="1"/>
        <v>145.65948179217236</v>
      </c>
      <c r="AH7" s="16"/>
    </row>
    <row r="8" spans="1:36" ht="15" customHeight="1" x14ac:dyDescent="0.25">
      <c r="A8" s="40"/>
      <c r="B8" s="47">
        <f t="shared" ref="B8:AE8" si="2">B2+B4</f>
        <v>130.44528854650841</v>
      </c>
      <c r="C8" s="47">
        <f t="shared" si="2"/>
        <v>133.47186534136881</v>
      </c>
      <c r="D8" s="47">
        <f t="shared" si="2"/>
        <v>133.73064733769351</v>
      </c>
      <c r="E8" s="47">
        <f t="shared" si="2"/>
        <v>132.65024174468132</v>
      </c>
      <c r="F8" s="47">
        <f t="shared" si="2"/>
        <v>132.4451304266106</v>
      </c>
      <c r="G8" s="47">
        <f t="shared" si="2"/>
        <v>134.2262573320308</v>
      </c>
      <c r="H8" s="47">
        <f t="shared" si="2"/>
        <v>135.09383123494544</v>
      </c>
      <c r="I8" s="47">
        <f t="shared" si="2"/>
        <v>136.05281747063944</v>
      </c>
      <c r="J8" s="47">
        <f t="shared" si="2"/>
        <v>135.14096009152846</v>
      </c>
      <c r="K8" s="47">
        <f t="shared" si="2"/>
        <v>135.67836107808949</v>
      </c>
      <c r="L8" s="47">
        <f t="shared" si="2"/>
        <v>135.90769105634004</v>
      </c>
      <c r="M8" s="47">
        <f t="shared" si="2"/>
        <v>134.86911598982485</v>
      </c>
      <c r="N8" s="47">
        <f t="shared" si="2"/>
        <v>134.93036325553317</v>
      </c>
      <c r="O8" s="47">
        <f t="shared" si="2"/>
        <v>136.65488485846018</v>
      </c>
      <c r="P8" s="47">
        <f t="shared" si="2"/>
        <v>136.99447633747485</v>
      </c>
      <c r="Q8" s="47">
        <f t="shared" si="2"/>
        <v>137.63068649673303</v>
      </c>
      <c r="R8" s="47">
        <f t="shared" si="2"/>
        <v>137.23348898053538</v>
      </c>
      <c r="S8" s="47">
        <f t="shared" si="2"/>
        <v>137.44709455746212</v>
      </c>
      <c r="T8" s="47">
        <f t="shared" si="2"/>
        <v>136.34706470533723</v>
      </c>
      <c r="U8" s="47">
        <f t="shared" si="2"/>
        <v>137.12519117859432</v>
      </c>
      <c r="V8" s="47">
        <f t="shared" si="2"/>
        <v>136.95986678024693</v>
      </c>
      <c r="W8" s="47">
        <f t="shared" si="2"/>
        <v>138.10950016698985</v>
      </c>
      <c r="X8" s="47">
        <f t="shared" si="2"/>
        <v>138.82511171591031</v>
      </c>
      <c r="Y8" s="47">
        <f t="shared" si="2"/>
        <v>138.10978226344906</v>
      </c>
      <c r="Z8" s="47">
        <f t="shared" si="2"/>
        <v>138.74276294424317</v>
      </c>
      <c r="AA8" s="47">
        <f t="shared" si="2"/>
        <v>140.47241279782781</v>
      </c>
      <c r="AB8" s="47">
        <f t="shared" si="2"/>
        <v>141.60639413552246</v>
      </c>
      <c r="AC8" s="47">
        <f t="shared" si="2"/>
        <v>142.63842109976815</v>
      </c>
      <c r="AD8" s="47">
        <f t="shared" si="2"/>
        <v>142.37503879107211</v>
      </c>
      <c r="AE8" s="47">
        <f t="shared" si="2"/>
        <v>141.25558665932931</v>
      </c>
      <c r="AH8" s="16"/>
    </row>
    <row r="9" spans="1:36" ht="15" customHeight="1" x14ac:dyDescent="0.25">
      <c r="A9" s="42" t="s">
        <v>238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H9" s="16"/>
    </row>
    <row r="10" spans="1:36" ht="15" customHeight="1" x14ac:dyDescent="0.25">
      <c r="A10" s="36" t="s">
        <v>239</v>
      </c>
      <c r="B10" s="81">
        <f>'Data Tables (Q)'!B8</f>
        <v>1.9087244185791259</v>
      </c>
      <c r="C10" s="81">
        <f>'Data Tables (Q)'!C8</f>
        <v>1.902242836493087</v>
      </c>
      <c r="D10" s="81">
        <f>'Data Tables (Q)'!D8</f>
        <v>1.910890052143178</v>
      </c>
      <c r="E10" s="81">
        <f>'Data Tables (Q)'!E8</f>
        <v>1.9482126708496901</v>
      </c>
      <c r="F10" s="81">
        <f>'Data Tables (Q)'!F8</f>
        <v>1.9028259540596091</v>
      </c>
      <c r="G10" s="81">
        <f>'Data Tables (Q)'!G8</f>
        <v>1.9471126549292059</v>
      </c>
      <c r="H10" s="81">
        <f>'Data Tables (Q)'!H8</f>
        <v>1.670783969286245</v>
      </c>
      <c r="I10" s="81">
        <f>'Data Tables (Q)'!I8</f>
        <v>1.660197329945023</v>
      </c>
      <c r="J10" s="81">
        <f>'Data Tables (Q)'!J8</f>
        <v>1.6894126963808971</v>
      </c>
      <c r="K10" s="81">
        <f>'Data Tables (Q)'!K8</f>
        <v>1.5154470276265599</v>
      </c>
      <c r="L10" s="81">
        <f>'Data Tables (Q)'!L8</f>
        <v>1.585208154626411</v>
      </c>
      <c r="M10" s="81">
        <f>'Data Tables (Q)'!M8</f>
        <v>1.582735464791746</v>
      </c>
      <c r="N10" s="81">
        <f>'Data Tables (Q)'!N8</f>
        <v>1.615349008540113</v>
      </c>
      <c r="O10" s="81">
        <f>'Data Tables (Q)'!O8</f>
        <v>1.7131947906022631</v>
      </c>
      <c r="P10" s="81">
        <f>'Data Tables (Q)'!P8</f>
        <v>1.7509585537991079</v>
      </c>
      <c r="Q10" s="81">
        <f>'Data Tables (Q)'!Q8</f>
        <v>1.8153359512028291</v>
      </c>
      <c r="R10" s="81">
        <f>'Data Tables (Q)'!R8</f>
        <v>1.8260098225905059</v>
      </c>
      <c r="S10" s="81">
        <f>'Data Tables (Q)'!S8</f>
        <v>1.7142071073230249</v>
      </c>
      <c r="T10" s="81">
        <f>'Data Tables (Q)'!T8</f>
        <v>1.673498786468816</v>
      </c>
      <c r="U10" s="81">
        <f>'Data Tables (Q)'!U8</f>
        <v>1.7098679238105481</v>
      </c>
      <c r="V10" s="81">
        <f>'Data Tables (Q)'!V8</f>
        <v>1.735540953748721</v>
      </c>
      <c r="W10" s="81">
        <f>'Data Tables (Q)'!W8</f>
        <v>1.683241023119062</v>
      </c>
      <c r="X10" s="81">
        <f>'Data Tables (Q)'!X8</f>
        <v>1.589807478926583</v>
      </c>
      <c r="Y10" s="81">
        <f>'Data Tables (Q)'!Y8</f>
        <v>1.6176034697982651</v>
      </c>
      <c r="Z10" s="81">
        <f>'Data Tables (Q)'!Z8</f>
        <v>1.6082015920703709</v>
      </c>
      <c r="AA10" s="81">
        <f>'Data Tables (Q)'!AA8</f>
        <v>1.5674695154087681</v>
      </c>
      <c r="AB10" s="81">
        <f>'Data Tables (Q)'!AB8</f>
        <v>1.5727055873448721</v>
      </c>
      <c r="AC10" s="81">
        <f>'Data Tables (Q)'!AC8</f>
        <v>1.55172314814227</v>
      </c>
      <c r="AD10" s="81">
        <f>'Data Tables (Q)'!AD8</f>
        <v>1.567418521679073</v>
      </c>
      <c r="AE10" s="81">
        <f>'Data Tables (M)'!BS8*AH10+AG10*(1-AH10)</f>
        <v>1.553928206402249</v>
      </c>
      <c r="AG10" s="44"/>
      <c r="AH10" s="17">
        <v>1</v>
      </c>
    </row>
    <row r="11" spans="1:36" ht="15" customHeight="1" x14ac:dyDescent="0.25">
      <c r="A11" s="37" t="s">
        <v>240</v>
      </c>
      <c r="B11" s="83">
        <v>136.4</v>
      </c>
      <c r="C11" s="83">
        <v>141.30000000000001</v>
      </c>
      <c r="D11" s="83">
        <v>148</v>
      </c>
      <c r="E11" s="83">
        <v>151.5</v>
      </c>
      <c r="F11" s="83">
        <v>156.6</v>
      </c>
      <c r="G11" s="83">
        <v>149.5</v>
      </c>
      <c r="H11" s="83">
        <v>178.6</v>
      </c>
      <c r="I11" s="83">
        <v>176.8</v>
      </c>
      <c r="J11" s="83">
        <v>183.6</v>
      </c>
      <c r="K11" s="83">
        <v>218.6</v>
      </c>
      <c r="L11" s="83">
        <v>217</v>
      </c>
      <c r="M11" s="83">
        <v>252.9</v>
      </c>
      <c r="N11" s="83">
        <v>243.1</v>
      </c>
      <c r="O11" s="83">
        <v>245.1</v>
      </c>
      <c r="P11" s="83">
        <v>229.8</v>
      </c>
      <c r="Q11" s="83">
        <v>221.6</v>
      </c>
      <c r="R11" s="83">
        <v>229.4</v>
      </c>
      <c r="S11" s="83">
        <v>224.9</v>
      </c>
      <c r="T11" s="83">
        <v>212.6</v>
      </c>
      <c r="U11" s="83">
        <v>204.9</v>
      </c>
      <c r="V11" s="98">
        <v>204.2</v>
      </c>
      <c r="W11" s="98">
        <v>199.2</v>
      </c>
      <c r="X11" s="83">
        <v>202.8</v>
      </c>
      <c r="Y11" s="83">
        <v>203.3</v>
      </c>
      <c r="Z11" s="98"/>
      <c r="AA11" s="98">
        <v>205.86666666666699</v>
      </c>
      <c r="AB11" s="98"/>
      <c r="AC11" s="98"/>
      <c r="AD11" s="98"/>
      <c r="AE11" s="84">
        <v>203</v>
      </c>
    </row>
    <row r="12" spans="1:36" ht="15" customHeight="1" x14ac:dyDescent="0.25">
      <c r="A12" s="43" t="s">
        <v>241</v>
      </c>
      <c r="B12" s="82">
        <v>0.04</v>
      </c>
      <c r="C12" s="82">
        <v>0.11</v>
      </c>
      <c r="D12" s="82">
        <v>0.13</v>
      </c>
      <c r="E12" s="82">
        <v>0.14599999999999999</v>
      </c>
      <c r="F12" s="82">
        <v>0.2445606772966977</v>
      </c>
      <c r="G12" s="82">
        <v>0.33059155778194721</v>
      </c>
      <c r="H12" s="82">
        <v>0.1173819506419207</v>
      </c>
      <c r="I12" s="82">
        <v>0.16960024600254631</v>
      </c>
      <c r="J12" s="82">
        <v>0.13323456147240201</v>
      </c>
      <c r="K12" s="82">
        <v>-4.2561451166990949E-2</v>
      </c>
      <c r="L12" s="82">
        <v>-4.1246333166940152E-2</v>
      </c>
      <c r="M12" s="82">
        <v>-0.18913444181131661</v>
      </c>
      <c r="N12" s="82">
        <v>-0.16706463095801991</v>
      </c>
      <c r="O12" s="82">
        <v>-0.1889941003651481</v>
      </c>
      <c r="P12" s="82">
        <v>-0.14479230462822679</v>
      </c>
      <c r="Q12" s="82">
        <v>-0.1246166443921025</v>
      </c>
      <c r="R12" s="82">
        <v>-0.16400894079627171</v>
      </c>
      <c r="S12" s="82">
        <v>-0.15141755763747361</v>
      </c>
      <c r="T12" s="82">
        <v>-0.10485318971388401</v>
      </c>
      <c r="U12" s="82">
        <v>-7.0296605586842031E-2</v>
      </c>
      <c r="V12" s="82">
        <v>-6.42079923362191E-2</v>
      </c>
      <c r="W12" s="82">
        <v>-3.712872446878257E-2</v>
      </c>
      <c r="X12" s="82">
        <v>-0.03</v>
      </c>
      <c r="Y12" s="82">
        <v>-0.03</v>
      </c>
      <c r="Z12" s="82">
        <v>-0.03</v>
      </c>
      <c r="AA12" s="82">
        <v>-2.6435637765608699E-2</v>
      </c>
      <c r="AB12" s="82"/>
      <c r="AC12" s="82"/>
      <c r="AD12" s="82"/>
      <c r="AE12" s="82">
        <v>-0.03</v>
      </c>
    </row>
    <row r="13" spans="1:36" ht="15" customHeight="1" x14ac:dyDescent="0.25">
      <c r="A13" s="38" t="s">
        <v>242</v>
      </c>
      <c r="B13" s="85">
        <f t="shared" ref="B13:AA13" si="3">B12/10%*1.7</f>
        <v>0.67999999999999994</v>
      </c>
      <c r="C13" s="85">
        <f t="shared" si="3"/>
        <v>1.8699999999999997</v>
      </c>
      <c r="D13" s="85">
        <f t="shared" si="3"/>
        <v>2.21</v>
      </c>
      <c r="E13" s="85">
        <f t="shared" si="3"/>
        <v>2.4819999999999993</v>
      </c>
      <c r="F13" s="85">
        <f t="shared" si="3"/>
        <v>4.1575315140438605</v>
      </c>
      <c r="G13" s="85">
        <f t="shared" si="3"/>
        <v>5.6200564822931023</v>
      </c>
      <c r="H13" s="85">
        <f t="shared" si="3"/>
        <v>1.9954931609126518</v>
      </c>
      <c r="I13" s="85">
        <f t="shared" si="3"/>
        <v>2.8832041820432872</v>
      </c>
      <c r="J13" s="85">
        <f t="shared" si="3"/>
        <v>2.2649875450308339</v>
      </c>
      <c r="K13" s="85">
        <f t="shared" si="3"/>
        <v>-0.72354466983884613</v>
      </c>
      <c r="L13" s="85">
        <f t="shared" si="3"/>
        <v>-0.70118766383798259</v>
      </c>
      <c r="M13" s="85">
        <f t="shared" si="3"/>
        <v>-3.2152855107923823</v>
      </c>
      <c r="N13" s="85">
        <f t="shared" si="3"/>
        <v>-2.840098726286338</v>
      </c>
      <c r="O13" s="85">
        <f t="shared" si="3"/>
        <v>-3.2128997062075175</v>
      </c>
      <c r="P13" s="85">
        <f t="shared" si="3"/>
        <v>-2.4614691786798555</v>
      </c>
      <c r="Q13" s="85">
        <f t="shared" si="3"/>
        <v>-2.1184829546657422</v>
      </c>
      <c r="R13" s="85">
        <f t="shared" si="3"/>
        <v>-2.7881519935366188</v>
      </c>
      <c r="S13" s="85">
        <f t="shared" si="3"/>
        <v>-2.5740984798370512</v>
      </c>
      <c r="T13" s="85">
        <f t="shared" si="3"/>
        <v>-1.7825042251360279</v>
      </c>
      <c r="U13" s="85">
        <f t="shared" si="3"/>
        <v>-1.1950422949763144</v>
      </c>
      <c r="V13" s="85">
        <f t="shared" si="3"/>
        <v>-1.0915358697157247</v>
      </c>
      <c r="W13" s="85">
        <f t="shared" si="3"/>
        <v>-0.63118831596930369</v>
      </c>
      <c r="X13" s="85">
        <f t="shared" si="3"/>
        <v>-0.51</v>
      </c>
      <c r="Y13" s="85">
        <f t="shared" si="3"/>
        <v>-0.51</v>
      </c>
      <c r="Z13" s="85">
        <f t="shared" si="3"/>
        <v>-0.51</v>
      </c>
      <c r="AA13" s="85">
        <f t="shared" si="3"/>
        <v>-0.44940584201534789</v>
      </c>
      <c r="AB13" s="85"/>
      <c r="AC13" s="85"/>
      <c r="AD13" s="85"/>
      <c r="AE13" s="85">
        <f>AE12/10%*1.7</f>
        <v>-0.51</v>
      </c>
    </row>
    <row r="14" spans="1:36" ht="15" customHeight="1" x14ac:dyDescent="0.25">
      <c r="A14" s="36" t="s">
        <v>243</v>
      </c>
      <c r="B14" s="13">
        <f t="shared" ref="B14:AA14" si="4">B7+B13</f>
        <v>131.01126165748377</v>
      </c>
      <c r="C14" s="13">
        <f t="shared" si="4"/>
        <v>135.99739930059295</v>
      </c>
      <c r="D14" s="13">
        <f t="shared" si="4"/>
        <v>136.39664511467143</v>
      </c>
      <c r="E14" s="13">
        <f t="shared" si="4"/>
        <v>135.22407471181157</v>
      </c>
      <c r="F14" s="13">
        <f t="shared" si="4"/>
        <v>136.82657850647996</v>
      </c>
      <c r="G14" s="13">
        <f t="shared" si="4"/>
        <v>139.21477796779101</v>
      </c>
      <c r="H14" s="13">
        <f t="shared" si="4"/>
        <v>139.61430678892839</v>
      </c>
      <c r="I14" s="13">
        <f t="shared" si="4"/>
        <v>142.48171875157416</v>
      </c>
      <c r="J14" s="13">
        <f t="shared" si="4"/>
        <v>140.15193462991476</v>
      </c>
      <c r="K14" s="13">
        <f t="shared" si="4"/>
        <v>139.92644407618582</v>
      </c>
      <c r="L14" s="13">
        <f t="shared" si="4"/>
        <v>138.9353740255805</v>
      </c>
      <c r="M14" s="13">
        <f t="shared" si="4"/>
        <v>134.98635610792687</v>
      </c>
      <c r="N14" s="13">
        <f t="shared" si="4"/>
        <v>134.36040663019224</v>
      </c>
      <c r="O14" s="13">
        <f t="shared" si="4"/>
        <v>134.69984324345077</v>
      </c>
      <c r="P14" s="13">
        <f t="shared" si="4"/>
        <v>135.03096823111494</v>
      </c>
      <c r="Q14" s="13">
        <f t="shared" si="4"/>
        <v>135.56584758038272</v>
      </c>
      <c r="R14" s="13">
        <f t="shared" si="4"/>
        <v>134.23230890366773</v>
      </c>
      <c r="S14" s="13">
        <f t="shared" si="4"/>
        <v>135.80524578008274</v>
      </c>
      <c r="T14" s="13">
        <f t="shared" si="4"/>
        <v>135.71223701856448</v>
      </c>
      <c r="U14" s="13">
        <f t="shared" si="4"/>
        <v>137.13356983066524</v>
      </c>
      <c r="V14" s="13">
        <f t="shared" si="4"/>
        <v>136.12932052065079</v>
      </c>
      <c r="W14" s="13">
        <f t="shared" si="4"/>
        <v>138.9687016292981</v>
      </c>
      <c r="X14" s="13">
        <f t="shared" si="4"/>
        <v>141.42647637467127</v>
      </c>
      <c r="Y14" s="13">
        <f t="shared" si="4"/>
        <v>141.17142443167543</v>
      </c>
      <c r="Z14" s="13">
        <f t="shared" si="4"/>
        <v>141.82069645872647</v>
      </c>
      <c r="AA14" s="13">
        <f t="shared" si="4"/>
        <v>144.62045716434062</v>
      </c>
      <c r="AB14" s="13"/>
      <c r="AC14" s="13"/>
      <c r="AD14" s="13"/>
      <c r="AE14" s="13">
        <f>AE7+AE13</f>
        <v>145.14948179217237</v>
      </c>
    </row>
    <row r="15" spans="1:36" ht="15" customHeight="1" x14ac:dyDescent="0.25">
      <c r="A15" s="38" t="s">
        <v>244</v>
      </c>
      <c r="B15" s="20">
        <v>0.28170195526133263</v>
      </c>
      <c r="C15" s="20">
        <v>0.25167972866820321</v>
      </c>
      <c r="D15" s="20">
        <v>0.24137020120379621</v>
      </c>
      <c r="E15" s="20">
        <v>0.22113853448384779</v>
      </c>
      <c r="F15" s="20">
        <v>0.19097109167853571</v>
      </c>
      <c r="G15" s="20">
        <v>0.1915287460894054</v>
      </c>
      <c r="H15" s="20">
        <v>0.18098295703270889</v>
      </c>
      <c r="I15" s="20">
        <v>0.18074388881540709</v>
      </c>
      <c r="J15" s="20">
        <v>0.21624477672437351</v>
      </c>
      <c r="K15" s="20">
        <v>0.2173762758036602</v>
      </c>
      <c r="L15" s="20">
        <v>0.25009126962393119</v>
      </c>
      <c r="M15" s="20">
        <v>0.28129097936901681</v>
      </c>
      <c r="N15" s="20">
        <v>0.31307465381067762</v>
      </c>
      <c r="O15" s="20">
        <v>0.32412047810218159</v>
      </c>
      <c r="P15" s="20">
        <v>0.31408390901302902</v>
      </c>
      <c r="Q15" s="20">
        <v>0.30282419642605141</v>
      </c>
      <c r="R15" s="20">
        <v>0.30358936971758688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 spans="1:36" ht="15" customHeight="1" x14ac:dyDescent="0.25">
      <c r="A16" s="36" t="s">
        <v>245</v>
      </c>
      <c r="B16" s="19">
        <f t="shared" ref="B16:R16" si="5">B15-($AE$14-B14)*1%</f>
        <v>0.14031975391444668</v>
      </c>
      <c r="C16" s="19">
        <f t="shared" si="5"/>
        <v>0.16015890375240899</v>
      </c>
      <c r="D16" s="19">
        <f t="shared" si="5"/>
        <v>0.15384183442878685</v>
      </c>
      <c r="E16" s="19">
        <f t="shared" si="5"/>
        <v>0.12188446368023981</v>
      </c>
      <c r="F16" s="19">
        <f t="shared" si="5"/>
        <v>0.10774205882161166</v>
      </c>
      <c r="G16" s="19">
        <f t="shared" si="5"/>
        <v>0.1321817078455918</v>
      </c>
      <c r="H16" s="19">
        <f t="shared" si="5"/>
        <v>0.12563120700026911</v>
      </c>
      <c r="I16" s="19">
        <f t="shared" si="5"/>
        <v>0.15406625840942506</v>
      </c>
      <c r="J16" s="19">
        <f t="shared" si="5"/>
        <v>0.16626930510179747</v>
      </c>
      <c r="K16" s="19">
        <f t="shared" si="5"/>
        <v>0.1651458986437947</v>
      </c>
      <c r="L16" s="19">
        <f t="shared" si="5"/>
        <v>0.18795019195801255</v>
      </c>
      <c r="M16" s="19">
        <f t="shared" si="5"/>
        <v>0.17965972252656182</v>
      </c>
      <c r="N16" s="19">
        <f t="shared" si="5"/>
        <v>0.2051839021908764</v>
      </c>
      <c r="O16" s="19">
        <f t="shared" si="5"/>
        <v>0.21962409261496563</v>
      </c>
      <c r="P16" s="19">
        <f t="shared" si="5"/>
        <v>0.21289877340245475</v>
      </c>
      <c r="Q16" s="19">
        <f t="shared" si="5"/>
        <v>0.20698785430815497</v>
      </c>
      <c r="R16" s="19">
        <f t="shared" si="5"/>
        <v>0.19441764083254048</v>
      </c>
      <c r="S16" s="19"/>
      <c r="T16" s="19"/>
      <c r="U16" s="17"/>
      <c r="V16" s="17"/>
      <c r="W16" s="17"/>
      <c r="X16" s="19"/>
      <c r="Y16" s="17"/>
      <c r="Z16" s="17"/>
      <c r="AA16" s="17"/>
      <c r="AB16" s="17"/>
      <c r="AC16" s="17"/>
      <c r="AD16" s="17"/>
      <c r="AE16" s="19">
        <v>0.2767</v>
      </c>
    </row>
    <row r="18" spans="1:29" ht="15" customHeight="1" x14ac:dyDescent="0.25">
      <c r="B18" s="55"/>
      <c r="C18" s="55"/>
      <c r="D18" s="55"/>
      <c r="E18" s="55"/>
      <c r="F18" s="55"/>
      <c r="G18" s="55"/>
      <c r="H18" s="55"/>
    </row>
    <row r="19" spans="1:29" ht="15" customHeight="1" x14ac:dyDescent="0.25">
      <c r="A19" s="50" t="s">
        <v>246</v>
      </c>
      <c r="B19" s="51" t="s">
        <v>247</v>
      </c>
    </row>
    <row r="20" spans="1:29" ht="15" customHeight="1" x14ac:dyDescent="0.25">
      <c r="A20" s="50" t="s">
        <v>248</v>
      </c>
      <c r="B20" s="51" t="s">
        <v>249</v>
      </c>
    </row>
    <row r="21" spans="1:29" ht="15" customHeight="1" x14ac:dyDescent="0.25">
      <c r="A21" s="50" t="s">
        <v>250</v>
      </c>
      <c r="B21" s="51" t="s">
        <v>251</v>
      </c>
    </row>
    <row r="22" spans="1:29" ht="15" customHeight="1" x14ac:dyDescent="0.25">
      <c r="A22" s="50"/>
      <c r="B22" s="51" t="s">
        <v>252</v>
      </c>
    </row>
    <row r="23" spans="1:29" ht="15" customHeight="1" x14ac:dyDescent="0.25">
      <c r="A23" s="50" t="s">
        <v>253</v>
      </c>
      <c r="B23" s="51" t="s">
        <v>254</v>
      </c>
    </row>
    <row r="24" spans="1:29" ht="15" customHeight="1" x14ac:dyDescent="0.25">
      <c r="A24" s="50" t="s">
        <v>255</v>
      </c>
      <c r="B24" s="51" t="s">
        <v>256</v>
      </c>
    </row>
    <row r="25" spans="1:29" ht="15" customHeight="1" x14ac:dyDescent="0.25">
      <c r="A25" s="50" t="s">
        <v>257</v>
      </c>
      <c r="B25" s="51" t="s">
        <v>258</v>
      </c>
    </row>
    <row r="26" spans="1:29" ht="15" customHeight="1" x14ac:dyDescent="0.25">
      <c r="A26" s="50"/>
      <c r="B26" s="51" t="s">
        <v>259</v>
      </c>
    </row>
    <row r="27" spans="1:29" ht="15" customHeight="1" x14ac:dyDescent="0.25">
      <c r="A27" s="50" t="s">
        <v>260</v>
      </c>
      <c r="B27" s="51" t="s">
        <v>261</v>
      </c>
    </row>
    <row r="32" spans="1:29" ht="15" customHeight="1" x14ac:dyDescent="0.25">
      <c r="B32" s="41">
        <v>2016</v>
      </c>
      <c r="C32" s="41">
        <v>2017</v>
      </c>
      <c r="D32" s="41">
        <v>2018</v>
      </c>
      <c r="E32" s="41">
        <v>2019</v>
      </c>
      <c r="F32" s="41" t="s">
        <v>1</v>
      </c>
      <c r="G32" s="41" t="s">
        <v>2</v>
      </c>
      <c r="H32" s="41" t="s">
        <v>3</v>
      </c>
      <c r="I32" s="41" t="s">
        <v>4</v>
      </c>
      <c r="J32" s="41" t="s">
        <v>5</v>
      </c>
      <c r="K32" s="41" t="s">
        <v>6</v>
      </c>
      <c r="L32" s="41" t="s">
        <v>7</v>
      </c>
      <c r="M32" s="41" t="s">
        <v>8</v>
      </c>
      <c r="N32" s="41" t="s">
        <v>9</v>
      </c>
      <c r="O32" s="41" t="s">
        <v>10</v>
      </c>
      <c r="P32" s="41" t="s">
        <v>11</v>
      </c>
      <c r="Q32" s="41" t="s">
        <v>12</v>
      </c>
      <c r="R32" s="41" t="s">
        <v>13</v>
      </c>
      <c r="S32" s="41" t="s">
        <v>14</v>
      </c>
      <c r="T32" s="41" t="s">
        <v>15</v>
      </c>
      <c r="U32" s="41" t="s">
        <v>16</v>
      </c>
      <c r="V32" s="41" t="s">
        <v>17</v>
      </c>
      <c r="W32" s="41" t="s">
        <v>18</v>
      </c>
      <c r="X32" s="41" t="s">
        <v>19</v>
      </c>
      <c r="Y32" s="41" t="s">
        <v>20</v>
      </c>
      <c r="Z32" s="41" t="s">
        <v>21</v>
      </c>
      <c r="AA32" s="41" t="s">
        <v>22</v>
      </c>
      <c r="AB32" s="41" t="s">
        <v>23</v>
      </c>
      <c r="AC32" s="41" t="s">
        <v>24</v>
      </c>
    </row>
    <row r="33" spans="1:29" ht="15" customHeight="1" x14ac:dyDescent="0.25">
      <c r="A33" s="41" t="s">
        <v>262</v>
      </c>
      <c r="B33" s="41">
        <v>130.46515360038941</v>
      </c>
      <c r="C33" s="41">
        <v>134.56421701365159</v>
      </c>
      <c r="D33" s="41">
        <v>134.58325584492249</v>
      </c>
      <c r="E33" s="41">
        <v>133.43825664543581</v>
      </c>
      <c r="F33" s="41">
        <v>133.33824324566029</v>
      </c>
      <c r="G33" s="41">
        <v>134.64262947530409</v>
      </c>
      <c r="H33" s="41">
        <v>138.68762846231471</v>
      </c>
      <c r="I33" s="41">
        <v>140.0054147509733</v>
      </c>
      <c r="J33" s="41">
        <v>138.7586287222118</v>
      </c>
      <c r="K33" s="41">
        <v>141.35768437619339</v>
      </c>
      <c r="L33" s="41">
        <v>140.07357453951249</v>
      </c>
      <c r="M33" s="41">
        <v>139.06986882147291</v>
      </c>
      <c r="N33" s="41">
        <v>137.9278103777072</v>
      </c>
      <c r="O33" s="41">
        <v>138.42982543826369</v>
      </c>
      <c r="P33" s="41">
        <v>137.40824035795791</v>
      </c>
      <c r="Q33" s="41">
        <v>137.78028416025529</v>
      </c>
      <c r="R33" s="41">
        <v>137.38957601880631</v>
      </c>
      <c r="S33" s="41">
        <v>139.34931190043639</v>
      </c>
      <c r="T33" s="41">
        <v>138.59028156638209</v>
      </c>
      <c r="U33" s="41">
        <v>138.66445097540429</v>
      </c>
      <c r="V33" s="41">
        <v>137.45818527443831</v>
      </c>
      <c r="W33" s="41">
        <v>139.7253409611352</v>
      </c>
      <c r="X33" s="41">
        <v>142.0134212489771</v>
      </c>
      <c r="Y33" s="41">
        <v>141.49746776336571</v>
      </c>
      <c r="Z33" s="41">
        <v>141.9518528192506</v>
      </c>
      <c r="AA33" s="41">
        <v>145.17986450368369</v>
      </c>
      <c r="AB33" s="41">
        <v>146.08928192291179</v>
      </c>
      <c r="AC33" s="41">
        <v>148.4286128876673</v>
      </c>
    </row>
    <row r="34" spans="1:29" ht="15" customHeight="1" x14ac:dyDescent="0.25">
      <c r="A34" s="41" t="s">
        <v>263</v>
      </c>
      <c r="B34" s="41">
        <v>130.46515360038941</v>
      </c>
      <c r="C34" s="41">
        <v>134.56421701365159</v>
      </c>
      <c r="D34" s="41">
        <v>134.58325584492249</v>
      </c>
      <c r="E34" s="41">
        <v>133.43825664543581</v>
      </c>
      <c r="F34" s="41">
        <v>133.33824324566029</v>
      </c>
      <c r="G34" s="41">
        <v>134.64262947530409</v>
      </c>
      <c r="H34" s="41">
        <v>138.68762846231471</v>
      </c>
      <c r="I34" s="41">
        <v>140.0054147509733</v>
      </c>
      <c r="J34" s="41">
        <v>138.7586287222118</v>
      </c>
      <c r="K34" s="41">
        <v>141.35768437619339</v>
      </c>
      <c r="L34" s="41">
        <v>140.07357453951249</v>
      </c>
      <c r="M34" s="41">
        <v>139.06986882147291</v>
      </c>
      <c r="N34" s="41">
        <v>137.9278103777072</v>
      </c>
      <c r="O34" s="41">
        <v>138.42982543826369</v>
      </c>
      <c r="P34" s="41">
        <v>137.40824035795791</v>
      </c>
      <c r="Q34" s="41">
        <v>137.96516767292741</v>
      </c>
      <c r="R34" s="41">
        <v>137.55322247258579</v>
      </c>
      <c r="S34" s="41">
        <v>139.5751403485861</v>
      </c>
      <c r="T34" s="41">
        <v>138.74391606169121</v>
      </c>
      <c r="U34" s="41">
        <v>138.88912796549729</v>
      </c>
      <c r="V34" s="41">
        <v>137.4500651692731</v>
      </c>
      <c r="W34" s="41">
        <v>139.84195983128501</v>
      </c>
      <c r="X34" s="41">
        <v>142.05847907874431</v>
      </c>
      <c r="Y34" s="41">
        <v>141.49098554396241</v>
      </c>
      <c r="Z34" s="41">
        <v>141.8985549328587</v>
      </c>
      <c r="AA34" s="41">
        <v>145.00907828962659</v>
      </c>
      <c r="AB34" s="41">
        <v>145.8963174498972</v>
      </c>
      <c r="AC34" s="41">
        <v>148.33448676684901</v>
      </c>
    </row>
    <row r="35" spans="1:29" ht="15" customHeight="1" x14ac:dyDescent="0.25">
      <c r="A35" s="41" t="s">
        <v>264</v>
      </c>
      <c r="B35" s="41">
        <v>128.9389604394498</v>
      </c>
      <c r="C35" s="41">
        <v>135.4068679059443</v>
      </c>
      <c r="D35" s="41">
        <v>135.88597050622261</v>
      </c>
      <c r="E35" s="41">
        <v>132.2892078785691</v>
      </c>
      <c r="F35" s="41">
        <v>132.36269835585139</v>
      </c>
      <c r="G35" s="41">
        <v>134.04158288831309</v>
      </c>
      <c r="H35" s="41">
        <v>134.6730935942002</v>
      </c>
      <c r="I35" s="41">
        <v>132.461641771242</v>
      </c>
      <c r="J35" s="41">
        <v>138.04108146204459</v>
      </c>
      <c r="K35" s="41">
        <v>140.9945474136976</v>
      </c>
      <c r="L35" s="41">
        <v>138.74043989650011</v>
      </c>
      <c r="M35" s="41">
        <v>134.44924198785029</v>
      </c>
      <c r="N35" s="41">
        <v>135.61167203328549</v>
      </c>
      <c r="O35" s="41">
        <v>138.92679342684761</v>
      </c>
      <c r="P35" s="41">
        <v>139.5805155552444</v>
      </c>
      <c r="Q35" s="41">
        <v>141.35866020664241</v>
      </c>
      <c r="R35" s="41">
        <v>143.1228189597762</v>
      </c>
      <c r="S35" s="41">
        <v>145.30500201271821</v>
      </c>
      <c r="T35" s="41">
        <v>146.1099959115661</v>
      </c>
      <c r="U35" s="41">
        <v>143.96604386821889</v>
      </c>
      <c r="V35" s="41">
        <v>141.62491654674579</v>
      </c>
      <c r="W35" s="41">
        <v>144.74601745275001</v>
      </c>
      <c r="X35" s="41">
        <v>146.85209517442701</v>
      </c>
      <c r="Y35" s="41">
        <v>145.8789215415328</v>
      </c>
      <c r="Z35" s="41">
        <v>145.95344778636769</v>
      </c>
      <c r="AA35" s="41">
        <v>148.51222800815501</v>
      </c>
      <c r="AB35" s="41">
        <v>150.05003442354229</v>
      </c>
      <c r="AC35" s="41">
        <v>152.675363856888</v>
      </c>
    </row>
    <row r="36" spans="1:29" ht="15" customHeight="1" x14ac:dyDescent="0.25">
      <c r="A36" s="41" t="s">
        <v>265</v>
      </c>
      <c r="B36" s="41">
        <v>128.9389604394498</v>
      </c>
      <c r="C36" s="41">
        <v>135.4068679059443</v>
      </c>
      <c r="D36" s="41">
        <v>135.88597050622261</v>
      </c>
      <c r="E36" s="41">
        <v>132.2892078785691</v>
      </c>
      <c r="F36" s="41">
        <v>132.36269835585139</v>
      </c>
      <c r="G36" s="41">
        <v>134.04158288831309</v>
      </c>
      <c r="H36" s="41">
        <v>134.6730935942002</v>
      </c>
      <c r="I36" s="41">
        <v>132.461641771242</v>
      </c>
      <c r="J36" s="41">
        <v>138.04108146204459</v>
      </c>
      <c r="K36" s="41">
        <v>140.9945474136976</v>
      </c>
      <c r="L36" s="41">
        <v>138.74043989650011</v>
      </c>
      <c r="M36" s="41">
        <v>134.44924198785029</v>
      </c>
      <c r="N36" s="41">
        <v>135.61167203328549</v>
      </c>
      <c r="O36" s="41">
        <v>138.92679342684761</v>
      </c>
      <c r="P36" s="41">
        <v>139.5805155552444</v>
      </c>
      <c r="Q36" s="41">
        <v>141.36659220638219</v>
      </c>
      <c r="R36" s="41">
        <v>143.04129283468779</v>
      </c>
      <c r="S36" s="41">
        <v>145.30747631675649</v>
      </c>
      <c r="T36" s="41">
        <v>146.11615879273509</v>
      </c>
      <c r="U36" s="41">
        <v>143.88321334754491</v>
      </c>
      <c r="V36" s="41">
        <v>141.43505402980441</v>
      </c>
      <c r="W36" s="41">
        <v>144.44949248202289</v>
      </c>
      <c r="X36" s="41">
        <v>146.6095668594248</v>
      </c>
      <c r="Y36" s="41">
        <v>145.75187733908911</v>
      </c>
      <c r="Z36" s="41">
        <v>145.95464710385741</v>
      </c>
      <c r="AA36" s="41">
        <v>148.466999589729</v>
      </c>
      <c r="AB36" s="41">
        <v>149.88834829762419</v>
      </c>
      <c r="AC36" s="41">
        <v>152.5991585555897</v>
      </c>
    </row>
    <row r="37" spans="1:29" ht="15" customHeight="1" x14ac:dyDescent="0.25">
      <c r="A37" s="41" t="s">
        <v>266</v>
      </c>
      <c r="B37" s="41">
        <v>129.99990187259451</v>
      </c>
      <c r="C37" s="41">
        <v>132.90265364353041</v>
      </c>
      <c r="D37" s="41">
        <v>132.32798730443901</v>
      </c>
      <c r="E37" s="41">
        <v>129.39286348904579</v>
      </c>
      <c r="F37" s="41">
        <v>129.46247646602379</v>
      </c>
      <c r="G37" s="41">
        <v>132.02712448483311</v>
      </c>
      <c r="H37" s="41">
        <v>137.51481798101429</v>
      </c>
      <c r="I37" s="41">
        <v>137.93394475584279</v>
      </c>
      <c r="J37" s="41">
        <v>139.59340868666931</v>
      </c>
      <c r="K37" s="41">
        <v>141.24737147363689</v>
      </c>
      <c r="L37" s="41">
        <v>140.26114580290121</v>
      </c>
      <c r="M37" s="41">
        <v>137.62341217621639</v>
      </c>
      <c r="N37" s="41">
        <v>137.81713071747529</v>
      </c>
      <c r="O37" s="41">
        <v>140.57922613154031</v>
      </c>
      <c r="P37" s="41">
        <v>140.3951866649895</v>
      </c>
      <c r="Q37" s="41">
        <v>142.90666056068349</v>
      </c>
      <c r="R37" s="41">
        <v>143.21519884554789</v>
      </c>
      <c r="S37" s="41">
        <v>141.6620912629277</v>
      </c>
      <c r="T37" s="41">
        <v>144.77885077146971</v>
      </c>
      <c r="U37" s="41">
        <v>143.48916413665091</v>
      </c>
      <c r="V37" s="41">
        <v>140.63429809066099</v>
      </c>
      <c r="W37" s="41">
        <v>143.58595794684001</v>
      </c>
      <c r="X37" s="41">
        <v>146.0202072735247</v>
      </c>
      <c r="Y37" s="41">
        <v>145.29380056688879</v>
      </c>
      <c r="Z37" s="41">
        <v>143.6748285917395</v>
      </c>
      <c r="AA37" s="41">
        <v>146.6333321684846</v>
      </c>
      <c r="AB37" s="41">
        <v>147.73486272943001</v>
      </c>
      <c r="AC37" s="41">
        <v>150.8533470869782</v>
      </c>
    </row>
    <row r="38" spans="1:29" ht="15" customHeight="1" x14ac:dyDescent="0.25">
      <c r="A38" s="41" t="s">
        <v>267</v>
      </c>
      <c r="B38" s="41">
        <v>129.99990187259451</v>
      </c>
      <c r="C38" s="41">
        <v>132.90265364353041</v>
      </c>
      <c r="D38" s="41">
        <v>132.32798730443901</v>
      </c>
      <c r="E38" s="41">
        <v>129.39286348904579</v>
      </c>
      <c r="F38" s="41">
        <v>129.46247646602379</v>
      </c>
      <c r="G38" s="41">
        <v>132.02712448483311</v>
      </c>
      <c r="H38" s="41">
        <v>137.51481798101429</v>
      </c>
      <c r="I38" s="41">
        <v>137.93394475584279</v>
      </c>
      <c r="J38" s="41">
        <v>139.59340868666931</v>
      </c>
      <c r="K38" s="41">
        <v>141.24737147363689</v>
      </c>
      <c r="L38" s="41">
        <v>140.26114580290121</v>
      </c>
      <c r="M38" s="41">
        <v>137.62341217621639</v>
      </c>
      <c r="N38" s="41">
        <v>137.81713071747529</v>
      </c>
      <c r="O38" s="41">
        <v>140.57922613154031</v>
      </c>
      <c r="P38" s="41">
        <v>140.3951866649895</v>
      </c>
      <c r="Q38" s="41">
        <v>142.9392455463539</v>
      </c>
      <c r="R38" s="41">
        <v>143.22778810355899</v>
      </c>
      <c r="S38" s="41">
        <v>141.7823976279343</v>
      </c>
      <c r="T38" s="41">
        <v>144.88808968190611</v>
      </c>
      <c r="U38" s="41">
        <v>143.67009912900591</v>
      </c>
      <c r="V38" s="41">
        <v>140.73320462343031</v>
      </c>
      <c r="W38" s="41">
        <v>143.80317479759509</v>
      </c>
      <c r="X38" s="41">
        <v>146.12577689755349</v>
      </c>
      <c r="Y38" s="41">
        <v>145.36614464788201</v>
      </c>
      <c r="Z38" s="41">
        <v>143.58343554247631</v>
      </c>
      <c r="AA38" s="41">
        <v>146.54972536627531</v>
      </c>
      <c r="AB38" s="41">
        <v>147.48896809581939</v>
      </c>
      <c r="AC38" s="41">
        <v>150.769920931927</v>
      </c>
    </row>
    <row r="39" spans="1:29" ht="15" customHeight="1" x14ac:dyDescent="0.25">
      <c r="A39" s="41" t="s">
        <v>268</v>
      </c>
      <c r="F39" s="41">
        <v>130.36213460215461</v>
      </c>
      <c r="G39" s="41">
        <v>135.10234708981631</v>
      </c>
      <c r="H39" s="41">
        <v>139.84898482374959</v>
      </c>
      <c r="I39" s="41">
        <v>143.34284300378749</v>
      </c>
      <c r="J39" s="41">
        <v>140.84801166797729</v>
      </c>
      <c r="K39" s="41">
        <v>139.1995659038333</v>
      </c>
      <c r="L39" s="41">
        <v>137.50637252497501</v>
      </c>
      <c r="M39" s="41">
        <v>136.01749829518079</v>
      </c>
      <c r="N39" s="41">
        <v>134.79642246357241</v>
      </c>
      <c r="O39" s="41">
        <v>136.3604137370815</v>
      </c>
      <c r="P39" s="41">
        <v>138.44796553942189</v>
      </c>
      <c r="Q39" s="41">
        <v>140.21608781561591</v>
      </c>
      <c r="R39" s="41">
        <v>143.4149549772049</v>
      </c>
      <c r="S39" s="41">
        <v>140.30457204706531</v>
      </c>
      <c r="T39" s="41">
        <v>139.77659525812621</v>
      </c>
      <c r="U39" s="41">
        <v>141.8334424356199</v>
      </c>
      <c r="V39" s="41">
        <v>139.51191302572451</v>
      </c>
      <c r="W39" s="41">
        <v>141.03690246622031</v>
      </c>
      <c r="X39" s="41">
        <v>144.1800341501833</v>
      </c>
      <c r="Y39" s="41">
        <v>143.43405221223441</v>
      </c>
      <c r="Z39" s="41">
        <v>140.10940405253311</v>
      </c>
      <c r="AA39" s="41">
        <v>141.6458432346366</v>
      </c>
      <c r="AB39" s="41">
        <v>142.59399925181631</v>
      </c>
      <c r="AC39" s="41">
        <v>142.79902443299679</v>
      </c>
    </row>
    <row r="40" spans="1:29" ht="15" customHeight="1" x14ac:dyDescent="0.25">
      <c r="A40" s="41" t="s">
        <v>269</v>
      </c>
      <c r="F40" s="41">
        <v>130.36213460215461</v>
      </c>
      <c r="G40" s="41">
        <v>135.10234708981631</v>
      </c>
      <c r="H40" s="41">
        <v>139.84898482374959</v>
      </c>
      <c r="I40" s="41">
        <v>143.34284300378749</v>
      </c>
      <c r="J40" s="41">
        <v>140.84801166797729</v>
      </c>
      <c r="K40" s="41">
        <v>139.1995659038333</v>
      </c>
      <c r="L40" s="41">
        <v>137.50637252497501</v>
      </c>
      <c r="M40" s="41">
        <v>136.01749829518079</v>
      </c>
      <c r="N40" s="41">
        <v>134.79642246357241</v>
      </c>
      <c r="O40" s="41">
        <v>136.3604137370815</v>
      </c>
      <c r="P40" s="41">
        <v>138.44796553942189</v>
      </c>
      <c r="Q40" s="41">
        <v>140.19532946592409</v>
      </c>
      <c r="R40" s="41">
        <v>143.21401920891699</v>
      </c>
      <c r="S40" s="41">
        <v>140.28476209544991</v>
      </c>
      <c r="T40" s="41">
        <v>139.66649724286711</v>
      </c>
      <c r="U40" s="41">
        <v>141.85117570491701</v>
      </c>
      <c r="V40" s="41">
        <v>139.41935763646941</v>
      </c>
      <c r="W40" s="41">
        <v>140.84057056815959</v>
      </c>
      <c r="X40" s="41">
        <v>143.99681648456291</v>
      </c>
      <c r="Y40" s="41">
        <v>143.20205022034921</v>
      </c>
      <c r="Z40" s="41">
        <v>139.99790335427119</v>
      </c>
      <c r="AA40" s="41">
        <v>141.52353187302711</v>
      </c>
      <c r="AB40" s="41">
        <v>142.44300807643961</v>
      </c>
      <c r="AC40" s="41">
        <v>142.7474391421762</v>
      </c>
    </row>
    <row r="41" spans="1:29" ht="15" customHeight="1" x14ac:dyDescent="0.25">
      <c r="A41" s="41" t="s">
        <v>270</v>
      </c>
      <c r="F41" s="41">
        <v>129.7584541383126</v>
      </c>
      <c r="G41" s="41">
        <v>131.14940589834549</v>
      </c>
      <c r="H41" s="41">
        <v>136.6339301175035</v>
      </c>
      <c r="I41" s="41">
        <v>133.000731821535</v>
      </c>
      <c r="J41" s="41">
        <v>132.263250479134</v>
      </c>
      <c r="K41" s="41">
        <v>132.1268551016222</v>
      </c>
      <c r="L41" s="41">
        <v>129.46931995998941</v>
      </c>
      <c r="M41" s="41">
        <v>127.64167051536511</v>
      </c>
      <c r="N41" s="41">
        <v>126.8860106051836</v>
      </c>
      <c r="O41" s="41">
        <v>128.7821950057909</v>
      </c>
      <c r="P41" s="41">
        <v>128.1170688313583</v>
      </c>
      <c r="Q41" s="41">
        <v>126.889518848135</v>
      </c>
      <c r="R41" s="41">
        <v>127.90548307198419</v>
      </c>
      <c r="S41" s="41">
        <v>130.33996630796139</v>
      </c>
      <c r="T41" s="41">
        <v>132.2162848591876</v>
      </c>
      <c r="U41" s="41">
        <v>134.3274554599293</v>
      </c>
      <c r="V41" s="41">
        <v>133.726573874058</v>
      </c>
      <c r="W41" s="41">
        <v>135.26208320332839</v>
      </c>
      <c r="X41" s="41">
        <v>135.5910527291403</v>
      </c>
      <c r="Y41" s="41">
        <v>136.1150924521738</v>
      </c>
      <c r="Z41" s="41">
        <v>136.27239193999549</v>
      </c>
      <c r="AA41" s="41">
        <v>138.64294459816171</v>
      </c>
      <c r="AB41" s="41">
        <v>139.40566776410881</v>
      </c>
      <c r="AC41" s="41">
        <v>141.83465494425451</v>
      </c>
    </row>
    <row r="42" spans="1:29" ht="15" customHeight="1" x14ac:dyDescent="0.25">
      <c r="A42" s="41" t="s">
        <v>271</v>
      </c>
      <c r="F42" s="41">
        <v>129.7584541383126</v>
      </c>
      <c r="G42" s="41">
        <v>131.14940589834549</v>
      </c>
      <c r="H42" s="41">
        <v>136.6339301175035</v>
      </c>
      <c r="I42" s="41">
        <v>133.000731821535</v>
      </c>
      <c r="J42" s="41">
        <v>132.263250479134</v>
      </c>
      <c r="K42" s="41">
        <v>132.1268551016222</v>
      </c>
      <c r="L42" s="41">
        <v>129.46931995998941</v>
      </c>
      <c r="M42" s="41">
        <v>127.64167051536511</v>
      </c>
      <c r="N42" s="41">
        <v>126.8860106051836</v>
      </c>
      <c r="O42" s="41">
        <v>128.7821950057909</v>
      </c>
      <c r="P42" s="41">
        <v>128.1170688313583</v>
      </c>
      <c r="Q42" s="41">
        <v>126.9734806773904</v>
      </c>
      <c r="R42" s="41">
        <v>127.8621744723512</v>
      </c>
      <c r="S42" s="41">
        <v>130.37167689227351</v>
      </c>
      <c r="T42" s="41">
        <v>132.22708829983449</v>
      </c>
      <c r="U42" s="41">
        <v>134.09960064884851</v>
      </c>
      <c r="V42" s="41">
        <v>133.29724130482941</v>
      </c>
      <c r="W42" s="41">
        <v>134.80923673240389</v>
      </c>
      <c r="X42" s="41">
        <v>135.15495396617749</v>
      </c>
      <c r="Y42" s="41">
        <v>135.89797954355311</v>
      </c>
      <c r="Z42" s="41">
        <v>136.21856881392691</v>
      </c>
      <c r="AA42" s="41">
        <v>138.48360918656371</v>
      </c>
      <c r="AB42" s="41">
        <v>139.2425545426448</v>
      </c>
      <c r="AC42" s="41">
        <v>141.82690168927871</v>
      </c>
    </row>
  </sheetData>
  <mergeCells count="2">
    <mergeCell ref="AI1:AJ1"/>
    <mergeCell ref="AI2:AJ2"/>
  </mergeCells>
  <pageMargins left="0.7" right="0.7" top="0.75" bottom="0.75" header="0.3" footer="0.3"/>
  <pageSetup orientation="portrait" horizontalDpi="204" verticalDpi="1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8"/>
  <sheetViews>
    <sheetView topLeftCell="N1" zoomScale="160" zoomScaleNormal="160" workbookViewId="0">
      <selection activeCell="AC4" sqref="AC4"/>
    </sheetView>
  </sheetViews>
  <sheetFormatPr defaultColWidth="9.1796875" defaultRowHeight="15" customHeight="1" x14ac:dyDescent="0.25"/>
  <cols>
    <col min="1" max="1" width="25" style="41" customWidth="1"/>
    <col min="2" max="31" width="5.26953125" style="41" customWidth="1"/>
    <col min="32" max="82" width="9.1796875" style="41" customWidth="1"/>
    <col min="83" max="16384" width="9.1796875" style="41"/>
  </cols>
  <sheetData>
    <row r="1" spans="1:36" ht="30" customHeight="1" x14ac:dyDescent="0.35">
      <c r="A1" s="35" t="s">
        <v>33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 t="s">
        <v>21</v>
      </c>
      <c r="AA1" s="28" t="s">
        <v>22</v>
      </c>
      <c r="AB1" s="28" t="s">
        <v>23</v>
      </c>
      <c r="AC1" s="28" t="s">
        <v>24</v>
      </c>
      <c r="AD1" s="28" t="s">
        <v>228</v>
      </c>
      <c r="AE1" s="56" t="s">
        <v>229</v>
      </c>
      <c r="AG1" s="28" t="s">
        <v>230</v>
      </c>
      <c r="AH1" s="79" t="s">
        <v>231</v>
      </c>
      <c r="AI1" s="132" t="s">
        <v>232</v>
      </c>
      <c r="AJ1" s="133"/>
    </row>
    <row r="2" spans="1:36" ht="15" customHeight="1" thickBot="1" x14ac:dyDescent="0.4">
      <c r="A2" s="38" t="s">
        <v>233</v>
      </c>
      <c r="B2" s="12">
        <f>'Data Tables (Q)'!B20</f>
        <v>131.17685376203161</v>
      </c>
      <c r="C2" s="12">
        <f>'Data Tables (Q)'!C20</f>
        <v>136.73937959782319</v>
      </c>
      <c r="D2" s="12">
        <f>'Data Tables (Q)'!D20</f>
        <v>136.8034875784119</v>
      </c>
      <c r="E2" s="12">
        <f>'Data Tables (Q)'!E20</f>
        <v>132.5380299719825</v>
      </c>
      <c r="F2" s="12">
        <f>'Data Tables (Q)'!F20</f>
        <v>131.13303029419251</v>
      </c>
      <c r="G2" s="12">
        <f>'Data Tables (Q)'!G20</f>
        <v>132.90504284604401</v>
      </c>
      <c r="H2" s="12">
        <f>'Data Tables (Q)'!H20</f>
        <v>133.9304786690208</v>
      </c>
      <c r="I2" s="12">
        <f>'Data Tables (Q)'!I20</f>
        <v>132.8038095162421</v>
      </c>
      <c r="J2" s="12">
        <f>'Data Tables (Q)'!J20</f>
        <v>135.4481125583965</v>
      </c>
      <c r="K2" s="12">
        <f>'Data Tables (Q)'!K20</f>
        <v>135.1873517847032</v>
      </c>
      <c r="L2" s="12">
        <f>'Data Tables (Q)'!L20</f>
        <v>134.94601738902409</v>
      </c>
      <c r="M2" s="12">
        <f>'Data Tables (Q)'!M20</f>
        <v>132.89927866287411</v>
      </c>
      <c r="N2" s="12">
        <f>'Data Tables (Q)'!N20</f>
        <v>134.06325322076779</v>
      </c>
      <c r="O2" s="12">
        <f>'Data Tables (Q)'!O20</f>
        <v>136.81720801029189</v>
      </c>
      <c r="P2" s="12">
        <f>'Data Tables (Q)'!P20</f>
        <v>138.00243272817349</v>
      </c>
      <c r="Q2" s="12">
        <f>'Data Tables (Q)'!Q20</f>
        <v>139.7779316361283</v>
      </c>
      <c r="R2" s="12">
        <f>'Data Tables (Q)'!R20</f>
        <v>141.27719036447311</v>
      </c>
      <c r="S2" s="12">
        <f>'Data Tables (Q)'!S20</f>
        <v>140.587337420209</v>
      </c>
      <c r="T2" s="12">
        <f>'Data Tables (Q)'!T20</f>
        <v>140.72102580751559</v>
      </c>
      <c r="U2" s="12">
        <f>'Data Tables (Q)'!U20</f>
        <v>139.0251422865112</v>
      </c>
      <c r="V2" s="12">
        <f>'Data Tables (Q)'!V20</f>
        <v>138.131634820861</v>
      </c>
      <c r="W2" s="12">
        <f>'Data Tables (Q)'!W20</f>
        <v>140.1735622972094</v>
      </c>
      <c r="X2" s="12">
        <f>'Data Tables (Q)'!X20</f>
        <v>141.55375224123731</v>
      </c>
      <c r="Y2" s="12">
        <f>'Data Tables (Q)'!Y20</f>
        <v>139.97097369283409</v>
      </c>
      <c r="Z2" s="12">
        <f>'Data Tables (Q)'!Z20</f>
        <v>139.83315040104489</v>
      </c>
      <c r="AA2" s="12">
        <f>'Data Tables (Q)'!AA20</f>
        <v>140.63433560368551</v>
      </c>
      <c r="AB2" s="12">
        <f>'Data Tables (Q)'!AB20</f>
        <v>140.9638839291236</v>
      </c>
      <c r="AC2" s="12">
        <f>'Data Tables (Q)'!AC20</f>
        <v>141.85748818430829</v>
      </c>
      <c r="AD2" s="12">
        <f>'Data Tables (Q)'!AD20</f>
        <v>142.89839937409431</v>
      </c>
      <c r="AE2" s="12">
        <f>'Data Tables (M)'!BS20*AH2+AG2*(1-AH2)</f>
        <v>140.73303315857291</v>
      </c>
      <c r="AG2" s="61">
        <f>'t-1 Data Table'!N5</f>
        <v>142</v>
      </c>
      <c r="AH2" s="75">
        <v>1</v>
      </c>
      <c r="AI2" s="134">
        <v>0</v>
      </c>
      <c r="AJ2" s="135"/>
    </row>
    <row r="3" spans="1:36" ht="15" hidden="1" customHeight="1" x14ac:dyDescent="0.25">
      <c r="A3" s="43" t="s">
        <v>234</v>
      </c>
      <c r="B3" s="13">
        <f>'Data Tables (Q)'!B21*AI2</f>
        <v>0</v>
      </c>
      <c r="C3" s="13">
        <f>'Data Tables (Q)'!C21*AJ2</f>
        <v>0</v>
      </c>
      <c r="D3" s="13">
        <f>'Data Tables (Q)'!D21*AK2</f>
        <v>0</v>
      </c>
      <c r="E3" s="13">
        <f>'Data Tables (Q)'!E21*AL2</f>
        <v>0</v>
      </c>
      <c r="F3" s="13">
        <f>'Data Tables (Q)'!F21*AM2</f>
        <v>0</v>
      </c>
      <c r="G3" s="13">
        <f>'Data Tables (Q)'!G21*AN2</f>
        <v>0</v>
      </c>
      <c r="H3" s="13">
        <f>'Data Tables (Q)'!H21*AO2</f>
        <v>0</v>
      </c>
      <c r="I3" s="13">
        <f>'Data Tables (Q)'!I21*AP2</f>
        <v>0</v>
      </c>
      <c r="J3" s="13">
        <f>'Data Tables (Q)'!J21*AQ2</f>
        <v>0</v>
      </c>
      <c r="K3" s="13">
        <f>'Data Tables (Q)'!K21*AR2</f>
        <v>0</v>
      </c>
      <c r="L3" s="13">
        <f>'Data Tables (Q)'!L21*AS2</f>
        <v>0</v>
      </c>
      <c r="M3" s="13">
        <f>'Data Tables (Q)'!M21*AT2</f>
        <v>0</v>
      </c>
      <c r="N3" s="13">
        <f>'Data Tables (Q)'!N21*AU2</f>
        <v>0</v>
      </c>
      <c r="O3" s="13">
        <f>'Data Tables (Q)'!O21*AV2</f>
        <v>0</v>
      </c>
      <c r="P3" s="13">
        <f>'Data Tables (Q)'!P21*AW2</f>
        <v>0</v>
      </c>
      <c r="Q3" s="13">
        <f>'Data Tables (Q)'!Q21*AX2</f>
        <v>0</v>
      </c>
      <c r="R3" s="13">
        <f>'Data Tables (Q)'!R21*AY2</f>
        <v>0</v>
      </c>
      <c r="S3" s="13">
        <f>'Data Tables (Q)'!S21*AZ2</f>
        <v>0</v>
      </c>
      <c r="T3" s="13">
        <f>'Data Tables (Q)'!T21*BA2</f>
        <v>0</v>
      </c>
      <c r="U3" s="13">
        <f>'Data Tables (Q)'!U21*BB2</f>
        <v>0</v>
      </c>
      <c r="V3" s="13">
        <f>'Data Tables (Q)'!V21*BC2</f>
        <v>0</v>
      </c>
      <c r="W3" s="13">
        <f>'Data Tables (Q)'!W21*BD2</f>
        <v>0</v>
      </c>
      <c r="X3" s="13">
        <f>'Data Tables (Q)'!X21*BE2</f>
        <v>0</v>
      </c>
      <c r="Y3" s="13">
        <f>'Data Tables (Q)'!Y21*BF2</f>
        <v>0</v>
      </c>
      <c r="Z3" s="13">
        <f>'Data Tables (Q)'!Z21*BG2</f>
        <v>0</v>
      </c>
      <c r="AA3" s="13">
        <f>'Data Tables (Q)'!AA21*BH2</f>
        <v>0</v>
      </c>
      <c r="AB3" s="13">
        <f>'Data Tables (Q)'!AB21*BI2</f>
        <v>0</v>
      </c>
      <c r="AC3" s="13">
        <f>'Data Tables (Q)'!AC21*BJ2</f>
        <v>0</v>
      </c>
      <c r="AD3" s="13">
        <f>'Data Tables (Q)'!AD21*BK2</f>
        <v>0</v>
      </c>
      <c r="AE3" s="13">
        <f>('Data Tables (M)'!BC21*AH3+AG3*(1-AH3))*$AI$2</f>
        <v>0</v>
      </c>
      <c r="AG3" s="44">
        <v>0</v>
      </c>
      <c r="AH3" s="17">
        <v>1</v>
      </c>
    </row>
    <row r="4" spans="1:36" ht="30" customHeight="1" x14ac:dyDescent="0.25">
      <c r="A4" s="36" t="s">
        <v>235</v>
      </c>
      <c r="B4" s="13">
        <f>'Data Tables (Q)'!B22</f>
        <v>-0.32795420321664892</v>
      </c>
      <c r="C4" s="13">
        <f>'Data Tables (Q)'!C22</f>
        <v>0.20210618150272811</v>
      </c>
      <c r="D4" s="13">
        <f>'Data Tables (Q)'!D22</f>
        <v>-0.1941306522697914</v>
      </c>
      <c r="E4" s="13">
        <f>'Data Tables (Q)'!E22</f>
        <v>4.6002039495817833E-2</v>
      </c>
      <c r="F4" s="13">
        <f>'Data Tables (Q)'!F22</f>
        <v>0.5322460588374156</v>
      </c>
      <c r="G4" s="13">
        <f>'Data Tables (Q)'!G22</f>
        <v>0.71345068737792872</v>
      </c>
      <c r="H4" s="13">
        <f>'Data Tables (Q)'!H22</f>
        <v>-0.27007228826684582</v>
      </c>
      <c r="I4" s="13">
        <f>'Data Tables (Q)'!I22</f>
        <v>-0.83970892481812598</v>
      </c>
      <c r="J4" s="13">
        <f>'Data Tables (Q)'!J22</f>
        <v>-0.28336521895332112</v>
      </c>
      <c r="K4" s="13">
        <f>'Data Tables (Q)'!K22</f>
        <v>9.654683198820635E-2</v>
      </c>
      <c r="L4" s="13">
        <f>'Data Tables (Q)'!L22</f>
        <v>-9.8860349817442739E-2</v>
      </c>
      <c r="M4" s="13">
        <f>'Data Tables (Q)'!M22</f>
        <v>-1.1380306289850071</v>
      </c>
      <c r="N4" s="13">
        <f>'Data Tables (Q)'!N22</f>
        <v>-1.0378799228914199</v>
      </c>
      <c r="O4" s="13">
        <f>'Data Tables (Q)'!O22</f>
        <v>0.13115546579882681</v>
      </c>
      <c r="P4" s="13">
        <f>'Data Tables (Q)'!P22</f>
        <v>0.1914261874962051</v>
      </c>
      <c r="Q4" s="13">
        <f>'Data Tables (Q)'!Q22</f>
        <v>-7.3111642794515319E-2</v>
      </c>
      <c r="R4" s="13">
        <f>'Data Tables (Q)'!R22</f>
        <v>0.75034850399856623</v>
      </c>
      <c r="S4" s="13">
        <f>'Data Tables (Q)'!S22</f>
        <v>0.82560055919651631</v>
      </c>
      <c r="T4" s="13">
        <f>'Data Tables (Q)'!T22</f>
        <v>0.86082023840722854</v>
      </c>
      <c r="U4" s="13">
        <f>'Data Tables (Q)'!U22</f>
        <v>0.25128083158347181</v>
      </c>
      <c r="V4" s="13">
        <f>'Data Tables (Q)'!V22</f>
        <v>-9.494944155238727E-2</v>
      </c>
      <c r="W4" s="13">
        <f>'Data Tables (Q)'!W22</f>
        <v>6.6801119720025781E-3</v>
      </c>
      <c r="X4" s="13">
        <f>'Data Tables (Q)'!X22</f>
        <v>0.37649878797637371</v>
      </c>
      <c r="Y4" s="13">
        <f>'Data Tables (Q)'!Y22</f>
        <v>0.43243354153955238</v>
      </c>
      <c r="Z4" s="13">
        <f>'Data Tables (Q)'!Z22</f>
        <v>1.0053153866700479</v>
      </c>
      <c r="AA4" s="13">
        <f>'Data Tables (Q)'!AA22</f>
        <v>1.11175795076187</v>
      </c>
      <c r="AB4" s="13">
        <f>'Data Tables (Q)'!AB22</f>
        <v>1.8168112537537411</v>
      </c>
      <c r="AC4" s="13">
        <f>'Data Tables (Q)'!AC22</f>
        <v>2.6050902199873458</v>
      </c>
      <c r="AD4" s="13">
        <f>'Data Tables (Q)'!AD22</f>
        <v>2.0098244678822819</v>
      </c>
      <c r="AE4" s="13">
        <f>'Data Tables (M)'!BS22*AH4+AG4*(1-AH4)</f>
        <v>1.56373320597865</v>
      </c>
      <c r="AG4" s="44"/>
      <c r="AH4" s="17">
        <v>1</v>
      </c>
    </row>
    <row r="5" spans="1:36" ht="30" customHeight="1" x14ac:dyDescent="0.25">
      <c r="A5" s="38" t="s">
        <v>236</v>
      </c>
      <c r="B5" s="12">
        <f>'Data Tables (Q)'!B23</f>
        <v>-0.48077299177805338</v>
      </c>
      <c r="C5" s="12">
        <f>'Data Tables (Q)'!C23</f>
        <v>0.29742496784831468</v>
      </c>
      <c r="D5" s="12">
        <f>'Data Tables (Q)'!D23</f>
        <v>0.2883950748326356</v>
      </c>
      <c r="E5" s="12">
        <f>'Data Tables (Q)'!E23</f>
        <v>0.13368594129383379</v>
      </c>
      <c r="F5" s="12">
        <f>'Data Tables (Q)'!F23</f>
        <v>-0.35590628623191378</v>
      </c>
      <c r="G5" s="12">
        <f>'Data Tables (Q)'!G23</f>
        <v>-0.39916325691257271</v>
      </c>
      <c r="H5" s="12">
        <f>'Data Tables (Q)'!H23</f>
        <v>1.5803735301147981E-2</v>
      </c>
      <c r="I5" s="12">
        <f>'Data Tables (Q)'!I23</f>
        <v>0.29142925755874671</v>
      </c>
      <c r="J5" s="12">
        <f>'Data Tables (Q)'!J23</f>
        <v>0.22685780712737369</v>
      </c>
      <c r="K5" s="12">
        <f>'Data Tables (Q)'!K23</f>
        <v>0.15910037670965951</v>
      </c>
      <c r="L5" s="12">
        <f>'Data Tables (Q)'!L23</f>
        <v>-0.16651054569609869</v>
      </c>
      <c r="M5" s="12">
        <f>'Data Tables (Q)'!M23</f>
        <v>-0.64123410559412264</v>
      </c>
      <c r="N5" s="12">
        <f>'Data Tables (Q)'!N23</f>
        <v>-1.406421035983783</v>
      </c>
      <c r="O5" s="12">
        <f>'Data Tables (Q)'!O23</f>
        <v>-1.3721178227969519</v>
      </c>
      <c r="P5" s="12">
        <f>'Data Tables (Q)'!P23</f>
        <v>-1.355936225063999</v>
      </c>
      <c r="Q5" s="12">
        <f>'Data Tables (Q)'!Q23</f>
        <v>-1.298567162626824</v>
      </c>
      <c r="R5" s="12">
        <f>'Data Tables (Q)'!R23</f>
        <v>-1.229673203613459</v>
      </c>
      <c r="S5" s="12">
        <f>'Data Tables (Q)'!S23</f>
        <v>-1.4790927891037879</v>
      </c>
      <c r="T5" s="12">
        <f>'Data Tables (Q)'!T23</f>
        <v>-1.4399127203864741</v>
      </c>
      <c r="U5" s="12">
        <f>'Data Tables (Q)'!U23</f>
        <v>-1.435633622756711</v>
      </c>
      <c r="V5" s="12">
        <f>'Data Tables (Q)'!V23</f>
        <v>-1.463722377214111</v>
      </c>
      <c r="W5" s="12">
        <f>'Data Tables (Q)'!W23</f>
        <v>-1.1069719894153141</v>
      </c>
      <c r="X5" s="12">
        <f>'Data Tables (Q)'!X23</f>
        <v>-0.6383671688126924</v>
      </c>
      <c r="Y5" s="12">
        <f>'Data Tables (Q)'!Y23</f>
        <v>0.44202526274585813</v>
      </c>
      <c r="Z5" s="12">
        <f>'Data Tables (Q)'!Z23</f>
        <v>0.22940979528780761</v>
      </c>
      <c r="AA5" s="12">
        <f>'Data Tables (Q)'!AA23</f>
        <v>0.23943624345429271</v>
      </c>
      <c r="AB5" s="12">
        <f>'Data Tables (Q)'!AB23</f>
        <v>0.95567212066643492</v>
      </c>
      <c r="AC5" s="12">
        <f>'Data Tables (Q)'!AC23</f>
        <v>1.511380659816695</v>
      </c>
      <c r="AD5" s="12">
        <f>'Data Tables (Q)'!AD23</f>
        <v>1.511298575462575</v>
      </c>
      <c r="AE5" s="12">
        <f>'Data Tables (M)'!BS23*AH5+AG5*(1-AH5)</f>
        <v>0.23686580412277181</v>
      </c>
      <c r="AG5" s="44"/>
      <c r="AH5" s="17">
        <v>1</v>
      </c>
    </row>
    <row r="6" spans="1:36" ht="15" customHeight="1" x14ac:dyDescent="0.25">
      <c r="A6" s="36" t="s">
        <v>237</v>
      </c>
      <c r="B6" s="13">
        <f t="shared" ref="B6:AE6" si="0">(194%/B10-1)/10%*1.7</f>
        <v>-1.6644079398853338</v>
      </c>
      <c r="C6" s="13">
        <f t="shared" si="0"/>
        <v>-2.0592830130442796</v>
      </c>
      <c r="D6" s="13">
        <f t="shared" si="0"/>
        <v>-1.367467376861734</v>
      </c>
      <c r="E6" s="13">
        <f t="shared" si="0"/>
        <v>-1.2016962799693842</v>
      </c>
      <c r="F6" s="13">
        <f t="shared" si="0"/>
        <v>-1.0010974653117399E-3</v>
      </c>
      <c r="G6" s="13">
        <f t="shared" si="0"/>
        <v>-2.8926450856333052E-2</v>
      </c>
      <c r="H6" s="13">
        <f t="shared" si="0"/>
        <v>0.35434236504907579</v>
      </c>
      <c r="I6" s="13">
        <f t="shared" si="0"/>
        <v>-0.73971065124333102</v>
      </c>
      <c r="J6" s="13">
        <f t="shared" si="0"/>
        <v>2.0239497152280621</v>
      </c>
      <c r="K6" s="13">
        <f t="shared" si="0"/>
        <v>4.8086239069706096</v>
      </c>
      <c r="L6" s="13">
        <f t="shared" si="0"/>
        <v>3.3918271969411489</v>
      </c>
      <c r="M6" s="13">
        <f t="shared" si="0"/>
        <v>2.5519012516669908</v>
      </c>
      <c r="N6" s="13">
        <f t="shared" si="0"/>
        <v>2.9067230109133386</v>
      </c>
      <c r="O6" s="13">
        <f t="shared" si="0"/>
        <v>2.7926196943554302</v>
      </c>
      <c r="P6" s="13">
        <f t="shared" si="0"/>
        <v>2.5483179823630389</v>
      </c>
      <c r="Q6" s="13">
        <f t="shared" si="0"/>
        <v>2.5448158606261075</v>
      </c>
      <c r="R6" s="13">
        <f t="shared" si="0"/>
        <v>2.0318800988087586</v>
      </c>
      <c r="S6" s="13">
        <f t="shared" si="0"/>
        <v>4.409097666773599</v>
      </c>
      <c r="T6" s="13">
        <f t="shared" si="0"/>
        <v>5.0332926220815501</v>
      </c>
      <c r="U6" s="13">
        <f t="shared" si="0"/>
        <v>5.567832149584941</v>
      </c>
      <c r="V6" s="13">
        <f t="shared" si="0"/>
        <v>5.235130974919084</v>
      </c>
      <c r="W6" s="13">
        <f t="shared" si="0"/>
        <v>5.328628903686397</v>
      </c>
      <c r="X6" s="13">
        <f t="shared" si="0"/>
        <v>5.1245756487105352</v>
      </c>
      <c r="Y6" s="13">
        <f t="shared" si="0"/>
        <v>5.2098344148380225</v>
      </c>
      <c r="Z6" s="13">
        <f t="shared" si="0"/>
        <v>5.1666469020677797</v>
      </c>
      <c r="AA6" s="13">
        <f t="shared" si="0"/>
        <v>6.0848515660240068</v>
      </c>
      <c r="AB6" s="13">
        <f t="shared" si="0"/>
        <v>6.1510730999354069</v>
      </c>
      <c r="AC6" s="13">
        <f t="shared" si="0"/>
        <v>6.2080978319684919</v>
      </c>
      <c r="AD6" s="13">
        <f t="shared" si="0"/>
        <v>5.7124080299435889</v>
      </c>
      <c r="AE6" s="13">
        <f t="shared" si="0"/>
        <v>6.6906157720752377</v>
      </c>
      <c r="AH6" s="16"/>
    </row>
    <row r="7" spans="1:36" ht="15" customHeight="1" x14ac:dyDescent="0.25">
      <c r="A7" s="38" t="s">
        <v>30</v>
      </c>
      <c r="B7" s="12">
        <f t="shared" ref="B7:AE7" si="1">SUM(B2:B6)</f>
        <v>128.70371862715157</v>
      </c>
      <c r="C7" s="12">
        <f t="shared" si="1"/>
        <v>135.17962773412995</v>
      </c>
      <c r="D7" s="12">
        <f t="shared" si="1"/>
        <v>135.53028462411302</v>
      </c>
      <c r="E7" s="12">
        <f t="shared" si="1"/>
        <v>131.51602167280276</v>
      </c>
      <c r="F7" s="12">
        <f t="shared" si="1"/>
        <v>131.30836896933269</v>
      </c>
      <c r="G7" s="12">
        <f t="shared" si="1"/>
        <v>133.19040382565302</v>
      </c>
      <c r="H7" s="12">
        <f t="shared" si="1"/>
        <v>134.03055248110417</v>
      </c>
      <c r="I7" s="12">
        <f t="shared" si="1"/>
        <v>131.51581919773938</v>
      </c>
      <c r="J7" s="12">
        <f t="shared" si="1"/>
        <v>137.41555486179863</v>
      </c>
      <c r="K7" s="12">
        <f t="shared" si="1"/>
        <v>140.25162290037167</v>
      </c>
      <c r="L7" s="12">
        <f t="shared" si="1"/>
        <v>138.07247369045169</v>
      </c>
      <c r="M7" s="12">
        <f t="shared" si="1"/>
        <v>133.67191517996199</v>
      </c>
      <c r="N7" s="12">
        <f t="shared" si="1"/>
        <v>134.52567527280593</v>
      </c>
      <c r="O7" s="12">
        <f t="shared" si="1"/>
        <v>138.3688653476492</v>
      </c>
      <c r="P7" s="12">
        <f t="shared" si="1"/>
        <v>139.38624067296874</v>
      </c>
      <c r="Q7" s="12">
        <f t="shared" si="1"/>
        <v>140.95106869133306</v>
      </c>
      <c r="R7" s="12">
        <f t="shared" si="1"/>
        <v>142.82974576366698</v>
      </c>
      <c r="S7" s="12">
        <f t="shared" si="1"/>
        <v>144.34294285707531</v>
      </c>
      <c r="T7" s="12">
        <f t="shared" si="1"/>
        <v>145.17522594761789</v>
      </c>
      <c r="U7" s="12">
        <f t="shared" si="1"/>
        <v>143.4086216449229</v>
      </c>
      <c r="V7" s="12">
        <f t="shared" si="1"/>
        <v>141.80809397701358</v>
      </c>
      <c r="W7" s="12">
        <f t="shared" si="1"/>
        <v>144.40189932345248</v>
      </c>
      <c r="X7" s="12">
        <f t="shared" si="1"/>
        <v>146.41645950911152</v>
      </c>
      <c r="Y7" s="12">
        <f t="shared" si="1"/>
        <v>146.05526691195752</v>
      </c>
      <c r="Z7" s="12">
        <f t="shared" si="1"/>
        <v>146.23452248507053</v>
      </c>
      <c r="AA7" s="12">
        <f t="shared" si="1"/>
        <v>148.07038136392569</v>
      </c>
      <c r="AB7" s="12">
        <f t="shared" si="1"/>
        <v>149.88744040347919</v>
      </c>
      <c r="AC7" s="12">
        <f t="shared" si="1"/>
        <v>152.18205689608084</v>
      </c>
      <c r="AD7" s="12">
        <f t="shared" si="1"/>
        <v>152.13193044738276</v>
      </c>
      <c r="AE7" s="12">
        <f t="shared" si="1"/>
        <v>149.22424794074956</v>
      </c>
      <c r="AH7" s="16"/>
    </row>
    <row r="8" spans="1:36" ht="15" customHeight="1" x14ac:dyDescent="0.25">
      <c r="A8" s="40"/>
      <c r="B8" s="47">
        <f t="shared" ref="B8:AE8" si="2">B2+B4</f>
        <v>130.84889955881496</v>
      </c>
      <c r="C8" s="47">
        <f t="shared" si="2"/>
        <v>136.94148577932592</v>
      </c>
      <c r="D8" s="47">
        <f t="shared" si="2"/>
        <v>136.60935692614211</v>
      </c>
      <c r="E8" s="47">
        <f t="shared" si="2"/>
        <v>132.58403201147831</v>
      </c>
      <c r="F8" s="47">
        <f t="shared" si="2"/>
        <v>131.66527635302992</v>
      </c>
      <c r="G8" s="47">
        <f t="shared" si="2"/>
        <v>133.61849353342194</v>
      </c>
      <c r="H8" s="47">
        <f t="shared" si="2"/>
        <v>133.66040638075395</v>
      </c>
      <c r="I8" s="47">
        <f t="shared" si="2"/>
        <v>131.96410059142397</v>
      </c>
      <c r="J8" s="47">
        <f t="shared" si="2"/>
        <v>135.16474733944318</v>
      </c>
      <c r="K8" s="47">
        <f t="shared" si="2"/>
        <v>135.2838986166914</v>
      </c>
      <c r="L8" s="47">
        <f t="shared" si="2"/>
        <v>134.84715703920665</v>
      </c>
      <c r="M8" s="47">
        <f t="shared" si="2"/>
        <v>131.7612480338891</v>
      </c>
      <c r="N8" s="47">
        <f t="shared" si="2"/>
        <v>133.02537329787637</v>
      </c>
      <c r="O8" s="47">
        <f t="shared" si="2"/>
        <v>136.94836347609072</v>
      </c>
      <c r="P8" s="47">
        <f t="shared" si="2"/>
        <v>138.19385891566969</v>
      </c>
      <c r="Q8" s="47">
        <f t="shared" si="2"/>
        <v>139.70481999333379</v>
      </c>
      <c r="R8" s="47">
        <f t="shared" si="2"/>
        <v>142.02753886847168</v>
      </c>
      <c r="S8" s="47">
        <f t="shared" si="2"/>
        <v>141.41293797940551</v>
      </c>
      <c r="T8" s="47">
        <f t="shared" si="2"/>
        <v>141.58184604592282</v>
      </c>
      <c r="U8" s="47">
        <f t="shared" si="2"/>
        <v>139.27642311809467</v>
      </c>
      <c r="V8" s="47">
        <f t="shared" si="2"/>
        <v>138.03668537930861</v>
      </c>
      <c r="W8" s="47">
        <f t="shared" si="2"/>
        <v>140.1802424091814</v>
      </c>
      <c r="X8" s="47">
        <f t="shared" si="2"/>
        <v>141.93025102921368</v>
      </c>
      <c r="Y8" s="47">
        <f t="shared" si="2"/>
        <v>140.40340723437365</v>
      </c>
      <c r="Z8" s="47">
        <f t="shared" si="2"/>
        <v>140.83846578771494</v>
      </c>
      <c r="AA8" s="47">
        <f t="shared" si="2"/>
        <v>141.74609355444738</v>
      </c>
      <c r="AB8" s="47">
        <f t="shared" si="2"/>
        <v>142.78069518287734</v>
      </c>
      <c r="AC8" s="47">
        <f t="shared" si="2"/>
        <v>144.46257840429564</v>
      </c>
      <c r="AD8" s="47">
        <f t="shared" si="2"/>
        <v>144.90822384197659</v>
      </c>
      <c r="AE8" s="47">
        <f t="shared" si="2"/>
        <v>142.29676636455156</v>
      </c>
      <c r="AH8" s="16"/>
    </row>
    <row r="9" spans="1:36" ht="15" customHeight="1" x14ac:dyDescent="0.25">
      <c r="A9" s="42" t="s">
        <v>238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H9" s="16"/>
    </row>
    <row r="10" spans="1:36" ht="15" customHeight="1" x14ac:dyDescent="0.25">
      <c r="A10" s="36" t="s">
        <v>239</v>
      </c>
      <c r="B10" s="81">
        <f>'Data Tables (Q)'!B26</f>
        <v>2.1505527710127028</v>
      </c>
      <c r="C10" s="81">
        <f>'Data Tables (Q)'!C26</f>
        <v>2.2073907181826562</v>
      </c>
      <c r="D10" s="81">
        <f>'Data Tables (Q)'!D26</f>
        <v>2.109702937781504</v>
      </c>
      <c r="E10" s="81">
        <f>'Data Tables (Q)'!E26</f>
        <v>2.0875658921650411</v>
      </c>
      <c r="F10" s="81">
        <f>'Data Tables (Q)'!F26</f>
        <v>1.9401142496151591</v>
      </c>
      <c r="G10" s="81">
        <f>'Data Tables (Q)'!G26</f>
        <v>1.9433066449508209</v>
      </c>
      <c r="H10" s="81">
        <f>'Data Tables (Q)'!H26</f>
        <v>1.900388923202319</v>
      </c>
      <c r="I10" s="81">
        <f>'Data Tables (Q)'!I26</f>
        <v>2.0282541898629738</v>
      </c>
      <c r="J10" s="81">
        <f>'Data Tables (Q)'!J26</f>
        <v>1.733604245894351</v>
      </c>
      <c r="K10" s="81">
        <f>'Data Tables (Q)'!K26</f>
        <v>1.5122458042599709</v>
      </c>
      <c r="L10" s="81">
        <f>'Data Tables (Q)'!L26</f>
        <v>1.617314607537824</v>
      </c>
      <c r="M10" s="81">
        <f>'Data Tables (Q)'!M26</f>
        <v>1.686792479948114</v>
      </c>
      <c r="N10" s="81">
        <f>'Data Tables (Q)'!N26</f>
        <v>1.6567267240278361</v>
      </c>
      <c r="O10" s="81">
        <f>'Data Tables (Q)'!O26</f>
        <v>1.666277658505479</v>
      </c>
      <c r="P10" s="81">
        <f>'Data Tables (Q)'!P26</f>
        <v>1.6871016744128751</v>
      </c>
      <c r="Q10" s="81">
        <f>'Data Tables (Q)'!Q26</f>
        <v>1.6874039763372579</v>
      </c>
      <c r="R10" s="81">
        <f>'Data Tables (Q)'!R26</f>
        <v>1.732881871301001</v>
      </c>
      <c r="S10" s="81">
        <f>'Data Tables (Q)'!S26</f>
        <v>1.5404666050538021</v>
      </c>
      <c r="T10" s="81">
        <f>'Data Tables (Q)'!T26</f>
        <v>1.4968257611641651</v>
      </c>
      <c r="U10" s="81">
        <f>'Data Tables (Q)'!U26</f>
        <v>1.4613720884398971</v>
      </c>
      <c r="V10" s="81">
        <f>'Data Tables (Q)'!V26</f>
        <v>1.483238395906054</v>
      </c>
      <c r="W10" s="81">
        <f>'Data Tables (Q)'!W26</f>
        <v>1.477027548008337</v>
      </c>
      <c r="X10" s="81">
        <f>'Data Tables (Q)'!X26</f>
        <v>1.4906500591762599</v>
      </c>
      <c r="Y10" s="81">
        <f>'Data Tables (Q)'!Y26</f>
        <v>1.484927774966508</v>
      </c>
      <c r="Z10" s="81">
        <f>'Data Tables (Q)'!Z26</f>
        <v>1.487820875466894</v>
      </c>
      <c r="AA10" s="81">
        <f>'Data Tables (Q)'!AA26</f>
        <v>1.428642497686212</v>
      </c>
      <c r="AB10" s="81">
        <f>'Data Tables (Q)'!AB26</f>
        <v>1.4245559960713881</v>
      </c>
      <c r="AC10" s="81">
        <f>'Data Tables (Q)'!AC26</f>
        <v>1.421055712483726</v>
      </c>
      <c r="AD10" s="81">
        <f>'Data Tables (Q)'!AD26</f>
        <v>1.4520697213840039</v>
      </c>
      <c r="AE10" s="81">
        <f>'Data Tables (M)'!BS26*AH10+AG10*(1-AH10)</f>
        <v>1.392112400846685</v>
      </c>
      <c r="AG10" s="44"/>
      <c r="AH10" s="17">
        <v>1</v>
      </c>
    </row>
    <row r="11" spans="1:36" ht="15" customHeight="1" x14ac:dyDescent="0.25">
      <c r="A11" s="37" t="s">
        <v>240</v>
      </c>
      <c r="B11" s="83">
        <v>136.4</v>
      </c>
      <c r="C11" s="83">
        <v>141.30000000000001</v>
      </c>
      <c r="D11" s="83">
        <v>148</v>
      </c>
      <c r="E11" s="83">
        <v>151.5</v>
      </c>
      <c r="F11" s="83">
        <v>156.6</v>
      </c>
      <c r="G11" s="83">
        <v>149.5</v>
      </c>
      <c r="H11" s="83">
        <v>178.6</v>
      </c>
      <c r="I11" s="83">
        <v>176.8</v>
      </c>
      <c r="J11" s="83">
        <v>183.6</v>
      </c>
      <c r="K11" s="83">
        <v>218.6</v>
      </c>
      <c r="L11" s="83">
        <v>217</v>
      </c>
      <c r="M11" s="83">
        <v>252.9</v>
      </c>
      <c r="N11" s="83">
        <v>243.1</v>
      </c>
      <c r="O11" s="83">
        <v>245.1</v>
      </c>
      <c r="P11" s="83">
        <v>229.8</v>
      </c>
      <c r="Q11" s="83">
        <v>221.6</v>
      </c>
      <c r="R11" s="83">
        <v>229.4</v>
      </c>
      <c r="S11" s="83">
        <v>224.9</v>
      </c>
      <c r="T11" s="83">
        <v>212.6</v>
      </c>
      <c r="U11" s="83">
        <v>204.9</v>
      </c>
      <c r="V11" s="98">
        <v>204.2</v>
      </c>
      <c r="W11" s="98">
        <v>199.2</v>
      </c>
      <c r="X11" s="83">
        <v>202.8</v>
      </c>
      <c r="Y11" s="83">
        <v>203.3</v>
      </c>
      <c r="Z11" s="98"/>
      <c r="AA11" s="98">
        <v>205.86666666666699</v>
      </c>
      <c r="AB11" s="98"/>
      <c r="AC11" s="98"/>
      <c r="AD11" s="98"/>
      <c r="AE11" s="84">
        <v>203</v>
      </c>
    </row>
    <row r="12" spans="1:36" ht="15" customHeight="1" x14ac:dyDescent="0.25">
      <c r="A12" s="43" t="s">
        <v>241</v>
      </c>
      <c r="B12" s="82">
        <v>0.04</v>
      </c>
      <c r="C12" s="82">
        <v>0.11</v>
      </c>
      <c r="D12" s="82">
        <v>0.13</v>
      </c>
      <c r="E12" s="82">
        <v>0.14599999999999999</v>
      </c>
      <c r="F12" s="82">
        <v>0.2445606772966977</v>
      </c>
      <c r="G12" s="82">
        <v>0.33059155778194721</v>
      </c>
      <c r="H12" s="82">
        <v>0.1173819506419207</v>
      </c>
      <c r="I12" s="82">
        <v>0.16960024600254631</v>
      </c>
      <c r="J12" s="82">
        <v>0.13323456147240201</v>
      </c>
      <c r="K12" s="82">
        <v>-4.2561451166990949E-2</v>
      </c>
      <c r="L12" s="82">
        <v>-4.1246333166940152E-2</v>
      </c>
      <c r="M12" s="82">
        <v>-0.18913444181131661</v>
      </c>
      <c r="N12" s="82">
        <v>-0.16706463095801991</v>
      </c>
      <c r="O12" s="82">
        <v>-0.1889941003651481</v>
      </c>
      <c r="P12" s="82">
        <v>-0.14479230462822679</v>
      </c>
      <c r="Q12" s="82">
        <v>-0.1246166443921025</v>
      </c>
      <c r="R12" s="82">
        <v>-0.16400894079627171</v>
      </c>
      <c r="S12" s="82">
        <v>-0.15141755763747361</v>
      </c>
      <c r="T12" s="82">
        <v>-0.10485318971388401</v>
      </c>
      <c r="U12" s="82">
        <v>-7.0296605586842031E-2</v>
      </c>
      <c r="V12" s="82">
        <v>-6.42079923362191E-2</v>
      </c>
      <c r="W12" s="82">
        <v>-3.712872446878257E-2</v>
      </c>
      <c r="X12" s="82">
        <v>-0.03</v>
      </c>
      <c r="Y12" s="82">
        <v>-0.03</v>
      </c>
      <c r="Z12" s="82">
        <v>-0.03</v>
      </c>
      <c r="AA12" s="82">
        <v>-2.6435637765608699E-2</v>
      </c>
      <c r="AB12" s="82"/>
      <c r="AC12" s="82"/>
      <c r="AD12" s="82"/>
      <c r="AE12" s="82">
        <v>-0.03</v>
      </c>
    </row>
    <row r="13" spans="1:36" ht="15" customHeight="1" x14ac:dyDescent="0.25">
      <c r="A13" s="38" t="s">
        <v>242</v>
      </c>
      <c r="B13" s="85">
        <f t="shared" ref="B13:AA13" si="3">B12/10%*1.7</f>
        <v>0.67999999999999994</v>
      </c>
      <c r="C13" s="85">
        <f t="shared" si="3"/>
        <v>1.8699999999999997</v>
      </c>
      <c r="D13" s="85">
        <f t="shared" si="3"/>
        <v>2.21</v>
      </c>
      <c r="E13" s="85">
        <f t="shared" si="3"/>
        <v>2.4819999999999993</v>
      </c>
      <c r="F13" s="85">
        <f t="shared" si="3"/>
        <v>4.1575315140438605</v>
      </c>
      <c r="G13" s="85">
        <f t="shared" si="3"/>
        <v>5.6200564822931023</v>
      </c>
      <c r="H13" s="85">
        <f t="shared" si="3"/>
        <v>1.9954931609126518</v>
      </c>
      <c r="I13" s="85">
        <f t="shared" si="3"/>
        <v>2.8832041820432872</v>
      </c>
      <c r="J13" s="85">
        <f t="shared" si="3"/>
        <v>2.2649875450308339</v>
      </c>
      <c r="K13" s="85">
        <f t="shared" si="3"/>
        <v>-0.72354466983884613</v>
      </c>
      <c r="L13" s="85">
        <f t="shared" si="3"/>
        <v>-0.70118766383798259</v>
      </c>
      <c r="M13" s="85">
        <f t="shared" si="3"/>
        <v>-3.2152855107923823</v>
      </c>
      <c r="N13" s="85">
        <f t="shared" si="3"/>
        <v>-2.840098726286338</v>
      </c>
      <c r="O13" s="85">
        <f t="shared" si="3"/>
        <v>-3.2128997062075175</v>
      </c>
      <c r="P13" s="85">
        <f t="shared" si="3"/>
        <v>-2.4614691786798555</v>
      </c>
      <c r="Q13" s="85">
        <f t="shared" si="3"/>
        <v>-2.1184829546657422</v>
      </c>
      <c r="R13" s="85">
        <f t="shared" si="3"/>
        <v>-2.7881519935366188</v>
      </c>
      <c r="S13" s="85">
        <f t="shared" si="3"/>
        <v>-2.5740984798370512</v>
      </c>
      <c r="T13" s="85">
        <f t="shared" si="3"/>
        <v>-1.7825042251360279</v>
      </c>
      <c r="U13" s="85">
        <f t="shared" si="3"/>
        <v>-1.1950422949763144</v>
      </c>
      <c r="V13" s="85">
        <f t="shared" si="3"/>
        <v>-1.0915358697157247</v>
      </c>
      <c r="W13" s="85">
        <f t="shared" si="3"/>
        <v>-0.63118831596930369</v>
      </c>
      <c r="X13" s="85">
        <f t="shared" si="3"/>
        <v>-0.51</v>
      </c>
      <c r="Y13" s="85">
        <f t="shared" si="3"/>
        <v>-0.51</v>
      </c>
      <c r="Z13" s="85">
        <f t="shared" si="3"/>
        <v>-0.51</v>
      </c>
      <c r="AA13" s="85">
        <f t="shared" si="3"/>
        <v>-0.44940584201534789</v>
      </c>
      <c r="AB13" s="85"/>
      <c r="AC13" s="85"/>
      <c r="AD13" s="85"/>
      <c r="AE13" s="85">
        <f>AE12/10%*1.7</f>
        <v>-0.51</v>
      </c>
    </row>
    <row r="14" spans="1:36" ht="15" customHeight="1" x14ac:dyDescent="0.25">
      <c r="A14" s="36" t="s">
        <v>243</v>
      </c>
      <c r="B14" s="13">
        <f t="shared" ref="B14:AA14" si="4">B7+B13</f>
        <v>129.38371862715158</v>
      </c>
      <c r="C14" s="13">
        <f t="shared" si="4"/>
        <v>137.04962773412996</v>
      </c>
      <c r="D14" s="13">
        <f t="shared" si="4"/>
        <v>137.74028462411303</v>
      </c>
      <c r="E14" s="13">
        <f t="shared" si="4"/>
        <v>133.99802167280276</v>
      </c>
      <c r="F14" s="13">
        <f t="shared" si="4"/>
        <v>135.46590048337654</v>
      </c>
      <c r="G14" s="13">
        <f t="shared" si="4"/>
        <v>138.81046030794613</v>
      </c>
      <c r="H14" s="13">
        <f t="shared" si="4"/>
        <v>136.02604564201681</v>
      </c>
      <c r="I14" s="13">
        <f t="shared" si="4"/>
        <v>134.39902337978268</v>
      </c>
      <c r="J14" s="13">
        <f t="shared" si="4"/>
        <v>139.68054240682946</v>
      </c>
      <c r="K14" s="13">
        <f t="shared" si="4"/>
        <v>139.52807823053283</v>
      </c>
      <c r="L14" s="13">
        <f t="shared" si="4"/>
        <v>137.37128602661372</v>
      </c>
      <c r="M14" s="13">
        <f t="shared" si="4"/>
        <v>130.45662966916962</v>
      </c>
      <c r="N14" s="13">
        <f t="shared" si="4"/>
        <v>131.6855765465196</v>
      </c>
      <c r="O14" s="13">
        <f t="shared" si="4"/>
        <v>135.1559656414417</v>
      </c>
      <c r="P14" s="13">
        <f t="shared" si="4"/>
        <v>136.92477149428888</v>
      </c>
      <c r="Q14" s="13">
        <f t="shared" si="4"/>
        <v>138.83258573666731</v>
      </c>
      <c r="R14" s="13">
        <f t="shared" si="4"/>
        <v>140.04159377013036</v>
      </c>
      <c r="S14" s="13">
        <f t="shared" si="4"/>
        <v>141.76884437723825</v>
      </c>
      <c r="T14" s="13">
        <f t="shared" si="4"/>
        <v>143.39272172248187</v>
      </c>
      <c r="U14" s="13">
        <f t="shared" si="4"/>
        <v>142.2135793499466</v>
      </c>
      <c r="V14" s="13">
        <f t="shared" si="4"/>
        <v>140.71655810729786</v>
      </c>
      <c r="W14" s="13">
        <f t="shared" si="4"/>
        <v>143.77071100748319</v>
      </c>
      <c r="X14" s="13">
        <f t="shared" si="4"/>
        <v>145.90645950911153</v>
      </c>
      <c r="Y14" s="13">
        <f t="shared" si="4"/>
        <v>145.54526691195753</v>
      </c>
      <c r="Z14" s="13">
        <f t="shared" si="4"/>
        <v>145.72452248507054</v>
      </c>
      <c r="AA14" s="13">
        <f t="shared" si="4"/>
        <v>147.62097552191034</v>
      </c>
      <c r="AB14" s="13"/>
      <c r="AC14" s="13"/>
      <c r="AD14" s="13"/>
      <c r="AE14" s="13">
        <f>AE7+AE13</f>
        <v>148.71424794074957</v>
      </c>
    </row>
    <row r="15" spans="1:36" ht="15" customHeight="1" x14ac:dyDescent="0.25">
      <c r="A15" s="38" t="s">
        <v>244</v>
      </c>
      <c r="B15" s="20">
        <v>0.36336385773434893</v>
      </c>
      <c r="C15" s="20">
        <v>0.32343825579388941</v>
      </c>
      <c r="D15" s="20">
        <v>0.28323748002183913</v>
      </c>
      <c r="E15" s="20">
        <v>0.24889569008925311</v>
      </c>
      <c r="F15" s="20">
        <v>0.22848191773047061</v>
      </c>
      <c r="G15" s="20">
        <v>0.21527641254966079</v>
      </c>
      <c r="H15" s="20">
        <v>0.24687227471469181</v>
      </c>
      <c r="I15" s="20">
        <v>0.28284070935053002</v>
      </c>
      <c r="J15" s="20">
        <v>0.23888263257146189</v>
      </c>
      <c r="K15" s="20">
        <v>0.27508726109818538</v>
      </c>
      <c r="L15" s="20">
        <v>0.30977847219024052</v>
      </c>
      <c r="M15" s="20">
        <v>0.35995406356598492</v>
      </c>
      <c r="N15" s="20">
        <v>0.38207470303042618</v>
      </c>
      <c r="O15" s="20">
        <v>0.36047352680462252</v>
      </c>
      <c r="P15" s="20">
        <v>0.33974750267751219</v>
      </c>
      <c r="Q15" s="20">
        <v>0.31875734298277469</v>
      </c>
      <c r="R15" s="20">
        <v>0.3083072804522351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</row>
    <row r="16" spans="1:36" ht="15" customHeight="1" x14ac:dyDescent="0.25">
      <c r="A16" s="36" t="s">
        <v>245</v>
      </c>
      <c r="B16" s="19">
        <f t="shared" ref="B16:R16" si="5">B15-($AE$14-B14)*1%</f>
        <v>0.17005856459836899</v>
      </c>
      <c r="C16" s="19">
        <f t="shared" si="5"/>
        <v>0.20679205372769324</v>
      </c>
      <c r="D16" s="19">
        <f t="shared" si="5"/>
        <v>0.1734978468554737</v>
      </c>
      <c r="E16" s="19">
        <f t="shared" si="5"/>
        <v>0.10173342740978503</v>
      </c>
      <c r="F16" s="19">
        <f t="shared" si="5"/>
        <v>9.5998443156740304E-2</v>
      </c>
      <c r="G16" s="19">
        <f t="shared" si="5"/>
        <v>0.11623853622162636</v>
      </c>
      <c r="H16" s="19">
        <f t="shared" si="5"/>
        <v>0.11999025172736419</v>
      </c>
      <c r="I16" s="19">
        <f t="shared" si="5"/>
        <v>0.13968846374086105</v>
      </c>
      <c r="J16" s="19">
        <f t="shared" si="5"/>
        <v>0.14854557723226075</v>
      </c>
      <c r="K16" s="19">
        <f t="shared" si="5"/>
        <v>0.18322556399601791</v>
      </c>
      <c r="L16" s="19">
        <f t="shared" si="5"/>
        <v>0.19634885304888194</v>
      </c>
      <c r="M16" s="19">
        <f t="shared" si="5"/>
        <v>0.17737788085018533</v>
      </c>
      <c r="N16" s="19">
        <f t="shared" si="5"/>
        <v>0.21178798908812643</v>
      </c>
      <c r="O16" s="19">
        <f t="shared" si="5"/>
        <v>0.22489070381154375</v>
      </c>
      <c r="P16" s="19">
        <f t="shared" si="5"/>
        <v>0.22185273821290524</v>
      </c>
      <c r="Q16" s="19">
        <f t="shared" si="5"/>
        <v>0.21994072094195208</v>
      </c>
      <c r="R16" s="19">
        <f t="shared" si="5"/>
        <v>0.221580738746043</v>
      </c>
      <c r="S16" s="19"/>
      <c r="T16" s="19"/>
      <c r="U16" s="17"/>
      <c r="V16" s="17"/>
      <c r="W16" s="17"/>
      <c r="X16" s="19"/>
      <c r="Y16" s="17"/>
      <c r="Z16" s="17"/>
      <c r="AA16" s="17"/>
      <c r="AB16" s="17"/>
      <c r="AC16" s="17"/>
      <c r="AD16" s="17"/>
      <c r="AE16" s="19">
        <v>0.28100000000000003</v>
      </c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246</v>
      </c>
      <c r="B19" s="51" t="s">
        <v>247</v>
      </c>
    </row>
    <row r="20" spans="1:8" ht="15" customHeight="1" x14ac:dyDescent="0.25">
      <c r="A20" s="50" t="s">
        <v>248</v>
      </c>
      <c r="B20" s="51" t="s">
        <v>249</v>
      </c>
    </row>
    <row r="21" spans="1:8" ht="15" customHeight="1" x14ac:dyDescent="0.25">
      <c r="A21" s="50" t="s">
        <v>250</v>
      </c>
      <c r="B21" s="51" t="s">
        <v>251</v>
      </c>
    </row>
    <row r="22" spans="1:8" ht="15" customHeight="1" x14ac:dyDescent="0.25">
      <c r="A22" s="50"/>
      <c r="B22" s="51" t="s">
        <v>272</v>
      </c>
    </row>
    <row r="23" spans="1:8" ht="15" customHeight="1" x14ac:dyDescent="0.25">
      <c r="A23" s="50"/>
      <c r="B23" s="51" t="s">
        <v>252</v>
      </c>
    </row>
    <row r="24" spans="1:8" ht="15" customHeight="1" x14ac:dyDescent="0.25">
      <c r="A24" s="50" t="s">
        <v>253</v>
      </c>
      <c r="B24" s="51" t="s">
        <v>254</v>
      </c>
    </row>
    <row r="25" spans="1:8" ht="15" customHeight="1" x14ac:dyDescent="0.25">
      <c r="A25" s="50" t="s">
        <v>255</v>
      </c>
      <c r="B25" s="51" t="s">
        <v>256</v>
      </c>
    </row>
    <row r="26" spans="1:8" ht="15" customHeight="1" x14ac:dyDescent="0.25">
      <c r="A26" s="50" t="s">
        <v>257</v>
      </c>
      <c r="B26" s="51" t="s">
        <v>258</v>
      </c>
    </row>
    <row r="27" spans="1:8" ht="15" customHeight="1" x14ac:dyDescent="0.25">
      <c r="A27" s="50"/>
      <c r="B27" s="51" t="s">
        <v>259</v>
      </c>
    </row>
    <row r="28" spans="1:8" ht="15" customHeight="1" x14ac:dyDescent="0.25">
      <c r="A28" s="50" t="s">
        <v>260</v>
      </c>
      <c r="B28" s="51" t="s">
        <v>261</v>
      </c>
    </row>
  </sheetData>
  <mergeCells count="2">
    <mergeCell ref="AI1:AJ1"/>
    <mergeCell ref="AI2:AJ2"/>
  </mergeCells>
  <pageMargins left="0.7" right="0.7" top="0.75" bottom="0.75" header="0.3" footer="0.3"/>
  <pageSetup orientation="portrait" horizontalDpi="204" verticalDpi="1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28"/>
  <sheetViews>
    <sheetView tabSelected="1" topLeftCell="D1" zoomScale="160" zoomScaleNormal="160" workbookViewId="0">
      <selection activeCell="T4" sqref="T4"/>
    </sheetView>
  </sheetViews>
  <sheetFormatPr defaultColWidth="9.1796875" defaultRowHeight="15" customHeight="1" x14ac:dyDescent="0.25"/>
  <cols>
    <col min="1" max="1" width="25" style="41" customWidth="1"/>
    <col min="2" max="31" width="5.26953125" style="41" customWidth="1"/>
    <col min="32" max="82" width="9.1796875" style="41" customWidth="1"/>
    <col min="83" max="16384" width="9.1796875" style="41"/>
  </cols>
  <sheetData>
    <row r="1" spans="1:36" ht="30" customHeight="1" x14ac:dyDescent="0.35">
      <c r="A1" s="35" t="s">
        <v>34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 t="s">
        <v>21</v>
      </c>
      <c r="AA1" s="28" t="s">
        <v>22</v>
      </c>
      <c r="AB1" s="28" t="s">
        <v>23</v>
      </c>
      <c r="AC1" s="28" t="s">
        <v>24</v>
      </c>
      <c r="AD1" s="28" t="s">
        <v>228</v>
      </c>
      <c r="AE1" s="56" t="s">
        <v>229</v>
      </c>
      <c r="AG1" s="28" t="s">
        <v>230</v>
      </c>
      <c r="AH1" s="79" t="s">
        <v>231</v>
      </c>
      <c r="AI1" s="132" t="s">
        <v>232</v>
      </c>
      <c r="AJ1" s="133"/>
    </row>
    <row r="2" spans="1:36" ht="15" customHeight="1" thickBot="1" x14ac:dyDescent="0.4">
      <c r="A2" s="38" t="s">
        <v>233</v>
      </c>
      <c r="B2" s="12">
        <f>'Data Tables (Q)'!B29</f>
        <v>129.64201498749151</v>
      </c>
      <c r="C2" s="12">
        <f>'Data Tables (Q)'!C29</f>
        <v>131.65669087886269</v>
      </c>
      <c r="D2" s="12">
        <f>'Data Tables (Q)'!D29</f>
        <v>131.56906274702311</v>
      </c>
      <c r="E2" s="12">
        <f>'Data Tables (Q)'!E29</f>
        <v>129.50527432403919</v>
      </c>
      <c r="F2" s="12">
        <f>'Data Tables (Q)'!F29</f>
        <v>130.03039565128549</v>
      </c>
      <c r="G2" s="12">
        <f>'Data Tables (Q)'!G29</f>
        <v>133.13561972496839</v>
      </c>
      <c r="H2" s="12">
        <f>'Data Tables (Q)'!H29</f>
        <v>135.524196498951</v>
      </c>
      <c r="I2" s="12">
        <f>'Data Tables (Q)'!I29</f>
        <v>135.28732548834151</v>
      </c>
      <c r="J2" s="12">
        <f>'Data Tables (Q)'!J29</f>
        <v>135.28771439688319</v>
      </c>
      <c r="K2" s="12">
        <f>'Data Tables (Q)'!K29</f>
        <v>135.49900659610029</v>
      </c>
      <c r="L2" s="12">
        <f>'Data Tables (Q)'!L29</f>
        <v>135.05653202064309</v>
      </c>
      <c r="M2" s="12">
        <f>'Data Tables (Q)'!M29</f>
        <v>133.6533590478692</v>
      </c>
      <c r="N2" s="12">
        <f>'Data Tables (Q)'!N29</f>
        <v>134.54999962165849</v>
      </c>
      <c r="O2" s="12">
        <f>'Data Tables (Q)'!O29</f>
        <v>136.72731168449579</v>
      </c>
      <c r="P2" s="12">
        <f>'Data Tables (Q)'!P29</f>
        <v>137.2711437909899</v>
      </c>
      <c r="Q2" s="12">
        <f>'Data Tables (Q)'!Q29</f>
        <v>138.3019509586567</v>
      </c>
      <c r="R2" s="12">
        <f>'Data Tables (Q)'!R29</f>
        <v>139.23034679005499</v>
      </c>
      <c r="S2" s="12">
        <f>'Data Tables (Q)'!S29</f>
        <v>137.71583923941381</v>
      </c>
      <c r="T2" s="12">
        <f>'Data Tables (Q)'!T29</f>
        <v>138.53983622019501</v>
      </c>
      <c r="U2" s="12">
        <f>'Data Tables (Q)'!U29</f>
        <v>137.48747271961969</v>
      </c>
      <c r="V2" s="12">
        <f>'Data Tables (Q)'!V29</f>
        <v>136.76023284432631</v>
      </c>
      <c r="W2" s="12">
        <f>'Data Tables (Q)'!W29</f>
        <v>137.47802427838079</v>
      </c>
      <c r="X2" s="12">
        <f>'Data Tables (Q)'!X29</f>
        <v>138.54353569478641</v>
      </c>
      <c r="Y2" s="12">
        <f>'Data Tables (Q)'!Y29</f>
        <v>137.2090482829978</v>
      </c>
      <c r="Z2" s="12">
        <f>'Data Tables (Q)'!Z29</f>
        <v>136.66839841462689</v>
      </c>
      <c r="AA2" s="12">
        <f>'Data Tables (Q)'!AA29</f>
        <v>137.94719223853701</v>
      </c>
      <c r="AB2" s="12">
        <f>'Data Tables (Q)'!AB29</f>
        <v>138.66054717924419</v>
      </c>
      <c r="AC2" s="12">
        <f>'Data Tables (Q)'!AC29</f>
        <v>140.03751697543669</v>
      </c>
      <c r="AD2" s="12">
        <f>'Data Tables (Q)'!AD29</f>
        <v>141.528455348374</v>
      </c>
      <c r="AE2" s="12">
        <f>'Data Tables (M)'!BS29*AH2+AG2*(1-AH2)</f>
        <v>138.34121080928449</v>
      </c>
      <c r="AG2" s="61">
        <f>'t-1 Data Table'!N7</f>
        <v>138.6</v>
      </c>
      <c r="AH2" s="75">
        <v>1</v>
      </c>
      <c r="AI2" s="134">
        <v>0</v>
      </c>
      <c r="AJ2" s="135"/>
    </row>
    <row r="3" spans="1:36" ht="15" hidden="1" customHeight="1" x14ac:dyDescent="0.25">
      <c r="A3" s="43" t="s">
        <v>234</v>
      </c>
      <c r="B3" s="13">
        <f>'Data Tables (Q)'!B30*AI2</f>
        <v>0</v>
      </c>
      <c r="C3" s="13">
        <f>'Data Tables (Q)'!C30*AJ2</f>
        <v>0</v>
      </c>
      <c r="D3" s="13">
        <f>'Data Tables (Q)'!D30*AK2</f>
        <v>0</v>
      </c>
      <c r="E3" s="13">
        <f>'Data Tables (Q)'!E30*AL2</f>
        <v>0</v>
      </c>
      <c r="F3" s="13">
        <f>'Data Tables (Q)'!F30*AM2</f>
        <v>0</v>
      </c>
      <c r="G3" s="13">
        <f>'Data Tables (Q)'!G30*AN2</f>
        <v>0</v>
      </c>
      <c r="H3" s="13">
        <f>'Data Tables (Q)'!H30*AO2</f>
        <v>0</v>
      </c>
      <c r="I3" s="13">
        <f>'Data Tables (Q)'!I30*AP2</f>
        <v>0</v>
      </c>
      <c r="J3" s="13">
        <f>'Data Tables (Q)'!J30*AQ2</f>
        <v>0</v>
      </c>
      <c r="K3" s="13">
        <f>'Data Tables (Q)'!K30*AR2</f>
        <v>0</v>
      </c>
      <c r="L3" s="13">
        <f>'Data Tables (Q)'!L30*AS2</f>
        <v>0</v>
      </c>
      <c r="M3" s="13">
        <f>'Data Tables (Q)'!M30*AT2</f>
        <v>0</v>
      </c>
      <c r="N3" s="13">
        <f>'Data Tables (Q)'!N30*AU2</f>
        <v>0</v>
      </c>
      <c r="O3" s="13">
        <f>'Data Tables (Q)'!O30*AV2</f>
        <v>0</v>
      </c>
      <c r="P3" s="13">
        <f>'Data Tables (Q)'!P30*AW2</f>
        <v>0</v>
      </c>
      <c r="Q3" s="13">
        <f>'Data Tables (Q)'!Q30*AX2</f>
        <v>0</v>
      </c>
      <c r="R3" s="13">
        <f>'Data Tables (Q)'!R30*AY2</f>
        <v>0</v>
      </c>
      <c r="S3" s="13">
        <f>'Data Tables (Q)'!S30*AZ2</f>
        <v>0</v>
      </c>
      <c r="T3" s="13">
        <f>'Data Tables (Q)'!T30*BA2</f>
        <v>0</v>
      </c>
      <c r="U3" s="13">
        <f>'Data Tables (Q)'!U30*BB2</f>
        <v>0</v>
      </c>
      <c r="V3" s="13">
        <f>'Data Tables (Q)'!V30*BC2</f>
        <v>0</v>
      </c>
      <c r="W3" s="13">
        <f>'Data Tables (Q)'!W30*BD2</f>
        <v>0</v>
      </c>
      <c r="X3" s="13">
        <f>'Data Tables (Q)'!X30*BE2</f>
        <v>0</v>
      </c>
      <c r="Y3" s="13">
        <f>'Data Tables (Q)'!Y30*BF2</f>
        <v>0</v>
      </c>
      <c r="Z3" s="13">
        <f>'Data Tables (Q)'!Z30*BG2</f>
        <v>0</v>
      </c>
      <c r="AA3" s="13">
        <f>'Data Tables (Q)'!AA30*BH2</f>
        <v>0</v>
      </c>
      <c r="AB3" s="13">
        <f>'Data Tables (Q)'!AB30*BI2</f>
        <v>0</v>
      </c>
      <c r="AC3" s="13">
        <f>'Data Tables (Q)'!AC30*BJ2</f>
        <v>0</v>
      </c>
      <c r="AD3" s="13">
        <f>'Data Tables (Q)'!AD30*BK2</f>
        <v>0</v>
      </c>
      <c r="AE3" s="13">
        <f>('Data Tables (M)'!BC30*AH3+AG3*(1-AH3))*$AI$2</f>
        <v>0</v>
      </c>
      <c r="AG3" s="44">
        <v>0</v>
      </c>
      <c r="AH3" s="17">
        <v>1</v>
      </c>
    </row>
    <row r="4" spans="1:36" ht="30" customHeight="1" x14ac:dyDescent="0.25">
      <c r="A4" s="36" t="s">
        <v>235</v>
      </c>
      <c r="B4" s="13">
        <f>'Data Tables (Q)'!B31</f>
        <v>0.55168785245288632</v>
      </c>
      <c r="C4" s="13">
        <f>'Data Tables (Q)'!C31</f>
        <v>0.53745687663322883</v>
      </c>
      <c r="D4" s="13">
        <f>'Data Tables (Q)'!D31</f>
        <v>0.47283336214303517</v>
      </c>
      <c r="E4" s="13">
        <f>'Data Tables (Q)'!E31</f>
        <v>0.26299826185862679</v>
      </c>
      <c r="F4" s="13">
        <f>'Data Tables (Q)'!F31</f>
        <v>-0.1770534568650248</v>
      </c>
      <c r="G4" s="13">
        <f>'Data Tables (Q)'!G31</f>
        <v>-0.23517458919559431</v>
      </c>
      <c r="H4" s="13">
        <f>'Data Tables (Q)'!H31</f>
        <v>0.1178711998851725</v>
      </c>
      <c r="I4" s="13">
        <f>'Data Tables (Q)'!I31</f>
        <v>4.1467994688389347E-2</v>
      </c>
      <c r="J4" s="13">
        <f>'Data Tables (Q)'!J31</f>
        <v>0.8857700938407902</v>
      </c>
      <c r="K4" s="13">
        <f>'Data Tables (Q)'!K31</f>
        <v>1.041958427149666</v>
      </c>
      <c r="L4" s="13">
        <f>'Data Tables (Q)'!L31</f>
        <v>0.74064638104883329</v>
      </c>
      <c r="M4" s="13">
        <f>'Data Tables (Q)'!M31</f>
        <v>0.42910053652332181</v>
      </c>
      <c r="N4" s="13">
        <f>'Data Tables (Q)'!N31</f>
        <v>-0.22394536943886581</v>
      </c>
      <c r="O4" s="13">
        <f>'Data Tables (Q)'!O31</f>
        <v>-4.0705243615462898E-2</v>
      </c>
      <c r="P4" s="13">
        <f>'Data Tables (Q)'!P31</f>
        <v>-0.48924384985369329</v>
      </c>
      <c r="Q4" s="13">
        <f>'Data Tables (Q)'!Q31</f>
        <v>0.1411810778230915</v>
      </c>
      <c r="R4" s="13">
        <f>'Data Tables (Q)'!R31</f>
        <v>-3.8606968716720758E-2</v>
      </c>
      <c r="S4" s="13">
        <f>'Data Tables (Q)'!S31</f>
        <v>-0.33664797160753318</v>
      </c>
      <c r="T4" s="142">
        <f>'Data Tables (Q)'!T31</f>
        <v>0.57101574157928781</v>
      </c>
      <c r="U4" s="13">
        <f>'Data Tables (Q)'!U31</f>
        <v>0.47417659894267672</v>
      </c>
      <c r="V4" s="13">
        <f>'Data Tables (Q)'!V31</f>
        <v>0.95904886359991792</v>
      </c>
      <c r="W4" s="13">
        <f>'Data Tables (Q)'!W31</f>
        <v>1.7697236949085211</v>
      </c>
      <c r="X4" s="13">
        <f>'Data Tables (Q)'!X31</f>
        <v>2.0103730940855371</v>
      </c>
      <c r="Y4" s="13">
        <f>'Data Tables (Q)'!Y31</f>
        <v>2.1616877109476889</v>
      </c>
      <c r="Z4" s="13">
        <f>'Data Tables (Q)'!Z31</f>
        <v>2.2549256302598049</v>
      </c>
      <c r="AA4" s="13">
        <f>'Data Tables (Q)'!AA31</f>
        <v>1.949069043913312</v>
      </c>
      <c r="AB4" s="13">
        <f>'Data Tables (Q)'!AB31</f>
        <v>2.2586721683982769</v>
      </c>
      <c r="AC4" s="13">
        <f>'Data Tables (Q)'!AC31</f>
        <v>2.8003719644495959</v>
      </c>
      <c r="AD4" s="13">
        <f>'Data Tables (Q)'!AD31</f>
        <v>2.1336389136981779</v>
      </c>
      <c r="AE4" s="13">
        <f>'Data Tables (M)'!BS31*AH4+AG4*(1-AH4)</f>
        <v>1.7808388407108571</v>
      </c>
      <c r="AG4" s="44"/>
      <c r="AH4" s="17">
        <v>1</v>
      </c>
    </row>
    <row r="5" spans="1:36" ht="30" customHeight="1" x14ac:dyDescent="0.25">
      <c r="A5" s="38" t="s">
        <v>236</v>
      </c>
      <c r="B5" s="12">
        <f>'Data Tables (Q)'!B32</f>
        <v>-0.51258550622338817</v>
      </c>
      <c r="C5" s="12">
        <f>'Data Tables (Q)'!C32</f>
        <v>0.27300264282047237</v>
      </c>
      <c r="D5" s="12">
        <f>'Data Tables (Q)'!D32</f>
        <v>0.28674551043519608</v>
      </c>
      <c r="E5" s="12">
        <f>'Data Tables (Q)'!E32</f>
        <v>8.7854084992784465E-3</v>
      </c>
      <c r="F5" s="12">
        <f>'Data Tables (Q)'!F32</f>
        <v>-5.7963399803412592E-2</v>
      </c>
      <c r="G5" s="12">
        <f>'Data Tables (Q)'!G32</f>
        <v>-0.23514923277392091</v>
      </c>
      <c r="H5" s="12">
        <f>'Data Tables (Q)'!H32</f>
        <v>-0.17763245810604639</v>
      </c>
      <c r="I5" s="12">
        <f>'Data Tables (Q)'!I32</f>
        <v>0.39104338510543363</v>
      </c>
      <c r="J5" s="12">
        <f>'Data Tables (Q)'!J32</f>
        <v>0.16365720842696871</v>
      </c>
      <c r="K5" s="12">
        <f>'Data Tables (Q)'!K32</f>
        <v>0.14110014452674591</v>
      </c>
      <c r="L5" s="12">
        <f>'Data Tables (Q)'!L32</f>
        <v>-0.19682374508499831</v>
      </c>
      <c r="M5" s="12">
        <f>'Data Tables (Q)'!M32</f>
        <v>-0.69220439175350634</v>
      </c>
      <c r="N5" s="12">
        <f>'Data Tables (Q)'!N32</f>
        <v>-1.015716689774081</v>
      </c>
      <c r="O5" s="12">
        <f>'Data Tables (Q)'!O32</f>
        <v>-1.5663498716684501</v>
      </c>
      <c r="P5" s="12">
        <f>'Data Tables (Q)'!P32</f>
        <v>-1.584362709364967</v>
      </c>
      <c r="Q5" s="12">
        <f>'Data Tables (Q)'!Q32</f>
        <v>-1.308348837421931</v>
      </c>
      <c r="R5" s="12">
        <f>'Data Tables (Q)'!R32</f>
        <v>-1.0537593670993031</v>
      </c>
      <c r="S5" s="12">
        <f>'Data Tables (Q)'!S32</f>
        <v>-0.95726796015017612</v>
      </c>
      <c r="T5" s="12">
        <f>'Data Tables (Q)'!T32</f>
        <v>-1.3703764248640771</v>
      </c>
      <c r="U5" s="12">
        <f>'Data Tables (Q)'!U32</f>
        <v>-1.3584951647645771</v>
      </c>
      <c r="V5" s="12">
        <f>'Data Tables (Q)'!V32</f>
        <v>-1.6674838521355471</v>
      </c>
      <c r="W5" s="12">
        <f>'Data Tables (Q)'!W32</f>
        <v>-1.1614307655167411</v>
      </c>
      <c r="X5" s="12">
        <f>'Data Tables (Q)'!X32</f>
        <v>-0.66741053516162197</v>
      </c>
      <c r="Y5" s="12">
        <f>'Data Tables (Q)'!Y32</f>
        <v>0.10374512414423979</v>
      </c>
      <c r="Z5" s="12">
        <f>'Data Tables (Q)'!Z32</f>
        <v>0.33099156580945532</v>
      </c>
      <c r="AA5" s="12">
        <f>'Data Tables (Q)'!AA32</f>
        <v>0.40683462418954258</v>
      </c>
      <c r="AB5" s="12">
        <f>'Data Tables (Q)'!AB32</f>
        <v>0.67784690711440021</v>
      </c>
      <c r="AC5" s="12">
        <f>'Data Tables (Q)'!AC32</f>
        <v>1.6772276675288249</v>
      </c>
      <c r="AD5" s="12">
        <f>'Data Tables (Q)'!AD32</f>
        <v>0.91825423237821724</v>
      </c>
      <c r="AE5" s="12">
        <f>'Data Tables (M)'!BS32*AH5+AG5*(1-AH5)</f>
        <v>0.8917388272403457</v>
      </c>
      <c r="AG5" s="44"/>
      <c r="AH5" s="17">
        <v>1</v>
      </c>
    </row>
    <row r="6" spans="1:36" ht="15" customHeight="1" x14ac:dyDescent="0.25">
      <c r="A6" s="36" t="s">
        <v>237</v>
      </c>
      <c r="B6" s="13">
        <f t="shared" ref="B6:AE6" si="0">(194%/B10-1)/10%*1.7</f>
        <v>-6.0907112934668106E-2</v>
      </c>
      <c r="C6" s="13">
        <f t="shared" si="0"/>
        <v>-2.7132562087239798E-4</v>
      </c>
      <c r="D6" s="13">
        <f t="shared" si="0"/>
        <v>-0.4030732770483979</v>
      </c>
      <c r="E6" s="13">
        <f t="shared" si="0"/>
        <v>-1.1897860592007614</v>
      </c>
      <c r="F6" s="13">
        <f t="shared" si="0"/>
        <v>-1.1388769311974483</v>
      </c>
      <c r="G6" s="13">
        <f t="shared" si="0"/>
        <v>-1.3132615711296014</v>
      </c>
      <c r="H6" s="13">
        <f t="shared" si="0"/>
        <v>1.1154275229667627</v>
      </c>
      <c r="I6" s="13">
        <f t="shared" si="0"/>
        <v>1.2733247509388641</v>
      </c>
      <c r="J6" s="13">
        <f t="shared" si="0"/>
        <v>2.3930492065651046</v>
      </c>
      <c r="K6" s="13">
        <f t="shared" si="0"/>
        <v>3.9995091021417908</v>
      </c>
      <c r="L6" s="13">
        <f t="shared" si="0"/>
        <v>3.7196272261814354</v>
      </c>
      <c r="M6" s="13">
        <f t="shared" si="0"/>
        <v>3.4846969098393417</v>
      </c>
      <c r="N6" s="13">
        <f t="shared" si="0"/>
        <v>4.0060331049895526</v>
      </c>
      <c r="O6" s="13">
        <f t="shared" si="0"/>
        <v>4.6727819532914987</v>
      </c>
      <c r="P6" s="13">
        <f t="shared" si="0"/>
        <v>4.4299613641078244</v>
      </c>
      <c r="Q6" s="13">
        <f t="shared" si="0"/>
        <v>5.2587955315862605</v>
      </c>
      <c r="R6" s="13">
        <f t="shared" si="0"/>
        <v>5.3559895596388758</v>
      </c>
      <c r="S6" s="13">
        <f t="shared" si="0"/>
        <v>4.7667620032743354</v>
      </c>
      <c r="T6" s="13">
        <f t="shared" si="0"/>
        <v>6.1354790625042446</v>
      </c>
      <c r="U6" s="13">
        <f t="shared" si="0"/>
        <v>6.0717535469953345</v>
      </c>
      <c r="V6" s="13">
        <f t="shared" si="0"/>
        <v>4.5804623728311995</v>
      </c>
      <c r="W6" s="13">
        <f t="shared" si="0"/>
        <v>5.137836553915891</v>
      </c>
      <c r="X6" s="13">
        <f t="shared" si="0"/>
        <v>5.7066458856648099</v>
      </c>
      <c r="Y6" s="13">
        <f t="shared" si="0"/>
        <v>5.548369545177378</v>
      </c>
      <c r="Z6" s="13">
        <f t="shared" si="0"/>
        <v>5.2166812565387151</v>
      </c>
      <c r="AA6" s="13">
        <f t="shared" si="0"/>
        <v>6.1403636923522242</v>
      </c>
      <c r="AB6" s="13">
        <f t="shared" si="0"/>
        <v>6.0382608264494451</v>
      </c>
      <c r="AC6" s="13">
        <f t="shared" si="0"/>
        <v>6.2534722946385761</v>
      </c>
      <c r="AD6" s="13">
        <f t="shared" si="0"/>
        <v>5.2076596529294381</v>
      </c>
      <c r="AE6" s="13">
        <f t="shared" si="0"/>
        <v>6.3475449461850122</v>
      </c>
      <c r="AH6" s="16"/>
    </row>
    <row r="7" spans="1:36" ht="15" customHeight="1" x14ac:dyDescent="0.25">
      <c r="A7" s="38" t="s">
        <v>30</v>
      </c>
      <c r="B7" s="12">
        <f t="shared" ref="B7:AE7" si="1">SUM(B2:B6)</f>
        <v>129.62021022078633</v>
      </c>
      <c r="C7" s="12">
        <f t="shared" si="1"/>
        <v>132.46687907269552</v>
      </c>
      <c r="D7" s="12">
        <f t="shared" si="1"/>
        <v>131.92556834255294</v>
      </c>
      <c r="E7" s="12">
        <f t="shared" si="1"/>
        <v>128.58727193519633</v>
      </c>
      <c r="F7" s="12">
        <f t="shared" si="1"/>
        <v>128.65650186341961</v>
      </c>
      <c r="G7" s="12">
        <f t="shared" si="1"/>
        <v>131.35203433186928</v>
      </c>
      <c r="H7" s="12">
        <f t="shared" si="1"/>
        <v>136.57986276369689</v>
      </c>
      <c r="I7" s="12">
        <f t="shared" si="1"/>
        <v>136.99316161907419</v>
      </c>
      <c r="J7" s="12">
        <f t="shared" si="1"/>
        <v>138.73019090571606</v>
      </c>
      <c r="K7" s="12">
        <f t="shared" si="1"/>
        <v>140.68157426991849</v>
      </c>
      <c r="L7" s="12">
        <f t="shared" si="1"/>
        <v>139.31998188278837</v>
      </c>
      <c r="M7" s="12">
        <f t="shared" si="1"/>
        <v>136.87495210247835</v>
      </c>
      <c r="N7" s="12">
        <f t="shared" si="1"/>
        <v>137.31637066743508</v>
      </c>
      <c r="O7" s="12">
        <f t="shared" si="1"/>
        <v>139.79303852250337</v>
      </c>
      <c r="P7" s="12">
        <f t="shared" si="1"/>
        <v>139.62749859587905</v>
      </c>
      <c r="Q7" s="12">
        <f t="shared" si="1"/>
        <v>142.39357873064412</v>
      </c>
      <c r="R7" s="12">
        <f t="shared" si="1"/>
        <v>143.49397001387786</v>
      </c>
      <c r="S7" s="12">
        <f t="shared" si="1"/>
        <v>141.18868531093042</v>
      </c>
      <c r="T7" s="12">
        <f t="shared" si="1"/>
        <v>143.87595459941446</v>
      </c>
      <c r="U7" s="12">
        <f t="shared" si="1"/>
        <v>142.67490770079311</v>
      </c>
      <c r="V7" s="12">
        <f t="shared" si="1"/>
        <v>140.63226022862187</v>
      </c>
      <c r="W7" s="12">
        <f t="shared" si="1"/>
        <v>143.22415376168846</v>
      </c>
      <c r="X7" s="12">
        <f t="shared" si="1"/>
        <v>145.59314413937514</v>
      </c>
      <c r="Y7" s="12">
        <f t="shared" si="1"/>
        <v>145.02285066326709</v>
      </c>
      <c r="Z7" s="12">
        <f t="shared" si="1"/>
        <v>144.47099686723487</v>
      </c>
      <c r="AA7" s="12">
        <f t="shared" si="1"/>
        <v>146.44345959899209</v>
      </c>
      <c r="AB7" s="12">
        <f t="shared" si="1"/>
        <v>147.6353270812063</v>
      </c>
      <c r="AC7" s="12">
        <f t="shared" si="1"/>
        <v>150.76858890205369</v>
      </c>
      <c r="AD7" s="12">
        <f t="shared" si="1"/>
        <v>149.78800814737983</v>
      </c>
      <c r="AE7" s="12">
        <f t="shared" si="1"/>
        <v>147.36133342342072</v>
      </c>
      <c r="AH7" s="16"/>
    </row>
    <row r="8" spans="1:36" ht="15" customHeight="1" x14ac:dyDescent="0.25">
      <c r="A8" s="40"/>
      <c r="B8" s="47">
        <f t="shared" ref="B8:AE8" si="2">B2+B4</f>
        <v>130.19370283994439</v>
      </c>
      <c r="C8" s="47">
        <f t="shared" si="2"/>
        <v>132.19414775549592</v>
      </c>
      <c r="D8" s="47">
        <f t="shared" si="2"/>
        <v>132.04189610916615</v>
      </c>
      <c r="E8" s="47">
        <f t="shared" si="2"/>
        <v>129.76827258589782</v>
      </c>
      <c r="F8" s="47">
        <f t="shared" si="2"/>
        <v>129.85334219442046</v>
      </c>
      <c r="G8" s="47">
        <f t="shared" si="2"/>
        <v>132.9004451357728</v>
      </c>
      <c r="H8" s="47">
        <f t="shared" si="2"/>
        <v>135.64206769883617</v>
      </c>
      <c r="I8" s="47">
        <f t="shared" si="2"/>
        <v>135.3287934830299</v>
      </c>
      <c r="J8" s="47">
        <f t="shared" si="2"/>
        <v>136.17348449072398</v>
      </c>
      <c r="K8" s="47">
        <f t="shared" si="2"/>
        <v>136.54096502324995</v>
      </c>
      <c r="L8" s="47">
        <f t="shared" si="2"/>
        <v>135.79717840169192</v>
      </c>
      <c r="M8" s="47">
        <f t="shared" si="2"/>
        <v>134.08245958439252</v>
      </c>
      <c r="N8" s="47">
        <f t="shared" si="2"/>
        <v>134.32605425221962</v>
      </c>
      <c r="O8" s="47">
        <f t="shared" si="2"/>
        <v>136.68660644088033</v>
      </c>
      <c r="P8" s="47">
        <f t="shared" si="2"/>
        <v>136.7818999411362</v>
      </c>
      <c r="Q8" s="47">
        <f t="shared" si="2"/>
        <v>138.4431320364798</v>
      </c>
      <c r="R8" s="47">
        <f t="shared" si="2"/>
        <v>139.19173982133827</v>
      </c>
      <c r="S8" s="47">
        <f t="shared" si="2"/>
        <v>137.37919126780628</v>
      </c>
      <c r="T8" s="47">
        <f t="shared" si="2"/>
        <v>139.1108519617743</v>
      </c>
      <c r="U8" s="47">
        <f t="shared" si="2"/>
        <v>137.96164931856237</v>
      </c>
      <c r="V8" s="47">
        <f t="shared" si="2"/>
        <v>137.71928170792623</v>
      </c>
      <c r="W8" s="47">
        <f t="shared" si="2"/>
        <v>139.24774797328931</v>
      </c>
      <c r="X8" s="47">
        <f t="shared" si="2"/>
        <v>140.55390878887195</v>
      </c>
      <c r="Y8" s="47">
        <f t="shared" si="2"/>
        <v>139.37073599394549</v>
      </c>
      <c r="Z8" s="47">
        <f t="shared" si="2"/>
        <v>138.9233240448867</v>
      </c>
      <c r="AA8" s="47">
        <f t="shared" si="2"/>
        <v>139.89626128245033</v>
      </c>
      <c r="AB8" s="47">
        <f t="shared" si="2"/>
        <v>140.91921934764247</v>
      </c>
      <c r="AC8" s="47">
        <f t="shared" si="2"/>
        <v>142.83788893988628</v>
      </c>
      <c r="AD8" s="47">
        <f t="shared" si="2"/>
        <v>143.66209426207217</v>
      </c>
      <c r="AE8" s="47">
        <f t="shared" si="2"/>
        <v>140.12204964999535</v>
      </c>
      <c r="AH8" s="16"/>
    </row>
    <row r="9" spans="1:36" ht="15" customHeight="1" x14ac:dyDescent="0.25">
      <c r="A9" s="42" t="s">
        <v>238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H9" s="16"/>
    </row>
    <row r="10" spans="1:36" ht="15" customHeight="1" x14ac:dyDescent="0.25">
      <c r="A10" s="36" t="s">
        <v>239</v>
      </c>
      <c r="B10" s="81">
        <f>'Data Tables (Q)'!B35</f>
        <v>1.94697556828344</v>
      </c>
      <c r="C10" s="81">
        <f>'Data Tables (Q)'!C35</f>
        <v>1.940030963535629</v>
      </c>
      <c r="D10" s="81">
        <f>'Data Tables (Q)'!D35</f>
        <v>1.9871148767797191</v>
      </c>
      <c r="E10" s="81">
        <f>'Data Tables (Q)'!E35</f>
        <v>2.0859932777312431</v>
      </c>
      <c r="F10" s="81">
        <f>'Data Tables (Q)'!F35</f>
        <v>2.079297907023292</v>
      </c>
      <c r="G10" s="81">
        <f>'Data Tables (Q)'!G35</f>
        <v>2.102412821476165</v>
      </c>
      <c r="H10" s="81">
        <f>'Data Tables (Q)'!H35</f>
        <v>1.8205477048878871</v>
      </c>
      <c r="I10" s="81">
        <f>'Data Tables (Q)'!I35</f>
        <v>1.8048166083353561</v>
      </c>
      <c r="J10" s="81">
        <f>'Data Tables (Q)'!J35</f>
        <v>1.70060930845446</v>
      </c>
      <c r="K10" s="81">
        <f>'Data Tables (Q)'!K35</f>
        <v>1.570512902924778</v>
      </c>
      <c r="L10" s="81">
        <f>'Data Tables (Q)'!L35</f>
        <v>1.5917274784908431</v>
      </c>
      <c r="M10" s="81">
        <f>'Data Tables (Q)'!M35</f>
        <v>1.6099823270589291</v>
      </c>
      <c r="N10" s="81">
        <f>'Data Tables (Q)'!N35</f>
        <v>1.5700251368339639</v>
      </c>
      <c r="O10" s="81">
        <f>'Data Tables (Q)'!O35</f>
        <v>1.5217243485897409</v>
      </c>
      <c r="P10" s="81">
        <f>'Data Tables (Q)'!P35</f>
        <v>1.5389668436470849</v>
      </c>
      <c r="Q10" s="81">
        <f>'Data Tables (Q)'!Q35</f>
        <v>1.481661483129213</v>
      </c>
      <c r="R10" s="81">
        <f>'Data Tables (Q)'!R35</f>
        <v>1.47521986946807</v>
      </c>
      <c r="S10" s="81">
        <f>'Data Tables (Q)'!S35</f>
        <v>1.5151541600463529</v>
      </c>
      <c r="T10" s="81">
        <f>'Data Tables (Q)'!T35</f>
        <v>1.425516191426129</v>
      </c>
      <c r="U10" s="81">
        <f>'Data Tables (Q)'!U35</f>
        <v>1.429453549459184</v>
      </c>
      <c r="V10" s="81">
        <f>'Data Tables (Q)'!V35</f>
        <v>1.5282341698813779</v>
      </c>
      <c r="W10" s="81">
        <f>'Data Tables (Q)'!W35</f>
        <v>1.4897571368222191</v>
      </c>
      <c r="X10" s="81">
        <f>'Data Tables (Q)'!X35</f>
        <v>1.4524382053635221</v>
      </c>
      <c r="Y10" s="81">
        <f>'Data Tables (Q)'!Y35</f>
        <v>1.4626334704122199</v>
      </c>
      <c r="Z10" s="81">
        <f>'Data Tables (Q)'!Z35</f>
        <v>1.4844701429154039</v>
      </c>
      <c r="AA10" s="81">
        <f>'Data Tables (Q)'!AA35</f>
        <v>1.4252152834961589</v>
      </c>
      <c r="AB10" s="81">
        <f>'Data Tables (Q)'!AB35</f>
        <v>1.43153167022646</v>
      </c>
      <c r="AC10" s="81">
        <f>'Data Tables (Q)'!AC35</f>
        <v>1.4182828087831001</v>
      </c>
      <c r="AD10" s="81">
        <f>'Data Tables (Q)'!AD35</f>
        <v>1.485073191656626</v>
      </c>
      <c r="AE10" s="81">
        <f>'Data Tables (M)'!BS35*AH10+AG10*(1-AH10)</f>
        <v>1.4125682197429039</v>
      </c>
      <c r="AG10" s="44"/>
      <c r="AH10" s="17">
        <v>1</v>
      </c>
    </row>
    <row r="11" spans="1:36" ht="15" customHeight="1" x14ac:dyDescent="0.25">
      <c r="A11" s="37" t="s">
        <v>240</v>
      </c>
      <c r="B11" s="83">
        <v>136.4</v>
      </c>
      <c r="C11" s="83">
        <v>141.30000000000001</v>
      </c>
      <c r="D11" s="83">
        <v>148</v>
      </c>
      <c r="E11" s="83">
        <v>151.5</v>
      </c>
      <c r="F11" s="83">
        <v>156.6</v>
      </c>
      <c r="G11" s="83">
        <v>149.5</v>
      </c>
      <c r="H11" s="83">
        <v>178.6</v>
      </c>
      <c r="I11" s="83">
        <v>176.8</v>
      </c>
      <c r="J11" s="83">
        <v>183.6</v>
      </c>
      <c r="K11" s="83">
        <v>218.6</v>
      </c>
      <c r="L11" s="83">
        <v>217</v>
      </c>
      <c r="M11" s="83">
        <v>252.9</v>
      </c>
      <c r="N11" s="83">
        <v>243.1</v>
      </c>
      <c r="O11" s="83">
        <v>245.1</v>
      </c>
      <c r="P11" s="83">
        <v>229.8</v>
      </c>
      <c r="Q11" s="83">
        <v>221.6</v>
      </c>
      <c r="R11" s="83">
        <v>229.4</v>
      </c>
      <c r="S11" s="83">
        <v>224.9</v>
      </c>
      <c r="T11" s="83">
        <v>212.6</v>
      </c>
      <c r="U11" s="83">
        <v>204.9</v>
      </c>
      <c r="V11" s="98">
        <v>204.2</v>
      </c>
      <c r="W11" s="98">
        <v>199.2</v>
      </c>
      <c r="X11" s="83">
        <v>202.8</v>
      </c>
      <c r="Y11" s="83">
        <v>203.3</v>
      </c>
      <c r="Z11" s="98"/>
      <c r="AA11" s="98">
        <v>205.86666666666699</v>
      </c>
      <c r="AB11" s="98"/>
      <c r="AC11" s="98"/>
      <c r="AD11" s="98"/>
      <c r="AE11" s="84">
        <v>203</v>
      </c>
    </row>
    <row r="12" spans="1:36" ht="15" customHeight="1" x14ac:dyDescent="0.25">
      <c r="A12" s="43" t="s">
        <v>241</v>
      </c>
      <c r="B12" s="82">
        <v>0.04</v>
      </c>
      <c r="C12" s="82">
        <v>0.11</v>
      </c>
      <c r="D12" s="82">
        <v>0.13</v>
      </c>
      <c r="E12" s="82">
        <v>0.14599999999999999</v>
      </c>
      <c r="F12" s="82">
        <v>0.2445606772966977</v>
      </c>
      <c r="G12" s="82">
        <v>0.33059155778194721</v>
      </c>
      <c r="H12" s="82">
        <v>0.1173819506419207</v>
      </c>
      <c r="I12" s="82">
        <v>0.16960024600254631</v>
      </c>
      <c r="J12" s="82">
        <v>0.13323456147240201</v>
      </c>
      <c r="K12" s="82">
        <v>-4.2561451166990949E-2</v>
      </c>
      <c r="L12" s="82">
        <v>-4.1246333166940152E-2</v>
      </c>
      <c r="M12" s="82">
        <v>-0.18913444181131661</v>
      </c>
      <c r="N12" s="82">
        <v>-0.16706463095801991</v>
      </c>
      <c r="O12" s="82">
        <v>-0.1889941003651481</v>
      </c>
      <c r="P12" s="82">
        <v>-0.14479230462822679</v>
      </c>
      <c r="Q12" s="82">
        <v>-0.1246166443921025</v>
      </c>
      <c r="R12" s="82">
        <v>-0.16400894079627171</v>
      </c>
      <c r="S12" s="82">
        <v>-0.15141755763747361</v>
      </c>
      <c r="T12" s="82">
        <v>-0.10485318971388401</v>
      </c>
      <c r="U12" s="82">
        <v>-7.0296605586842031E-2</v>
      </c>
      <c r="V12" s="82">
        <v>-6.42079923362191E-2</v>
      </c>
      <c r="W12" s="82">
        <v>-3.712872446878257E-2</v>
      </c>
      <c r="X12" s="82">
        <v>-0.03</v>
      </c>
      <c r="Y12" s="82">
        <v>-0.03</v>
      </c>
      <c r="Z12" s="82">
        <v>-0.03</v>
      </c>
      <c r="AA12" s="82">
        <v>-2.6435637765608699E-2</v>
      </c>
      <c r="AB12" s="82"/>
      <c r="AC12" s="82"/>
      <c r="AD12" s="82"/>
      <c r="AE12" s="82">
        <v>-0.03</v>
      </c>
    </row>
    <row r="13" spans="1:36" ht="15" customHeight="1" x14ac:dyDescent="0.25">
      <c r="A13" s="38" t="s">
        <v>242</v>
      </c>
      <c r="B13" s="85">
        <f t="shared" ref="B13:AA13" si="3">B12/10%*1.7</f>
        <v>0.67999999999999994</v>
      </c>
      <c r="C13" s="85">
        <f t="shared" si="3"/>
        <v>1.8699999999999997</v>
      </c>
      <c r="D13" s="85">
        <f t="shared" si="3"/>
        <v>2.21</v>
      </c>
      <c r="E13" s="85">
        <f t="shared" si="3"/>
        <v>2.4819999999999993</v>
      </c>
      <c r="F13" s="85">
        <f t="shared" si="3"/>
        <v>4.1575315140438605</v>
      </c>
      <c r="G13" s="85">
        <f t="shared" si="3"/>
        <v>5.6200564822931023</v>
      </c>
      <c r="H13" s="85">
        <f t="shared" si="3"/>
        <v>1.9954931609126518</v>
      </c>
      <c r="I13" s="85">
        <f t="shared" si="3"/>
        <v>2.8832041820432872</v>
      </c>
      <c r="J13" s="85">
        <f t="shared" si="3"/>
        <v>2.2649875450308339</v>
      </c>
      <c r="K13" s="85">
        <f t="shared" si="3"/>
        <v>-0.72354466983884613</v>
      </c>
      <c r="L13" s="85">
        <f t="shared" si="3"/>
        <v>-0.70118766383798259</v>
      </c>
      <c r="M13" s="85">
        <f t="shared" si="3"/>
        <v>-3.2152855107923823</v>
      </c>
      <c r="N13" s="85">
        <f t="shared" si="3"/>
        <v>-2.840098726286338</v>
      </c>
      <c r="O13" s="85">
        <f t="shared" si="3"/>
        <v>-3.2128997062075175</v>
      </c>
      <c r="P13" s="85">
        <f t="shared" si="3"/>
        <v>-2.4614691786798555</v>
      </c>
      <c r="Q13" s="85">
        <f t="shared" si="3"/>
        <v>-2.1184829546657422</v>
      </c>
      <c r="R13" s="85">
        <f t="shared" si="3"/>
        <v>-2.7881519935366188</v>
      </c>
      <c r="S13" s="85">
        <f t="shared" si="3"/>
        <v>-2.5740984798370512</v>
      </c>
      <c r="T13" s="85">
        <f t="shared" si="3"/>
        <v>-1.7825042251360279</v>
      </c>
      <c r="U13" s="85">
        <f t="shared" si="3"/>
        <v>-1.1950422949763144</v>
      </c>
      <c r="V13" s="85">
        <f t="shared" si="3"/>
        <v>-1.0915358697157247</v>
      </c>
      <c r="W13" s="85">
        <f t="shared" si="3"/>
        <v>-0.63118831596930369</v>
      </c>
      <c r="X13" s="85">
        <f t="shared" si="3"/>
        <v>-0.51</v>
      </c>
      <c r="Y13" s="85">
        <f t="shared" si="3"/>
        <v>-0.51</v>
      </c>
      <c r="Z13" s="85">
        <f t="shared" si="3"/>
        <v>-0.51</v>
      </c>
      <c r="AA13" s="85">
        <f t="shared" si="3"/>
        <v>-0.44940584201534789</v>
      </c>
      <c r="AB13" s="85"/>
      <c r="AC13" s="85"/>
      <c r="AD13" s="85"/>
      <c r="AE13" s="85">
        <f>AE12/10%*1.7</f>
        <v>-0.51</v>
      </c>
    </row>
    <row r="14" spans="1:36" ht="15" customHeight="1" x14ac:dyDescent="0.25">
      <c r="A14" s="36" t="s">
        <v>243</v>
      </c>
      <c r="B14" s="13">
        <f t="shared" ref="B14:AA14" si="4">B7+B13</f>
        <v>130.30021022078634</v>
      </c>
      <c r="C14" s="13">
        <f t="shared" si="4"/>
        <v>134.33687907269552</v>
      </c>
      <c r="D14" s="13">
        <f t="shared" si="4"/>
        <v>134.13556834255294</v>
      </c>
      <c r="E14" s="13">
        <f t="shared" si="4"/>
        <v>131.06927193519633</v>
      </c>
      <c r="F14" s="13">
        <f t="shared" si="4"/>
        <v>132.81403337746346</v>
      </c>
      <c r="G14" s="13">
        <f t="shared" si="4"/>
        <v>136.97209081416239</v>
      </c>
      <c r="H14" s="13">
        <f t="shared" si="4"/>
        <v>138.57535592460954</v>
      </c>
      <c r="I14" s="13">
        <f t="shared" si="4"/>
        <v>139.87636580111749</v>
      </c>
      <c r="J14" s="13">
        <f t="shared" si="4"/>
        <v>140.99517845074689</v>
      </c>
      <c r="K14" s="13">
        <f t="shared" si="4"/>
        <v>139.95802960007964</v>
      </c>
      <c r="L14" s="13">
        <f t="shared" si="4"/>
        <v>138.6187942189504</v>
      </c>
      <c r="M14" s="13">
        <f t="shared" si="4"/>
        <v>133.65966659168598</v>
      </c>
      <c r="N14" s="13">
        <f t="shared" si="4"/>
        <v>134.47627194114875</v>
      </c>
      <c r="O14" s="13">
        <f t="shared" si="4"/>
        <v>136.58013881629586</v>
      </c>
      <c r="P14" s="13">
        <f t="shared" si="4"/>
        <v>137.16602941719918</v>
      </c>
      <c r="Q14" s="13">
        <f t="shared" si="4"/>
        <v>140.27509577597837</v>
      </c>
      <c r="R14" s="13">
        <f t="shared" si="4"/>
        <v>140.70581802034124</v>
      </c>
      <c r="S14" s="13">
        <f t="shared" si="4"/>
        <v>138.61458683109336</v>
      </c>
      <c r="T14" s="13">
        <f t="shared" si="4"/>
        <v>142.09345037427843</v>
      </c>
      <c r="U14" s="13">
        <f t="shared" si="4"/>
        <v>141.47986540581681</v>
      </c>
      <c r="V14" s="13">
        <f t="shared" si="4"/>
        <v>139.54072435890615</v>
      </c>
      <c r="W14" s="13">
        <f t="shared" si="4"/>
        <v>142.59296544571916</v>
      </c>
      <c r="X14" s="13">
        <f t="shared" si="4"/>
        <v>145.08314413937515</v>
      </c>
      <c r="Y14" s="13">
        <f t="shared" si="4"/>
        <v>144.5128506632671</v>
      </c>
      <c r="Z14" s="13">
        <f t="shared" si="4"/>
        <v>143.96099686723488</v>
      </c>
      <c r="AA14" s="13">
        <f t="shared" si="4"/>
        <v>145.99405375697674</v>
      </c>
      <c r="AB14" s="13"/>
      <c r="AC14" s="13"/>
      <c r="AD14" s="13"/>
      <c r="AE14" s="13">
        <f>AE7+AE13</f>
        <v>146.85133342342073</v>
      </c>
    </row>
    <row r="15" spans="1:36" ht="15" customHeight="1" x14ac:dyDescent="0.25">
      <c r="A15" s="38" t="s">
        <v>244</v>
      </c>
      <c r="B15" s="20">
        <v>0.29154704953738819</v>
      </c>
      <c r="C15" s="20">
        <v>0.26701329485498698</v>
      </c>
      <c r="D15" s="20">
        <v>0.26145029089672911</v>
      </c>
      <c r="E15" s="20">
        <v>0.23952914195322531</v>
      </c>
      <c r="F15" s="20">
        <v>0.23186042428523709</v>
      </c>
      <c r="G15" s="20">
        <v>0.21263924603064641</v>
      </c>
      <c r="H15" s="20">
        <v>0.20377448359440811</v>
      </c>
      <c r="I15" s="20">
        <v>0.20617832370231329</v>
      </c>
      <c r="J15" s="20">
        <v>0.1992614515016066</v>
      </c>
      <c r="K15" s="20">
        <v>0.25192153001027429</v>
      </c>
      <c r="L15" s="20">
        <v>0.27834431877037868</v>
      </c>
      <c r="M15" s="20">
        <v>0.31359567471216859</v>
      </c>
      <c r="N15" s="20">
        <v>0.32930686267370868</v>
      </c>
      <c r="O15" s="20">
        <v>0.30769927425267007</v>
      </c>
      <c r="P15" s="20">
        <v>0.3160508879540605</v>
      </c>
      <c r="Q15" s="20">
        <v>0.28515643557940179</v>
      </c>
      <c r="R15" s="20">
        <v>0.28758836086078893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1"/>
    </row>
    <row r="16" spans="1:36" ht="15" customHeight="1" x14ac:dyDescent="0.25">
      <c r="A16" s="36" t="s">
        <v>245</v>
      </c>
      <c r="B16" s="19">
        <f t="shared" ref="B16:R16" si="5">B15-($AE$14-B14)*1%</f>
        <v>0.12603581751104434</v>
      </c>
      <c r="C16" s="19">
        <f t="shared" si="5"/>
        <v>0.14186875134773497</v>
      </c>
      <c r="D16" s="19">
        <f t="shared" si="5"/>
        <v>0.13429264008805128</v>
      </c>
      <c r="E16" s="19">
        <f t="shared" si="5"/>
        <v>8.1708527070981307E-2</v>
      </c>
      <c r="F16" s="19">
        <f t="shared" si="5"/>
        <v>9.1487423825664438E-2</v>
      </c>
      <c r="G16" s="19">
        <f t="shared" si="5"/>
        <v>0.11384681993806299</v>
      </c>
      <c r="H16" s="19">
        <f t="shared" si="5"/>
        <v>0.12101470860629623</v>
      </c>
      <c r="I16" s="19">
        <f t="shared" si="5"/>
        <v>0.13642864747928091</v>
      </c>
      <c r="J16" s="19">
        <f t="shared" si="5"/>
        <v>0.14069990177486824</v>
      </c>
      <c r="K16" s="19">
        <f t="shared" si="5"/>
        <v>0.18298849177686344</v>
      </c>
      <c r="L16" s="19">
        <f t="shared" si="5"/>
        <v>0.19601892672567539</v>
      </c>
      <c r="M16" s="19">
        <f t="shared" si="5"/>
        <v>0.1816790063948211</v>
      </c>
      <c r="N16" s="19">
        <f t="shared" si="5"/>
        <v>0.20555624785098892</v>
      </c>
      <c r="O16" s="19">
        <f t="shared" si="5"/>
        <v>0.2049873281814214</v>
      </c>
      <c r="P16" s="19">
        <f t="shared" si="5"/>
        <v>0.21919784789184507</v>
      </c>
      <c r="Q16" s="19">
        <f t="shared" si="5"/>
        <v>0.21939405910497822</v>
      </c>
      <c r="R16" s="19">
        <f t="shared" si="5"/>
        <v>0.22613320682999408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>
        <v>0.2475</v>
      </c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246</v>
      </c>
      <c r="B19" s="51" t="s">
        <v>247</v>
      </c>
    </row>
    <row r="20" spans="1:8" ht="15" customHeight="1" x14ac:dyDescent="0.25">
      <c r="A20" s="50" t="s">
        <v>248</v>
      </c>
      <c r="B20" s="51" t="s">
        <v>249</v>
      </c>
    </row>
    <row r="21" spans="1:8" ht="15" customHeight="1" x14ac:dyDescent="0.25">
      <c r="A21" s="50" t="s">
        <v>250</v>
      </c>
      <c r="B21" s="51" t="s">
        <v>251</v>
      </c>
    </row>
    <row r="22" spans="1:8" ht="15" customHeight="1" x14ac:dyDescent="0.25">
      <c r="A22" s="50"/>
      <c r="B22" s="51" t="s">
        <v>272</v>
      </c>
    </row>
    <row r="23" spans="1:8" ht="15" customHeight="1" x14ac:dyDescent="0.25">
      <c r="A23" s="50"/>
      <c r="B23" s="51" t="s">
        <v>252</v>
      </c>
    </row>
    <row r="24" spans="1:8" ht="15" customHeight="1" x14ac:dyDescent="0.25">
      <c r="A24" s="50" t="s">
        <v>253</v>
      </c>
      <c r="B24" s="51" t="s">
        <v>254</v>
      </c>
    </row>
    <row r="25" spans="1:8" ht="15" customHeight="1" x14ac:dyDescent="0.25">
      <c r="A25" s="50" t="s">
        <v>255</v>
      </c>
      <c r="B25" s="51" t="s">
        <v>256</v>
      </c>
    </row>
    <row r="26" spans="1:8" ht="15" customHeight="1" x14ac:dyDescent="0.25">
      <c r="A26" s="50" t="s">
        <v>257</v>
      </c>
      <c r="B26" s="51" t="s">
        <v>258</v>
      </c>
    </row>
    <row r="27" spans="1:8" ht="15" customHeight="1" x14ac:dyDescent="0.25">
      <c r="A27" s="50"/>
      <c r="B27" s="51" t="s">
        <v>259</v>
      </c>
    </row>
    <row r="28" spans="1:8" ht="15" customHeight="1" x14ac:dyDescent="0.25">
      <c r="A28" s="50" t="s">
        <v>260</v>
      </c>
      <c r="B28" s="51" t="s">
        <v>261</v>
      </c>
    </row>
  </sheetData>
  <mergeCells count="2">
    <mergeCell ref="AI1:AJ1"/>
    <mergeCell ref="AI2:AJ2"/>
  </mergeCells>
  <pageMargins left="0.7" right="0.7" top="0.75" bottom="0.75" header="0.3" footer="0.3"/>
  <pageSetup orientation="portrait" horizontalDpi="204" verticalDpi="1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7"/>
  <sheetViews>
    <sheetView topLeftCell="K1" zoomScale="160" zoomScaleNormal="160" workbookViewId="0">
      <selection activeCell="Z4" sqref="Z4"/>
    </sheetView>
  </sheetViews>
  <sheetFormatPr defaultColWidth="9.1796875" defaultRowHeight="15" customHeight="1" x14ac:dyDescent="0.25"/>
  <cols>
    <col min="1" max="1" width="25" style="41" customWidth="1"/>
    <col min="2" max="27" width="5.26953125" style="41" customWidth="1"/>
    <col min="28" max="78" width="9.1796875" style="41" customWidth="1"/>
    <col min="79" max="16384" width="9.1796875" style="41"/>
  </cols>
  <sheetData>
    <row r="1" spans="1:32" ht="30" customHeight="1" x14ac:dyDescent="0.35">
      <c r="A1" s="35" t="s">
        <v>32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52" t="s">
        <v>16</v>
      </c>
      <c r="R1" s="52" t="s">
        <v>17</v>
      </c>
      <c r="S1" s="52" t="s">
        <v>18</v>
      </c>
      <c r="T1" s="28" t="s">
        <v>19</v>
      </c>
      <c r="U1" s="52" t="s">
        <v>20</v>
      </c>
      <c r="V1" s="52" t="s">
        <v>21</v>
      </c>
      <c r="W1" s="52" t="s">
        <v>22</v>
      </c>
      <c r="X1" s="52" t="s">
        <v>23</v>
      </c>
      <c r="Y1" s="52" t="s">
        <v>24</v>
      </c>
      <c r="Z1" s="52" t="s">
        <v>228</v>
      </c>
      <c r="AA1" s="28" t="s">
        <v>229</v>
      </c>
      <c r="AC1" s="28" t="s">
        <v>230</v>
      </c>
      <c r="AD1" s="79" t="s">
        <v>231</v>
      </c>
      <c r="AE1" s="132" t="s">
        <v>232</v>
      </c>
      <c r="AF1" s="133"/>
    </row>
    <row r="2" spans="1:32" ht="15" customHeight="1" thickBot="1" x14ac:dyDescent="0.4">
      <c r="A2" s="38" t="s">
        <v>233</v>
      </c>
      <c r="B2" s="12">
        <f>'Data Tables (Q)'!F11</f>
        <v>131.95038796688411</v>
      </c>
      <c r="C2" s="12">
        <f>'Data Tables (Q)'!G11</f>
        <v>135.6654717957741</v>
      </c>
      <c r="D2" s="12">
        <f>'Data Tables (Q)'!H11</f>
        <v>137.78085993452939</v>
      </c>
      <c r="E2" s="12">
        <f>'Data Tables (Q)'!I11</f>
        <v>140.37624797824719</v>
      </c>
      <c r="F2" s="12">
        <f>'Data Tables (Q)'!J11</f>
        <v>136.7568472127295</v>
      </c>
      <c r="G2" s="12">
        <f>'Data Tables (Q)'!K11</f>
        <v>136.1826116248541</v>
      </c>
      <c r="H2" s="12">
        <f>'Data Tables (Q)'!L11</f>
        <v>135.63104898296709</v>
      </c>
      <c r="I2" s="12">
        <f>'Data Tables (Q)'!M11</f>
        <v>134.6293495160532</v>
      </c>
      <c r="J2" s="12">
        <f>'Data Tables (Q)'!N11</f>
        <v>134.1739245565968</v>
      </c>
      <c r="K2" s="12">
        <f>'Data Tables (Q)'!O11</f>
        <v>135.83717961712421</v>
      </c>
      <c r="L2" s="12">
        <f>'Data Tables (Q)'!P11</f>
        <v>136.9637513036931</v>
      </c>
      <c r="M2" s="12">
        <f>'Data Tables (Q)'!Q11</f>
        <v>138.7722798213712</v>
      </c>
      <c r="N2" s="12">
        <f>'Data Tables (Q)'!R11</f>
        <v>141.3231605158098</v>
      </c>
      <c r="O2" s="12">
        <f>'Data Tables (Q)'!S11</f>
        <v>138.8631915017576</v>
      </c>
      <c r="P2" s="12">
        <f>'Data Tables (Q)'!T11</f>
        <v>137.9566586474825</v>
      </c>
      <c r="Q2" s="53">
        <f>'Data Tables (Q)'!U11</f>
        <v>139.56619914782399</v>
      </c>
      <c r="R2" s="53">
        <f>'Data Tables (Q)'!V11</f>
        <v>138.52439991139249</v>
      </c>
      <c r="S2" s="53">
        <f>'Data Tables (Q)'!W11</f>
        <v>138.4097814248108</v>
      </c>
      <c r="T2" s="12">
        <f>'Data Tables (Q)'!X11</f>
        <v>140.3633073736207</v>
      </c>
      <c r="U2" s="53">
        <f>'Data Tables (Q)'!Y11</f>
        <v>138.38768592238719</v>
      </c>
      <c r="V2" s="53">
        <f>'Data Tables (Q)'!Z11</f>
        <v>136.70742932031769</v>
      </c>
      <c r="W2" s="53">
        <f>'Data Tables (Q)'!AA11</f>
        <v>138.34779673954839</v>
      </c>
      <c r="X2" s="53">
        <f>'Data Tables (Q)'!AB11</f>
        <v>138.10209621539431</v>
      </c>
      <c r="Y2" s="53">
        <f>'Data Tables (Q)'!AC11</f>
        <v>138.9455515120215</v>
      </c>
      <c r="Z2" s="53">
        <f>'Data Tables (Q)'!AD11</f>
        <v>141.12585130759689</v>
      </c>
      <c r="AA2" s="12">
        <f>'Data Tables (M)'!BS11*AD2+AC2*(1-AD2)</f>
        <v>137.97813880528531</v>
      </c>
      <c r="AC2" s="61">
        <f>'t-1 Data Table'!N4</f>
        <v>138.69999999999999</v>
      </c>
      <c r="AD2" s="75">
        <v>1</v>
      </c>
      <c r="AE2" s="134">
        <v>0</v>
      </c>
      <c r="AF2" s="135"/>
    </row>
    <row r="3" spans="1:32" ht="15" hidden="1" customHeight="1" x14ac:dyDescent="0.25">
      <c r="A3" s="43" t="s">
        <v>234</v>
      </c>
      <c r="B3" s="13">
        <f>'Data Tables (Q)'!F12*AE2</f>
        <v>0</v>
      </c>
      <c r="C3" s="13">
        <f>'Data Tables (Q)'!G12*AF2</f>
        <v>0</v>
      </c>
      <c r="D3" s="13">
        <f>'Data Tables (Q)'!H12*AG2</f>
        <v>0</v>
      </c>
      <c r="E3" s="13">
        <f>'Data Tables (Q)'!I12*AH2</f>
        <v>0</v>
      </c>
      <c r="F3" s="13">
        <f>'Data Tables (Q)'!J12*AI2</f>
        <v>0</v>
      </c>
      <c r="G3" s="13">
        <f>'Data Tables (Q)'!K12*AJ2</f>
        <v>0</v>
      </c>
      <c r="H3" s="13">
        <f>'Data Tables (Q)'!L12*AK2</f>
        <v>0</v>
      </c>
      <c r="I3" s="13">
        <f>'Data Tables (Q)'!M12*AL2</f>
        <v>0</v>
      </c>
      <c r="J3" s="13">
        <f>'Data Tables (Q)'!N12*AM2</f>
        <v>0</v>
      </c>
      <c r="K3" s="13">
        <f>'Data Tables (Q)'!O12*AN2</f>
        <v>0</v>
      </c>
      <c r="L3" s="13">
        <f>'Data Tables (Q)'!P12*AO2</f>
        <v>0</v>
      </c>
      <c r="M3" s="13">
        <f>'Data Tables (Q)'!Q12*AP2</f>
        <v>0</v>
      </c>
      <c r="N3" s="13">
        <f>'Data Tables (Q)'!R12*AQ2</f>
        <v>0</v>
      </c>
      <c r="O3" s="13">
        <f>'Data Tables (Q)'!S12*AR2</f>
        <v>0</v>
      </c>
      <c r="P3" s="13">
        <f>'Data Tables (Q)'!T12*AS2</f>
        <v>0</v>
      </c>
      <c r="Q3" s="13">
        <f>'Data Tables (Q)'!U12*AT2</f>
        <v>0</v>
      </c>
      <c r="R3" s="13"/>
      <c r="S3" s="13"/>
      <c r="T3" s="13">
        <f>'Data Tables (Q)'!X12*AW2</f>
        <v>0</v>
      </c>
      <c r="U3" s="13">
        <f>'Data Tables (Q)'!Y12*AX2</f>
        <v>0</v>
      </c>
      <c r="V3" s="13">
        <f>'Data Tables (Q)'!Z12*AY2</f>
        <v>0</v>
      </c>
      <c r="W3" s="13"/>
      <c r="X3" s="13"/>
      <c r="Y3" s="13"/>
      <c r="Z3" s="13"/>
      <c r="AA3" s="13">
        <f>('Data Tables (M)'!BC12*AD3+AC3*(1-AD3))*$AE$2</f>
        <v>0</v>
      </c>
      <c r="AC3" s="44">
        <v>0</v>
      </c>
      <c r="AD3" s="17">
        <v>1</v>
      </c>
    </row>
    <row r="4" spans="1:32" ht="30" customHeight="1" x14ac:dyDescent="0.25">
      <c r="A4" s="36" t="s">
        <v>235</v>
      </c>
      <c r="B4" s="13">
        <f>'Data Tables (Q)'!F13</f>
        <v>-2.5958614577817798</v>
      </c>
      <c r="C4" s="13">
        <f>'Data Tables (Q)'!G13</f>
        <v>-2.2718375301010951</v>
      </c>
      <c r="D4" s="13">
        <f>'Data Tables (Q)'!H13</f>
        <v>-1.641721534721114</v>
      </c>
      <c r="E4" s="13">
        <f>'Data Tables (Q)'!I13</f>
        <v>-0.13010910947033949</v>
      </c>
      <c r="F4" s="13">
        <f>'Data Tables (Q)'!J13</f>
        <v>1.095396324860531</v>
      </c>
      <c r="G4" s="13">
        <f>'Data Tables (Q)'!K13</f>
        <v>-0.99165457786253342</v>
      </c>
      <c r="H4" s="13">
        <f>'Data Tables (Q)'!L13</f>
        <v>-1.061934750850128</v>
      </c>
      <c r="I4" s="13">
        <f>'Data Tables (Q)'!M13</f>
        <v>4.2055431836246271E-2</v>
      </c>
      <c r="J4" s="13">
        <f>'Data Tables (Q)'!N13</f>
        <v>-0.21227365691470371</v>
      </c>
      <c r="K4" s="13">
        <f>'Data Tables (Q)'!O13</f>
        <v>-1.326330759715688E-2</v>
      </c>
      <c r="L4" s="13">
        <f>'Data Tables (Q)'!P13</f>
        <v>0.42673181063648258</v>
      </c>
      <c r="M4" s="13">
        <f>'Data Tables (Q)'!Q13</f>
        <v>0.52563161514564172</v>
      </c>
      <c r="N4" s="13">
        <f>'Data Tables (Q)'!R13</f>
        <v>0.66118191429882245</v>
      </c>
      <c r="O4" s="13">
        <f>'Data Tables (Q)'!S13</f>
        <v>-0.188614115366704</v>
      </c>
      <c r="P4" s="13">
        <f>'Data Tables (Q)'!T13</f>
        <v>0.32152444911807271</v>
      </c>
      <c r="Q4" s="86">
        <f>'Data Tables (Q)'!U13</f>
        <v>0.67156910523345914</v>
      </c>
      <c r="R4" s="86">
        <f>'Data Tables (Q)'!V13</f>
        <v>1.443778008911494</v>
      </c>
      <c r="S4" s="86">
        <f>'Data Tables (Q)'!W13</f>
        <v>2.2613562004431169</v>
      </c>
      <c r="T4" s="13">
        <f>'Data Tables (Q)'!X13</f>
        <v>3.1268280663408352</v>
      </c>
      <c r="U4" s="86">
        <f>'Data Tables (Q)'!Y13</f>
        <v>3.1597804775016982</v>
      </c>
      <c r="V4" s="86">
        <f>'Data Tables (Q)'!Z13</f>
        <v>3.2253290969929371</v>
      </c>
      <c r="W4" s="86">
        <f>'Data Tables (Q)'!AA13</f>
        <v>2.790156718613332</v>
      </c>
      <c r="X4" s="86">
        <f>'Data Tables (Q)'!AB13</f>
        <v>3.440220814397406</v>
      </c>
      <c r="Y4" s="86">
        <f>'Data Tables (Q)'!AC13</f>
        <v>1.890115694056504</v>
      </c>
      <c r="Z4" s="143">
        <f>'Data Tables (Q)'!AD13</f>
        <v>1.229186002706427</v>
      </c>
      <c r="AA4" s="13">
        <f>'Data Tables (M)'!BS13*AD4+AC4*(1-AD4)</f>
        <v>1.606109679653883</v>
      </c>
      <c r="AC4" s="44"/>
      <c r="AD4" s="17">
        <v>1</v>
      </c>
    </row>
    <row r="5" spans="1:32" ht="30" customHeight="1" x14ac:dyDescent="0.25">
      <c r="A5" s="38" t="s">
        <v>236</v>
      </c>
      <c r="B5" s="12">
        <f>'Data Tables (Q)'!F14</f>
        <v>-0.1173702025106422</v>
      </c>
      <c r="C5" s="12">
        <f>'Data Tables (Q)'!G14</f>
        <v>-0.2049295454415585</v>
      </c>
      <c r="D5" s="12">
        <f>'Data Tables (Q)'!H14</f>
        <v>3.2451687125956141E-3</v>
      </c>
      <c r="E5" s="12">
        <f>'Data Tables (Q)'!I14</f>
        <v>0.18043504936153451</v>
      </c>
      <c r="F5" s="12">
        <f>'Data Tables (Q)'!J14</f>
        <v>-0.25831758705473362</v>
      </c>
      <c r="G5" s="12">
        <f>'Data Tables (Q)'!K14</f>
        <v>-0.28531197529588331</v>
      </c>
      <c r="H5" s="12">
        <f>'Data Tables (Q)'!L14</f>
        <v>-9.3966231446529491E-2</v>
      </c>
      <c r="I5" s="12">
        <f>'Data Tables (Q)'!M14</f>
        <v>-0.57675672633951081</v>
      </c>
      <c r="J5" s="12">
        <f>'Data Tables (Q)'!N14</f>
        <v>-1.287629269088967</v>
      </c>
      <c r="K5" s="12">
        <f>'Data Tables (Q)'!O14</f>
        <v>-1.300891046213138</v>
      </c>
      <c r="L5" s="12">
        <f>'Data Tables (Q)'!P14</f>
        <v>-1.6502647722361701</v>
      </c>
      <c r="M5" s="12">
        <f>'Data Tables (Q)'!Q14</f>
        <v>-0.83079472718941361</v>
      </c>
      <c r="N5" s="12">
        <f>'Data Tables (Q)'!R14</f>
        <v>-1.3825719734120701</v>
      </c>
      <c r="O5" s="12">
        <f>'Data Tables (Q)'!S14</f>
        <v>-1.5799359499551431</v>
      </c>
      <c r="P5" s="12">
        <f>'Data Tables (Q)'!T14</f>
        <v>-1.0542949079360819</v>
      </c>
      <c r="Q5" s="53">
        <f>'Data Tables (Q)'!U14</f>
        <v>-1.3557993728754809</v>
      </c>
      <c r="R5" s="53">
        <f>'Data Tables (Q)'!V14</f>
        <v>-1.497081244480825</v>
      </c>
      <c r="S5" s="53">
        <f>'Data Tables (Q)'!W14</f>
        <v>-0.65776890033589552</v>
      </c>
      <c r="T5" s="12">
        <f>'Data Tables (Q)'!X14</f>
        <v>-0.46079243140653148</v>
      </c>
      <c r="U5" s="53">
        <f>'Data Tables (Q)'!Y14</f>
        <v>0.78463273445555615</v>
      </c>
      <c r="V5" s="53">
        <f>'Data Tables (Q)'!Z14</f>
        <v>4.7183501459358013E-2</v>
      </c>
      <c r="W5" s="53">
        <f>'Data Tables (Q)'!AA14</f>
        <v>0.56322649620975085</v>
      </c>
      <c r="X5" s="53">
        <f>'Data Tables (Q)'!AB14</f>
        <v>0.93591851189495401</v>
      </c>
      <c r="Y5" s="53">
        <f>'Data Tables (Q)'!AC14</f>
        <v>1.709978486433215</v>
      </c>
      <c r="Z5" s="53">
        <f>'Data Tables (Q)'!AD14</f>
        <v>0.85639536321343712</v>
      </c>
      <c r="AA5" s="12">
        <f>'Data Tables (M)'!BS14*AD5+AC5*(1-AD5)</f>
        <v>1.476149057207806</v>
      </c>
      <c r="AC5" s="44"/>
      <c r="AD5" s="17">
        <v>1</v>
      </c>
    </row>
    <row r="6" spans="1:32" ht="15" customHeight="1" x14ac:dyDescent="0.25">
      <c r="A6" s="36" t="s">
        <v>237</v>
      </c>
      <c r="B6" s="13">
        <f t="shared" ref="B6:AA6" si="0">(145%/B10-1)/10%*1.7</f>
        <v>0.3522771483096383</v>
      </c>
      <c r="C6" s="13">
        <f t="shared" si="0"/>
        <v>0.95125817168798288</v>
      </c>
      <c r="D6" s="13">
        <f t="shared" si="0"/>
        <v>3.142450421064007</v>
      </c>
      <c r="E6" s="13">
        <f t="shared" si="0"/>
        <v>2.4443071834563459</v>
      </c>
      <c r="F6" s="13">
        <f t="shared" si="0"/>
        <v>1.5264399167897107</v>
      </c>
      <c r="G6" s="13">
        <f t="shared" si="0"/>
        <v>2.9820962236190578</v>
      </c>
      <c r="H6" s="13">
        <f t="shared" si="0"/>
        <v>2.3520035372211359</v>
      </c>
      <c r="I6" s="13">
        <f t="shared" si="0"/>
        <v>1.4805067189429308</v>
      </c>
      <c r="J6" s="13">
        <f t="shared" si="0"/>
        <v>1.3806035350131134</v>
      </c>
      <c r="K6" s="13">
        <f t="shared" si="0"/>
        <v>1.4451365747845761</v>
      </c>
      <c r="L6" s="13">
        <f t="shared" si="0"/>
        <v>1.6426177954284424</v>
      </c>
      <c r="M6" s="13">
        <f t="shared" si="0"/>
        <v>1.6951391357782941</v>
      </c>
      <c r="N6" s="13">
        <f t="shared" si="0"/>
        <v>2.4505628885697099</v>
      </c>
      <c r="O6" s="13">
        <f t="shared" si="0"/>
        <v>1.9851584346010411</v>
      </c>
      <c r="P6" s="13">
        <f t="shared" si="0"/>
        <v>2.4767311998545218</v>
      </c>
      <c r="Q6" s="13">
        <f t="shared" si="0"/>
        <v>2.1566316817629261</v>
      </c>
      <c r="R6" s="13">
        <f t="shared" si="0"/>
        <v>0.82751226950812695</v>
      </c>
      <c r="S6" s="13">
        <f t="shared" si="0"/>
        <v>1.0685351494916295</v>
      </c>
      <c r="T6" s="13">
        <f t="shared" si="0"/>
        <v>1.3239600171902748</v>
      </c>
      <c r="U6" s="13">
        <f t="shared" si="0"/>
        <v>1.3976667268150658</v>
      </c>
      <c r="V6" s="13">
        <f t="shared" si="0"/>
        <v>0.8663164569306705</v>
      </c>
      <c r="W6" s="13">
        <f t="shared" si="0"/>
        <v>0.4739865492493105</v>
      </c>
      <c r="X6" s="13">
        <f t="shared" si="0"/>
        <v>0.45527757409375336</v>
      </c>
      <c r="Y6" s="13">
        <f t="shared" si="0"/>
        <v>0.48685779217732339</v>
      </c>
      <c r="Z6" s="13">
        <f t="shared" si="0"/>
        <v>-0.28303647795589904</v>
      </c>
      <c r="AA6" s="13">
        <f t="shared" si="0"/>
        <v>1.2202861846416151</v>
      </c>
      <c r="AD6" s="16"/>
    </row>
    <row r="7" spans="1:32" ht="15" customHeight="1" x14ac:dyDescent="0.25">
      <c r="A7" s="38" t="s">
        <v>30</v>
      </c>
      <c r="B7" s="12">
        <f t="shared" ref="B7:AA7" si="1">SUM(B2:B6)</f>
        <v>129.58943345490133</v>
      </c>
      <c r="C7" s="12">
        <f t="shared" si="1"/>
        <v>134.13996289191942</v>
      </c>
      <c r="D7" s="12">
        <f t="shared" si="1"/>
        <v>139.28483398958488</v>
      </c>
      <c r="E7" s="12">
        <f t="shared" si="1"/>
        <v>142.87088110159473</v>
      </c>
      <c r="F7" s="12">
        <f t="shared" si="1"/>
        <v>139.12036586732501</v>
      </c>
      <c r="G7" s="12">
        <f t="shared" si="1"/>
        <v>137.88774129531475</v>
      </c>
      <c r="H7" s="12">
        <f t="shared" si="1"/>
        <v>136.82715153789155</v>
      </c>
      <c r="I7" s="12">
        <f t="shared" si="1"/>
        <v>135.57515494049287</v>
      </c>
      <c r="J7" s="12">
        <f t="shared" si="1"/>
        <v>134.05462516560624</v>
      </c>
      <c r="K7" s="12">
        <f t="shared" si="1"/>
        <v>135.9681618380985</v>
      </c>
      <c r="L7" s="12">
        <f t="shared" si="1"/>
        <v>137.38283613752185</v>
      </c>
      <c r="M7" s="12">
        <f t="shared" si="1"/>
        <v>140.16225584510573</v>
      </c>
      <c r="N7" s="12">
        <f t="shared" si="1"/>
        <v>143.05233334526628</v>
      </c>
      <c r="O7" s="12">
        <f t="shared" si="1"/>
        <v>139.07979987103678</v>
      </c>
      <c r="P7" s="12">
        <f t="shared" si="1"/>
        <v>139.70061938851902</v>
      </c>
      <c r="Q7" s="53">
        <f t="shared" si="1"/>
        <v>141.03860056194489</v>
      </c>
      <c r="R7" s="53">
        <f t="shared" si="1"/>
        <v>139.2986089453313</v>
      </c>
      <c r="S7" s="53">
        <f t="shared" si="1"/>
        <v>141.08190387440965</v>
      </c>
      <c r="T7" s="12">
        <f t="shared" si="1"/>
        <v>144.35330302574528</v>
      </c>
      <c r="U7" s="53">
        <f t="shared" si="1"/>
        <v>143.72976586115951</v>
      </c>
      <c r="V7" s="53">
        <f t="shared" si="1"/>
        <v>140.84625837570064</v>
      </c>
      <c r="W7" s="53">
        <f t="shared" si="1"/>
        <v>142.17516650362077</v>
      </c>
      <c r="X7" s="53">
        <f t="shared" si="1"/>
        <v>142.93351311578041</v>
      </c>
      <c r="Y7" s="53">
        <f t="shared" si="1"/>
        <v>143.03250348468853</v>
      </c>
      <c r="Z7" s="53">
        <f t="shared" si="1"/>
        <v>142.92839619556085</v>
      </c>
      <c r="AA7" s="12">
        <f t="shared" si="1"/>
        <v>142.28068372678862</v>
      </c>
      <c r="AD7" s="16"/>
    </row>
    <row r="8" spans="1:32" ht="15" customHeight="1" x14ac:dyDescent="0.25">
      <c r="A8" s="40"/>
      <c r="B8" s="47">
        <f t="shared" ref="B8:AA8" si="2">B2+B4</f>
        <v>129.35452650910233</v>
      </c>
      <c r="C8" s="47">
        <f t="shared" si="2"/>
        <v>133.393634265673</v>
      </c>
      <c r="D8" s="47">
        <f t="shared" si="2"/>
        <v>136.13913839980827</v>
      </c>
      <c r="E8" s="47">
        <f t="shared" si="2"/>
        <v>140.24613886877685</v>
      </c>
      <c r="F8" s="47">
        <f t="shared" si="2"/>
        <v>137.85224353759003</v>
      </c>
      <c r="G8" s="47">
        <f t="shared" si="2"/>
        <v>135.19095704699157</v>
      </c>
      <c r="H8" s="47">
        <f t="shared" si="2"/>
        <v>134.56911423211696</v>
      </c>
      <c r="I8" s="47">
        <f t="shared" si="2"/>
        <v>134.67140494788944</v>
      </c>
      <c r="J8" s="47">
        <f t="shared" si="2"/>
        <v>133.9616508996821</v>
      </c>
      <c r="K8" s="47">
        <f t="shared" si="2"/>
        <v>135.82391630952705</v>
      </c>
      <c r="L8" s="47">
        <f t="shared" si="2"/>
        <v>137.39048311432958</v>
      </c>
      <c r="M8" s="47">
        <f t="shared" si="2"/>
        <v>139.29791143651684</v>
      </c>
      <c r="N8" s="47">
        <f t="shared" si="2"/>
        <v>141.98434243010863</v>
      </c>
      <c r="O8" s="47">
        <f t="shared" si="2"/>
        <v>138.67457738639089</v>
      </c>
      <c r="P8" s="47">
        <f t="shared" si="2"/>
        <v>138.27818309660057</v>
      </c>
      <c r="Q8" s="47">
        <f t="shared" si="2"/>
        <v>140.23776825305745</v>
      </c>
      <c r="R8" s="47">
        <f t="shared" si="2"/>
        <v>139.96817792030399</v>
      </c>
      <c r="S8" s="47">
        <f t="shared" si="2"/>
        <v>140.67113762525392</v>
      </c>
      <c r="T8" s="47">
        <f t="shared" si="2"/>
        <v>143.49013543996153</v>
      </c>
      <c r="U8" s="47">
        <f t="shared" si="2"/>
        <v>141.54746639988889</v>
      </c>
      <c r="V8" s="47">
        <f t="shared" si="2"/>
        <v>139.93275841731062</v>
      </c>
      <c r="W8" s="47">
        <f t="shared" si="2"/>
        <v>141.13795345816172</v>
      </c>
      <c r="X8" s="47">
        <f t="shared" si="2"/>
        <v>141.54231702979172</v>
      </c>
      <c r="Y8" s="47">
        <f t="shared" si="2"/>
        <v>140.835667206078</v>
      </c>
      <c r="Z8" s="47">
        <f t="shared" si="2"/>
        <v>142.35503731030332</v>
      </c>
      <c r="AA8" s="47">
        <f t="shared" si="2"/>
        <v>139.5842484849392</v>
      </c>
      <c r="AD8" s="16"/>
    </row>
    <row r="9" spans="1:32" ht="15" customHeight="1" x14ac:dyDescent="0.25">
      <c r="A9" s="42" t="s">
        <v>238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D9" s="16"/>
    </row>
    <row r="10" spans="1:32" ht="15" customHeight="1" x14ac:dyDescent="0.25">
      <c r="A10" s="36" t="s">
        <v>273</v>
      </c>
      <c r="B10" s="81">
        <f>'Data Tables (Q)'!F17</f>
        <v>1.420562833875741</v>
      </c>
      <c r="C10" s="81">
        <f>'Data Tables (Q)'!G17</f>
        <v>1.373162803645541</v>
      </c>
      <c r="D10" s="81">
        <f>'Data Tables (Q)'!H17</f>
        <v>1.223783575717392</v>
      </c>
      <c r="E10" s="81">
        <f>'Data Tables (Q)'!I17</f>
        <v>1.267723234745683</v>
      </c>
      <c r="F10" s="81">
        <f>'Data Tables (Q)'!J17</f>
        <v>1.3305308580986881</v>
      </c>
      <c r="G10" s="81">
        <f>'Data Tables (Q)'!K17</f>
        <v>1.233604308784352</v>
      </c>
      <c r="H10" s="81">
        <f>'Data Tables (Q)'!L17</f>
        <v>1.2737699201319821</v>
      </c>
      <c r="I10" s="81">
        <f>'Data Tables (Q)'!M17</f>
        <v>1.3338378852314261</v>
      </c>
      <c r="J10" s="81">
        <f>'Data Tables (Q)'!N17</f>
        <v>1.3410876282187549</v>
      </c>
      <c r="K10" s="81">
        <f>'Data Tables (Q)'!O17</f>
        <v>1.336395634700682</v>
      </c>
      <c r="L10" s="81">
        <f>'Data Tables (Q)'!P17</f>
        <v>1.3222391978686969</v>
      </c>
      <c r="M10" s="81">
        <f>'Data Tables (Q)'!Q17</f>
        <v>1.318524554483012</v>
      </c>
      <c r="N10" s="81">
        <f>'Data Tables (Q)'!R17</f>
        <v>1.267315508616246</v>
      </c>
      <c r="O10" s="81">
        <f>'Data Tables (Q)'!S17</f>
        <v>1.2983826331980779</v>
      </c>
      <c r="P10" s="81">
        <f>'Data Tables (Q)'!T17</f>
        <v>1.265612784150562</v>
      </c>
      <c r="Q10" s="81">
        <f>'Data Tables (Q)'!U17</f>
        <v>1.286760658632214</v>
      </c>
      <c r="R10" s="81">
        <f>'Data Tables (Q)'!V17</f>
        <v>1.382694322536574</v>
      </c>
      <c r="S10" s="81">
        <f>'Data Tables (Q)'!W17</f>
        <v>1.364250051044871</v>
      </c>
      <c r="T10" s="81">
        <f>'Data Tables (Q)'!X17</f>
        <v>1.345233234348638</v>
      </c>
      <c r="U10" s="81">
        <f>'Data Tables (Q)'!Y17</f>
        <v>1.3398438163939561</v>
      </c>
      <c r="V10" s="81">
        <f>'Data Tables (Q)'!Z17</f>
        <v>1.379691222833894</v>
      </c>
      <c r="W10" s="81">
        <f>'Data Tables (Q)'!AA17</f>
        <v>1.4106683629706109</v>
      </c>
      <c r="X10" s="81">
        <f>'Data Tables (Q)'!AB17</f>
        <v>1.412180350347696</v>
      </c>
      <c r="Y10" s="81">
        <f>'Data Tables (Q)'!AC17</f>
        <v>1.4096300371943939</v>
      </c>
      <c r="Z10" s="81">
        <f>'Data Tables (Q)'!AD17</f>
        <v>1.474550086054496</v>
      </c>
      <c r="AA10" s="81">
        <f>'Data Tables (M)'!BS17*AD10+AC10*(1-AD10)</f>
        <v>1.352887641291725</v>
      </c>
      <c r="AC10" s="44"/>
      <c r="AD10" s="17">
        <v>1</v>
      </c>
    </row>
    <row r="11" spans="1:32" ht="15" customHeight="1" x14ac:dyDescent="0.25">
      <c r="A11" s="37" t="s">
        <v>240</v>
      </c>
      <c r="B11" s="83">
        <v>156.6</v>
      </c>
      <c r="C11" s="83">
        <v>149.5</v>
      </c>
      <c r="D11" s="83">
        <v>178.6</v>
      </c>
      <c r="E11" s="83">
        <v>176.8</v>
      </c>
      <c r="F11" s="83">
        <v>183.6</v>
      </c>
      <c r="G11" s="83">
        <v>218.6</v>
      </c>
      <c r="H11" s="83">
        <v>217</v>
      </c>
      <c r="I11" s="83">
        <v>252.9</v>
      </c>
      <c r="J11" s="83">
        <v>243.1</v>
      </c>
      <c r="K11" s="83">
        <v>245.1</v>
      </c>
      <c r="L11" s="83">
        <v>229.8</v>
      </c>
      <c r="M11" s="83">
        <v>221.6</v>
      </c>
      <c r="N11" s="83">
        <v>229.4</v>
      </c>
      <c r="O11" s="83">
        <v>224.9</v>
      </c>
      <c r="P11" s="83">
        <v>212.6</v>
      </c>
      <c r="Q11" s="83">
        <v>204.9</v>
      </c>
      <c r="R11" s="98">
        <v>204.2</v>
      </c>
      <c r="S11" s="98">
        <v>199.2</v>
      </c>
      <c r="T11" s="83">
        <v>202.8</v>
      </c>
      <c r="U11" s="83">
        <v>203.3</v>
      </c>
      <c r="V11" s="98"/>
      <c r="W11" s="98">
        <v>202.6</v>
      </c>
      <c r="X11" s="98"/>
      <c r="Y11" s="98"/>
      <c r="Z11" s="98"/>
      <c r="AA11" s="84">
        <v>203</v>
      </c>
    </row>
    <row r="12" spans="1:32" ht="15" customHeight="1" x14ac:dyDescent="0.25">
      <c r="A12" s="43" t="s">
        <v>241</v>
      </c>
      <c r="B12" s="82">
        <v>0.2445606772966977</v>
      </c>
      <c r="C12" s="82">
        <v>0.33059155778194721</v>
      </c>
      <c r="D12" s="82">
        <v>0.1173819506419207</v>
      </c>
      <c r="E12" s="82">
        <v>0.16960024600254631</v>
      </c>
      <c r="F12" s="82">
        <v>0.13323456147240201</v>
      </c>
      <c r="G12" s="82">
        <v>-4.2561451166990949E-2</v>
      </c>
      <c r="H12" s="82">
        <v>-4.1246333166940152E-2</v>
      </c>
      <c r="I12" s="82">
        <v>-0.18913444181131661</v>
      </c>
      <c r="J12" s="82">
        <v>-0.16706463095801991</v>
      </c>
      <c r="K12" s="82">
        <v>-0.1889941003651481</v>
      </c>
      <c r="L12" s="82">
        <v>-0.14479230462822679</v>
      </c>
      <c r="M12" s="82">
        <v>-0.1246166443921025</v>
      </c>
      <c r="N12" s="82">
        <v>-0.16400894079627171</v>
      </c>
      <c r="O12" s="82">
        <v>-0.15141755763747361</v>
      </c>
      <c r="P12" s="82">
        <v>-0.10485318971388401</v>
      </c>
      <c r="Q12" s="82">
        <v>-7.0296605586842031E-2</v>
      </c>
      <c r="R12" s="82">
        <v>-6.42079923362191E-2</v>
      </c>
      <c r="S12" s="82">
        <v>-3.712872446878257E-2</v>
      </c>
      <c r="T12" s="82">
        <v>-0.03</v>
      </c>
      <c r="U12" s="82">
        <v>-0.03</v>
      </c>
      <c r="V12" s="82">
        <v>-0.03</v>
      </c>
      <c r="W12" s="82">
        <v>-1.5603930618634101E-2</v>
      </c>
      <c r="X12" s="82"/>
      <c r="Y12" s="82"/>
      <c r="Z12" s="82"/>
      <c r="AA12" s="82">
        <v>-0.03</v>
      </c>
    </row>
    <row r="13" spans="1:32" ht="15" customHeight="1" x14ac:dyDescent="0.25">
      <c r="A13" s="38" t="s">
        <v>242</v>
      </c>
      <c r="B13" s="85">
        <f t="shared" ref="B13:W13" si="3">B12/10%*1.7</f>
        <v>4.1575315140438605</v>
      </c>
      <c r="C13" s="85">
        <f t="shared" si="3"/>
        <v>5.6200564822931023</v>
      </c>
      <c r="D13" s="85">
        <f t="shared" si="3"/>
        <v>1.9954931609126518</v>
      </c>
      <c r="E13" s="85">
        <f t="shared" si="3"/>
        <v>2.8832041820432872</v>
      </c>
      <c r="F13" s="85">
        <f t="shared" si="3"/>
        <v>2.2649875450308339</v>
      </c>
      <c r="G13" s="85">
        <f t="shared" si="3"/>
        <v>-0.72354466983884613</v>
      </c>
      <c r="H13" s="85">
        <f t="shared" si="3"/>
        <v>-0.70118766383798259</v>
      </c>
      <c r="I13" s="85">
        <f t="shared" si="3"/>
        <v>-3.2152855107923823</v>
      </c>
      <c r="J13" s="85">
        <f t="shared" si="3"/>
        <v>-2.840098726286338</v>
      </c>
      <c r="K13" s="85">
        <f t="shared" si="3"/>
        <v>-3.2128997062075175</v>
      </c>
      <c r="L13" s="85">
        <f t="shared" si="3"/>
        <v>-2.4614691786798555</v>
      </c>
      <c r="M13" s="85">
        <f t="shared" si="3"/>
        <v>-2.1184829546657422</v>
      </c>
      <c r="N13" s="85">
        <f t="shared" si="3"/>
        <v>-2.7881519935366188</v>
      </c>
      <c r="O13" s="85">
        <f t="shared" si="3"/>
        <v>-2.5740984798370512</v>
      </c>
      <c r="P13" s="85">
        <f t="shared" si="3"/>
        <v>-1.7825042251360279</v>
      </c>
      <c r="Q13" s="85">
        <f t="shared" si="3"/>
        <v>-1.1950422949763144</v>
      </c>
      <c r="R13" s="85">
        <f t="shared" si="3"/>
        <v>-1.0915358697157247</v>
      </c>
      <c r="S13" s="85">
        <f t="shared" si="3"/>
        <v>-0.63118831596930369</v>
      </c>
      <c r="T13" s="85">
        <f t="shared" si="3"/>
        <v>-0.51</v>
      </c>
      <c r="U13" s="85">
        <f t="shared" si="3"/>
        <v>-0.51</v>
      </c>
      <c r="V13" s="85">
        <f t="shared" si="3"/>
        <v>-0.51</v>
      </c>
      <c r="W13" s="85">
        <f t="shared" si="3"/>
        <v>-0.26526682051677969</v>
      </c>
      <c r="X13" s="85"/>
      <c r="Y13" s="85"/>
      <c r="Z13" s="85"/>
      <c r="AA13" s="85">
        <f>AA12/10%*1.7</f>
        <v>-0.51</v>
      </c>
    </row>
    <row r="14" spans="1:32" ht="15" customHeight="1" x14ac:dyDescent="0.25">
      <c r="A14" s="36" t="s">
        <v>243</v>
      </c>
      <c r="B14" s="87">
        <f t="shared" ref="B14:W14" si="4">B7+B13</f>
        <v>133.74696496894518</v>
      </c>
      <c r="C14" s="87">
        <f t="shared" si="4"/>
        <v>139.76001937421253</v>
      </c>
      <c r="D14" s="87">
        <f t="shared" si="4"/>
        <v>141.28032715049753</v>
      </c>
      <c r="E14" s="87">
        <f t="shared" si="4"/>
        <v>145.75408528363803</v>
      </c>
      <c r="F14" s="87">
        <f t="shared" si="4"/>
        <v>141.38535341235584</v>
      </c>
      <c r="G14" s="87">
        <f t="shared" si="4"/>
        <v>137.16419662547591</v>
      </c>
      <c r="H14" s="87">
        <f t="shared" si="4"/>
        <v>136.12596387405358</v>
      </c>
      <c r="I14" s="87">
        <f t="shared" si="4"/>
        <v>132.3598694297005</v>
      </c>
      <c r="J14" s="87">
        <f t="shared" si="4"/>
        <v>131.21452643931991</v>
      </c>
      <c r="K14" s="87">
        <f t="shared" si="4"/>
        <v>132.75526213189099</v>
      </c>
      <c r="L14" s="87">
        <f t="shared" si="4"/>
        <v>134.92136695884199</v>
      </c>
      <c r="M14" s="87">
        <f t="shared" si="4"/>
        <v>138.04377289043998</v>
      </c>
      <c r="N14" s="87">
        <f t="shared" si="4"/>
        <v>140.26418135172966</v>
      </c>
      <c r="O14" s="87">
        <f t="shared" si="4"/>
        <v>136.50570139119972</v>
      </c>
      <c r="P14" s="87">
        <f t="shared" si="4"/>
        <v>137.91811516338299</v>
      </c>
      <c r="Q14" s="87">
        <f t="shared" si="4"/>
        <v>139.84355826696859</v>
      </c>
      <c r="R14" s="87">
        <f t="shared" si="4"/>
        <v>138.20707307561557</v>
      </c>
      <c r="S14" s="87">
        <f t="shared" si="4"/>
        <v>140.45071555844035</v>
      </c>
      <c r="T14" s="87">
        <f t="shared" si="4"/>
        <v>143.84330302574529</v>
      </c>
      <c r="U14" s="87">
        <f t="shared" si="4"/>
        <v>143.21976586115952</v>
      </c>
      <c r="V14" s="87">
        <f t="shared" si="4"/>
        <v>140.33625837570065</v>
      </c>
      <c r="W14" s="87">
        <f t="shared" si="4"/>
        <v>141.90989968310399</v>
      </c>
      <c r="X14" s="87"/>
      <c r="Y14" s="87"/>
      <c r="Z14" s="87"/>
      <c r="AA14" s="87">
        <f>AA7+AA13</f>
        <v>141.77068372678863</v>
      </c>
    </row>
    <row r="15" spans="1:32" ht="15" customHeight="1" x14ac:dyDescent="0.25">
      <c r="A15" s="38" t="s">
        <v>244</v>
      </c>
      <c r="B15" s="20">
        <v>0.13483205601485559</v>
      </c>
      <c r="C15" s="20">
        <v>0.13200972476764419</v>
      </c>
      <c r="D15" s="20">
        <v>0.15381289093725251</v>
      </c>
      <c r="E15" s="20">
        <v>0.13042255456843341</v>
      </c>
      <c r="F15" s="20">
        <v>0.172258169388918</v>
      </c>
      <c r="G15" s="20">
        <v>0.20821936384182471</v>
      </c>
      <c r="H15" s="20">
        <v>0.25090384706966889</v>
      </c>
      <c r="I15" s="20">
        <v>0.2675927565273859</v>
      </c>
      <c r="J15" s="20">
        <v>0.3241867569688448</v>
      </c>
      <c r="K15" s="20">
        <v>0.31440637465535348</v>
      </c>
      <c r="L15" s="20">
        <v>0.29743429531142962</v>
      </c>
      <c r="M15" s="20">
        <v>0.2846673361740959</v>
      </c>
      <c r="N15" s="20">
        <v>0.26756060273135601</v>
      </c>
      <c r="O15" s="20"/>
      <c r="P15" s="20"/>
      <c r="Q15" s="54"/>
      <c r="R15" s="54"/>
      <c r="S15" s="54"/>
      <c r="T15" s="20"/>
      <c r="U15" s="54"/>
      <c r="V15" s="54"/>
      <c r="W15" s="54"/>
      <c r="X15" s="54"/>
      <c r="Y15" s="54"/>
      <c r="Z15" s="54"/>
      <c r="AA15" s="95"/>
    </row>
    <row r="16" spans="1:32" ht="15" customHeight="1" x14ac:dyDescent="0.25">
      <c r="A16" s="36" t="s">
        <v>245</v>
      </c>
      <c r="B16" s="19">
        <f t="shared" ref="B16:N16" si="5">B15-($AA$14-B14)*1%</f>
        <v>5.4594868436421043E-2</v>
      </c>
      <c r="C16" s="19">
        <f t="shared" si="5"/>
        <v>0.1119030812418832</v>
      </c>
      <c r="D16" s="19">
        <f t="shared" si="5"/>
        <v>0.14890932517434144</v>
      </c>
      <c r="E16" s="19">
        <f t="shared" si="5"/>
        <v>0.17025657013692741</v>
      </c>
      <c r="F16" s="19">
        <f t="shared" si="5"/>
        <v>0.16840486624459008</v>
      </c>
      <c r="G16" s="19">
        <f t="shared" si="5"/>
        <v>0.16215449282869748</v>
      </c>
      <c r="H16" s="19">
        <f t="shared" si="5"/>
        <v>0.19445664854231839</v>
      </c>
      <c r="I16" s="19">
        <f t="shared" si="5"/>
        <v>0.17348461355650452</v>
      </c>
      <c r="J16" s="19">
        <f t="shared" si="5"/>
        <v>0.2186251840941576</v>
      </c>
      <c r="K16" s="19">
        <f t="shared" si="5"/>
        <v>0.22425215870637702</v>
      </c>
      <c r="L16" s="19">
        <f t="shared" si="5"/>
        <v>0.22894112763196317</v>
      </c>
      <c r="M16" s="19">
        <f t="shared" si="5"/>
        <v>0.24739822781060938</v>
      </c>
      <c r="N16" s="19">
        <f t="shared" si="5"/>
        <v>0.2524955789807663</v>
      </c>
      <c r="O16" s="19"/>
      <c r="P16" s="19"/>
      <c r="Q16" s="88"/>
      <c r="R16" s="88"/>
      <c r="S16" s="88"/>
      <c r="T16" s="19"/>
      <c r="U16" s="88"/>
      <c r="V16" s="88"/>
      <c r="W16" s="88"/>
      <c r="X16" s="88"/>
      <c r="Y16" s="88"/>
      <c r="Z16" s="88"/>
      <c r="AA16" s="89">
        <v>0.23780000000000001</v>
      </c>
      <c r="AB16" s="96"/>
      <c r="AC16" s="96"/>
    </row>
    <row r="17" spans="1:29" ht="15" customHeight="1" x14ac:dyDescent="0.25">
      <c r="AA17" s="96"/>
      <c r="AB17" s="96"/>
      <c r="AC17" s="96"/>
    </row>
    <row r="19" spans="1:29" ht="15" customHeight="1" x14ac:dyDescent="0.25">
      <c r="A19" s="50" t="s">
        <v>246</v>
      </c>
      <c r="B19" s="51" t="s">
        <v>247</v>
      </c>
    </row>
    <row r="20" spans="1:29" ht="15" customHeight="1" x14ac:dyDescent="0.25">
      <c r="A20" s="50" t="s">
        <v>248</v>
      </c>
      <c r="B20" s="51" t="s">
        <v>249</v>
      </c>
    </row>
    <row r="21" spans="1:29" ht="15" customHeight="1" x14ac:dyDescent="0.25">
      <c r="A21" s="50" t="s">
        <v>250</v>
      </c>
      <c r="B21" s="51" t="s">
        <v>251</v>
      </c>
    </row>
    <row r="22" spans="1:29" ht="15" customHeight="1" x14ac:dyDescent="0.25">
      <c r="A22" s="50"/>
      <c r="B22" s="51" t="s">
        <v>252</v>
      </c>
    </row>
    <row r="23" spans="1:29" ht="15" customHeight="1" x14ac:dyDescent="0.25">
      <c r="A23" s="50" t="s">
        <v>253</v>
      </c>
      <c r="B23" s="51" t="s">
        <v>254</v>
      </c>
    </row>
    <row r="24" spans="1:29" ht="15" customHeight="1" x14ac:dyDescent="0.25">
      <c r="A24" s="50" t="s">
        <v>255</v>
      </c>
      <c r="B24" s="51" t="s">
        <v>256</v>
      </c>
    </row>
    <row r="25" spans="1:29" ht="15" customHeight="1" x14ac:dyDescent="0.25">
      <c r="A25" s="50" t="s">
        <v>257</v>
      </c>
      <c r="B25" s="51" t="s">
        <v>258</v>
      </c>
    </row>
    <row r="26" spans="1:29" ht="15" customHeight="1" x14ac:dyDescent="0.25">
      <c r="A26" s="50"/>
      <c r="B26" s="51" t="s">
        <v>259</v>
      </c>
    </row>
    <row r="27" spans="1:29" ht="15" customHeight="1" x14ac:dyDescent="0.25">
      <c r="A27" s="50" t="s">
        <v>260</v>
      </c>
      <c r="B27" s="51" t="s">
        <v>261</v>
      </c>
    </row>
  </sheetData>
  <mergeCells count="2">
    <mergeCell ref="AE1:AF1"/>
    <mergeCell ref="AE2:AF2"/>
  </mergeCells>
  <pageMargins left="0.7" right="0.7" top="0.75" bottom="0.75" header="0.3" footer="0.3"/>
  <pageSetup orientation="portrait" horizontalDpi="204" verticalDpi="19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31"/>
  <sheetViews>
    <sheetView topLeftCell="J1" zoomScale="139" zoomScaleNormal="220" workbookViewId="0">
      <selection activeCell="Z4" sqref="Z4"/>
    </sheetView>
  </sheetViews>
  <sheetFormatPr defaultColWidth="9.1796875" defaultRowHeight="15" customHeight="1" x14ac:dyDescent="0.25"/>
  <cols>
    <col min="1" max="1" width="25" style="41" customWidth="1"/>
    <col min="2" max="27" width="5.26953125" style="41" customWidth="1"/>
    <col min="28" max="78" width="9.1796875" style="41" customWidth="1"/>
    <col min="79" max="16384" width="9.1796875" style="41"/>
  </cols>
  <sheetData>
    <row r="1" spans="1:32" ht="30" customHeight="1" x14ac:dyDescent="0.35">
      <c r="A1" s="35" t="s">
        <v>35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8" t="s">
        <v>228</v>
      </c>
      <c r="AA1" s="28" t="s">
        <v>229</v>
      </c>
      <c r="AC1" s="28" t="s">
        <v>230</v>
      </c>
      <c r="AD1" s="79" t="s">
        <v>231</v>
      </c>
      <c r="AE1" s="132" t="s">
        <v>232</v>
      </c>
      <c r="AF1" s="133"/>
    </row>
    <row r="2" spans="1:32" ht="15" customHeight="1" thickBot="1" x14ac:dyDescent="0.4">
      <c r="A2" s="38" t="s">
        <v>233</v>
      </c>
      <c r="B2" s="12">
        <f>'Data Tables (Q)'!F38</f>
        <v>132.3830679174151</v>
      </c>
      <c r="C2" s="12">
        <f>'Data Tables (Q)'!G38</f>
        <v>133.22864053407059</v>
      </c>
      <c r="D2" s="12">
        <f>'Data Tables (Q)'!H38</f>
        <v>136.30165783621021</v>
      </c>
      <c r="E2" s="12">
        <f>'Data Tables (Q)'!I38</f>
        <v>135.3824245085064</v>
      </c>
      <c r="F2" s="12">
        <f>'Data Tables (Q)'!J38</f>
        <v>133.83570351401411</v>
      </c>
      <c r="G2" s="12">
        <f>'Data Tables (Q)'!K38</f>
        <v>131.87489783492529</v>
      </c>
      <c r="H2" s="12">
        <f>'Data Tables (Q)'!L38</f>
        <v>131.13569156501919</v>
      </c>
      <c r="I2" s="12">
        <f>'Data Tables (Q)'!M38</f>
        <v>129.47230286810949</v>
      </c>
      <c r="J2" s="12">
        <f>'Data Tables (Q)'!N38</f>
        <v>129.34472841048469</v>
      </c>
      <c r="K2" s="12">
        <f>'Data Tables (Q)'!O38</f>
        <v>131.4534857039441</v>
      </c>
      <c r="L2" s="12">
        <f>'Data Tables (Q)'!P38</f>
        <v>131.7155339764507</v>
      </c>
      <c r="M2" s="12">
        <f>'Data Tables (Q)'!Q38</f>
        <v>131.25851429906621</v>
      </c>
      <c r="N2" s="12">
        <f>'Data Tables (Q)'!R38</f>
        <v>132.73384871823549</v>
      </c>
      <c r="O2" s="12">
        <f>'Data Tables (Q)'!S38</f>
        <v>133.4421953804156</v>
      </c>
      <c r="P2" s="12">
        <f>'Data Tables (Q)'!T38</f>
        <v>133.76755452848761</v>
      </c>
      <c r="Q2" s="12">
        <f>'Data Tables (Q)'!U38</f>
        <v>135.3136659257851</v>
      </c>
      <c r="R2" s="12">
        <f>'Data Tables (Q)'!V38</f>
        <v>136.174564953763</v>
      </c>
      <c r="S2" s="12">
        <f>'Data Tables (Q)'!W38</f>
        <v>136.81709999339159</v>
      </c>
      <c r="T2" s="12">
        <f>'Data Tables (Q)'!X38</f>
        <v>136.69241262670499</v>
      </c>
      <c r="U2" s="12">
        <f>'Data Tables (Q)'!Y38</f>
        <v>134.948750294055</v>
      </c>
      <c r="V2" s="12">
        <f>'Data Tables (Q)'!Z38</f>
        <v>134.57147996843619</v>
      </c>
      <c r="W2" s="12">
        <f>'Data Tables (Q)'!AA38</f>
        <v>136.41792232868141</v>
      </c>
      <c r="X2" s="12">
        <f>'Data Tables (Q)'!AB38</f>
        <v>137.00629562165429</v>
      </c>
      <c r="Y2" s="12">
        <f>'Data Tables (Q)'!AC38</f>
        <v>137.20721483911191</v>
      </c>
      <c r="Z2" s="12">
        <f>'Data Tables (Q)'!AD38</f>
        <v>139.55396247065809</v>
      </c>
      <c r="AA2" s="12">
        <f>'Data Tables (M)'!BS38*AD2+AC2*(1-AD2)</f>
        <v>137.015317129484</v>
      </c>
      <c r="AC2" s="80">
        <f>'t-1 Data Table'!N3</f>
        <v>138.80000000000001</v>
      </c>
      <c r="AD2" s="75">
        <v>1</v>
      </c>
      <c r="AE2" s="134">
        <v>0</v>
      </c>
      <c r="AF2" s="135"/>
    </row>
    <row r="3" spans="1:32" ht="15" hidden="1" customHeight="1" x14ac:dyDescent="0.25">
      <c r="A3" s="43" t="s">
        <v>234</v>
      </c>
      <c r="B3" s="13">
        <f>'Data Tables (Q)'!F39*AE2</f>
        <v>0</v>
      </c>
      <c r="C3" s="13">
        <f>'Data Tables (Q)'!G39*AF2</f>
        <v>0</v>
      </c>
      <c r="D3" s="13">
        <f>'Data Tables (Q)'!H39*AG2</f>
        <v>0</v>
      </c>
      <c r="E3" s="13">
        <f>'Data Tables (Q)'!I39*AH2</f>
        <v>0</v>
      </c>
      <c r="F3" s="13">
        <f>'Data Tables (Q)'!J39*AI2</f>
        <v>0</v>
      </c>
      <c r="G3" s="13">
        <f>'Data Tables (Q)'!K39*AJ2</f>
        <v>0</v>
      </c>
      <c r="H3" s="13">
        <f>'Data Tables (Q)'!L39*AK2</f>
        <v>0</v>
      </c>
      <c r="I3" s="13">
        <f>'Data Tables (Q)'!M39*AL2</f>
        <v>0</v>
      </c>
      <c r="J3" s="13">
        <f>'Data Tables (Q)'!N39*AM2</f>
        <v>0</v>
      </c>
      <c r="K3" s="13">
        <f>'Data Tables (Q)'!O39*AN2</f>
        <v>0</v>
      </c>
      <c r="L3" s="13">
        <f>'Data Tables (Q)'!P39*AO2</f>
        <v>0</v>
      </c>
      <c r="M3" s="13">
        <f>'Data Tables (Q)'!Q39*AP2</f>
        <v>0</v>
      </c>
      <c r="N3" s="13">
        <f>'Data Tables (Q)'!R39*AQ2</f>
        <v>0</v>
      </c>
      <c r="O3" s="13">
        <f>'Data Tables (Q)'!S39*AR2</f>
        <v>0</v>
      </c>
      <c r="P3" s="13">
        <f>'Data Tables (Q)'!T39*AS2</f>
        <v>0</v>
      </c>
      <c r="Q3" s="13">
        <f>'Data Tables (Q)'!U39*AT2</f>
        <v>0</v>
      </c>
      <c r="R3" s="13"/>
      <c r="S3" s="13"/>
      <c r="T3" s="13">
        <f>'Data Tables (Q)'!X39*AW2</f>
        <v>0</v>
      </c>
      <c r="U3" s="13">
        <f>'Data Tables (Q)'!Y39*AX2</f>
        <v>0</v>
      </c>
      <c r="V3" s="13">
        <f>'Data Tables (Q)'!Z39*AY2</f>
        <v>0</v>
      </c>
      <c r="W3" s="13"/>
      <c r="X3" s="13"/>
      <c r="Y3" s="13"/>
      <c r="Z3" s="13"/>
      <c r="AA3" s="13">
        <f>('Data Tables (M)'!BS39*AD3+AC3*(1-AD3))*$AE$2</f>
        <v>0</v>
      </c>
      <c r="AC3" s="97">
        <v>0</v>
      </c>
      <c r="AD3" s="17">
        <v>1</v>
      </c>
    </row>
    <row r="4" spans="1:32" ht="30" customHeight="1" x14ac:dyDescent="0.25">
      <c r="A4" s="36" t="s">
        <v>235</v>
      </c>
      <c r="B4" s="13">
        <f>'Data Tables (Q)'!F40</f>
        <v>-0.32633691392047132</v>
      </c>
      <c r="C4" s="13">
        <f>'Data Tables (Q)'!G40</f>
        <v>-0.24531305075308299</v>
      </c>
      <c r="D4" s="13">
        <f>'Data Tables (Q)'!H40</f>
        <v>-0.51478673492329108</v>
      </c>
      <c r="E4" s="13">
        <f>'Data Tables (Q)'!I40</f>
        <v>-1.781073604298228</v>
      </c>
      <c r="F4" s="13">
        <f>'Data Tables (Q)'!J40</f>
        <v>-1.1663097850360491</v>
      </c>
      <c r="G4" s="13">
        <f>'Data Tables (Q)'!K40</f>
        <v>-1.364415366389863</v>
      </c>
      <c r="H4" s="13">
        <f>'Data Tables (Q)'!L40</f>
        <v>-1.597894472251596</v>
      </c>
      <c r="I4" s="13">
        <f>'Data Tables (Q)'!M40</f>
        <v>-1.4141434313902439</v>
      </c>
      <c r="J4" s="13">
        <f>'Data Tables (Q)'!N40</f>
        <v>-0.94809964478861275</v>
      </c>
      <c r="K4" s="13">
        <f>'Data Tables (Q)'!O40</f>
        <v>-1.155244703651789</v>
      </c>
      <c r="L4" s="13">
        <f>'Data Tables (Q)'!P40</f>
        <v>-1.675245941029289</v>
      </c>
      <c r="M4" s="13">
        <f>'Data Tables (Q)'!Q40</f>
        <v>-1.49470227839879</v>
      </c>
      <c r="N4" s="13">
        <f>'Data Tables (Q)'!R40</f>
        <v>-1.840764511270351</v>
      </c>
      <c r="O4" s="13">
        <f>'Data Tables (Q)'!S40</f>
        <v>-1.718196918641979</v>
      </c>
      <c r="P4" s="13">
        <f>'Data Tables (Q)'!T40</f>
        <v>-1.5143745490424581</v>
      </c>
      <c r="Q4" s="13">
        <f>'Data Tables (Q)'!U40</f>
        <v>-0.264888580199937</v>
      </c>
      <c r="R4" s="13">
        <f>'Data Tables (Q)'!V40</f>
        <v>-0.33797290997577528</v>
      </c>
      <c r="S4" s="13">
        <f>'Data Tables (Q)'!W40</f>
        <v>-0.25306573171471308</v>
      </c>
      <c r="T4" s="13">
        <f>'Data Tables (Q)'!X40</f>
        <v>-0.34387396337137938</v>
      </c>
      <c r="U4" s="13">
        <f>'Data Tables (Q)'!Y40</f>
        <v>0.25808423495993787</v>
      </c>
      <c r="V4" s="13">
        <f>'Data Tables (Q)'!Z40</f>
        <v>0.12605529632625689</v>
      </c>
      <c r="W4" s="13">
        <f>'Data Tables (Q)'!AA40</f>
        <v>0.68736219331597681</v>
      </c>
      <c r="X4" s="13">
        <f>'Data Tables (Q)'!AB40</f>
        <v>0.62303960034824968</v>
      </c>
      <c r="Y4" s="13">
        <f>'Data Tables (Q)'!AC40</f>
        <v>1.6196658678780409</v>
      </c>
      <c r="Z4" s="13">
        <f>'Data Tables (Q)'!AD40</f>
        <v>1.5639228418104949</v>
      </c>
      <c r="AA4" s="13">
        <f>'Data Tables (M)'!BS40*AD4+AC4*(1-AD$4)</f>
        <v>0.28556219489152568</v>
      </c>
      <c r="AC4" s="44"/>
      <c r="AD4" s="17">
        <v>1</v>
      </c>
    </row>
    <row r="5" spans="1:32" ht="30" customHeight="1" x14ac:dyDescent="0.25">
      <c r="A5" s="38" t="s">
        <v>236</v>
      </c>
      <c r="B5" s="12">
        <f>'Data Tables (Q)'!F41</f>
        <v>-2.8893776934583291</v>
      </c>
      <c r="C5" s="12">
        <f>'Data Tables (Q)'!G41</f>
        <v>-2.6973233187425478</v>
      </c>
      <c r="D5" s="12">
        <f>'Data Tables (Q)'!H41</f>
        <v>-2.4473200439196598</v>
      </c>
      <c r="E5" s="12">
        <f>'Data Tables (Q)'!I41</f>
        <v>-2.4631078797537209</v>
      </c>
      <c r="F5" s="12">
        <f>'Data Tables (Q)'!J41</f>
        <v>-2.410187290977404</v>
      </c>
      <c r="G5" s="12">
        <f>'Data Tables (Q)'!K41</f>
        <v>-1.8217150481629569</v>
      </c>
      <c r="H5" s="12">
        <f>'Data Tables (Q)'!L41</f>
        <v>-2.3608023007637509</v>
      </c>
      <c r="I5" s="12">
        <f>'Data Tables (Q)'!M41</f>
        <v>-2.236469694987107</v>
      </c>
      <c r="J5" s="12">
        <f>'Data Tables (Q)'!N41</f>
        <v>-3.0902908582119148</v>
      </c>
      <c r="K5" s="12">
        <f>'Data Tables (Q)'!O41</f>
        <v>-3.4354069590460061</v>
      </c>
      <c r="L5" s="12">
        <f>'Data Tables (Q)'!P41</f>
        <v>-4.1052263540127569</v>
      </c>
      <c r="M5" s="12">
        <f>'Data Tables (Q)'!Q41</f>
        <v>-4.2753205234818381</v>
      </c>
      <c r="N5" s="12">
        <f>'Data Tables (Q)'!R41</f>
        <v>-4.0226523104324201</v>
      </c>
      <c r="O5" s="12">
        <f>'Data Tables (Q)'!S41</f>
        <v>-3.8170759454709331</v>
      </c>
      <c r="P5" s="12">
        <f>'Data Tables (Q)'!T41</f>
        <v>-3.539562069974608</v>
      </c>
      <c r="Q5" s="12">
        <f>'Data Tables (Q)'!U41</f>
        <v>-2.996507507201045</v>
      </c>
      <c r="R5" s="12">
        <f>'Data Tables (Q)'!V41</f>
        <v>-3.5568879299021599</v>
      </c>
      <c r="S5" s="12">
        <f>'Data Tables (Q)'!W41</f>
        <v>-3.230175276117222</v>
      </c>
      <c r="T5" s="12">
        <f>'Data Tables (Q)'!X41</f>
        <v>-2.3887580914386888</v>
      </c>
      <c r="U5" s="12">
        <f>'Data Tables (Q)'!Y41</f>
        <v>9.6156653656350954E-2</v>
      </c>
      <c r="V5" s="12">
        <f>'Data Tables (Q)'!Z41</f>
        <v>1.154854594004348</v>
      </c>
      <c r="W5" s="12">
        <f>'Data Tables (Q)'!AA41</f>
        <v>0.118861277414311</v>
      </c>
      <c r="X5" s="12">
        <f>'Data Tables (Q)'!AB41</f>
        <v>0.38105410143546692</v>
      </c>
      <c r="Y5" s="12">
        <f>'Data Tables (Q)'!AC41</f>
        <v>1.1634511364398461</v>
      </c>
      <c r="Z5" s="12">
        <f>'Data Tables (Q)'!AD41</f>
        <v>0.67722626118228391</v>
      </c>
      <c r="AA5" s="12">
        <f>'Data Tables (M)'!BS41*AD5+AC5*(1-AD5)</f>
        <v>0.75967120031165791</v>
      </c>
      <c r="AC5" s="44"/>
      <c r="AD5" s="17">
        <v>1</v>
      </c>
    </row>
    <row r="6" spans="1:32" ht="15" customHeight="1" x14ac:dyDescent="0.25">
      <c r="A6" s="36" t="s">
        <v>237</v>
      </c>
      <c r="B6" s="13">
        <f t="shared" ref="B6:AA6" si="0">(145%/B10-1)/10%*1.7</f>
        <v>-0.24753513697674123</v>
      </c>
      <c r="C6" s="13">
        <f t="shared" si="0"/>
        <v>2.9974600335935797E-2</v>
      </c>
      <c r="D6" s="13">
        <f t="shared" si="0"/>
        <v>2.4563527080375449</v>
      </c>
      <c r="E6" s="13">
        <f t="shared" si="0"/>
        <v>0.9920757044608981</v>
      </c>
      <c r="F6" s="13">
        <f t="shared" si="0"/>
        <v>1.1432824146997189</v>
      </c>
      <c r="G6" s="13">
        <f t="shared" si="0"/>
        <v>2.552672186747571</v>
      </c>
      <c r="H6" s="13">
        <f t="shared" si="0"/>
        <v>1.4015150261232767</v>
      </c>
      <c r="I6" s="13">
        <f t="shared" si="0"/>
        <v>0.9532534821960994</v>
      </c>
      <c r="J6" s="13">
        <f t="shared" si="0"/>
        <v>0.71955130622509955</v>
      </c>
      <c r="K6" s="13">
        <f t="shared" si="0"/>
        <v>1.3301420428075585</v>
      </c>
      <c r="L6" s="13">
        <f t="shared" si="0"/>
        <v>2.0797076523629054</v>
      </c>
      <c r="M6" s="13">
        <f t="shared" si="0"/>
        <v>1.2962260652257018</v>
      </c>
      <c r="N6" s="13">
        <f t="shared" si="0"/>
        <v>0.91936259125935926</v>
      </c>
      <c r="O6" s="13">
        <f t="shared" si="0"/>
        <v>1.6290794207601575</v>
      </c>
      <c r="P6" s="13">
        <f t="shared" si="0"/>
        <v>2.6273818982727835</v>
      </c>
      <c r="Q6" s="13">
        <f t="shared" si="0"/>
        <v>1.8482391078753775</v>
      </c>
      <c r="R6" s="13">
        <f t="shared" si="0"/>
        <v>1.7170447605410009</v>
      </c>
      <c r="S6" s="13">
        <f t="shared" si="0"/>
        <v>1.9627113056735983</v>
      </c>
      <c r="T6" s="13">
        <f t="shared" si="0"/>
        <v>1.751938538894666</v>
      </c>
      <c r="U6" s="13">
        <f t="shared" si="0"/>
        <v>1.3235352056190524</v>
      </c>
      <c r="V6" s="13">
        <f t="shared" si="0"/>
        <v>1.5176980264090763</v>
      </c>
      <c r="W6" s="13">
        <f t="shared" si="0"/>
        <v>1.9215073095841555</v>
      </c>
      <c r="X6" s="13">
        <f t="shared" si="0"/>
        <v>1.8477536230552478</v>
      </c>
      <c r="Y6" s="13">
        <f t="shared" si="0"/>
        <v>1.6963272774335136</v>
      </c>
      <c r="Z6" s="13">
        <f t="shared" si="0"/>
        <v>1.2080160659304797</v>
      </c>
      <c r="AA6" s="13">
        <f t="shared" si="0"/>
        <v>1.8901080617389596</v>
      </c>
      <c r="AD6" s="16"/>
    </row>
    <row r="7" spans="1:32" ht="15" customHeight="1" x14ac:dyDescent="0.25">
      <c r="A7" s="38" t="s">
        <v>30</v>
      </c>
      <c r="B7" s="12">
        <f t="shared" ref="B7:AA7" si="1">SUM(B2:B6)</f>
        <v>128.91981817305955</v>
      </c>
      <c r="C7" s="12">
        <f t="shared" si="1"/>
        <v>130.31597876491091</v>
      </c>
      <c r="D7" s="12">
        <f t="shared" si="1"/>
        <v>135.7959037654048</v>
      </c>
      <c r="E7" s="12">
        <f t="shared" si="1"/>
        <v>132.13031872891534</v>
      </c>
      <c r="F7" s="12">
        <f t="shared" si="1"/>
        <v>131.40248885270037</v>
      </c>
      <c r="G7" s="12">
        <f t="shared" si="1"/>
        <v>131.24143960712004</v>
      </c>
      <c r="H7" s="12">
        <f t="shared" si="1"/>
        <v>128.57850981812712</v>
      </c>
      <c r="I7" s="12">
        <f t="shared" si="1"/>
        <v>126.77494322392825</v>
      </c>
      <c r="J7" s="12">
        <f t="shared" si="1"/>
        <v>126.02588921370926</v>
      </c>
      <c r="K7" s="12">
        <f t="shared" si="1"/>
        <v>128.19297608405387</v>
      </c>
      <c r="L7" s="12">
        <f t="shared" si="1"/>
        <v>128.01476933377157</v>
      </c>
      <c r="M7" s="12">
        <f t="shared" si="1"/>
        <v>126.78471756241127</v>
      </c>
      <c r="N7" s="12">
        <f t="shared" si="1"/>
        <v>127.78979448779208</v>
      </c>
      <c r="O7" s="12">
        <f t="shared" si="1"/>
        <v>129.53600193706285</v>
      </c>
      <c r="P7" s="12">
        <f t="shared" si="1"/>
        <v>131.34099980774332</v>
      </c>
      <c r="Q7" s="12">
        <f t="shared" si="1"/>
        <v>133.90050894625949</v>
      </c>
      <c r="R7" s="12">
        <f t="shared" si="1"/>
        <v>133.99674887442606</v>
      </c>
      <c r="S7" s="12">
        <f t="shared" si="1"/>
        <v>135.29657029123325</v>
      </c>
      <c r="T7" s="12">
        <f t="shared" si="1"/>
        <v>135.7117191107896</v>
      </c>
      <c r="U7" s="12">
        <f t="shared" si="1"/>
        <v>136.62652638829036</v>
      </c>
      <c r="V7" s="12">
        <f t="shared" si="1"/>
        <v>137.37008788517588</v>
      </c>
      <c r="W7" s="12">
        <f t="shared" si="1"/>
        <v>139.14565310899584</v>
      </c>
      <c r="X7" s="12">
        <f t="shared" si="1"/>
        <v>139.85814294649325</v>
      </c>
      <c r="Y7" s="12">
        <f t="shared" si="1"/>
        <v>141.68665912086331</v>
      </c>
      <c r="Z7" s="12">
        <f t="shared" si="1"/>
        <v>143.00312763958135</v>
      </c>
      <c r="AA7" s="12">
        <f t="shared" si="1"/>
        <v>139.95065858642616</v>
      </c>
      <c r="AD7" s="16"/>
    </row>
    <row r="8" spans="1:32" ht="15" customHeight="1" x14ac:dyDescent="0.25">
      <c r="A8" s="40"/>
      <c r="B8" s="47">
        <f t="shared" ref="B8:AA8" si="2">B2+B4</f>
        <v>132.05673100349463</v>
      </c>
      <c r="C8" s="47">
        <f t="shared" si="2"/>
        <v>132.98332748331751</v>
      </c>
      <c r="D8" s="47">
        <f t="shared" si="2"/>
        <v>135.78687110128692</v>
      </c>
      <c r="E8" s="47">
        <f t="shared" si="2"/>
        <v>133.60135090420818</v>
      </c>
      <c r="F8" s="47">
        <f t="shared" si="2"/>
        <v>132.66939372897806</v>
      </c>
      <c r="G8" s="47">
        <f t="shared" si="2"/>
        <v>130.51048246853543</v>
      </c>
      <c r="H8" s="47">
        <f t="shared" si="2"/>
        <v>129.53779709276759</v>
      </c>
      <c r="I8" s="47">
        <f t="shared" si="2"/>
        <v>128.05815943671925</v>
      </c>
      <c r="J8" s="47">
        <f t="shared" si="2"/>
        <v>128.39662876569608</v>
      </c>
      <c r="K8" s="47">
        <f t="shared" si="2"/>
        <v>130.29824100029231</v>
      </c>
      <c r="L8" s="47">
        <f t="shared" si="2"/>
        <v>130.04028803542141</v>
      </c>
      <c r="M8" s="47">
        <f t="shared" si="2"/>
        <v>129.76381202066742</v>
      </c>
      <c r="N8" s="47">
        <f t="shared" si="2"/>
        <v>130.89308420696514</v>
      </c>
      <c r="O8" s="47">
        <f t="shared" si="2"/>
        <v>131.72399846177362</v>
      </c>
      <c r="P8" s="47">
        <f t="shared" si="2"/>
        <v>132.25317997944515</v>
      </c>
      <c r="Q8" s="47">
        <f t="shared" si="2"/>
        <v>135.04877734558517</v>
      </c>
      <c r="R8" s="47">
        <f t="shared" si="2"/>
        <v>135.83659204378722</v>
      </c>
      <c r="S8" s="47">
        <f t="shared" si="2"/>
        <v>136.56403426167688</v>
      </c>
      <c r="T8" s="47">
        <f t="shared" si="2"/>
        <v>136.34853866333361</v>
      </c>
      <c r="U8" s="47">
        <f t="shared" si="2"/>
        <v>135.20683452901494</v>
      </c>
      <c r="V8" s="47">
        <f t="shared" si="2"/>
        <v>134.69753526476245</v>
      </c>
      <c r="W8" s="47">
        <f t="shared" si="2"/>
        <v>137.10528452199739</v>
      </c>
      <c r="X8" s="47">
        <f t="shared" si="2"/>
        <v>137.62933522200254</v>
      </c>
      <c r="Y8" s="47">
        <f t="shared" si="2"/>
        <v>138.82688070698995</v>
      </c>
      <c r="Z8" s="47">
        <f t="shared" si="2"/>
        <v>141.11788531246859</v>
      </c>
      <c r="AA8" s="47">
        <f t="shared" si="2"/>
        <v>137.30087932437553</v>
      </c>
      <c r="AD8" s="16"/>
    </row>
    <row r="9" spans="1:32" ht="15" customHeight="1" x14ac:dyDescent="0.25">
      <c r="A9" s="42" t="s">
        <v>238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D9" s="16"/>
    </row>
    <row r="10" spans="1:32" ht="15" customHeight="1" x14ac:dyDescent="0.25">
      <c r="A10" s="36" t="s">
        <v>273</v>
      </c>
      <c r="B10" s="81">
        <f>'Data Tables (Q)'!F44</f>
        <v>1.47142526198688</v>
      </c>
      <c r="C10" s="81">
        <f>'Data Tables (Q)'!G44</f>
        <v>1.4474478429059869</v>
      </c>
      <c r="D10" s="81">
        <f>'Data Tables (Q)'!H44</f>
        <v>1.266938380995577</v>
      </c>
      <c r="E10" s="81">
        <f>'Data Tables (Q)'!I44</f>
        <v>1.3700475923346831</v>
      </c>
      <c r="F10" s="81">
        <f>'Data Tables (Q)'!J44</f>
        <v>1.358629570800735</v>
      </c>
      <c r="G10" s="81">
        <f>'Data Tables (Q)'!K44</f>
        <v>1.2606972471367519</v>
      </c>
      <c r="H10" s="81">
        <f>'Data Tables (Q)'!L44</f>
        <v>1.33956361555047</v>
      </c>
      <c r="I10" s="81">
        <f>'Data Tables (Q)'!M44</f>
        <v>1.3730101914087569</v>
      </c>
      <c r="J10" s="81">
        <f>'Data Tables (Q)'!N44</f>
        <v>1.3911187464064141</v>
      </c>
      <c r="K10" s="81">
        <f>'Data Tables (Q)'!O44</f>
        <v>1.344779540847707</v>
      </c>
      <c r="L10" s="81">
        <f>'Data Tables (Q)'!P44</f>
        <v>1.2919485166717031</v>
      </c>
      <c r="M10" s="81">
        <f>'Data Tables (Q)'!Q44</f>
        <v>1.347272378037045</v>
      </c>
      <c r="N10" s="81">
        <f>'Data Tables (Q)'!R44</f>
        <v>1.375606965619619</v>
      </c>
      <c r="O10" s="81">
        <f>'Data Tables (Q)'!S44</f>
        <v>1.323200113287947</v>
      </c>
      <c r="P10" s="81">
        <f>'Data Tables (Q)'!T44</f>
        <v>1.2558985262404869</v>
      </c>
      <c r="Q10" s="81">
        <f>'Data Tables (Q)'!U44</f>
        <v>1.3078144785260319</v>
      </c>
      <c r="R10" s="81">
        <f>'Data Tables (Q)'!V44</f>
        <v>1.316981410012267</v>
      </c>
      <c r="S10" s="81">
        <f>'Data Tables (Q)'!W44</f>
        <v>1.299919594969775</v>
      </c>
      <c r="T10" s="81">
        <f>'Data Tables (Q)'!X44</f>
        <v>1.314530758986425</v>
      </c>
      <c r="U10" s="81">
        <f>'Data Tables (Q)'!Y44</f>
        <v>1.3452644221427801</v>
      </c>
      <c r="V10" s="81">
        <f>'Data Tables (Q)'!Z44</f>
        <v>1.3311589790936931</v>
      </c>
      <c r="W10" s="81">
        <f>'Data Tables (Q)'!AA44</f>
        <v>1.3027503357258561</v>
      </c>
      <c r="X10" s="81">
        <f>'Data Tables (Q)'!AB44</f>
        <v>1.307848165515451</v>
      </c>
      <c r="Y10" s="81">
        <f>'Data Tables (Q)'!AC44</f>
        <v>1.3184407629488051</v>
      </c>
      <c r="Z10" s="81">
        <f>'Data Tables (Q)'!AD44</f>
        <v>1.3537993327083719</v>
      </c>
      <c r="AA10" s="81">
        <f>'Data Tables (M)'!BS44*AD10+AC10*(1-AD10)</f>
        <v>1.30491577493553</v>
      </c>
      <c r="AC10" s="44"/>
      <c r="AD10" s="17">
        <v>1</v>
      </c>
    </row>
    <row r="11" spans="1:32" ht="15" customHeight="1" x14ac:dyDescent="0.25">
      <c r="A11" s="37" t="s">
        <v>240</v>
      </c>
      <c r="B11" s="83">
        <v>156.6</v>
      </c>
      <c r="C11" s="83">
        <v>149.5</v>
      </c>
      <c r="D11" s="83">
        <v>178.6</v>
      </c>
      <c r="E11" s="83">
        <v>176.8</v>
      </c>
      <c r="F11" s="83">
        <v>183.6</v>
      </c>
      <c r="G11" s="83">
        <v>218.6</v>
      </c>
      <c r="H11" s="83">
        <v>217</v>
      </c>
      <c r="I11" s="83">
        <v>252.9</v>
      </c>
      <c r="J11" s="83">
        <v>243.1</v>
      </c>
      <c r="K11" s="83">
        <v>245.1</v>
      </c>
      <c r="L11" s="83">
        <v>229.8</v>
      </c>
      <c r="M11" s="83">
        <v>221.6</v>
      </c>
      <c r="N11" s="83">
        <v>229.4</v>
      </c>
      <c r="O11" s="83">
        <v>224.9</v>
      </c>
      <c r="P11" s="83">
        <v>212.6</v>
      </c>
      <c r="Q11" s="83">
        <v>204.9</v>
      </c>
      <c r="R11" s="98">
        <v>204.2</v>
      </c>
      <c r="S11" s="98">
        <v>199.2</v>
      </c>
      <c r="T11" s="83">
        <v>202.8</v>
      </c>
      <c r="U11" s="83">
        <v>203.3</v>
      </c>
      <c r="V11" s="98"/>
      <c r="W11" s="98">
        <v>202.6</v>
      </c>
      <c r="X11" s="98"/>
      <c r="Y11" s="98"/>
      <c r="Z11" s="98"/>
      <c r="AA11" s="84">
        <v>203</v>
      </c>
    </row>
    <row r="12" spans="1:32" ht="15" customHeight="1" x14ac:dyDescent="0.25">
      <c r="A12" s="43" t="s">
        <v>241</v>
      </c>
      <c r="B12" s="82">
        <v>0.2445606772966977</v>
      </c>
      <c r="C12" s="82">
        <v>0.33059155778194721</v>
      </c>
      <c r="D12" s="82">
        <v>0.1173819506419207</v>
      </c>
      <c r="E12" s="82">
        <v>0.16960024600254631</v>
      </c>
      <c r="F12" s="82">
        <v>0.13323456147240201</v>
      </c>
      <c r="G12" s="82">
        <v>-4.2561451166990949E-2</v>
      </c>
      <c r="H12" s="82">
        <v>-4.1246333166940152E-2</v>
      </c>
      <c r="I12" s="82">
        <v>-0.18913444181131661</v>
      </c>
      <c r="J12" s="82">
        <v>-0.16706463095801991</v>
      </c>
      <c r="K12" s="82">
        <v>-0.1889941003651481</v>
      </c>
      <c r="L12" s="82">
        <v>-0.14479230462822679</v>
      </c>
      <c r="M12" s="82">
        <v>-0.1246166443921025</v>
      </c>
      <c r="N12" s="82">
        <v>-0.16400894079627171</v>
      </c>
      <c r="O12" s="82">
        <v>-0.15141755763747361</v>
      </c>
      <c r="P12" s="82">
        <v>-0.10485318971388401</v>
      </c>
      <c r="Q12" s="82">
        <v>-7.0296605586842031E-2</v>
      </c>
      <c r="R12" s="82">
        <v>-6.42079923362191E-2</v>
      </c>
      <c r="S12" s="82">
        <v>-3.712872446878257E-2</v>
      </c>
      <c r="T12" s="82">
        <v>-0.03</v>
      </c>
      <c r="U12" s="82">
        <v>-0.03</v>
      </c>
      <c r="V12" s="82">
        <v>-0.03</v>
      </c>
      <c r="W12" s="82">
        <v>-1.5603930618634101E-2</v>
      </c>
      <c r="X12" s="82"/>
      <c r="Y12" s="82"/>
      <c r="Z12" s="82"/>
      <c r="AA12" s="82">
        <v>-0.03</v>
      </c>
    </row>
    <row r="13" spans="1:32" ht="15" customHeight="1" x14ac:dyDescent="0.25">
      <c r="A13" s="38" t="s">
        <v>242</v>
      </c>
      <c r="B13" s="85">
        <f t="shared" ref="B13:W13" si="3">B12/10%*1.7</f>
        <v>4.1575315140438605</v>
      </c>
      <c r="C13" s="85">
        <f t="shared" si="3"/>
        <v>5.6200564822931023</v>
      </c>
      <c r="D13" s="85">
        <f t="shared" si="3"/>
        <v>1.9954931609126518</v>
      </c>
      <c r="E13" s="85">
        <f t="shared" si="3"/>
        <v>2.8832041820432872</v>
      </c>
      <c r="F13" s="85">
        <f t="shared" si="3"/>
        <v>2.2649875450308339</v>
      </c>
      <c r="G13" s="85">
        <f t="shared" si="3"/>
        <v>-0.72354466983884613</v>
      </c>
      <c r="H13" s="85">
        <f t="shared" si="3"/>
        <v>-0.70118766383798259</v>
      </c>
      <c r="I13" s="85">
        <f t="shared" si="3"/>
        <v>-3.2152855107923823</v>
      </c>
      <c r="J13" s="85">
        <f t="shared" si="3"/>
        <v>-2.840098726286338</v>
      </c>
      <c r="K13" s="85">
        <f t="shared" si="3"/>
        <v>-3.2128997062075175</v>
      </c>
      <c r="L13" s="85">
        <f t="shared" si="3"/>
        <v>-2.4614691786798555</v>
      </c>
      <c r="M13" s="85">
        <f t="shared" si="3"/>
        <v>-2.1184829546657422</v>
      </c>
      <c r="N13" s="85">
        <f t="shared" si="3"/>
        <v>-2.7881519935366188</v>
      </c>
      <c r="O13" s="85">
        <f t="shared" si="3"/>
        <v>-2.5740984798370512</v>
      </c>
      <c r="P13" s="85">
        <f t="shared" si="3"/>
        <v>-1.7825042251360279</v>
      </c>
      <c r="Q13" s="85">
        <f t="shared" si="3"/>
        <v>-1.1950422949763144</v>
      </c>
      <c r="R13" s="85">
        <f t="shared" si="3"/>
        <v>-1.0915358697157247</v>
      </c>
      <c r="S13" s="85">
        <f t="shared" si="3"/>
        <v>-0.63118831596930369</v>
      </c>
      <c r="T13" s="85">
        <f t="shared" si="3"/>
        <v>-0.51</v>
      </c>
      <c r="U13" s="85">
        <f t="shared" si="3"/>
        <v>-0.51</v>
      </c>
      <c r="V13" s="85">
        <f t="shared" si="3"/>
        <v>-0.51</v>
      </c>
      <c r="W13" s="85">
        <f t="shared" si="3"/>
        <v>-0.26526682051677969</v>
      </c>
      <c r="X13" s="85"/>
      <c r="Y13" s="85"/>
      <c r="Z13" s="85"/>
      <c r="AA13" s="85">
        <f>AA12/10%*1.7</f>
        <v>-0.51</v>
      </c>
    </row>
    <row r="14" spans="1:32" ht="15" customHeight="1" x14ac:dyDescent="0.25">
      <c r="A14" s="36" t="s">
        <v>243</v>
      </c>
      <c r="B14" s="87">
        <f t="shared" ref="B14:W14" si="4">B7+B13</f>
        <v>133.07734968710341</v>
      </c>
      <c r="C14" s="87">
        <f t="shared" si="4"/>
        <v>135.93603524720402</v>
      </c>
      <c r="D14" s="87">
        <f t="shared" si="4"/>
        <v>137.79139692631745</v>
      </c>
      <c r="E14" s="87">
        <f t="shared" si="4"/>
        <v>135.01352291095864</v>
      </c>
      <c r="F14" s="87">
        <f t="shared" si="4"/>
        <v>133.66747639773121</v>
      </c>
      <c r="G14" s="87">
        <f t="shared" si="4"/>
        <v>130.5178949372812</v>
      </c>
      <c r="H14" s="87">
        <f t="shared" si="4"/>
        <v>127.87732215428913</v>
      </c>
      <c r="I14" s="87">
        <f t="shared" si="4"/>
        <v>123.55965771313586</v>
      </c>
      <c r="J14" s="87">
        <f t="shared" si="4"/>
        <v>123.18579048742292</v>
      </c>
      <c r="K14" s="87">
        <f t="shared" si="4"/>
        <v>124.98007637784634</v>
      </c>
      <c r="L14" s="87">
        <f t="shared" si="4"/>
        <v>125.55330015509172</v>
      </c>
      <c r="M14" s="87">
        <f t="shared" si="4"/>
        <v>124.66623460774554</v>
      </c>
      <c r="N14" s="87">
        <f t="shared" si="4"/>
        <v>125.00164249425546</v>
      </c>
      <c r="O14" s="87">
        <f t="shared" si="4"/>
        <v>126.9619034572258</v>
      </c>
      <c r="P14" s="87">
        <f t="shared" si="4"/>
        <v>129.55849558260729</v>
      </c>
      <c r="Q14" s="87">
        <f t="shared" si="4"/>
        <v>132.70546665128319</v>
      </c>
      <c r="R14" s="87">
        <f t="shared" si="4"/>
        <v>132.90521300471033</v>
      </c>
      <c r="S14" s="87">
        <f t="shared" si="4"/>
        <v>134.66538197526395</v>
      </c>
      <c r="T14" s="87">
        <f t="shared" si="4"/>
        <v>135.20171911078961</v>
      </c>
      <c r="U14" s="87">
        <f t="shared" si="4"/>
        <v>136.11652638829037</v>
      </c>
      <c r="V14" s="87">
        <f t="shared" si="4"/>
        <v>136.86008788517589</v>
      </c>
      <c r="W14" s="87">
        <f t="shared" si="4"/>
        <v>138.88038628847906</v>
      </c>
      <c r="X14" s="87"/>
      <c r="Y14" s="87"/>
      <c r="Z14" s="87"/>
      <c r="AA14" s="87">
        <f>AA7+AA13</f>
        <v>139.44065858642617</v>
      </c>
    </row>
    <row r="15" spans="1:32" ht="15" customHeight="1" x14ac:dyDescent="0.25">
      <c r="A15" s="38" t="s">
        <v>244</v>
      </c>
      <c r="B15" s="90">
        <v>0.13199698511122179</v>
      </c>
      <c r="C15" s="90">
        <v>0.14837713340747161</v>
      </c>
      <c r="D15" s="90">
        <v>0.15070901377504489</v>
      </c>
      <c r="E15" s="90">
        <v>0.15415384679997229</v>
      </c>
      <c r="F15" s="90">
        <v>0.16970359242904051</v>
      </c>
      <c r="G15" s="90">
        <v>0.24322827665310831</v>
      </c>
      <c r="H15" s="90">
        <v>0.28336133814643177</v>
      </c>
      <c r="I15" s="90">
        <v>0.33631272013901931</v>
      </c>
      <c r="J15" s="90">
        <v>0.36257355380694622</v>
      </c>
      <c r="K15" s="90">
        <v>0.34598209844432393</v>
      </c>
      <c r="L15" s="90">
        <v>0.34072720080404612</v>
      </c>
      <c r="M15" s="90">
        <v>0.3284480339105485</v>
      </c>
      <c r="N15" s="90">
        <v>0.30110581177959789</v>
      </c>
      <c r="O15" s="90"/>
      <c r="P15" s="90"/>
      <c r="Q15" s="91"/>
      <c r="R15" s="91"/>
      <c r="S15" s="91"/>
      <c r="T15" s="90"/>
      <c r="U15" s="91"/>
      <c r="V15" s="91"/>
      <c r="W15" s="91"/>
      <c r="X15" s="91"/>
      <c r="Y15" s="91"/>
      <c r="Z15" s="91"/>
      <c r="AA15" s="91"/>
    </row>
    <row r="16" spans="1:32" ht="15" customHeight="1" x14ac:dyDescent="0.25">
      <c r="A16" s="36" t="s">
        <v>245</v>
      </c>
      <c r="B16" s="19">
        <f t="shared" ref="B16:N16" si="5">B15-($AA$14-B14)*1%</f>
        <v>6.8363896117994191E-2</v>
      </c>
      <c r="C16" s="19">
        <f t="shared" si="5"/>
        <v>0.11333090001525012</v>
      </c>
      <c r="D16" s="19">
        <f t="shared" si="5"/>
        <v>0.1342163971739577</v>
      </c>
      <c r="E16" s="19">
        <f t="shared" si="5"/>
        <v>0.10988249004529704</v>
      </c>
      <c r="F16" s="19">
        <f t="shared" si="5"/>
        <v>0.1119717705420909</v>
      </c>
      <c r="G16" s="19">
        <f t="shared" si="5"/>
        <v>0.15400064016165863</v>
      </c>
      <c r="H16" s="19">
        <f t="shared" si="5"/>
        <v>0.16772797382506144</v>
      </c>
      <c r="I16" s="19">
        <f t="shared" si="5"/>
        <v>0.17750271140611626</v>
      </c>
      <c r="J16" s="19">
        <f t="shared" si="5"/>
        <v>0.20002487281691375</v>
      </c>
      <c r="K16" s="19">
        <f t="shared" si="5"/>
        <v>0.2013762763585257</v>
      </c>
      <c r="L16" s="19">
        <f t="shared" si="5"/>
        <v>0.20185361649070163</v>
      </c>
      <c r="M16" s="19">
        <f t="shared" si="5"/>
        <v>0.18070379412374218</v>
      </c>
      <c r="N16" s="19">
        <f t="shared" si="5"/>
        <v>0.15671565085789085</v>
      </c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>
        <v>0.25640000000000002</v>
      </c>
    </row>
    <row r="19" spans="1:2" ht="15" customHeight="1" x14ac:dyDescent="0.25">
      <c r="A19" s="50" t="s">
        <v>246</v>
      </c>
      <c r="B19" s="51" t="s">
        <v>247</v>
      </c>
    </row>
    <row r="20" spans="1:2" ht="15" customHeight="1" x14ac:dyDescent="0.25">
      <c r="A20" s="50" t="s">
        <v>248</v>
      </c>
      <c r="B20" s="51" t="s">
        <v>249</v>
      </c>
    </row>
    <row r="21" spans="1:2" ht="15" customHeight="1" x14ac:dyDescent="0.25">
      <c r="A21" s="50" t="s">
        <v>250</v>
      </c>
      <c r="B21" s="51" t="s">
        <v>251</v>
      </c>
    </row>
    <row r="22" spans="1:2" ht="15" customHeight="1" x14ac:dyDescent="0.25">
      <c r="A22" s="50"/>
      <c r="B22" s="51" t="s">
        <v>252</v>
      </c>
    </row>
    <row r="23" spans="1:2" ht="15" customHeight="1" x14ac:dyDescent="0.25">
      <c r="A23" s="50" t="s">
        <v>253</v>
      </c>
      <c r="B23" s="51" t="s">
        <v>254</v>
      </c>
    </row>
    <row r="24" spans="1:2" ht="15" customHeight="1" x14ac:dyDescent="0.25">
      <c r="A24" s="50" t="s">
        <v>255</v>
      </c>
      <c r="B24" s="51" t="s">
        <v>256</v>
      </c>
    </row>
    <row r="25" spans="1:2" ht="15" customHeight="1" x14ac:dyDescent="0.25">
      <c r="A25" s="50" t="s">
        <v>257</v>
      </c>
      <c r="B25" s="51" t="s">
        <v>258</v>
      </c>
    </row>
    <row r="26" spans="1:2" ht="15" customHeight="1" x14ac:dyDescent="0.25">
      <c r="A26" s="50"/>
      <c r="B26" s="51" t="s">
        <v>259</v>
      </c>
    </row>
    <row r="27" spans="1:2" ht="15" customHeight="1" x14ac:dyDescent="0.25">
      <c r="A27" s="50" t="s">
        <v>260</v>
      </c>
      <c r="B27" s="51" t="s">
        <v>261</v>
      </c>
    </row>
    <row r="28" spans="1:2" ht="15" customHeight="1" x14ac:dyDescent="0.25">
      <c r="A28" s="50"/>
      <c r="B28" s="51"/>
    </row>
    <row r="29" spans="1:2" ht="15" customHeight="1" x14ac:dyDescent="0.25">
      <c r="A29" s="50"/>
      <c r="B29" s="51"/>
    </row>
    <row r="30" spans="1:2" ht="15" customHeight="1" x14ac:dyDescent="0.25">
      <c r="A30" s="50"/>
      <c r="B30" s="51"/>
    </row>
    <row r="31" spans="1:2" ht="15" customHeight="1" x14ac:dyDescent="0.25">
      <c r="A31" s="50"/>
      <c r="B31" s="51"/>
    </row>
  </sheetData>
  <mergeCells count="2">
    <mergeCell ref="AE1:AF1"/>
    <mergeCell ref="AE2:AF2"/>
  </mergeCells>
  <pageMargins left="0.7" right="0.7" top="0.75" bottom="0.75" header="0.3" footer="0.3"/>
  <pageSetup orientation="portrait" horizontalDpi="204" verticalDpi="19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9"/>
  <sheetViews>
    <sheetView topLeftCell="O1" zoomScale="160" zoomScaleNormal="160" workbookViewId="0">
      <selection activeCell="AC7" sqref="AC7"/>
    </sheetView>
  </sheetViews>
  <sheetFormatPr defaultColWidth="9.1796875" defaultRowHeight="15" customHeight="1" x14ac:dyDescent="0.25"/>
  <cols>
    <col min="1" max="1" width="28.54296875" style="41" customWidth="1"/>
    <col min="2" max="31" width="5.26953125" style="41" customWidth="1"/>
    <col min="32" max="82" width="9.1796875" style="41" customWidth="1"/>
    <col min="83" max="16384" width="9.1796875" style="41"/>
  </cols>
  <sheetData>
    <row r="1" spans="1:36" ht="30" customHeight="1" x14ac:dyDescent="0.35">
      <c r="A1" s="71" t="s">
        <v>274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 t="s">
        <v>21</v>
      </c>
      <c r="AA1" s="28" t="s">
        <v>22</v>
      </c>
      <c r="AB1" s="28" t="s">
        <v>23</v>
      </c>
      <c r="AC1" s="28" t="s">
        <v>24</v>
      </c>
      <c r="AD1" s="28" t="s">
        <v>228</v>
      </c>
      <c r="AE1" s="28" t="s">
        <v>229</v>
      </c>
      <c r="AG1" s="28" t="s">
        <v>230</v>
      </c>
      <c r="AH1" s="79" t="s">
        <v>231</v>
      </c>
      <c r="AI1" s="132" t="s">
        <v>232</v>
      </c>
      <c r="AJ1" s="133"/>
    </row>
    <row r="2" spans="1:36" ht="15" customHeight="1" thickBot="1" x14ac:dyDescent="0.4">
      <c r="A2" s="72" t="s">
        <v>275</v>
      </c>
      <c r="B2" s="12">
        <f>'Data Tables (Q)'!B56</f>
        <v>136.5646117277102</v>
      </c>
      <c r="C2" s="12">
        <f>'Data Tables (Q)'!C56</f>
        <v>139.1004791458667</v>
      </c>
      <c r="D2" s="12">
        <f>'Data Tables (Q)'!D56</f>
        <v>137.77977904031681</v>
      </c>
      <c r="E2" s="12">
        <f>'Data Tables (Q)'!E56</f>
        <v>136.87785610805051</v>
      </c>
      <c r="F2" s="12">
        <f>'Data Tables (Q)'!F56</f>
        <v>135.86332249445411</v>
      </c>
      <c r="G2" s="12">
        <f>'Data Tables (Q)'!G56</f>
        <v>138.37204193247351</v>
      </c>
      <c r="H2" s="12">
        <f>'Data Tables (Q)'!H56</f>
        <v>138.78949632186041</v>
      </c>
      <c r="I2" s="12">
        <f>'Data Tables (Q)'!I56</f>
        <v>136.95890436813559</v>
      </c>
      <c r="J2" s="12">
        <f>'Data Tables (Q)'!J56</f>
        <v>135.464326976926</v>
      </c>
      <c r="K2" s="12">
        <f>'Data Tables (Q)'!K56</f>
        <v>135.7380087477724</v>
      </c>
      <c r="L2" s="12">
        <f>'Data Tables (Q)'!L56</f>
        <v>134.5037235232796</v>
      </c>
      <c r="M2" s="12">
        <f>'Data Tables (Q)'!M56</f>
        <v>133.19297164592049</v>
      </c>
      <c r="N2" s="12">
        <f>'Data Tables (Q)'!N56</f>
        <v>133.26474125481579</v>
      </c>
      <c r="O2" s="12">
        <f>'Data Tables (Q)'!O56</f>
        <v>134.70114979213409</v>
      </c>
      <c r="P2" s="12">
        <f>'Data Tables (Q)'!P56</f>
        <v>136.05826795641721</v>
      </c>
      <c r="Q2" s="12">
        <f>'Data Tables (Q)'!Q56</f>
        <v>138.33369756523109</v>
      </c>
      <c r="R2" s="12">
        <f>'Data Tables (Q)'!R56</f>
        <v>140.09671657848929</v>
      </c>
      <c r="S2" s="12">
        <f>'Data Tables (Q)'!S56</f>
        <v>140.6586391183844</v>
      </c>
      <c r="T2" s="12">
        <f>'Data Tables (Q)'!T56</f>
        <v>140.50459471793889</v>
      </c>
      <c r="U2" s="12">
        <f>'Data Tables (Q)'!U56</f>
        <v>140.56078051519651</v>
      </c>
      <c r="V2" s="12">
        <f>'Data Tables (Q)'!V56</f>
        <v>139.56825037479661</v>
      </c>
      <c r="W2" s="12">
        <f>'Data Tables (Q)'!W56</f>
        <v>140.4321183388457</v>
      </c>
      <c r="X2" s="12">
        <f>'Data Tables (Q)'!X56</f>
        <v>139.88511483115639</v>
      </c>
      <c r="Y2" s="12">
        <f>'Data Tables (Q)'!Y56</f>
        <v>139.76781802522791</v>
      </c>
      <c r="Z2" s="12">
        <f>'Data Tables (Q)'!Z56</f>
        <v>139.70876763492191</v>
      </c>
      <c r="AA2" s="12">
        <f>'Data Tables (Q)'!AA56</f>
        <v>139.8667228088469</v>
      </c>
      <c r="AB2" s="12">
        <f>'Data Tables (Q)'!AB56</f>
        <v>139.91790875779989</v>
      </c>
      <c r="AC2" s="12">
        <f>'Data Tables (Q)'!AC56</f>
        <v>140.94205426095121</v>
      </c>
      <c r="AD2" s="12">
        <f>'Data Tables (Q)'!AD56</f>
        <v>141.78676184015251</v>
      </c>
      <c r="AE2" s="12">
        <f>'Data Tables (M)'!BS56*AH2+AG2*(1-AH2)</f>
        <v>140.02728618661041</v>
      </c>
      <c r="AG2" s="75">
        <v>141</v>
      </c>
      <c r="AH2" s="75">
        <v>1</v>
      </c>
      <c r="AI2" s="134">
        <v>0</v>
      </c>
      <c r="AJ2" s="135"/>
    </row>
    <row r="3" spans="1:36" ht="15" hidden="1" customHeight="1" x14ac:dyDescent="0.25">
      <c r="A3" s="73" t="s">
        <v>276</v>
      </c>
      <c r="B3" s="13">
        <f>'Data Tables (Q)'!B57*$AI$2</f>
        <v>0</v>
      </c>
      <c r="C3" s="13">
        <f>'Data Tables (Q)'!C57*$AI$2</f>
        <v>0</v>
      </c>
      <c r="D3" s="13">
        <f>'Data Tables (Q)'!D57*$AI$2</f>
        <v>0</v>
      </c>
      <c r="E3" s="13">
        <f>'Data Tables (Q)'!E57*$AI$2</f>
        <v>0</v>
      </c>
      <c r="F3" s="13">
        <f>'Data Tables (Q)'!F57*$AI$2</f>
        <v>0</v>
      </c>
      <c r="G3" s="13">
        <f>'Data Tables (Q)'!G57*$AI$2</f>
        <v>0</v>
      </c>
      <c r="H3" s="13">
        <f>'Data Tables (Q)'!H57*$AI$2</f>
        <v>0</v>
      </c>
      <c r="I3" s="13">
        <f>'Data Tables (Q)'!I57*$AI$2</f>
        <v>0</v>
      </c>
      <c r="J3" s="13">
        <f>'Data Tables (Q)'!J57*$AI$2</f>
        <v>0</v>
      </c>
      <c r="K3" s="13">
        <f>'Data Tables (Q)'!K57*$AI$2</f>
        <v>0</v>
      </c>
      <c r="L3" s="13">
        <f>'Data Tables (Q)'!L57*$AI$2</f>
        <v>0</v>
      </c>
      <c r="M3" s="13">
        <f>'Data Tables (Q)'!M57*$AI$2</f>
        <v>0</v>
      </c>
      <c r="N3" s="13">
        <f>'Data Tables (Q)'!N57*$AI$2</f>
        <v>0</v>
      </c>
      <c r="O3" s="13">
        <f>'Data Tables (Q)'!O57*$AI$2</f>
        <v>0</v>
      </c>
      <c r="P3" s="13">
        <f>'Data Tables (Q)'!P57*$AI$2</f>
        <v>0</v>
      </c>
      <c r="Q3" s="13">
        <f>'Data Tables (Q)'!Q57*$AI$2</f>
        <v>0</v>
      </c>
      <c r="R3" s="13">
        <f>'Data Tables (Q)'!R57*$AI$2</f>
        <v>0</v>
      </c>
      <c r="S3" s="13">
        <f>'Data Tables (Q)'!S57*$AI$2</f>
        <v>0</v>
      </c>
      <c r="T3" s="13">
        <f>'Data Tables (Q)'!T57*$AI$2</f>
        <v>0</v>
      </c>
      <c r="U3" s="13">
        <f>'Data Tables (Q)'!U57*$AI$2</f>
        <v>0</v>
      </c>
      <c r="V3" s="13"/>
      <c r="W3" s="13"/>
      <c r="X3" s="13">
        <f>'Data Tables (Q)'!X57*$AI$2</f>
        <v>0</v>
      </c>
      <c r="Y3" s="13">
        <f>'Data Tables (Q)'!Y57*$AI$2</f>
        <v>0</v>
      </c>
      <c r="Z3" s="13">
        <f>'Data Tables (Q)'!Z57*$AI$2</f>
        <v>0</v>
      </c>
      <c r="AA3" s="13"/>
      <c r="AB3" s="13"/>
      <c r="AC3" s="13"/>
      <c r="AD3" s="13"/>
      <c r="AE3" s="13">
        <f>('Data Tables (M)'!BS57*AH3+AG3*(1-AH3))*$AI$2</f>
        <v>0</v>
      </c>
      <c r="AG3" s="17">
        <v>0</v>
      </c>
      <c r="AH3" s="17">
        <v>0</v>
      </c>
    </row>
    <row r="4" spans="1:36" ht="30" customHeight="1" x14ac:dyDescent="0.25">
      <c r="A4" s="73" t="s">
        <v>277</v>
      </c>
      <c r="B4" s="13">
        <f>'Data Tables (Q)'!B58</f>
        <v>4.6948976841725027</v>
      </c>
      <c r="C4" s="13">
        <f>'Data Tables (Q)'!C58</f>
        <v>4.6241735699769322</v>
      </c>
      <c r="D4" s="13">
        <f>'Data Tables (Q)'!D58</f>
        <v>4.4679387867836056</v>
      </c>
      <c r="E4" s="13">
        <f>'Data Tables (Q)'!E58</f>
        <v>4.4875445967873304</v>
      </c>
      <c r="F4" s="13">
        <f>'Data Tables (Q)'!F58</f>
        <v>4.414978497132239</v>
      </c>
      <c r="G4" s="13">
        <f>'Data Tables (Q)'!G58</f>
        <v>4.4449193095008468</v>
      </c>
      <c r="H4" s="13">
        <f>'Data Tables (Q)'!H58</f>
        <v>4.2599066702092614</v>
      </c>
      <c r="I4" s="13">
        <f>'Data Tables (Q)'!I58</f>
        <v>3.975183595879884</v>
      </c>
      <c r="J4" s="13">
        <f>'Data Tables (Q)'!J58</f>
        <v>3.8164080403775529</v>
      </c>
      <c r="K4" s="13">
        <f>'Data Tables (Q)'!K58</f>
        <v>3.580474663440754</v>
      </c>
      <c r="L4" s="13">
        <f>'Data Tables (Q)'!L58</f>
        <v>3.455885845023317</v>
      </c>
      <c r="M4" s="13">
        <f>'Data Tables (Q)'!M58</f>
        <v>3.1688958880833411</v>
      </c>
      <c r="N4" s="13">
        <f>'Data Tables (Q)'!N58</f>
        <v>2.9615706862418558</v>
      </c>
      <c r="O4" s="13">
        <f>'Data Tables (Q)'!O58</f>
        <v>2.8082242626590528</v>
      </c>
      <c r="P4" s="13">
        <f>'Data Tables (Q)'!P58</f>
        <v>2.6116439326468419</v>
      </c>
      <c r="Q4" s="13">
        <f>'Data Tables (Q)'!Q58</f>
        <v>2.7411801278887822</v>
      </c>
      <c r="R4" s="13">
        <f>'Data Tables (Q)'!R58</f>
        <v>2.8563006483753668</v>
      </c>
      <c r="S4" s="13">
        <f>'Data Tables (Q)'!S58</f>
        <v>2.99751497268818</v>
      </c>
      <c r="T4" s="13">
        <f>'Data Tables (Q)'!T58</f>
        <v>2.9935716512395061</v>
      </c>
      <c r="U4" s="13">
        <f>'Data Tables (Q)'!U58</f>
        <v>3.2679492672509132</v>
      </c>
      <c r="V4" s="13">
        <f>'Data Tables (Q)'!V58</f>
        <v>3.732334573274414</v>
      </c>
      <c r="W4" s="13">
        <f>'Data Tables (Q)'!W58</f>
        <v>4.293644880870346</v>
      </c>
      <c r="X4" s="13">
        <f>'Data Tables (Q)'!X58</f>
        <v>4.1119241510029951</v>
      </c>
      <c r="Y4" s="13">
        <f>'Data Tables (Q)'!Y58</f>
        <v>3.9276019311582502</v>
      </c>
      <c r="Z4" s="13">
        <f>'Data Tables (Q)'!Z58</f>
        <v>2.097456304866796</v>
      </c>
      <c r="AA4" s="13">
        <f>'Data Tables (Q)'!AA58</f>
        <v>2.4756026453231361</v>
      </c>
      <c r="AB4" s="13">
        <f>'Data Tables (Q)'!AB58</f>
        <v>2.1319579915852671</v>
      </c>
      <c r="AC4" s="13">
        <f>'Data Tables (Q)'!AC58</f>
        <v>2.003560186487277</v>
      </c>
      <c r="AD4" s="13">
        <f>'Data Tables (Q)'!AD58</f>
        <v>2.7586084817327219</v>
      </c>
      <c r="AE4" s="13">
        <f>'Data Tables (M)'!BS58*AH4+AG4*(1-AH4)</f>
        <v>4.2575858636167538</v>
      </c>
      <c r="AG4" s="77">
        <v>0.7</v>
      </c>
      <c r="AH4" s="17">
        <v>1</v>
      </c>
    </row>
    <row r="5" spans="1:36" ht="30" customHeight="1" x14ac:dyDescent="0.25">
      <c r="A5" s="72" t="s">
        <v>278</v>
      </c>
      <c r="B5" s="12">
        <f t="shared" ref="B5:AE5" si="0">(159%/B10-1)/10%*1.7/0.65</f>
        <v>5.0563497114953525E-2</v>
      </c>
      <c r="C5" s="12">
        <f t="shared" si="0"/>
        <v>0.29921692201042605</v>
      </c>
      <c r="D5" s="12">
        <f t="shared" si="0"/>
        <v>7.2027225411345805E-2</v>
      </c>
      <c r="E5" s="12">
        <f t="shared" si="0"/>
        <v>-0.31209313617926115</v>
      </c>
      <c r="F5" s="12">
        <f t="shared" si="0"/>
        <v>-1.7216709672501611</v>
      </c>
      <c r="G5" s="12">
        <f t="shared" si="0"/>
        <v>-2.2159096607225672</v>
      </c>
      <c r="H5" s="12">
        <f t="shared" si="0"/>
        <v>0.15517801735408354</v>
      </c>
      <c r="I5" s="12">
        <f t="shared" si="0"/>
        <v>-1.9807980199240143</v>
      </c>
      <c r="J5" s="12">
        <f t="shared" si="0"/>
        <v>0.22255409057545833</v>
      </c>
      <c r="K5" s="12">
        <f t="shared" si="0"/>
        <v>2.9154979371373684</v>
      </c>
      <c r="L5" s="12">
        <f t="shared" si="0"/>
        <v>1.9339716413989347</v>
      </c>
      <c r="M5" s="12">
        <f t="shared" si="0"/>
        <v>1.7257250667246418</v>
      </c>
      <c r="N5" s="12">
        <f t="shared" si="0"/>
        <v>-0.37349938422898166</v>
      </c>
      <c r="O5" s="12">
        <f t="shared" si="0"/>
        <v>0.60508947896528931</v>
      </c>
      <c r="P5" s="12">
        <f t="shared" si="0"/>
        <v>-0.61056344802758156</v>
      </c>
      <c r="Q5" s="12">
        <f t="shared" si="0"/>
        <v>-2.3480540972991584</v>
      </c>
      <c r="R5" s="12">
        <f t="shared" si="0"/>
        <v>-2.6676131106865655</v>
      </c>
      <c r="S5" s="12">
        <f t="shared" si="0"/>
        <v>-1.3753108791340383</v>
      </c>
      <c r="T5" s="12">
        <f t="shared" si="0"/>
        <v>-3.6348155203410673</v>
      </c>
      <c r="U5" s="12">
        <f t="shared" si="0"/>
        <v>-4.8715328774611431</v>
      </c>
      <c r="V5" s="12">
        <f t="shared" si="0"/>
        <v>-4.1022630301616312</v>
      </c>
      <c r="W5" s="12">
        <f t="shared" si="0"/>
        <v>-0.95598475255187942</v>
      </c>
      <c r="X5" s="12">
        <f t="shared" si="0"/>
        <v>-1.5608471127860803</v>
      </c>
      <c r="Y5" s="12">
        <f t="shared" si="0"/>
        <v>-1.5029131915825447</v>
      </c>
      <c r="Z5" s="12">
        <f t="shared" si="0"/>
        <v>-0.72557977561132248</v>
      </c>
      <c r="AA5" s="12">
        <f t="shared" si="0"/>
        <v>-0.32987472346966068</v>
      </c>
      <c r="AB5" s="12">
        <f t="shared" si="0"/>
        <v>-0.51543799816335323</v>
      </c>
      <c r="AC5" s="12">
        <f t="shared" si="0"/>
        <v>-0.24231637373345924</v>
      </c>
      <c r="AD5" s="12">
        <f t="shared" si="0"/>
        <v>0.38046683555172045</v>
      </c>
      <c r="AE5" s="12">
        <f t="shared" si="0"/>
        <v>-0.206114709438078</v>
      </c>
      <c r="AG5" s="78"/>
      <c r="AH5" s="16"/>
    </row>
    <row r="6" spans="1:36" ht="15" customHeight="1" x14ac:dyDescent="0.25">
      <c r="A6" s="73" t="s">
        <v>30</v>
      </c>
      <c r="B6" s="13">
        <f t="shared" ref="B6:AE6" si="1">SUM(B2:B5)</f>
        <v>141.31007290899765</v>
      </c>
      <c r="C6" s="13">
        <f t="shared" si="1"/>
        <v>144.02386963785406</v>
      </c>
      <c r="D6" s="13">
        <f t="shared" si="1"/>
        <v>142.31974505251176</v>
      </c>
      <c r="E6" s="13">
        <f t="shared" si="1"/>
        <v>141.05330756865857</v>
      </c>
      <c r="F6" s="13">
        <f t="shared" si="1"/>
        <v>138.55663002433619</v>
      </c>
      <c r="G6" s="13">
        <f t="shared" si="1"/>
        <v>140.6010515812518</v>
      </c>
      <c r="H6" s="13">
        <f t="shared" si="1"/>
        <v>143.20458100942375</v>
      </c>
      <c r="I6" s="13">
        <f t="shared" si="1"/>
        <v>138.95328994409147</v>
      </c>
      <c r="J6" s="13">
        <f t="shared" si="1"/>
        <v>139.50328910787903</v>
      </c>
      <c r="K6" s="13">
        <f t="shared" si="1"/>
        <v>142.23398134835051</v>
      </c>
      <c r="L6" s="13">
        <f t="shared" si="1"/>
        <v>139.89358100970185</v>
      </c>
      <c r="M6" s="13">
        <f t="shared" si="1"/>
        <v>138.08759260072847</v>
      </c>
      <c r="N6" s="13">
        <f t="shared" si="1"/>
        <v>135.85281255682867</v>
      </c>
      <c r="O6" s="13">
        <f t="shared" si="1"/>
        <v>138.11446353375842</v>
      </c>
      <c r="P6" s="13">
        <f t="shared" si="1"/>
        <v>138.05934844103646</v>
      </c>
      <c r="Q6" s="13">
        <f t="shared" si="1"/>
        <v>138.72682359582072</v>
      </c>
      <c r="R6" s="13">
        <f t="shared" si="1"/>
        <v>140.28540411617809</v>
      </c>
      <c r="S6" s="13">
        <f t="shared" si="1"/>
        <v>142.28084321193853</v>
      </c>
      <c r="T6" s="13">
        <f t="shared" si="1"/>
        <v>139.86335084883731</v>
      </c>
      <c r="U6" s="13">
        <f t="shared" si="1"/>
        <v>138.95719690498629</v>
      </c>
      <c r="V6" s="13">
        <f t="shared" si="1"/>
        <v>139.1983219179094</v>
      </c>
      <c r="W6" s="13">
        <f t="shared" si="1"/>
        <v>143.76977846716417</v>
      </c>
      <c r="X6" s="13">
        <f t="shared" si="1"/>
        <v>142.43619186937329</v>
      </c>
      <c r="Y6" s="13">
        <f t="shared" si="1"/>
        <v>142.19250676480362</v>
      </c>
      <c r="Z6" s="13">
        <f t="shared" si="1"/>
        <v>141.08064416417739</v>
      </c>
      <c r="AA6" s="13">
        <f t="shared" si="1"/>
        <v>142.01245073070038</v>
      </c>
      <c r="AB6" s="13">
        <f t="shared" si="1"/>
        <v>141.53442875122181</v>
      </c>
      <c r="AC6" s="13">
        <f t="shared" si="1"/>
        <v>142.70329807370501</v>
      </c>
      <c r="AD6" s="13">
        <f t="shared" si="1"/>
        <v>144.92583715743694</v>
      </c>
      <c r="AE6" s="13">
        <f t="shared" si="1"/>
        <v>144.07875734078908</v>
      </c>
      <c r="AG6" s="16"/>
      <c r="AH6" s="16"/>
    </row>
    <row r="7" spans="1:36" ht="15" customHeight="1" x14ac:dyDescent="0.25">
      <c r="A7" s="73"/>
      <c r="B7" s="102">
        <f t="shared" ref="B7:AE7" si="2">B2+B4</f>
        <v>141.2595094118827</v>
      </c>
      <c r="C7" s="102">
        <f t="shared" si="2"/>
        <v>143.72465271584363</v>
      </c>
      <c r="D7" s="102">
        <f t="shared" si="2"/>
        <v>142.24771782710042</v>
      </c>
      <c r="E7" s="102">
        <f t="shared" si="2"/>
        <v>141.36540070483784</v>
      </c>
      <c r="F7" s="102">
        <f t="shared" si="2"/>
        <v>140.27830099158635</v>
      </c>
      <c r="G7" s="102">
        <f t="shared" si="2"/>
        <v>142.81696124197435</v>
      </c>
      <c r="H7" s="102">
        <f t="shared" si="2"/>
        <v>143.04940299206967</v>
      </c>
      <c r="I7" s="102">
        <f t="shared" si="2"/>
        <v>140.93408796401548</v>
      </c>
      <c r="J7" s="102">
        <f t="shared" si="2"/>
        <v>139.28073501730356</v>
      </c>
      <c r="K7" s="102">
        <f t="shared" si="2"/>
        <v>139.31848341121315</v>
      </c>
      <c r="L7" s="102">
        <f t="shared" si="2"/>
        <v>137.95960936830292</v>
      </c>
      <c r="M7" s="102">
        <f t="shared" si="2"/>
        <v>136.36186753400384</v>
      </c>
      <c r="N7" s="102">
        <f t="shared" si="2"/>
        <v>136.22631194105765</v>
      </c>
      <c r="O7" s="102">
        <f t="shared" si="2"/>
        <v>137.50937405479314</v>
      </c>
      <c r="P7" s="102">
        <f t="shared" si="2"/>
        <v>138.66991188906405</v>
      </c>
      <c r="Q7" s="102">
        <f t="shared" si="2"/>
        <v>141.07487769311987</v>
      </c>
      <c r="R7" s="102">
        <f t="shared" si="2"/>
        <v>142.95301722686466</v>
      </c>
      <c r="S7" s="102">
        <f t="shared" si="2"/>
        <v>143.65615409107258</v>
      </c>
      <c r="T7" s="102">
        <f t="shared" si="2"/>
        <v>143.49816636917839</v>
      </c>
      <c r="U7" s="102">
        <f t="shared" si="2"/>
        <v>143.82872978244743</v>
      </c>
      <c r="V7" s="102">
        <f t="shared" si="2"/>
        <v>143.30058494807102</v>
      </c>
      <c r="W7" s="102">
        <f t="shared" si="2"/>
        <v>144.72576321971604</v>
      </c>
      <c r="X7" s="102">
        <f t="shared" si="2"/>
        <v>143.99703898215938</v>
      </c>
      <c r="Y7" s="102">
        <f t="shared" si="2"/>
        <v>143.69541995638616</v>
      </c>
      <c r="Z7" s="102">
        <f t="shared" si="2"/>
        <v>141.80622393978871</v>
      </c>
      <c r="AA7" s="102">
        <f t="shared" si="2"/>
        <v>142.34232545417004</v>
      </c>
      <c r="AB7" s="102">
        <f t="shared" si="2"/>
        <v>142.04986674938516</v>
      </c>
      <c r="AC7" s="102">
        <f t="shared" si="2"/>
        <v>142.94561444743849</v>
      </c>
      <c r="AD7" s="102">
        <f t="shared" si="2"/>
        <v>144.54537032188523</v>
      </c>
      <c r="AE7" s="102">
        <f t="shared" si="2"/>
        <v>144.28487205022716</v>
      </c>
      <c r="AG7" s="16"/>
      <c r="AH7" s="16"/>
    </row>
    <row r="8" spans="1:36" ht="15" customHeight="1" x14ac:dyDescent="0.25">
      <c r="A8" s="92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G8" s="16"/>
    </row>
    <row r="9" spans="1:36" ht="15" customHeight="1" x14ac:dyDescent="0.25">
      <c r="A9" s="93" t="s">
        <v>238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G9" s="16"/>
    </row>
    <row r="10" spans="1:36" ht="15" customHeight="1" x14ac:dyDescent="0.25">
      <c r="A10" s="72" t="s">
        <v>279</v>
      </c>
      <c r="B10" s="14">
        <f>'Data Tables (Q)'!B62</f>
        <v>1.5869319682647449</v>
      </c>
      <c r="C10" s="14">
        <f>'Data Tables (Q)'!C62</f>
        <v>1.5720151297930109</v>
      </c>
      <c r="D10" s="14">
        <f>'Data Tables (Q)'!D62</f>
        <v>1.585633194488973</v>
      </c>
      <c r="E10" s="14">
        <f>'Data Tables (Q)'!E62</f>
        <v>1.6092025705913131</v>
      </c>
      <c r="F10" s="14">
        <f>'Data Tables (Q)'!F62</f>
        <v>1.702043107788028</v>
      </c>
      <c r="G10" s="14">
        <f>'Data Tables (Q)'!G62</f>
        <v>1.737184631455639</v>
      </c>
      <c r="H10" s="14">
        <f>'Data Tables (Q)'!H62</f>
        <v>1.580621733212626</v>
      </c>
      <c r="I10" s="14">
        <f>'Data Tables (Q)'!I62</f>
        <v>1.7202884449751921</v>
      </c>
      <c r="J10" s="14">
        <f>'Data Tables (Q)'!J62</f>
        <v>1.5765841812857</v>
      </c>
      <c r="K10" s="14">
        <f>'Data Tables (Q)'!K62</f>
        <v>1.430531602448978</v>
      </c>
      <c r="L10" s="14">
        <f>'Data Tables (Q)'!L62</f>
        <v>1.4805214021167259</v>
      </c>
      <c r="M10" s="14">
        <f>'Data Tables (Q)'!M62</f>
        <v>1.4915801629665091</v>
      </c>
      <c r="N10" s="14">
        <f>'Data Tables (Q)'!N62</f>
        <v>1.613035532695936</v>
      </c>
      <c r="O10" s="14">
        <f>'Data Tables (Q)'!O62</f>
        <v>1.554045943950958</v>
      </c>
      <c r="P10" s="14">
        <f>'Data Tables (Q)'!P62</f>
        <v>1.6280059169976111</v>
      </c>
      <c r="Q10" s="14">
        <f>'Data Tables (Q)'!Q62</f>
        <v>1.7468276327810279</v>
      </c>
      <c r="R10" s="14">
        <f>'Data Tables (Q)'!R62</f>
        <v>1.7705953657275399</v>
      </c>
      <c r="S10" s="14">
        <f>'Data Tables (Q)'!S62</f>
        <v>1.678251556178739</v>
      </c>
      <c r="T10" s="14">
        <f>'Data Tables (Q)'!T62</f>
        <v>1.846643226407066</v>
      </c>
      <c r="U10" s="14">
        <f>'Data Tables (Q)'!U62</f>
        <v>1.953951849339514</v>
      </c>
      <c r="V10" s="14">
        <f>'Data Tables (Q)'!V62</f>
        <v>1.8857882062876199</v>
      </c>
      <c r="W10" s="14">
        <f>'Data Tables (Q)'!W62</f>
        <v>1.650323204908152</v>
      </c>
      <c r="X10" s="14">
        <f>'Data Tables (Q)'!X62</f>
        <v>1.690912739645392</v>
      </c>
      <c r="Y10" s="14">
        <f>'Data Tables (Q)'!Y62</f>
        <v>1.686938804639742</v>
      </c>
      <c r="Z10" s="14">
        <f>'Data Tables (Q)'!Z62</f>
        <v>1.6353696617009441</v>
      </c>
      <c r="AA10" s="14">
        <f>'Data Tables (Q)'!AA62</f>
        <v>1.610310617665097</v>
      </c>
      <c r="AB10" s="14">
        <f>'Data Tables (Q)'!AB62</f>
        <v>1.621965573373481</v>
      </c>
      <c r="AC10" s="14">
        <f>'Data Tables (Q)'!AC62</f>
        <v>1.6048691735881959</v>
      </c>
      <c r="AD10" s="14">
        <f>'Data Tables (Q)'!AD62</f>
        <v>1.5672015100308441</v>
      </c>
      <c r="AE10" s="14">
        <f>'Data Tables (M)'!BS62*AH10+AG10*(1-AH10)</f>
        <v>1.602630097883843</v>
      </c>
      <c r="AG10" s="76">
        <v>1.7</v>
      </c>
      <c r="AH10" s="17">
        <v>1</v>
      </c>
    </row>
    <row r="11" spans="1:36" ht="15" customHeight="1" x14ac:dyDescent="0.25">
      <c r="A11" s="73" t="s">
        <v>240</v>
      </c>
      <c r="B11" s="83">
        <v>136.4</v>
      </c>
      <c r="C11" s="83">
        <v>141.30000000000001</v>
      </c>
      <c r="D11" s="83">
        <v>148</v>
      </c>
      <c r="E11" s="83">
        <v>151.5</v>
      </c>
      <c r="F11" s="83">
        <v>156.6</v>
      </c>
      <c r="G11" s="83">
        <v>149.5</v>
      </c>
      <c r="H11" s="83">
        <v>178.6</v>
      </c>
      <c r="I11" s="83">
        <v>176.8</v>
      </c>
      <c r="J11" s="83">
        <v>183.6</v>
      </c>
      <c r="K11" s="83">
        <v>218.6</v>
      </c>
      <c r="L11" s="83">
        <v>217</v>
      </c>
      <c r="M11" s="83">
        <v>252.9</v>
      </c>
      <c r="N11" s="83">
        <v>243.1</v>
      </c>
      <c r="O11" s="83">
        <v>245.1</v>
      </c>
      <c r="P11" s="83">
        <v>229.8</v>
      </c>
      <c r="Q11" s="83">
        <v>221.6</v>
      </c>
      <c r="R11" s="83">
        <v>229.4</v>
      </c>
      <c r="S11" s="83">
        <v>224.9</v>
      </c>
      <c r="T11" s="83">
        <v>212.6</v>
      </c>
      <c r="U11" s="83">
        <v>204.9</v>
      </c>
      <c r="V11" s="98">
        <v>204.2</v>
      </c>
      <c r="W11" s="98">
        <v>199.2</v>
      </c>
      <c r="X11" s="83">
        <v>202.8</v>
      </c>
      <c r="Y11" s="83">
        <v>203.3</v>
      </c>
      <c r="Z11" s="98"/>
      <c r="AA11" s="98">
        <v>202.6</v>
      </c>
      <c r="AB11" s="98"/>
      <c r="AC11" s="98"/>
      <c r="AD11" s="98"/>
      <c r="AE11" s="84">
        <v>203</v>
      </c>
    </row>
    <row r="12" spans="1:36" ht="15" customHeight="1" x14ac:dyDescent="0.25">
      <c r="A12" s="72" t="s">
        <v>280</v>
      </c>
      <c r="B12" s="82">
        <v>0.04</v>
      </c>
      <c r="C12" s="82">
        <v>0.11</v>
      </c>
      <c r="D12" s="82">
        <v>0.13</v>
      </c>
      <c r="E12" s="82">
        <v>0.14599999999999999</v>
      </c>
      <c r="F12" s="82">
        <v>0.2445606772966977</v>
      </c>
      <c r="G12" s="82">
        <v>0.33059155778194721</v>
      </c>
      <c r="H12" s="82">
        <v>0.1173819506419207</v>
      </c>
      <c r="I12" s="82">
        <v>0.16960024600254631</v>
      </c>
      <c r="J12" s="82">
        <v>0.13323456147240201</v>
      </c>
      <c r="K12" s="82">
        <v>-4.2561451166990949E-2</v>
      </c>
      <c r="L12" s="82">
        <v>-4.1246333166940152E-2</v>
      </c>
      <c r="M12" s="82">
        <v>-0.18913444181131661</v>
      </c>
      <c r="N12" s="82">
        <v>-0.16706463095801991</v>
      </c>
      <c r="O12" s="82">
        <v>-0.1889941003651481</v>
      </c>
      <c r="P12" s="82">
        <v>-0.14479230462822679</v>
      </c>
      <c r="Q12" s="82">
        <v>-0.1246166443921025</v>
      </c>
      <c r="R12" s="82">
        <v>-0.16400894079627171</v>
      </c>
      <c r="S12" s="82">
        <v>-0.15141755763747361</v>
      </c>
      <c r="T12" s="82">
        <v>-0.10485318971388401</v>
      </c>
      <c r="U12" s="82">
        <v>-7.0296605586842031E-2</v>
      </c>
      <c r="V12" s="82">
        <v>-6.42079923362191E-2</v>
      </c>
      <c r="W12" s="82">
        <v>-3.712872446878257E-2</v>
      </c>
      <c r="X12" s="82">
        <v>-0.03</v>
      </c>
      <c r="Y12" s="82">
        <v>-0.03</v>
      </c>
      <c r="Z12" s="82">
        <v>-0.03</v>
      </c>
      <c r="AA12" s="82">
        <v>-1.5603930618634101E-2</v>
      </c>
      <c r="AB12" s="82"/>
      <c r="AC12" s="82"/>
      <c r="AD12" s="82"/>
      <c r="AE12" s="82">
        <v>-0.03</v>
      </c>
    </row>
    <row r="13" spans="1:36" ht="15" customHeight="1" x14ac:dyDescent="0.25">
      <c r="A13" s="94" t="s">
        <v>242</v>
      </c>
      <c r="B13" s="13">
        <f t="shared" ref="B13:AA13" si="3">B12/10%*1.7/0.65</f>
        <v>1.046153846153846</v>
      </c>
      <c r="C13" s="13">
        <f t="shared" si="3"/>
        <v>2.8769230769230765</v>
      </c>
      <c r="D13" s="13">
        <f t="shared" si="3"/>
        <v>3.4</v>
      </c>
      <c r="E13" s="13">
        <f t="shared" si="3"/>
        <v>3.8184615384615372</v>
      </c>
      <c r="F13" s="13">
        <f t="shared" si="3"/>
        <v>6.3962023292982471</v>
      </c>
      <c r="G13" s="13">
        <f t="shared" si="3"/>
        <v>8.6462407419893879</v>
      </c>
      <c r="H13" s="13">
        <f t="shared" si="3"/>
        <v>3.0699894783271566</v>
      </c>
      <c r="I13" s="13">
        <f t="shared" si="3"/>
        <v>4.4356987416050568</v>
      </c>
      <c r="J13" s="13">
        <f t="shared" si="3"/>
        <v>3.4845962231243597</v>
      </c>
      <c r="K13" s="13">
        <f t="shared" si="3"/>
        <v>-1.113145645905917</v>
      </c>
      <c r="L13" s="13">
        <f t="shared" si="3"/>
        <v>-1.0787502520584347</v>
      </c>
      <c r="M13" s="13">
        <f t="shared" si="3"/>
        <v>-4.9465930935267419</v>
      </c>
      <c r="N13" s="13">
        <f t="shared" si="3"/>
        <v>-4.3693826558251354</v>
      </c>
      <c r="O13" s="13">
        <f t="shared" si="3"/>
        <v>-4.9429226249346421</v>
      </c>
      <c r="P13" s="13">
        <f t="shared" si="3"/>
        <v>-3.7868756595074697</v>
      </c>
      <c r="Q13" s="13">
        <f t="shared" si="3"/>
        <v>-3.2592045456396033</v>
      </c>
      <c r="R13" s="13">
        <f t="shared" si="3"/>
        <v>-4.2894646054409522</v>
      </c>
      <c r="S13" s="13">
        <f t="shared" si="3"/>
        <v>-3.9601515074416169</v>
      </c>
      <c r="T13" s="13">
        <f t="shared" si="3"/>
        <v>-2.7423141925169658</v>
      </c>
      <c r="U13" s="13">
        <f t="shared" si="3"/>
        <v>-1.8385266076558682</v>
      </c>
      <c r="V13" s="13">
        <f t="shared" si="3"/>
        <v>-1.6792859534088072</v>
      </c>
      <c r="W13" s="13">
        <f t="shared" si="3"/>
        <v>-0.9710589476450826</v>
      </c>
      <c r="X13" s="13">
        <f t="shared" si="3"/>
        <v>-0.7846153846153846</v>
      </c>
      <c r="Y13" s="13">
        <f t="shared" si="3"/>
        <v>-0.7846153846153846</v>
      </c>
      <c r="Z13" s="13">
        <f t="shared" si="3"/>
        <v>-0.7846153846153846</v>
      </c>
      <c r="AA13" s="13">
        <f t="shared" si="3"/>
        <v>-0.40810280079504568</v>
      </c>
      <c r="AB13" s="13"/>
      <c r="AC13" s="13"/>
      <c r="AD13" s="13"/>
      <c r="AE13" s="13">
        <f>AE12/10%*1.7/0.65</f>
        <v>-0.7846153846153846</v>
      </c>
    </row>
    <row r="14" spans="1:36" ht="15" customHeight="1" x14ac:dyDescent="0.25">
      <c r="A14" s="72" t="s">
        <v>243</v>
      </c>
      <c r="B14" s="12">
        <f t="shared" ref="B14:AA14" si="4">B13+B6</f>
        <v>142.35622675515151</v>
      </c>
      <c r="C14" s="12">
        <f t="shared" si="4"/>
        <v>146.90079271477714</v>
      </c>
      <c r="D14" s="12">
        <f t="shared" si="4"/>
        <v>145.71974505251177</v>
      </c>
      <c r="E14" s="12">
        <f t="shared" si="4"/>
        <v>144.87176910712012</v>
      </c>
      <c r="F14" s="12">
        <f t="shared" si="4"/>
        <v>144.95283235363442</v>
      </c>
      <c r="G14" s="12">
        <f t="shared" si="4"/>
        <v>149.2472923232412</v>
      </c>
      <c r="H14" s="12">
        <f t="shared" si="4"/>
        <v>146.27457048775091</v>
      </c>
      <c r="I14" s="12">
        <f t="shared" si="4"/>
        <v>143.38898868569652</v>
      </c>
      <c r="J14" s="12">
        <f t="shared" si="4"/>
        <v>142.98788533100338</v>
      </c>
      <c r="K14" s="12">
        <f t="shared" si="4"/>
        <v>141.12083570244459</v>
      </c>
      <c r="L14" s="12">
        <f t="shared" si="4"/>
        <v>138.81483075764342</v>
      </c>
      <c r="M14" s="12">
        <f t="shared" si="4"/>
        <v>133.14099950720174</v>
      </c>
      <c r="N14" s="12">
        <f t="shared" si="4"/>
        <v>131.48342990100352</v>
      </c>
      <c r="O14" s="12">
        <f t="shared" si="4"/>
        <v>133.17154090882377</v>
      </c>
      <c r="P14" s="12">
        <f t="shared" si="4"/>
        <v>134.27247278152899</v>
      </c>
      <c r="Q14" s="12">
        <f t="shared" si="4"/>
        <v>135.46761905018113</v>
      </c>
      <c r="R14" s="12">
        <f t="shared" si="4"/>
        <v>135.99593951073714</v>
      </c>
      <c r="S14" s="12">
        <f t="shared" si="4"/>
        <v>138.32069170449691</v>
      </c>
      <c r="T14" s="12">
        <f t="shared" si="4"/>
        <v>137.12103665632034</v>
      </c>
      <c r="U14" s="12">
        <f t="shared" si="4"/>
        <v>137.11867029733043</v>
      </c>
      <c r="V14" s="12">
        <f t="shared" si="4"/>
        <v>137.5190359645006</v>
      </c>
      <c r="W14" s="12">
        <f t="shared" si="4"/>
        <v>142.7987195195191</v>
      </c>
      <c r="X14" s="12">
        <f t="shared" si="4"/>
        <v>141.6515764847579</v>
      </c>
      <c r="Y14" s="12">
        <f t="shared" si="4"/>
        <v>141.40789138018823</v>
      </c>
      <c r="Z14" s="12">
        <f t="shared" si="4"/>
        <v>140.29602877956199</v>
      </c>
      <c r="AA14" s="12">
        <f t="shared" si="4"/>
        <v>141.60434792990534</v>
      </c>
      <c r="AB14" s="12"/>
      <c r="AC14" s="12"/>
      <c r="AD14" s="12"/>
      <c r="AE14" s="12">
        <f>AE13+AE6</f>
        <v>143.29414195617369</v>
      </c>
    </row>
    <row r="15" spans="1:36" ht="15" customHeight="1" x14ac:dyDescent="0.25">
      <c r="A15" s="73" t="s">
        <v>281</v>
      </c>
      <c r="B15" s="19">
        <v>0.26879363394366712</v>
      </c>
      <c r="C15" s="19">
        <v>0.2223222665695167</v>
      </c>
      <c r="D15" s="19">
        <v>0.20305954410986021</v>
      </c>
      <c r="E15" s="19">
        <v>0.1807801960858241</v>
      </c>
      <c r="F15" s="19">
        <v>0.1945408742742841</v>
      </c>
      <c r="G15" s="19">
        <v>0.18938928689913079</v>
      </c>
      <c r="H15" s="19">
        <v>0.20049784692108799</v>
      </c>
      <c r="I15" s="19">
        <v>0.21910291484195579</v>
      </c>
      <c r="J15" s="19">
        <v>0.22499126073891859</v>
      </c>
      <c r="K15" s="19">
        <v>0.25701611796231899</v>
      </c>
      <c r="L15" s="19">
        <v>0.2769439593706956</v>
      </c>
      <c r="M15" s="19">
        <v>0.31446719659499112</v>
      </c>
      <c r="N15" s="19">
        <v>0.34248915007161679</v>
      </c>
      <c r="O15" s="19">
        <v>0.33809816768985429</v>
      </c>
      <c r="P15" s="19">
        <v>0.342638349620699</v>
      </c>
      <c r="Q15" s="19">
        <v>0.33308962113232671</v>
      </c>
      <c r="R15" s="19">
        <v>0.32751973573551452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</row>
    <row r="16" spans="1:36" ht="15" customHeight="1" x14ac:dyDescent="0.25">
      <c r="A16" s="74" t="s">
        <v>245</v>
      </c>
      <c r="B16" s="20">
        <f t="shared" ref="B16:R16" si="5">B15-($AE$14-B14)*0.65%</f>
        <v>0.26269718513702295</v>
      </c>
      <c r="C16" s="20">
        <f t="shared" si="5"/>
        <v>0.24576549650043913</v>
      </c>
      <c r="D16" s="20">
        <f t="shared" si="5"/>
        <v>0.21882596423605774</v>
      </c>
      <c r="E16" s="20">
        <f t="shared" si="5"/>
        <v>0.19103477256697587</v>
      </c>
      <c r="F16" s="20">
        <f t="shared" si="5"/>
        <v>0.20532236185777886</v>
      </c>
      <c r="G16" s="20">
        <f t="shared" si="5"/>
        <v>0.2280847642850696</v>
      </c>
      <c r="H16" s="20">
        <f t="shared" si="5"/>
        <v>0.21987063237633991</v>
      </c>
      <c r="I16" s="20">
        <f t="shared" si="5"/>
        <v>0.21971941858385419</v>
      </c>
      <c r="J16" s="20">
        <f t="shared" si="5"/>
        <v>0.22300059267531161</v>
      </c>
      <c r="K16" s="20">
        <f t="shared" si="5"/>
        <v>0.24288962731307986</v>
      </c>
      <c r="L16" s="20">
        <f t="shared" si="5"/>
        <v>0.24782843658024886</v>
      </c>
      <c r="M16" s="20">
        <f t="shared" si="5"/>
        <v>0.24847177067667345</v>
      </c>
      <c r="N16" s="20">
        <f t="shared" si="5"/>
        <v>0.26571952171301066</v>
      </c>
      <c r="O16" s="20">
        <f t="shared" si="5"/>
        <v>0.27230126088207984</v>
      </c>
      <c r="P16" s="20">
        <f t="shared" si="5"/>
        <v>0.28399749998550844</v>
      </c>
      <c r="Q16" s="20">
        <f t="shared" si="5"/>
        <v>0.28221722224337503</v>
      </c>
      <c r="R16" s="20">
        <f t="shared" si="5"/>
        <v>0.28008141984017698</v>
      </c>
      <c r="S16" s="20"/>
      <c r="T16" s="20"/>
      <c r="U16" s="21"/>
      <c r="V16" s="21"/>
      <c r="W16" s="21"/>
      <c r="X16" s="20"/>
      <c r="Y16" s="21"/>
      <c r="Z16" s="20"/>
      <c r="AA16" s="21"/>
      <c r="AB16" s="21"/>
      <c r="AC16" s="21"/>
      <c r="AD16" s="21"/>
      <c r="AE16" s="20">
        <v>0.2944</v>
      </c>
    </row>
    <row r="18" spans="1:34" ht="15" customHeight="1" x14ac:dyDescent="0.25">
      <c r="A18" s="73" t="s">
        <v>282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3">
        <f t="shared" ref="P18:U18" si="6">-0.5*0.75*1200/22000*65</f>
        <v>-1.3295454545454546</v>
      </c>
      <c r="Q18" s="13">
        <f t="shared" si="6"/>
        <v>-1.3295454545454546</v>
      </c>
      <c r="R18" s="13">
        <f t="shared" si="6"/>
        <v>-1.3295454545454546</v>
      </c>
      <c r="S18" s="13">
        <f t="shared" si="6"/>
        <v>-1.3295454545454546</v>
      </c>
      <c r="T18" s="13">
        <f t="shared" si="6"/>
        <v>-1.3295454545454546</v>
      </c>
      <c r="U18" s="13">
        <f t="shared" si="6"/>
        <v>-1.3295454545454546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G18" s="16"/>
      <c r="AH18" s="16"/>
    </row>
    <row r="19" spans="1:34" ht="15" customHeight="1" x14ac:dyDescent="0.25">
      <c r="A19" s="49" t="s">
        <v>246</v>
      </c>
      <c r="B19" s="48" t="s">
        <v>283</v>
      </c>
    </row>
    <row r="20" spans="1:34" ht="15" customHeight="1" x14ac:dyDescent="0.25">
      <c r="A20" s="49" t="s">
        <v>248</v>
      </c>
      <c r="B20" s="48" t="s">
        <v>247</v>
      </c>
    </row>
    <row r="21" spans="1:34" ht="15" customHeight="1" x14ac:dyDescent="0.25">
      <c r="A21" s="49" t="s">
        <v>250</v>
      </c>
      <c r="B21" s="48" t="s">
        <v>284</v>
      </c>
    </row>
    <row r="22" spans="1:34" ht="15" customHeight="1" x14ac:dyDescent="0.25">
      <c r="A22" s="49" t="s">
        <v>253</v>
      </c>
      <c r="B22" s="48" t="s">
        <v>251</v>
      </c>
    </row>
    <row r="23" spans="1:34" ht="15" customHeight="1" x14ac:dyDescent="0.25">
      <c r="B23" s="48" t="s">
        <v>252</v>
      </c>
    </row>
    <row r="24" spans="1:34" ht="15" customHeight="1" x14ac:dyDescent="0.25">
      <c r="A24" s="49" t="s">
        <v>255</v>
      </c>
      <c r="B24" s="48" t="s">
        <v>256</v>
      </c>
    </row>
    <row r="25" spans="1:34" ht="15" customHeight="1" x14ac:dyDescent="0.25">
      <c r="B25" s="48" t="s">
        <v>285</v>
      </c>
    </row>
    <row r="26" spans="1:34" ht="15" customHeight="1" x14ac:dyDescent="0.25">
      <c r="A26" s="49" t="s">
        <v>257</v>
      </c>
      <c r="B26" s="48" t="s">
        <v>286</v>
      </c>
    </row>
    <row r="27" spans="1:34" ht="15" customHeight="1" x14ac:dyDescent="0.25">
      <c r="A27" s="49" t="s">
        <v>260</v>
      </c>
      <c r="B27" s="48" t="s">
        <v>258</v>
      </c>
    </row>
    <row r="28" spans="1:34" ht="15" customHeight="1" x14ac:dyDescent="0.25">
      <c r="B28" s="48" t="s">
        <v>259</v>
      </c>
    </row>
    <row r="29" spans="1:34" ht="15" customHeight="1" x14ac:dyDescent="0.25">
      <c r="A29" s="49" t="s">
        <v>287</v>
      </c>
      <c r="B29" s="48" t="s">
        <v>261</v>
      </c>
    </row>
  </sheetData>
  <mergeCells count="2">
    <mergeCell ref="AI1:AJ1"/>
    <mergeCell ref="AI2:AJ2"/>
  </mergeCells>
  <pageMargins left="0.7" right="0.7" top="0.75" bottom="0.75" header="0.3" footer="0.3"/>
  <pageSetup orientation="portrait" horizontalDpi="204" verticalDpi="1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30"/>
  <sheetViews>
    <sheetView topLeftCell="B17" zoomScale="160" zoomScaleNormal="160" workbookViewId="0">
      <selection activeCell="R30" sqref="R30"/>
    </sheetView>
  </sheetViews>
  <sheetFormatPr defaultRowHeight="14.5" x14ac:dyDescent="0.35"/>
  <cols>
    <col min="1" max="1" width="34.26953125" style="115" customWidth="1"/>
    <col min="2" max="55" width="5.26953125" style="115" customWidth="1"/>
  </cols>
  <sheetData>
    <row r="1" spans="1:60" s="41" customFormat="1" ht="24" customHeight="1" x14ac:dyDescent="0.35">
      <c r="A1" s="27" t="s">
        <v>274</v>
      </c>
      <c r="B1" s="28">
        <v>2016</v>
      </c>
      <c r="C1" s="28">
        <v>2017</v>
      </c>
      <c r="D1" s="28">
        <v>2018</v>
      </c>
      <c r="E1" s="28">
        <v>2019</v>
      </c>
      <c r="F1" s="28" t="s">
        <v>39</v>
      </c>
      <c r="G1" s="28" t="s">
        <v>40</v>
      </c>
      <c r="H1" s="28" t="s">
        <v>41</v>
      </c>
      <c r="I1" s="28" t="s">
        <v>42</v>
      </c>
      <c r="J1" s="28" t="s">
        <v>43</v>
      </c>
      <c r="K1" s="28" t="s">
        <v>44</v>
      </c>
      <c r="L1" s="28" t="s">
        <v>45</v>
      </c>
      <c r="M1" s="28" t="s">
        <v>46</v>
      </c>
      <c r="N1" s="28" t="s">
        <v>47</v>
      </c>
      <c r="O1" s="28" t="s">
        <v>48</v>
      </c>
      <c r="P1" s="28" t="s">
        <v>49</v>
      </c>
      <c r="Q1" s="28" t="s">
        <v>50</v>
      </c>
      <c r="R1" s="28" t="s">
        <v>51</v>
      </c>
      <c r="S1" s="28" t="s">
        <v>52</v>
      </c>
      <c r="T1" s="28" t="s">
        <v>53</v>
      </c>
      <c r="U1" s="28" t="s">
        <v>54</v>
      </c>
      <c r="V1" s="28" t="s">
        <v>55</v>
      </c>
      <c r="W1" s="28" t="s">
        <v>56</v>
      </c>
      <c r="X1" s="28" t="s">
        <v>57</v>
      </c>
      <c r="Y1" s="28" t="s">
        <v>58</v>
      </c>
      <c r="Z1" s="28" t="s">
        <v>59</v>
      </c>
      <c r="AA1" s="28" t="s">
        <v>60</v>
      </c>
      <c r="AB1" s="28" t="s">
        <v>61</v>
      </c>
      <c r="AC1" s="28" t="s">
        <v>62</v>
      </c>
      <c r="AD1" s="28" t="s">
        <v>63</v>
      </c>
      <c r="AE1" s="28" t="s">
        <v>64</v>
      </c>
      <c r="AF1" s="28" t="s">
        <v>65</v>
      </c>
      <c r="AG1" s="28" t="s">
        <v>66</v>
      </c>
      <c r="AH1" s="28" t="s">
        <v>67</v>
      </c>
      <c r="AI1" s="28" t="s">
        <v>68</v>
      </c>
      <c r="AJ1" s="28" t="s">
        <v>69</v>
      </c>
      <c r="AK1" s="28" t="s">
        <v>70</v>
      </c>
      <c r="AL1" s="28" t="s">
        <v>71</v>
      </c>
      <c r="AM1" s="28" t="s">
        <v>72</v>
      </c>
      <c r="AN1" s="28" t="s">
        <v>73</v>
      </c>
      <c r="AO1" s="28" t="s">
        <v>74</v>
      </c>
      <c r="AP1" s="28" t="s">
        <v>75</v>
      </c>
      <c r="AQ1" s="28" t="s">
        <v>76</v>
      </c>
      <c r="AR1" s="28" t="s">
        <v>77</v>
      </c>
      <c r="AS1" s="28" t="s">
        <v>78</v>
      </c>
      <c r="AT1" s="28" t="s">
        <v>79</v>
      </c>
      <c r="AU1" s="28" t="s">
        <v>80</v>
      </c>
      <c r="AV1" s="28" t="s">
        <v>81</v>
      </c>
      <c r="AW1" s="28" t="s">
        <v>82</v>
      </c>
      <c r="AX1" s="28" t="s">
        <v>83</v>
      </c>
      <c r="AY1" s="28" t="s">
        <v>84</v>
      </c>
      <c r="AZ1" s="28" t="s">
        <v>85</v>
      </c>
      <c r="BA1" s="28" t="s">
        <v>86</v>
      </c>
      <c r="BB1" s="28" t="s">
        <v>87</v>
      </c>
      <c r="BC1" s="28" t="s">
        <v>88</v>
      </c>
      <c r="BE1" s="28" t="s">
        <v>230</v>
      </c>
      <c r="BG1" s="132" t="s">
        <v>232</v>
      </c>
      <c r="BH1" s="133"/>
    </row>
    <row r="2" spans="1:60" ht="15.75" customHeight="1" thickBot="1" x14ac:dyDescent="0.4">
      <c r="A2" s="29" t="s">
        <v>275</v>
      </c>
      <c r="B2" s="12">
        <f>'Data Tables (M)'!B56</f>
        <v>136.58957781405479</v>
      </c>
      <c r="C2" s="12">
        <f>'Data Tables (M)'!C56</f>
        <v>139.0904814105937</v>
      </c>
      <c r="D2" s="12">
        <f>'Data Tables (M)'!D56</f>
        <v>137.77552245925361</v>
      </c>
      <c r="E2" s="12">
        <f>'Data Tables (M)'!E56</f>
        <v>136.87433471480861</v>
      </c>
      <c r="F2" s="12">
        <f>'Data Tables (M)'!F56</f>
        <v>136.0708942400334</v>
      </c>
      <c r="G2" s="12">
        <f>'Data Tables (M)'!G56</f>
        <v>136.0720005588141</v>
      </c>
      <c r="H2" s="12">
        <f>'Data Tables (M)'!H56</f>
        <v>135.58402948497471</v>
      </c>
      <c r="I2" s="12">
        <f>'Data Tables (M)'!I56</f>
        <v>136.45711056261709</v>
      </c>
      <c r="J2" s="12">
        <f>'Data Tables (M)'!J56</f>
        <v>138.3985631473594</v>
      </c>
      <c r="K2" s="12">
        <f>'Data Tables (M)'!K56</f>
        <v>139.22263099733121</v>
      </c>
      <c r="L2" s="12">
        <f>'Data Tables (M)'!L56</f>
        <v>139.32035964094661</v>
      </c>
      <c r="M2" s="12">
        <f>'Data Tables (M)'!M56</f>
        <v>138.63707611775379</v>
      </c>
      <c r="N2" s="12">
        <f>'Data Tables (M)'!N56</f>
        <v>138.29049839883649</v>
      </c>
      <c r="O2" s="12">
        <f>'Data Tables (M)'!O56</f>
        <v>137.41781088566611</v>
      </c>
      <c r="P2" s="12">
        <f>'Data Tables (M)'!P56</f>
        <v>136.5446592576798</v>
      </c>
      <c r="Q2" s="12">
        <f>'Data Tables (M)'!Q56</f>
        <v>136.9216517393356</v>
      </c>
      <c r="R2" s="12">
        <f>'Data Tables (M)'!R56</f>
        <v>136.31498217147461</v>
      </c>
      <c r="S2" s="12">
        <f>'Data Tables (M)'!S56</f>
        <v>135.27484073163171</v>
      </c>
      <c r="T2" s="12">
        <f>'Data Tables (M)'!T56</f>
        <v>135.16675674945139</v>
      </c>
      <c r="U2" s="12">
        <f>'Data Tables (M)'!U56</f>
        <v>135.8285268400341</v>
      </c>
      <c r="V2" s="12">
        <f>'Data Tables (M)'!V56</f>
        <v>135.8274217698316</v>
      </c>
      <c r="W2" s="12">
        <f>'Data Tables (M)'!W56</f>
        <v>135.52710184780949</v>
      </c>
      <c r="X2" s="12">
        <f>'Data Tables (M)'!X56</f>
        <v>133.76710709740561</v>
      </c>
      <c r="Y2" s="12">
        <f>'Data Tables (M)'!Y56</f>
        <v>136.0047560603677</v>
      </c>
      <c r="Z2" s="12">
        <f>'Data Tables (M)'!Z56</f>
        <v>133.71430112162221</v>
      </c>
      <c r="AA2" s="12">
        <f>'Data Tables (M)'!AA56</f>
        <v>133.8042020247</v>
      </c>
      <c r="AB2" s="12">
        <f>'Data Tables (M)'!AB56</f>
        <v>133.04635810983959</v>
      </c>
      <c r="AC2" s="12">
        <f>'Data Tables (M)'!AC56</f>
        <v>132.61152728999389</v>
      </c>
      <c r="AD2" s="12">
        <f>'Data Tables (M)'!AD56</f>
        <v>132.0759442578381</v>
      </c>
      <c r="AE2" s="12">
        <f>'Data Tables (M)'!AE56</f>
        <v>133.41692189566581</v>
      </c>
      <c r="AF2" s="12">
        <f>'Data Tables (M)'!AF56</f>
        <v>133.82905383352161</v>
      </c>
      <c r="AG2" s="12">
        <f>'Data Tables (M)'!AG56</f>
        <v>134.729896170107</v>
      </c>
      <c r="AH2" s="12">
        <f>'Data Tables (M)'!AH56</f>
        <v>134.34078517036201</v>
      </c>
      <c r="AI2" s="12">
        <f>'Data Tables (M)'!AI56</f>
        <v>135.09972646253519</v>
      </c>
      <c r="AJ2" s="12">
        <f>'Data Tables (M)'!AJ56</f>
        <v>135.80114491877251</v>
      </c>
      <c r="AK2" s="12">
        <f>'Data Tables (M)'!AK56</f>
        <v>136.29284810858539</v>
      </c>
      <c r="AL2" s="12">
        <f>'Data Tables (M)'!AL56</f>
        <v>136.0744397910174</v>
      </c>
      <c r="AM2" s="12">
        <f>'Data Tables (M)'!AM56</f>
        <v>137.2766795524031</v>
      </c>
      <c r="AN2" s="12">
        <f>'Data Tables (M)'!AN56</f>
        <v>138.63281219429089</v>
      </c>
      <c r="AO2" s="12">
        <f>'Data Tables (M)'!AO56</f>
        <v>139.28278003426021</v>
      </c>
      <c r="AP2" s="12">
        <f>'Data Tables (M)'!AP56</f>
        <v>140.3693476648599</v>
      </c>
      <c r="AQ2" s="12">
        <f>'Data Tables (M)'!AQ56</f>
        <v>139.8223823229784</v>
      </c>
      <c r="AR2" s="12">
        <f>'Data Tables (M)'!AR56</f>
        <v>140.14739050915239</v>
      </c>
      <c r="AS2" s="12">
        <f>'Data Tables (M)'!AS56</f>
        <v>140.44520512727939</v>
      </c>
      <c r="AT2" s="12">
        <f>'Data Tables (M)'!AT56</f>
        <v>140.73829959131379</v>
      </c>
      <c r="AU2" s="12">
        <f>'Data Tables (M)'!AU56</f>
        <v>140.77704231459819</v>
      </c>
      <c r="AV2" s="12">
        <f>'Data Tables (M)'!AV56</f>
        <v>140.6672898200018</v>
      </c>
      <c r="AW2" s="12">
        <f>'Data Tables (M)'!AW56</f>
        <v>140.63350268744111</v>
      </c>
      <c r="AX2" s="12">
        <f>'Data Tables (M)'!AX56</f>
        <v>140.22049133433541</v>
      </c>
      <c r="AY2" s="12">
        <f>'Data Tables (M)'!AY56</f>
        <v>140.06890602717641</v>
      </c>
      <c r="AZ2" s="12">
        <f>'Data Tables (M)'!AZ56</f>
        <v>140.93026490340739</v>
      </c>
      <c r="BA2" s="12">
        <f>'Data Tables (M)'!BA56</f>
        <v>140.84393435243919</v>
      </c>
      <c r="BB2" s="12">
        <f>'Data Tables (M)'!BB56</f>
        <v>140.3627448333695</v>
      </c>
      <c r="BC2" s="12">
        <f>'Data Tables (M)'!BC56</f>
        <v>138.53458476787389</v>
      </c>
      <c r="BE2" s="60">
        <f>'t-1 Data Table'!N6</f>
        <v>142.20524</v>
      </c>
      <c r="BG2" s="134">
        <v>0</v>
      </c>
      <c r="BH2" s="135"/>
    </row>
    <row r="3" spans="1:60" x14ac:dyDescent="0.35">
      <c r="A3" s="27" t="s">
        <v>276</v>
      </c>
      <c r="B3" s="13">
        <f>'Data Tables (M)'!B57*BG2</f>
        <v>0</v>
      </c>
      <c r="C3" s="13">
        <f>'Data Tables (M)'!C57*BH2</f>
        <v>0</v>
      </c>
      <c r="D3" s="13">
        <f>'Data Tables (M)'!D57*BI2</f>
        <v>0</v>
      </c>
      <c r="E3" s="13">
        <f>'Data Tables (M)'!E57*BJ2</f>
        <v>0</v>
      </c>
      <c r="F3" s="13">
        <f>'Data Tables (M)'!F57*BK2</f>
        <v>0</v>
      </c>
      <c r="G3" s="13">
        <f>'Data Tables (M)'!G57*BL2</f>
        <v>0</v>
      </c>
      <c r="H3" s="13">
        <f>'Data Tables (M)'!H57*BM2</f>
        <v>0</v>
      </c>
      <c r="I3" s="13">
        <f>'Data Tables (M)'!I57*BN2</f>
        <v>0</v>
      </c>
      <c r="J3" s="13">
        <f>'Data Tables (M)'!J57*BO2</f>
        <v>0</v>
      </c>
      <c r="K3" s="13">
        <f>'Data Tables (M)'!K57*BP2</f>
        <v>0</v>
      </c>
      <c r="L3" s="13">
        <f>'Data Tables (M)'!L57*BQ2</f>
        <v>0</v>
      </c>
      <c r="M3" s="13">
        <f>'Data Tables (M)'!M57*BR2</f>
        <v>0</v>
      </c>
      <c r="N3" s="13">
        <f>'Data Tables (M)'!N57*BS2</f>
        <v>0</v>
      </c>
      <c r="O3" s="13">
        <f>'Data Tables (M)'!O57*BT2</f>
        <v>0</v>
      </c>
      <c r="P3" s="13">
        <f>'Data Tables (M)'!P57*BU2</f>
        <v>0</v>
      </c>
      <c r="Q3" s="13">
        <f>'Data Tables (M)'!Q57*BV2</f>
        <v>0</v>
      </c>
      <c r="R3" s="13">
        <f>'Data Tables (M)'!R57*BW2</f>
        <v>0</v>
      </c>
      <c r="S3" s="13">
        <f>'Data Tables (M)'!S57*BX2</f>
        <v>0</v>
      </c>
      <c r="T3" s="13">
        <f>'Data Tables (M)'!T57*BY2</f>
        <v>0</v>
      </c>
      <c r="U3" s="13">
        <f>'Data Tables (M)'!U57*BZ2</f>
        <v>0</v>
      </c>
      <c r="V3" s="13">
        <f>'Data Tables (M)'!V57*CA2</f>
        <v>0</v>
      </c>
      <c r="W3" s="13">
        <f>'Data Tables (M)'!W57*CB2</f>
        <v>0</v>
      </c>
      <c r="X3" s="13">
        <f>'Data Tables (M)'!X57*CC2</f>
        <v>0</v>
      </c>
      <c r="Y3" s="13">
        <f>'Data Tables (M)'!Y57*CD2</f>
        <v>0</v>
      </c>
      <c r="Z3" s="13">
        <f>'Data Tables (M)'!Z57*CE2</f>
        <v>0</v>
      </c>
      <c r="AA3" s="13">
        <f>'Data Tables (M)'!AA57*CF2</f>
        <v>0</v>
      </c>
      <c r="AB3" s="13">
        <f>'Data Tables (M)'!AB57*CG2</f>
        <v>0</v>
      </c>
      <c r="AC3" s="13">
        <f>'Data Tables (M)'!AC57*CH2</f>
        <v>0</v>
      </c>
      <c r="AD3" s="13">
        <f>'Data Tables (M)'!AD57*CI2</f>
        <v>0</v>
      </c>
      <c r="AE3" s="13" t="s">
        <v>288</v>
      </c>
      <c r="AF3" s="13">
        <f>'Data Tables (M)'!AF57*CK2</f>
        <v>0</v>
      </c>
      <c r="AG3" s="13">
        <f>'Data Tables (M)'!AG57*CL2</f>
        <v>0</v>
      </c>
      <c r="AH3" s="13">
        <f>'Data Tables (M)'!AH57*CM2</f>
        <v>0</v>
      </c>
      <c r="AI3" s="13">
        <f>'Data Tables (M)'!AI57*CN2</f>
        <v>0</v>
      </c>
      <c r="AJ3" s="13">
        <f>'Data Tables (M)'!AJ57*CO2</f>
        <v>0</v>
      </c>
      <c r="AK3" s="13">
        <f>'Data Tables (M)'!AK57*CP2</f>
        <v>0</v>
      </c>
      <c r="AL3" s="13">
        <f>'Data Tables (M)'!AL57*CQ2</f>
        <v>0</v>
      </c>
      <c r="AM3" s="13">
        <f>'Data Tables (M)'!AM57*CR2</f>
        <v>0</v>
      </c>
      <c r="AN3" s="13">
        <f>'Data Tables (M)'!AN57*CS2</f>
        <v>0</v>
      </c>
      <c r="AO3" s="13">
        <f>'Data Tables (M)'!AO57*CT2</f>
        <v>0</v>
      </c>
      <c r="AP3" s="13">
        <f>'Data Tables (M)'!AP57*CU2</f>
        <v>0</v>
      </c>
      <c r="AQ3" s="13">
        <f>'Data Tables (M)'!AQ57*CV2</f>
        <v>0</v>
      </c>
      <c r="AR3" s="13">
        <f>'Data Tables (M)'!AR57*CW2</f>
        <v>0</v>
      </c>
      <c r="AS3" s="13">
        <f>'Data Tables (M)'!AS57*CX2</f>
        <v>0</v>
      </c>
      <c r="AT3" s="13">
        <f>'Data Tables (M)'!AT57*CY2</f>
        <v>0</v>
      </c>
      <c r="AU3" s="13">
        <f>'Data Tables (M)'!AU57*CZ2</f>
        <v>0</v>
      </c>
      <c r="AV3" s="13">
        <f>'Data Tables (M)'!AV57*DA2</f>
        <v>0</v>
      </c>
      <c r="AW3" s="13">
        <f>'Data Tables (M)'!AW57*DB2</f>
        <v>0</v>
      </c>
      <c r="AX3" s="13">
        <f>'Data Tables (M)'!AX57*DC2</f>
        <v>0</v>
      </c>
      <c r="AY3" s="13">
        <f>'Data Tables (M)'!AY57*DD2</f>
        <v>0</v>
      </c>
      <c r="AZ3" s="13" t="s">
        <v>288</v>
      </c>
      <c r="BA3" s="13">
        <f>'Data Tables (M)'!BA57*DF2</f>
        <v>0</v>
      </c>
      <c r="BB3" s="13">
        <f>'Data Tables (M)'!BB57*DG2</f>
        <v>0</v>
      </c>
      <c r="BC3" s="13">
        <f>'Data Tables (M)'!BC57*DH2</f>
        <v>0</v>
      </c>
      <c r="BE3" s="44">
        <v>0</v>
      </c>
    </row>
    <row r="4" spans="1:60" ht="22.5" customHeight="1" x14ac:dyDescent="0.35">
      <c r="A4" s="29" t="s">
        <v>289</v>
      </c>
      <c r="B4" s="12">
        <f>'Data Tables (M)'!B58</f>
        <v>4.6948976841725312</v>
      </c>
      <c r="C4" s="12">
        <f>'Data Tables (M)'!C58</f>
        <v>4.6240717527240633</v>
      </c>
      <c r="D4" s="12">
        <f>'Data Tables (M)'!D58</f>
        <v>4.4679387867836056</v>
      </c>
      <c r="E4" s="12">
        <f>'Data Tables (M)'!E58</f>
        <v>4.487544596787302</v>
      </c>
      <c r="F4" s="12">
        <f>'Data Tables (M)'!F58</f>
        <v>4.4393489638574692</v>
      </c>
      <c r="G4" s="12">
        <f>'Data Tables (M)'!G58</f>
        <v>4.3909115429907217</v>
      </c>
      <c r="H4" s="12">
        <f>'Data Tables (M)'!H58</f>
        <v>4.4175249732352881</v>
      </c>
      <c r="I4" s="12">
        <f>'Data Tables (M)'!I58</f>
        <v>4.3963413914089529</v>
      </c>
      <c r="J4" s="12">
        <f>'Data Tables (M)'!J58</f>
        <v>4.4150990588762511</v>
      </c>
      <c r="K4" s="12">
        <f>'Data Tables (M)'!K58</f>
        <v>4.489528985239815</v>
      </c>
      <c r="L4" s="12">
        <f>'Data Tables (M)'!L58</f>
        <v>4.3649482037572804</v>
      </c>
      <c r="M4" s="12">
        <f>'Data Tables (M)'!M58</f>
        <v>4.1750585700808642</v>
      </c>
      <c r="N4" s="12">
        <f>'Data Tables (M)'!N58</f>
        <v>4.2224109996296866</v>
      </c>
      <c r="O4" s="12">
        <f>'Data Tables (M)'!O58</f>
        <v>4.1560833719651953</v>
      </c>
      <c r="P4" s="12">
        <f>'Data Tables (M)'!P58</f>
        <v>3.94175341542865</v>
      </c>
      <c r="Q4" s="12">
        <f>'Data Tables (M)'!Q58</f>
        <v>3.8078992327345418</v>
      </c>
      <c r="R4" s="12">
        <f>'Data Tables (M)'!R58</f>
        <v>3.7723651487916068</v>
      </c>
      <c r="S4" s="12">
        <f>'Data Tables (M)'!S58</f>
        <v>3.878751006032132</v>
      </c>
      <c r="T4" s="12">
        <f>'Data Tables (M)'!T58</f>
        <v>3.8049339131908941</v>
      </c>
      <c r="U4" s="12">
        <f>'Data Tables (M)'!U58</f>
        <v>3.63186477500247</v>
      </c>
      <c r="V4" s="12">
        <f>'Data Tables (M)'!V58</f>
        <v>3.5382747462408588</v>
      </c>
      <c r="W4" s="12">
        <f>'Data Tables (M)'!W58</f>
        <v>3.5516710216714671</v>
      </c>
      <c r="X4" s="12">
        <f>'Data Tables (M)'!X58</f>
        <v>3.5906339099621789</v>
      </c>
      <c r="Y4" s="12">
        <f>'Data Tables (M)'!Y58</f>
        <v>3.4163915051571219</v>
      </c>
      <c r="Z4" s="12">
        <f>'Data Tables (M)'!Z58</f>
        <v>3.3571344627549422</v>
      </c>
      <c r="AA4" s="12">
        <f>'Data Tables (M)'!AA58</f>
        <v>3.3111684743639098</v>
      </c>
      <c r="AB4" s="12">
        <f>'Data Tables (M)'!AB58</f>
        <v>3.0517678883789192</v>
      </c>
      <c r="AC4" s="12">
        <f>'Data Tables (M)'!AC58</f>
        <v>3.142146361863809</v>
      </c>
      <c r="AD4" s="12">
        <f>'Data Tables (M)'!AD58</f>
        <v>3.110629908868106</v>
      </c>
      <c r="AE4" s="12" t="s">
        <v>288</v>
      </c>
      <c r="AF4" s="12">
        <f>'Data Tables (M)'!AF58</f>
        <v>2.9160300373836212</v>
      </c>
      <c r="AG4" s="12">
        <f>'Data Tables (M)'!AG58</f>
        <v>2.870261978885452</v>
      </c>
      <c r="AH4" s="12">
        <f>'Data Tables (M)'!AH58</f>
        <v>2.7549446256783772</v>
      </c>
      <c r="AI4" s="12">
        <f>'Data Tables (M)'!AI58</f>
        <v>2.7133908680849572</v>
      </c>
      <c r="AJ4" s="12">
        <f>'Data Tables (M)'!AJ58</f>
        <v>2.3203968751805921</v>
      </c>
      <c r="AK4" s="12">
        <f>'Data Tables (M)'!AK58</f>
        <v>2.6651172690137912</v>
      </c>
      <c r="AL4" s="12">
        <f>'Data Tables (M)'!AL58</f>
        <v>2.2379048437998388</v>
      </c>
      <c r="AM4" s="12">
        <f>'Data Tables (M)'!AM58</f>
        <v>2.7579947941790981</v>
      </c>
      <c r="AN4" s="12">
        <f>'Data Tables (M)'!AN58</f>
        <v>2.4869358211587378</v>
      </c>
      <c r="AO4" s="12">
        <f>'Data Tables (M)'!AO58</f>
        <v>2.8366352218862692</v>
      </c>
      <c r="AP4" s="12">
        <f>'Data Tables (M)'!AP58</f>
        <v>3.150772712145169</v>
      </c>
      <c r="AQ4" s="12">
        <f>'Data Tables (M)'!AQ58</f>
        <v>3.1472567906547511</v>
      </c>
      <c r="AR4" s="12">
        <f>'Data Tables (M)'!AR58</f>
        <v>2.6576857141319858</v>
      </c>
      <c r="AS4" s="12">
        <f>'Data Tables (M)'!AS58</f>
        <v>2.9482811038841419</v>
      </c>
      <c r="AT4" s="12">
        <f>'Data Tables (M)'!AT58</f>
        <v>3.1375750136104732</v>
      </c>
      <c r="AU4" s="12">
        <f>'Data Tables (M)'!AU58</f>
        <v>3.227289232877212</v>
      </c>
      <c r="AV4" s="12">
        <f>'Data Tables (M)'!AV58</f>
        <v>2.87732654482565</v>
      </c>
      <c r="AW4" s="12">
        <f>'Data Tables (M)'!AW58</f>
        <v>3.0175102767622661</v>
      </c>
      <c r="AX4" s="12">
        <f>'Data Tables (M)'!AX58</f>
        <v>0</v>
      </c>
      <c r="AY4" s="12">
        <f>'Data Tables (M)'!AY58</f>
        <v>0</v>
      </c>
      <c r="AZ4" s="12" t="s">
        <v>288</v>
      </c>
      <c r="BA4" s="12">
        <f>'Data Tables (M)'!BA58</f>
        <v>4.3705019447348548</v>
      </c>
      <c r="BB4" s="12">
        <f>'Data Tables (M)'!BB58</f>
        <v>4.0339477660635907</v>
      </c>
      <c r="BC4" s="12">
        <f>'Data Tables (M)'!BC58</f>
        <v>4.1307109939292266</v>
      </c>
    </row>
    <row r="5" spans="1:60" ht="30" customHeight="1" x14ac:dyDescent="0.35">
      <c r="A5" s="27" t="s">
        <v>290</v>
      </c>
      <c r="B5" s="13">
        <f t="shared" ref="B5:AD5" si="0">(159%/B11-1)/10%*1.7/0.65</f>
        <v>5.0563497114953525E-2</v>
      </c>
      <c r="C5" s="13">
        <f t="shared" si="0"/>
        <v>0.30132657351068909</v>
      </c>
      <c r="D5" s="13">
        <f t="shared" si="0"/>
        <v>7.2027225411345805E-2</v>
      </c>
      <c r="E5" s="13">
        <f t="shared" si="0"/>
        <v>-0.31209313617926115</v>
      </c>
      <c r="F5" s="13">
        <f t="shared" si="0"/>
        <v>-2.2900970034682162</v>
      </c>
      <c r="G5" s="13">
        <f t="shared" si="0"/>
        <v>-1.7917180962821571</v>
      </c>
      <c r="H5" s="13">
        <f t="shared" si="0"/>
        <v>-1.3338871336564744</v>
      </c>
      <c r="I5" s="13">
        <f t="shared" si="0"/>
        <v>-2.3987577216861058</v>
      </c>
      <c r="J5" s="13">
        <f t="shared" si="0"/>
        <v>-2.6014523741565712</v>
      </c>
      <c r="K5" s="13">
        <f t="shared" si="0"/>
        <v>-1.8152710781680237</v>
      </c>
      <c r="L5" s="13">
        <f t="shared" si="0"/>
        <v>-0.20661981990080111</v>
      </c>
      <c r="M5" s="13">
        <f t="shared" si="0"/>
        <v>0.69810864943454254</v>
      </c>
      <c r="N5" s="13">
        <f t="shared" si="0"/>
        <v>3.8335521398434109E-2</v>
      </c>
      <c r="O5" s="13">
        <f t="shared" si="0"/>
        <v>-1.2814874141832742</v>
      </c>
      <c r="P5" s="13">
        <f t="shared" si="0"/>
        <v>-2.2040062041101951</v>
      </c>
      <c r="Q5" s="13">
        <f t="shared" si="0"/>
        <v>-2.4730285077988072</v>
      </c>
      <c r="R5" s="13">
        <f t="shared" si="0"/>
        <v>-2.0687332494957107</v>
      </c>
      <c r="S5" s="13">
        <f t="shared" si="0"/>
        <v>-0.80731854660287394</v>
      </c>
      <c r="T5" s="13">
        <f t="shared" si="0"/>
        <v>1.9174679914498309</v>
      </c>
      <c r="U5" s="13">
        <f t="shared" si="0"/>
        <v>2.8185261157845187</v>
      </c>
      <c r="V5" s="13">
        <f t="shared" si="0"/>
        <v>2.9602954468390337</v>
      </c>
      <c r="W5" s="13">
        <f t="shared" si="0"/>
        <v>3.005465079465274</v>
      </c>
      <c r="X5" s="13">
        <f t="shared" si="0"/>
        <v>2.4418007024548767</v>
      </c>
      <c r="Y5" s="13">
        <f t="shared" si="0"/>
        <v>1.5474864536721793</v>
      </c>
      <c r="Z5" s="13">
        <f t="shared" si="0"/>
        <v>1.8260752363904047</v>
      </c>
      <c r="AA5" s="13">
        <f t="shared" si="0"/>
        <v>1.9119686632121073</v>
      </c>
      <c r="AB5" s="13">
        <f t="shared" si="0"/>
        <v>1.6590894411599295</v>
      </c>
      <c r="AC5" s="13">
        <f t="shared" si="0"/>
        <v>1.5847966570283549</v>
      </c>
      <c r="AD5" s="13">
        <f t="shared" si="0"/>
        <v>-0.74980393769502618</v>
      </c>
      <c r="AE5" s="13" t="s">
        <v>288</v>
      </c>
      <c r="AF5" s="13">
        <f t="shared" ref="AF5:AY5" si="1">(159%/AF11-1)/10%*1.7/0.65</f>
        <v>1.3821638767952713</v>
      </c>
      <c r="AG5" s="13">
        <f t="shared" si="1"/>
        <v>0.44013910459228905</v>
      </c>
      <c r="AH5" s="13">
        <f t="shared" si="1"/>
        <v>-1.0846143092088936</v>
      </c>
      <c r="AI5" s="13">
        <f t="shared" si="1"/>
        <v>-0.69070875691445011</v>
      </c>
      <c r="AJ5" s="13">
        <f t="shared" si="1"/>
        <v>-7.5625183483046213E-2</v>
      </c>
      <c r="AK5" s="13">
        <f t="shared" si="1"/>
        <v>-1.5895502841787055</v>
      </c>
      <c r="AL5" s="13">
        <f t="shared" si="1"/>
        <v>-1.7937749490243169</v>
      </c>
      <c r="AM5" s="13">
        <f t="shared" si="1"/>
        <v>-2.275236923730434</v>
      </c>
      <c r="AN5" s="13">
        <f t="shared" si="1"/>
        <v>-2.9592776335954305</v>
      </c>
      <c r="AO5" s="13">
        <f t="shared" si="1"/>
        <v>-2.9692009819973846</v>
      </c>
      <c r="AP5" s="13">
        <f t="shared" si="1"/>
        <v>-3.477850964855</v>
      </c>
      <c r="AQ5" s="13">
        <f t="shared" si="1"/>
        <v>-2.6413491887640372</v>
      </c>
      <c r="AR5" s="13">
        <f t="shared" si="1"/>
        <v>-3.4339272859967958</v>
      </c>
      <c r="AS5" s="13">
        <f t="shared" si="1"/>
        <v>-3.3455001578727943</v>
      </c>
      <c r="AT5" s="13">
        <f t="shared" si="1"/>
        <v>-1.2676456144860466</v>
      </c>
      <c r="AU5" s="13">
        <f t="shared" si="1"/>
        <v>-2.9063573963405536</v>
      </c>
      <c r="AV5" s="13">
        <f t="shared" si="1"/>
        <v>-5.6265524671387208</v>
      </c>
      <c r="AW5" s="13">
        <f t="shared" si="1"/>
        <v>-3.083112741818963</v>
      </c>
      <c r="AX5" s="13" t="e">
        <f t="shared" si="1"/>
        <v>#DIV/0!</v>
      </c>
      <c r="AY5" s="13" t="e">
        <f t="shared" si="1"/>
        <v>#DIV/0!</v>
      </c>
      <c r="AZ5" s="13" t="s">
        <v>288</v>
      </c>
      <c r="BA5" s="13">
        <f>(159%/BA11-1)/10%*1.7/0.65</f>
        <v>-4.8328510926129677</v>
      </c>
      <c r="BB5" s="13">
        <f>(159%/BB11-1)/10%*1.7/0.65</f>
        <v>-4.2502182239977255</v>
      </c>
      <c r="BC5" s="13">
        <f>(159%/BC11-1)/10%*1.7/0.65</f>
        <v>-5.1323108669442217</v>
      </c>
    </row>
    <row r="6" spans="1:60" x14ac:dyDescent="0.35">
      <c r="A6" s="29" t="s">
        <v>30</v>
      </c>
      <c r="B6" s="12">
        <f t="shared" ref="B6:AD6" si="2">SUM(B2:B5)</f>
        <v>141.33503899534227</v>
      </c>
      <c r="C6" s="12">
        <f t="shared" si="2"/>
        <v>144.01587973682845</v>
      </c>
      <c r="D6" s="12">
        <f t="shared" si="2"/>
        <v>142.31548847144856</v>
      </c>
      <c r="E6" s="12">
        <f t="shared" si="2"/>
        <v>141.04978617541664</v>
      </c>
      <c r="F6" s="12">
        <f t="shared" si="2"/>
        <v>138.22014620042265</v>
      </c>
      <c r="G6" s="12">
        <f t="shared" si="2"/>
        <v>138.67119400552266</v>
      </c>
      <c r="H6" s="12">
        <f t="shared" si="2"/>
        <v>138.66766732455352</v>
      </c>
      <c r="I6" s="12">
        <f t="shared" si="2"/>
        <v>138.45469423233993</v>
      </c>
      <c r="J6" s="12">
        <f t="shared" si="2"/>
        <v>140.21220983207908</v>
      </c>
      <c r="K6" s="12">
        <f t="shared" si="2"/>
        <v>141.896888904403</v>
      </c>
      <c r="L6" s="12">
        <f t="shared" si="2"/>
        <v>143.47868802480309</v>
      </c>
      <c r="M6" s="12">
        <f t="shared" si="2"/>
        <v>143.5102433372692</v>
      </c>
      <c r="N6" s="12">
        <f t="shared" si="2"/>
        <v>142.55124491986462</v>
      </c>
      <c r="O6" s="12">
        <f t="shared" si="2"/>
        <v>140.29240684344805</v>
      </c>
      <c r="P6" s="12">
        <f t="shared" si="2"/>
        <v>138.28240646899826</v>
      </c>
      <c r="Q6" s="12">
        <f t="shared" si="2"/>
        <v>138.25652246427134</v>
      </c>
      <c r="R6" s="12">
        <f t="shared" si="2"/>
        <v>138.0186140707705</v>
      </c>
      <c r="S6" s="12">
        <f t="shared" si="2"/>
        <v>138.34627319106096</v>
      </c>
      <c r="T6" s="12">
        <f t="shared" si="2"/>
        <v>140.88915865409211</v>
      </c>
      <c r="U6" s="12">
        <f t="shared" si="2"/>
        <v>142.27891773082109</v>
      </c>
      <c r="V6" s="12">
        <f t="shared" si="2"/>
        <v>142.3259919629115</v>
      </c>
      <c r="W6" s="12">
        <f t="shared" si="2"/>
        <v>142.08423794894622</v>
      </c>
      <c r="X6" s="12">
        <f t="shared" si="2"/>
        <v>139.79954170982268</v>
      </c>
      <c r="Y6" s="12">
        <f t="shared" si="2"/>
        <v>140.968634019197</v>
      </c>
      <c r="Z6" s="12">
        <f t="shared" si="2"/>
        <v>138.89751082076756</v>
      </c>
      <c r="AA6" s="12">
        <f t="shared" si="2"/>
        <v>139.02733916227601</v>
      </c>
      <c r="AB6" s="12">
        <f t="shared" si="2"/>
        <v>137.75721543937843</v>
      </c>
      <c r="AC6" s="12">
        <f t="shared" si="2"/>
        <v>137.33847030888606</v>
      </c>
      <c r="AD6" s="12">
        <f t="shared" si="2"/>
        <v>134.43677022901119</v>
      </c>
      <c r="AE6" s="12" t="s">
        <v>288</v>
      </c>
      <c r="AF6" s="12">
        <f t="shared" ref="AF6:AY6" si="3">SUM(AF2:AF5)</f>
        <v>138.12724774770049</v>
      </c>
      <c r="AG6" s="12">
        <f t="shared" si="3"/>
        <v>138.04029725358473</v>
      </c>
      <c r="AH6" s="12">
        <f t="shared" si="3"/>
        <v>136.0111154868315</v>
      </c>
      <c r="AI6" s="12">
        <f t="shared" si="3"/>
        <v>137.12240857370568</v>
      </c>
      <c r="AJ6" s="12">
        <f t="shared" si="3"/>
        <v>138.04591661047004</v>
      </c>
      <c r="AK6" s="12">
        <f t="shared" si="3"/>
        <v>137.36841509342048</v>
      </c>
      <c r="AL6" s="12">
        <f t="shared" si="3"/>
        <v>136.51856968579293</v>
      </c>
      <c r="AM6" s="12">
        <f t="shared" si="3"/>
        <v>137.75943742285176</v>
      </c>
      <c r="AN6" s="12">
        <f t="shared" si="3"/>
        <v>138.1604703818542</v>
      </c>
      <c r="AO6" s="12">
        <f t="shared" si="3"/>
        <v>139.15021427414911</v>
      </c>
      <c r="AP6" s="12">
        <f t="shared" si="3"/>
        <v>140.04226941215006</v>
      </c>
      <c r="AQ6" s="12">
        <f t="shared" si="3"/>
        <v>140.32828992486913</v>
      </c>
      <c r="AR6" s="12">
        <f t="shared" si="3"/>
        <v>139.37114893728759</v>
      </c>
      <c r="AS6" s="12">
        <f t="shared" si="3"/>
        <v>140.04798607329073</v>
      </c>
      <c r="AT6" s="12">
        <f t="shared" si="3"/>
        <v>142.60822899043822</v>
      </c>
      <c r="AU6" s="12">
        <f t="shared" si="3"/>
        <v>141.09797415113485</v>
      </c>
      <c r="AV6" s="12">
        <f t="shared" si="3"/>
        <v>137.91806389768874</v>
      </c>
      <c r="AW6" s="12">
        <f t="shared" si="3"/>
        <v>140.56790022238442</v>
      </c>
      <c r="AX6" s="12" t="e">
        <f t="shared" si="3"/>
        <v>#DIV/0!</v>
      </c>
      <c r="AY6" s="12" t="e">
        <f t="shared" si="3"/>
        <v>#DIV/0!</v>
      </c>
      <c r="AZ6" s="12" t="s">
        <v>288</v>
      </c>
      <c r="BA6" s="12">
        <f>SUM(BA2:BA5)</f>
        <v>140.38158520456108</v>
      </c>
      <c r="BB6" s="12">
        <f>SUM(BB2:BB5)</f>
        <v>140.14647437543536</v>
      </c>
      <c r="BC6" s="12">
        <f>SUM(BC2:BC5)</f>
        <v>137.53298489485891</v>
      </c>
    </row>
    <row r="7" spans="1:60" hidden="1" x14ac:dyDescent="0.35">
      <c r="A7" s="27" t="s">
        <v>282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3">
        <f t="shared" ref="P7:U7" si="4">-0.5*0.75*1200/22000*65</f>
        <v>-1.3295454545454546</v>
      </c>
      <c r="Q7" s="13">
        <f t="shared" si="4"/>
        <v>-1.3295454545454546</v>
      </c>
      <c r="R7" s="13">
        <f t="shared" si="4"/>
        <v>-1.3295454545454546</v>
      </c>
      <c r="S7" s="13">
        <f t="shared" si="4"/>
        <v>-1.3295454545454546</v>
      </c>
      <c r="T7" s="13">
        <f t="shared" si="4"/>
        <v>-1.3295454545454546</v>
      </c>
      <c r="U7" s="13">
        <f t="shared" si="4"/>
        <v>-1.3295454545454546</v>
      </c>
      <c r="V7" s="62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</row>
    <row r="8" spans="1:60" hidden="1" x14ac:dyDescent="0.35">
      <c r="A8" s="30" t="s">
        <v>291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2">
        <f t="shared" ref="P8:U8" si="5">P6+P7</f>
        <v>136.95286101445279</v>
      </c>
      <c r="Q8" s="12">
        <f t="shared" si="5"/>
        <v>136.92697700972587</v>
      </c>
      <c r="R8" s="12">
        <f t="shared" si="5"/>
        <v>136.68906861622503</v>
      </c>
      <c r="S8" s="12">
        <f t="shared" si="5"/>
        <v>137.01672773651549</v>
      </c>
      <c r="T8" s="12">
        <f t="shared" si="5"/>
        <v>139.55961319954665</v>
      </c>
      <c r="U8" s="12">
        <f t="shared" si="5"/>
        <v>140.94937227627562</v>
      </c>
      <c r="V8" s="62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</row>
    <row r="9" spans="1:60" x14ac:dyDescent="0.35">
      <c r="A9" s="31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</row>
    <row r="10" spans="1:60" x14ac:dyDescent="0.35">
      <c r="A10" s="32" t="s">
        <v>238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</row>
    <row r="11" spans="1:60" x14ac:dyDescent="0.35">
      <c r="A11" s="30" t="s">
        <v>279</v>
      </c>
      <c r="B11" s="14">
        <f>'Data Tables (M)'!B62</f>
        <v>1.5869319682647449</v>
      </c>
      <c r="C11" s="14">
        <f>'Data Tables (M)'!C62</f>
        <v>1.571889770412024</v>
      </c>
      <c r="D11" s="14">
        <f>'Data Tables (M)'!D62</f>
        <v>1.585633194488973</v>
      </c>
      <c r="E11" s="14">
        <f>'Data Tables (M)'!E62</f>
        <v>1.6092025705913131</v>
      </c>
      <c r="F11" s="14">
        <f>'Data Tables (M)'!F62</f>
        <v>1.742585170610411</v>
      </c>
      <c r="G11" s="14">
        <f>'Data Tables (M)'!G62</f>
        <v>1.7069369016679199</v>
      </c>
      <c r="H11" s="14">
        <f>'Data Tables (M)'!H62</f>
        <v>1.675450606134707</v>
      </c>
      <c r="I11" s="14">
        <f>'Data Tables (M)'!I62</f>
        <v>1.750556117834418</v>
      </c>
      <c r="J11" s="14">
        <f>'Data Tables (M)'!J62</f>
        <v>1.7656216083002101</v>
      </c>
      <c r="K11" s="14">
        <f>'Data Tables (M)'!K62</f>
        <v>1.708588742574805</v>
      </c>
      <c r="L11" s="14">
        <f>'Data Tables (M)'!L62</f>
        <v>1.6026612960250199</v>
      </c>
      <c r="M11" s="14">
        <f>'Data Tables (M)'!M62</f>
        <v>1.5486624973588401</v>
      </c>
      <c r="N11" s="14">
        <f>'Data Tables (M)'!N62</f>
        <v>1.5876728368877679</v>
      </c>
      <c r="O11" s="14">
        <f>'Data Tables (M)'!O62</f>
        <v>1.671920858808706</v>
      </c>
      <c r="P11" s="14">
        <f>'Data Tables (M)'!P62</f>
        <v>1.736321222684156</v>
      </c>
      <c r="Q11" s="14">
        <f>'Data Tables (M)'!Q62</f>
        <v>1.7560464341296269</v>
      </c>
      <c r="R11" s="14">
        <f>'Data Tables (M)'!R62</f>
        <v>1.7265692525403959</v>
      </c>
      <c r="S11" s="14">
        <f>'Data Tables (M)'!S62</f>
        <v>1.640643484937627</v>
      </c>
      <c r="T11" s="14">
        <f>'Data Tables (M)'!T62</f>
        <v>1.4813918283046921</v>
      </c>
      <c r="U11" s="14">
        <f>'Data Tables (M)'!U62</f>
        <v>1.435319655484514</v>
      </c>
      <c r="V11" s="14">
        <f>'Data Tables (M)'!V62</f>
        <v>1.4283304641080921</v>
      </c>
      <c r="W11" s="14">
        <f>'Data Tables (M)'!W62</f>
        <v>1.4261178891327639</v>
      </c>
      <c r="X11" s="14">
        <f>'Data Tables (M)'!X62</f>
        <v>1.454228875939984</v>
      </c>
      <c r="Y11" s="14">
        <f>'Data Tables (M)'!Y62</f>
        <v>1.5011774333675569</v>
      </c>
      <c r="Z11" s="14">
        <f>'Data Tables (M)'!Z62</f>
        <v>1.4862306010311419</v>
      </c>
      <c r="AA11" s="14">
        <f>'Data Tables (M)'!AA62</f>
        <v>1.4816820981566681</v>
      </c>
      <c r="AB11" s="14">
        <f>'Data Tables (M)'!AB62</f>
        <v>1.495153765504784</v>
      </c>
      <c r="AC11" s="14">
        <f>'Data Tables (M)'!AC62</f>
        <v>1.499158256160708</v>
      </c>
      <c r="AD11" s="14">
        <f>'Data Tables (M)'!AD62</f>
        <v>1.636929077301609</v>
      </c>
      <c r="AE11" s="14">
        <f>'Data Tables (M)'!AE62</f>
        <v>0</v>
      </c>
      <c r="AF11" s="14">
        <f>'Data Tables (M)'!AF62</f>
        <v>1.5101903049258409</v>
      </c>
      <c r="AG11" s="14">
        <f>'Data Tables (M)'!AG62</f>
        <v>1.563684982919975</v>
      </c>
      <c r="AH11" s="14">
        <f>'Data Tables (M)'!AH62</f>
        <v>1.658790969038449</v>
      </c>
      <c r="AI11" s="14">
        <f>'Data Tables (M)'!AI62</f>
        <v>1.6331300709874941</v>
      </c>
      <c r="AJ11" s="14">
        <f>'Data Tables (M)'!AJ62</f>
        <v>1.5946108989518379</v>
      </c>
      <c r="AK11" s="14">
        <f>'Data Tables (M)'!AK62</f>
        <v>1.692888556840948</v>
      </c>
      <c r="AL11" s="14">
        <f>'Data Tables (M)'!AL62</f>
        <v>1.707081027595031</v>
      </c>
      <c r="AM11" s="14">
        <f>'Data Tables (M)'!AM62</f>
        <v>1.741500729119887</v>
      </c>
      <c r="AN11" s="14">
        <f>'Data Tables (M)'!AN62</f>
        <v>1.7928600546420459</v>
      </c>
      <c r="AO11" s="14">
        <f>'Data Tables (M)'!AO62</f>
        <v>1.79362742351167</v>
      </c>
      <c r="AP11" s="14">
        <f>'Data Tables (M)'!AP62</f>
        <v>1.8338606547598879</v>
      </c>
      <c r="AQ11" s="14">
        <f>'Data Tables (M)'!AQ62</f>
        <v>1.7686175758521849</v>
      </c>
      <c r="AR11" s="14">
        <f>'Data Tables (M)'!AR62</f>
        <v>1.8303153117091979</v>
      </c>
      <c r="AS11" s="14">
        <f>'Data Tables (M)'!AS62</f>
        <v>1.8232192457952381</v>
      </c>
      <c r="AT11" s="14">
        <f>'Data Tables (M)'!AT62</f>
        <v>1.6709909300475581</v>
      </c>
      <c r="AU11" s="14">
        <f>'Data Tables (M)'!AU62</f>
        <v>1.7887788147091599</v>
      </c>
      <c r="AV11" s="14">
        <f>'Data Tables (M)'!AV62</f>
        <v>2.0258206473434801</v>
      </c>
      <c r="AW11" s="14">
        <f>'Data Tables (M)'!AW62</f>
        <v>1.802483459972563</v>
      </c>
      <c r="AX11" s="14">
        <f>'Data Tables (M)'!AX62</f>
        <v>0</v>
      </c>
      <c r="AY11" s="14">
        <f>'Data Tables (M)'!AY62</f>
        <v>0</v>
      </c>
      <c r="AZ11" s="14">
        <f>'Data Tables (M)'!AZ62</f>
        <v>0</v>
      </c>
      <c r="BA11" s="14">
        <f>'Data Tables (M)'!BA62</f>
        <v>1.950406876657762</v>
      </c>
      <c r="BB11" s="14">
        <f>'Data Tables (M)'!BB62</f>
        <v>1.898526377356299</v>
      </c>
      <c r="BC11" s="14">
        <f>'Data Tables (M)'!BC62</f>
        <v>1.9781911652535611</v>
      </c>
    </row>
    <row r="12" spans="1:60" x14ac:dyDescent="0.35">
      <c r="A12" s="27" t="s">
        <v>240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</row>
    <row r="13" spans="1:60" x14ac:dyDescent="0.35">
      <c r="A13" s="30" t="s">
        <v>292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</row>
    <row r="14" spans="1:60" x14ac:dyDescent="0.35">
      <c r="A14" s="27" t="s">
        <v>242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</row>
    <row r="15" spans="1:60" x14ac:dyDescent="0.35">
      <c r="A15" s="30" t="s">
        <v>243</v>
      </c>
      <c r="B15" s="12">
        <f t="shared" ref="B15:AD15" si="6">B14+B6</f>
        <v>141.33503899534227</v>
      </c>
      <c r="C15" s="12">
        <f t="shared" si="6"/>
        <v>144.01587973682845</v>
      </c>
      <c r="D15" s="12">
        <f t="shared" si="6"/>
        <v>142.31548847144856</v>
      </c>
      <c r="E15" s="12">
        <f t="shared" si="6"/>
        <v>141.04978617541664</v>
      </c>
      <c r="F15" s="12">
        <f t="shared" si="6"/>
        <v>138.22014620042265</v>
      </c>
      <c r="G15" s="12">
        <f t="shared" si="6"/>
        <v>138.67119400552266</v>
      </c>
      <c r="H15" s="12">
        <f t="shared" si="6"/>
        <v>138.66766732455352</v>
      </c>
      <c r="I15" s="12">
        <f t="shared" si="6"/>
        <v>138.45469423233993</v>
      </c>
      <c r="J15" s="12">
        <f t="shared" si="6"/>
        <v>140.21220983207908</v>
      </c>
      <c r="K15" s="12">
        <f t="shared" si="6"/>
        <v>141.896888904403</v>
      </c>
      <c r="L15" s="12">
        <f t="shared" si="6"/>
        <v>143.47868802480309</v>
      </c>
      <c r="M15" s="12">
        <f t="shared" si="6"/>
        <v>143.5102433372692</v>
      </c>
      <c r="N15" s="12">
        <f t="shared" si="6"/>
        <v>142.55124491986462</v>
      </c>
      <c r="O15" s="12">
        <f t="shared" si="6"/>
        <v>140.29240684344805</v>
      </c>
      <c r="P15" s="12">
        <f t="shared" si="6"/>
        <v>138.28240646899826</v>
      </c>
      <c r="Q15" s="12">
        <f t="shared" si="6"/>
        <v>138.25652246427134</v>
      </c>
      <c r="R15" s="12">
        <f t="shared" si="6"/>
        <v>138.0186140707705</v>
      </c>
      <c r="S15" s="12">
        <f t="shared" si="6"/>
        <v>138.34627319106096</v>
      </c>
      <c r="T15" s="12">
        <f t="shared" si="6"/>
        <v>140.88915865409211</v>
      </c>
      <c r="U15" s="12">
        <f t="shared" si="6"/>
        <v>142.27891773082109</v>
      </c>
      <c r="V15" s="12">
        <f t="shared" si="6"/>
        <v>142.3259919629115</v>
      </c>
      <c r="W15" s="12">
        <f t="shared" si="6"/>
        <v>142.08423794894622</v>
      </c>
      <c r="X15" s="12">
        <f t="shared" si="6"/>
        <v>139.79954170982268</v>
      </c>
      <c r="Y15" s="12">
        <f t="shared" si="6"/>
        <v>140.968634019197</v>
      </c>
      <c r="Z15" s="12">
        <f t="shared" si="6"/>
        <v>138.89751082076756</v>
      </c>
      <c r="AA15" s="12">
        <f t="shared" si="6"/>
        <v>139.02733916227601</v>
      </c>
      <c r="AB15" s="12">
        <f t="shared" si="6"/>
        <v>137.75721543937843</v>
      </c>
      <c r="AC15" s="12">
        <f t="shared" si="6"/>
        <v>137.33847030888606</v>
      </c>
      <c r="AD15" s="12">
        <f t="shared" si="6"/>
        <v>134.43677022901119</v>
      </c>
      <c r="AE15" s="12" t="s">
        <v>288</v>
      </c>
      <c r="AF15" s="12">
        <f t="shared" ref="AF15:AY15" si="7">AF14+AF6</f>
        <v>138.12724774770049</v>
      </c>
      <c r="AG15" s="12">
        <f t="shared" si="7"/>
        <v>138.04029725358473</v>
      </c>
      <c r="AH15" s="12">
        <f t="shared" si="7"/>
        <v>136.0111154868315</v>
      </c>
      <c r="AI15" s="12">
        <f t="shared" si="7"/>
        <v>137.12240857370568</v>
      </c>
      <c r="AJ15" s="12">
        <f t="shared" si="7"/>
        <v>138.04591661047004</v>
      </c>
      <c r="AK15" s="12">
        <f t="shared" si="7"/>
        <v>137.36841509342048</v>
      </c>
      <c r="AL15" s="12">
        <f t="shared" si="7"/>
        <v>136.51856968579293</v>
      </c>
      <c r="AM15" s="12">
        <f t="shared" si="7"/>
        <v>137.75943742285176</v>
      </c>
      <c r="AN15" s="12">
        <f t="shared" si="7"/>
        <v>138.1604703818542</v>
      </c>
      <c r="AO15" s="12">
        <f t="shared" si="7"/>
        <v>139.15021427414911</v>
      </c>
      <c r="AP15" s="12">
        <f t="shared" si="7"/>
        <v>140.04226941215006</v>
      </c>
      <c r="AQ15" s="12">
        <f t="shared" si="7"/>
        <v>140.32828992486913</v>
      </c>
      <c r="AR15" s="12">
        <f t="shared" si="7"/>
        <v>139.37114893728759</v>
      </c>
      <c r="AS15" s="12">
        <f t="shared" si="7"/>
        <v>140.04798607329073</v>
      </c>
      <c r="AT15" s="12">
        <f t="shared" si="7"/>
        <v>142.60822899043822</v>
      </c>
      <c r="AU15" s="12">
        <f t="shared" si="7"/>
        <v>141.09797415113485</v>
      </c>
      <c r="AV15" s="12">
        <f t="shared" si="7"/>
        <v>137.91806389768874</v>
      </c>
      <c r="AW15" s="12">
        <f t="shared" si="7"/>
        <v>140.56790022238442</v>
      </c>
      <c r="AX15" s="12" t="e">
        <f t="shared" si="7"/>
        <v>#DIV/0!</v>
      </c>
      <c r="AY15" s="12" t="e">
        <f t="shared" si="7"/>
        <v>#DIV/0!</v>
      </c>
      <c r="AZ15" s="12" t="s">
        <v>288</v>
      </c>
      <c r="BA15" s="12">
        <f>BA14+BA6</f>
        <v>140.38158520456108</v>
      </c>
      <c r="BB15" s="12">
        <f>BB14+BB6</f>
        <v>140.14647437543536</v>
      </c>
      <c r="BC15" s="12">
        <f>BC14+BC6</f>
        <v>137.53298489485891</v>
      </c>
    </row>
    <row r="16" spans="1:60" x14ac:dyDescent="0.35">
      <c r="A16" s="27" t="s">
        <v>293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</row>
    <row r="17" spans="1:55" x14ac:dyDescent="0.35">
      <c r="A17" s="34" t="s">
        <v>245</v>
      </c>
      <c r="B17" s="20">
        <f t="shared" ref="B17:AD17" si="8">B16-($BC$15-B15)*0.65%</f>
        <v>2.4713351653141844E-2</v>
      </c>
      <c r="C17" s="20">
        <f t="shared" si="8"/>
        <v>4.2138816472802008E-2</v>
      </c>
      <c r="D17" s="20">
        <f t="shared" si="8"/>
        <v>3.108627324783271E-2</v>
      </c>
      <c r="E17" s="20">
        <f t="shared" si="8"/>
        <v>2.285920832362524E-2</v>
      </c>
      <c r="F17" s="20">
        <f t="shared" si="8"/>
        <v>4.466548486164271E-3</v>
      </c>
      <c r="G17" s="20">
        <f t="shared" si="8"/>
        <v>7.3983592193143871E-3</v>
      </c>
      <c r="H17" s="20">
        <f t="shared" si="8"/>
        <v>7.3754357930149441E-3</v>
      </c>
      <c r="I17" s="20">
        <f t="shared" si="8"/>
        <v>5.991110693626624E-3</v>
      </c>
      <c r="J17" s="20">
        <f t="shared" si="8"/>
        <v>1.7414962091931104E-2</v>
      </c>
      <c r="K17" s="20">
        <f t="shared" si="8"/>
        <v>2.8365376062036561E-2</v>
      </c>
      <c r="L17" s="20">
        <f t="shared" si="8"/>
        <v>3.8647070344637158E-2</v>
      </c>
      <c r="M17" s="20">
        <f t="shared" si="8"/>
        <v>3.885217987566688E-2</v>
      </c>
      <c r="N17" s="20">
        <f t="shared" si="8"/>
        <v>3.2618690162537066E-2</v>
      </c>
      <c r="O17" s="20">
        <f t="shared" si="8"/>
        <v>1.7936242665829383E-2</v>
      </c>
      <c r="P17" s="20">
        <f t="shared" si="8"/>
        <v>4.8712402319057591E-3</v>
      </c>
      <c r="Q17" s="20">
        <f t="shared" si="8"/>
        <v>4.7029942011807867E-3</v>
      </c>
      <c r="R17" s="20">
        <f t="shared" si="8"/>
        <v>3.1565896434252922E-3</v>
      </c>
      <c r="S17" s="20">
        <f t="shared" si="8"/>
        <v>5.2863739253132995E-3</v>
      </c>
      <c r="T17" s="20">
        <f t="shared" si="8"/>
        <v>2.1815129435015807E-2</v>
      </c>
      <c r="U17" s="20">
        <f t="shared" si="8"/>
        <v>3.0848563433754167E-2</v>
      </c>
      <c r="V17" s="20">
        <f t="shared" si="8"/>
        <v>3.1154545942341828E-2</v>
      </c>
      <c r="W17" s="20">
        <f t="shared" si="8"/>
        <v>2.9583144851567527E-2</v>
      </c>
      <c r="X17" s="20">
        <f t="shared" si="8"/>
        <v>1.4732619297264465E-2</v>
      </c>
      <c r="Y17" s="20">
        <f t="shared" si="8"/>
        <v>2.2331719308197551E-2</v>
      </c>
      <c r="Z17" s="20">
        <f t="shared" si="8"/>
        <v>8.869418518406235E-3</v>
      </c>
      <c r="AA17" s="20">
        <f t="shared" si="8"/>
        <v>9.7133027382111138E-3</v>
      </c>
      <c r="AB17" s="20">
        <f t="shared" si="8"/>
        <v>1.4574985393768431E-3</v>
      </c>
      <c r="AC17" s="20">
        <f t="shared" si="8"/>
        <v>-1.2643448088235517E-3</v>
      </c>
      <c r="AD17" s="20">
        <f t="shared" si="8"/>
        <v>-2.0125395328010217E-2</v>
      </c>
      <c r="AE17" s="20" t="s">
        <v>288</v>
      </c>
      <c r="AF17" s="20">
        <f t="shared" ref="AF17:AY17" si="9">AF16-($BC$15-AF15)*0.65%</f>
        <v>3.8627085434702769E-3</v>
      </c>
      <c r="AG17" s="20">
        <f t="shared" si="9"/>
        <v>3.2975303317177808E-3</v>
      </c>
      <c r="AH17" s="20">
        <f t="shared" si="9"/>
        <v>-9.8921511521781868E-3</v>
      </c>
      <c r="AI17" s="20">
        <f t="shared" si="9"/>
        <v>-2.6687460874959897E-3</v>
      </c>
      <c r="AJ17" s="20">
        <f t="shared" si="9"/>
        <v>3.3340561514723535E-3</v>
      </c>
      <c r="AK17" s="20">
        <f t="shared" si="9"/>
        <v>-1.0697037093498098E-3</v>
      </c>
      <c r="AL17" s="20">
        <f t="shared" si="9"/>
        <v>-6.5936988589289178E-3</v>
      </c>
      <c r="AM17" s="20">
        <f t="shared" si="9"/>
        <v>1.4719414319535106E-3</v>
      </c>
      <c r="AN17" s="20">
        <f t="shared" si="9"/>
        <v>4.0786556654693416E-3</v>
      </c>
      <c r="AO17" s="20">
        <f t="shared" si="9"/>
        <v>1.0511990965386261E-2</v>
      </c>
      <c r="AP17" s="20">
        <f t="shared" si="9"/>
        <v>1.6310349362392472E-2</v>
      </c>
      <c r="AQ17" s="20">
        <f t="shared" si="9"/>
        <v>1.816948269506638E-2</v>
      </c>
      <c r="AR17" s="20">
        <f t="shared" si="9"/>
        <v>1.1948066275786375E-2</v>
      </c>
      <c r="AS17" s="20">
        <f t="shared" si="9"/>
        <v>1.6347507659806811E-2</v>
      </c>
      <c r="AT17" s="20">
        <f t="shared" si="9"/>
        <v>3.2989086621265505E-2</v>
      </c>
      <c r="AU17" s="20">
        <f t="shared" si="9"/>
        <v>2.3172430165793588E-2</v>
      </c>
      <c r="AV17" s="20">
        <f t="shared" si="9"/>
        <v>2.5030135183938713E-3</v>
      </c>
      <c r="AW17" s="20">
        <f t="shared" si="9"/>
        <v>1.9726949628915819E-2</v>
      </c>
      <c r="AX17" s="20" t="e">
        <f t="shared" si="9"/>
        <v>#DIV/0!</v>
      </c>
      <c r="AY17" s="20" t="e">
        <f t="shared" si="9"/>
        <v>#DIV/0!</v>
      </c>
      <c r="AZ17" s="20" t="s">
        <v>288</v>
      </c>
      <c r="BA17" s="20">
        <f>BA16-($BC$15-BA15)*0.65%</f>
        <v>1.8515902013064064E-2</v>
      </c>
      <c r="BB17" s="20">
        <f>BB16-($BC$15-BB15)*0.65%</f>
        <v>1.6987681623746909E-2</v>
      </c>
      <c r="BC17" s="70"/>
    </row>
    <row r="18" spans="1:55" x14ac:dyDescent="0.35">
      <c r="D18" t="s">
        <v>294</v>
      </c>
    </row>
    <row r="20" spans="1:55" x14ac:dyDescent="0.35">
      <c r="A20" s="49" t="s">
        <v>246</v>
      </c>
      <c r="B20" s="48" t="s">
        <v>283</v>
      </c>
    </row>
    <row r="21" spans="1:55" x14ac:dyDescent="0.35">
      <c r="A21" s="49" t="s">
        <v>248</v>
      </c>
      <c r="B21" s="48" t="s">
        <v>247</v>
      </c>
    </row>
    <row r="22" spans="1:55" x14ac:dyDescent="0.35">
      <c r="A22" s="49" t="s">
        <v>250</v>
      </c>
      <c r="B22" s="48" t="s">
        <v>284</v>
      </c>
    </row>
    <row r="23" spans="1:55" x14ac:dyDescent="0.35">
      <c r="A23" s="49" t="s">
        <v>253</v>
      </c>
      <c r="B23" s="48" t="s">
        <v>251</v>
      </c>
    </row>
    <row r="24" spans="1:55" x14ac:dyDescent="0.35">
      <c r="A24" s="41"/>
      <c r="B24" s="48" t="s">
        <v>252</v>
      </c>
    </row>
    <row r="25" spans="1:55" x14ac:dyDescent="0.35">
      <c r="A25" s="49" t="s">
        <v>255</v>
      </c>
      <c r="B25" s="48" t="s">
        <v>256</v>
      </c>
    </row>
    <row r="26" spans="1:55" x14ac:dyDescent="0.35">
      <c r="A26" s="41"/>
      <c r="B26" s="48" t="s">
        <v>285</v>
      </c>
    </row>
    <row r="27" spans="1:55" x14ac:dyDescent="0.35">
      <c r="A27" s="49" t="s">
        <v>257</v>
      </c>
      <c r="B27" s="48" t="s">
        <v>286</v>
      </c>
    </row>
    <row r="28" spans="1:55" x14ac:dyDescent="0.35">
      <c r="A28" s="49" t="s">
        <v>260</v>
      </c>
      <c r="B28" s="48" t="s">
        <v>258</v>
      </c>
    </row>
    <row r="29" spans="1:55" x14ac:dyDescent="0.35">
      <c r="A29" s="41"/>
      <c r="B29" s="48" t="s">
        <v>259</v>
      </c>
    </row>
    <row r="30" spans="1:55" x14ac:dyDescent="0.35">
      <c r="A30" s="49" t="s">
        <v>287</v>
      </c>
      <c r="B30" s="48" t="s">
        <v>261</v>
      </c>
    </row>
  </sheetData>
  <mergeCells count="2">
    <mergeCell ref="BG1:BH1"/>
    <mergeCell ref="BG2:BH2"/>
  </mergeCells>
  <pageMargins left="0.7" right="0.7" top="0.75" bottom="0.75" header="0.3" footer="0.3"/>
  <pageSetup orientation="portrait" horizontalDpi="204" verticalDpi="1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27"/>
  <sheetViews>
    <sheetView zoomScale="160" zoomScaleNormal="160" workbookViewId="0">
      <selection activeCell="V16" sqref="V16"/>
    </sheetView>
  </sheetViews>
  <sheetFormatPr defaultRowHeight="14.5" x14ac:dyDescent="0.35"/>
  <cols>
    <col min="1" max="1" width="34.26953125" style="115" customWidth="1"/>
    <col min="2" max="22" width="5.26953125" style="115" customWidth="1"/>
  </cols>
  <sheetData>
    <row r="1" spans="1:27" ht="24" customHeight="1" x14ac:dyDescent="0.35">
      <c r="A1" s="35" t="s">
        <v>295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56" t="s">
        <v>229</v>
      </c>
      <c r="X1" s="28" t="s">
        <v>230</v>
      </c>
      <c r="Y1" s="79" t="s">
        <v>231</v>
      </c>
      <c r="Z1" s="132" t="s">
        <v>232</v>
      </c>
      <c r="AA1" s="133"/>
    </row>
    <row r="2" spans="1:27" ht="15" customHeight="1" thickBot="1" x14ac:dyDescent="0.4">
      <c r="A2" s="38" t="s">
        <v>233</v>
      </c>
      <c r="B2" s="12">
        <f>'Data Tables (Q)'!B47</f>
        <v>130.1100843291934</v>
      </c>
      <c r="C2" s="12">
        <f>'Data Tables (Q)'!C47</f>
        <v>132.58761918159141</v>
      </c>
      <c r="D2" s="12">
        <f>'Data Tables (Q)'!D47</f>
        <v>132.51896502795671</v>
      </c>
      <c r="E2" s="12">
        <f>'Data Tables (Q)'!E47</f>
        <v>130.52532661838441</v>
      </c>
      <c r="F2" s="12">
        <f>'Data Tables (Q)'!F47</f>
        <v>130.91150494744431</v>
      </c>
      <c r="G2" s="12">
        <f>'Data Tables (Q)'!G47</f>
        <v>133.5681795151722</v>
      </c>
      <c r="H2" s="12">
        <f>'Data Tables (Q)'!H47</f>
        <v>135.3287156077005</v>
      </c>
      <c r="I2" s="12">
        <f>'Data Tables (Q)'!I47</f>
        <v>135.00451746431631</v>
      </c>
      <c r="J2" s="12">
        <f>'Data Tables (Q)'!J47</f>
        <v>135.3346609884608</v>
      </c>
      <c r="K2" s="12">
        <f>'Data Tables (Q)'!K47</f>
        <v>135.42705044425381</v>
      </c>
      <c r="L2" s="12">
        <f>'Data Tables (Q)'!L47</f>
        <v>135.14249202236499</v>
      </c>
      <c r="M2" s="12">
        <f>'Data Tables (Q)'!M47</f>
        <v>133.5823735198444</v>
      </c>
      <c r="N2" s="12">
        <f>'Data Tables (Q)'!N47</f>
        <v>134.24542394347671</v>
      </c>
      <c r="O2" s="12">
        <f>'Data Tables (Q)'!O47</f>
        <v>136.54105153034561</v>
      </c>
      <c r="P2" s="12">
        <f>'Data Tables (Q)'!P47</f>
        <v>137.3492500651486</v>
      </c>
      <c r="Q2" s="12">
        <f>'Data Tables (Q)'!Q47</f>
        <v>138.63773781249429</v>
      </c>
      <c r="R2" s="12">
        <f>'Data Tables (Q)'!R47</f>
        <v>139.45712911470301</v>
      </c>
      <c r="S2" s="12">
        <f>'Data Tables (Q)'!S47</f>
        <v>138.75195256416711</v>
      </c>
      <c r="T2" s="12">
        <f>'Data Tables (Q)'!T47</f>
        <v>138.87581195365931</v>
      </c>
      <c r="U2" s="12">
        <f>'Data Tables (Q)'!U47</f>
        <v>138.31101426344071</v>
      </c>
      <c r="V2" s="12">
        <f>'Data Tables (M)'!BC47*$Z$4+X2*(1-$Z$4)</f>
        <v>137.7913180539735</v>
      </c>
      <c r="X2" s="61">
        <f>'t-1 Data Table'!N8</f>
        <v>140.16694814647693</v>
      </c>
      <c r="Y2" s="75">
        <v>0</v>
      </c>
      <c r="Z2" s="136">
        <v>0</v>
      </c>
      <c r="AA2" s="137"/>
    </row>
    <row r="3" spans="1:27" ht="15" customHeight="1" x14ac:dyDescent="0.35">
      <c r="A3" s="43" t="s">
        <v>234</v>
      </c>
      <c r="B3" s="13">
        <f>'Data Tables (Q)'!B48*$Z$2</f>
        <v>0</v>
      </c>
      <c r="C3" s="13">
        <f>'Data Tables (Q)'!C48*$Z$2</f>
        <v>0</v>
      </c>
      <c r="D3" s="13">
        <f>'Data Tables (Q)'!D48*$Z$2</f>
        <v>0</v>
      </c>
      <c r="E3" s="13">
        <f>'Data Tables (Q)'!E48*$Z$2</f>
        <v>0</v>
      </c>
      <c r="F3" s="13">
        <f>'Data Tables (Q)'!F48*$Z$2</f>
        <v>0</v>
      </c>
      <c r="G3" s="13">
        <f>'Data Tables (Q)'!G48*$Z$2</f>
        <v>0</v>
      </c>
      <c r="H3" s="13">
        <f>'Data Tables (Q)'!H48*$Z$2</f>
        <v>0</v>
      </c>
      <c r="I3" s="13">
        <f>'Data Tables (Q)'!I48*$Z$2</f>
        <v>0</v>
      </c>
      <c r="J3" s="13">
        <f>'Data Tables (Q)'!J48*$Z$2</f>
        <v>0</v>
      </c>
      <c r="K3" s="13">
        <f>'Data Tables (Q)'!K48*$Z$2</f>
        <v>0</v>
      </c>
      <c r="L3" s="13">
        <f>'Data Tables (Q)'!L48*$Z$2</f>
        <v>0</v>
      </c>
      <c r="M3" s="13">
        <f>'Data Tables (Q)'!M48*$Z$2</f>
        <v>0</v>
      </c>
      <c r="N3" s="13">
        <f>'Data Tables (Q)'!N48*$Z$2</f>
        <v>0</v>
      </c>
      <c r="O3" s="13">
        <f>'Data Tables (Q)'!O48*$Z$2</f>
        <v>0</v>
      </c>
      <c r="P3" s="13">
        <f>'Data Tables (Q)'!P48*$Z$2</f>
        <v>0</v>
      </c>
      <c r="Q3" s="13">
        <f>'Data Tables (Q)'!Q48*$Z$2</f>
        <v>0</v>
      </c>
      <c r="R3" s="13">
        <f>'Data Tables (Q)'!R48*$Z$2</f>
        <v>0</v>
      </c>
      <c r="S3" s="13">
        <f>'Data Tables (Q)'!S48*$Z$2</f>
        <v>0</v>
      </c>
      <c r="T3" s="13">
        <f>'Data Tables (Q)'!T48*$Z$2</f>
        <v>0</v>
      </c>
      <c r="U3" s="13">
        <f>'Data Tables (Q)'!U48*$Z$2</f>
        <v>0</v>
      </c>
      <c r="V3" s="13">
        <f>('Data Tables (M)'!BC48*$Z$4+X3*(1-$Z$4))*$Z$2</f>
        <v>0</v>
      </c>
      <c r="X3" s="44">
        <v>0</v>
      </c>
      <c r="Y3" s="17">
        <v>1</v>
      </c>
      <c r="Z3" s="140" t="s">
        <v>296</v>
      </c>
      <c r="AA3" s="141"/>
    </row>
    <row r="4" spans="1:27" ht="15" customHeight="1" thickBot="1" x14ac:dyDescent="0.4">
      <c r="A4" s="38" t="s">
        <v>297</v>
      </c>
      <c r="B4" s="12">
        <f>'Data Tables (Q)'!B49</f>
        <v>0.2588813202717688</v>
      </c>
      <c r="C4" s="12">
        <f>'Data Tables (Q)'!C49</f>
        <v>0.55879279380317826</v>
      </c>
      <c r="D4" s="12">
        <f>'Data Tables (Q)'!D49</f>
        <v>0.56380278555369046</v>
      </c>
      <c r="E4" s="12">
        <f>'Data Tables (Q)'!E49</f>
        <v>0.29260345659366749</v>
      </c>
      <c r="F4" s="12">
        <f>'Data Tables (Q)'!F49</f>
        <v>-0.34536812640683928</v>
      </c>
      <c r="G4" s="12">
        <f>'Data Tables (Q)'!G49</f>
        <v>-0.1691914422711136</v>
      </c>
      <c r="H4" s="12">
        <f>'Data Tables (Q)'!H49</f>
        <v>-0.27250733978576142</v>
      </c>
      <c r="I4" s="12">
        <f>'Data Tables (Q)'!I49</f>
        <v>-0.2097614047833645</v>
      </c>
      <c r="J4" s="12">
        <f>'Data Tables (Q)'!J49</f>
        <v>0.48268769594773181</v>
      </c>
      <c r="K4" s="12">
        <f>'Data Tables (Q)'!K49</f>
        <v>0.3673913307956127</v>
      </c>
      <c r="L4" s="12">
        <f>'Data Tables (Q)'!L49</f>
        <v>0.15946083494364419</v>
      </c>
      <c r="M4" s="12">
        <f>'Data Tables (Q)'!M49</f>
        <v>-0.21753361426769399</v>
      </c>
      <c r="N4" s="12">
        <f>'Data Tables (Q)'!N49</f>
        <v>-0.37477073020031071</v>
      </c>
      <c r="O4" s="12">
        <f>'Data Tables (Q)'!O49</f>
        <v>0.14896657586302811</v>
      </c>
      <c r="P4" s="12">
        <f>'Data Tables (Q)'!P49</f>
        <v>0.14075601246690889</v>
      </c>
      <c r="Q4" s="12">
        <f>'Data Tables (Q)'!Q49</f>
        <v>0.25217994950909878</v>
      </c>
      <c r="R4" s="12">
        <f>'Data Tables (Q)'!R49</f>
        <v>0.50637844711161506</v>
      </c>
      <c r="S4" s="12">
        <f>'Data Tables (Q)'!S49</f>
        <v>0.33808643024548252</v>
      </c>
      <c r="T4" s="12">
        <f>'Data Tables (Q)'!T49</f>
        <v>0.51008801014936012</v>
      </c>
      <c r="U4" s="12">
        <f>'Data Tables (Q)'!U49</f>
        <v>0.32674642379524238</v>
      </c>
      <c r="V4" s="12">
        <f>'Data Tables (M)'!BC49*$Z$4+X4*(1-$Z$4)</f>
        <v>0.2083661173820133</v>
      </c>
      <c r="X4" s="9"/>
      <c r="Y4" s="17">
        <v>1</v>
      </c>
      <c r="Z4" s="138">
        <v>1</v>
      </c>
      <c r="AA4" s="139"/>
    </row>
    <row r="5" spans="1:27" ht="30" customHeight="1" x14ac:dyDescent="0.35">
      <c r="A5" s="36" t="s">
        <v>298</v>
      </c>
      <c r="B5" s="13">
        <f>'Data Tables (Q)'!B50</f>
        <v>-0.46216338654622291</v>
      </c>
      <c r="C5" s="13">
        <f>'Data Tables (Q)'!C50</f>
        <v>0.29559716686094362</v>
      </c>
      <c r="D5" s="13">
        <f>'Data Tables (Q)'!D50</f>
        <v>0.26067919914376603</v>
      </c>
      <c r="E5" s="13">
        <f>'Data Tables (Q)'!E50</f>
        <v>6.028722399011599E-2</v>
      </c>
      <c r="F5" s="13">
        <f>'Data Tables (Q)'!F50</f>
        <v>-0.12551234151433729</v>
      </c>
      <c r="G5" s="13">
        <f>'Data Tables (Q)'!G50</f>
        <v>-0.33467936936366982</v>
      </c>
      <c r="H5" s="13">
        <f>'Data Tables (Q)'!H50</f>
        <v>-0.10792926065431629</v>
      </c>
      <c r="I5" s="13">
        <f>'Data Tables (Q)'!I50</f>
        <v>0.39946824191588348</v>
      </c>
      <c r="J5" s="13">
        <f>'Data Tables (Q)'!J50</f>
        <v>0.15508865334410871</v>
      </c>
      <c r="K5" s="13">
        <f>'Data Tables (Q)'!K50</f>
        <v>0.1002152447038895</v>
      </c>
      <c r="L5" s="13">
        <f>'Data Tables (Q)'!L50</f>
        <v>-0.15396595823705181</v>
      </c>
      <c r="M5" s="13">
        <f>'Data Tables (Q)'!M50</f>
        <v>-0.63306938437406757</v>
      </c>
      <c r="N5" s="13">
        <f>'Data Tables (Q)'!N50</f>
        <v>-1.2209972852692199</v>
      </c>
      <c r="O5" s="13">
        <f>'Data Tables (Q)'!O50</f>
        <v>-1.37552388490866</v>
      </c>
      <c r="P5" s="13">
        <f>'Data Tables (Q)'!P50</f>
        <v>-1.4529713507789099</v>
      </c>
      <c r="Q5" s="13">
        <f>'Data Tables (Q)'!Q50</f>
        <v>-1.2058994851086879</v>
      </c>
      <c r="R5" s="13">
        <f>'Data Tables (Q)'!R50</f>
        <v>-1.221523082835489</v>
      </c>
      <c r="S5" s="13">
        <f>'Data Tables (Q)'!S50</f>
        <v>-1.3254936733602281</v>
      </c>
      <c r="T5" s="13">
        <f>'Data Tables (Q)'!T50</f>
        <v>-1.394489774796654</v>
      </c>
      <c r="U5" s="13">
        <f>'Data Tables (Q)'!U50</f>
        <v>-1.3482772918193291</v>
      </c>
      <c r="V5" s="13">
        <f>'Data Tables (M)'!BC50*$Z$4+X5*(1-$Z$4)</f>
        <v>-0.90263636423017601</v>
      </c>
      <c r="X5" s="9"/>
      <c r="Y5" s="17">
        <v>1</v>
      </c>
    </row>
    <row r="6" spans="1:27" ht="15" customHeight="1" x14ac:dyDescent="0.35">
      <c r="A6" s="38" t="s">
        <v>299</v>
      </c>
      <c r="B6" s="12">
        <f t="shared" ref="B6:V6" si="0">(194%/B10-1)/10%*1.7</f>
        <v>-0.40236642058723782</v>
      </c>
      <c r="C6" s="12">
        <f t="shared" si="0"/>
        <v>4.7114099243311447E-2</v>
      </c>
      <c r="D6" s="12">
        <f t="shared" si="0"/>
        <v>-0.10298532104236791</v>
      </c>
      <c r="E6" s="12">
        <f t="shared" si="0"/>
        <v>-6.431633016139704E-2</v>
      </c>
      <c r="F6" s="12">
        <f t="shared" si="0"/>
        <v>0.34611092859727988</v>
      </c>
      <c r="G6" s="12">
        <f t="shared" si="0"/>
        <v>0.10119392572183683</v>
      </c>
      <c r="H6" s="12">
        <f t="shared" si="0"/>
        <v>1.9762034352053863</v>
      </c>
      <c r="I6" s="12">
        <f t="shared" si="0"/>
        <v>1.2882705102777301</v>
      </c>
      <c r="J6" s="12">
        <f t="shared" si="0"/>
        <v>2.7153614629692471</v>
      </c>
      <c r="K6" s="12">
        <f t="shared" si="0"/>
        <v>5.0436244709241569</v>
      </c>
      <c r="L6" s="12">
        <f t="shared" si="0"/>
        <v>4.2167799844457017</v>
      </c>
      <c r="M6" s="12">
        <f t="shared" si="0"/>
        <v>3.559887443404341</v>
      </c>
      <c r="N6" s="12">
        <f t="shared" si="0"/>
        <v>3.8546137415135631</v>
      </c>
      <c r="O6" s="12">
        <f t="shared" si="0"/>
        <v>3.7937075652654397</v>
      </c>
      <c r="P6" s="12">
        <f t="shared" si="0"/>
        <v>3.4434392285908708</v>
      </c>
      <c r="Q6" s="12">
        <f t="shared" si="0"/>
        <v>3.4532287610206249</v>
      </c>
      <c r="R6" s="12">
        <f t="shared" si="0"/>
        <v>3.0379485129266448</v>
      </c>
      <c r="S6" s="12">
        <f t="shared" si="0"/>
        <v>4.3664857968710313</v>
      </c>
      <c r="T6" s="12">
        <f t="shared" si="0"/>
        <v>5.2333150894922094</v>
      </c>
      <c r="U6" s="12">
        <f t="shared" si="0"/>
        <v>5.3147630723637374</v>
      </c>
      <c r="V6" s="12">
        <f t="shared" si="0"/>
        <v>4.7439175683297803</v>
      </c>
      <c r="Y6" s="16"/>
    </row>
    <row r="7" spans="1:27" ht="15" customHeight="1" x14ac:dyDescent="0.35">
      <c r="A7" s="36" t="s">
        <v>30</v>
      </c>
      <c r="B7" s="13">
        <f t="shared" ref="B7:V7" si="1">SUM(B2:B6)</f>
        <v>129.5044358423317</v>
      </c>
      <c r="C7" s="13">
        <f t="shared" si="1"/>
        <v>133.48912324149885</v>
      </c>
      <c r="D7" s="13">
        <f t="shared" si="1"/>
        <v>133.24046169161181</v>
      </c>
      <c r="E7" s="13">
        <f t="shared" si="1"/>
        <v>130.81390096880679</v>
      </c>
      <c r="F7" s="13">
        <f t="shared" si="1"/>
        <v>130.78673540812042</v>
      </c>
      <c r="G7" s="13">
        <f t="shared" si="1"/>
        <v>133.16550262925927</v>
      </c>
      <c r="H7" s="13">
        <f t="shared" si="1"/>
        <v>136.9244824424658</v>
      </c>
      <c r="I7" s="13">
        <f t="shared" si="1"/>
        <v>136.48249481172655</v>
      </c>
      <c r="J7" s="13">
        <f t="shared" si="1"/>
        <v>138.68779880072188</v>
      </c>
      <c r="K7" s="13">
        <f t="shared" si="1"/>
        <v>140.93828149067747</v>
      </c>
      <c r="L7" s="13">
        <f t="shared" si="1"/>
        <v>139.36476688351729</v>
      </c>
      <c r="M7" s="13">
        <f t="shared" si="1"/>
        <v>136.29165796460697</v>
      </c>
      <c r="N7" s="13">
        <f t="shared" si="1"/>
        <v>136.50426966952074</v>
      </c>
      <c r="O7" s="13">
        <f t="shared" si="1"/>
        <v>139.10820178656542</v>
      </c>
      <c r="P7" s="13">
        <f t="shared" si="1"/>
        <v>139.48047395542747</v>
      </c>
      <c r="Q7" s="13">
        <f t="shared" si="1"/>
        <v>141.13724703791533</v>
      </c>
      <c r="R7" s="13">
        <f t="shared" si="1"/>
        <v>141.77993299190578</v>
      </c>
      <c r="S7" s="13">
        <f t="shared" si="1"/>
        <v>142.13103111792338</v>
      </c>
      <c r="T7" s="13">
        <f t="shared" si="1"/>
        <v>143.22472527850422</v>
      </c>
      <c r="U7" s="13">
        <f t="shared" si="1"/>
        <v>142.60424646778037</v>
      </c>
      <c r="V7" s="13">
        <f t="shared" si="1"/>
        <v>141.84096537545511</v>
      </c>
      <c r="Y7" s="16"/>
    </row>
    <row r="8" spans="1:27" ht="15" customHeight="1" x14ac:dyDescent="0.3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Y8" s="16"/>
    </row>
    <row r="9" spans="1:27" ht="15" customHeight="1" x14ac:dyDescent="0.35">
      <c r="A9" s="42" t="s">
        <v>238</v>
      </c>
      <c r="B9" s="47" t="s">
        <v>300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Y9" s="16"/>
    </row>
    <row r="10" spans="1:27" ht="15" customHeight="1" x14ac:dyDescent="0.35">
      <c r="A10" s="39" t="s">
        <v>239</v>
      </c>
      <c r="B10" s="14">
        <f>'Data Tables (Q)'!B53</f>
        <v>1.9870302499572869</v>
      </c>
      <c r="C10" s="14">
        <f>'Data Tables (Q)'!C53</f>
        <v>1.934638309334946</v>
      </c>
      <c r="D10" s="14">
        <f>'Data Tables (Q)'!D53</f>
        <v>1.9518240722765661</v>
      </c>
      <c r="E10" s="14">
        <f>'Data Tables (Q)'!E53</f>
        <v>1.947367501834917</v>
      </c>
      <c r="F10" s="14">
        <f>'Data Tables (Q)'!F53</f>
        <v>1.901290735183081</v>
      </c>
      <c r="G10" s="14">
        <f>'Data Tables (Q)'!G53</f>
        <v>1.928520321051673</v>
      </c>
      <c r="H10" s="14">
        <f>'Data Tables (Q)'!H53</f>
        <v>1.7379661907931609</v>
      </c>
      <c r="I10" s="14">
        <f>'Data Tables (Q)'!I53</f>
        <v>1.803341654502854</v>
      </c>
      <c r="J10" s="14">
        <f>'Data Tables (Q)'!J53</f>
        <v>1.6728072707135151</v>
      </c>
      <c r="K10" s="14">
        <f>'Data Tables (Q)'!K53</f>
        <v>1.496124198790497</v>
      </c>
      <c r="L10" s="14">
        <f>'Data Tables (Q)'!L53</f>
        <v>1.554430032463836</v>
      </c>
      <c r="M10" s="14">
        <f>'Data Tables (Q)'!M53</f>
        <v>1.6040943847958691</v>
      </c>
      <c r="N10" s="14">
        <f>'Data Tables (Q)'!N53</f>
        <v>1.5814246386328139</v>
      </c>
      <c r="O10" s="14">
        <f>'Data Tables (Q)'!O53</f>
        <v>1.586056738389982</v>
      </c>
      <c r="P10" s="14">
        <f>'Data Tables (Q)'!P53</f>
        <v>1.613231493548126</v>
      </c>
      <c r="Q10" s="14">
        <f>'Data Tables (Q)'!Q53</f>
        <v>1.612459352278534</v>
      </c>
      <c r="R10" s="14">
        <f>'Data Tables (Q)'!R53</f>
        <v>1.645877070635466</v>
      </c>
      <c r="S10" s="14">
        <f>'Data Tables (Q)'!S53</f>
        <v>1.543538807155161</v>
      </c>
      <c r="T10" s="14">
        <f>'Data Tables (Q)'!T53</f>
        <v>1.483359538028894</v>
      </c>
      <c r="U10" s="14">
        <f>'Data Tables (Q)'!U53</f>
        <v>1.477945335697733</v>
      </c>
      <c r="V10" s="14">
        <f>'Data Tables (M)'!BC53*$Z$4+X10*(1-$Z$4)</f>
        <v>1.51674600017964</v>
      </c>
      <c r="X10" s="9"/>
      <c r="Y10" s="17">
        <v>1</v>
      </c>
    </row>
    <row r="11" spans="1:27" ht="15" customHeight="1" x14ac:dyDescent="0.35">
      <c r="A11" s="43" t="s">
        <v>240</v>
      </c>
      <c r="B11" s="11">
        <v>136.4</v>
      </c>
      <c r="C11" s="11">
        <v>141.30000000000001</v>
      </c>
      <c r="D11" s="11">
        <v>148</v>
      </c>
      <c r="E11" s="11">
        <v>151.5</v>
      </c>
      <c r="F11" s="11">
        <v>156.6</v>
      </c>
      <c r="G11" s="11">
        <v>149.5</v>
      </c>
      <c r="H11" s="11">
        <v>178.6</v>
      </c>
      <c r="I11" s="11">
        <v>176.8</v>
      </c>
      <c r="J11" s="11">
        <v>184.6</v>
      </c>
      <c r="K11" s="11">
        <v>221.5</v>
      </c>
      <c r="L11" s="11">
        <v>212.1</v>
      </c>
      <c r="M11" s="11">
        <v>253.6</v>
      </c>
      <c r="N11" s="11">
        <v>252.3</v>
      </c>
      <c r="O11" s="11">
        <v>243</v>
      </c>
      <c r="P11" s="11">
        <v>230</v>
      </c>
      <c r="Q11" s="11">
        <v>217.6</v>
      </c>
      <c r="R11" s="11">
        <v>234.5</v>
      </c>
      <c r="S11" s="11">
        <v>224.5</v>
      </c>
      <c r="T11" s="11">
        <v>212.2</v>
      </c>
      <c r="U11" s="11">
        <v>206.4</v>
      </c>
      <c r="V11" s="18">
        <v>201.1</v>
      </c>
    </row>
    <row r="12" spans="1:27" ht="15" customHeight="1" x14ac:dyDescent="0.35">
      <c r="A12" s="37" t="s">
        <v>280</v>
      </c>
      <c r="B12" s="33">
        <v>0.04</v>
      </c>
      <c r="C12" s="33">
        <v>0.11</v>
      </c>
      <c r="D12" s="33">
        <v>0.13</v>
      </c>
      <c r="E12" s="33">
        <v>0.14599999999999999</v>
      </c>
      <c r="F12" s="33">
        <v>0.29699999999999999</v>
      </c>
      <c r="G12" s="33">
        <v>0.30499999999999999</v>
      </c>
      <c r="H12" s="33">
        <v>0.221</v>
      </c>
      <c r="I12" s="33">
        <v>0.217</v>
      </c>
      <c r="J12" s="33">
        <v>0.23400000000000001</v>
      </c>
      <c r="K12" s="33">
        <v>8.6999999999999994E-2</v>
      </c>
      <c r="L12" s="33">
        <v>2.1999999999999999E-2</v>
      </c>
      <c r="M12" s="33">
        <v>-0.112</v>
      </c>
      <c r="N12" s="33">
        <v>-0.15</v>
      </c>
      <c r="O12" s="33">
        <v>-0.186</v>
      </c>
      <c r="P12" s="33">
        <v>-0.17699999999999999</v>
      </c>
      <c r="Q12" s="33">
        <v>-0.155</v>
      </c>
      <c r="R12" s="33">
        <v>-0.17699999999999999</v>
      </c>
      <c r="S12" s="33">
        <v>-0.159</v>
      </c>
      <c r="T12" s="33">
        <v>-0.113</v>
      </c>
      <c r="U12" s="33">
        <v>-8.1000000000000003E-2</v>
      </c>
      <c r="V12" s="33">
        <v>-8.6999999999999994E-2</v>
      </c>
    </row>
    <row r="13" spans="1:27" ht="15" customHeight="1" x14ac:dyDescent="0.35">
      <c r="A13" s="36" t="s">
        <v>242</v>
      </c>
      <c r="B13" s="45">
        <f t="shared" ref="B13:V13" si="2">B12/10%*1.7</f>
        <v>0.67999999999999994</v>
      </c>
      <c r="C13" s="45">
        <f t="shared" si="2"/>
        <v>1.8699999999999997</v>
      </c>
      <c r="D13" s="45">
        <f t="shared" si="2"/>
        <v>2.21</v>
      </c>
      <c r="E13" s="45">
        <f t="shared" si="2"/>
        <v>2.4819999999999993</v>
      </c>
      <c r="F13" s="45">
        <f t="shared" si="2"/>
        <v>5.0489999999999995</v>
      </c>
      <c r="G13" s="45">
        <f t="shared" si="2"/>
        <v>5.1849999999999996</v>
      </c>
      <c r="H13" s="45">
        <f t="shared" si="2"/>
        <v>3.7569999999999997</v>
      </c>
      <c r="I13" s="45">
        <f t="shared" si="2"/>
        <v>3.6889999999999996</v>
      </c>
      <c r="J13" s="45">
        <f t="shared" si="2"/>
        <v>3.9779999999999998</v>
      </c>
      <c r="K13" s="45">
        <f t="shared" si="2"/>
        <v>1.4789999999999999</v>
      </c>
      <c r="L13" s="45">
        <f t="shared" si="2"/>
        <v>0.37399999999999994</v>
      </c>
      <c r="M13" s="45">
        <f t="shared" si="2"/>
        <v>-1.9039999999999997</v>
      </c>
      <c r="N13" s="45">
        <f t="shared" si="2"/>
        <v>-2.5499999999999994</v>
      </c>
      <c r="O13" s="45">
        <f t="shared" si="2"/>
        <v>-3.1619999999999999</v>
      </c>
      <c r="P13" s="45">
        <f t="shared" si="2"/>
        <v>-3.0089999999999995</v>
      </c>
      <c r="Q13" s="45">
        <f t="shared" si="2"/>
        <v>-2.6349999999999998</v>
      </c>
      <c r="R13" s="45">
        <f t="shared" si="2"/>
        <v>-3.0089999999999995</v>
      </c>
      <c r="S13" s="45">
        <f t="shared" si="2"/>
        <v>-2.7029999999999998</v>
      </c>
      <c r="T13" s="45">
        <f t="shared" si="2"/>
        <v>-1.9209999999999998</v>
      </c>
      <c r="U13" s="45">
        <f t="shared" si="2"/>
        <v>-1.3769999999999998</v>
      </c>
      <c r="V13" s="45">
        <f t="shared" si="2"/>
        <v>-1.4789999999999999</v>
      </c>
    </row>
    <row r="14" spans="1:27" ht="15" customHeight="1" x14ac:dyDescent="0.35">
      <c r="A14" s="38" t="s">
        <v>243</v>
      </c>
      <c r="B14" s="12">
        <f t="shared" ref="B14:V14" si="3">B7+B13</f>
        <v>130.18443584233171</v>
      </c>
      <c r="C14" s="12">
        <f t="shared" si="3"/>
        <v>135.35912324149885</v>
      </c>
      <c r="D14" s="12">
        <f t="shared" si="3"/>
        <v>135.45046169161182</v>
      </c>
      <c r="E14" s="12">
        <f t="shared" si="3"/>
        <v>133.29590096880679</v>
      </c>
      <c r="F14" s="12">
        <f t="shared" si="3"/>
        <v>135.83573540812043</v>
      </c>
      <c r="G14" s="12">
        <f t="shared" si="3"/>
        <v>138.35050262925927</v>
      </c>
      <c r="H14" s="12">
        <f t="shared" si="3"/>
        <v>140.68148244246581</v>
      </c>
      <c r="I14" s="12">
        <f t="shared" si="3"/>
        <v>140.17149481172655</v>
      </c>
      <c r="J14" s="12">
        <f t="shared" si="3"/>
        <v>142.66579880072189</v>
      </c>
      <c r="K14" s="12">
        <f t="shared" si="3"/>
        <v>142.41728149067748</v>
      </c>
      <c r="L14" s="12">
        <f t="shared" si="3"/>
        <v>139.73876688351729</v>
      </c>
      <c r="M14" s="12">
        <f t="shared" si="3"/>
        <v>134.38765796460697</v>
      </c>
      <c r="N14" s="12">
        <f t="shared" si="3"/>
        <v>133.95426966952073</v>
      </c>
      <c r="O14" s="12">
        <f t="shared" si="3"/>
        <v>135.94620178656541</v>
      </c>
      <c r="P14" s="12">
        <f t="shared" si="3"/>
        <v>136.47147395542748</v>
      </c>
      <c r="Q14" s="12">
        <f t="shared" si="3"/>
        <v>138.50224703791534</v>
      </c>
      <c r="R14" s="12">
        <f t="shared" si="3"/>
        <v>138.7709329919058</v>
      </c>
      <c r="S14" s="12">
        <f t="shared" si="3"/>
        <v>139.42803111792338</v>
      </c>
      <c r="T14" s="12">
        <f t="shared" si="3"/>
        <v>141.30372527850423</v>
      </c>
      <c r="U14" s="12">
        <f t="shared" si="3"/>
        <v>141.22724646778036</v>
      </c>
      <c r="V14" s="12">
        <f t="shared" si="3"/>
        <v>140.3619653754551</v>
      </c>
    </row>
    <row r="15" spans="1:27" ht="15" customHeight="1" x14ac:dyDescent="0.35">
      <c r="A15" s="36" t="s">
        <v>281</v>
      </c>
      <c r="B15" s="19">
        <v>0.30399999999999999</v>
      </c>
      <c r="C15" s="19">
        <v>0.26200000000000001</v>
      </c>
      <c r="D15" s="19">
        <v>0.254</v>
      </c>
      <c r="E15" s="19">
        <v>0.23200000000000001</v>
      </c>
      <c r="F15" s="19">
        <v>0.20599999999999999</v>
      </c>
      <c r="G15" s="19">
        <v>0.20100000000000001</v>
      </c>
      <c r="H15" s="19">
        <v>0.20799999999999999</v>
      </c>
      <c r="I15" s="19">
        <v>0.223</v>
      </c>
      <c r="J15" s="19">
        <v>0.215</v>
      </c>
      <c r="K15" s="19">
        <v>0.251</v>
      </c>
      <c r="L15" s="19">
        <v>0.28399999999999997</v>
      </c>
      <c r="M15" s="19">
        <v>0.32500000000000001</v>
      </c>
      <c r="N15" s="19">
        <v>0.34300000000000003</v>
      </c>
      <c r="O15" s="19">
        <v>0.33400000000000002</v>
      </c>
      <c r="P15" s="19">
        <v>0.32800000000000001</v>
      </c>
      <c r="Q15" s="19">
        <v>0.311</v>
      </c>
      <c r="R15" s="19">
        <v>0.30199999999999999</v>
      </c>
      <c r="S15" s="19"/>
      <c r="T15" s="19"/>
      <c r="U15" s="19"/>
      <c r="V15" s="19"/>
    </row>
    <row r="16" spans="1:27" ht="15" customHeight="1" x14ac:dyDescent="0.35">
      <c r="A16" s="38" t="s">
        <v>245</v>
      </c>
      <c r="B16" s="20">
        <f t="shared" ref="B16:R16" si="4">B15-($U$14-B14)*1%</f>
        <v>0.19357189374551348</v>
      </c>
      <c r="C16" s="20">
        <f t="shared" si="4"/>
        <v>0.20331876773718488</v>
      </c>
      <c r="D16" s="20">
        <f t="shared" si="4"/>
        <v>0.19623215223831458</v>
      </c>
      <c r="E16" s="20">
        <f t="shared" si="4"/>
        <v>0.1526865450102643</v>
      </c>
      <c r="F16" s="20">
        <f t="shared" si="4"/>
        <v>0.15208488940340065</v>
      </c>
      <c r="G16" s="20">
        <f t="shared" si="4"/>
        <v>0.17223256161478906</v>
      </c>
      <c r="H16" s="20">
        <f t="shared" si="4"/>
        <v>0.20254235974685444</v>
      </c>
      <c r="I16" s="20">
        <f t="shared" si="4"/>
        <v>0.21244248343946187</v>
      </c>
      <c r="J16" s="20">
        <f t="shared" si="4"/>
        <v>0.22938552332941525</v>
      </c>
      <c r="K16" s="20">
        <f t="shared" si="4"/>
        <v>0.26290035022897118</v>
      </c>
      <c r="L16" s="20">
        <f t="shared" si="4"/>
        <v>0.26911520415736923</v>
      </c>
      <c r="M16" s="20">
        <f t="shared" si="4"/>
        <v>0.25660411496826613</v>
      </c>
      <c r="N16" s="20">
        <f t="shared" si="4"/>
        <v>0.27027023201740369</v>
      </c>
      <c r="O16" s="20">
        <f t="shared" si="4"/>
        <v>0.28118955318785049</v>
      </c>
      <c r="P16" s="20">
        <f t="shared" si="4"/>
        <v>0.28044227487647122</v>
      </c>
      <c r="Q16" s="20">
        <f t="shared" si="4"/>
        <v>0.28375000570134978</v>
      </c>
      <c r="R16" s="20">
        <f t="shared" si="4"/>
        <v>0.27743686524125433</v>
      </c>
      <c r="S16" s="20"/>
      <c r="T16" s="20"/>
      <c r="U16" s="7"/>
      <c r="V16" s="7"/>
    </row>
    <row r="17" spans="1:18" x14ac:dyDescent="0.35">
      <c r="H17" t="s">
        <v>294</v>
      </c>
      <c r="N17" s="10"/>
      <c r="O17" s="10"/>
      <c r="P17" s="10"/>
      <c r="Q17" s="10"/>
      <c r="R17" s="10"/>
    </row>
    <row r="19" spans="1:18" x14ac:dyDescent="0.35">
      <c r="A19" s="50" t="s">
        <v>246</v>
      </c>
      <c r="B19" s="51" t="s">
        <v>247</v>
      </c>
    </row>
    <row r="20" spans="1:18" x14ac:dyDescent="0.35">
      <c r="A20" s="50" t="s">
        <v>248</v>
      </c>
      <c r="B20" s="51" t="s">
        <v>249</v>
      </c>
    </row>
    <row r="21" spans="1:18" x14ac:dyDescent="0.35">
      <c r="A21" s="50" t="s">
        <v>250</v>
      </c>
      <c r="B21" s="51" t="s">
        <v>251</v>
      </c>
    </row>
    <row r="22" spans="1:18" x14ac:dyDescent="0.35">
      <c r="A22" s="50"/>
      <c r="B22" s="51" t="s">
        <v>252</v>
      </c>
    </row>
    <row r="23" spans="1:18" x14ac:dyDescent="0.35">
      <c r="A23" s="50" t="s">
        <v>253</v>
      </c>
      <c r="B23" s="51" t="s">
        <v>254</v>
      </c>
    </row>
    <row r="24" spans="1:18" x14ac:dyDescent="0.35">
      <c r="A24" s="50" t="s">
        <v>255</v>
      </c>
      <c r="B24" s="51" t="s">
        <v>256</v>
      </c>
    </row>
    <row r="25" spans="1:18" x14ac:dyDescent="0.35">
      <c r="A25" s="50" t="s">
        <v>257</v>
      </c>
      <c r="B25" s="51" t="s">
        <v>258</v>
      </c>
    </row>
    <row r="26" spans="1:18" x14ac:dyDescent="0.35">
      <c r="A26" s="50"/>
      <c r="B26" s="51" t="s">
        <v>259</v>
      </c>
    </row>
    <row r="27" spans="1:18" x14ac:dyDescent="0.35">
      <c r="A27" s="50" t="s">
        <v>260</v>
      </c>
      <c r="B27" s="51" t="s">
        <v>261</v>
      </c>
    </row>
  </sheetData>
  <mergeCells count="4">
    <mergeCell ref="Z2:AA2"/>
    <mergeCell ref="Z4:AA4"/>
    <mergeCell ref="Z1:AA1"/>
    <mergeCell ref="Z3:AA3"/>
  </mergeCells>
  <pageMargins left="0.7" right="0.7" top="0.75" bottom="0.75" header="0.3" footer="0.3"/>
  <pageSetup orientation="portrait" horizontalDpi="204" verticalDpi="1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20"/>
  <sheetViews>
    <sheetView zoomScale="160" zoomScaleNormal="160" workbookViewId="0">
      <selection activeCell="M6" sqref="M6"/>
    </sheetView>
  </sheetViews>
  <sheetFormatPr defaultRowHeight="14.5" x14ac:dyDescent="0.35"/>
  <cols>
    <col min="1" max="1" width="34.26953125" style="115" customWidth="1"/>
    <col min="2" max="21" width="5.26953125" style="115" customWidth="1"/>
  </cols>
  <sheetData>
    <row r="1" spans="1:27" ht="24" customHeight="1" x14ac:dyDescent="0.35">
      <c r="A1" s="35" t="s">
        <v>38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229</v>
      </c>
      <c r="X1" s="28" t="s">
        <v>230</v>
      </c>
      <c r="Z1" s="132" t="s">
        <v>232</v>
      </c>
      <c r="AA1" s="133"/>
    </row>
    <row r="2" spans="1:27" ht="15" customHeight="1" thickBot="1" x14ac:dyDescent="0.4">
      <c r="A2" s="38" t="s">
        <v>233</v>
      </c>
      <c r="B2" s="12">
        <v>133.6615471336917</v>
      </c>
      <c r="C2" s="12">
        <v>136.96596415002679</v>
      </c>
      <c r="D2" s="12">
        <v>136.21097032029229</v>
      </c>
      <c r="E2" s="12">
        <v>135.1229164064583</v>
      </c>
      <c r="F2" s="12">
        <v>134.093101104082</v>
      </c>
      <c r="G2" s="12">
        <v>136.853032701172</v>
      </c>
      <c r="H2" s="12">
        <v>137.82196484828</v>
      </c>
      <c r="I2" s="12">
        <v>136.40371218623699</v>
      </c>
      <c r="J2" s="12">
        <v>135.30522295410901</v>
      </c>
      <c r="K2" s="12">
        <v>135.170232943825</v>
      </c>
      <c r="L2" s="12">
        <v>134.58707792790301</v>
      </c>
      <c r="M2" s="12">
        <v>133.10034198589099</v>
      </c>
      <c r="N2" s="12">
        <v>133.51592865659501</v>
      </c>
      <c r="O2" s="12">
        <v>134.83646562211601</v>
      </c>
      <c r="P2" s="12">
        <v>136.33915468575799</v>
      </c>
      <c r="Q2" s="12">
        <v>138.281914443527</v>
      </c>
      <c r="R2" s="12">
        <v>139.82855654046699</v>
      </c>
      <c r="S2" s="12">
        <v>139.29690918070099</v>
      </c>
      <c r="T2" s="12">
        <v>139.90531264844299</v>
      </c>
      <c r="U2" s="12">
        <v>139.503741040157</v>
      </c>
      <c r="V2" s="12">
        <v>140.503741040157</v>
      </c>
      <c r="X2" s="61">
        <v>139.54301699999999</v>
      </c>
      <c r="Z2" s="134">
        <v>0</v>
      </c>
      <c r="AA2" s="135"/>
    </row>
    <row r="3" spans="1:27" ht="15" customHeight="1" x14ac:dyDescent="0.35">
      <c r="A3" s="43" t="s">
        <v>301</v>
      </c>
      <c r="B3" s="13" t="e">
        <f>#REF!-B2</f>
        <v>#REF!</v>
      </c>
      <c r="C3" s="13" t="e">
        <f>#REF!-C2</f>
        <v>#REF!</v>
      </c>
      <c r="D3" s="13" t="e">
        <f>#REF!-D2</f>
        <v>#REF!</v>
      </c>
      <c r="E3" s="13" t="e">
        <f>#REF!-E2</f>
        <v>#REF!</v>
      </c>
      <c r="F3" s="13" t="e">
        <f>#REF!-F2</f>
        <v>#REF!</v>
      </c>
      <c r="G3" s="13" t="e">
        <f>#REF!-G2</f>
        <v>#REF!</v>
      </c>
      <c r="H3" s="13" t="e">
        <f>#REF!-H2</f>
        <v>#REF!</v>
      </c>
      <c r="I3" s="13" t="e">
        <f>#REF!-I2</f>
        <v>#REF!</v>
      </c>
      <c r="J3" s="13" t="e">
        <f>#REF!-J2</f>
        <v>#REF!</v>
      </c>
      <c r="K3" s="13" t="e">
        <f>#REF!-K2</f>
        <v>#REF!</v>
      </c>
      <c r="L3" s="13" t="e">
        <f>#REF!-L2</f>
        <v>#REF!</v>
      </c>
      <c r="M3" s="13" t="e">
        <f>#REF!-M2</f>
        <v>#REF!</v>
      </c>
      <c r="N3" s="13" t="e">
        <f>#REF!-N2</f>
        <v>#REF!</v>
      </c>
      <c r="O3" s="13" t="e">
        <f>#REF!-O2</f>
        <v>#REF!</v>
      </c>
      <c r="P3" s="13" t="e">
        <f>#REF!-P2</f>
        <v>#REF!</v>
      </c>
      <c r="Q3" s="13" t="e">
        <f>#REF!-Q2</f>
        <v>#REF!</v>
      </c>
      <c r="R3" s="13" t="e">
        <f>#REF!-R2</f>
        <v>#REF!</v>
      </c>
      <c r="S3" s="13" t="e">
        <f>#REF!-S2</f>
        <v>#REF!</v>
      </c>
      <c r="T3" s="13" t="e">
        <f>#REF!-T2</f>
        <v>#REF!</v>
      </c>
      <c r="U3" s="13" t="e">
        <f>#REF!-U2</f>
        <v>#REF!</v>
      </c>
      <c r="V3" s="13" t="e">
        <f>#REF!-V2</f>
        <v>#REF!</v>
      </c>
      <c r="X3" s="44">
        <v>0</v>
      </c>
    </row>
    <row r="4" spans="1:27" ht="15" customHeight="1" x14ac:dyDescent="0.35">
      <c r="A4" s="38" t="s">
        <v>27</v>
      </c>
      <c r="B4" s="12" t="e">
        <f>#REF!</f>
        <v>#REF!</v>
      </c>
      <c r="C4" s="12" t="e">
        <f>#REF!</f>
        <v>#REF!</v>
      </c>
      <c r="D4" s="12" t="e">
        <f>#REF!</f>
        <v>#REF!</v>
      </c>
      <c r="E4" s="12" t="e">
        <f>#REF!</f>
        <v>#REF!</v>
      </c>
      <c r="F4" s="12" t="e">
        <f>#REF!</f>
        <v>#REF!</v>
      </c>
      <c r="G4" s="12" t="e">
        <f>#REF!</f>
        <v>#REF!</v>
      </c>
      <c r="H4" s="12" t="e">
        <f>#REF!</f>
        <v>#REF!</v>
      </c>
      <c r="I4" s="12" t="e">
        <f>#REF!</f>
        <v>#REF!</v>
      </c>
      <c r="J4" s="12" t="e">
        <f>#REF!</f>
        <v>#REF!</v>
      </c>
      <c r="K4" s="12" t="e">
        <f>#REF!</f>
        <v>#REF!</v>
      </c>
      <c r="L4" s="12" t="e">
        <f>#REF!</f>
        <v>#REF!</v>
      </c>
      <c r="M4" s="12" t="e">
        <f>#REF!</f>
        <v>#REF!</v>
      </c>
      <c r="N4" s="12" t="e">
        <f>#REF!</f>
        <v>#REF!</v>
      </c>
      <c r="O4" s="12" t="e">
        <f>#REF!</f>
        <v>#REF!</v>
      </c>
      <c r="P4" s="12" t="e">
        <f>#REF!</f>
        <v>#REF!</v>
      </c>
      <c r="Q4" s="12" t="e">
        <f>#REF!</f>
        <v>#REF!</v>
      </c>
      <c r="R4" s="12" t="e">
        <f>#REF!</f>
        <v>#REF!</v>
      </c>
      <c r="S4" s="12" t="e">
        <f>#REF!</f>
        <v>#REF!</v>
      </c>
      <c r="T4" s="12" t="e">
        <f>#REF!</f>
        <v>#REF!</v>
      </c>
      <c r="U4" s="12" t="e">
        <f>#REF!</f>
        <v>#REF!</v>
      </c>
      <c r="V4" s="12" t="e">
        <f>#REF!</f>
        <v>#REF!</v>
      </c>
      <c r="X4" s="9"/>
    </row>
    <row r="5" spans="1:27" ht="30" customHeight="1" x14ac:dyDescent="0.35">
      <c r="A5" s="36" t="s">
        <v>28</v>
      </c>
      <c r="B5" s="13" t="e">
        <f>#REF!</f>
        <v>#REF!</v>
      </c>
      <c r="C5" s="13" t="e">
        <f>#REF!</f>
        <v>#REF!</v>
      </c>
      <c r="D5" s="13" t="e">
        <f>#REF!</f>
        <v>#REF!</v>
      </c>
      <c r="E5" s="13" t="e">
        <f>#REF!</f>
        <v>#REF!</v>
      </c>
      <c r="F5" s="13" t="e">
        <f>#REF!</f>
        <v>#REF!</v>
      </c>
      <c r="G5" s="13" t="e">
        <f>#REF!</f>
        <v>#REF!</v>
      </c>
      <c r="H5" s="13" t="e">
        <f>#REF!</f>
        <v>#REF!</v>
      </c>
      <c r="I5" s="13" t="e">
        <f>#REF!</f>
        <v>#REF!</v>
      </c>
      <c r="J5" s="13" t="e">
        <f>#REF!</f>
        <v>#REF!</v>
      </c>
      <c r="K5" s="13" t="e">
        <f>#REF!</f>
        <v>#REF!</v>
      </c>
      <c r="L5" s="13" t="e">
        <f>#REF!</f>
        <v>#REF!</v>
      </c>
      <c r="M5" s="13" t="e">
        <f>#REF!</f>
        <v>#REF!</v>
      </c>
      <c r="N5" s="13" t="e">
        <f>#REF!</f>
        <v>#REF!</v>
      </c>
      <c r="O5" s="13" t="e">
        <f>#REF!</f>
        <v>#REF!</v>
      </c>
      <c r="P5" s="13" t="e">
        <f>#REF!</f>
        <v>#REF!</v>
      </c>
      <c r="Q5" s="13" t="e">
        <f>#REF!</f>
        <v>#REF!</v>
      </c>
      <c r="R5" s="13" t="e">
        <f>#REF!</f>
        <v>#REF!</v>
      </c>
      <c r="S5" s="13" t="e">
        <f>#REF!</f>
        <v>#REF!</v>
      </c>
      <c r="T5" s="13" t="e">
        <f>#REF!</f>
        <v>#REF!</v>
      </c>
      <c r="U5" s="13" t="e">
        <f>#REF!</f>
        <v>#REF!</v>
      </c>
      <c r="V5" s="13" t="e">
        <f>#REF!</f>
        <v>#REF!</v>
      </c>
      <c r="X5" s="9"/>
    </row>
    <row r="6" spans="1:27" ht="30" customHeight="1" x14ac:dyDescent="0.35">
      <c r="A6" s="29" t="s">
        <v>290</v>
      </c>
      <c r="B6" s="12" t="e">
        <f>#REF!</f>
        <v>#REF!</v>
      </c>
      <c r="C6" s="12" t="e">
        <f>#REF!</f>
        <v>#REF!</v>
      </c>
      <c r="D6" s="12" t="e">
        <f>#REF!</f>
        <v>#REF!</v>
      </c>
      <c r="E6" s="12" t="e">
        <f>#REF!</f>
        <v>#REF!</v>
      </c>
      <c r="F6" s="12" t="e">
        <f>#REF!</f>
        <v>#REF!</v>
      </c>
      <c r="G6" s="12" t="e">
        <f>#REF!</f>
        <v>#REF!</v>
      </c>
      <c r="H6" s="12" t="e">
        <f>#REF!</f>
        <v>#REF!</v>
      </c>
      <c r="I6" s="12" t="e">
        <f>#REF!</f>
        <v>#REF!</v>
      </c>
      <c r="J6" s="12" t="e">
        <f>#REF!</f>
        <v>#REF!</v>
      </c>
      <c r="K6" s="12" t="e">
        <f>#REF!</f>
        <v>#REF!</v>
      </c>
      <c r="L6" s="12" t="e">
        <f>#REF!</f>
        <v>#REF!</v>
      </c>
      <c r="M6" s="12" t="e">
        <f>#REF!</f>
        <v>#REF!</v>
      </c>
      <c r="N6" s="12" t="e">
        <f>#REF!</f>
        <v>#REF!</v>
      </c>
      <c r="O6" s="12" t="e">
        <f>#REF!</f>
        <v>#REF!</v>
      </c>
      <c r="P6" s="12" t="e">
        <f>#REF!</f>
        <v>#REF!</v>
      </c>
      <c r="Q6" s="12" t="e">
        <f>#REF!</f>
        <v>#REF!</v>
      </c>
      <c r="R6" s="12" t="e">
        <f>#REF!</f>
        <v>#REF!</v>
      </c>
      <c r="S6" s="12" t="e">
        <f>#REF!</f>
        <v>#REF!</v>
      </c>
      <c r="T6" s="12" t="e">
        <f>#REF!</f>
        <v>#REF!</v>
      </c>
      <c r="U6" s="12" t="e">
        <f>#REF!</f>
        <v>#REF!</v>
      </c>
      <c r="V6" s="12" t="e">
        <f>#REF!</f>
        <v>#REF!</v>
      </c>
    </row>
    <row r="7" spans="1:27" ht="15" customHeight="1" x14ac:dyDescent="0.35">
      <c r="A7" s="36" t="s">
        <v>30</v>
      </c>
      <c r="B7" s="13" t="e">
        <f>#REF!</f>
        <v>#REF!</v>
      </c>
      <c r="C7" s="13" t="e">
        <f>#REF!</f>
        <v>#REF!</v>
      </c>
      <c r="D7" s="13" t="e">
        <f>#REF!</f>
        <v>#REF!</v>
      </c>
      <c r="E7" s="13" t="e">
        <f>#REF!</f>
        <v>#REF!</v>
      </c>
      <c r="F7" s="13" t="e">
        <f>#REF!</f>
        <v>#REF!</v>
      </c>
      <c r="G7" s="13" t="e">
        <f>#REF!</f>
        <v>#REF!</v>
      </c>
      <c r="H7" s="13" t="e">
        <f>#REF!</f>
        <v>#REF!</v>
      </c>
      <c r="I7" s="13" t="e">
        <f>#REF!</f>
        <v>#REF!</v>
      </c>
      <c r="J7" s="13" t="e">
        <f>#REF!</f>
        <v>#REF!</v>
      </c>
      <c r="K7" s="13" t="e">
        <f>#REF!</f>
        <v>#REF!</v>
      </c>
      <c r="L7" s="13" t="e">
        <f>#REF!</f>
        <v>#REF!</v>
      </c>
      <c r="M7" s="13" t="e">
        <f>#REF!</f>
        <v>#REF!</v>
      </c>
      <c r="N7" s="13" t="e">
        <f>#REF!</f>
        <v>#REF!</v>
      </c>
      <c r="O7" s="13" t="e">
        <f>#REF!</f>
        <v>#REF!</v>
      </c>
      <c r="P7" s="13" t="e">
        <f>#REF!</f>
        <v>#REF!</v>
      </c>
      <c r="Q7" s="13" t="e">
        <f>#REF!</f>
        <v>#REF!</v>
      </c>
      <c r="R7" s="13" t="e">
        <f>#REF!</f>
        <v>#REF!</v>
      </c>
      <c r="S7" s="13" t="e">
        <f>#REF!</f>
        <v>#REF!</v>
      </c>
      <c r="T7" s="13" t="e">
        <f>#REF!</f>
        <v>#REF!</v>
      </c>
      <c r="U7" s="13" t="e">
        <f>#REF!</f>
        <v>#REF!</v>
      </c>
      <c r="V7" s="13" t="e">
        <f>#REF!</f>
        <v>#REF!</v>
      </c>
    </row>
    <row r="8" spans="1:27" ht="15" customHeight="1" x14ac:dyDescent="0.35">
      <c r="A8" s="57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</row>
    <row r="9" spans="1:27" ht="15" customHeight="1" x14ac:dyDescent="0.35">
      <c r="A9" s="42" t="s">
        <v>238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</row>
    <row r="10" spans="1:27" ht="15" customHeight="1" x14ac:dyDescent="0.35">
      <c r="A10" s="39" t="s">
        <v>279</v>
      </c>
      <c r="B10" s="14" t="e">
        <f>#REF!</f>
        <v>#REF!</v>
      </c>
      <c r="C10" s="14" t="e">
        <f>#REF!</f>
        <v>#REF!</v>
      </c>
      <c r="D10" s="14" t="e">
        <f>#REF!</f>
        <v>#REF!</v>
      </c>
      <c r="E10" s="14" t="e">
        <f>#REF!</f>
        <v>#REF!</v>
      </c>
      <c r="F10" s="14" t="e">
        <f>#REF!</f>
        <v>#REF!</v>
      </c>
      <c r="G10" s="14" t="e">
        <f>#REF!</f>
        <v>#REF!</v>
      </c>
      <c r="H10" s="14" t="e">
        <f>#REF!</f>
        <v>#REF!</v>
      </c>
      <c r="I10" s="14" t="e">
        <f>#REF!</f>
        <v>#REF!</v>
      </c>
      <c r="J10" s="14" t="e">
        <f>#REF!</f>
        <v>#REF!</v>
      </c>
      <c r="K10" s="14" t="e">
        <f>#REF!</f>
        <v>#REF!</v>
      </c>
      <c r="L10" s="14" t="e">
        <f>#REF!</f>
        <v>#REF!</v>
      </c>
      <c r="M10" s="14" t="e">
        <f>#REF!</f>
        <v>#REF!</v>
      </c>
      <c r="N10" s="14" t="e">
        <f>#REF!</f>
        <v>#REF!</v>
      </c>
      <c r="O10" s="14" t="e">
        <f>#REF!</f>
        <v>#REF!</v>
      </c>
      <c r="P10" s="14" t="e">
        <f>#REF!</f>
        <v>#REF!</v>
      </c>
      <c r="Q10" s="14" t="e">
        <f>#REF!</f>
        <v>#REF!</v>
      </c>
      <c r="R10" s="14" t="e">
        <f>#REF!</f>
        <v>#REF!</v>
      </c>
      <c r="S10" s="14" t="e">
        <f>#REF!</f>
        <v>#REF!</v>
      </c>
      <c r="T10" s="14" t="e">
        <f>#REF!</f>
        <v>#REF!</v>
      </c>
      <c r="U10" s="14" t="e">
        <f>#REF!</f>
        <v>#REF!</v>
      </c>
      <c r="V10" s="14" t="e">
        <f>#REF!</f>
        <v>#REF!</v>
      </c>
      <c r="X10" s="9"/>
    </row>
    <row r="11" spans="1:27" ht="15" customHeight="1" x14ac:dyDescent="0.35">
      <c r="A11" s="43" t="s">
        <v>240</v>
      </c>
      <c r="B11" s="11">
        <v>136.4</v>
      </c>
      <c r="C11" s="11">
        <v>141.30000000000001</v>
      </c>
      <c r="D11" s="11">
        <v>148</v>
      </c>
      <c r="E11" s="11">
        <v>151.5</v>
      </c>
      <c r="F11" s="11">
        <v>156.6</v>
      </c>
      <c r="G11" s="11">
        <v>149.5</v>
      </c>
      <c r="H11" s="11">
        <v>178.6</v>
      </c>
      <c r="I11" s="11">
        <v>176.8</v>
      </c>
      <c r="J11" s="11">
        <v>184.6</v>
      </c>
      <c r="K11" s="11">
        <v>221.5</v>
      </c>
      <c r="L11" s="11">
        <v>212.1</v>
      </c>
      <c r="M11" s="11">
        <v>253.6</v>
      </c>
      <c r="N11" s="11">
        <v>252.3</v>
      </c>
      <c r="O11" s="11">
        <v>243</v>
      </c>
      <c r="P11" s="11">
        <v>230</v>
      </c>
      <c r="Q11" s="11">
        <v>217.6</v>
      </c>
      <c r="R11" s="11">
        <v>234.5</v>
      </c>
      <c r="S11" s="11">
        <v>224.5</v>
      </c>
      <c r="T11" s="11">
        <v>212.2</v>
      </c>
      <c r="U11" s="59">
        <v>206.4</v>
      </c>
      <c r="V11" s="59"/>
    </row>
    <row r="12" spans="1:27" ht="15" customHeight="1" x14ac:dyDescent="0.35">
      <c r="A12" s="37" t="s">
        <v>302</v>
      </c>
      <c r="B12" s="33">
        <v>0.04</v>
      </c>
      <c r="C12" s="33">
        <v>0.11</v>
      </c>
      <c r="D12" s="33">
        <v>0.13</v>
      </c>
      <c r="E12" s="33">
        <v>0.14599999999999999</v>
      </c>
      <c r="F12" s="33">
        <v>0.29699999999999999</v>
      </c>
      <c r="G12" s="33">
        <v>0.30499999999999999</v>
      </c>
      <c r="H12" s="33">
        <v>0.221</v>
      </c>
      <c r="I12" s="33">
        <v>0.217</v>
      </c>
      <c r="J12" s="33">
        <v>0.23400000000000001</v>
      </c>
      <c r="K12" s="33">
        <v>8.6999999999999994E-2</v>
      </c>
      <c r="L12" s="33">
        <v>2.1999999999999999E-2</v>
      </c>
      <c r="M12" s="33">
        <v>-0.112</v>
      </c>
      <c r="N12" s="33">
        <v>-0.15</v>
      </c>
      <c r="O12" s="33">
        <v>-0.186</v>
      </c>
      <c r="P12" s="33">
        <v>-0.17699999999999999</v>
      </c>
      <c r="Q12" s="33">
        <v>-0.155</v>
      </c>
      <c r="R12" s="33">
        <v>-0.17699999999999999</v>
      </c>
      <c r="S12" s="33">
        <v>-0.159</v>
      </c>
      <c r="T12" s="33">
        <v>-0.113</v>
      </c>
      <c r="U12" s="33">
        <v>-8.1000000000000003E-2</v>
      </c>
      <c r="V12" s="33"/>
    </row>
    <row r="13" spans="1:27" ht="15" customHeight="1" x14ac:dyDescent="0.35">
      <c r="A13" s="36" t="s">
        <v>242</v>
      </c>
      <c r="B13" s="45">
        <v>0.68</v>
      </c>
      <c r="C13" s="45">
        <v>1.87</v>
      </c>
      <c r="D13" s="45">
        <v>2.21</v>
      </c>
      <c r="E13" s="45">
        <v>2.4900000000000002</v>
      </c>
      <c r="F13" s="45">
        <v>5.05</v>
      </c>
      <c r="G13" s="45">
        <v>5.19</v>
      </c>
      <c r="H13" s="45">
        <v>3.76</v>
      </c>
      <c r="I13" s="45">
        <v>3.69</v>
      </c>
      <c r="J13" s="45">
        <v>3.97</v>
      </c>
      <c r="K13" s="45">
        <v>1.48</v>
      </c>
      <c r="L13" s="45">
        <v>0.38</v>
      </c>
      <c r="M13" s="45">
        <v>-1.91</v>
      </c>
      <c r="N13" s="45">
        <v>-2.56</v>
      </c>
      <c r="O13" s="45">
        <v>-3.17</v>
      </c>
      <c r="P13" s="45">
        <v>-3</v>
      </c>
      <c r="Q13" s="45">
        <v>-2.64</v>
      </c>
      <c r="R13" s="45">
        <v>-3</v>
      </c>
      <c r="S13" s="45">
        <v>-2.71</v>
      </c>
      <c r="T13" s="45">
        <v>-1.93</v>
      </c>
      <c r="U13" s="45">
        <v>-1.38</v>
      </c>
      <c r="V13" s="45"/>
    </row>
    <row r="14" spans="1:27" ht="15" customHeight="1" x14ac:dyDescent="0.35">
      <c r="A14" s="38" t="s">
        <v>243</v>
      </c>
      <c r="B14" s="12" t="e">
        <f t="shared" ref="B14:V14" si="0">B13+B7</f>
        <v>#REF!</v>
      </c>
      <c r="C14" s="12" t="e">
        <f t="shared" si="0"/>
        <v>#REF!</v>
      </c>
      <c r="D14" s="12" t="e">
        <f t="shared" si="0"/>
        <v>#REF!</v>
      </c>
      <c r="E14" s="12" t="e">
        <f t="shared" si="0"/>
        <v>#REF!</v>
      </c>
      <c r="F14" s="12" t="e">
        <f t="shared" si="0"/>
        <v>#REF!</v>
      </c>
      <c r="G14" s="12" t="e">
        <f t="shared" si="0"/>
        <v>#REF!</v>
      </c>
      <c r="H14" s="12" t="e">
        <f t="shared" si="0"/>
        <v>#REF!</v>
      </c>
      <c r="I14" s="12" t="e">
        <f t="shared" si="0"/>
        <v>#REF!</v>
      </c>
      <c r="J14" s="12" t="e">
        <f t="shared" si="0"/>
        <v>#REF!</v>
      </c>
      <c r="K14" s="12" t="e">
        <f t="shared" si="0"/>
        <v>#REF!</v>
      </c>
      <c r="L14" s="12" t="e">
        <f t="shared" si="0"/>
        <v>#REF!</v>
      </c>
      <c r="M14" s="12" t="e">
        <f t="shared" si="0"/>
        <v>#REF!</v>
      </c>
      <c r="N14" s="12" t="e">
        <f t="shared" si="0"/>
        <v>#REF!</v>
      </c>
      <c r="O14" s="12" t="e">
        <f t="shared" si="0"/>
        <v>#REF!</v>
      </c>
      <c r="P14" s="12" t="e">
        <f t="shared" si="0"/>
        <v>#REF!</v>
      </c>
      <c r="Q14" s="12" t="e">
        <f t="shared" si="0"/>
        <v>#REF!</v>
      </c>
      <c r="R14" s="12" t="e">
        <f t="shared" si="0"/>
        <v>#REF!</v>
      </c>
      <c r="S14" s="12" t="e">
        <f t="shared" si="0"/>
        <v>#REF!</v>
      </c>
      <c r="T14" s="12" t="e">
        <f t="shared" si="0"/>
        <v>#REF!</v>
      </c>
      <c r="U14" s="12" t="e">
        <f t="shared" si="0"/>
        <v>#REF!</v>
      </c>
      <c r="V14" s="12" t="e">
        <f t="shared" si="0"/>
        <v>#REF!</v>
      </c>
    </row>
    <row r="15" spans="1:27" ht="15" customHeight="1" x14ac:dyDescent="0.35">
      <c r="A15" s="36" t="s">
        <v>303</v>
      </c>
      <c r="B15" s="58">
        <v>0.29199999999999998</v>
      </c>
      <c r="C15" s="58">
        <v>0.24099999999999999</v>
      </c>
      <c r="D15" s="58">
        <v>0.222</v>
      </c>
      <c r="E15" s="58">
        <v>0.19500000000000001</v>
      </c>
      <c r="F15" s="58">
        <v>0.19400000000000001</v>
      </c>
      <c r="G15" s="58">
        <v>0.188</v>
      </c>
      <c r="H15" s="58">
        <v>0.20100000000000001</v>
      </c>
      <c r="I15" s="58">
        <v>0.21299999999999999</v>
      </c>
      <c r="J15" s="58">
        <v>0.22</v>
      </c>
      <c r="K15" s="58">
        <v>0.25900000000000001</v>
      </c>
      <c r="L15" s="58">
        <v>0.28399999999999997</v>
      </c>
      <c r="M15" s="58">
        <v>0.32500000000000001</v>
      </c>
      <c r="N15" s="58">
        <v>0.34200000000000003</v>
      </c>
      <c r="O15" s="58">
        <v>0.33900000000000002</v>
      </c>
      <c r="P15" s="58">
        <v>0.33500000000000002</v>
      </c>
      <c r="Q15" s="58">
        <v>0.318</v>
      </c>
      <c r="R15" s="58">
        <v>0.30499999999999999</v>
      </c>
      <c r="S15" s="58"/>
      <c r="T15" s="58"/>
      <c r="U15" s="58"/>
      <c r="V15" s="58"/>
    </row>
    <row r="16" spans="1:27" ht="15" customHeight="1" x14ac:dyDescent="0.35">
      <c r="A16" s="34" t="s">
        <v>245</v>
      </c>
      <c r="B16" s="20" t="e">
        <f t="shared" ref="B16:R16" si="1">B15-($U$14-B14)*0.65%</f>
        <v>#REF!</v>
      </c>
      <c r="C16" s="20" t="e">
        <f t="shared" si="1"/>
        <v>#REF!</v>
      </c>
      <c r="D16" s="20" t="e">
        <f t="shared" si="1"/>
        <v>#REF!</v>
      </c>
      <c r="E16" s="20" t="e">
        <f t="shared" si="1"/>
        <v>#REF!</v>
      </c>
      <c r="F16" s="20" t="e">
        <f t="shared" si="1"/>
        <v>#REF!</v>
      </c>
      <c r="G16" s="20" t="e">
        <f t="shared" si="1"/>
        <v>#REF!</v>
      </c>
      <c r="H16" s="20" t="e">
        <f t="shared" si="1"/>
        <v>#REF!</v>
      </c>
      <c r="I16" s="20" t="e">
        <f t="shared" si="1"/>
        <v>#REF!</v>
      </c>
      <c r="J16" s="20" t="e">
        <f t="shared" si="1"/>
        <v>#REF!</v>
      </c>
      <c r="K16" s="20" t="e">
        <f t="shared" si="1"/>
        <v>#REF!</v>
      </c>
      <c r="L16" s="20" t="e">
        <f t="shared" si="1"/>
        <v>#REF!</v>
      </c>
      <c r="M16" s="20" t="e">
        <f t="shared" si="1"/>
        <v>#REF!</v>
      </c>
      <c r="N16" s="20" t="e">
        <f t="shared" si="1"/>
        <v>#REF!</v>
      </c>
      <c r="O16" s="20" t="e">
        <f t="shared" si="1"/>
        <v>#REF!</v>
      </c>
      <c r="P16" s="20" t="e">
        <f t="shared" si="1"/>
        <v>#REF!</v>
      </c>
      <c r="Q16" s="20" t="e">
        <f t="shared" si="1"/>
        <v>#REF!</v>
      </c>
      <c r="R16" s="20" t="e">
        <f t="shared" si="1"/>
        <v>#REF!</v>
      </c>
      <c r="S16" s="20"/>
      <c r="T16" s="20"/>
      <c r="U16" s="21"/>
      <c r="V16" s="21"/>
    </row>
    <row r="20" spans="7:7" x14ac:dyDescent="0.35">
      <c r="G20" t="s">
        <v>294</v>
      </c>
    </row>
  </sheetData>
  <mergeCells count="2">
    <mergeCell ref="Z2:AA2"/>
    <mergeCell ref="Z1:AA1"/>
  </mergeCells>
  <pageMargins left="0.7" right="0.7" top="0.75" bottom="0.75" header="0.3" footer="0.3"/>
  <pageSetup orientation="portrait" horizontalDpi="204" verticalDpi="19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OW75"/>
  <sheetViews>
    <sheetView topLeftCell="B1" workbookViewId="0">
      <selection activeCell="B1" sqref="B1:D1"/>
    </sheetView>
  </sheetViews>
  <sheetFormatPr defaultRowHeight="14.5" x14ac:dyDescent="0.35"/>
  <cols>
    <col min="1" max="1" width="54.1796875" style="115" customWidth="1"/>
    <col min="2" max="2" width="10.81640625" style="115" bestFit="1" customWidth="1"/>
    <col min="3" max="7" width="9.26953125" style="115" bestFit="1" customWidth="1"/>
    <col min="8" max="10" width="9.7265625" style="115" bestFit="1" customWidth="1"/>
    <col min="11" max="11" width="9.26953125" style="115" bestFit="1" customWidth="1"/>
    <col min="12" max="15" width="9.81640625" style="115" bestFit="1" customWidth="1"/>
    <col min="16" max="16" width="9.26953125" style="115" bestFit="1" customWidth="1"/>
    <col min="17" max="19" width="9.54296875" style="115" bestFit="1" customWidth="1"/>
    <col min="20" max="20" width="9.26953125" style="115" bestFit="1" customWidth="1"/>
    <col min="21" max="21" width="10.1796875" style="115" bestFit="1" customWidth="1"/>
    <col min="22" max="23" width="12.81640625" style="115" bestFit="1" customWidth="1"/>
  </cols>
  <sheetData>
    <row r="1" spans="1:893" x14ac:dyDescent="0.35">
      <c r="A1" s="100" t="s">
        <v>0</v>
      </c>
      <c r="B1" s="119">
        <v>45291</v>
      </c>
      <c r="C1" s="119">
        <v>45298</v>
      </c>
      <c r="D1" s="119">
        <v>45305</v>
      </c>
      <c r="E1" s="119">
        <v>45312</v>
      </c>
      <c r="F1" s="119">
        <v>45319</v>
      </c>
      <c r="G1" s="119">
        <v>45326</v>
      </c>
      <c r="H1" s="119">
        <v>45333</v>
      </c>
      <c r="I1" s="119">
        <v>45340</v>
      </c>
      <c r="J1" s="119">
        <v>45347</v>
      </c>
      <c r="K1" s="119">
        <v>45354</v>
      </c>
      <c r="L1" s="119">
        <v>45361</v>
      </c>
      <c r="M1" s="119">
        <v>45368</v>
      </c>
      <c r="N1" s="119">
        <v>45375</v>
      </c>
      <c r="O1" s="119">
        <v>45382</v>
      </c>
      <c r="P1" s="119">
        <v>45389</v>
      </c>
      <c r="Q1" s="119">
        <v>45396</v>
      </c>
      <c r="R1" s="119">
        <v>45403</v>
      </c>
      <c r="S1" s="119">
        <v>45410</v>
      </c>
      <c r="T1" s="119">
        <v>45417</v>
      </c>
      <c r="U1" s="119">
        <v>45424</v>
      </c>
      <c r="V1" s="119">
        <v>45431</v>
      </c>
      <c r="W1" s="119">
        <v>45438</v>
      </c>
    </row>
    <row r="2" spans="1:893" x14ac:dyDescent="0.35">
      <c r="A2" s="101" t="s">
        <v>25</v>
      </c>
      <c r="B2">
        <v>136.05632120452859</v>
      </c>
      <c r="C2">
        <v>136.88098243777449</v>
      </c>
      <c r="D2">
        <v>137.20377228585971</v>
      </c>
      <c r="E2">
        <v>136.3915843143165</v>
      </c>
      <c r="F2">
        <v>136.79715166064699</v>
      </c>
      <c r="G2">
        <v>136.81194415837371</v>
      </c>
      <c r="H2">
        <v>136.01598172989301</v>
      </c>
      <c r="I2">
        <v>135.6200262497423</v>
      </c>
      <c r="J2">
        <v>135.88967678804011</v>
      </c>
      <c r="K2">
        <v>136.33676839689829</v>
      </c>
      <c r="L2">
        <v>136.88884558653791</v>
      </c>
      <c r="M2">
        <v>136.6931365673783</v>
      </c>
      <c r="N2">
        <v>136.48195985799489</v>
      </c>
      <c r="O2">
        <v>136.97951758211281</v>
      </c>
      <c r="P2">
        <v>137.8432258987915</v>
      </c>
      <c r="Q2">
        <v>136.60942143574749</v>
      </c>
      <c r="R2">
        <v>136.8121403511544</v>
      </c>
      <c r="S2">
        <v>137.75730937869039</v>
      </c>
      <c r="T2">
        <v>137.84816144960749</v>
      </c>
      <c r="U2">
        <v>137.07794243382759</v>
      </c>
      <c r="V2">
        <v>137.7403087548314</v>
      </c>
      <c r="W2">
        <v>135.71469458839491</v>
      </c>
      <c r="X2">
        <v>129.93459713898281</v>
      </c>
      <c r="Y2">
        <v>128.35442081999699</v>
      </c>
      <c r="Z2">
        <v>129.57984092141589</v>
      </c>
      <c r="AA2">
        <v>128.72631182741159</v>
      </c>
      <c r="AB2">
        <v>129.41123929182541</v>
      </c>
      <c r="AC2">
        <v>129.755151347104</v>
      </c>
      <c r="AD2">
        <v>128.28793782175231</v>
      </c>
      <c r="AE2">
        <v>127.37197556257151</v>
      </c>
      <c r="AF2">
        <v>127.71038026777209</v>
      </c>
      <c r="AG2">
        <v>128.07410473169929</v>
      </c>
      <c r="AH2">
        <v>129.8590915486547</v>
      </c>
      <c r="AI2">
        <v>128.72425142808899</v>
      </c>
      <c r="AJ2">
        <v>130.5862085231802</v>
      </c>
      <c r="AK2">
        <v>130.39578708815981</v>
      </c>
      <c r="AL2">
        <v>130.50783594141151</v>
      </c>
      <c r="AM2">
        <v>131.73006886686841</v>
      </c>
      <c r="AN2">
        <v>130.2715188296865</v>
      </c>
      <c r="AO2">
        <v>128.38526396945699</v>
      </c>
      <c r="AP2">
        <v>130.54581177851131</v>
      </c>
      <c r="AQ2">
        <v>129.95000222536521</v>
      </c>
      <c r="AR2">
        <v>131.15817142340379</v>
      </c>
      <c r="AS2">
        <v>131.85409147500451</v>
      </c>
      <c r="AT2">
        <v>129.33692960077809</v>
      </c>
      <c r="AU2">
        <v>129.6450427248173</v>
      </c>
      <c r="AV2">
        <v>130.78601506894731</v>
      </c>
      <c r="AW2">
        <v>128.93245271833999</v>
      </c>
      <c r="AX2">
        <v>130.16735450518411</v>
      </c>
      <c r="AY2">
        <v>130.11098320770091</v>
      </c>
      <c r="AZ2">
        <v>131.43721537509529</v>
      </c>
      <c r="BA2">
        <v>131.53588989212881</v>
      </c>
      <c r="BB2">
        <v>131.22557351948609</v>
      </c>
      <c r="BC2">
        <v>129.48935547726481</v>
      </c>
      <c r="BD2">
        <v>132.44304897466691</v>
      </c>
      <c r="BE2">
        <v>132.75119718194401</v>
      </c>
      <c r="BF2">
        <v>132.0919227297984</v>
      </c>
      <c r="BG2">
        <v>130.2608577245484</v>
      </c>
      <c r="BH2">
        <v>131.23585196432731</v>
      </c>
      <c r="BI2">
        <v>131.35449188255771</v>
      </c>
      <c r="BJ2">
        <v>129.90167148403879</v>
      </c>
      <c r="BK2">
        <v>131.25828381322211</v>
      </c>
      <c r="BL2">
        <v>131.00997403736659</v>
      </c>
      <c r="BM2">
        <v>129.90688004130979</v>
      </c>
      <c r="BN2">
        <v>131.24028848745249</v>
      </c>
      <c r="BO2">
        <v>131.6129765230591</v>
      </c>
      <c r="BP2">
        <v>129.70728946714809</v>
      </c>
      <c r="BQ2">
        <v>131.15753032008999</v>
      </c>
      <c r="BR2">
        <v>133.64190587811029</v>
      </c>
      <c r="BS2">
        <v>131.2851900047597</v>
      </c>
      <c r="BT2">
        <v>132.70737220266281</v>
      </c>
      <c r="BU2">
        <v>132.35076212215961</v>
      </c>
      <c r="BV2">
        <v>131.0624540290093</v>
      </c>
      <c r="BW2">
        <v>131.95943977703419</v>
      </c>
      <c r="BX2">
        <v>132.0026646294111</v>
      </c>
      <c r="BY2">
        <v>133.02470425498629</v>
      </c>
      <c r="BZ2">
        <v>132.18902267289519</v>
      </c>
      <c r="CA2">
        <v>133.18946237369289</v>
      </c>
      <c r="CB2">
        <v>133.13973770742311</v>
      </c>
      <c r="CC2">
        <v>133.28411427480549</v>
      </c>
      <c r="CD2">
        <v>132.5792429463755</v>
      </c>
      <c r="CE2">
        <v>132.63709874815311</v>
      </c>
      <c r="CF2">
        <v>131.4365290309664</v>
      </c>
      <c r="CG2">
        <v>131.74347907257581</v>
      </c>
      <c r="CH2">
        <v>132.26389603622101</v>
      </c>
      <c r="CI2">
        <v>131.77864458463731</v>
      </c>
      <c r="CJ2">
        <v>131.96064386755589</v>
      </c>
      <c r="CK2">
        <v>133.14778970953441</v>
      </c>
      <c r="CL2">
        <v>133.86568139184391</v>
      </c>
      <c r="CM2">
        <v>133.7288503254513</v>
      </c>
      <c r="CN2">
        <v>133.10618370010471</v>
      </c>
      <c r="CO2">
        <v>133.22542921019911</v>
      </c>
      <c r="CP2">
        <v>133.20672416505451</v>
      </c>
      <c r="CQ2">
        <v>132.23631249187761</v>
      </c>
      <c r="CR2">
        <v>132.518622724588</v>
      </c>
      <c r="CS2">
        <v>132.5825075924092</v>
      </c>
      <c r="CT2">
        <v>134.00278884231969</v>
      </c>
      <c r="CU2">
        <v>132.95125403261579</v>
      </c>
      <c r="CV2">
        <v>133.0394675570362</v>
      </c>
      <c r="CW2">
        <v>133.74572984748531</v>
      </c>
      <c r="CX2">
        <v>133.2532011260538</v>
      </c>
      <c r="CY2">
        <v>132.2120473663856</v>
      </c>
      <c r="CZ2">
        <v>132.9411077041153</v>
      </c>
      <c r="DA2">
        <v>133.79420117474771</v>
      </c>
      <c r="DB2">
        <v>132.88215919623059</v>
      </c>
      <c r="DC2">
        <v>133.02651831583259</v>
      </c>
      <c r="DD2">
        <v>133.2288969860009</v>
      </c>
      <c r="DE2">
        <v>133.91132348047739</v>
      </c>
      <c r="DF2">
        <v>132.87568493244549</v>
      </c>
      <c r="DG2">
        <v>131.34145457832221</v>
      </c>
      <c r="DH2">
        <v>132.07985640777741</v>
      </c>
      <c r="DI2">
        <v>131.7627087687782</v>
      </c>
      <c r="DJ2">
        <v>133.61918501556079</v>
      </c>
      <c r="DK2">
        <v>132.99777937313749</v>
      </c>
      <c r="DL2">
        <v>134.5050561044099</v>
      </c>
      <c r="DM2">
        <v>133.02086903167199</v>
      </c>
      <c r="DN2">
        <v>132.0898169370312</v>
      </c>
      <c r="DO2">
        <v>132.52459613908511</v>
      </c>
      <c r="DP2">
        <v>133.53975590794161</v>
      </c>
      <c r="DQ2">
        <v>133.51651004595041</v>
      </c>
      <c r="DR2">
        <v>132.91132915763521</v>
      </c>
      <c r="DS2">
        <v>131.18227345181711</v>
      </c>
      <c r="DT2">
        <v>134.5046481748297</v>
      </c>
      <c r="DU2">
        <v>132.34343561482231</v>
      </c>
      <c r="DV2">
        <v>133.04048167006039</v>
      </c>
      <c r="DW2">
        <v>132.77094758024401</v>
      </c>
      <c r="DX2">
        <v>132.807410877828</v>
      </c>
      <c r="DY2">
        <v>134.99148279375831</v>
      </c>
      <c r="DZ2">
        <v>131.07419784143531</v>
      </c>
      <c r="EA2">
        <v>131.99809128524521</v>
      </c>
      <c r="EB2">
        <v>131.89728266615981</v>
      </c>
      <c r="EC2">
        <v>131.44012394781649</v>
      </c>
      <c r="ED2">
        <v>130.83866212154061</v>
      </c>
      <c r="EE2">
        <v>132.5665032344742</v>
      </c>
      <c r="EF2">
        <v>133.1197851074233</v>
      </c>
      <c r="EG2">
        <v>130.9274989938007</v>
      </c>
      <c r="EH2">
        <v>131.88749254649119</v>
      </c>
      <c r="EI2">
        <v>132.68964244196701</v>
      </c>
      <c r="EJ2">
        <v>132.88137171861959</v>
      </c>
      <c r="EK2">
        <v>134.14393174852589</v>
      </c>
      <c r="EL2">
        <v>133.97462371935711</v>
      </c>
      <c r="EM2">
        <v>133.06814181886881</v>
      </c>
      <c r="EN2">
        <v>132.70593527764819</v>
      </c>
      <c r="EO2">
        <v>132.9236106542547</v>
      </c>
      <c r="EP2">
        <v>132.54380262338501</v>
      </c>
      <c r="EQ2">
        <v>132.6934087966159</v>
      </c>
      <c r="ER2">
        <v>133.86325879699851</v>
      </c>
      <c r="ES2">
        <v>132.10969832541139</v>
      </c>
      <c r="ET2">
        <v>133.88197781122341</v>
      </c>
      <c r="EU2">
        <v>133.3663724756822</v>
      </c>
      <c r="EV2">
        <v>134.1859396250114</v>
      </c>
      <c r="EW2">
        <v>134.05736409768451</v>
      </c>
      <c r="EX2">
        <v>133.6436606136256</v>
      </c>
      <c r="EY2">
        <v>134.46103304913191</v>
      </c>
      <c r="EZ2">
        <v>134.25777379623801</v>
      </c>
      <c r="FA2">
        <v>134.30082071023929</v>
      </c>
      <c r="FB2">
        <v>132.83687377840809</v>
      </c>
      <c r="FC2">
        <v>133.6127408069502</v>
      </c>
      <c r="FD2">
        <v>132.36619458037231</v>
      </c>
      <c r="FE2">
        <v>133.57844979214741</v>
      </c>
      <c r="FF2">
        <v>131.5320346075186</v>
      </c>
      <c r="FG2">
        <v>134.96002875980841</v>
      </c>
      <c r="FH2">
        <v>134.25345938874861</v>
      </c>
      <c r="FI2">
        <v>133.3516934087146</v>
      </c>
      <c r="FJ2">
        <v>133.5979997629876</v>
      </c>
      <c r="FK2">
        <v>133.11099711764311</v>
      </c>
      <c r="FL2">
        <v>132.57815889000329</v>
      </c>
      <c r="FM2">
        <v>133.78385554975571</v>
      </c>
      <c r="FN2">
        <v>133.1388813336653</v>
      </c>
      <c r="FO2">
        <v>133.12336538327671</v>
      </c>
      <c r="FP2">
        <v>132.72529420684941</v>
      </c>
      <c r="FQ2">
        <v>133.3934931008537</v>
      </c>
      <c r="FR2">
        <v>132.72932199407029</v>
      </c>
      <c r="FS2">
        <v>132.3557769005451</v>
      </c>
      <c r="FT2">
        <v>133.39893131433419</v>
      </c>
      <c r="FU2">
        <v>132.81805097447739</v>
      </c>
      <c r="FV2">
        <v>132.95130911213539</v>
      </c>
      <c r="FW2">
        <v>130.8003197150903</v>
      </c>
      <c r="FX2">
        <v>132.09510653701571</v>
      </c>
      <c r="FY2">
        <v>133.5488959373229</v>
      </c>
      <c r="FZ2">
        <v>133.50953975771409</v>
      </c>
      <c r="GA2">
        <v>132.26175607617961</v>
      </c>
      <c r="GB2">
        <v>133.7136720988857</v>
      </c>
      <c r="GC2">
        <v>132.12382681003459</v>
      </c>
      <c r="GD2">
        <v>131.85414663829249</v>
      </c>
      <c r="GE2">
        <v>132.7005169131094</v>
      </c>
      <c r="GF2">
        <v>133.33426488927981</v>
      </c>
      <c r="GG2">
        <v>133.59903191823309</v>
      </c>
      <c r="GH2">
        <v>133.6763347577608</v>
      </c>
      <c r="GI2">
        <v>131.47200862203209</v>
      </c>
      <c r="GJ2">
        <v>131.81235072263209</v>
      </c>
      <c r="GK2">
        <v>132.94465720170081</v>
      </c>
      <c r="GL2">
        <v>131.52870861980131</v>
      </c>
      <c r="GM2">
        <v>132.59982622377021</v>
      </c>
      <c r="GN2">
        <v>132.69403985324729</v>
      </c>
      <c r="GO2">
        <v>132.58303485593169</v>
      </c>
      <c r="GP2">
        <v>132.69793367492679</v>
      </c>
      <c r="GQ2">
        <v>132.14730479608821</v>
      </c>
      <c r="GR2">
        <v>131.35097366189521</v>
      </c>
      <c r="GS2">
        <v>131.78495329542301</v>
      </c>
      <c r="GT2">
        <v>132.1686713224226</v>
      </c>
      <c r="GU2">
        <v>133.63721459117579</v>
      </c>
      <c r="GV2">
        <v>132.324568104734</v>
      </c>
      <c r="GW2">
        <v>131.33168993179129</v>
      </c>
      <c r="GX2">
        <v>133.37629467047171</v>
      </c>
      <c r="GY2">
        <v>131.48897295181931</v>
      </c>
      <c r="GZ2">
        <v>132.64500105666849</v>
      </c>
      <c r="HA2">
        <v>131.20948382303959</v>
      </c>
      <c r="HB2">
        <v>132.53269810507581</v>
      </c>
      <c r="HC2">
        <v>131.91460945550199</v>
      </c>
      <c r="HD2">
        <v>130.8395194848764</v>
      </c>
      <c r="HE2">
        <v>132.08089484771361</v>
      </c>
      <c r="HF2">
        <v>134.42842083247439</v>
      </c>
      <c r="HG2">
        <v>131.2607482449915</v>
      </c>
      <c r="HH2">
        <v>131.27931996493211</v>
      </c>
      <c r="HI2">
        <v>131.77065683583041</v>
      </c>
      <c r="HJ2">
        <v>132.07350904813981</v>
      </c>
      <c r="HK2">
        <v>131.96126432502379</v>
      </c>
      <c r="HL2">
        <v>131.5667352549618</v>
      </c>
      <c r="HM2">
        <v>132.1218639650736</v>
      </c>
      <c r="HN2">
        <v>130.89496109718101</v>
      </c>
      <c r="HO2">
        <v>130.69543764580609</v>
      </c>
      <c r="HP2">
        <v>132.024305937169</v>
      </c>
      <c r="HQ2">
        <v>130.90620215736709</v>
      </c>
      <c r="HR2">
        <v>130.31491552607221</v>
      </c>
      <c r="HS2">
        <v>131.72724156673351</v>
      </c>
      <c r="HT2">
        <v>131.3047147007498</v>
      </c>
      <c r="HU2">
        <v>130.36842688202239</v>
      </c>
      <c r="HV2">
        <v>132.86574299462271</v>
      </c>
      <c r="HW2">
        <v>132.03099486543061</v>
      </c>
      <c r="HX2">
        <v>131.57375056171031</v>
      </c>
      <c r="HY2">
        <v>132.13751718524529</v>
      </c>
      <c r="HZ2">
        <v>133.1232262771457</v>
      </c>
      <c r="IA2">
        <v>132.76178749223459</v>
      </c>
      <c r="IB2">
        <v>132.06677633617619</v>
      </c>
      <c r="IC2">
        <v>133.42429542281869</v>
      </c>
      <c r="ID2">
        <v>130.07371333908151</v>
      </c>
      <c r="IE2">
        <v>130.84426189453109</v>
      </c>
      <c r="IF2">
        <v>132.05690969039631</v>
      </c>
      <c r="IG2">
        <v>132.7856235165961</v>
      </c>
      <c r="IH2">
        <v>131.31791711613539</v>
      </c>
      <c r="II2">
        <v>133.66445248828941</v>
      </c>
      <c r="IJ2">
        <v>130.49013528050489</v>
      </c>
      <c r="IK2">
        <v>132.12628375648421</v>
      </c>
      <c r="IL2">
        <v>131.63413616627119</v>
      </c>
      <c r="IM2">
        <v>130.7915498291629</v>
      </c>
      <c r="IN2">
        <v>132.7105373570225</v>
      </c>
      <c r="IO2">
        <v>133.1308538727591</v>
      </c>
      <c r="IP2">
        <v>132.6009674506642</v>
      </c>
      <c r="IQ2">
        <v>131.5086696026591</v>
      </c>
      <c r="IR2">
        <v>132.68934314860769</v>
      </c>
      <c r="IS2">
        <v>133.8023280691082</v>
      </c>
      <c r="IT2">
        <v>134.0425846184832</v>
      </c>
      <c r="IU2">
        <v>133.59120057321121</v>
      </c>
      <c r="IV2">
        <v>134.5084830650172</v>
      </c>
      <c r="IW2">
        <v>134.67000493798159</v>
      </c>
      <c r="IX2">
        <v>135.08483516951691</v>
      </c>
      <c r="IY2">
        <v>134.7966287077478</v>
      </c>
      <c r="IZ2">
        <v>135.2779397139827</v>
      </c>
      <c r="JA2">
        <v>133.63585577058129</v>
      </c>
      <c r="JB2">
        <v>134.90190381170819</v>
      </c>
      <c r="JC2">
        <v>133.80650916869629</v>
      </c>
      <c r="JD2">
        <v>135.73923193555331</v>
      </c>
      <c r="JE2">
        <v>134.55068318999199</v>
      </c>
      <c r="JF2">
        <v>136.30976920139599</v>
      </c>
      <c r="JG2">
        <v>134.37344649767769</v>
      </c>
      <c r="JH2">
        <v>137.0247908672136</v>
      </c>
      <c r="JI2">
        <v>135.01810625565841</v>
      </c>
      <c r="JJ2">
        <v>136.0055641539534</v>
      </c>
      <c r="JK2">
        <v>135.8636338049167</v>
      </c>
      <c r="JL2">
        <v>135.16289248631139</v>
      </c>
      <c r="JM2">
        <v>135.53049160748071</v>
      </c>
      <c r="JN2">
        <v>136.1572312033754</v>
      </c>
      <c r="JO2">
        <v>135.9382831186887</v>
      </c>
      <c r="JP2">
        <v>136.12080697332311</v>
      </c>
      <c r="JQ2">
        <v>137.1891041814942</v>
      </c>
      <c r="JR2">
        <v>134.6030622546873</v>
      </c>
      <c r="JS2">
        <v>136.6211210926615</v>
      </c>
      <c r="JT2">
        <v>136.71118365926921</v>
      </c>
      <c r="JU2">
        <v>136.6129337354607</v>
      </c>
      <c r="JV2">
        <v>135.94206001078109</v>
      </c>
      <c r="JW2">
        <v>136.7832508243547</v>
      </c>
      <c r="JX2">
        <v>134.71342032693121</v>
      </c>
      <c r="JY2">
        <v>135.14304925562831</v>
      </c>
      <c r="JZ2">
        <v>135.16205734963651</v>
      </c>
      <c r="KA2">
        <v>137.06527418149921</v>
      </c>
      <c r="KB2">
        <v>134.77749148605611</v>
      </c>
      <c r="KC2">
        <v>137.20704919843391</v>
      </c>
      <c r="KD2">
        <v>134.11670342201811</v>
      </c>
      <c r="KE2">
        <v>136.0583894483066</v>
      </c>
      <c r="KF2">
        <v>135.05116669880721</v>
      </c>
      <c r="KG2">
        <v>134.43531570915891</v>
      </c>
      <c r="KH2">
        <v>135.32300917116709</v>
      </c>
      <c r="KI2">
        <v>135.19553335826589</v>
      </c>
      <c r="KJ2">
        <v>133.66709297973301</v>
      </c>
      <c r="KK2">
        <v>133.74338708943341</v>
      </c>
      <c r="KL2">
        <v>133.37292939795029</v>
      </c>
      <c r="KM2">
        <v>134.47092251804159</v>
      </c>
      <c r="KN2">
        <v>133.9753178117009</v>
      </c>
      <c r="KO2">
        <v>134.65104735353049</v>
      </c>
      <c r="KP2">
        <v>134.84695270698381</v>
      </c>
      <c r="KQ2">
        <v>134.23681820150799</v>
      </c>
      <c r="KR2">
        <v>136.14686544950331</v>
      </c>
      <c r="KS2">
        <v>134.67817621075801</v>
      </c>
      <c r="KT2">
        <v>136.42945059741291</v>
      </c>
      <c r="KU2">
        <v>135.34703512178669</v>
      </c>
      <c r="KV2">
        <v>136.05667448287269</v>
      </c>
      <c r="KW2">
        <v>135.00458885224339</v>
      </c>
      <c r="KX2">
        <v>135.82244032150851</v>
      </c>
      <c r="KY2">
        <v>135.3899673236792</v>
      </c>
      <c r="KZ2">
        <v>136.01320560750759</v>
      </c>
      <c r="LA2">
        <v>135.59896050757871</v>
      </c>
      <c r="LB2">
        <v>133.64790416426379</v>
      </c>
      <c r="LC2">
        <v>135.85369588113909</v>
      </c>
      <c r="LD2">
        <v>134.35008550544001</v>
      </c>
      <c r="LE2">
        <v>135.0864136123524</v>
      </c>
      <c r="LF2">
        <v>135.04642408520061</v>
      </c>
      <c r="LG2">
        <v>138.0910797161236</v>
      </c>
      <c r="LH2">
        <v>135.29496496004731</v>
      </c>
      <c r="LI2">
        <v>135.40107200611959</v>
      </c>
      <c r="LJ2">
        <v>134.62453363009149</v>
      </c>
      <c r="LK2">
        <v>134.78432323980829</v>
      </c>
      <c r="LL2">
        <v>135.17490516466779</v>
      </c>
      <c r="LM2">
        <v>135.5464944966603</v>
      </c>
      <c r="LN2">
        <v>134.78040279554739</v>
      </c>
      <c r="LO2">
        <v>134.22903489659751</v>
      </c>
      <c r="LP2">
        <v>134.47435881704811</v>
      </c>
      <c r="LQ2">
        <v>134.95134428038469</v>
      </c>
      <c r="LR2">
        <v>135.06410558253381</v>
      </c>
      <c r="LS2">
        <v>134.37038468319099</v>
      </c>
      <c r="LT2">
        <v>135.2875746445543</v>
      </c>
      <c r="LU2">
        <v>133.00304041917519</v>
      </c>
      <c r="LV2">
        <v>132.57807779106861</v>
      </c>
      <c r="LW2">
        <v>132.96792825719581</v>
      </c>
      <c r="LX2">
        <v>134.31733644934559</v>
      </c>
      <c r="LY2">
        <v>133.87585838144511</v>
      </c>
      <c r="LZ2">
        <v>134.67584078105281</v>
      </c>
      <c r="MA2">
        <v>134.64670209356021</v>
      </c>
      <c r="MB2">
        <v>136.68712539029329</v>
      </c>
      <c r="MC2">
        <v>135.999812434483</v>
      </c>
      <c r="MD2">
        <v>130.37668307040599</v>
      </c>
      <c r="ME2">
        <v>134.784785526896</v>
      </c>
      <c r="MF2">
        <v>133.3975033378735</v>
      </c>
      <c r="MG2">
        <v>131.78404035591259</v>
      </c>
      <c r="MH2">
        <v>132.2793194848405</v>
      </c>
      <c r="MI2">
        <v>135.23477315744299</v>
      </c>
      <c r="MJ2">
        <v>133.5218430522599</v>
      </c>
      <c r="MK2">
        <v>133.57369429875791</v>
      </c>
      <c r="ML2">
        <v>133.80799473251881</v>
      </c>
      <c r="MM2">
        <v>133.61046543251319</v>
      </c>
      <c r="MN2">
        <v>134.218426434728</v>
      </c>
      <c r="MO2">
        <v>134.87751534433551</v>
      </c>
      <c r="MP2">
        <v>135.58603746489831</v>
      </c>
      <c r="MQ2">
        <v>135.78193080592411</v>
      </c>
      <c r="MR2">
        <v>135.5396170696294</v>
      </c>
      <c r="MS2">
        <v>135.21477453660049</v>
      </c>
      <c r="MT2">
        <v>135.4411145873201</v>
      </c>
      <c r="MU2">
        <v>135.63232289208349</v>
      </c>
      <c r="MV2">
        <v>137.10270819038649</v>
      </c>
      <c r="MW2">
        <v>136.87948243549491</v>
      </c>
      <c r="MX2">
        <v>135.82639844806801</v>
      </c>
      <c r="MY2">
        <v>136.36167110999801</v>
      </c>
      <c r="MZ2">
        <v>136.5364282791576</v>
      </c>
      <c r="NA2">
        <v>136.66591066147291</v>
      </c>
      <c r="NB2">
        <v>135.69323112451019</v>
      </c>
      <c r="NC2">
        <v>135.8903071494864</v>
      </c>
      <c r="ND2">
        <v>136.11125369519701</v>
      </c>
      <c r="NE2">
        <v>136.22205167044331</v>
      </c>
      <c r="NF2">
        <v>135.14976567834</v>
      </c>
      <c r="NG2">
        <v>136.73245147327731</v>
      </c>
      <c r="NH2">
        <v>136.7729821497125</v>
      </c>
      <c r="NI2">
        <v>135.30000025046601</v>
      </c>
      <c r="NJ2">
        <v>136.0212001422214</v>
      </c>
      <c r="NK2">
        <v>136.34241997971671</v>
      </c>
      <c r="NL2">
        <v>136.55718965882789</v>
      </c>
      <c r="NM2">
        <v>135.8199696667906</v>
      </c>
      <c r="NN2">
        <v>135.3095623097079</v>
      </c>
      <c r="NO2">
        <v>136.05114376045881</v>
      </c>
      <c r="NP2">
        <v>136.00579190993679</v>
      </c>
      <c r="NQ2">
        <v>135.11201148407389</v>
      </c>
      <c r="NR2">
        <v>136.90842097139571</v>
      </c>
      <c r="NS2">
        <v>138.5193189689443</v>
      </c>
      <c r="NT2">
        <v>137.4158583065273</v>
      </c>
      <c r="NU2">
        <v>135.9115009580824</v>
      </c>
      <c r="NV2">
        <v>139.87646728012359</v>
      </c>
      <c r="NW2">
        <v>136.7845008417697</v>
      </c>
      <c r="NX2">
        <v>137.33469304280291</v>
      </c>
      <c r="NY2">
        <v>136.71980807871401</v>
      </c>
      <c r="NZ2">
        <v>136.08109926270549</v>
      </c>
      <c r="OA2">
        <v>136.7168595646713</v>
      </c>
      <c r="OB2">
        <v>137.0127081703726</v>
      </c>
      <c r="OC2">
        <v>137.76996632195571</v>
      </c>
      <c r="OD2">
        <v>135.88827388119779</v>
      </c>
      <c r="OE2">
        <v>135.93378427053901</v>
      </c>
      <c r="OF2">
        <v>137.1120576231686</v>
      </c>
      <c r="OG2">
        <v>138.51514254049121</v>
      </c>
      <c r="OH2">
        <v>137.89754092901359</v>
      </c>
      <c r="OI2">
        <v>137.2613079529259</v>
      </c>
      <c r="OJ2">
        <v>137.5413627383744</v>
      </c>
      <c r="OK2">
        <v>135.7429226956038</v>
      </c>
      <c r="OL2">
        <v>135.23383463124699</v>
      </c>
      <c r="OM2">
        <v>135.60216206278571</v>
      </c>
      <c r="ON2">
        <v>136.81459074462691</v>
      </c>
      <c r="OO2">
        <v>136.57540669033179</v>
      </c>
      <c r="OP2">
        <v>137.43106531351509</v>
      </c>
      <c r="OQ2">
        <v>137.7202455138887</v>
      </c>
      <c r="OR2">
        <v>137.03499976087249</v>
      </c>
      <c r="OS2">
        <v>137.67779383595291</v>
      </c>
      <c r="OT2">
        <v>136.86545844255599</v>
      </c>
      <c r="OU2">
        <v>138.2398143634278</v>
      </c>
      <c r="OV2">
        <v>136.4775470147909</v>
      </c>
      <c r="OW2">
        <v>136.11073415811441</v>
      </c>
      <c r="OX2">
        <v>136.51477931905339</v>
      </c>
      <c r="OY2">
        <v>135.94882721588431</v>
      </c>
      <c r="OZ2">
        <v>136.16980447180001</v>
      </c>
      <c r="PA2">
        <v>136.29885671558739</v>
      </c>
      <c r="PB2">
        <v>137.00741590465771</v>
      </c>
      <c r="PC2">
        <v>137.79716015403449</v>
      </c>
      <c r="PD2">
        <v>134.87388232594279</v>
      </c>
      <c r="PE2">
        <v>136.31707757302121</v>
      </c>
      <c r="PF2">
        <v>135.1843055262749</v>
      </c>
      <c r="PG2">
        <v>135.51110614606119</v>
      </c>
      <c r="PH2">
        <v>136.7488342383289</v>
      </c>
      <c r="PI2">
        <v>137.14500242892359</v>
      </c>
      <c r="PJ2">
        <v>136.79000336322019</v>
      </c>
      <c r="PK2">
        <v>136.91788261738029</v>
      </c>
      <c r="PL2">
        <v>136.64023250190499</v>
      </c>
      <c r="PM2">
        <v>137.53344240365891</v>
      </c>
      <c r="PN2">
        <v>138.07118392295359</v>
      </c>
      <c r="PO2">
        <v>136.56861898773681</v>
      </c>
      <c r="PP2">
        <v>136.74984028243099</v>
      </c>
      <c r="PQ2">
        <v>137.5475175372101</v>
      </c>
      <c r="PR2">
        <v>137.4488262868615</v>
      </c>
      <c r="PS2">
        <v>136.5535722017963</v>
      </c>
      <c r="PT2">
        <v>136.40578252832091</v>
      </c>
      <c r="PU2">
        <v>136.56062833706781</v>
      </c>
      <c r="PV2">
        <v>137.34035653835011</v>
      </c>
      <c r="PW2">
        <v>135.9111630486228</v>
      </c>
      <c r="PX2">
        <v>136.9881565169521</v>
      </c>
      <c r="PY2">
        <v>137.76846126144019</v>
      </c>
      <c r="PZ2">
        <v>137.60283544240721</v>
      </c>
      <c r="QA2">
        <v>137.8430807777697</v>
      </c>
      <c r="QB2">
        <v>135.8126376704019</v>
      </c>
      <c r="QC2">
        <v>137.1344385748956</v>
      </c>
      <c r="QD2">
        <v>136.18817793826341</v>
      </c>
      <c r="QE2">
        <v>131.25368728191711</v>
      </c>
      <c r="QF2">
        <v>136.05632120452859</v>
      </c>
      <c r="QG2">
        <v>136.88098243777449</v>
      </c>
      <c r="QH2">
        <v>137.20377228585971</v>
      </c>
      <c r="QI2">
        <v>136.3915843143165</v>
      </c>
      <c r="QJ2">
        <v>136.79715166064699</v>
      </c>
      <c r="QK2">
        <v>136.81194415837371</v>
      </c>
      <c r="QL2">
        <v>136.01598172989301</v>
      </c>
      <c r="QM2">
        <v>135.6200262497423</v>
      </c>
      <c r="QN2">
        <v>135.88967678804011</v>
      </c>
      <c r="QO2">
        <v>136.33676839689829</v>
      </c>
      <c r="QP2">
        <v>136.88884558653791</v>
      </c>
      <c r="QQ2">
        <v>136.6931365673783</v>
      </c>
      <c r="QR2">
        <v>136.48195985799489</v>
      </c>
      <c r="QS2">
        <v>136.97951758211281</v>
      </c>
      <c r="QT2">
        <v>137.8432258987915</v>
      </c>
      <c r="QU2">
        <v>136.60942143574749</v>
      </c>
      <c r="QV2">
        <v>136.8121403511544</v>
      </c>
      <c r="QW2">
        <v>137.75730937869039</v>
      </c>
      <c r="QX2">
        <v>137.84816144960749</v>
      </c>
      <c r="QY2">
        <v>137.07794243382759</v>
      </c>
      <c r="QZ2">
        <v>137.7403087548314</v>
      </c>
      <c r="RA2">
        <v>135.71469458839491</v>
      </c>
      <c r="RB2">
        <v>129.93459713898281</v>
      </c>
      <c r="RC2">
        <v>128.35442081999699</v>
      </c>
      <c r="RD2">
        <v>129.57984092141589</v>
      </c>
      <c r="RE2">
        <v>128.72631182741159</v>
      </c>
      <c r="RF2">
        <v>129.41123929182541</v>
      </c>
      <c r="RG2">
        <v>129.755151347104</v>
      </c>
      <c r="RH2">
        <v>128.28793782175231</v>
      </c>
      <c r="RI2">
        <v>127.37197556257151</v>
      </c>
      <c r="RJ2">
        <v>127.71038026777209</v>
      </c>
      <c r="RK2">
        <v>128.07410473169929</v>
      </c>
      <c r="RL2">
        <v>129.8590915486547</v>
      </c>
      <c r="RM2">
        <v>128.72425142808899</v>
      </c>
      <c r="RN2">
        <v>130.5862085231802</v>
      </c>
      <c r="RO2">
        <v>130.39578708815981</v>
      </c>
      <c r="RP2">
        <v>130.50783594141151</v>
      </c>
      <c r="RQ2">
        <v>131.73006886686841</v>
      </c>
      <c r="RR2">
        <v>130.2715188296865</v>
      </c>
      <c r="RS2">
        <v>128.38526396945699</v>
      </c>
      <c r="RT2">
        <v>130.54581177851131</v>
      </c>
      <c r="RU2">
        <v>129.95000222536521</v>
      </c>
      <c r="RV2">
        <v>131.15817142340379</v>
      </c>
      <c r="RW2">
        <v>131.85409147500451</v>
      </c>
      <c r="RX2">
        <v>129.33692960077809</v>
      </c>
      <c r="RY2">
        <v>129.6450427248173</v>
      </c>
      <c r="RZ2">
        <v>130.78601506894731</v>
      </c>
      <c r="SA2">
        <v>128.93245271833999</v>
      </c>
      <c r="SB2">
        <v>130.16735450518411</v>
      </c>
      <c r="SC2">
        <v>130.11098320770091</v>
      </c>
      <c r="SD2">
        <v>131.43721537509529</v>
      </c>
      <c r="SE2">
        <v>131.53588989212881</v>
      </c>
      <c r="SF2">
        <v>131.22557351948609</v>
      </c>
      <c r="SG2">
        <v>129.48935547726481</v>
      </c>
      <c r="SH2">
        <v>132.44304897466691</v>
      </c>
      <c r="SI2">
        <v>132.75119718194401</v>
      </c>
      <c r="SJ2">
        <v>132.0919227297984</v>
      </c>
      <c r="SK2">
        <v>130.2608577245484</v>
      </c>
      <c r="SL2">
        <v>131.23585196432731</v>
      </c>
      <c r="SM2">
        <v>131.35449188255771</v>
      </c>
      <c r="SN2">
        <v>129.90167148403879</v>
      </c>
      <c r="SO2">
        <v>131.25828381322211</v>
      </c>
      <c r="SP2">
        <v>131.00997403736659</v>
      </c>
      <c r="SQ2">
        <v>129.90688004130979</v>
      </c>
      <c r="SR2">
        <v>131.24028848745249</v>
      </c>
      <c r="SS2">
        <v>131.6129765230591</v>
      </c>
      <c r="ST2">
        <v>129.70728946714809</v>
      </c>
      <c r="SU2">
        <v>131.15753032008999</v>
      </c>
      <c r="SV2">
        <v>133.64190587811029</v>
      </c>
      <c r="SW2">
        <v>131.2851900047597</v>
      </c>
      <c r="SX2">
        <v>132.70737220266281</v>
      </c>
      <c r="SY2">
        <v>132.35076212215961</v>
      </c>
      <c r="SZ2">
        <v>131.0624540290093</v>
      </c>
      <c r="TA2">
        <v>131.95943977703419</v>
      </c>
      <c r="TB2">
        <v>132.0026646294111</v>
      </c>
      <c r="TC2">
        <v>133.02470425498629</v>
      </c>
      <c r="TD2">
        <v>132.18902267289519</v>
      </c>
      <c r="TE2">
        <v>133.18946237369289</v>
      </c>
      <c r="TF2">
        <v>133.13973770742311</v>
      </c>
      <c r="TG2">
        <v>133.28411427480549</v>
      </c>
      <c r="TH2">
        <v>132.5792429463755</v>
      </c>
      <c r="TI2">
        <v>132.63709874815311</v>
      </c>
      <c r="TJ2">
        <v>131.4365290309664</v>
      </c>
      <c r="TK2">
        <v>131.74347907257581</v>
      </c>
      <c r="TL2">
        <v>132.26389603622101</v>
      </c>
      <c r="TM2">
        <v>131.77864458463731</v>
      </c>
      <c r="TN2">
        <v>131.96064386755589</v>
      </c>
      <c r="TO2">
        <v>133.14778970953441</v>
      </c>
      <c r="TP2">
        <v>133.86568139184391</v>
      </c>
      <c r="TQ2">
        <v>133.7288503254513</v>
      </c>
      <c r="TR2">
        <v>133.10618370010471</v>
      </c>
      <c r="TS2">
        <v>133.22542921019911</v>
      </c>
      <c r="TT2">
        <v>133.20672416505451</v>
      </c>
      <c r="TU2">
        <v>132.23631249187761</v>
      </c>
      <c r="TV2">
        <v>132.518622724588</v>
      </c>
      <c r="TW2">
        <v>132.5825075924092</v>
      </c>
      <c r="TX2">
        <v>134.00278884231969</v>
      </c>
      <c r="TY2">
        <v>132.95125403261579</v>
      </c>
      <c r="TZ2">
        <v>133.0394675570362</v>
      </c>
      <c r="UA2">
        <v>133.74572984748531</v>
      </c>
      <c r="UB2">
        <v>133.2532011260538</v>
      </c>
      <c r="UC2">
        <v>132.2120473663856</v>
      </c>
      <c r="UD2">
        <v>132.9411077041153</v>
      </c>
      <c r="UE2">
        <v>133.79420117474771</v>
      </c>
      <c r="UF2">
        <v>132.88215919623059</v>
      </c>
      <c r="UG2">
        <v>133.02651831583259</v>
      </c>
      <c r="UH2">
        <v>133.2288969860009</v>
      </c>
      <c r="UI2">
        <v>133.91132348047739</v>
      </c>
      <c r="UJ2">
        <v>132.87568493244549</v>
      </c>
      <c r="UK2">
        <v>131.34145457832221</v>
      </c>
      <c r="UL2">
        <v>132.07985640777741</v>
      </c>
      <c r="UM2">
        <v>131.7627087687782</v>
      </c>
      <c r="UN2">
        <v>133.61918501556079</v>
      </c>
      <c r="UO2">
        <v>132.99777937313749</v>
      </c>
      <c r="UP2">
        <v>134.5050561044099</v>
      </c>
      <c r="UQ2">
        <v>133.02086903167199</v>
      </c>
      <c r="UR2">
        <v>132.0898169370312</v>
      </c>
      <c r="US2">
        <v>132.52459613908511</v>
      </c>
      <c r="UT2">
        <v>133.53975590794161</v>
      </c>
      <c r="UU2">
        <v>133.51651004595041</v>
      </c>
      <c r="UV2">
        <v>132.91132915763521</v>
      </c>
      <c r="UW2">
        <v>131.18227345181711</v>
      </c>
      <c r="UX2">
        <v>134.5046481748297</v>
      </c>
      <c r="UY2">
        <v>132.34343561482231</v>
      </c>
      <c r="UZ2">
        <v>133.04048167006039</v>
      </c>
      <c r="VA2">
        <v>132.77094758024401</v>
      </c>
      <c r="VB2">
        <v>132.807410877828</v>
      </c>
      <c r="VC2">
        <v>134.99148279375831</v>
      </c>
      <c r="VD2">
        <v>131.07419784143531</v>
      </c>
      <c r="VE2">
        <v>131.99809128524521</v>
      </c>
      <c r="VF2">
        <v>131.89728266615981</v>
      </c>
      <c r="VG2">
        <v>131.44012394781649</v>
      </c>
      <c r="VH2">
        <v>130.83866212154061</v>
      </c>
      <c r="VI2">
        <v>132.5665032344742</v>
      </c>
      <c r="VJ2">
        <v>133.1197851074233</v>
      </c>
      <c r="VK2">
        <v>130.9274989938007</v>
      </c>
      <c r="VL2">
        <v>131.88749254649119</v>
      </c>
      <c r="VM2">
        <v>132.68964244196701</v>
      </c>
      <c r="VN2">
        <v>132.88137171861959</v>
      </c>
      <c r="VO2">
        <v>134.14393174852589</v>
      </c>
      <c r="VP2">
        <v>133.97462371935711</v>
      </c>
      <c r="VQ2">
        <v>133.06814181886881</v>
      </c>
      <c r="VR2">
        <v>132.70593527764819</v>
      </c>
      <c r="VS2">
        <v>132.9236106542547</v>
      </c>
      <c r="VT2">
        <v>132.54380262338501</v>
      </c>
      <c r="VU2">
        <v>132.6934087966159</v>
      </c>
      <c r="VV2">
        <v>133.86325879699851</v>
      </c>
      <c r="VW2">
        <v>132.10969832541139</v>
      </c>
      <c r="VX2">
        <v>133.88197781122341</v>
      </c>
      <c r="VY2">
        <v>133.3663724756822</v>
      </c>
      <c r="VZ2">
        <v>134.1859396250114</v>
      </c>
      <c r="WA2">
        <v>134.05736409768451</v>
      </c>
      <c r="WB2">
        <v>133.6436606136256</v>
      </c>
      <c r="WC2">
        <v>134.46103304913191</v>
      </c>
      <c r="WD2">
        <v>134.25777379623801</v>
      </c>
      <c r="WE2">
        <v>134.30082071023929</v>
      </c>
      <c r="WF2">
        <v>132.83687377840809</v>
      </c>
      <c r="WG2">
        <v>133.6127408069502</v>
      </c>
      <c r="WH2">
        <v>132.36619458037231</v>
      </c>
      <c r="WI2">
        <v>133.57844979214741</v>
      </c>
      <c r="WJ2">
        <v>131.5320346075186</v>
      </c>
      <c r="WK2">
        <v>134.96002875980841</v>
      </c>
      <c r="WL2">
        <v>134.25345938874861</v>
      </c>
      <c r="WM2">
        <v>133.3516934087146</v>
      </c>
      <c r="WN2">
        <v>133.5979997629876</v>
      </c>
      <c r="WO2">
        <v>133.11099711764311</v>
      </c>
      <c r="WP2">
        <v>132.57815889000329</v>
      </c>
      <c r="WQ2">
        <v>133.78385554975571</v>
      </c>
      <c r="WR2">
        <v>133.1388813336653</v>
      </c>
      <c r="WS2">
        <v>133.12336538327671</v>
      </c>
      <c r="WT2">
        <v>132.72529420684941</v>
      </c>
      <c r="WU2">
        <v>133.3934931008537</v>
      </c>
      <c r="WV2">
        <v>132.72932199407029</v>
      </c>
      <c r="WW2">
        <v>132.3557769005451</v>
      </c>
      <c r="WX2">
        <v>133.39893131433419</v>
      </c>
      <c r="WY2">
        <v>132.81805097447739</v>
      </c>
      <c r="WZ2">
        <v>132.95130911213539</v>
      </c>
      <c r="XA2">
        <v>130.8003197150903</v>
      </c>
      <c r="XB2">
        <v>132.09510653701571</v>
      </c>
      <c r="XC2">
        <v>133.5488959373229</v>
      </c>
      <c r="XD2">
        <v>133.50953975771409</v>
      </c>
      <c r="XE2">
        <v>132.26175607617961</v>
      </c>
      <c r="XF2">
        <v>133.7136720988857</v>
      </c>
      <c r="XG2">
        <v>132.12382681003459</v>
      </c>
      <c r="XH2">
        <v>131.85414663829249</v>
      </c>
      <c r="XI2">
        <v>132.7005169131094</v>
      </c>
      <c r="XJ2">
        <v>133.33426488927981</v>
      </c>
      <c r="XK2">
        <v>133.59903191823309</v>
      </c>
      <c r="XL2">
        <v>133.6763347577608</v>
      </c>
      <c r="XM2">
        <v>131.47200862203209</v>
      </c>
      <c r="XN2">
        <v>131.81235072263209</v>
      </c>
      <c r="XO2">
        <v>132.94465720170081</v>
      </c>
      <c r="XP2">
        <v>131.52870861980131</v>
      </c>
      <c r="XQ2">
        <v>132.59982622377021</v>
      </c>
      <c r="XR2">
        <v>132.69403985324729</v>
      </c>
      <c r="XS2">
        <v>132.58303485593169</v>
      </c>
      <c r="XT2">
        <v>132.69793367492679</v>
      </c>
      <c r="XU2">
        <v>132.14730479608821</v>
      </c>
      <c r="XV2">
        <v>131.35097366189521</v>
      </c>
      <c r="XW2">
        <v>131.78495329542301</v>
      </c>
      <c r="XX2">
        <v>132.1686713224226</v>
      </c>
      <c r="XY2">
        <v>133.63721459117579</v>
      </c>
      <c r="XZ2">
        <v>132.324568104734</v>
      </c>
      <c r="YA2">
        <v>131.33168993179129</v>
      </c>
      <c r="YB2">
        <v>133.37629467047171</v>
      </c>
      <c r="YC2">
        <v>131.48897295181931</v>
      </c>
      <c r="YD2">
        <v>132.64500105666849</v>
      </c>
      <c r="YE2">
        <v>131.20948382303959</v>
      </c>
      <c r="YF2">
        <v>132.53269810507581</v>
      </c>
      <c r="YG2">
        <v>131.91460945550199</v>
      </c>
      <c r="YH2">
        <v>130.8395194848764</v>
      </c>
      <c r="YI2">
        <v>132.08089484771361</v>
      </c>
      <c r="YJ2">
        <v>134.42842083247439</v>
      </c>
      <c r="YK2">
        <v>131.2607482449915</v>
      </c>
      <c r="YL2">
        <v>131.27931996493211</v>
      </c>
      <c r="YM2">
        <v>131.77065683583041</v>
      </c>
      <c r="YN2">
        <v>132.07350904813981</v>
      </c>
      <c r="YO2">
        <v>131.96126432502379</v>
      </c>
      <c r="YP2">
        <v>131.5667352549618</v>
      </c>
      <c r="YQ2">
        <v>132.1218639650736</v>
      </c>
      <c r="YR2">
        <v>130.89496109718101</v>
      </c>
      <c r="YS2">
        <v>130.69543764580609</v>
      </c>
      <c r="YT2">
        <v>132.024305937169</v>
      </c>
      <c r="YU2">
        <v>130.90620215736709</v>
      </c>
      <c r="YV2">
        <v>130.31491552607221</v>
      </c>
      <c r="YW2">
        <v>131.72724156673351</v>
      </c>
      <c r="YX2">
        <v>131.3047147007498</v>
      </c>
      <c r="YY2">
        <v>130.36842688202239</v>
      </c>
      <c r="YZ2">
        <v>132.86574299462271</v>
      </c>
      <c r="ZA2">
        <v>132.03099486543061</v>
      </c>
      <c r="ZB2">
        <v>131.57375056171031</v>
      </c>
      <c r="ZC2">
        <v>132.13751718524529</v>
      </c>
      <c r="ZD2">
        <v>133.1232262771457</v>
      </c>
      <c r="ZE2">
        <v>132.76178749223459</v>
      </c>
      <c r="ZF2">
        <v>132.06677633617619</v>
      </c>
      <c r="ZG2">
        <v>133.42429542281869</v>
      </c>
      <c r="ZH2">
        <v>130.07371333908151</v>
      </c>
      <c r="ZI2">
        <v>130.84426189453109</v>
      </c>
      <c r="ZJ2">
        <v>132.05690969039631</v>
      </c>
      <c r="ZK2">
        <v>132.7856235165961</v>
      </c>
      <c r="ZL2">
        <v>131.31791711613539</v>
      </c>
      <c r="ZM2">
        <v>133.66445248828941</v>
      </c>
      <c r="ZN2">
        <v>130.49013528050489</v>
      </c>
      <c r="ZO2">
        <v>132.12628375648421</v>
      </c>
      <c r="ZP2">
        <v>131.63413616627119</v>
      </c>
      <c r="ZQ2">
        <v>130.7915498291629</v>
      </c>
      <c r="ZR2">
        <v>132.7105373570225</v>
      </c>
      <c r="ZS2">
        <v>133.1308538727591</v>
      </c>
      <c r="ZT2">
        <v>132.6009674506642</v>
      </c>
      <c r="ZU2">
        <v>131.5086696026591</v>
      </c>
      <c r="ZV2">
        <v>132.68934314860769</v>
      </c>
      <c r="ZW2">
        <v>133.8023280691082</v>
      </c>
      <c r="ZX2">
        <v>134.0425846184832</v>
      </c>
      <c r="ZY2">
        <v>133.59120057321121</v>
      </c>
      <c r="ZZ2">
        <v>134.5084830650172</v>
      </c>
      <c r="AAA2">
        <v>134.67000493798159</v>
      </c>
      <c r="AAB2">
        <v>135.08483516951691</v>
      </c>
      <c r="AAC2">
        <v>134.7966287077478</v>
      </c>
      <c r="AAD2">
        <v>135.2779397139827</v>
      </c>
      <c r="AAE2">
        <v>133.63585577058129</v>
      </c>
      <c r="AAF2">
        <v>134.90190381170819</v>
      </c>
      <c r="AAG2">
        <v>133.80650916869629</v>
      </c>
      <c r="AAH2">
        <v>135.73923193555331</v>
      </c>
      <c r="AAI2">
        <v>134.55068318999199</v>
      </c>
      <c r="AAJ2">
        <v>136.30976920139599</v>
      </c>
      <c r="AAK2">
        <v>134.37344649767769</v>
      </c>
      <c r="AAL2">
        <v>137.0247908672136</v>
      </c>
      <c r="AAM2">
        <v>135.01810625565841</v>
      </c>
      <c r="AAN2">
        <v>136.0055641539534</v>
      </c>
      <c r="AAO2">
        <v>135.8636338049167</v>
      </c>
      <c r="AAP2">
        <v>135.16289248631139</v>
      </c>
      <c r="AAQ2">
        <v>135.53049160748071</v>
      </c>
      <c r="AAR2">
        <v>136.1572312033754</v>
      </c>
      <c r="AAS2">
        <v>135.9382831186887</v>
      </c>
      <c r="AAT2">
        <v>136.12080697332311</v>
      </c>
      <c r="AAU2">
        <v>137.1891041814942</v>
      </c>
      <c r="AAV2">
        <v>134.6030622546873</v>
      </c>
      <c r="AAW2">
        <v>136.6211210926615</v>
      </c>
      <c r="AAX2">
        <v>136.71118365926921</v>
      </c>
      <c r="AAY2">
        <v>136.6129337354607</v>
      </c>
      <c r="AAZ2">
        <v>135.94206001078109</v>
      </c>
      <c r="ABA2">
        <v>136.7832508243547</v>
      </c>
      <c r="ABB2">
        <v>134.71342032693121</v>
      </c>
      <c r="ABC2">
        <v>135.14304925562831</v>
      </c>
      <c r="ABD2">
        <v>135.16205734963651</v>
      </c>
      <c r="ABE2">
        <v>137.06527418149921</v>
      </c>
      <c r="ABF2">
        <v>134.77749148605611</v>
      </c>
      <c r="ABG2">
        <v>137.20704919843391</v>
      </c>
      <c r="ABH2">
        <v>134.11670342201811</v>
      </c>
      <c r="ABI2">
        <v>136.0583894483066</v>
      </c>
      <c r="ABJ2">
        <v>135.05116669880721</v>
      </c>
      <c r="ABK2">
        <v>134.43531570915891</v>
      </c>
      <c r="ABL2">
        <v>135.32300917116709</v>
      </c>
      <c r="ABM2">
        <v>135.19553335826589</v>
      </c>
      <c r="ABN2">
        <v>133.66709297973301</v>
      </c>
      <c r="ABO2">
        <v>133.74338708943341</v>
      </c>
      <c r="ABP2">
        <v>133.37292939795029</v>
      </c>
      <c r="ABQ2">
        <v>134.47092251804159</v>
      </c>
      <c r="ABR2">
        <v>133.9753178117009</v>
      </c>
      <c r="ABS2">
        <v>134.65104735353049</v>
      </c>
      <c r="ABT2">
        <v>134.84695270698381</v>
      </c>
      <c r="ABU2">
        <v>134.23681820150799</v>
      </c>
      <c r="ABV2">
        <v>136.14686544950331</v>
      </c>
      <c r="ABW2">
        <v>134.67817621075801</v>
      </c>
      <c r="ABX2">
        <v>136.42945059741291</v>
      </c>
      <c r="ABY2">
        <v>135.34703512178669</v>
      </c>
      <c r="ABZ2">
        <v>136.05667448287269</v>
      </c>
      <c r="ACA2">
        <v>135.00458885224339</v>
      </c>
      <c r="ACB2">
        <v>135.82244032150851</v>
      </c>
      <c r="ACC2">
        <v>135.3899673236792</v>
      </c>
      <c r="ACD2">
        <v>136.01320560750759</v>
      </c>
      <c r="ACE2">
        <v>135.59896050757871</v>
      </c>
      <c r="ACF2">
        <v>133.64790416426379</v>
      </c>
      <c r="ACG2">
        <v>135.85369588113909</v>
      </c>
      <c r="ACH2">
        <v>134.35008550544001</v>
      </c>
      <c r="ACI2">
        <v>135.0864136123524</v>
      </c>
      <c r="ACJ2">
        <v>135.04642408520061</v>
      </c>
      <c r="ACK2">
        <v>138.0910797161236</v>
      </c>
      <c r="ACL2">
        <v>135.29496496004731</v>
      </c>
      <c r="ACM2">
        <v>135.40107200611959</v>
      </c>
      <c r="ACN2">
        <v>134.62453363009149</v>
      </c>
      <c r="ACO2">
        <v>134.78432323980829</v>
      </c>
      <c r="ACP2">
        <v>135.17490516466779</v>
      </c>
      <c r="ACQ2">
        <v>135.5464944966603</v>
      </c>
      <c r="ACR2">
        <v>134.78040279554739</v>
      </c>
      <c r="ACS2">
        <v>134.22903489659751</v>
      </c>
      <c r="ACT2">
        <v>134.47435881704811</v>
      </c>
      <c r="ACU2">
        <v>134.95134428038469</v>
      </c>
      <c r="ACV2">
        <v>135.06410558253381</v>
      </c>
      <c r="ACW2">
        <v>134.37038468319099</v>
      </c>
      <c r="ACX2">
        <v>135.2875746445543</v>
      </c>
      <c r="ACY2">
        <v>133.00304041917519</v>
      </c>
      <c r="ACZ2">
        <v>132.57807779106861</v>
      </c>
      <c r="ADA2">
        <v>132.96792825719581</v>
      </c>
      <c r="ADB2">
        <v>134.31733644934559</v>
      </c>
      <c r="ADC2">
        <v>133.87585838144511</v>
      </c>
      <c r="ADD2">
        <v>134.67584078105281</v>
      </c>
      <c r="ADE2">
        <v>134.64670209356021</v>
      </c>
      <c r="ADF2">
        <v>136.68712539029329</v>
      </c>
      <c r="ADG2">
        <v>135.999812434483</v>
      </c>
      <c r="ADH2">
        <v>130.37668307040599</v>
      </c>
      <c r="ADI2">
        <v>134.784785526896</v>
      </c>
      <c r="ADJ2">
        <v>133.3975033378735</v>
      </c>
      <c r="ADK2">
        <v>131.78404035591259</v>
      </c>
      <c r="ADL2">
        <v>132.2793194848405</v>
      </c>
      <c r="ADM2">
        <v>135.23477315744299</v>
      </c>
      <c r="ADN2">
        <v>133.5218430522599</v>
      </c>
      <c r="ADO2">
        <v>133.57369429875791</v>
      </c>
      <c r="ADP2">
        <v>133.80799473251881</v>
      </c>
      <c r="ADQ2">
        <v>133.61046543251319</v>
      </c>
      <c r="ADR2">
        <v>134.218426434728</v>
      </c>
      <c r="ADS2">
        <v>134.87751534433551</v>
      </c>
      <c r="ADT2">
        <v>135.58603746489831</v>
      </c>
      <c r="ADU2">
        <v>135.78193080592411</v>
      </c>
      <c r="ADV2">
        <v>135.5396170696294</v>
      </c>
      <c r="ADW2">
        <v>135.21477453660049</v>
      </c>
      <c r="ADX2">
        <v>135.4411145873201</v>
      </c>
      <c r="ADY2">
        <v>135.63232289208349</v>
      </c>
      <c r="ADZ2">
        <v>137.10270819038649</v>
      </c>
      <c r="AEA2">
        <v>136.87948243549491</v>
      </c>
      <c r="AEB2">
        <v>135.82639844806801</v>
      </c>
      <c r="AEC2">
        <v>136.36167110999801</v>
      </c>
      <c r="AED2">
        <v>136.5364282791576</v>
      </c>
      <c r="AEE2">
        <v>136.66591066147291</v>
      </c>
      <c r="AEF2">
        <v>135.69323112451019</v>
      </c>
      <c r="AEG2">
        <v>135.8903071494864</v>
      </c>
      <c r="AEH2">
        <v>136.11125369519701</v>
      </c>
      <c r="AEI2">
        <v>136.22205167044331</v>
      </c>
      <c r="AEJ2">
        <v>135.14976567834</v>
      </c>
      <c r="AEK2">
        <v>136.73245147327731</v>
      </c>
      <c r="AEL2">
        <v>136.7729821497125</v>
      </c>
      <c r="AEM2">
        <v>135.30000025046601</v>
      </c>
      <c r="AEN2">
        <v>136.0212001422214</v>
      </c>
      <c r="AEO2">
        <v>136.34241997971671</v>
      </c>
      <c r="AEP2">
        <v>136.55718965882789</v>
      </c>
      <c r="AEQ2">
        <v>135.8199696667906</v>
      </c>
      <c r="AER2">
        <v>135.3095623097079</v>
      </c>
      <c r="AES2">
        <v>136.05114376045881</v>
      </c>
      <c r="AET2">
        <v>136.00579190993679</v>
      </c>
      <c r="AEU2">
        <v>135.11201148407389</v>
      </c>
      <c r="AEV2">
        <v>136.90842097139571</v>
      </c>
      <c r="AEW2">
        <v>138.5193189689443</v>
      </c>
      <c r="AEX2">
        <v>137.4158583065273</v>
      </c>
      <c r="AEY2">
        <v>135.9115009580824</v>
      </c>
      <c r="AEZ2">
        <v>139.87646728012359</v>
      </c>
      <c r="AFA2">
        <v>136.7845008417697</v>
      </c>
      <c r="AFB2">
        <v>137.33469304280291</v>
      </c>
      <c r="AFC2">
        <v>136.71980807871401</v>
      </c>
      <c r="AFD2">
        <v>136.08109926270549</v>
      </c>
      <c r="AFE2">
        <v>136.7168595646713</v>
      </c>
      <c r="AFF2">
        <v>137.0127081703726</v>
      </c>
      <c r="AFG2">
        <v>137.76996632195571</v>
      </c>
      <c r="AFH2">
        <v>135.88827388119779</v>
      </c>
      <c r="AFI2">
        <v>135.93378427053901</v>
      </c>
      <c r="AFJ2">
        <v>137.1120576231686</v>
      </c>
      <c r="AFK2">
        <v>138.51514254049121</v>
      </c>
      <c r="AFL2">
        <v>137.89754092901359</v>
      </c>
      <c r="AFM2">
        <v>137.2613079529259</v>
      </c>
      <c r="AFN2">
        <v>137.5413627383744</v>
      </c>
      <c r="AFO2">
        <v>135.7429226956038</v>
      </c>
      <c r="AFP2">
        <v>135.23383463124699</v>
      </c>
      <c r="AFQ2">
        <v>135.60216206278571</v>
      </c>
      <c r="AFR2">
        <v>136.81459074462691</v>
      </c>
      <c r="AFS2">
        <v>136.57540669033179</v>
      </c>
      <c r="AFT2">
        <v>137.43106531351509</v>
      </c>
      <c r="AFU2">
        <v>137.7202455138887</v>
      </c>
      <c r="AFV2">
        <v>137.03499976087249</v>
      </c>
      <c r="AFW2">
        <v>137.67779383595291</v>
      </c>
      <c r="AFX2">
        <v>136.86545844255599</v>
      </c>
      <c r="AFY2">
        <v>138.2398143634278</v>
      </c>
      <c r="AFZ2">
        <v>136.4775470147909</v>
      </c>
      <c r="AGA2">
        <v>136.11073415811441</v>
      </c>
      <c r="AGB2">
        <v>136.51477931905339</v>
      </c>
      <c r="AGC2">
        <v>135.94882721588431</v>
      </c>
      <c r="AGD2">
        <v>136.16980447180001</v>
      </c>
      <c r="AGE2">
        <v>136.29885671558739</v>
      </c>
      <c r="AGF2">
        <v>137.00741590465771</v>
      </c>
      <c r="AGG2">
        <v>137.79716015403449</v>
      </c>
      <c r="AGH2">
        <v>134.87388232594279</v>
      </c>
      <c r="AGI2">
        <v>136.31707757302121</v>
      </c>
      <c r="AGJ2">
        <v>135.1843055262749</v>
      </c>
      <c r="AGK2">
        <v>135.51110614606119</v>
      </c>
      <c r="AGL2">
        <v>136.7488342383289</v>
      </c>
      <c r="AGM2">
        <v>137.14500242892359</v>
      </c>
      <c r="AGN2">
        <v>136.79000336322019</v>
      </c>
      <c r="AGO2">
        <v>136.91788261738029</v>
      </c>
      <c r="AGP2">
        <v>136.64023250190499</v>
      </c>
      <c r="AGQ2">
        <v>137.53344240365891</v>
      </c>
      <c r="AGR2">
        <v>138.07118392295359</v>
      </c>
      <c r="AGS2">
        <v>136.56861898773681</v>
      </c>
      <c r="AGT2">
        <v>136.74984028243099</v>
      </c>
      <c r="AGU2">
        <v>137.5475175372101</v>
      </c>
      <c r="AGV2">
        <v>137.4488262868615</v>
      </c>
      <c r="AGW2">
        <v>136.5535722017963</v>
      </c>
      <c r="AGX2">
        <v>136.40578252832091</v>
      </c>
      <c r="AGY2">
        <v>136.56062833706781</v>
      </c>
      <c r="AGZ2">
        <v>137.34035653835011</v>
      </c>
      <c r="AHA2">
        <v>135.9111630486228</v>
      </c>
      <c r="AHB2">
        <v>136.9881565169521</v>
      </c>
      <c r="AHC2">
        <v>137.76846126144019</v>
      </c>
      <c r="AHD2">
        <v>137.60283544240721</v>
      </c>
      <c r="AHE2">
        <v>137.8430807777697</v>
      </c>
      <c r="AHF2">
        <v>135.8126376704019</v>
      </c>
      <c r="AHG2">
        <v>137.1344385748956</v>
      </c>
      <c r="AHH2">
        <v>136.18817793826341</v>
      </c>
      <c r="AHI2">
        <v>131.25368728191711</v>
      </c>
    </row>
    <row r="3" spans="1:893" x14ac:dyDescent="0.35">
      <c r="A3" s="6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</row>
    <row r="4" spans="1:893" x14ac:dyDescent="0.35">
      <c r="A4" s="4" t="s">
        <v>27</v>
      </c>
      <c r="B4">
        <v>2.4580395221992428</v>
      </c>
      <c r="C4">
        <v>2.3527766810589981</v>
      </c>
      <c r="D4">
        <v>2.0894218624272298</v>
      </c>
      <c r="E4">
        <v>2.1231693907876088</v>
      </c>
      <c r="F4">
        <v>2.069337695485046</v>
      </c>
      <c r="G4">
        <v>2.504913958167208</v>
      </c>
      <c r="H4">
        <v>2.5367407081098459</v>
      </c>
      <c r="I4">
        <v>2.2532617730236102</v>
      </c>
      <c r="J4">
        <v>2.3585975718374641</v>
      </c>
      <c r="K4">
        <v>2.1543528965792968</v>
      </c>
      <c r="L4">
        <v>2.515203709197436</v>
      </c>
      <c r="M4">
        <v>2.308996335562739</v>
      </c>
      <c r="N4">
        <v>2.7368945243683238</v>
      </c>
      <c r="O4">
        <v>2.5086333666018281</v>
      </c>
      <c r="P4">
        <v>2.3824043221091529</v>
      </c>
      <c r="Q4">
        <v>2.4909824939644811</v>
      </c>
      <c r="R4">
        <v>2.1384375997981522</v>
      </c>
      <c r="S4">
        <v>2.207039810581477</v>
      </c>
      <c r="T4">
        <v>2.3245282762669892</v>
      </c>
      <c r="U4">
        <v>2.728119420910474</v>
      </c>
      <c r="V4">
        <v>2.2480884703734598</v>
      </c>
      <c r="W4">
        <v>2.237494004528287</v>
      </c>
      <c r="QF4">
        <v>2.4580395221992428</v>
      </c>
      <c r="QG4">
        <v>2.3527766810589981</v>
      </c>
      <c r="QH4">
        <v>2.0894218624272298</v>
      </c>
      <c r="QI4">
        <v>2.1231693907876088</v>
      </c>
      <c r="QJ4">
        <v>2.069337695485046</v>
      </c>
      <c r="QK4">
        <v>2.504913958167208</v>
      </c>
      <c r="QL4">
        <v>2.5367407081098459</v>
      </c>
      <c r="QM4">
        <v>2.2532617730236102</v>
      </c>
      <c r="QN4">
        <v>2.3585975718374641</v>
      </c>
      <c r="QO4">
        <v>2.1543528965792968</v>
      </c>
      <c r="QP4">
        <v>2.515203709197436</v>
      </c>
      <c r="QQ4">
        <v>2.308996335562739</v>
      </c>
      <c r="QR4">
        <v>2.7368945243683238</v>
      </c>
      <c r="QS4">
        <v>2.5086333666018281</v>
      </c>
      <c r="QT4">
        <v>2.3824043221091529</v>
      </c>
      <c r="QU4">
        <v>2.4909824939644811</v>
      </c>
      <c r="QV4">
        <v>2.1384375997981522</v>
      </c>
      <c r="QW4">
        <v>2.207039810581477</v>
      </c>
      <c r="QX4">
        <v>2.3245282762669892</v>
      </c>
      <c r="QY4">
        <v>2.728119420910474</v>
      </c>
      <c r="QZ4">
        <v>2.2480884703734598</v>
      </c>
      <c r="RA4">
        <v>2.237494004528287</v>
      </c>
    </row>
    <row r="5" spans="1:893" ht="24" customHeight="1" x14ac:dyDescent="0.35">
      <c r="A5" s="3" t="s">
        <v>28</v>
      </c>
      <c r="B5">
        <v>-1.124771435119897</v>
      </c>
      <c r="C5">
        <v>-0.51528999304707668</v>
      </c>
      <c r="D5">
        <v>-0.89769972339510673</v>
      </c>
      <c r="E5">
        <v>-0.95170982231883272</v>
      </c>
      <c r="F5">
        <v>-0.89750775462613319</v>
      </c>
      <c r="G5">
        <v>-0.54012024820664806</v>
      </c>
      <c r="H5">
        <v>-0.98169294992189293</v>
      </c>
      <c r="I5">
        <v>-1.169682070868475</v>
      </c>
      <c r="J5">
        <v>-0.76270211834378188</v>
      </c>
      <c r="K5">
        <v>-1.416030805480005</v>
      </c>
      <c r="L5">
        <v>-0.93198217937026584</v>
      </c>
      <c r="M5">
        <v>-0.6934434728107135</v>
      </c>
      <c r="N5">
        <v>-0.39765531044116642</v>
      </c>
      <c r="O5">
        <v>-0.98817389122567079</v>
      </c>
      <c r="P5">
        <v>-1.146178534150522</v>
      </c>
      <c r="Q5">
        <v>-1.1496539249535831</v>
      </c>
      <c r="R5">
        <v>-0.25562920670728317</v>
      </c>
      <c r="S5">
        <v>-0.47264447882682248</v>
      </c>
      <c r="T5">
        <v>-0.64907995907526583</v>
      </c>
      <c r="U5">
        <v>7.4582222078504401E-2</v>
      </c>
      <c r="V5">
        <v>0.26935833476272819</v>
      </c>
      <c r="W5">
        <v>1.031369883003407</v>
      </c>
      <c r="QF5">
        <v>-1.124771435119897</v>
      </c>
      <c r="QG5">
        <v>-0.51528999304707668</v>
      </c>
      <c r="QH5">
        <v>-0.89769972339510673</v>
      </c>
      <c r="QI5">
        <v>-0.95170982231883272</v>
      </c>
      <c r="QJ5">
        <v>-0.89750775462613319</v>
      </c>
      <c r="QK5">
        <v>-0.54012024820664806</v>
      </c>
      <c r="QL5">
        <v>-0.98169294992189293</v>
      </c>
      <c r="QM5">
        <v>-1.169682070868475</v>
      </c>
      <c r="QN5">
        <v>-0.76270211834378188</v>
      </c>
      <c r="QO5">
        <v>-1.416030805480005</v>
      </c>
      <c r="QP5">
        <v>-0.93198217937026584</v>
      </c>
      <c r="QQ5">
        <v>-0.6934434728107135</v>
      </c>
      <c r="QR5">
        <v>-0.39765531044116642</v>
      </c>
      <c r="QS5">
        <v>-0.98817389122567079</v>
      </c>
      <c r="QT5">
        <v>-1.146178534150522</v>
      </c>
      <c r="QU5">
        <v>-1.1496539249535831</v>
      </c>
      <c r="QV5">
        <v>-0.25562920670728317</v>
      </c>
      <c r="QW5">
        <v>-0.47264447882682248</v>
      </c>
      <c r="QX5">
        <v>-0.64907995907526583</v>
      </c>
      <c r="QY5">
        <v>7.4582222078504401E-2</v>
      </c>
      <c r="QZ5">
        <v>0.26935833476272819</v>
      </c>
      <c r="RA5">
        <v>1.031369883003407</v>
      </c>
    </row>
    <row r="6" spans="1:893" x14ac:dyDescent="0.35">
      <c r="A6" s="4" t="s">
        <v>29</v>
      </c>
      <c r="B6">
        <v>1.124771435119897</v>
      </c>
      <c r="C6">
        <v>0.51528999304707668</v>
      </c>
      <c r="D6">
        <v>0.89769972339510673</v>
      </c>
      <c r="E6">
        <v>0.95170982231883272</v>
      </c>
      <c r="F6">
        <v>0.89750775462613319</v>
      </c>
      <c r="G6">
        <v>0.54012024820664806</v>
      </c>
      <c r="H6">
        <v>0.98169294992189293</v>
      </c>
      <c r="I6">
        <v>1.169682070868475</v>
      </c>
      <c r="J6">
        <v>0.76270211834378188</v>
      </c>
      <c r="K6">
        <v>1.416030805480005</v>
      </c>
      <c r="L6">
        <v>0.93198217937026584</v>
      </c>
      <c r="M6">
        <v>0.6934434728107135</v>
      </c>
      <c r="N6">
        <v>0.39765531044116642</v>
      </c>
      <c r="O6">
        <v>0.98817389122567079</v>
      </c>
      <c r="P6">
        <v>1.146178534150522</v>
      </c>
      <c r="Q6">
        <v>1.1496539249535831</v>
      </c>
      <c r="R6">
        <v>0.25562920670728317</v>
      </c>
      <c r="S6">
        <v>0.47264447882682248</v>
      </c>
      <c r="T6">
        <v>0.64907995907526583</v>
      </c>
      <c r="U6">
        <v>-7.4582222078504401E-2</v>
      </c>
      <c r="V6">
        <v>-0.26935833476272819</v>
      </c>
      <c r="W6">
        <v>-1.031369883003407</v>
      </c>
      <c r="QF6">
        <v>1.124771435119897</v>
      </c>
      <c r="QG6">
        <v>0.51528999304707668</v>
      </c>
      <c r="QH6">
        <v>0.89769972339510673</v>
      </c>
      <c r="QI6">
        <v>0.95170982231883272</v>
      </c>
      <c r="QJ6">
        <v>0.89750775462613319</v>
      </c>
      <c r="QK6">
        <v>0.54012024820664806</v>
      </c>
      <c r="QL6">
        <v>0.98169294992189293</v>
      </c>
      <c r="QM6">
        <v>1.169682070868475</v>
      </c>
      <c r="QN6">
        <v>0.76270211834378188</v>
      </c>
      <c r="QO6">
        <v>1.416030805480005</v>
      </c>
      <c r="QP6">
        <v>0.93198217937026584</v>
      </c>
      <c r="QQ6">
        <v>0.6934434728107135</v>
      </c>
      <c r="QR6">
        <v>0.39765531044116642</v>
      </c>
      <c r="QS6">
        <v>0.98817389122567079</v>
      </c>
      <c r="QT6">
        <v>1.146178534150522</v>
      </c>
      <c r="QU6">
        <v>1.1496539249535831</v>
      </c>
      <c r="QV6">
        <v>0.25562920670728317</v>
      </c>
      <c r="QW6">
        <v>0.47264447882682248</v>
      </c>
      <c r="QX6">
        <v>0.64907995907526583</v>
      </c>
      <c r="QY6">
        <v>-7.4582222078504401E-2</v>
      </c>
      <c r="QZ6">
        <v>-0.26935833476272819</v>
      </c>
      <c r="RA6">
        <v>-1.031369883003407</v>
      </c>
    </row>
    <row r="7" spans="1:893" x14ac:dyDescent="0.35">
      <c r="A7" s="3" t="s">
        <v>30</v>
      </c>
      <c r="B7">
        <v>138.51436072672789</v>
      </c>
      <c r="C7">
        <v>139.23375911883349</v>
      </c>
      <c r="D7">
        <v>139.29319414828689</v>
      </c>
      <c r="E7">
        <v>138.51475370510411</v>
      </c>
      <c r="F7">
        <v>138.86648935613201</v>
      </c>
      <c r="G7">
        <v>139.31685811654091</v>
      </c>
      <c r="H7">
        <v>138.5527224380028</v>
      </c>
      <c r="I7">
        <v>137.87328802276591</v>
      </c>
      <c r="J7">
        <v>138.24827435987751</v>
      </c>
      <c r="K7">
        <v>138.49112129347759</v>
      </c>
      <c r="L7">
        <v>139.40404929573529</v>
      </c>
      <c r="M7">
        <v>139.00213290294101</v>
      </c>
      <c r="N7">
        <v>139.21885438236319</v>
      </c>
      <c r="O7">
        <v>139.48815094871469</v>
      </c>
      <c r="P7">
        <v>140.2256302209006</v>
      </c>
      <c r="Q7">
        <v>139.100403929712</v>
      </c>
      <c r="R7">
        <v>138.95057795095249</v>
      </c>
      <c r="S7">
        <v>139.9643491892719</v>
      </c>
      <c r="T7">
        <v>140.17268972587451</v>
      </c>
      <c r="U7">
        <v>139.80606185473809</v>
      </c>
      <c r="V7">
        <v>139.98839722520489</v>
      </c>
      <c r="W7">
        <v>137.95218859292319</v>
      </c>
      <c r="QF7">
        <v>138.51436072672789</v>
      </c>
      <c r="QG7">
        <v>139.23375911883349</v>
      </c>
      <c r="QH7">
        <v>139.29319414828689</v>
      </c>
      <c r="QI7">
        <v>138.51475370510411</v>
      </c>
      <c r="QJ7">
        <v>138.86648935613201</v>
      </c>
      <c r="QK7">
        <v>139.31685811654091</v>
      </c>
      <c r="QL7">
        <v>138.5527224380028</v>
      </c>
      <c r="QM7">
        <v>137.87328802276591</v>
      </c>
      <c r="QN7">
        <v>138.24827435987751</v>
      </c>
      <c r="QO7">
        <v>138.49112129347759</v>
      </c>
      <c r="QP7">
        <v>139.40404929573529</v>
      </c>
      <c r="QQ7">
        <v>139.00213290294101</v>
      </c>
      <c r="QR7">
        <v>139.21885438236319</v>
      </c>
      <c r="QS7">
        <v>139.48815094871469</v>
      </c>
      <c r="QT7">
        <v>140.2256302209006</v>
      </c>
      <c r="QU7">
        <v>139.100403929712</v>
      </c>
      <c r="QV7">
        <v>138.95057795095249</v>
      </c>
      <c r="QW7">
        <v>139.9643491892719</v>
      </c>
      <c r="QX7">
        <v>140.17268972587451</v>
      </c>
      <c r="QY7">
        <v>139.80606185473809</v>
      </c>
      <c r="QZ7">
        <v>139.98839722520489</v>
      </c>
      <c r="RA7">
        <v>137.95218859292319</v>
      </c>
    </row>
    <row r="8" spans="1:893" x14ac:dyDescent="0.35">
      <c r="A8" s="5" t="s">
        <v>31</v>
      </c>
      <c r="B8">
        <v>1.758145032626552</v>
      </c>
      <c r="C8">
        <v>1.7505952408751431</v>
      </c>
      <c r="D8">
        <v>1.7004029270738199</v>
      </c>
      <c r="E8">
        <v>1.743007851730034</v>
      </c>
      <c r="F8">
        <v>1.7466216980677221</v>
      </c>
      <c r="G8">
        <v>1.7052532024372771</v>
      </c>
      <c r="H8">
        <v>1.699740848025773</v>
      </c>
      <c r="I8">
        <v>1.7570842631906809</v>
      </c>
      <c r="J8">
        <v>1.6755214048243261</v>
      </c>
      <c r="K8">
        <v>1.754943817138138</v>
      </c>
      <c r="L8">
        <v>1.73642656054617</v>
      </c>
      <c r="M8">
        <v>1.7660640910776759</v>
      </c>
      <c r="N8">
        <v>1.7608790761483479</v>
      </c>
      <c r="O8">
        <v>1.6884831615012921</v>
      </c>
      <c r="P8">
        <v>1.7039228368553641</v>
      </c>
      <c r="Q8">
        <v>1.796595722082468</v>
      </c>
      <c r="R8">
        <v>1.671367654388388</v>
      </c>
      <c r="S8">
        <v>1.6744379908523079</v>
      </c>
      <c r="T8">
        <v>1.7879803650366779</v>
      </c>
      <c r="U8">
        <v>1.609682018834016</v>
      </c>
      <c r="V8">
        <v>1.587781935534383</v>
      </c>
      <c r="W8">
        <v>1.577100768821353</v>
      </c>
      <c r="QF8">
        <v>1.758145032626552</v>
      </c>
      <c r="QG8">
        <v>1.7505952408751431</v>
      </c>
      <c r="QH8">
        <v>1.7004029270738199</v>
      </c>
      <c r="QI8">
        <v>1.743007851730034</v>
      </c>
      <c r="QJ8">
        <v>1.7466216980677221</v>
      </c>
      <c r="QK8">
        <v>1.7052532024372771</v>
      </c>
      <c r="QL8">
        <v>1.699740848025773</v>
      </c>
      <c r="QM8">
        <v>1.7570842631906809</v>
      </c>
      <c r="QN8">
        <v>1.6755214048243261</v>
      </c>
      <c r="QO8">
        <v>1.754943817138138</v>
      </c>
      <c r="QP8">
        <v>1.73642656054617</v>
      </c>
      <c r="QQ8">
        <v>1.7660640910776759</v>
      </c>
      <c r="QR8">
        <v>1.7608790761483479</v>
      </c>
      <c r="QS8">
        <v>1.6884831615012921</v>
      </c>
      <c r="QT8">
        <v>1.7039228368553641</v>
      </c>
      <c r="QU8">
        <v>1.796595722082468</v>
      </c>
      <c r="QV8">
        <v>1.671367654388388</v>
      </c>
      <c r="QW8">
        <v>1.6744379908523079</v>
      </c>
      <c r="QX8">
        <v>1.7879803650366779</v>
      </c>
      <c r="QY8">
        <v>1.609682018834016</v>
      </c>
      <c r="QZ8">
        <v>1.587781935534383</v>
      </c>
      <c r="RA8">
        <v>1.577100768821353</v>
      </c>
    </row>
    <row r="10" spans="1:893" x14ac:dyDescent="0.35">
      <c r="A10" s="23" t="s">
        <v>32</v>
      </c>
      <c r="B10" s="119">
        <f t="shared" ref="B10:W10" si="0">B1</f>
        <v>45291</v>
      </c>
      <c r="C10" s="119">
        <f t="shared" si="0"/>
        <v>45298</v>
      </c>
      <c r="D10" s="119">
        <f t="shared" si="0"/>
        <v>45305</v>
      </c>
      <c r="E10" s="119">
        <f t="shared" si="0"/>
        <v>45312</v>
      </c>
      <c r="F10" s="119">
        <f t="shared" si="0"/>
        <v>45319</v>
      </c>
      <c r="G10" s="119">
        <f t="shared" si="0"/>
        <v>45326</v>
      </c>
      <c r="H10" s="119">
        <f t="shared" si="0"/>
        <v>45333</v>
      </c>
      <c r="I10" s="119">
        <f t="shared" si="0"/>
        <v>45340</v>
      </c>
      <c r="J10" s="119">
        <f t="shared" si="0"/>
        <v>45347</v>
      </c>
      <c r="K10" s="119">
        <f t="shared" si="0"/>
        <v>45354</v>
      </c>
      <c r="L10" s="119">
        <f t="shared" si="0"/>
        <v>45361</v>
      </c>
      <c r="M10" s="119">
        <f t="shared" si="0"/>
        <v>45368</v>
      </c>
      <c r="N10" s="119">
        <f t="shared" si="0"/>
        <v>45375</v>
      </c>
      <c r="O10" s="119">
        <f t="shared" si="0"/>
        <v>45382</v>
      </c>
      <c r="P10" s="119">
        <f t="shared" si="0"/>
        <v>45389</v>
      </c>
      <c r="Q10" s="119">
        <f t="shared" si="0"/>
        <v>45396</v>
      </c>
      <c r="R10" s="119">
        <f t="shared" si="0"/>
        <v>45403</v>
      </c>
      <c r="S10" s="119">
        <f t="shared" si="0"/>
        <v>45410</v>
      </c>
      <c r="T10" s="119">
        <f t="shared" si="0"/>
        <v>45417</v>
      </c>
      <c r="U10" s="119">
        <f t="shared" si="0"/>
        <v>45424</v>
      </c>
      <c r="V10" s="119">
        <f t="shared" si="0"/>
        <v>45431</v>
      </c>
      <c r="W10" s="119">
        <f t="shared" si="0"/>
        <v>45438</v>
      </c>
    </row>
    <row r="11" spans="1:893" x14ac:dyDescent="0.35">
      <c r="A11" s="101" t="s">
        <v>25</v>
      </c>
      <c r="B11">
        <v>138.93479459059989</v>
      </c>
      <c r="C11">
        <v>139.13471238532199</v>
      </c>
      <c r="D11">
        <v>139.57796897467321</v>
      </c>
      <c r="E11">
        <v>138.92051418481529</v>
      </c>
      <c r="F11">
        <v>137.3766640426964</v>
      </c>
      <c r="G11">
        <v>139.14472979344609</v>
      </c>
      <c r="H11">
        <v>139.7086831199108</v>
      </c>
      <c r="I11">
        <v>137.97556913355641</v>
      </c>
      <c r="J11">
        <v>137.63206593392579</v>
      </c>
      <c r="K11">
        <v>138.28963820457679</v>
      </c>
      <c r="L11">
        <v>139.19173877012381</v>
      </c>
      <c r="M11">
        <v>137.31806050109651</v>
      </c>
      <c r="N11">
        <v>138.25253701726771</v>
      </c>
      <c r="O11">
        <v>139.0013628719075</v>
      </c>
      <c r="P11">
        <v>138.7999169089257</v>
      </c>
      <c r="Q11">
        <v>137.80263778897481</v>
      </c>
      <c r="R11">
        <v>138.5035296513154</v>
      </c>
      <c r="S11">
        <v>137.53356587912751</v>
      </c>
      <c r="T11">
        <v>137.97663384800251</v>
      </c>
      <c r="U11">
        <v>138.62900324543429</v>
      </c>
      <c r="V11">
        <v>138.94196883861079</v>
      </c>
      <c r="W11">
        <v>138.7733621031359</v>
      </c>
      <c r="X11">
        <v>126.8492093792145</v>
      </c>
      <c r="Y11">
        <v>129.5046451913978</v>
      </c>
      <c r="Z11">
        <v>127.0307166124752</v>
      </c>
      <c r="AA11">
        <v>129.38302793519281</v>
      </c>
      <c r="AB11">
        <v>123.50544554052399</v>
      </c>
      <c r="AC11">
        <v>129.69152584364409</v>
      </c>
      <c r="AD11">
        <v>128.71937440230019</v>
      </c>
      <c r="AE11">
        <v>127.4209149127454</v>
      </c>
      <c r="AF11">
        <v>125.8142793694762</v>
      </c>
      <c r="AG11">
        <v>129.5532370869237</v>
      </c>
      <c r="AH11">
        <v>129.41331751747359</v>
      </c>
      <c r="AI11">
        <v>128.08394044681481</v>
      </c>
      <c r="AJ11">
        <v>129.4776383326805</v>
      </c>
      <c r="AK11">
        <v>129.6907733974283</v>
      </c>
      <c r="AL11">
        <v>131.54680190229959</v>
      </c>
      <c r="AM11">
        <v>130.37006107019181</v>
      </c>
      <c r="AN11">
        <v>132.9130512984699</v>
      </c>
      <c r="AO11">
        <v>129.87486087098171</v>
      </c>
      <c r="AP11">
        <v>130.00026146229311</v>
      </c>
      <c r="AQ11">
        <v>131.1719512127145</v>
      </c>
      <c r="AR11">
        <v>133.9410866894558</v>
      </c>
      <c r="AS11">
        <v>130.65968927792071</v>
      </c>
      <c r="AT11">
        <v>129.85178259790169</v>
      </c>
      <c r="AU11">
        <v>130.7662648845143</v>
      </c>
      <c r="AV11">
        <v>135.12180514636381</v>
      </c>
      <c r="AW11">
        <v>134.36238153013079</v>
      </c>
      <c r="AX11">
        <v>128.8994219235567</v>
      </c>
      <c r="AY11">
        <v>132.57832923324901</v>
      </c>
      <c r="AZ11">
        <v>129.99659632094739</v>
      </c>
      <c r="BA11">
        <v>130.49434915418851</v>
      </c>
      <c r="BB11">
        <v>128.9281297489193</v>
      </c>
      <c r="BC11">
        <v>130.70270166503059</v>
      </c>
      <c r="BD11">
        <v>126.489342265717</v>
      </c>
      <c r="BE11">
        <v>131.98427361454389</v>
      </c>
      <c r="BF11">
        <v>135.39001463871941</v>
      </c>
      <c r="BG11">
        <v>130.53037534324309</v>
      </c>
      <c r="BH11">
        <v>131.49210951230819</v>
      </c>
      <c r="BI11">
        <v>129.26855964301171</v>
      </c>
      <c r="BJ11">
        <v>130.61682951271379</v>
      </c>
      <c r="BK11">
        <v>133.36546444929351</v>
      </c>
      <c r="BL11">
        <v>133.8293606980738</v>
      </c>
      <c r="BM11">
        <v>129.76962598890739</v>
      </c>
      <c r="BN11">
        <v>129.48104328995629</v>
      </c>
      <c r="BO11">
        <v>130.35656652949379</v>
      </c>
      <c r="BP11">
        <v>132.58754055795239</v>
      </c>
      <c r="BQ11">
        <v>129.54370859443659</v>
      </c>
      <c r="BR11">
        <v>128.58488006978169</v>
      </c>
      <c r="BS11">
        <v>130.85900766879661</v>
      </c>
      <c r="BT11">
        <v>132.0332999261978</v>
      </c>
      <c r="BU11">
        <v>131.04460457741331</v>
      </c>
      <c r="BV11">
        <v>131.4320452033773</v>
      </c>
      <c r="BW11">
        <v>130.14785014722929</v>
      </c>
      <c r="BX11">
        <v>137.04990325972921</v>
      </c>
      <c r="BY11">
        <v>129.75682110224031</v>
      </c>
      <c r="BZ11">
        <v>132.40461239814479</v>
      </c>
      <c r="CA11">
        <v>131.66556903288239</v>
      </c>
      <c r="CB11">
        <v>132.79805847588071</v>
      </c>
      <c r="CC11">
        <v>133.90260365953219</v>
      </c>
      <c r="CD11">
        <v>128.5781164624039</v>
      </c>
      <c r="CE11">
        <v>128.7675028881437</v>
      </c>
      <c r="CF11">
        <v>131.68367281816481</v>
      </c>
      <c r="CG11">
        <v>131.17339439097071</v>
      </c>
      <c r="CH11">
        <v>133.69431215409369</v>
      </c>
      <c r="CI11">
        <v>132.06606754543051</v>
      </c>
      <c r="CJ11">
        <v>134.5886866728097</v>
      </c>
      <c r="CK11">
        <v>132.34628646635321</v>
      </c>
      <c r="CL11">
        <v>134.28048454968609</v>
      </c>
      <c r="CM11">
        <v>134.27784879978819</v>
      </c>
      <c r="CN11">
        <v>133.69161587004859</v>
      </c>
      <c r="CO11">
        <v>133.80833926209229</v>
      </c>
      <c r="CP11">
        <v>135.45223904147841</v>
      </c>
      <c r="CQ11">
        <v>134.9426422560993</v>
      </c>
      <c r="CR11">
        <v>134.80313656743141</v>
      </c>
      <c r="CS11">
        <v>137.6619684061003</v>
      </c>
      <c r="CT11">
        <v>137.58404656788079</v>
      </c>
      <c r="CU11">
        <v>140.10355375039529</v>
      </c>
      <c r="CV11">
        <v>131.61383856399519</v>
      </c>
      <c r="CW11">
        <v>139.71332701586189</v>
      </c>
      <c r="CX11">
        <v>136.9035578538186</v>
      </c>
      <c r="CY11">
        <v>134.76377056702799</v>
      </c>
      <c r="CZ11">
        <v>143.67095332817061</v>
      </c>
      <c r="DA11">
        <v>145.4259087685835</v>
      </c>
      <c r="DB11">
        <v>138.6855528782927</v>
      </c>
      <c r="DC11">
        <v>137.5573219118348</v>
      </c>
      <c r="DD11">
        <v>138.65965526381439</v>
      </c>
      <c r="DE11">
        <v>145.30481494457351</v>
      </c>
      <c r="DF11">
        <v>137.12242587764931</v>
      </c>
      <c r="DG11">
        <v>134.74919262746999</v>
      </c>
      <c r="DH11">
        <v>134.9159979987644</v>
      </c>
      <c r="DI11">
        <v>147.42401837366441</v>
      </c>
      <c r="DJ11">
        <v>144.07155715705639</v>
      </c>
      <c r="DK11">
        <v>143.13541327162559</v>
      </c>
      <c r="DL11">
        <v>135.647334972669</v>
      </c>
      <c r="DM11">
        <v>138.8887861643276</v>
      </c>
      <c r="DN11">
        <v>143.59435632593349</v>
      </c>
      <c r="DO11">
        <v>135.8799522900988</v>
      </c>
      <c r="DP11">
        <v>150.78112587102939</v>
      </c>
      <c r="DQ11">
        <v>134.13972498275621</v>
      </c>
      <c r="DR11">
        <v>141.4684096466153</v>
      </c>
      <c r="DS11">
        <v>141.72937170011139</v>
      </c>
      <c r="DT11">
        <v>133.28041780213121</v>
      </c>
      <c r="DU11">
        <v>135.63701787376289</v>
      </c>
      <c r="DV11">
        <v>142.20033133006061</v>
      </c>
      <c r="DW11">
        <v>135.584415535754</v>
      </c>
      <c r="DX11">
        <v>131.88643601623619</v>
      </c>
      <c r="DY11">
        <v>137.31742787825951</v>
      </c>
      <c r="DZ11">
        <v>143.12271342179011</v>
      </c>
      <c r="EA11">
        <v>141.34588624947179</v>
      </c>
      <c r="EB11">
        <v>141.12259676184269</v>
      </c>
      <c r="EC11">
        <v>132.8740277683286</v>
      </c>
      <c r="ED11">
        <v>135.14530520756011</v>
      </c>
      <c r="EE11">
        <v>140.23463649290369</v>
      </c>
      <c r="EF11">
        <v>136.68884058356181</v>
      </c>
      <c r="EG11">
        <v>136.8544667680336</v>
      </c>
      <c r="EH11">
        <v>140.85928857543649</v>
      </c>
      <c r="EI11">
        <v>133.09643827946709</v>
      </c>
      <c r="EJ11">
        <v>139.99620869336951</v>
      </c>
      <c r="EK11">
        <v>142.94888944944049</v>
      </c>
      <c r="EL11">
        <v>145.15018754057891</v>
      </c>
      <c r="EM11">
        <v>138.33023799302589</v>
      </c>
      <c r="EN11">
        <v>142.52958407826111</v>
      </c>
      <c r="EO11">
        <v>137.61200207872059</v>
      </c>
      <c r="EP11">
        <v>139.26405443690871</v>
      </c>
      <c r="EQ11">
        <v>137.9548866558593</v>
      </c>
      <c r="ER11">
        <v>140.94100493609159</v>
      </c>
      <c r="ES11">
        <v>137.96896251450681</v>
      </c>
      <c r="ET11">
        <v>136.31586131067689</v>
      </c>
      <c r="EU11">
        <v>137.95850072818931</v>
      </c>
      <c r="EV11">
        <v>137.28841146177999</v>
      </c>
      <c r="EW11">
        <v>137.8084352553189</v>
      </c>
      <c r="EX11">
        <v>135.6978337181863</v>
      </c>
      <c r="EY11">
        <v>139.72189672818129</v>
      </c>
      <c r="EZ11">
        <v>145.01897503091391</v>
      </c>
      <c r="FA11">
        <v>138.80459260781149</v>
      </c>
      <c r="FB11">
        <v>142.36373938316601</v>
      </c>
      <c r="FC11">
        <v>142.55783638654549</v>
      </c>
      <c r="FD11">
        <v>137.8921110577389</v>
      </c>
      <c r="FE11">
        <v>138.9883237765367</v>
      </c>
      <c r="FF11">
        <v>138.0621432653474</v>
      </c>
      <c r="FG11">
        <v>138.7683681328306</v>
      </c>
      <c r="FH11">
        <v>134.28131243450551</v>
      </c>
      <c r="FI11">
        <v>135.75138359632291</v>
      </c>
      <c r="FJ11">
        <v>136.2101319946419</v>
      </c>
      <c r="FK11">
        <v>139.77894286881329</v>
      </c>
      <c r="FL11">
        <v>140.21860267092629</v>
      </c>
      <c r="FM11">
        <v>137.84196149134621</v>
      </c>
      <c r="FN11">
        <v>139.87537247068269</v>
      </c>
      <c r="FO11">
        <v>140.95043788898761</v>
      </c>
      <c r="FP11">
        <v>137.1985880968403</v>
      </c>
      <c r="FQ11">
        <v>139.31148439018889</v>
      </c>
      <c r="FR11">
        <v>137.2097813905516</v>
      </c>
      <c r="FS11">
        <v>136.84375701813639</v>
      </c>
      <c r="FT11">
        <v>137.89209162814171</v>
      </c>
      <c r="FU11">
        <v>138.701193941246</v>
      </c>
      <c r="FV11">
        <v>141.26106042657739</v>
      </c>
      <c r="FW11">
        <v>139.58484787428989</v>
      </c>
      <c r="FX11">
        <v>135.7116607944474</v>
      </c>
      <c r="FY11">
        <v>133.43797845448091</v>
      </c>
      <c r="FZ11">
        <v>137.07756100576799</v>
      </c>
      <c r="GA11">
        <v>139.76098628624649</v>
      </c>
      <c r="GB11">
        <v>138.8068018065315</v>
      </c>
      <c r="GC11">
        <v>136.47504486802549</v>
      </c>
      <c r="GD11">
        <v>136.24345587700989</v>
      </c>
      <c r="GE11">
        <v>135.99999868390631</v>
      </c>
      <c r="GF11">
        <v>133.38499634674201</v>
      </c>
      <c r="GG11">
        <v>134.43569875470391</v>
      </c>
      <c r="GH11">
        <v>132.5879166510679</v>
      </c>
      <c r="GI11">
        <v>132.00097175039369</v>
      </c>
      <c r="GJ11">
        <v>133.58006025903831</v>
      </c>
      <c r="GK11">
        <v>131.90218164783639</v>
      </c>
      <c r="GL11">
        <v>133.67699463875269</v>
      </c>
      <c r="GM11">
        <v>132.8306703013107</v>
      </c>
      <c r="GN11">
        <v>131.91667329457229</v>
      </c>
      <c r="GO11">
        <v>133.48183907491219</v>
      </c>
      <c r="GP11">
        <v>130.67341681566859</v>
      </c>
      <c r="GQ11">
        <v>131.60265011041409</v>
      </c>
      <c r="GR11">
        <v>132.3019751621747</v>
      </c>
      <c r="GS11">
        <v>132.27551442414489</v>
      </c>
      <c r="GT11">
        <v>131.5324132273328</v>
      </c>
      <c r="GU11">
        <v>129.46955443043331</v>
      </c>
      <c r="GV11">
        <v>130.60800720431951</v>
      </c>
      <c r="GW11">
        <v>130.17478538889509</v>
      </c>
      <c r="GX11">
        <v>131.6948905383305</v>
      </c>
      <c r="GY11">
        <v>131.27160173818251</v>
      </c>
      <c r="GZ11">
        <v>130.27849558666301</v>
      </c>
      <c r="HA11">
        <v>130.79351418712579</v>
      </c>
      <c r="HB11">
        <v>129.32594415575841</v>
      </c>
      <c r="HC11">
        <v>129.68821092583821</v>
      </c>
      <c r="HD11">
        <v>131.03729466842029</v>
      </c>
      <c r="HE11">
        <v>129.36199589347501</v>
      </c>
      <c r="HF11">
        <v>129.82904948811591</v>
      </c>
      <c r="HG11">
        <v>131.5777090137212</v>
      </c>
      <c r="HH11">
        <v>130.4338319158162</v>
      </c>
      <c r="HI11">
        <v>129.55091038273221</v>
      </c>
      <c r="HJ11">
        <v>129.21595710450049</v>
      </c>
      <c r="HK11">
        <v>132.03604386137039</v>
      </c>
      <c r="HL11">
        <v>129.60930462859369</v>
      </c>
      <c r="HM11">
        <v>129.9732976613208</v>
      </c>
      <c r="HN11">
        <v>130.34367959192051</v>
      </c>
      <c r="HO11">
        <v>129.69135120640871</v>
      </c>
      <c r="HP11">
        <v>128.65990002343449</v>
      </c>
      <c r="HQ11">
        <v>129.83029439308979</v>
      </c>
      <c r="HR11">
        <v>129.20661212316861</v>
      </c>
      <c r="HS11">
        <v>128.86188058564679</v>
      </c>
      <c r="HT11">
        <v>129.55005364691451</v>
      </c>
      <c r="HU11">
        <v>130.64957300119869</v>
      </c>
      <c r="HV11">
        <v>130.62036905616009</v>
      </c>
      <c r="HW11">
        <v>128.73778585494139</v>
      </c>
      <c r="HX11">
        <v>129.3240611727926</v>
      </c>
      <c r="HY11">
        <v>131.70818707720301</v>
      </c>
      <c r="HZ11">
        <v>133.04474951248679</v>
      </c>
      <c r="IA11">
        <v>132.25382946480519</v>
      </c>
      <c r="IB11">
        <v>131.91149615927611</v>
      </c>
      <c r="IC11">
        <v>132.62696086161989</v>
      </c>
      <c r="ID11">
        <v>130.65410254679551</v>
      </c>
      <c r="IE11">
        <v>132.5580753322478</v>
      </c>
      <c r="IF11">
        <v>132.91228153639969</v>
      </c>
      <c r="IG11">
        <v>133.1700211784717</v>
      </c>
      <c r="IH11">
        <v>133.50812035984501</v>
      </c>
      <c r="II11">
        <v>131.60551481827019</v>
      </c>
      <c r="IJ11">
        <v>131.2774848676346</v>
      </c>
      <c r="IK11">
        <v>132.32027708692891</v>
      </c>
      <c r="IL11">
        <v>130.19812058198269</v>
      </c>
      <c r="IM11">
        <v>130.87444176883301</v>
      </c>
      <c r="IN11">
        <v>131.0861500479877</v>
      </c>
      <c r="IO11">
        <v>130.33742319020931</v>
      </c>
      <c r="IP11">
        <v>133.60403305319321</v>
      </c>
      <c r="IQ11">
        <v>136.4003277634059</v>
      </c>
      <c r="IR11">
        <v>134.09911972748949</v>
      </c>
      <c r="IS11">
        <v>135.66988037990029</v>
      </c>
      <c r="IT11">
        <v>136.97330986989121</v>
      </c>
      <c r="IU11">
        <v>136.2028617526916</v>
      </c>
      <c r="IV11">
        <v>137.40669998539019</v>
      </c>
      <c r="IW11">
        <v>136.9135985687883</v>
      </c>
      <c r="IX11">
        <v>138.41440497418941</v>
      </c>
      <c r="IY11">
        <v>137.84805099765671</v>
      </c>
      <c r="IZ11">
        <v>139.56799665030499</v>
      </c>
      <c r="JA11">
        <v>137.83311877559169</v>
      </c>
      <c r="JB11">
        <v>136.91663235894541</v>
      </c>
      <c r="JC11">
        <v>138.12233339832861</v>
      </c>
      <c r="JD11">
        <v>136.6232225880353</v>
      </c>
      <c r="JE11">
        <v>137.9560883368321</v>
      </c>
      <c r="JF11">
        <v>136.68387859478949</v>
      </c>
      <c r="JG11">
        <v>137.05670088693199</v>
      </c>
      <c r="JH11">
        <v>138.3917167904192</v>
      </c>
      <c r="JI11">
        <v>141.3292279495069</v>
      </c>
      <c r="JJ11">
        <v>138.01149320670481</v>
      </c>
      <c r="JK11">
        <v>139.8750946923781</v>
      </c>
      <c r="JL11">
        <v>138.1470444669697</v>
      </c>
      <c r="JM11">
        <v>137.0420589351032</v>
      </c>
      <c r="JN11">
        <v>139.53214788806071</v>
      </c>
      <c r="JO11">
        <v>136.4360353653932</v>
      </c>
      <c r="JP11">
        <v>138.61798381797479</v>
      </c>
      <c r="JQ11">
        <v>138.93830120926469</v>
      </c>
      <c r="JR11">
        <v>141.5986772229889</v>
      </c>
      <c r="JS11">
        <v>144.86411627056609</v>
      </c>
      <c r="JT11">
        <v>140.84843343011329</v>
      </c>
      <c r="JU11">
        <v>141.40578794179109</v>
      </c>
      <c r="JV11">
        <v>144.30272224003139</v>
      </c>
      <c r="JW11">
        <v>140.36390781817511</v>
      </c>
      <c r="JX11">
        <v>142.18784721701499</v>
      </c>
      <c r="JY11">
        <v>143.44745841593999</v>
      </c>
      <c r="JZ11">
        <v>140.6414649040376</v>
      </c>
      <c r="KA11">
        <v>143.6605406488078</v>
      </c>
      <c r="KB11">
        <v>136.9647995190241</v>
      </c>
      <c r="KC11">
        <v>138.83782812805509</v>
      </c>
      <c r="KD11">
        <v>137.92878483577061</v>
      </c>
      <c r="KE11">
        <v>137.03719863868761</v>
      </c>
      <c r="KF11">
        <v>139.0732078480319</v>
      </c>
      <c r="KG11">
        <v>136.8648808621422</v>
      </c>
      <c r="KH11">
        <v>138.70876389611931</v>
      </c>
      <c r="KI11">
        <v>136.2420591177297</v>
      </c>
      <c r="KJ11">
        <v>137.0440902175099</v>
      </c>
      <c r="KK11">
        <v>136.5356664020683</v>
      </c>
      <c r="KL11">
        <v>136.2625193416967</v>
      </c>
      <c r="KM11">
        <v>135.87005436253651</v>
      </c>
      <c r="KN11">
        <v>135.66569557323299</v>
      </c>
      <c r="KO11">
        <v>136.71491775542151</v>
      </c>
      <c r="KP11">
        <v>137.14509970936089</v>
      </c>
      <c r="KQ11">
        <v>136.5324494128202</v>
      </c>
      <c r="KR11">
        <v>136.18651028221851</v>
      </c>
      <c r="KS11">
        <v>137.83030759560131</v>
      </c>
      <c r="KT11">
        <v>136.25354947227851</v>
      </c>
      <c r="KU11">
        <v>135.18159097151869</v>
      </c>
      <c r="KV11">
        <v>135.01659504336479</v>
      </c>
      <c r="KW11">
        <v>135.90646471721709</v>
      </c>
      <c r="KX11">
        <v>133.37844264708181</v>
      </c>
      <c r="KY11">
        <v>136.99965614133831</v>
      </c>
      <c r="KZ11">
        <v>136.0227345019062</v>
      </c>
      <c r="LA11">
        <v>132.9791844317964</v>
      </c>
      <c r="LB11">
        <v>133.9960016553454</v>
      </c>
      <c r="LC11">
        <v>134.9322083487404</v>
      </c>
      <c r="LD11">
        <v>134.65679418502009</v>
      </c>
      <c r="LE11">
        <v>138.6187273342467</v>
      </c>
      <c r="LF11">
        <v>138.26793817974789</v>
      </c>
      <c r="LG11">
        <v>137.12820738568089</v>
      </c>
      <c r="LH11">
        <v>136.10227426700141</v>
      </c>
      <c r="LI11">
        <v>134.090849593977</v>
      </c>
      <c r="LJ11">
        <v>135.38873233046129</v>
      </c>
      <c r="LK11">
        <v>135.722474066709</v>
      </c>
      <c r="LL11">
        <v>135.43738210581969</v>
      </c>
      <c r="LM11">
        <v>134.9787667987454</v>
      </c>
      <c r="LN11">
        <v>135.7063461826954</v>
      </c>
      <c r="LO11">
        <v>134.9752398989616</v>
      </c>
      <c r="LP11">
        <v>135.7038781574648</v>
      </c>
      <c r="LQ11">
        <v>135.0328453198033</v>
      </c>
      <c r="LR11">
        <v>135.43402990770929</v>
      </c>
      <c r="LS11">
        <v>134.87106164541419</v>
      </c>
      <c r="LT11">
        <v>134.52619628887999</v>
      </c>
      <c r="LU11">
        <v>134.52428752491329</v>
      </c>
      <c r="LV11">
        <v>133.4616719393766</v>
      </c>
      <c r="LW11">
        <v>134.91746310496521</v>
      </c>
      <c r="LX11">
        <v>135.13428968052941</v>
      </c>
      <c r="LY11">
        <v>133.54117866942909</v>
      </c>
      <c r="LZ11">
        <v>133.49877586827131</v>
      </c>
      <c r="MA11">
        <v>132.58261044672</v>
      </c>
      <c r="MB11">
        <v>134.08426117284469</v>
      </c>
      <c r="MC11">
        <v>137.69779636397399</v>
      </c>
      <c r="MD11">
        <v>135.4973362357735</v>
      </c>
      <c r="ME11">
        <v>134.03619945731751</v>
      </c>
      <c r="MF11">
        <v>134.3249257997299</v>
      </c>
      <c r="MG11">
        <v>131.8706335998998</v>
      </c>
      <c r="MH11">
        <v>133.39944690543129</v>
      </c>
      <c r="MI11">
        <v>135.7918956314501</v>
      </c>
      <c r="MJ11">
        <v>133.87937980796161</v>
      </c>
      <c r="MK11">
        <v>133.6570401744589</v>
      </c>
      <c r="ML11">
        <v>133.6224183102334</v>
      </c>
      <c r="MM11">
        <v>133.93059746844281</v>
      </c>
      <c r="MN11">
        <v>136.38103683049559</v>
      </c>
      <c r="MO11">
        <v>134.32754480546399</v>
      </c>
      <c r="MP11">
        <v>135.78756808233641</v>
      </c>
      <c r="MQ11">
        <v>136.62382981708689</v>
      </c>
      <c r="MR11">
        <v>136.46841608516911</v>
      </c>
      <c r="MS11">
        <v>135.90305279890109</v>
      </c>
      <c r="MT11">
        <v>134.6830231937021</v>
      </c>
      <c r="MU11">
        <v>135.6712655183571</v>
      </c>
      <c r="MV11">
        <v>136.74047172418491</v>
      </c>
      <c r="MW11">
        <v>136.0143841262468</v>
      </c>
      <c r="MX11">
        <v>135.0836836669701</v>
      </c>
      <c r="MY11">
        <v>137.38326465115509</v>
      </c>
      <c r="MZ11">
        <v>135.5499685236619</v>
      </c>
      <c r="NA11">
        <v>137.20711646854281</v>
      </c>
      <c r="NB11">
        <v>136.9517383489773</v>
      </c>
      <c r="NC11">
        <v>137.04338491795099</v>
      </c>
      <c r="ND11">
        <v>135.42794868152541</v>
      </c>
      <c r="NE11">
        <v>135.76964042709261</v>
      </c>
      <c r="NF11">
        <v>137.21453865044231</v>
      </c>
      <c r="NG11">
        <v>137.6345031513199</v>
      </c>
      <c r="NH11">
        <v>136.63732870326581</v>
      </c>
      <c r="NI11">
        <v>137.14367430106611</v>
      </c>
      <c r="NJ11">
        <v>139.0741095949671</v>
      </c>
      <c r="NK11">
        <v>136.4257362878482</v>
      </c>
      <c r="NL11">
        <v>136.98824934858189</v>
      </c>
      <c r="NM11">
        <v>138.4131491539589</v>
      </c>
      <c r="NN11">
        <v>136.7494610136556</v>
      </c>
      <c r="NO11">
        <v>135.9888506399561</v>
      </c>
      <c r="NP11">
        <v>136.20662198201791</v>
      </c>
      <c r="NQ11">
        <v>136.63283800718051</v>
      </c>
      <c r="NR11">
        <v>137.75096828636589</v>
      </c>
      <c r="NS11">
        <v>137.65586884410251</v>
      </c>
      <c r="NT11">
        <v>137.8889702054631</v>
      </c>
      <c r="NU11">
        <v>140.89177273759799</v>
      </c>
      <c r="NV11">
        <v>138.86773969212589</v>
      </c>
      <c r="NW11">
        <v>138.91494843499899</v>
      </c>
      <c r="NX11">
        <v>139.8161143315009</v>
      </c>
      <c r="NY11">
        <v>138.66906789695639</v>
      </c>
      <c r="NZ11">
        <v>143.60173393662299</v>
      </c>
      <c r="OA11">
        <v>140.88495997285639</v>
      </c>
      <c r="OB11">
        <v>140.5747023083587</v>
      </c>
      <c r="OC11">
        <v>140.35568615780119</v>
      </c>
      <c r="OD11">
        <v>141.81870890938069</v>
      </c>
      <c r="OE11">
        <v>143.77597452430271</v>
      </c>
      <c r="OF11">
        <v>141.48060358865729</v>
      </c>
      <c r="OG11">
        <v>140.57629981458709</v>
      </c>
      <c r="OH11">
        <v>145.16757346149839</v>
      </c>
      <c r="OI11">
        <v>141.30625416740961</v>
      </c>
      <c r="OJ11">
        <v>141.95666533285481</v>
      </c>
      <c r="OK11">
        <v>138.5470390960102</v>
      </c>
      <c r="OL11">
        <v>141.931711925755</v>
      </c>
      <c r="OM11">
        <v>139.74795795852739</v>
      </c>
      <c r="ON11">
        <v>138.26914743239021</v>
      </c>
      <c r="OO11">
        <v>142.70115965412879</v>
      </c>
      <c r="OP11">
        <v>139.65472213105269</v>
      </c>
      <c r="OQ11">
        <v>139.82895060983341</v>
      </c>
      <c r="OR11">
        <v>139.8482419224062</v>
      </c>
      <c r="OS11">
        <v>138.35277997234351</v>
      </c>
      <c r="OT11">
        <v>140.2867124204154</v>
      </c>
      <c r="OU11">
        <v>139.88385359347649</v>
      </c>
      <c r="OV11">
        <v>138.77473474729561</v>
      </c>
      <c r="OW11">
        <v>138.06764049465141</v>
      </c>
      <c r="OX11">
        <v>139.24062278970629</v>
      </c>
      <c r="OY11">
        <v>138.3596581651525</v>
      </c>
      <c r="OZ11">
        <v>137.79054974454411</v>
      </c>
      <c r="PA11">
        <v>138.45419497826401</v>
      </c>
      <c r="PB11">
        <v>136.31248866784051</v>
      </c>
      <c r="PC11">
        <v>135.00387874472341</v>
      </c>
      <c r="PD11">
        <v>139.36234976018559</v>
      </c>
      <c r="PE11">
        <v>137.93152054369119</v>
      </c>
      <c r="PF11">
        <v>137.92917793428691</v>
      </c>
      <c r="PG11">
        <v>137.7227044073542</v>
      </c>
      <c r="PH11">
        <v>137.9023314263803</v>
      </c>
      <c r="PI11">
        <v>138.0687741710401</v>
      </c>
      <c r="PJ11">
        <v>137.91473007796881</v>
      </c>
      <c r="PK11">
        <v>138.04186981240761</v>
      </c>
      <c r="PL11">
        <v>138.8590500279125</v>
      </c>
      <c r="PM11">
        <v>138.55138302053521</v>
      </c>
      <c r="PN11">
        <v>139.07590750710031</v>
      </c>
      <c r="PO11">
        <v>139.99489250587899</v>
      </c>
      <c r="PP11">
        <v>138.92514085343109</v>
      </c>
      <c r="PQ11">
        <v>138.70883028845469</v>
      </c>
      <c r="PR11">
        <v>139.5462270690771</v>
      </c>
      <c r="PS11">
        <v>138.90669727203621</v>
      </c>
      <c r="PT11">
        <v>139.62269033540571</v>
      </c>
      <c r="PU11">
        <v>140.69722387539761</v>
      </c>
      <c r="PV11">
        <v>140.05810681663581</v>
      </c>
      <c r="PW11">
        <v>139.13851272565421</v>
      </c>
      <c r="PX11">
        <v>141.00741541183001</v>
      </c>
      <c r="PY11">
        <v>138.9333894480792</v>
      </c>
      <c r="PZ11">
        <v>138.18557482280229</v>
      </c>
      <c r="QA11">
        <v>138.3564442432274</v>
      </c>
      <c r="QB11">
        <v>139.89335046452359</v>
      </c>
      <c r="QC11">
        <v>139.0335325198775</v>
      </c>
      <c r="QD11">
        <v>138</v>
      </c>
      <c r="QE11">
        <v>141.58988041624289</v>
      </c>
    </row>
    <row r="12" spans="1:893" x14ac:dyDescent="0.35">
      <c r="A12" s="6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893" x14ac:dyDescent="0.35">
      <c r="A13" s="4" t="s">
        <v>27</v>
      </c>
      <c r="B13">
        <v>2.707996182348325</v>
      </c>
      <c r="C13">
        <v>2.5257051787802141</v>
      </c>
      <c r="D13">
        <v>2.8450553817063171</v>
      </c>
      <c r="E13">
        <v>2.7088173915512068</v>
      </c>
      <c r="F13">
        <v>2.2710196578162818</v>
      </c>
      <c r="G13">
        <v>2.6701001730073979</v>
      </c>
      <c r="H13">
        <v>2.192000890846117</v>
      </c>
      <c r="I13">
        <v>2.847587003881983</v>
      </c>
      <c r="J13">
        <v>3.0193848781215422</v>
      </c>
      <c r="K13">
        <v>2.6673400269071981</v>
      </c>
      <c r="L13">
        <v>3.1219168499911798</v>
      </c>
      <c r="M13">
        <v>3.2099961995275241</v>
      </c>
      <c r="N13">
        <v>2.3448504473498422</v>
      </c>
      <c r="O13">
        <v>3.0592782642635261</v>
      </c>
      <c r="P13">
        <v>3.2164212962242398</v>
      </c>
      <c r="Q13">
        <v>3.2196802313880819</v>
      </c>
      <c r="R13">
        <v>2.9699714489266569</v>
      </c>
      <c r="S13">
        <v>3.3997384726270918</v>
      </c>
      <c r="T13">
        <v>3.3790074764952749</v>
      </c>
      <c r="U13">
        <v>2.984846931574253</v>
      </c>
      <c r="V13">
        <v>3.290087075658505</v>
      </c>
      <c r="W13">
        <v>3.0817012827323249</v>
      </c>
    </row>
    <row r="14" spans="1:893" ht="24" customHeight="1" x14ac:dyDescent="0.35">
      <c r="A14" s="3" t="s">
        <v>28</v>
      </c>
      <c r="B14">
        <v>1.575648843978342</v>
      </c>
      <c r="C14">
        <v>1.5154884325340281</v>
      </c>
      <c r="D14">
        <v>1.700964400737689</v>
      </c>
      <c r="E14">
        <v>1.442875467764992</v>
      </c>
      <c r="F14">
        <v>0.99118568202854362</v>
      </c>
      <c r="G14">
        <v>0.70658519851187407</v>
      </c>
      <c r="H14">
        <v>1.6892425252151499</v>
      </c>
      <c r="I14">
        <v>1.7511045475027911</v>
      </c>
      <c r="J14">
        <v>0.86570966834651131</v>
      </c>
      <c r="K14">
        <v>0.1045305774815688</v>
      </c>
      <c r="L14">
        <v>0.96798326600114137</v>
      </c>
      <c r="M14">
        <v>1.075842296061239</v>
      </c>
      <c r="N14">
        <v>0.90672956092311097</v>
      </c>
      <c r="O14">
        <v>1.7020901555172541</v>
      </c>
      <c r="P14">
        <v>0.86455551722929158</v>
      </c>
      <c r="Q14">
        <v>1.200788324168514</v>
      </c>
      <c r="R14">
        <v>0.78750442657641884</v>
      </c>
      <c r="S14">
        <v>1.8276873603070669</v>
      </c>
      <c r="T14">
        <v>0.454809173302408</v>
      </c>
      <c r="U14">
        <v>1.32095369104357</v>
      </c>
      <c r="V14">
        <v>1.866614387812916</v>
      </c>
      <c r="W14">
        <v>1.6777179396949859</v>
      </c>
    </row>
    <row r="15" spans="1:893" x14ac:dyDescent="0.35">
      <c r="A15" s="4" t="s">
        <v>29</v>
      </c>
      <c r="B15">
        <v>-1.575648843978342</v>
      </c>
      <c r="C15">
        <v>-1.5154884325340281</v>
      </c>
      <c r="D15">
        <v>-1.700964400737689</v>
      </c>
      <c r="E15">
        <v>-1.442875467764992</v>
      </c>
      <c r="F15">
        <v>-0.99118568202854362</v>
      </c>
      <c r="G15">
        <v>-0.70658519851187407</v>
      </c>
      <c r="H15">
        <v>-1.6892425252151499</v>
      </c>
      <c r="I15">
        <v>-1.7511045475027911</v>
      </c>
      <c r="J15">
        <v>-0.86570966834651131</v>
      </c>
      <c r="K15">
        <v>-0.1045305774815688</v>
      </c>
      <c r="L15">
        <v>-0.96798326600114137</v>
      </c>
      <c r="M15">
        <v>-1.075842296061239</v>
      </c>
      <c r="N15">
        <v>-0.90672956092311097</v>
      </c>
      <c r="O15">
        <v>-1.7020901555172541</v>
      </c>
      <c r="P15">
        <v>-0.86455551722929158</v>
      </c>
      <c r="Q15">
        <v>-1.200788324168514</v>
      </c>
      <c r="R15">
        <v>-0.78750442657641884</v>
      </c>
      <c r="S15">
        <v>-1.8276873603070669</v>
      </c>
      <c r="T15">
        <v>-0.454809173302408</v>
      </c>
      <c r="U15">
        <v>-1.32095369104357</v>
      </c>
      <c r="V15">
        <v>-1.866614387812916</v>
      </c>
      <c r="W15">
        <v>-1.6777179396949859</v>
      </c>
    </row>
    <row r="16" spans="1:893" x14ac:dyDescent="0.35">
      <c r="A16" s="3" t="s">
        <v>30</v>
      </c>
      <c r="B16">
        <v>141.6427907729483</v>
      </c>
      <c r="C16">
        <v>141.66041756410229</v>
      </c>
      <c r="D16">
        <v>142.4230243563795</v>
      </c>
      <c r="E16">
        <v>141.6293315763665</v>
      </c>
      <c r="F16">
        <v>139.64768370051269</v>
      </c>
      <c r="G16">
        <v>141.81482996645349</v>
      </c>
      <c r="H16">
        <v>141.90068401075689</v>
      </c>
      <c r="I16">
        <v>140.82315613743839</v>
      </c>
      <c r="J16">
        <v>140.65145081204739</v>
      </c>
      <c r="K16">
        <v>140.95697823148399</v>
      </c>
      <c r="L16">
        <v>142.31365562011499</v>
      </c>
      <c r="M16">
        <v>140.52805670062401</v>
      </c>
      <c r="N16">
        <v>140.5973874646175</v>
      </c>
      <c r="O16">
        <v>142.060641136171</v>
      </c>
      <c r="P16">
        <v>142.01633820514999</v>
      </c>
      <c r="Q16">
        <v>141.02231802036289</v>
      </c>
      <c r="R16">
        <v>141.47350110024209</v>
      </c>
      <c r="S16">
        <v>140.9333043517546</v>
      </c>
      <c r="T16">
        <v>141.3556413244977</v>
      </c>
      <c r="U16">
        <v>141.6138501770086</v>
      </c>
      <c r="V16">
        <v>142.23205591426941</v>
      </c>
      <c r="W16">
        <v>141.85506338586819</v>
      </c>
    </row>
    <row r="17" spans="1:895" x14ac:dyDescent="0.35">
      <c r="A17" s="5" t="s">
        <v>31</v>
      </c>
      <c r="B17">
        <v>1.310900904366654</v>
      </c>
      <c r="C17">
        <v>1.3967196335663881</v>
      </c>
      <c r="D17">
        <v>1.33821118200635</v>
      </c>
      <c r="E17">
        <v>1.3513672763347879</v>
      </c>
      <c r="F17">
        <v>1.4395865865686379</v>
      </c>
      <c r="G17">
        <v>1.376030009612373</v>
      </c>
      <c r="H17">
        <v>1.3977144416265399</v>
      </c>
      <c r="I17">
        <v>1.3279240462516799</v>
      </c>
      <c r="J17">
        <v>1.373211587580663</v>
      </c>
      <c r="K17">
        <v>1.410704540875052</v>
      </c>
      <c r="L17">
        <v>1.4048401537000541</v>
      </c>
      <c r="M17">
        <v>1.4432124207579591</v>
      </c>
      <c r="N17">
        <v>1.4044951152748739</v>
      </c>
      <c r="O17">
        <v>1.365601845203213</v>
      </c>
      <c r="P17">
        <v>1.387864099168109</v>
      </c>
      <c r="Q17">
        <v>1.4262402663468901</v>
      </c>
      <c r="R17">
        <v>1.4118764241491439</v>
      </c>
      <c r="S17">
        <v>1.369684390364684</v>
      </c>
      <c r="T17">
        <v>1.3188574921191341</v>
      </c>
      <c r="U17">
        <v>1.313044935616593</v>
      </c>
      <c r="V17">
        <v>1.3138498921489701</v>
      </c>
      <c r="W17">
        <v>1.278157814822839</v>
      </c>
    </row>
    <row r="19" spans="1:895" x14ac:dyDescent="0.35">
      <c r="A19" s="1" t="s">
        <v>33</v>
      </c>
      <c r="B19" s="119">
        <f t="shared" ref="B19:W19" si="1">B10</f>
        <v>45291</v>
      </c>
      <c r="C19" s="119">
        <f t="shared" si="1"/>
        <v>45298</v>
      </c>
      <c r="D19" s="119">
        <f t="shared" si="1"/>
        <v>45305</v>
      </c>
      <c r="E19" s="119">
        <f t="shared" si="1"/>
        <v>45312</v>
      </c>
      <c r="F19" s="119">
        <f t="shared" si="1"/>
        <v>45319</v>
      </c>
      <c r="G19" s="119">
        <f t="shared" si="1"/>
        <v>45326</v>
      </c>
      <c r="H19" s="119">
        <f t="shared" si="1"/>
        <v>45333</v>
      </c>
      <c r="I19" s="119">
        <f t="shared" si="1"/>
        <v>45340</v>
      </c>
      <c r="J19" s="119">
        <f t="shared" si="1"/>
        <v>45347</v>
      </c>
      <c r="K19" s="119">
        <f t="shared" si="1"/>
        <v>45354</v>
      </c>
      <c r="L19" s="119">
        <f t="shared" si="1"/>
        <v>45361</v>
      </c>
      <c r="M19" s="119">
        <f t="shared" si="1"/>
        <v>45368</v>
      </c>
      <c r="N19" s="119">
        <f t="shared" si="1"/>
        <v>45375</v>
      </c>
      <c r="O19" s="119">
        <f t="shared" si="1"/>
        <v>45382</v>
      </c>
      <c r="P19" s="119">
        <f t="shared" si="1"/>
        <v>45389</v>
      </c>
      <c r="Q19" s="119">
        <f t="shared" si="1"/>
        <v>45396</v>
      </c>
      <c r="R19" s="119">
        <f t="shared" si="1"/>
        <v>45403</v>
      </c>
      <c r="S19" s="119">
        <f t="shared" si="1"/>
        <v>45410</v>
      </c>
      <c r="T19" s="119">
        <f t="shared" si="1"/>
        <v>45417</v>
      </c>
      <c r="U19" s="119">
        <f t="shared" si="1"/>
        <v>45424</v>
      </c>
      <c r="V19" s="119">
        <f t="shared" si="1"/>
        <v>45431</v>
      </c>
      <c r="W19" s="119">
        <f t="shared" si="1"/>
        <v>45438</v>
      </c>
    </row>
    <row r="20" spans="1:895" x14ac:dyDescent="0.35">
      <c r="A20" s="101" t="s">
        <v>25</v>
      </c>
      <c r="B20">
        <v>139.89986358932751</v>
      </c>
      <c r="C20">
        <v>139.22087859253611</v>
      </c>
      <c r="D20">
        <v>138.45122616137829</v>
      </c>
      <c r="E20">
        <v>139.13295221795619</v>
      </c>
      <c r="F20">
        <v>139.4071937843016</v>
      </c>
      <c r="G20">
        <v>138.85435716110149</v>
      </c>
      <c r="H20">
        <v>138.35479174790379</v>
      </c>
      <c r="I20">
        <v>137.00572752966531</v>
      </c>
      <c r="J20">
        <v>137.50702914643281</v>
      </c>
      <c r="K20">
        <v>137.56841144299179</v>
      </c>
      <c r="L20">
        <v>137.7728850293343</v>
      </c>
      <c r="M20">
        <v>138.05330561606701</v>
      </c>
      <c r="N20">
        <v>138.75270928336181</v>
      </c>
      <c r="O20">
        <v>138.3369899007788</v>
      </c>
      <c r="P20">
        <v>139.95198659066321</v>
      </c>
      <c r="Q20">
        <v>140.8414772294644</v>
      </c>
      <c r="R20">
        <v>141.47547096084401</v>
      </c>
      <c r="S20">
        <v>141.22443513864249</v>
      </c>
      <c r="T20">
        <v>140.75215579178831</v>
      </c>
      <c r="U20">
        <v>139.93662680476521</v>
      </c>
      <c r="V20">
        <v>140.84410462041029</v>
      </c>
      <c r="W20">
        <v>140.5587093348235</v>
      </c>
      <c r="X20">
        <v>127.3329513837031</v>
      </c>
      <c r="Y20">
        <v>127.1896038011362</v>
      </c>
      <c r="Z20">
        <v>127.2788383196485</v>
      </c>
      <c r="AA20">
        <v>126.51399373059139</v>
      </c>
      <c r="AB20">
        <v>126.43804664979071</v>
      </c>
      <c r="AC20">
        <v>127.2355199838029</v>
      </c>
      <c r="AD20">
        <v>125.6435450144528</v>
      </c>
      <c r="AE20">
        <v>127.4086230249426</v>
      </c>
      <c r="AF20">
        <v>127.23028103701211</v>
      </c>
      <c r="AG20">
        <v>127.90214648725571</v>
      </c>
      <c r="AH20">
        <v>129.75244828513701</v>
      </c>
      <c r="AI20">
        <v>128.88152738031749</v>
      </c>
      <c r="AJ20">
        <v>128.05339133964691</v>
      </c>
      <c r="AK20">
        <v>129.323924825701</v>
      </c>
      <c r="AL20">
        <v>129.9676136833518</v>
      </c>
      <c r="AM20">
        <v>129.49562885276049</v>
      </c>
      <c r="AN20">
        <v>130.31587499804181</v>
      </c>
      <c r="AO20">
        <v>130.01930478197701</v>
      </c>
      <c r="AP20">
        <v>129.36111463883441</v>
      </c>
      <c r="AQ20">
        <v>130.2990748527227</v>
      </c>
      <c r="AR20">
        <v>129.35752514402901</v>
      </c>
      <c r="AS20">
        <v>128.42733634603269</v>
      </c>
      <c r="AT20">
        <v>129.24012120989499</v>
      </c>
      <c r="AU20">
        <v>128.08574619772841</v>
      </c>
      <c r="AV20">
        <v>128.36960603464181</v>
      </c>
      <c r="AW20">
        <v>131.21101355129059</v>
      </c>
      <c r="AX20">
        <v>131.2526454988818</v>
      </c>
      <c r="AY20">
        <v>132.70526774077959</v>
      </c>
      <c r="AZ20">
        <v>130.88516212446109</v>
      </c>
      <c r="BA20">
        <v>132.7752215338202</v>
      </c>
      <c r="BB20">
        <v>131.0658181866655</v>
      </c>
      <c r="BC20">
        <v>132.34187044947711</v>
      </c>
      <c r="BD20">
        <v>131.33792528027519</v>
      </c>
      <c r="BE20">
        <v>129.913995794155</v>
      </c>
      <c r="BF20">
        <v>133.20436920895631</v>
      </c>
      <c r="BG20">
        <v>132.4880203930276</v>
      </c>
      <c r="BH20">
        <v>133.4895807334843</v>
      </c>
      <c r="BI20">
        <v>133.43369814984439</v>
      </c>
      <c r="BJ20">
        <v>132.70536058763861</v>
      </c>
      <c r="BK20">
        <v>133.61316053789619</v>
      </c>
      <c r="BL20">
        <v>132.47547325220589</v>
      </c>
      <c r="BM20">
        <v>132.36478775379729</v>
      </c>
      <c r="BN20">
        <v>131.70127475111011</v>
      </c>
      <c r="BO20">
        <v>131.29780051560999</v>
      </c>
      <c r="BP20">
        <v>131.36851590944971</v>
      </c>
      <c r="BQ20">
        <v>130.66678648463659</v>
      </c>
      <c r="BR20">
        <v>131.294635244159</v>
      </c>
      <c r="BS20">
        <v>134.1188454489409</v>
      </c>
      <c r="BT20">
        <v>132.42572683285209</v>
      </c>
      <c r="BU20">
        <v>133.02659629918759</v>
      </c>
      <c r="BV20">
        <v>132.83517691082551</v>
      </c>
      <c r="BW20">
        <v>135.61207302423551</v>
      </c>
      <c r="BX20">
        <v>136.71905210127241</v>
      </c>
      <c r="BY20">
        <v>134.1859230107209</v>
      </c>
      <c r="BZ20">
        <v>137.19895010337771</v>
      </c>
      <c r="CA20">
        <v>136.2431308411027</v>
      </c>
      <c r="CB20">
        <v>133.97338031838129</v>
      </c>
      <c r="CC20">
        <v>134.54425593547089</v>
      </c>
      <c r="CD20">
        <v>136.67157648796919</v>
      </c>
      <c r="CE20">
        <v>136.2503367566982</v>
      </c>
      <c r="CF20">
        <v>134.791622087332</v>
      </c>
      <c r="CG20">
        <v>135.21059994641169</v>
      </c>
      <c r="CH20">
        <v>135.14249586177769</v>
      </c>
      <c r="CI20">
        <v>136.19723894908179</v>
      </c>
      <c r="CJ20">
        <v>135.02723791006389</v>
      </c>
      <c r="CK20">
        <v>134.42291520133551</v>
      </c>
      <c r="CL20">
        <v>138.5652402629764</v>
      </c>
      <c r="CM20">
        <v>140.3529299988399</v>
      </c>
      <c r="CN20">
        <v>139.54863289700239</v>
      </c>
      <c r="CO20">
        <v>136.55568011228689</v>
      </c>
      <c r="CP20">
        <v>135.36115183357259</v>
      </c>
      <c r="CQ20">
        <v>137.99435124531081</v>
      </c>
      <c r="CR20">
        <v>136.11779431185209</v>
      </c>
      <c r="CS20">
        <v>134.82869254642989</v>
      </c>
      <c r="CT20">
        <v>136.0651432688606</v>
      </c>
      <c r="CU20">
        <v>137.94434428061109</v>
      </c>
      <c r="CV20">
        <v>138.16042468411919</v>
      </c>
      <c r="CW20">
        <v>137.40572764548051</v>
      </c>
      <c r="CX20">
        <v>135.65068056557399</v>
      </c>
      <c r="CY20">
        <v>135.8854934236806</v>
      </c>
      <c r="CZ20">
        <v>136.3053218225588</v>
      </c>
      <c r="DA20">
        <v>138.5140031724178</v>
      </c>
      <c r="DB20">
        <v>134.92215020052191</v>
      </c>
      <c r="DC20">
        <v>138.99086386551511</v>
      </c>
      <c r="DD20">
        <v>138.47803095703489</v>
      </c>
      <c r="DE20">
        <v>137.8092482773726</v>
      </c>
      <c r="DF20">
        <v>134.99851415374161</v>
      </c>
      <c r="DG20">
        <v>136.16707921074951</v>
      </c>
      <c r="DH20">
        <v>135.06268446125739</v>
      </c>
      <c r="DI20">
        <v>138.86659571636031</v>
      </c>
      <c r="DJ20">
        <v>136.95863094313179</v>
      </c>
      <c r="DK20">
        <v>139.66106870668631</v>
      </c>
      <c r="DL20">
        <v>135.2339248280181</v>
      </c>
      <c r="DM20">
        <v>139.7443055388139</v>
      </c>
      <c r="DN20">
        <v>139.15939925917451</v>
      </c>
      <c r="DO20">
        <v>138.75871061550691</v>
      </c>
      <c r="DP20">
        <v>138.10573168858971</v>
      </c>
      <c r="DQ20">
        <v>138.2358862931975</v>
      </c>
      <c r="DR20">
        <v>139.24507803601131</v>
      </c>
      <c r="DS20">
        <v>135.08886680734531</v>
      </c>
      <c r="DT20">
        <v>137.6509334376411</v>
      </c>
      <c r="DU20">
        <v>133.947178164202</v>
      </c>
      <c r="DV20">
        <v>135.61627896426521</v>
      </c>
      <c r="DW20">
        <v>135.20312549638601</v>
      </c>
      <c r="DX20">
        <v>136.01004287193291</v>
      </c>
      <c r="DY20">
        <v>140.37168935459181</v>
      </c>
      <c r="DZ20">
        <v>138.279677497356</v>
      </c>
      <c r="EA20">
        <v>138.28270181622719</v>
      </c>
      <c r="EB20">
        <v>138.03251593541171</v>
      </c>
      <c r="EC20">
        <v>136.39859355253569</v>
      </c>
      <c r="ED20">
        <v>137.51499751108969</v>
      </c>
      <c r="EE20">
        <v>136.35545925904461</v>
      </c>
      <c r="EF20">
        <v>135.41085723244419</v>
      </c>
      <c r="EG20">
        <v>136.29049705196769</v>
      </c>
      <c r="EH20">
        <v>138.91067914457369</v>
      </c>
      <c r="EI20">
        <v>134.8905798858662</v>
      </c>
      <c r="EJ20">
        <v>137.40620058904611</v>
      </c>
      <c r="EK20">
        <v>137.6997721946874</v>
      </c>
      <c r="EL20">
        <v>136.36632381367519</v>
      </c>
      <c r="EM20">
        <v>133.83269177904961</v>
      </c>
      <c r="EN20">
        <v>139.6188443915344</v>
      </c>
      <c r="EO20">
        <v>135.27273507896541</v>
      </c>
      <c r="EP20">
        <v>138.72116054502669</v>
      </c>
      <c r="EQ20">
        <v>138.79485760096489</v>
      </c>
      <c r="ER20">
        <v>141.36546304263021</v>
      </c>
      <c r="ES20">
        <v>137.81713219176359</v>
      </c>
      <c r="ET20">
        <v>133.0458872726467</v>
      </c>
      <c r="EU20">
        <v>134.260752272649</v>
      </c>
      <c r="EV20">
        <v>133.68785010574501</v>
      </c>
      <c r="EW20">
        <v>137.11948554515851</v>
      </c>
      <c r="EX20">
        <v>138.0892886597783</v>
      </c>
      <c r="EY20">
        <v>139.10587229218731</v>
      </c>
      <c r="EZ20">
        <v>137.5622314321073</v>
      </c>
      <c r="FA20">
        <v>138.25997374323779</v>
      </c>
      <c r="FB20">
        <v>134.53822821356661</v>
      </c>
      <c r="FC20">
        <v>136.82455147865801</v>
      </c>
      <c r="FD20">
        <v>136.27857611646169</v>
      </c>
      <c r="FE20">
        <v>137.82696366871869</v>
      </c>
      <c r="FF20">
        <v>134.78059006957301</v>
      </c>
      <c r="FG20">
        <v>136.59637432082911</v>
      </c>
      <c r="FH20">
        <v>137.34876582015829</v>
      </c>
      <c r="FI20">
        <v>136.03917740579661</v>
      </c>
      <c r="FJ20">
        <v>132.9981005623255</v>
      </c>
      <c r="FK20">
        <v>134.9973137516125</v>
      </c>
      <c r="FL20">
        <v>139.48984878020769</v>
      </c>
      <c r="FM20">
        <v>134.22260334307131</v>
      </c>
      <c r="FN20">
        <v>139.7369744762255</v>
      </c>
      <c r="FO20">
        <v>136.3403033811251</v>
      </c>
      <c r="FP20">
        <v>137.66732442014529</v>
      </c>
      <c r="FQ20">
        <v>133.7046269590428</v>
      </c>
      <c r="FR20">
        <v>134.59678835823109</v>
      </c>
      <c r="FS20">
        <v>139.23096930808961</v>
      </c>
      <c r="FT20">
        <v>135.4151869606626</v>
      </c>
      <c r="FU20">
        <v>137.25279987971149</v>
      </c>
      <c r="FV20">
        <v>132.73124764212869</v>
      </c>
      <c r="FW20">
        <v>138.22590619993599</v>
      </c>
      <c r="FX20">
        <v>135.88391169993861</v>
      </c>
      <c r="FY20">
        <v>141.87013572027979</v>
      </c>
      <c r="FZ20">
        <v>135.58288998432079</v>
      </c>
      <c r="GA20">
        <v>132.76957976569361</v>
      </c>
      <c r="GB20">
        <v>135.38824743062179</v>
      </c>
      <c r="GC20">
        <v>130.86848793595539</v>
      </c>
      <c r="GD20">
        <v>134.0265763437001</v>
      </c>
      <c r="GE20">
        <v>135.8201928069077</v>
      </c>
      <c r="GF20">
        <v>135.71154429028559</v>
      </c>
      <c r="GG20">
        <v>137.19584051046789</v>
      </c>
      <c r="GH20">
        <v>135.8709897713702</v>
      </c>
      <c r="GI20">
        <v>134.6688702027763</v>
      </c>
      <c r="GJ20">
        <v>137.31981447636039</v>
      </c>
      <c r="GK20">
        <v>135.20515914694809</v>
      </c>
      <c r="GL20">
        <v>135.53577547346211</v>
      </c>
      <c r="GM20">
        <v>134.18210360915259</v>
      </c>
      <c r="GN20">
        <v>130.68044359824509</v>
      </c>
      <c r="GO20">
        <v>133.01213195690869</v>
      </c>
      <c r="GP20">
        <v>134.1439251386802</v>
      </c>
      <c r="GQ20">
        <v>132.58161778618921</v>
      </c>
      <c r="GR20">
        <v>135.1335156361335</v>
      </c>
      <c r="GS20">
        <v>133.21992521773069</v>
      </c>
      <c r="GT20">
        <v>133.29402273370519</v>
      </c>
      <c r="GU20">
        <v>132.07513956880939</v>
      </c>
      <c r="GV20">
        <v>133.59182320797041</v>
      </c>
      <c r="GW20">
        <v>134.19991547267011</v>
      </c>
      <c r="GX20">
        <v>134.84321037790639</v>
      </c>
      <c r="GY20">
        <v>130.3691568442313</v>
      </c>
      <c r="GZ20">
        <v>132.5511246288026</v>
      </c>
      <c r="HA20">
        <v>134.84951124663419</v>
      </c>
      <c r="HB20">
        <v>132.72440843399431</v>
      </c>
      <c r="HC20">
        <v>131.3378052496804</v>
      </c>
      <c r="HD20">
        <v>131.05519201429129</v>
      </c>
      <c r="HE20">
        <v>134.26771394449179</v>
      </c>
      <c r="HF20">
        <v>131.04520683088089</v>
      </c>
      <c r="HG20">
        <v>130.93993228265441</v>
      </c>
      <c r="HH20">
        <v>129.47231101297081</v>
      </c>
      <c r="HI20">
        <v>131.45010515617301</v>
      </c>
      <c r="HJ20">
        <v>130.58855645860561</v>
      </c>
      <c r="HK20">
        <v>131.38969581410171</v>
      </c>
      <c r="HL20">
        <v>131.74507183544389</v>
      </c>
      <c r="HM20">
        <v>132.36892624681431</v>
      </c>
      <c r="HN20">
        <v>129.34485522348501</v>
      </c>
      <c r="HO20">
        <v>131.76381778568901</v>
      </c>
      <c r="HP20">
        <v>132.63643299492989</v>
      </c>
      <c r="HQ20">
        <v>129.85159519082211</v>
      </c>
      <c r="HR20">
        <v>132.03364036803271</v>
      </c>
      <c r="HS20">
        <v>130.39194790959669</v>
      </c>
      <c r="HT20">
        <v>130.9146581589813</v>
      </c>
      <c r="HU20">
        <v>130.5342243579521</v>
      </c>
      <c r="HV20">
        <v>129.97838118313931</v>
      </c>
      <c r="HW20">
        <v>129.7919556828401</v>
      </c>
      <c r="HX20">
        <v>132.72235137008249</v>
      </c>
      <c r="HY20">
        <v>133.99017456918199</v>
      </c>
      <c r="HZ20">
        <v>133.14547182620689</v>
      </c>
      <c r="IA20">
        <v>133.07854423916339</v>
      </c>
      <c r="IB20">
        <v>130.64887276653039</v>
      </c>
      <c r="IC20">
        <v>131.47649268570791</v>
      </c>
      <c r="ID20">
        <v>132.27785621290931</v>
      </c>
      <c r="IE20">
        <v>130.96697489284429</v>
      </c>
      <c r="IF20">
        <v>131.98985822829451</v>
      </c>
      <c r="IG20">
        <v>131.30339322741969</v>
      </c>
      <c r="IH20">
        <v>132.82185905735989</v>
      </c>
      <c r="II20">
        <v>129.78093911197811</v>
      </c>
      <c r="IJ20">
        <v>131.38883431514239</v>
      </c>
      <c r="IK20">
        <v>132.20611468677649</v>
      </c>
      <c r="IL20">
        <v>132.7218831708648</v>
      </c>
      <c r="IM20">
        <v>130.64048354665979</v>
      </c>
      <c r="IN20">
        <v>130.58441193005439</v>
      </c>
      <c r="IO20">
        <v>131.31915050738979</v>
      </c>
      <c r="IP20">
        <v>131.58141780916679</v>
      </c>
      <c r="IQ20">
        <v>132.8018664522169</v>
      </c>
      <c r="IR20">
        <v>133.56070678147071</v>
      </c>
      <c r="IS20">
        <v>132.30665852584031</v>
      </c>
      <c r="IT20">
        <v>135.12578971761121</v>
      </c>
      <c r="IU20">
        <v>133.84619370877721</v>
      </c>
      <c r="IV20">
        <v>133.87817725276321</v>
      </c>
      <c r="IW20">
        <v>133.23331269013659</v>
      </c>
      <c r="IX20">
        <v>133.6761332868879</v>
      </c>
      <c r="IY20">
        <v>135.1956073836555</v>
      </c>
      <c r="IZ20">
        <v>134.2114538777864</v>
      </c>
      <c r="JA20">
        <v>133.68016820916839</v>
      </c>
      <c r="JB20">
        <v>134.59127859952949</v>
      </c>
      <c r="JC20">
        <v>133.96993081282011</v>
      </c>
      <c r="JD20">
        <v>133.10802243574221</v>
      </c>
      <c r="JE20">
        <v>134.81865650830849</v>
      </c>
      <c r="JF20">
        <v>134.90029430735629</v>
      </c>
      <c r="JG20">
        <v>135.27781824739191</v>
      </c>
      <c r="JH20">
        <v>133.26038319508729</v>
      </c>
      <c r="JI20">
        <v>133.78846931792131</v>
      </c>
      <c r="JJ20">
        <v>133.339062051599</v>
      </c>
      <c r="JK20">
        <v>133.56051044212151</v>
      </c>
      <c r="JL20">
        <v>131.75305773101101</v>
      </c>
      <c r="JM20">
        <v>132.34037129067869</v>
      </c>
      <c r="JN20">
        <v>132.52046085163329</v>
      </c>
      <c r="JO20">
        <v>134.537798192129</v>
      </c>
      <c r="JP20">
        <v>132.08011289258701</v>
      </c>
      <c r="JQ20">
        <v>131.75086594444761</v>
      </c>
      <c r="JR20">
        <v>131.02509195827281</v>
      </c>
      <c r="JS20">
        <v>129.7646743962307</v>
      </c>
      <c r="JT20">
        <v>130.5079431305569</v>
      </c>
      <c r="JU20">
        <v>133.89195771527781</v>
      </c>
      <c r="JV20">
        <v>135.50752471005251</v>
      </c>
      <c r="JW20">
        <v>134.43838727517891</v>
      </c>
      <c r="JX20">
        <v>136.90300143493599</v>
      </c>
      <c r="JY20">
        <v>135.45746819950591</v>
      </c>
      <c r="JZ20">
        <v>135.76284078435879</v>
      </c>
      <c r="KA20">
        <v>136.42895922716261</v>
      </c>
      <c r="KB20">
        <v>137.01291328665161</v>
      </c>
      <c r="KC20">
        <v>134.76077501975689</v>
      </c>
      <c r="KD20">
        <v>135.6059980266806</v>
      </c>
      <c r="KE20">
        <v>135.83507632406619</v>
      </c>
      <c r="KF20">
        <v>135.00277815008349</v>
      </c>
      <c r="KG20">
        <v>135.69287178573211</v>
      </c>
      <c r="KH20">
        <v>135.97566074856849</v>
      </c>
      <c r="KI20">
        <v>136.14894072915641</v>
      </c>
      <c r="KJ20">
        <v>135.2225541707756</v>
      </c>
      <c r="KK20">
        <v>135.5754151263383</v>
      </c>
      <c r="KL20">
        <v>134.69605005405799</v>
      </c>
      <c r="KM20">
        <v>135.59852194234719</v>
      </c>
      <c r="KN20">
        <v>136.3010277073767</v>
      </c>
      <c r="KO20">
        <v>135.2613648072201</v>
      </c>
      <c r="KP20">
        <v>135.6528048003423</v>
      </c>
      <c r="KQ20">
        <v>134.63398411940099</v>
      </c>
      <c r="KR20">
        <v>134.7955018547018</v>
      </c>
      <c r="KS20">
        <v>135.44785524791601</v>
      </c>
      <c r="KT20">
        <v>136.44974624680569</v>
      </c>
      <c r="KU20">
        <v>134.82493339931571</v>
      </c>
      <c r="KV20">
        <v>134.36647561813601</v>
      </c>
      <c r="KW20">
        <v>134.89592163968001</v>
      </c>
      <c r="KX20">
        <v>134.77830961677739</v>
      </c>
      <c r="KY20">
        <v>134.4338004533808</v>
      </c>
      <c r="KZ20">
        <v>134.42584141564399</v>
      </c>
      <c r="LA20">
        <v>134.381042241968</v>
      </c>
      <c r="LB20">
        <v>134.60681933913969</v>
      </c>
      <c r="LC20">
        <v>134.85676997010029</v>
      </c>
      <c r="LD20">
        <v>134.16770671503721</v>
      </c>
      <c r="LE20">
        <v>136.23969930265349</v>
      </c>
      <c r="LF20">
        <v>137.6545375276684</v>
      </c>
      <c r="LG20">
        <v>134.63352869136571</v>
      </c>
      <c r="LH20">
        <v>134.57909845040919</v>
      </c>
      <c r="LI20">
        <v>135.03455150420689</v>
      </c>
      <c r="LJ20">
        <v>134.5836643480591</v>
      </c>
      <c r="LK20">
        <v>133.5005614726349</v>
      </c>
      <c r="LL20">
        <v>134.8045475811993</v>
      </c>
      <c r="LM20">
        <v>135.25065935360541</v>
      </c>
      <c r="LN20">
        <v>134.59106967686699</v>
      </c>
      <c r="LO20">
        <v>134.38780632285921</v>
      </c>
      <c r="LP20">
        <v>133.9420260681442</v>
      </c>
      <c r="LQ20">
        <v>133.61786083674971</v>
      </c>
      <c r="LR20">
        <v>133.1007442533552</v>
      </c>
      <c r="LS20">
        <v>133.83054463423429</v>
      </c>
      <c r="LT20">
        <v>134.14648752034319</v>
      </c>
      <c r="LU20">
        <v>130.9279564721663</v>
      </c>
      <c r="LV20">
        <v>129.7813392389512</v>
      </c>
      <c r="LW20">
        <v>130.08671474976771</v>
      </c>
      <c r="LX20">
        <v>131.94202724957819</v>
      </c>
      <c r="LY20">
        <v>134.1558124226585</v>
      </c>
      <c r="LZ20">
        <v>133.65793830145469</v>
      </c>
      <c r="MA20">
        <v>133.79933216367229</v>
      </c>
      <c r="MB20">
        <v>134.6598028054035</v>
      </c>
      <c r="MC20">
        <v>136.9780410262741</v>
      </c>
      <c r="MD20">
        <v>134.48951877902641</v>
      </c>
      <c r="ME20">
        <v>133.69251041076001</v>
      </c>
      <c r="MF20">
        <v>133.52732739670481</v>
      </c>
      <c r="MG20">
        <v>134.7268269656642</v>
      </c>
      <c r="MH20">
        <v>132.88316393014679</v>
      </c>
      <c r="MI20">
        <v>133.8269500919846</v>
      </c>
      <c r="MJ20">
        <v>134.02974106489381</v>
      </c>
      <c r="MK20">
        <v>133.04975355920021</v>
      </c>
      <c r="ML20">
        <v>134.1896516792099</v>
      </c>
      <c r="MM20">
        <v>134.8060142503449</v>
      </c>
      <c r="MN20">
        <v>134.63194955019009</v>
      </c>
      <c r="MO20">
        <v>134.38246346865751</v>
      </c>
      <c r="MP20">
        <v>135.5745355515744</v>
      </c>
      <c r="MQ20">
        <v>135.91287367863299</v>
      </c>
      <c r="MR20">
        <v>136.15722560979191</v>
      </c>
      <c r="MS20">
        <v>136.2577183597038</v>
      </c>
      <c r="MT20">
        <v>136.46078012743541</v>
      </c>
      <c r="MU20">
        <v>137.6671788476387</v>
      </c>
      <c r="MV20">
        <v>137.66382823054681</v>
      </c>
      <c r="MW20">
        <v>137.9406248851142</v>
      </c>
      <c r="MX20">
        <v>137.5878106429721</v>
      </c>
      <c r="MY20">
        <v>138.35266935366371</v>
      </c>
      <c r="MZ20">
        <v>137.75883927593529</v>
      </c>
      <c r="NA20">
        <v>137.34477206518901</v>
      </c>
      <c r="NB20">
        <v>137.70844601860031</v>
      </c>
      <c r="NC20">
        <v>138.1560889517246</v>
      </c>
      <c r="ND20">
        <v>137.65960372835329</v>
      </c>
      <c r="NE20">
        <v>138.7865574969176</v>
      </c>
      <c r="NF20">
        <v>137.89123950432079</v>
      </c>
      <c r="NG20">
        <v>137.74753070743151</v>
      </c>
      <c r="NH20">
        <v>138.64242277449301</v>
      </c>
      <c r="NI20">
        <v>137.72371860792251</v>
      </c>
      <c r="NJ20">
        <v>138.34027610241591</v>
      </c>
      <c r="NK20">
        <v>137.7849557368618</v>
      </c>
      <c r="NL20">
        <v>138.14369418354971</v>
      </c>
      <c r="NM20">
        <v>138.19470675263111</v>
      </c>
      <c r="NN20">
        <v>136.86147825761131</v>
      </c>
      <c r="NO20">
        <v>137.7959957228347</v>
      </c>
      <c r="NP20">
        <v>137.49188174872131</v>
      </c>
      <c r="NQ20">
        <v>138.7317417103269</v>
      </c>
      <c r="NR20">
        <v>138.30789214892499</v>
      </c>
      <c r="NS20">
        <v>139.9419999481575</v>
      </c>
      <c r="NT20">
        <v>141.10867823478389</v>
      </c>
      <c r="NU20">
        <v>141.9913233337075</v>
      </c>
      <c r="NV20">
        <v>141.21996381487639</v>
      </c>
      <c r="NW20">
        <v>141.05329727283879</v>
      </c>
      <c r="NX20">
        <v>140.97824534884111</v>
      </c>
      <c r="NY20">
        <v>141.27674328127111</v>
      </c>
      <c r="NZ20">
        <v>140.39527581818189</v>
      </c>
      <c r="OA20">
        <v>140.89019208089721</v>
      </c>
      <c r="OB20">
        <v>141.5849861164981</v>
      </c>
      <c r="OC20">
        <v>140.78040106579579</v>
      </c>
      <c r="OD20">
        <v>140.86961663285419</v>
      </c>
      <c r="OE20">
        <v>141.36513034013481</v>
      </c>
      <c r="OF20">
        <v>141.0662977758231</v>
      </c>
      <c r="OG20">
        <v>141.84700138649811</v>
      </c>
      <c r="OH20">
        <v>142.0930675259664</v>
      </c>
      <c r="OI20">
        <v>141.63469560261601</v>
      </c>
      <c r="OJ20">
        <v>141.82147104949499</v>
      </c>
      <c r="OK20">
        <v>141.52879377408041</v>
      </c>
      <c r="OL20">
        <v>140.35036043797601</v>
      </c>
      <c r="OM20">
        <v>141.69451642596121</v>
      </c>
      <c r="ON20">
        <v>141.44884136224169</v>
      </c>
      <c r="OO20">
        <v>139.98415929260329</v>
      </c>
      <c r="OP20">
        <v>140.6645309073478</v>
      </c>
      <c r="OQ20">
        <v>139.70383461815069</v>
      </c>
      <c r="OR20">
        <v>140.13902271845171</v>
      </c>
      <c r="OS20">
        <v>140.99535069315621</v>
      </c>
      <c r="OT20">
        <v>141.22358768332319</v>
      </c>
      <c r="OU20">
        <v>140.5742698760335</v>
      </c>
      <c r="OV20">
        <v>139.8946089597799</v>
      </c>
      <c r="OW20">
        <v>140.1793492312201</v>
      </c>
      <c r="OX20">
        <v>139.3687920447239</v>
      </c>
      <c r="OY20">
        <v>140.18596751556581</v>
      </c>
      <c r="OZ20">
        <v>141.19260392769971</v>
      </c>
      <c r="PA20">
        <v>140.0340052632387</v>
      </c>
      <c r="PB20">
        <v>140.29935325255249</v>
      </c>
      <c r="PC20">
        <v>139.27835209812221</v>
      </c>
      <c r="PD20">
        <v>139.0831473746066</v>
      </c>
      <c r="PE20">
        <v>139.94133887811529</v>
      </c>
      <c r="PF20">
        <v>140.95931083502231</v>
      </c>
      <c r="PG20">
        <v>141.27990685032779</v>
      </c>
      <c r="PH20">
        <v>140.69344052813071</v>
      </c>
      <c r="PI20">
        <v>140.60133684450079</v>
      </c>
      <c r="PJ20">
        <v>142.20221138635679</v>
      </c>
      <c r="PK20">
        <v>140.510138804972</v>
      </c>
      <c r="PL20">
        <v>141.0889506869205</v>
      </c>
      <c r="PM20">
        <v>141.3016488525717</v>
      </c>
      <c r="PN20">
        <v>140.88166981289601</v>
      </c>
      <c r="PO20">
        <v>140.84429694611791</v>
      </c>
      <c r="PP20">
        <v>141.86445702844819</v>
      </c>
      <c r="PQ20">
        <v>140.47411838881021</v>
      </c>
      <c r="PR20">
        <v>140.0535094264261</v>
      </c>
      <c r="PS20">
        <v>139.060466473681</v>
      </c>
      <c r="PT20">
        <v>138.50259731603961</v>
      </c>
      <c r="PU20">
        <v>139.13852340601221</v>
      </c>
      <c r="PV20">
        <v>138.6235435221154</v>
      </c>
      <c r="PW20">
        <v>137.9569770294203</v>
      </c>
      <c r="PX20">
        <v>138.15182234622159</v>
      </c>
      <c r="PY20">
        <v>138.736540153476</v>
      </c>
      <c r="PZ20">
        <v>139.24086721985421</v>
      </c>
      <c r="QA20">
        <v>138.4692813153832</v>
      </c>
      <c r="QB20">
        <v>138.11213239302069</v>
      </c>
      <c r="QC20">
        <v>138.82487790962051</v>
      </c>
      <c r="QD20">
        <v>137.5655055561194</v>
      </c>
      <c r="QE20">
        <v>141.8781679777349</v>
      </c>
      <c r="QF20">
        <v>139.89986358932751</v>
      </c>
      <c r="QG20">
        <v>139.22087859253611</v>
      </c>
      <c r="QH20">
        <v>138.45122616137829</v>
      </c>
      <c r="QI20">
        <v>139.13295221795619</v>
      </c>
      <c r="QJ20">
        <v>139.4071937843016</v>
      </c>
      <c r="QK20">
        <v>138.85435716110149</v>
      </c>
      <c r="QL20">
        <v>138.35479174790379</v>
      </c>
      <c r="QM20">
        <v>137.00572752966531</v>
      </c>
      <c r="QN20">
        <v>137.50702914643281</v>
      </c>
      <c r="QO20">
        <v>137.56841144299179</v>
      </c>
      <c r="QP20">
        <v>137.7728850293343</v>
      </c>
      <c r="QQ20">
        <v>138.05330561606701</v>
      </c>
      <c r="QR20">
        <v>138.75270928336181</v>
      </c>
      <c r="QS20">
        <v>138.3369899007788</v>
      </c>
      <c r="QT20">
        <v>139.95198659066321</v>
      </c>
      <c r="QU20">
        <v>140.8414772294644</v>
      </c>
      <c r="QV20">
        <v>141.47547096084401</v>
      </c>
      <c r="QW20">
        <v>141.22443513864249</v>
      </c>
      <c r="QX20">
        <v>140.75215579178831</v>
      </c>
      <c r="QY20">
        <v>139.93662680476521</v>
      </c>
      <c r="QZ20">
        <v>140.84410462041029</v>
      </c>
      <c r="RA20">
        <v>140.5587093348235</v>
      </c>
      <c r="RB20">
        <v>127.3329513837031</v>
      </c>
      <c r="RC20">
        <v>127.1896038011362</v>
      </c>
      <c r="RD20">
        <v>127.2788383196485</v>
      </c>
      <c r="RE20">
        <v>126.51399373059139</v>
      </c>
      <c r="RF20">
        <v>126.43804664979071</v>
      </c>
      <c r="RG20">
        <v>127.2355199838029</v>
      </c>
      <c r="RH20">
        <v>125.6435450144528</v>
      </c>
      <c r="RI20">
        <v>127.4086230249426</v>
      </c>
      <c r="RJ20">
        <v>127.23028103701211</v>
      </c>
      <c r="RK20">
        <v>127.90214648725571</v>
      </c>
      <c r="RL20">
        <v>129.75244828513701</v>
      </c>
      <c r="RM20">
        <v>128.88152738031749</v>
      </c>
      <c r="RN20">
        <v>128.05339133964691</v>
      </c>
      <c r="RO20">
        <v>129.323924825701</v>
      </c>
      <c r="RP20">
        <v>129.9676136833518</v>
      </c>
      <c r="RQ20">
        <v>129.49562885276049</v>
      </c>
      <c r="RR20">
        <v>130.31587499804181</v>
      </c>
      <c r="RS20">
        <v>130.01930478197701</v>
      </c>
      <c r="RT20">
        <v>129.36111463883441</v>
      </c>
      <c r="RU20">
        <v>130.2990748527227</v>
      </c>
      <c r="RV20">
        <v>129.35752514402901</v>
      </c>
      <c r="RW20">
        <v>128.42733634603269</v>
      </c>
      <c r="RX20">
        <v>129.24012120989499</v>
      </c>
      <c r="RY20">
        <v>128.08574619772841</v>
      </c>
      <c r="RZ20">
        <v>128.36960603464181</v>
      </c>
      <c r="SA20">
        <v>131.21101355129059</v>
      </c>
      <c r="SB20">
        <v>131.2526454988818</v>
      </c>
      <c r="SC20">
        <v>132.70526774077959</v>
      </c>
      <c r="SD20">
        <v>130.88516212446109</v>
      </c>
      <c r="SE20">
        <v>132.7752215338202</v>
      </c>
      <c r="SF20">
        <v>131.0658181866655</v>
      </c>
      <c r="SG20">
        <v>132.34187044947711</v>
      </c>
      <c r="SH20">
        <v>131.33792528027519</v>
      </c>
      <c r="SI20">
        <v>129.913995794155</v>
      </c>
      <c r="SJ20">
        <v>133.20436920895631</v>
      </c>
      <c r="SK20">
        <v>132.4880203930276</v>
      </c>
      <c r="SL20">
        <v>133.4895807334843</v>
      </c>
      <c r="SM20">
        <v>133.43369814984439</v>
      </c>
      <c r="SN20">
        <v>132.70536058763861</v>
      </c>
      <c r="SO20">
        <v>133.61316053789619</v>
      </c>
      <c r="SP20">
        <v>132.47547325220589</v>
      </c>
      <c r="SQ20">
        <v>132.36478775379729</v>
      </c>
      <c r="SR20">
        <v>131.70127475111011</v>
      </c>
      <c r="SS20">
        <v>131.29780051560999</v>
      </c>
      <c r="ST20">
        <v>131.36851590944971</v>
      </c>
      <c r="SU20">
        <v>130.66678648463659</v>
      </c>
      <c r="SV20">
        <v>131.294635244159</v>
      </c>
      <c r="SW20">
        <v>134.1188454489409</v>
      </c>
      <c r="SX20">
        <v>132.42572683285209</v>
      </c>
      <c r="SY20">
        <v>133.02659629918759</v>
      </c>
      <c r="SZ20">
        <v>132.83517691082551</v>
      </c>
      <c r="TA20">
        <v>135.61207302423551</v>
      </c>
      <c r="TB20">
        <v>136.71905210127241</v>
      </c>
      <c r="TC20">
        <v>134.1859230107209</v>
      </c>
      <c r="TD20">
        <v>137.19895010337771</v>
      </c>
      <c r="TE20">
        <v>136.2431308411027</v>
      </c>
      <c r="TF20">
        <v>133.97338031838129</v>
      </c>
      <c r="TG20">
        <v>134.54425593547089</v>
      </c>
      <c r="TH20">
        <v>136.67157648796919</v>
      </c>
      <c r="TI20">
        <v>136.2503367566982</v>
      </c>
      <c r="TJ20">
        <v>134.791622087332</v>
      </c>
      <c r="TK20">
        <v>135.21059994641169</v>
      </c>
      <c r="TL20">
        <v>135.14249586177769</v>
      </c>
      <c r="TM20">
        <v>136.19723894908179</v>
      </c>
      <c r="TN20">
        <v>135.02723791006389</v>
      </c>
      <c r="TO20">
        <v>134.42291520133551</v>
      </c>
      <c r="TP20">
        <v>138.5652402629764</v>
      </c>
      <c r="TQ20">
        <v>140.3529299988399</v>
      </c>
      <c r="TR20">
        <v>139.54863289700239</v>
      </c>
      <c r="TS20">
        <v>136.55568011228689</v>
      </c>
      <c r="TT20">
        <v>135.36115183357259</v>
      </c>
      <c r="TU20">
        <v>137.99435124531081</v>
      </c>
      <c r="TV20">
        <v>136.11779431185209</v>
      </c>
      <c r="TW20">
        <v>134.82869254642989</v>
      </c>
      <c r="TX20">
        <v>136.0651432688606</v>
      </c>
      <c r="TY20">
        <v>137.94434428061109</v>
      </c>
      <c r="TZ20">
        <v>138.16042468411919</v>
      </c>
      <c r="UA20">
        <v>137.40572764548051</v>
      </c>
      <c r="UB20">
        <v>135.65068056557399</v>
      </c>
      <c r="UC20">
        <v>135.8854934236806</v>
      </c>
      <c r="UD20">
        <v>136.3053218225588</v>
      </c>
      <c r="UE20">
        <v>138.5140031724178</v>
      </c>
      <c r="UF20">
        <v>134.92215020052191</v>
      </c>
      <c r="UG20">
        <v>138.99086386551511</v>
      </c>
      <c r="UH20">
        <v>138.47803095703489</v>
      </c>
      <c r="UI20">
        <v>137.8092482773726</v>
      </c>
      <c r="UJ20">
        <v>134.99851415374161</v>
      </c>
      <c r="UK20">
        <v>136.16707921074951</v>
      </c>
      <c r="UL20">
        <v>135.06268446125739</v>
      </c>
      <c r="UM20">
        <v>138.86659571636031</v>
      </c>
      <c r="UN20">
        <v>136.95863094313179</v>
      </c>
      <c r="UO20">
        <v>139.66106870668631</v>
      </c>
      <c r="UP20">
        <v>135.2339248280181</v>
      </c>
      <c r="UQ20">
        <v>139.7443055388139</v>
      </c>
      <c r="UR20">
        <v>139.15939925917451</v>
      </c>
      <c r="US20">
        <v>138.75871061550691</v>
      </c>
      <c r="UT20">
        <v>138.10573168858971</v>
      </c>
      <c r="UU20">
        <v>138.2358862931975</v>
      </c>
      <c r="UV20">
        <v>139.24507803601131</v>
      </c>
      <c r="UW20">
        <v>135.08886680734531</v>
      </c>
      <c r="UX20">
        <v>137.6509334376411</v>
      </c>
      <c r="UY20">
        <v>133.947178164202</v>
      </c>
      <c r="UZ20">
        <v>135.61627896426521</v>
      </c>
      <c r="VA20">
        <v>135.20312549638601</v>
      </c>
      <c r="VB20">
        <v>136.01004287193291</v>
      </c>
      <c r="VC20">
        <v>140.37168935459181</v>
      </c>
      <c r="VD20">
        <v>138.279677497356</v>
      </c>
      <c r="VE20">
        <v>138.28270181622719</v>
      </c>
      <c r="VF20">
        <v>138.03251593541171</v>
      </c>
      <c r="VG20">
        <v>136.39859355253569</v>
      </c>
      <c r="VH20">
        <v>137.51499751108969</v>
      </c>
      <c r="VI20">
        <v>136.35545925904461</v>
      </c>
      <c r="VJ20">
        <v>135.41085723244419</v>
      </c>
      <c r="VK20">
        <v>136.29049705196769</v>
      </c>
      <c r="VL20">
        <v>138.91067914457369</v>
      </c>
      <c r="VM20">
        <v>134.8905798858662</v>
      </c>
      <c r="VN20">
        <v>137.40620058904611</v>
      </c>
      <c r="VO20">
        <v>137.6997721946874</v>
      </c>
      <c r="VP20">
        <v>136.36632381367519</v>
      </c>
      <c r="VQ20">
        <v>133.83269177904961</v>
      </c>
      <c r="VR20">
        <v>139.6188443915344</v>
      </c>
      <c r="VS20">
        <v>135.27273507896541</v>
      </c>
      <c r="VT20">
        <v>138.72116054502669</v>
      </c>
      <c r="VU20">
        <v>138.79485760096489</v>
      </c>
      <c r="VV20">
        <v>141.36546304263021</v>
      </c>
      <c r="VW20">
        <v>137.81713219176359</v>
      </c>
      <c r="VX20">
        <v>133.0458872726467</v>
      </c>
      <c r="VY20">
        <v>134.260752272649</v>
      </c>
      <c r="VZ20">
        <v>133.68785010574501</v>
      </c>
      <c r="WA20">
        <v>137.11948554515851</v>
      </c>
      <c r="WB20">
        <v>138.0892886597783</v>
      </c>
      <c r="WC20">
        <v>139.10587229218731</v>
      </c>
      <c r="WD20">
        <v>137.5622314321073</v>
      </c>
      <c r="WE20">
        <v>138.25997374323779</v>
      </c>
      <c r="WF20">
        <v>134.53822821356661</v>
      </c>
      <c r="WG20">
        <v>136.82455147865801</v>
      </c>
      <c r="WH20">
        <v>136.27857611646169</v>
      </c>
      <c r="WI20">
        <v>137.82696366871869</v>
      </c>
      <c r="WJ20">
        <v>134.78059006957301</v>
      </c>
      <c r="WK20">
        <v>136.59637432082911</v>
      </c>
      <c r="WL20">
        <v>137.34876582015829</v>
      </c>
      <c r="WM20">
        <v>136.03917740579661</v>
      </c>
      <c r="WN20">
        <v>132.9981005623255</v>
      </c>
      <c r="WO20">
        <v>134.9973137516125</v>
      </c>
      <c r="WP20">
        <v>139.48984878020769</v>
      </c>
      <c r="WQ20">
        <v>134.22260334307131</v>
      </c>
      <c r="WR20">
        <v>139.7369744762255</v>
      </c>
      <c r="WS20">
        <v>136.3403033811251</v>
      </c>
      <c r="WT20">
        <v>137.66732442014529</v>
      </c>
      <c r="WU20">
        <v>133.7046269590428</v>
      </c>
      <c r="WV20">
        <v>134.59678835823109</v>
      </c>
      <c r="WW20">
        <v>139.23096930808961</v>
      </c>
      <c r="WX20">
        <v>135.4151869606626</v>
      </c>
      <c r="WY20">
        <v>137.25279987971149</v>
      </c>
      <c r="WZ20">
        <v>132.73124764212869</v>
      </c>
      <c r="XA20">
        <v>138.22590619993599</v>
      </c>
      <c r="XB20">
        <v>135.88391169993861</v>
      </c>
      <c r="XC20">
        <v>141.87013572027979</v>
      </c>
      <c r="XD20">
        <v>135.58288998432079</v>
      </c>
      <c r="XE20">
        <v>132.76957976569361</v>
      </c>
      <c r="XF20">
        <v>135.38824743062179</v>
      </c>
      <c r="XG20">
        <v>130.86848793595539</v>
      </c>
      <c r="XH20">
        <v>134.0265763437001</v>
      </c>
      <c r="XI20">
        <v>135.8201928069077</v>
      </c>
      <c r="XJ20">
        <v>135.71154429028559</v>
      </c>
      <c r="XK20">
        <v>137.19584051046789</v>
      </c>
      <c r="XL20">
        <v>135.8709897713702</v>
      </c>
      <c r="XM20">
        <v>134.6688702027763</v>
      </c>
      <c r="XN20">
        <v>137.31981447636039</v>
      </c>
      <c r="XO20">
        <v>135.20515914694809</v>
      </c>
      <c r="XP20">
        <v>135.53577547346211</v>
      </c>
      <c r="XQ20">
        <v>134.18210360915259</v>
      </c>
      <c r="XR20">
        <v>130.68044359824509</v>
      </c>
      <c r="XS20">
        <v>133.01213195690869</v>
      </c>
      <c r="XT20">
        <v>134.1439251386802</v>
      </c>
      <c r="XU20">
        <v>132.58161778618921</v>
      </c>
      <c r="XV20">
        <v>135.1335156361335</v>
      </c>
      <c r="XW20">
        <v>133.21992521773069</v>
      </c>
      <c r="XX20">
        <v>133.29402273370519</v>
      </c>
      <c r="XY20">
        <v>132.07513956880939</v>
      </c>
      <c r="XZ20">
        <v>133.59182320797041</v>
      </c>
      <c r="YA20">
        <v>134.19991547267011</v>
      </c>
      <c r="YB20">
        <v>134.84321037790639</v>
      </c>
      <c r="YC20">
        <v>130.3691568442313</v>
      </c>
      <c r="YD20">
        <v>132.5511246288026</v>
      </c>
      <c r="YE20">
        <v>134.84951124663419</v>
      </c>
      <c r="YF20">
        <v>132.72440843399431</v>
      </c>
      <c r="YG20">
        <v>131.3378052496804</v>
      </c>
      <c r="YH20">
        <v>131.05519201429129</v>
      </c>
      <c r="YI20">
        <v>134.26771394449179</v>
      </c>
      <c r="YJ20">
        <v>131.04520683088089</v>
      </c>
      <c r="YK20">
        <v>130.93993228265441</v>
      </c>
      <c r="YL20">
        <v>129.47231101297081</v>
      </c>
      <c r="YM20">
        <v>131.45010515617301</v>
      </c>
      <c r="YN20">
        <v>130.58855645860561</v>
      </c>
      <c r="YO20">
        <v>131.38969581410171</v>
      </c>
      <c r="YP20">
        <v>131.74507183544389</v>
      </c>
      <c r="YQ20">
        <v>132.36892624681431</v>
      </c>
      <c r="YR20">
        <v>129.34485522348501</v>
      </c>
      <c r="YS20">
        <v>131.76381778568901</v>
      </c>
      <c r="YT20">
        <v>132.63643299492989</v>
      </c>
      <c r="YU20">
        <v>129.85159519082211</v>
      </c>
      <c r="YV20">
        <v>132.03364036803271</v>
      </c>
      <c r="YW20">
        <v>130.39194790959669</v>
      </c>
      <c r="YX20">
        <v>130.9146581589813</v>
      </c>
      <c r="YY20">
        <v>130.5342243579521</v>
      </c>
      <c r="YZ20">
        <v>129.97838118313931</v>
      </c>
      <c r="ZA20">
        <v>129.7919556828401</v>
      </c>
      <c r="ZB20">
        <v>132.72235137008249</v>
      </c>
      <c r="ZC20">
        <v>133.99017456918199</v>
      </c>
      <c r="ZD20">
        <v>133.14547182620689</v>
      </c>
      <c r="ZE20">
        <v>133.07854423916339</v>
      </c>
      <c r="ZF20">
        <v>130.64887276653039</v>
      </c>
      <c r="ZG20">
        <v>131.47649268570791</v>
      </c>
      <c r="ZH20">
        <v>132.27785621290931</v>
      </c>
      <c r="ZI20">
        <v>130.96697489284429</v>
      </c>
      <c r="ZJ20">
        <v>131.98985822829451</v>
      </c>
      <c r="ZK20">
        <v>131.30339322741969</v>
      </c>
      <c r="ZL20">
        <v>132.82185905735989</v>
      </c>
      <c r="ZM20">
        <v>129.78093911197811</v>
      </c>
      <c r="ZN20">
        <v>131.38883431514239</v>
      </c>
      <c r="ZO20">
        <v>132.20611468677649</v>
      </c>
      <c r="ZP20">
        <v>132.7218831708648</v>
      </c>
      <c r="ZQ20">
        <v>130.64048354665979</v>
      </c>
      <c r="ZR20">
        <v>130.58441193005439</v>
      </c>
      <c r="ZS20">
        <v>131.31915050738979</v>
      </c>
      <c r="ZT20">
        <v>131.58141780916679</v>
      </c>
      <c r="ZU20">
        <v>132.8018664522169</v>
      </c>
      <c r="ZV20">
        <v>133.56070678147071</v>
      </c>
      <c r="ZW20">
        <v>132.30665852584031</v>
      </c>
      <c r="ZX20">
        <v>135.12578971761121</v>
      </c>
      <c r="ZY20">
        <v>133.84619370877721</v>
      </c>
      <c r="ZZ20">
        <v>133.87817725276321</v>
      </c>
      <c r="AAA20">
        <v>133.23331269013659</v>
      </c>
      <c r="AAB20">
        <v>133.6761332868879</v>
      </c>
      <c r="AAC20">
        <v>135.1956073836555</v>
      </c>
      <c r="AAD20">
        <v>134.2114538777864</v>
      </c>
      <c r="AAE20">
        <v>133.68016820916839</v>
      </c>
      <c r="AAF20">
        <v>134.59127859952949</v>
      </c>
      <c r="AAG20">
        <v>133.96993081282011</v>
      </c>
      <c r="AAH20">
        <v>133.10802243574221</v>
      </c>
      <c r="AAI20">
        <v>134.81865650830849</v>
      </c>
      <c r="AAJ20">
        <v>134.90029430735629</v>
      </c>
      <c r="AAK20">
        <v>135.27781824739191</v>
      </c>
      <c r="AAL20">
        <v>133.26038319508729</v>
      </c>
      <c r="AAM20">
        <v>133.78846931792131</v>
      </c>
      <c r="AAN20">
        <v>133.339062051599</v>
      </c>
      <c r="AAO20">
        <v>133.56051044212151</v>
      </c>
      <c r="AAP20">
        <v>131.75305773101101</v>
      </c>
      <c r="AAQ20">
        <v>132.34037129067869</v>
      </c>
      <c r="AAR20">
        <v>132.52046085163329</v>
      </c>
      <c r="AAS20">
        <v>134.537798192129</v>
      </c>
      <c r="AAT20">
        <v>132.08011289258701</v>
      </c>
      <c r="AAU20">
        <v>131.75086594444761</v>
      </c>
      <c r="AAV20">
        <v>131.02509195827281</v>
      </c>
      <c r="AAW20">
        <v>129.7646743962307</v>
      </c>
      <c r="AAX20">
        <v>130.5079431305569</v>
      </c>
      <c r="AAY20">
        <v>133.89195771527781</v>
      </c>
      <c r="AAZ20">
        <v>135.50752471005251</v>
      </c>
      <c r="ABA20">
        <v>134.43838727517891</v>
      </c>
      <c r="ABB20">
        <v>136.90300143493599</v>
      </c>
      <c r="ABC20">
        <v>135.45746819950591</v>
      </c>
      <c r="ABD20">
        <v>135.76284078435879</v>
      </c>
      <c r="ABE20">
        <v>136.42895922716261</v>
      </c>
      <c r="ABF20">
        <v>137.01291328665161</v>
      </c>
      <c r="ABG20">
        <v>134.76077501975689</v>
      </c>
      <c r="ABH20">
        <v>135.6059980266806</v>
      </c>
      <c r="ABI20">
        <v>135.83507632406619</v>
      </c>
      <c r="ABJ20">
        <v>135.00277815008349</v>
      </c>
      <c r="ABK20">
        <v>135.69287178573211</v>
      </c>
      <c r="ABL20">
        <v>135.97566074856849</v>
      </c>
      <c r="ABM20">
        <v>136.14894072915641</v>
      </c>
      <c r="ABN20">
        <v>135.2225541707756</v>
      </c>
      <c r="ABO20">
        <v>135.5754151263383</v>
      </c>
      <c r="ABP20">
        <v>134.69605005405799</v>
      </c>
      <c r="ABQ20">
        <v>135.59852194234719</v>
      </c>
      <c r="ABR20">
        <v>136.3010277073767</v>
      </c>
      <c r="ABS20">
        <v>135.2613648072201</v>
      </c>
      <c r="ABT20">
        <v>135.6528048003423</v>
      </c>
      <c r="ABU20">
        <v>134.63398411940099</v>
      </c>
      <c r="ABV20">
        <v>134.7955018547018</v>
      </c>
      <c r="ABW20">
        <v>135.44785524791601</v>
      </c>
      <c r="ABX20">
        <v>136.44974624680569</v>
      </c>
      <c r="ABY20">
        <v>134.82493339931571</v>
      </c>
      <c r="ABZ20">
        <v>134.36647561813601</v>
      </c>
      <c r="ACA20">
        <v>134.89592163968001</v>
      </c>
      <c r="ACB20">
        <v>134.77830961677739</v>
      </c>
      <c r="ACC20">
        <v>134.4338004533808</v>
      </c>
      <c r="ACD20">
        <v>134.42584141564399</v>
      </c>
      <c r="ACE20">
        <v>134.381042241968</v>
      </c>
      <c r="ACF20">
        <v>134.60681933913969</v>
      </c>
      <c r="ACG20">
        <v>134.85676997010029</v>
      </c>
      <c r="ACH20">
        <v>134.16770671503721</v>
      </c>
      <c r="ACI20">
        <v>136.23969930265349</v>
      </c>
      <c r="ACJ20">
        <v>137.6545375276684</v>
      </c>
      <c r="ACK20">
        <v>134.63352869136571</v>
      </c>
      <c r="ACL20">
        <v>134.57909845040919</v>
      </c>
      <c r="ACM20">
        <v>135.03455150420689</v>
      </c>
      <c r="ACN20">
        <v>134.5836643480591</v>
      </c>
      <c r="ACO20">
        <v>133.5005614726349</v>
      </c>
      <c r="ACP20">
        <v>134.8045475811993</v>
      </c>
      <c r="ACQ20">
        <v>135.25065935360541</v>
      </c>
      <c r="ACR20">
        <v>134.59106967686699</v>
      </c>
      <c r="ACS20">
        <v>134.38780632285921</v>
      </c>
      <c r="ACT20">
        <v>133.9420260681442</v>
      </c>
      <c r="ACU20">
        <v>133.61786083674971</v>
      </c>
      <c r="ACV20">
        <v>133.1007442533552</v>
      </c>
      <c r="ACW20">
        <v>133.83054463423429</v>
      </c>
      <c r="ACX20">
        <v>134.14648752034319</v>
      </c>
      <c r="ACY20">
        <v>130.9279564721663</v>
      </c>
      <c r="ACZ20">
        <v>129.7813392389512</v>
      </c>
      <c r="ADA20">
        <v>130.08671474976771</v>
      </c>
      <c r="ADB20">
        <v>131.94202724957819</v>
      </c>
      <c r="ADC20">
        <v>134.1558124226585</v>
      </c>
      <c r="ADD20">
        <v>133.65793830145469</v>
      </c>
      <c r="ADE20">
        <v>133.79933216367229</v>
      </c>
      <c r="ADF20">
        <v>134.6598028054035</v>
      </c>
      <c r="ADG20">
        <v>136.9780410262741</v>
      </c>
      <c r="ADH20">
        <v>134.48951877902641</v>
      </c>
      <c r="ADI20">
        <v>133.69251041076001</v>
      </c>
      <c r="ADJ20">
        <v>133.52732739670481</v>
      </c>
      <c r="ADK20">
        <v>134.7268269656642</v>
      </c>
      <c r="ADL20">
        <v>132.88316393014679</v>
      </c>
      <c r="ADM20">
        <v>133.8269500919846</v>
      </c>
      <c r="ADN20">
        <v>134.02974106489381</v>
      </c>
      <c r="ADO20">
        <v>133.04975355920021</v>
      </c>
      <c r="ADP20">
        <v>134.1896516792099</v>
      </c>
      <c r="ADQ20">
        <v>134.8060142503449</v>
      </c>
      <c r="ADR20">
        <v>134.63194955019009</v>
      </c>
      <c r="ADS20">
        <v>134.38246346865751</v>
      </c>
      <c r="ADT20">
        <v>135.5745355515744</v>
      </c>
      <c r="ADU20">
        <v>135.91287367863299</v>
      </c>
      <c r="ADV20">
        <v>136.15722560979191</v>
      </c>
      <c r="ADW20">
        <v>136.2577183597038</v>
      </c>
      <c r="ADX20">
        <v>136.46078012743541</v>
      </c>
      <c r="ADY20">
        <v>137.6671788476387</v>
      </c>
      <c r="ADZ20">
        <v>137.66382823054681</v>
      </c>
      <c r="AEA20">
        <v>137.9406248851142</v>
      </c>
      <c r="AEB20">
        <v>137.5878106429721</v>
      </c>
      <c r="AEC20">
        <v>138.35266935366371</v>
      </c>
      <c r="AED20">
        <v>137.75883927593529</v>
      </c>
      <c r="AEE20">
        <v>137.34477206518901</v>
      </c>
      <c r="AEF20">
        <v>137.70844601860031</v>
      </c>
      <c r="AEG20">
        <v>138.1560889517246</v>
      </c>
      <c r="AEH20">
        <v>137.65960372835329</v>
      </c>
      <c r="AEI20">
        <v>138.7865574969176</v>
      </c>
      <c r="AEJ20">
        <v>137.89123950432079</v>
      </c>
      <c r="AEK20">
        <v>137.74753070743151</v>
      </c>
      <c r="AEL20">
        <v>138.64242277449301</v>
      </c>
      <c r="AEM20">
        <v>137.72371860792251</v>
      </c>
      <c r="AEN20">
        <v>138.34027610241591</v>
      </c>
      <c r="AEO20">
        <v>137.7849557368618</v>
      </c>
      <c r="AEP20">
        <v>138.14369418354971</v>
      </c>
      <c r="AEQ20">
        <v>138.19470675263111</v>
      </c>
      <c r="AER20">
        <v>136.86147825761131</v>
      </c>
      <c r="AES20">
        <v>137.7959957228347</v>
      </c>
      <c r="AET20">
        <v>137.49188174872131</v>
      </c>
      <c r="AEU20">
        <v>138.7317417103269</v>
      </c>
      <c r="AEV20">
        <v>138.30789214892499</v>
      </c>
      <c r="AEW20">
        <v>139.9419999481575</v>
      </c>
      <c r="AEX20">
        <v>141.10867823478389</v>
      </c>
      <c r="AEY20">
        <v>141.9913233337075</v>
      </c>
      <c r="AEZ20">
        <v>141.21996381487639</v>
      </c>
      <c r="AFA20">
        <v>141.05329727283879</v>
      </c>
      <c r="AFB20">
        <v>140.97824534884111</v>
      </c>
      <c r="AFC20">
        <v>141.27674328127111</v>
      </c>
      <c r="AFD20">
        <v>140.39527581818189</v>
      </c>
      <c r="AFE20">
        <v>140.89019208089721</v>
      </c>
      <c r="AFF20">
        <v>141.5849861164981</v>
      </c>
      <c r="AFG20">
        <v>140.78040106579579</v>
      </c>
      <c r="AFH20">
        <v>140.86961663285419</v>
      </c>
      <c r="AFI20">
        <v>141.36513034013481</v>
      </c>
      <c r="AFJ20">
        <v>141.0662977758231</v>
      </c>
      <c r="AFK20">
        <v>141.84700138649811</v>
      </c>
      <c r="AFL20">
        <v>142.0930675259664</v>
      </c>
      <c r="AFM20">
        <v>141.63469560261601</v>
      </c>
      <c r="AFN20">
        <v>141.82147104949499</v>
      </c>
      <c r="AFO20">
        <v>141.52879377408041</v>
      </c>
      <c r="AFP20">
        <v>140.35036043797601</v>
      </c>
      <c r="AFQ20">
        <v>141.69451642596121</v>
      </c>
      <c r="AFR20">
        <v>141.44884136224169</v>
      </c>
      <c r="AFS20">
        <v>139.98415929260329</v>
      </c>
      <c r="AFT20">
        <v>140.6645309073478</v>
      </c>
      <c r="AFU20">
        <v>139.70383461815069</v>
      </c>
      <c r="AFV20">
        <v>140.13902271845171</v>
      </c>
      <c r="AFW20">
        <v>140.99535069315621</v>
      </c>
      <c r="AFX20">
        <v>141.22358768332319</v>
      </c>
      <c r="AFY20">
        <v>140.5742698760335</v>
      </c>
      <c r="AFZ20">
        <v>139.8946089597799</v>
      </c>
      <c r="AGA20">
        <v>140.1793492312201</v>
      </c>
      <c r="AGB20">
        <v>139.3687920447239</v>
      </c>
      <c r="AGC20">
        <v>140.18596751556581</v>
      </c>
      <c r="AGD20">
        <v>141.19260392769971</v>
      </c>
      <c r="AGE20">
        <v>140.0340052632387</v>
      </c>
      <c r="AGF20">
        <v>140.29935325255249</v>
      </c>
      <c r="AGG20">
        <v>139.27835209812221</v>
      </c>
      <c r="AGH20">
        <v>139.0831473746066</v>
      </c>
      <c r="AGI20">
        <v>139.94133887811529</v>
      </c>
      <c r="AGJ20">
        <v>140.95931083502231</v>
      </c>
      <c r="AGK20">
        <v>141.27990685032779</v>
      </c>
      <c r="AGL20">
        <v>140.69344052813071</v>
      </c>
      <c r="AGM20">
        <v>140.60133684450079</v>
      </c>
      <c r="AGN20">
        <v>142.20221138635679</v>
      </c>
      <c r="AGO20">
        <v>140.510138804972</v>
      </c>
      <c r="AGP20">
        <v>141.0889506869205</v>
      </c>
      <c r="AGQ20">
        <v>141.3016488525717</v>
      </c>
      <c r="AGR20">
        <v>140.88166981289601</v>
      </c>
      <c r="AGS20">
        <v>140.84429694611791</v>
      </c>
      <c r="AGT20">
        <v>141.86445702844819</v>
      </c>
      <c r="AGU20">
        <v>140.47411838881021</v>
      </c>
      <c r="AGV20">
        <v>140.0535094264261</v>
      </c>
      <c r="AGW20">
        <v>139.060466473681</v>
      </c>
      <c r="AGX20">
        <v>138.50259731603961</v>
      </c>
      <c r="AGY20">
        <v>139.13852340601221</v>
      </c>
      <c r="AGZ20">
        <v>138.6235435221154</v>
      </c>
      <c r="AHA20">
        <v>137.9569770294203</v>
      </c>
      <c r="AHB20">
        <v>138.15182234622159</v>
      </c>
      <c r="AHC20">
        <v>138.736540153476</v>
      </c>
      <c r="AHD20">
        <v>139.24086721985421</v>
      </c>
      <c r="AHE20">
        <v>138.4692813153832</v>
      </c>
      <c r="AHF20">
        <v>138.11213239302069</v>
      </c>
      <c r="AHG20">
        <v>138.82487790962051</v>
      </c>
      <c r="AHH20">
        <v>137.5655055561194</v>
      </c>
      <c r="AHI20">
        <v>141.8781679777349</v>
      </c>
    </row>
    <row r="21" spans="1:895" x14ac:dyDescent="0.35">
      <c r="A21" s="6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</row>
    <row r="22" spans="1:895" x14ac:dyDescent="0.35">
      <c r="A22" s="4" t="s">
        <v>27</v>
      </c>
      <c r="B22">
        <v>-0.79926936583402153</v>
      </c>
      <c r="C22">
        <v>-0.99932417358320436</v>
      </c>
      <c r="D22">
        <v>-1.2906296341546979</v>
      </c>
      <c r="E22">
        <v>-0.95933527061299628</v>
      </c>
      <c r="F22">
        <v>-1.4059618917281109</v>
      </c>
      <c r="G22">
        <v>-1.169119749106585</v>
      </c>
      <c r="H22">
        <v>-0.96860273359379789</v>
      </c>
      <c r="I22">
        <v>-1.4334284889153821</v>
      </c>
      <c r="J22">
        <v>-1.337139495874567</v>
      </c>
      <c r="K22">
        <v>-1.168388332992379</v>
      </c>
      <c r="L22">
        <v>-1.388159718871435</v>
      </c>
      <c r="M22">
        <v>-1.252137546667939</v>
      </c>
      <c r="N22">
        <v>-1.2495898752076191</v>
      </c>
      <c r="O22">
        <v>-1.386537431266504</v>
      </c>
      <c r="P22">
        <v>-1.1221102144237141</v>
      </c>
      <c r="Q22">
        <v>-0.80478376964472886</v>
      </c>
      <c r="R22">
        <v>-0.76287039113253741</v>
      </c>
      <c r="S22">
        <v>-0.543694056297511</v>
      </c>
      <c r="T22">
        <v>-0.72306407996541111</v>
      </c>
      <c r="U22">
        <v>-0.72546441395047623</v>
      </c>
      <c r="V22">
        <v>-0.9753464219817829</v>
      </c>
      <c r="W22">
        <v>-1.2154892626183771</v>
      </c>
      <c r="QF22">
        <v>-0.79926936583402153</v>
      </c>
      <c r="QG22">
        <v>-0.99932417358320436</v>
      </c>
      <c r="QH22">
        <v>-1.2906296341546979</v>
      </c>
      <c r="QI22">
        <v>-0.95933527061299628</v>
      </c>
      <c r="QJ22">
        <v>-1.4059618917281109</v>
      </c>
      <c r="QK22">
        <v>-1.169119749106585</v>
      </c>
      <c r="QL22">
        <v>-0.96860273359379789</v>
      </c>
      <c r="QM22">
        <v>-1.4334284889153821</v>
      </c>
      <c r="QN22">
        <v>-1.337139495874567</v>
      </c>
      <c r="QO22">
        <v>-1.168388332992379</v>
      </c>
      <c r="QP22">
        <v>-1.388159718871435</v>
      </c>
      <c r="QQ22">
        <v>-1.252137546667939</v>
      </c>
      <c r="QR22">
        <v>-1.2495898752076191</v>
      </c>
      <c r="QS22">
        <v>-1.386537431266504</v>
      </c>
      <c r="QT22">
        <v>-1.1221102144237141</v>
      </c>
      <c r="QU22">
        <v>-0.80478376964472886</v>
      </c>
      <c r="QV22">
        <v>-0.76287039113253741</v>
      </c>
      <c r="QW22">
        <v>-0.543694056297511</v>
      </c>
      <c r="QX22">
        <v>-0.72306407996541111</v>
      </c>
      <c r="QY22">
        <v>-0.72546441395047623</v>
      </c>
      <c r="QZ22">
        <v>-0.9753464219817829</v>
      </c>
      <c r="RA22">
        <v>-1.2154892626183771</v>
      </c>
    </row>
    <row r="23" spans="1:895" ht="24" customHeight="1" x14ac:dyDescent="0.35">
      <c r="A23" s="3" t="s">
        <v>28</v>
      </c>
      <c r="B23">
        <v>-1.627902413963682</v>
      </c>
      <c r="C23">
        <v>-1.606113538228271</v>
      </c>
      <c r="D23">
        <v>-1.756199999689301</v>
      </c>
      <c r="E23">
        <v>-2.0783945257989269</v>
      </c>
      <c r="F23">
        <v>-1.8616231754014341</v>
      </c>
      <c r="G23">
        <v>-1.8396814054387389</v>
      </c>
      <c r="H23">
        <v>-2.030943090957408</v>
      </c>
      <c r="I23">
        <v>-1.900514212648716</v>
      </c>
      <c r="J23">
        <v>-1.8790883667921039</v>
      </c>
      <c r="K23">
        <v>-1.8972485195629361</v>
      </c>
      <c r="L23">
        <v>-2.0868771546578841</v>
      </c>
      <c r="M23">
        <v>-1.605600325237049</v>
      </c>
      <c r="N23">
        <v>-1.9744598401439359</v>
      </c>
      <c r="O23">
        <v>-2.2643110443999031</v>
      </c>
      <c r="P23">
        <v>-2.038344418442875</v>
      </c>
      <c r="Q23">
        <v>-1.906586974194028</v>
      </c>
      <c r="R23">
        <v>-1.6605938286280091</v>
      </c>
      <c r="S23">
        <v>-1.694634781252802</v>
      </c>
      <c r="T23">
        <v>-2.0522968677826441</v>
      </c>
      <c r="U23">
        <v>-1.3452262359435849</v>
      </c>
      <c r="V23">
        <v>-1.797536397203686</v>
      </c>
      <c r="W23">
        <v>-1.548080829926306</v>
      </c>
      <c r="QF23">
        <v>-1.627902413963682</v>
      </c>
      <c r="QG23">
        <v>-1.606113538228271</v>
      </c>
      <c r="QH23">
        <v>-1.756199999689301</v>
      </c>
      <c r="QI23">
        <v>-2.0783945257989269</v>
      </c>
      <c r="QJ23">
        <v>-1.8616231754014341</v>
      </c>
      <c r="QK23">
        <v>-1.8396814054387389</v>
      </c>
      <c r="QL23">
        <v>-2.030943090957408</v>
      </c>
      <c r="QM23">
        <v>-1.900514212648716</v>
      </c>
      <c r="QN23">
        <v>-1.8790883667921039</v>
      </c>
      <c r="QO23">
        <v>-1.8972485195629361</v>
      </c>
      <c r="QP23">
        <v>-2.0868771546578841</v>
      </c>
      <c r="QQ23">
        <v>-1.605600325237049</v>
      </c>
      <c r="QR23">
        <v>-1.9744598401439359</v>
      </c>
      <c r="QS23">
        <v>-2.2643110443999031</v>
      </c>
      <c r="QT23">
        <v>-2.038344418442875</v>
      </c>
      <c r="QU23">
        <v>-1.906586974194028</v>
      </c>
      <c r="QV23">
        <v>-1.6605938286280091</v>
      </c>
      <c r="QW23">
        <v>-1.694634781252802</v>
      </c>
      <c r="QX23">
        <v>-2.0522968677826441</v>
      </c>
      <c r="QY23">
        <v>-1.3452262359435849</v>
      </c>
      <c r="QZ23">
        <v>-1.797536397203686</v>
      </c>
      <c r="RA23">
        <v>-1.548080829926306</v>
      </c>
    </row>
    <row r="24" spans="1:895" x14ac:dyDescent="0.35">
      <c r="A24" s="4" t="s">
        <v>29</v>
      </c>
      <c r="B24">
        <v>1.627902413963682</v>
      </c>
      <c r="C24">
        <v>1.606113538228271</v>
      </c>
      <c r="D24">
        <v>1.756199999689301</v>
      </c>
      <c r="E24">
        <v>2.0783945257989269</v>
      </c>
      <c r="F24">
        <v>1.8616231754014341</v>
      </c>
      <c r="G24">
        <v>1.8396814054387389</v>
      </c>
      <c r="H24">
        <v>2.030943090957408</v>
      </c>
      <c r="I24">
        <v>1.900514212648716</v>
      </c>
      <c r="J24">
        <v>1.8790883667921039</v>
      </c>
      <c r="K24">
        <v>1.8972485195629361</v>
      </c>
      <c r="L24">
        <v>2.0868771546578841</v>
      </c>
      <c r="M24">
        <v>1.605600325237049</v>
      </c>
      <c r="N24">
        <v>1.9744598401439359</v>
      </c>
      <c r="O24">
        <v>2.2643110443999031</v>
      </c>
      <c r="P24">
        <v>2.038344418442875</v>
      </c>
      <c r="Q24">
        <v>1.906586974194028</v>
      </c>
      <c r="R24">
        <v>1.6605938286280091</v>
      </c>
      <c r="S24">
        <v>1.694634781252802</v>
      </c>
      <c r="T24">
        <v>2.0522968677826441</v>
      </c>
      <c r="U24">
        <v>1.3452262359435849</v>
      </c>
      <c r="V24">
        <v>1.797536397203686</v>
      </c>
      <c r="W24">
        <v>1.548080829926306</v>
      </c>
      <c r="QF24">
        <v>1.627902413963682</v>
      </c>
      <c r="QG24">
        <v>1.606113538228271</v>
      </c>
      <c r="QH24">
        <v>1.756199999689301</v>
      </c>
      <c r="QI24">
        <v>2.0783945257989269</v>
      </c>
      <c r="QJ24">
        <v>1.8616231754014341</v>
      </c>
      <c r="QK24">
        <v>1.8396814054387389</v>
      </c>
      <c r="QL24">
        <v>2.030943090957408</v>
      </c>
      <c r="QM24">
        <v>1.900514212648716</v>
      </c>
      <c r="QN24">
        <v>1.8790883667921039</v>
      </c>
      <c r="QO24">
        <v>1.8972485195629361</v>
      </c>
      <c r="QP24">
        <v>2.0868771546578841</v>
      </c>
      <c r="QQ24">
        <v>1.605600325237049</v>
      </c>
      <c r="QR24">
        <v>1.9744598401439359</v>
      </c>
      <c r="QS24">
        <v>2.2643110443999031</v>
      </c>
      <c r="QT24">
        <v>2.038344418442875</v>
      </c>
      <c r="QU24">
        <v>1.906586974194028</v>
      </c>
      <c r="QV24">
        <v>1.6605938286280091</v>
      </c>
      <c r="QW24">
        <v>1.694634781252802</v>
      </c>
      <c r="QX24">
        <v>2.0522968677826441</v>
      </c>
      <c r="QY24">
        <v>1.3452262359435849</v>
      </c>
      <c r="QZ24">
        <v>1.797536397203686</v>
      </c>
      <c r="RA24">
        <v>1.548080829926306</v>
      </c>
    </row>
    <row r="25" spans="1:895" x14ac:dyDescent="0.35">
      <c r="A25" s="3" t="s">
        <v>30</v>
      </c>
      <c r="B25">
        <v>139.10059422349349</v>
      </c>
      <c r="C25">
        <v>138.22155441895291</v>
      </c>
      <c r="D25">
        <v>137.16059652722359</v>
      </c>
      <c r="E25">
        <v>138.17361694734319</v>
      </c>
      <c r="F25">
        <v>138.00123189257349</v>
      </c>
      <c r="G25">
        <v>137.6852374119949</v>
      </c>
      <c r="H25">
        <v>137.38618901430999</v>
      </c>
      <c r="I25">
        <v>135.5722990407499</v>
      </c>
      <c r="J25">
        <v>136.16988965055819</v>
      </c>
      <c r="K25">
        <v>136.40002310999941</v>
      </c>
      <c r="L25">
        <v>136.3847253104629</v>
      </c>
      <c r="M25">
        <v>136.8011680693991</v>
      </c>
      <c r="N25">
        <v>137.50311940815419</v>
      </c>
      <c r="O25">
        <v>136.9504524695123</v>
      </c>
      <c r="P25">
        <v>138.8298763762395</v>
      </c>
      <c r="Q25">
        <v>140.03669345981959</v>
      </c>
      <c r="R25">
        <v>140.71260056971141</v>
      </c>
      <c r="S25">
        <v>140.68074108234501</v>
      </c>
      <c r="T25">
        <v>140.0290917118229</v>
      </c>
      <c r="U25">
        <v>139.21116239081471</v>
      </c>
      <c r="V25">
        <v>139.86875819842851</v>
      </c>
      <c r="W25">
        <v>139.3432200722051</v>
      </c>
      <c r="QF25">
        <v>139.10059422349349</v>
      </c>
      <c r="QG25">
        <v>138.22155441895291</v>
      </c>
      <c r="QH25">
        <v>137.16059652722359</v>
      </c>
      <c r="QI25">
        <v>138.17361694734319</v>
      </c>
      <c r="QJ25">
        <v>138.00123189257349</v>
      </c>
      <c r="QK25">
        <v>137.6852374119949</v>
      </c>
      <c r="QL25">
        <v>137.38618901430999</v>
      </c>
      <c r="QM25">
        <v>135.5722990407499</v>
      </c>
      <c r="QN25">
        <v>136.16988965055819</v>
      </c>
      <c r="QO25">
        <v>136.40002310999941</v>
      </c>
      <c r="QP25">
        <v>136.3847253104629</v>
      </c>
      <c r="QQ25">
        <v>136.8011680693991</v>
      </c>
      <c r="QR25">
        <v>137.50311940815419</v>
      </c>
      <c r="QS25">
        <v>136.9504524695123</v>
      </c>
      <c r="QT25">
        <v>138.8298763762395</v>
      </c>
      <c r="QU25">
        <v>140.03669345981959</v>
      </c>
      <c r="QV25">
        <v>140.71260056971141</v>
      </c>
      <c r="QW25">
        <v>140.68074108234501</v>
      </c>
      <c r="QX25">
        <v>140.0290917118229</v>
      </c>
      <c r="QY25">
        <v>139.21116239081471</v>
      </c>
      <c r="QZ25">
        <v>139.86875819842851</v>
      </c>
      <c r="RA25">
        <v>139.3432200722051</v>
      </c>
    </row>
    <row r="26" spans="1:895" x14ac:dyDescent="0.35">
      <c r="A26" s="5" t="s">
        <v>31</v>
      </c>
      <c r="B26">
        <v>1.480607786846684</v>
      </c>
      <c r="C26">
        <v>1.4781593740893459</v>
      </c>
      <c r="D26">
        <v>1.482522596476908</v>
      </c>
      <c r="E26">
        <v>1.443965957341556</v>
      </c>
      <c r="F26">
        <v>1.475266185549303</v>
      </c>
      <c r="G26">
        <v>1.459646987919798</v>
      </c>
      <c r="H26">
        <v>1.4620231266702359</v>
      </c>
      <c r="I26">
        <v>1.5039746115772581</v>
      </c>
      <c r="J26">
        <v>1.499762237987895</v>
      </c>
      <c r="K26">
        <v>1.471827477963553</v>
      </c>
      <c r="L26">
        <v>1.496412104576575</v>
      </c>
      <c r="M26">
        <v>1.457317454914093</v>
      </c>
      <c r="N26">
        <v>1.509259424092446</v>
      </c>
      <c r="O26">
        <v>1.4906734299510409</v>
      </c>
      <c r="P26">
        <v>1.5079547889278699</v>
      </c>
      <c r="Q26">
        <v>1.4817714018737369</v>
      </c>
      <c r="R26">
        <v>1.4504223048855489</v>
      </c>
      <c r="S26">
        <v>1.509290078812852</v>
      </c>
      <c r="T26">
        <v>1.474701551135069</v>
      </c>
      <c r="U26">
        <v>1.4931304608032689</v>
      </c>
      <c r="V26">
        <v>1.4584180961723821</v>
      </c>
      <c r="W26">
        <v>1.4434653983595429</v>
      </c>
      <c r="QF26">
        <v>1.480607786846684</v>
      </c>
      <c r="QG26">
        <v>1.4781593740893459</v>
      </c>
      <c r="QH26">
        <v>1.482522596476908</v>
      </c>
      <c r="QI26">
        <v>1.443965957341556</v>
      </c>
      <c r="QJ26">
        <v>1.475266185549303</v>
      </c>
      <c r="QK26">
        <v>1.459646987919798</v>
      </c>
      <c r="QL26">
        <v>1.4620231266702359</v>
      </c>
      <c r="QM26">
        <v>1.5039746115772581</v>
      </c>
      <c r="QN26">
        <v>1.499762237987895</v>
      </c>
      <c r="QO26">
        <v>1.471827477963553</v>
      </c>
      <c r="QP26">
        <v>1.496412104576575</v>
      </c>
      <c r="QQ26">
        <v>1.457317454914093</v>
      </c>
      <c r="QR26">
        <v>1.509259424092446</v>
      </c>
      <c r="QS26">
        <v>1.4906734299510409</v>
      </c>
      <c r="QT26">
        <v>1.5079547889278699</v>
      </c>
      <c r="QU26">
        <v>1.4817714018737369</v>
      </c>
      <c r="QV26">
        <v>1.4504223048855489</v>
      </c>
      <c r="QW26">
        <v>1.509290078812852</v>
      </c>
      <c r="QX26">
        <v>1.474701551135069</v>
      </c>
      <c r="QY26">
        <v>1.4931304608032689</v>
      </c>
      <c r="QZ26">
        <v>1.4584180961723821</v>
      </c>
      <c r="RA26">
        <v>1.4434653983595429</v>
      </c>
    </row>
    <row r="28" spans="1:895" x14ac:dyDescent="0.35">
      <c r="A28" s="1" t="s">
        <v>34</v>
      </c>
      <c r="B28" s="119">
        <f t="shared" ref="B28:W28" si="2">B19</f>
        <v>45291</v>
      </c>
      <c r="C28" s="119">
        <f t="shared" si="2"/>
        <v>45298</v>
      </c>
      <c r="D28" s="119">
        <f t="shared" si="2"/>
        <v>45305</v>
      </c>
      <c r="E28" s="119">
        <f t="shared" si="2"/>
        <v>45312</v>
      </c>
      <c r="F28" s="119">
        <f t="shared" si="2"/>
        <v>45319</v>
      </c>
      <c r="G28" s="119">
        <f t="shared" si="2"/>
        <v>45326</v>
      </c>
      <c r="H28" s="119">
        <f t="shared" si="2"/>
        <v>45333</v>
      </c>
      <c r="I28" s="119">
        <f t="shared" si="2"/>
        <v>45340</v>
      </c>
      <c r="J28" s="119">
        <f t="shared" si="2"/>
        <v>45347</v>
      </c>
      <c r="K28" s="119">
        <f t="shared" si="2"/>
        <v>45354</v>
      </c>
      <c r="L28" s="119">
        <f t="shared" si="2"/>
        <v>45361</v>
      </c>
      <c r="M28" s="119">
        <f t="shared" si="2"/>
        <v>45368</v>
      </c>
      <c r="N28" s="119">
        <f t="shared" si="2"/>
        <v>45375</v>
      </c>
      <c r="O28" s="119">
        <f t="shared" si="2"/>
        <v>45382</v>
      </c>
      <c r="P28" s="119">
        <f t="shared" si="2"/>
        <v>45389</v>
      </c>
      <c r="Q28" s="119">
        <f t="shared" si="2"/>
        <v>45396</v>
      </c>
      <c r="R28" s="119">
        <f t="shared" si="2"/>
        <v>45403</v>
      </c>
      <c r="S28" s="119">
        <f t="shared" si="2"/>
        <v>45410</v>
      </c>
      <c r="T28" s="119">
        <f t="shared" si="2"/>
        <v>45417</v>
      </c>
      <c r="U28" s="119">
        <f t="shared" si="2"/>
        <v>45424</v>
      </c>
      <c r="V28" s="119">
        <f t="shared" si="2"/>
        <v>45431</v>
      </c>
      <c r="W28" s="119">
        <f t="shared" si="2"/>
        <v>45438</v>
      </c>
    </row>
    <row r="29" spans="1:895" x14ac:dyDescent="0.35">
      <c r="A29" s="101" t="s">
        <v>25</v>
      </c>
      <c r="B29">
        <v>136.93689963796811</v>
      </c>
      <c r="C29">
        <v>137.98802742208051</v>
      </c>
      <c r="D29">
        <v>137.06585523012069</v>
      </c>
      <c r="E29">
        <v>138.79588787992921</v>
      </c>
      <c r="F29">
        <v>136.6773650579506</v>
      </c>
      <c r="G29">
        <v>137.06165208528591</v>
      </c>
      <c r="H29">
        <v>136.83543924532489</v>
      </c>
      <c r="I29">
        <v>135.24488413151849</v>
      </c>
      <c r="J29">
        <v>136.65034745383721</v>
      </c>
      <c r="K29">
        <v>137.10162290812579</v>
      </c>
      <c r="L29">
        <v>137.20647300814059</v>
      </c>
      <c r="M29">
        <v>136.3355233446589</v>
      </c>
      <c r="N29">
        <v>136.84901750611661</v>
      </c>
      <c r="O29">
        <v>136.93169220071809</v>
      </c>
      <c r="P29">
        <v>136.84226225891379</v>
      </c>
      <c r="Q29">
        <v>137.62988332147819</v>
      </c>
      <c r="R29">
        <v>137.7008847083186</v>
      </c>
      <c r="S29">
        <v>137.7084556174342</v>
      </c>
      <c r="T29">
        <v>137.88255750462031</v>
      </c>
      <c r="U29">
        <v>137.28356633751281</v>
      </c>
      <c r="V29">
        <v>137.4298987182585</v>
      </c>
      <c r="W29">
        <v>137.87670042288619</v>
      </c>
      <c r="X29">
        <v>130.77327143788639</v>
      </c>
      <c r="Y29">
        <v>129.30044458504881</v>
      </c>
      <c r="Z29">
        <v>127.8830605879124</v>
      </c>
      <c r="AA29">
        <v>129.00833037322161</v>
      </c>
      <c r="AB29">
        <v>128.7971876718922</v>
      </c>
      <c r="AC29">
        <v>127.28102625834519</v>
      </c>
      <c r="AD29">
        <v>127.52430466187749</v>
      </c>
      <c r="AE29">
        <v>127.0878543530805</v>
      </c>
      <c r="AF29">
        <v>127.3887985638287</v>
      </c>
      <c r="AG29">
        <v>126.7505432479321</v>
      </c>
      <c r="AH29">
        <v>129.15943288002609</v>
      </c>
      <c r="AI29">
        <v>128.63147832726969</v>
      </c>
      <c r="AJ29">
        <v>130.00494747220401</v>
      </c>
      <c r="AK29">
        <v>130.31208283172401</v>
      </c>
      <c r="AL29">
        <v>129.04545661104919</v>
      </c>
      <c r="AM29">
        <v>128.87926721669339</v>
      </c>
      <c r="AN29">
        <v>129.63022909293809</v>
      </c>
      <c r="AO29">
        <v>130.20327973637819</v>
      </c>
      <c r="AP29">
        <v>130.62625961521451</v>
      </c>
      <c r="AQ29">
        <v>129.74173487787101</v>
      </c>
      <c r="AR29">
        <v>129.21875304756949</v>
      </c>
      <c r="AS29">
        <v>130.4231167918077</v>
      </c>
      <c r="AT29">
        <v>129.52506244909759</v>
      </c>
      <c r="AU29">
        <v>131.04622555018381</v>
      </c>
      <c r="AV29">
        <v>129.33257898779169</v>
      </c>
      <c r="AW29">
        <v>130.0447799313381</v>
      </c>
      <c r="AX29">
        <v>129.87071079072459</v>
      </c>
      <c r="AY29">
        <v>128.50633804074801</v>
      </c>
      <c r="AZ29">
        <v>130.7336929864866</v>
      </c>
      <c r="BA29">
        <v>130.16041188796461</v>
      </c>
      <c r="BB29">
        <v>130.42975908233109</v>
      </c>
      <c r="BC29">
        <v>130.475863484332</v>
      </c>
      <c r="BD29">
        <v>131.2538731529954</v>
      </c>
      <c r="BE29">
        <v>131.16511091511319</v>
      </c>
      <c r="BF29">
        <v>130.2949320345314</v>
      </c>
      <c r="BG29">
        <v>131.53551236468729</v>
      </c>
      <c r="BH29">
        <v>131.27959751744839</v>
      </c>
      <c r="BI29">
        <v>130.83916672077291</v>
      </c>
      <c r="BJ29">
        <v>131.07008305658971</v>
      </c>
      <c r="BK29">
        <v>130.27082297732289</v>
      </c>
      <c r="BL29">
        <v>131.06309155732399</v>
      </c>
      <c r="BM29">
        <v>130.6857185171832</v>
      </c>
      <c r="BN29">
        <v>130.67411922331209</v>
      </c>
      <c r="BO29">
        <v>130.50981909327669</v>
      </c>
      <c r="BP29">
        <v>129.23008966274929</v>
      </c>
      <c r="BQ29">
        <v>132.02308002671569</v>
      </c>
      <c r="BR29">
        <v>129.7297085294604</v>
      </c>
      <c r="BS29">
        <v>130.70992494377441</v>
      </c>
      <c r="BT29">
        <v>130.11763805027701</v>
      </c>
      <c r="BU29">
        <v>130.16391930386689</v>
      </c>
      <c r="BV29">
        <v>129.39485333008921</v>
      </c>
      <c r="BW29">
        <v>129.1690444452266</v>
      </c>
      <c r="BX29">
        <v>130.83604906977021</v>
      </c>
      <c r="BY29">
        <v>129.88943443233521</v>
      </c>
      <c r="BZ29">
        <v>130.0433038093166</v>
      </c>
      <c r="CA29">
        <v>130.3822191252323</v>
      </c>
      <c r="CB29">
        <v>130.25868501602281</v>
      </c>
      <c r="CC29">
        <v>130.52822413440359</v>
      </c>
      <c r="CD29">
        <v>129.56408717354299</v>
      </c>
      <c r="CE29">
        <v>132.2663198967258</v>
      </c>
      <c r="CF29">
        <v>130.49291158733959</v>
      </c>
      <c r="CG29">
        <v>131.47031822421491</v>
      </c>
      <c r="CH29">
        <v>131.4538545294696</v>
      </c>
      <c r="CI29">
        <v>131.10532953382969</v>
      </c>
      <c r="CJ29">
        <v>131.9179996333429</v>
      </c>
      <c r="CK29">
        <v>131.36186326856489</v>
      </c>
      <c r="CL29">
        <v>131.40792491928909</v>
      </c>
      <c r="CM29">
        <v>132.54071793150939</v>
      </c>
      <c r="CN29">
        <v>131.9338670377407</v>
      </c>
      <c r="CO29">
        <v>130.70574184937169</v>
      </c>
      <c r="CP29">
        <v>131.65610885559639</v>
      </c>
      <c r="CQ29">
        <v>131.9384653296336</v>
      </c>
      <c r="CR29">
        <v>132.80039252928279</v>
      </c>
      <c r="CS29">
        <v>131.69788101681289</v>
      </c>
      <c r="CT29">
        <v>132.24702357827539</v>
      </c>
      <c r="CU29">
        <v>133.35718523144479</v>
      </c>
      <c r="CV29">
        <v>132.31709021219109</v>
      </c>
      <c r="CW29">
        <v>132.62879929228299</v>
      </c>
      <c r="CX29">
        <v>131.4006620283528</v>
      </c>
      <c r="CY29">
        <v>132.27433375230461</v>
      </c>
      <c r="CZ29">
        <v>131.32453127646789</v>
      </c>
      <c r="DA29">
        <v>131.8913163336029</v>
      </c>
      <c r="DB29">
        <v>131.1682671618168</v>
      </c>
      <c r="DC29">
        <v>131.34234505030051</v>
      </c>
      <c r="DD29">
        <v>132.0598154062636</v>
      </c>
      <c r="DE29">
        <v>132.7025582228394</v>
      </c>
      <c r="DF29">
        <v>130.8461434830796</v>
      </c>
      <c r="DG29">
        <v>131.37434356027421</v>
      </c>
      <c r="DH29">
        <v>130.55269160889739</v>
      </c>
      <c r="DI29">
        <v>132.918172610043</v>
      </c>
      <c r="DJ29">
        <v>131.43849151970491</v>
      </c>
      <c r="DK29">
        <v>132.0085756175863</v>
      </c>
      <c r="DL29">
        <v>132.23955986662301</v>
      </c>
      <c r="DM29">
        <v>131.87801873504981</v>
      </c>
      <c r="DN29">
        <v>132.9335527818032</v>
      </c>
      <c r="DO29">
        <v>132.60989955209769</v>
      </c>
      <c r="DP29">
        <v>132.14715371125729</v>
      </c>
      <c r="DQ29">
        <v>131.80077245547471</v>
      </c>
      <c r="DR29">
        <v>132.31314036687189</v>
      </c>
      <c r="DS29">
        <v>132.66389749223191</v>
      </c>
      <c r="DT29">
        <v>132.27239854104229</v>
      </c>
      <c r="DU29">
        <v>132.61916026347589</v>
      </c>
      <c r="DV29">
        <v>131.15502129414861</v>
      </c>
      <c r="DW29">
        <v>131.9990363863734</v>
      </c>
      <c r="DX29">
        <v>132.10887620246049</v>
      </c>
      <c r="DY29">
        <v>137.6679790684114</v>
      </c>
      <c r="DZ29">
        <v>132.12357782350961</v>
      </c>
      <c r="EA29">
        <v>132.375805543094</v>
      </c>
      <c r="EB29">
        <v>131.89864569160241</v>
      </c>
      <c r="EC29">
        <v>132.46930997685709</v>
      </c>
      <c r="ED29">
        <v>131.30208164727819</v>
      </c>
      <c r="EE29">
        <v>132.15258791253609</v>
      </c>
      <c r="EF29">
        <v>132.2952817505238</v>
      </c>
      <c r="EG29">
        <v>131.57291996467521</v>
      </c>
      <c r="EH29">
        <v>132.00966070967749</v>
      </c>
      <c r="EI29">
        <v>131.6934461520334</v>
      </c>
      <c r="EJ29">
        <v>131.7150999646916</v>
      </c>
      <c r="EK29">
        <v>132.79709113604949</v>
      </c>
      <c r="EL29">
        <v>132.91375582208241</v>
      </c>
      <c r="EM29">
        <v>132.28189252814769</v>
      </c>
      <c r="EN29">
        <v>131.58126858545401</v>
      </c>
      <c r="EO29">
        <v>131.84754965113191</v>
      </c>
      <c r="EP29">
        <v>131.70945157197491</v>
      </c>
      <c r="EQ29">
        <v>130.7369576868974</v>
      </c>
      <c r="ER29">
        <v>131.4311510375762</v>
      </c>
      <c r="ES29">
        <v>131.9696622701689</v>
      </c>
      <c r="ET29">
        <v>130.85042437814079</v>
      </c>
      <c r="EU29">
        <v>132.19915133559101</v>
      </c>
      <c r="EV29">
        <v>132.1195003108003</v>
      </c>
      <c r="EW29">
        <v>131.46682178194681</v>
      </c>
      <c r="EX29">
        <v>132.4155104465016</v>
      </c>
      <c r="EY29">
        <v>131.0248302492538</v>
      </c>
      <c r="EZ29">
        <v>130.72420141676531</v>
      </c>
      <c r="FA29">
        <v>130.7533847360524</v>
      </c>
      <c r="FB29">
        <v>131.95713621009801</v>
      </c>
      <c r="FC29">
        <v>132.11888259676999</v>
      </c>
      <c r="FD29">
        <v>131.064442334955</v>
      </c>
      <c r="FE29">
        <v>131.50256784607251</v>
      </c>
      <c r="FF29">
        <v>130.20583560418279</v>
      </c>
      <c r="FG29">
        <v>129.84325062762991</v>
      </c>
      <c r="FH29">
        <v>131.2752841191321</v>
      </c>
      <c r="FI29">
        <v>131.4973298088313</v>
      </c>
      <c r="FJ29">
        <v>132.79558965906949</v>
      </c>
      <c r="FK29">
        <v>131.8981946752786</v>
      </c>
      <c r="FL29">
        <v>130.63935904526639</v>
      </c>
      <c r="FM29">
        <v>130.81712434541029</v>
      </c>
      <c r="FN29">
        <v>132.37994515469819</v>
      </c>
      <c r="FO29">
        <v>131.62533279180369</v>
      </c>
      <c r="FP29">
        <v>132.3343124824622</v>
      </c>
      <c r="FQ29">
        <v>131.5810811112176</v>
      </c>
      <c r="FR29">
        <v>130.61885140240469</v>
      </c>
      <c r="FS29">
        <v>130.74681031807381</v>
      </c>
      <c r="FT29">
        <v>131.24076469831849</v>
      </c>
      <c r="FU29">
        <v>129.9887762528821</v>
      </c>
      <c r="FV29">
        <v>131.0537570687103</v>
      </c>
      <c r="FW29">
        <v>129.25295293190001</v>
      </c>
      <c r="FX29">
        <v>130.6915058429972</v>
      </c>
      <c r="FY29">
        <v>130.1301960430358</v>
      </c>
      <c r="FZ29">
        <v>132.037955401651</v>
      </c>
      <c r="GA29">
        <v>130.24915438786081</v>
      </c>
      <c r="GB29">
        <v>130.97015550597169</v>
      </c>
      <c r="GC29">
        <v>131.5493045191929</v>
      </c>
      <c r="GD29">
        <v>130.1563342794374</v>
      </c>
      <c r="GE29">
        <v>131.3975169157834</v>
      </c>
      <c r="GF29">
        <v>130.59499620733459</v>
      </c>
      <c r="GG29">
        <v>130.6372731533468</v>
      </c>
      <c r="GH29">
        <v>130.9719433129641</v>
      </c>
      <c r="GI29">
        <v>129.81672120423201</v>
      </c>
      <c r="GJ29">
        <v>129.96402865393381</v>
      </c>
      <c r="GK29">
        <v>130.68620677529759</v>
      </c>
      <c r="GL29">
        <v>130.79186490810361</v>
      </c>
      <c r="GM29">
        <v>130.54953119105451</v>
      </c>
      <c r="GN29">
        <v>130.6579964784936</v>
      </c>
      <c r="GO29">
        <v>130.12110947603631</v>
      </c>
      <c r="GP29">
        <v>129.68336545785019</v>
      </c>
      <c r="GQ29">
        <v>128.68462367152461</v>
      </c>
      <c r="GR29">
        <v>129.63635995533519</v>
      </c>
      <c r="GS29">
        <v>128.80553823077759</v>
      </c>
      <c r="GT29">
        <v>128.6590071482654</v>
      </c>
      <c r="GU29">
        <v>128.7512155734164</v>
      </c>
      <c r="GV29">
        <v>128.9036967540747</v>
      </c>
      <c r="GW29">
        <v>129.36729084739741</v>
      </c>
      <c r="GX29">
        <v>128.6364805209854</v>
      </c>
      <c r="GY29">
        <v>128.19695964057971</v>
      </c>
      <c r="GZ29">
        <v>129.65972870372431</v>
      </c>
      <c r="HA29">
        <v>128.6237376266939</v>
      </c>
      <c r="HB29">
        <v>129.3238223015185</v>
      </c>
      <c r="HC29">
        <v>129.7487946265249</v>
      </c>
      <c r="HD29">
        <v>129.55046772138579</v>
      </c>
      <c r="HE29">
        <v>129.38554165712711</v>
      </c>
      <c r="HF29">
        <v>129.9792081979316</v>
      </c>
      <c r="HG29">
        <v>129.8031216632302</v>
      </c>
      <c r="HH29">
        <v>130.81738829739189</v>
      </c>
      <c r="HI29">
        <v>129.3349571600032</v>
      </c>
      <c r="HJ29">
        <v>128.9006421665004</v>
      </c>
      <c r="HK29">
        <v>129.5370443281623</v>
      </c>
      <c r="HL29">
        <v>129.62050085335551</v>
      </c>
      <c r="HM29">
        <v>128.97889918456971</v>
      </c>
      <c r="HN29">
        <v>128.33658257730801</v>
      </c>
      <c r="HO29">
        <v>129.0930983612015</v>
      </c>
      <c r="HP29">
        <v>128.60690921147199</v>
      </c>
      <c r="HQ29">
        <v>128.37320302828681</v>
      </c>
      <c r="HR29">
        <v>127.9888266645185</v>
      </c>
      <c r="HS29">
        <v>128.074974786513</v>
      </c>
      <c r="HT29">
        <v>127.2770144968861</v>
      </c>
      <c r="HU29">
        <v>127.6048416606797</v>
      </c>
      <c r="HV29">
        <v>128.5222444949454</v>
      </c>
      <c r="HW29">
        <v>128.74386611636649</v>
      </c>
      <c r="HX29">
        <v>127.9718735724647</v>
      </c>
      <c r="HY29">
        <v>128.7463036942809</v>
      </c>
      <c r="HZ29">
        <v>130.34859664762499</v>
      </c>
      <c r="IA29">
        <v>128.41752931189319</v>
      </c>
      <c r="IB29">
        <v>128.68838223168791</v>
      </c>
      <c r="IC29">
        <v>128.8945395308933</v>
      </c>
      <c r="ID29">
        <v>131.3713230634329</v>
      </c>
      <c r="IE29">
        <v>130.28768294607869</v>
      </c>
      <c r="IF29">
        <v>130.68724754610051</v>
      </c>
      <c r="IG29">
        <v>129.07114200706471</v>
      </c>
      <c r="IH29">
        <v>131.29826585990989</v>
      </c>
      <c r="II29">
        <v>130.2620016738567</v>
      </c>
      <c r="IJ29">
        <v>128.85231236899759</v>
      </c>
      <c r="IK29">
        <v>130.17438899669219</v>
      </c>
      <c r="IL29">
        <v>130.99251266585489</v>
      </c>
      <c r="IM29">
        <v>129.55618873283339</v>
      </c>
      <c r="IN29">
        <v>129.50858301606911</v>
      </c>
      <c r="IO29">
        <v>129.23865413059531</v>
      </c>
      <c r="IP29">
        <v>130.30740870919101</v>
      </c>
      <c r="IQ29">
        <v>132.10329537956329</v>
      </c>
      <c r="IR29">
        <v>132.5328363567553</v>
      </c>
      <c r="IS29">
        <v>134.15813920554001</v>
      </c>
      <c r="IT29">
        <v>133.23745819489531</v>
      </c>
      <c r="IU29">
        <v>133.5499332704812</v>
      </c>
      <c r="IV29">
        <v>134.55017723560789</v>
      </c>
      <c r="IW29">
        <v>134.82746013186349</v>
      </c>
      <c r="IX29">
        <v>135.3250360471996</v>
      </c>
      <c r="IY29">
        <v>134.34371332206589</v>
      </c>
      <c r="IZ29">
        <v>134.863141023628</v>
      </c>
      <c r="JA29">
        <v>135.14718290980551</v>
      </c>
      <c r="JB29">
        <v>136.2027483775488</v>
      </c>
      <c r="JC29">
        <v>135.681300609733</v>
      </c>
      <c r="JD29">
        <v>135.09629016874629</v>
      </c>
      <c r="JE29">
        <v>134.30954956442909</v>
      </c>
      <c r="JF29">
        <v>134.9225373958401</v>
      </c>
      <c r="JG29">
        <v>136.51304074224939</v>
      </c>
      <c r="JH29">
        <v>135.7959308899992</v>
      </c>
      <c r="JI29">
        <v>135.5389517635642</v>
      </c>
      <c r="JJ29">
        <v>135.6752431907675</v>
      </c>
      <c r="JK29">
        <v>135.72290418222639</v>
      </c>
      <c r="JL29">
        <v>136.74665248564281</v>
      </c>
      <c r="JM29">
        <v>135.3707086573859</v>
      </c>
      <c r="JN29">
        <v>134.40198750691329</v>
      </c>
      <c r="JO29">
        <v>135.88129239441261</v>
      </c>
      <c r="JP29">
        <v>136.6774474433104</v>
      </c>
      <c r="JQ29">
        <v>135.08047736084319</v>
      </c>
      <c r="JR29">
        <v>134.5458781514059</v>
      </c>
      <c r="JS29">
        <v>136.204772486427</v>
      </c>
      <c r="JT29">
        <v>133.9422264346498</v>
      </c>
      <c r="JU29">
        <v>135.41249466288559</v>
      </c>
      <c r="JV29">
        <v>135.7468282714114</v>
      </c>
      <c r="JW29">
        <v>135.2029305650006</v>
      </c>
      <c r="JX29">
        <v>135.63875945947419</v>
      </c>
      <c r="JY29">
        <v>134.01953293716329</v>
      </c>
      <c r="JZ29">
        <v>134.42578329041461</v>
      </c>
      <c r="KA29">
        <v>135.78018912942181</v>
      </c>
      <c r="KB29">
        <v>135.00105123196931</v>
      </c>
      <c r="KC29">
        <v>136.63368316586269</v>
      </c>
      <c r="KD29">
        <v>136.1166002007453</v>
      </c>
      <c r="KE29">
        <v>135.1836888639456</v>
      </c>
      <c r="KF29">
        <v>135.92583651649659</v>
      </c>
      <c r="KG29">
        <v>134.46481431435521</v>
      </c>
      <c r="KH29">
        <v>134.1965977311535</v>
      </c>
      <c r="KI29">
        <v>135.45590857407939</v>
      </c>
      <c r="KJ29">
        <v>136.15376077227191</v>
      </c>
      <c r="KK29">
        <v>134.52995148693941</v>
      </c>
      <c r="KL29">
        <v>135.04843878388539</v>
      </c>
      <c r="KM29">
        <v>135.0271912759998</v>
      </c>
      <c r="KN29">
        <v>135.27952673059599</v>
      </c>
      <c r="KO29">
        <v>135.4431987995107</v>
      </c>
      <c r="KP29">
        <v>135.80254420187549</v>
      </c>
      <c r="KQ29">
        <v>135.30404970519089</v>
      </c>
      <c r="KR29">
        <v>135.4004197035772</v>
      </c>
      <c r="KS29">
        <v>135.7982496685037</v>
      </c>
      <c r="KT29">
        <v>136.066255304268</v>
      </c>
      <c r="KU29">
        <v>134.94832261322469</v>
      </c>
      <c r="KV29">
        <v>134.75845383631429</v>
      </c>
      <c r="KW29">
        <v>136.08626371042971</v>
      </c>
      <c r="KX29">
        <v>136.0746486824485</v>
      </c>
      <c r="KY29">
        <v>136.2577221778489</v>
      </c>
      <c r="KZ29">
        <v>135.74761693831991</v>
      </c>
      <c r="LA29">
        <v>135.5142498187256</v>
      </c>
      <c r="LB29">
        <v>134.86621759166891</v>
      </c>
      <c r="LC29">
        <v>135.31241278268561</v>
      </c>
      <c r="LD29">
        <v>135.06861127065341</v>
      </c>
      <c r="LE29">
        <v>135.30768580037989</v>
      </c>
      <c r="LF29">
        <v>134.30070318413681</v>
      </c>
      <c r="LG29">
        <v>137.17721981911939</v>
      </c>
      <c r="LH29">
        <v>134.7135745647436</v>
      </c>
      <c r="LI29">
        <v>136.06595488500361</v>
      </c>
      <c r="LJ29">
        <v>134.4230139503627</v>
      </c>
      <c r="LK29">
        <v>134.36641504313789</v>
      </c>
      <c r="LL29">
        <v>134.84649258210669</v>
      </c>
      <c r="LM29">
        <v>134.31910510229719</v>
      </c>
      <c r="LN29">
        <v>134.64181644898721</v>
      </c>
      <c r="LO29">
        <v>134.2993995881281</v>
      </c>
      <c r="LP29">
        <v>134.21061753613151</v>
      </c>
      <c r="LQ29">
        <v>134.9857655452071</v>
      </c>
      <c r="LR29">
        <v>135.34883532832239</v>
      </c>
      <c r="LS29">
        <v>134.37179164013239</v>
      </c>
      <c r="LT29">
        <v>133.694959005843</v>
      </c>
      <c r="LU29">
        <v>132.95347418331701</v>
      </c>
      <c r="LV29">
        <v>133.192502090083</v>
      </c>
      <c r="LW29">
        <v>132.42347364107849</v>
      </c>
      <c r="LX29">
        <v>132.98302197924301</v>
      </c>
      <c r="LY29">
        <v>133.09012281614849</v>
      </c>
      <c r="LZ29">
        <v>133.22897551162939</v>
      </c>
      <c r="MA29">
        <v>134.0970566973632</v>
      </c>
      <c r="MB29">
        <v>133.7641820995018</v>
      </c>
      <c r="MC29">
        <v>135.48247216814559</v>
      </c>
      <c r="MD29">
        <v>134.56195789867741</v>
      </c>
      <c r="ME29">
        <v>133.96788914626151</v>
      </c>
      <c r="MF29">
        <v>134.78357486293029</v>
      </c>
      <c r="MG29">
        <v>134.0979583298967</v>
      </c>
      <c r="MH29">
        <v>132.95988062756359</v>
      </c>
      <c r="MI29">
        <v>134.2134992512957</v>
      </c>
      <c r="MJ29">
        <v>135.37380238644539</v>
      </c>
      <c r="MK29">
        <v>134.4911122870628</v>
      </c>
      <c r="ML29">
        <v>134.5628682705586</v>
      </c>
      <c r="MM29">
        <v>134.15378888810571</v>
      </c>
      <c r="MN29">
        <v>134.85842756218639</v>
      </c>
      <c r="MO29">
        <v>136.17262103303429</v>
      </c>
      <c r="MP29">
        <v>134.39299174175181</v>
      </c>
      <c r="MQ29">
        <v>136.5930954841495</v>
      </c>
      <c r="MR29">
        <v>136.33114662587249</v>
      </c>
      <c r="MS29">
        <v>136.37112020743021</v>
      </c>
      <c r="MT29">
        <v>136.7932278784055</v>
      </c>
      <c r="MU29">
        <v>136.66914812736411</v>
      </c>
      <c r="MV29">
        <v>135.82414424154979</v>
      </c>
      <c r="MW29">
        <v>135.5808335938066</v>
      </c>
      <c r="MX29">
        <v>137.3241178991413</v>
      </c>
      <c r="MY29">
        <v>137.47099740061421</v>
      </c>
      <c r="MZ29">
        <v>136.95559645835729</v>
      </c>
      <c r="NA29">
        <v>137.56029494838339</v>
      </c>
      <c r="NB29">
        <v>137.5788398541473</v>
      </c>
      <c r="NC29">
        <v>136.7824396235915</v>
      </c>
      <c r="ND29">
        <v>137.32095309183839</v>
      </c>
      <c r="NE29">
        <v>136.4841199517623</v>
      </c>
      <c r="NF29">
        <v>136.39315147221251</v>
      </c>
      <c r="NG29">
        <v>137.42848608194311</v>
      </c>
      <c r="NH29">
        <v>137.5502820930156</v>
      </c>
      <c r="NI29">
        <v>137.3790388204491</v>
      </c>
      <c r="NJ29">
        <v>138.2453384627953</v>
      </c>
      <c r="NK29">
        <v>138.62460241657629</v>
      </c>
      <c r="NL29">
        <v>136.73719568696549</v>
      </c>
      <c r="NM29">
        <v>137.7267289586473</v>
      </c>
      <c r="NN29">
        <v>137.63161531206291</v>
      </c>
      <c r="NO29">
        <v>136.17506873990791</v>
      </c>
      <c r="NP29">
        <v>137.61660202121939</v>
      </c>
      <c r="NQ29">
        <v>137.28089556339179</v>
      </c>
      <c r="NR29">
        <v>137.03440800008849</v>
      </c>
      <c r="NS29">
        <v>138.92668708331689</v>
      </c>
      <c r="NT29">
        <v>138.03272264218219</v>
      </c>
      <c r="NU29">
        <v>138.14927201168251</v>
      </c>
      <c r="NV29">
        <v>137.95364263908669</v>
      </c>
      <c r="NW29">
        <v>140.57464243173911</v>
      </c>
      <c r="NX29">
        <v>137.7312045137576</v>
      </c>
      <c r="NY29">
        <v>139.0670484276319</v>
      </c>
      <c r="NZ29">
        <v>139.15480478745249</v>
      </c>
      <c r="OA29">
        <v>138.92985026516581</v>
      </c>
      <c r="OB29">
        <v>139.3128329988142</v>
      </c>
      <c r="OC29">
        <v>138.9444609155876</v>
      </c>
      <c r="OD29">
        <v>139.9026258986797</v>
      </c>
      <c r="OE29">
        <v>141.11960910247359</v>
      </c>
      <c r="OF29">
        <v>137.8892807716791</v>
      </c>
      <c r="OG29">
        <v>139.3315625077602</v>
      </c>
      <c r="OH29">
        <v>139.09013509873861</v>
      </c>
      <c r="OI29">
        <v>141.0420307481771</v>
      </c>
      <c r="OJ29">
        <v>139.51317327935689</v>
      </c>
      <c r="OK29">
        <v>140.10512083846371</v>
      </c>
      <c r="OL29">
        <v>138.5722995564544</v>
      </c>
      <c r="OM29">
        <v>139.1994674768074</v>
      </c>
      <c r="ON29">
        <v>138.83678404329939</v>
      </c>
      <c r="OO29">
        <v>138.89811948516191</v>
      </c>
      <c r="OP29">
        <v>138.04970083502101</v>
      </c>
      <c r="OQ29">
        <v>137.92275355793731</v>
      </c>
      <c r="OR29">
        <v>135.88562277767261</v>
      </c>
      <c r="OS29">
        <v>140.67972866249971</v>
      </c>
      <c r="OT29">
        <v>136.70905819007331</v>
      </c>
      <c r="OU29">
        <v>138.56830055884569</v>
      </c>
      <c r="OV29">
        <v>136.70082378409029</v>
      </c>
      <c r="OW29">
        <v>139.0037536958956</v>
      </c>
      <c r="OX29">
        <v>138.08182405080331</v>
      </c>
      <c r="OY29">
        <v>137.87335221163761</v>
      </c>
      <c r="OZ29">
        <v>137.0932172558567</v>
      </c>
      <c r="PA29">
        <v>136.4763617803936</v>
      </c>
      <c r="PB29">
        <v>139.7203558075872</v>
      </c>
      <c r="PC29">
        <v>138.26765455769109</v>
      </c>
      <c r="PD29">
        <v>136.96721037530091</v>
      </c>
      <c r="PE29">
        <v>137.83155683664111</v>
      </c>
      <c r="PF29">
        <v>137.93755693159019</v>
      </c>
      <c r="PG29">
        <v>136.90360264801461</v>
      </c>
      <c r="PH29">
        <v>136.93726653969469</v>
      </c>
      <c r="PI29">
        <v>139.552954819473</v>
      </c>
      <c r="PJ29">
        <v>139.38005721220381</v>
      </c>
      <c r="PK29">
        <v>139.093586396354</v>
      </c>
      <c r="PL29">
        <v>139.4496811606968</v>
      </c>
      <c r="PM29">
        <v>137.96876212844359</v>
      </c>
      <c r="PN29">
        <v>139.5770479005532</v>
      </c>
      <c r="PO29">
        <v>138.9020124248969</v>
      </c>
      <c r="PP29">
        <v>139.13673262480361</v>
      </c>
      <c r="PQ29">
        <v>139.99728255817621</v>
      </c>
      <c r="PR29">
        <v>138.37066525506361</v>
      </c>
      <c r="PS29">
        <v>138.707729866747</v>
      </c>
      <c r="PT29">
        <v>136.83353933180791</v>
      </c>
      <c r="PU29">
        <v>137.46265249891519</v>
      </c>
      <c r="PV29">
        <v>137.23658093086021</v>
      </c>
      <c r="PW29">
        <v>136.476509600599</v>
      </c>
      <c r="PX29">
        <v>136.83527645708349</v>
      </c>
      <c r="PY29">
        <v>137.3010332939011</v>
      </c>
      <c r="PZ29">
        <v>136.89428529880001</v>
      </c>
      <c r="QA29">
        <v>137.40112340845599</v>
      </c>
      <c r="QB29">
        <v>137.22193277611731</v>
      </c>
      <c r="QC29">
        <v>137.65446906402789</v>
      </c>
      <c r="QD29">
        <v>137.12837069191431</v>
      </c>
      <c r="QE29">
        <v>136.67517151681031</v>
      </c>
      <c r="QF29">
        <v>133.92179306948631</v>
      </c>
      <c r="QG29">
        <v>136.93689963796811</v>
      </c>
      <c r="QH29">
        <v>137.98802742208051</v>
      </c>
      <c r="QI29">
        <v>137.06585523012069</v>
      </c>
      <c r="QJ29">
        <v>138.79588787992921</v>
      </c>
      <c r="QK29">
        <v>136.6773650579506</v>
      </c>
      <c r="QL29">
        <v>137.06165208528591</v>
      </c>
      <c r="QM29">
        <v>136.83543924532489</v>
      </c>
      <c r="QN29">
        <v>135.24488413151849</v>
      </c>
      <c r="QO29">
        <v>136.65034745383721</v>
      </c>
      <c r="QP29">
        <v>137.10162290812579</v>
      </c>
      <c r="QQ29">
        <v>137.20647300814059</v>
      </c>
      <c r="QR29">
        <v>136.3355233446589</v>
      </c>
      <c r="QS29">
        <v>136.84901750611661</v>
      </c>
      <c r="QT29">
        <v>136.93169220071809</v>
      </c>
      <c r="QU29">
        <v>136.84226225891379</v>
      </c>
      <c r="QV29">
        <v>137.62988332147819</v>
      </c>
      <c r="QW29">
        <v>137.7008847083186</v>
      </c>
      <c r="QX29">
        <v>137.7084556174342</v>
      </c>
      <c r="QY29">
        <v>137.88255750462031</v>
      </c>
      <c r="QZ29">
        <v>137.28356633751281</v>
      </c>
      <c r="RA29">
        <v>137.4298987182585</v>
      </c>
      <c r="RB29">
        <v>137.87670042288619</v>
      </c>
      <c r="RC29">
        <v>130.77327143788639</v>
      </c>
      <c r="RD29">
        <v>129.30044458504881</v>
      </c>
      <c r="RE29">
        <v>127.8830605879124</v>
      </c>
      <c r="RF29">
        <v>129.00833037322161</v>
      </c>
      <c r="RG29">
        <v>128.7971876718922</v>
      </c>
      <c r="RH29">
        <v>127.28102625834519</v>
      </c>
      <c r="RI29">
        <v>127.52430466187749</v>
      </c>
      <c r="RJ29">
        <v>127.0878543530805</v>
      </c>
      <c r="RK29">
        <v>127.3887985638287</v>
      </c>
      <c r="RL29">
        <v>126.7505432479321</v>
      </c>
      <c r="RM29">
        <v>129.15943288002609</v>
      </c>
      <c r="RN29">
        <v>128.63147832726969</v>
      </c>
      <c r="RO29">
        <v>130.00494747220401</v>
      </c>
      <c r="RP29">
        <v>130.31208283172401</v>
      </c>
      <c r="RQ29">
        <v>129.04545661104919</v>
      </c>
      <c r="RR29">
        <v>128.87926721669339</v>
      </c>
      <c r="RS29">
        <v>129.63022909293809</v>
      </c>
      <c r="RT29">
        <v>130.20327973637819</v>
      </c>
      <c r="RU29">
        <v>130.62625961521451</v>
      </c>
      <c r="RV29">
        <v>129.74173487787101</v>
      </c>
      <c r="RW29">
        <v>129.21875304756949</v>
      </c>
      <c r="RX29">
        <v>130.4231167918077</v>
      </c>
      <c r="RY29">
        <v>129.52506244909759</v>
      </c>
      <c r="RZ29">
        <v>131.04622555018381</v>
      </c>
      <c r="SA29">
        <v>129.33257898779169</v>
      </c>
      <c r="SB29">
        <v>130.0447799313381</v>
      </c>
      <c r="SC29">
        <v>129.87071079072459</v>
      </c>
      <c r="SD29">
        <v>128.50633804074801</v>
      </c>
      <c r="SE29">
        <v>130.7336929864866</v>
      </c>
      <c r="SF29">
        <v>130.16041188796461</v>
      </c>
      <c r="SG29">
        <v>130.42975908233109</v>
      </c>
      <c r="SH29">
        <v>130.475863484332</v>
      </c>
      <c r="SI29">
        <v>131.2538731529954</v>
      </c>
      <c r="SJ29">
        <v>131.16511091511319</v>
      </c>
      <c r="SK29">
        <v>130.2949320345314</v>
      </c>
      <c r="SL29">
        <v>131.53551236468729</v>
      </c>
      <c r="SM29">
        <v>131.27959751744839</v>
      </c>
      <c r="SN29">
        <v>130.83916672077291</v>
      </c>
      <c r="SO29">
        <v>131.07008305658971</v>
      </c>
      <c r="SP29">
        <v>130.27082297732289</v>
      </c>
      <c r="SQ29">
        <v>131.06309155732399</v>
      </c>
      <c r="SR29">
        <v>130.6857185171832</v>
      </c>
      <c r="SS29">
        <v>130.67411922331209</v>
      </c>
      <c r="ST29">
        <v>130.50981909327669</v>
      </c>
      <c r="SU29">
        <v>129.23008966274929</v>
      </c>
      <c r="SV29">
        <v>132.02308002671569</v>
      </c>
      <c r="SW29">
        <v>129.7297085294604</v>
      </c>
      <c r="SX29">
        <v>130.70992494377441</v>
      </c>
      <c r="SY29">
        <v>130.11763805027701</v>
      </c>
      <c r="SZ29">
        <v>130.16391930386689</v>
      </c>
      <c r="TA29">
        <v>129.39485333008921</v>
      </c>
      <c r="TB29">
        <v>129.1690444452266</v>
      </c>
      <c r="TC29">
        <v>130.83604906977021</v>
      </c>
      <c r="TD29">
        <v>129.88943443233521</v>
      </c>
      <c r="TE29">
        <v>130.0433038093166</v>
      </c>
      <c r="TF29">
        <v>130.3822191252323</v>
      </c>
      <c r="TG29">
        <v>130.25868501602281</v>
      </c>
      <c r="TH29">
        <v>130.52822413440359</v>
      </c>
      <c r="TI29">
        <v>129.56408717354299</v>
      </c>
      <c r="TJ29">
        <v>132.2663198967258</v>
      </c>
      <c r="TK29">
        <v>130.49291158733959</v>
      </c>
      <c r="TL29">
        <v>131.47031822421491</v>
      </c>
      <c r="TM29">
        <v>131.4538545294696</v>
      </c>
      <c r="TN29">
        <v>131.10532953382969</v>
      </c>
      <c r="TO29">
        <v>131.9179996333429</v>
      </c>
      <c r="TP29">
        <v>131.36186326856489</v>
      </c>
      <c r="TQ29">
        <v>131.40792491928909</v>
      </c>
      <c r="TR29">
        <v>132.54071793150939</v>
      </c>
      <c r="TS29">
        <v>131.9338670377407</v>
      </c>
      <c r="TT29">
        <v>130.70574184937169</v>
      </c>
      <c r="TU29">
        <v>131.65610885559639</v>
      </c>
      <c r="TV29">
        <v>131.9384653296336</v>
      </c>
      <c r="TW29">
        <v>132.80039252928279</v>
      </c>
      <c r="TX29">
        <v>131.69788101681289</v>
      </c>
      <c r="TY29">
        <v>132.24702357827539</v>
      </c>
      <c r="TZ29">
        <v>133.35718523144479</v>
      </c>
      <c r="UA29">
        <v>132.31709021219109</v>
      </c>
      <c r="UB29">
        <v>132.62879929228299</v>
      </c>
      <c r="UC29">
        <v>131.4006620283528</v>
      </c>
      <c r="UD29">
        <v>132.27433375230461</v>
      </c>
      <c r="UE29">
        <v>131.32453127646789</v>
      </c>
      <c r="UF29">
        <v>131.8913163336029</v>
      </c>
      <c r="UG29">
        <v>131.1682671618168</v>
      </c>
      <c r="UH29">
        <v>131.34234505030051</v>
      </c>
      <c r="UI29">
        <v>132.0598154062636</v>
      </c>
      <c r="UJ29">
        <v>132.7025582228394</v>
      </c>
      <c r="UK29">
        <v>130.8461434830796</v>
      </c>
      <c r="UL29">
        <v>131.37434356027421</v>
      </c>
      <c r="UM29">
        <v>130.55269160889739</v>
      </c>
      <c r="UN29">
        <v>132.918172610043</v>
      </c>
      <c r="UO29">
        <v>131.43849151970491</v>
      </c>
      <c r="UP29">
        <v>132.0085756175863</v>
      </c>
      <c r="UQ29">
        <v>132.23955986662301</v>
      </c>
      <c r="UR29">
        <v>131.87801873504981</v>
      </c>
      <c r="US29">
        <v>132.9335527818032</v>
      </c>
      <c r="UT29">
        <v>132.60989955209769</v>
      </c>
      <c r="UU29">
        <v>132.14715371125729</v>
      </c>
      <c r="UV29">
        <v>131.80077245547471</v>
      </c>
      <c r="UW29">
        <v>132.31314036687189</v>
      </c>
      <c r="UX29">
        <v>132.66389749223191</v>
      </c>
      <c r="UY29">
        <v>132.27239854104229</v>
      </c>
      <c r="UZ29">
        <v>132.61916026347589</v>
      </c>
      <c r="VA29">
        <v>131.15502129414861</v>
      </c>
      <c r="VB29">
        <v>131.9990363863734</v>
      </c>
      <c r="VC29">
        <v>132.10887620246049</v>
      </c>
      <c r="VD29">
        <v>137.6679790684114</v>
      </c>
      <c r="VE29">
        <v>132.12357782350961</v>
      </c>
      <c r="VF29">
        <v>132.375805543094</v>
      </c>
      <c r="VG29">
        <v>131.89864569160241</v>
      </c>
      <c r="VH29">
        <v>132.46930997685709</v>
      </c>
      <c r="VI29">
        <v>131.30208164727819</v>
      </c>
      <c r="VJ29">
        <v>132.15258791253609</v>
      </c>
      <c r="VK29">
        <v>132.2952817505238</v>
      </c>
      <c r="VL29">
        <v>131.57291996467521</v>
      </c>
      <c r="VM29">
        <v>132.00966070967749</v>
      </c>
      <c r="VN29">
        <v>131.6934461520334</v>
      </c>
      <c r="VO29">
        <v>131.7150999646916</v>
      </c>
      <c r="VP29">
        <v>132.79709113604949</v>
      </c>
      <c r="VQ29">
        <v>132.91375582208241</v>
      </c>
      <c r="VR29">
        <v>132.28189252814769</v>
      </c>
      <c r="VS29">
        <v>131.58126858545401</v>
      </c>
      <c r="VT29">
        <v>131.84754965113191</v>
      </c>
      <c r="VU29">
        <v>131.70945157197491</v>
      </c>
      <c r="VV29">
        <v>130.7369576868974</v>
      </c>
      <c r="VW29">
        <v>131.4311510375762</v>
      </c>
      <c r="VX29">
        <v>131.9696622701689</v>
      </c>
      <c r="VY29">
        <v>130.85042437814079</v>
      </c>
      <c r="VZ29">
        <v>132.19915133559101</v>
      </c>
      <c r="WA29">
        <v>132.1195003108003</v>
      </c>
      <c r="WB29">
        <v>131.46682178194681</v>
      </c>
      <c r="WC29">
        <v>132.4155104465016</v>
      </c>
      <c r="WD29">
        <v>131.0248302492538</v>
      </c>
      <c r="WE29">
        <v>130.72420141676531</v>
      </c>
      <c r="WF29">
        <v>130.7533847360524</v>
      </c>
      <c r="WG29">
        <v>131.95713621009801</v>
      </c>
      <c r="WH29">
        <v>132.11888259676999</v>
      </c>
      <c r="WI29">
        <v>131.064442334955</v>
      </c>
      <c r="WJ29">
        <v>131.50256784607251</v>
      </c>
      <c r="WK29">
        <v>130.20583560418279</v>
      </c>
      <c r="WL29">
        <v>129.84325062762991</v>
      </c>
      <c r="WM29">
        <v>131.2752841191321</v>
      </c>
      <c r="WN29">
        <v>131.4973298088313</v>
      </c>
      <c r="WO29">
        <v>132.79558965906949</v>
      </c>
      <c r="WP29">
        <v>131.8981946752786</v>
      </c>
      <c r="WQ29">
        <v>130.63935904526639</v>
      </c>
      <c r="WR29">
        <v>130.81712434541029</v>
      </c>
      <c r="WS29">
        <v>132.37994515469819</v>
      </c>
      <c r="WT29">
        <v>131.62533279180369</v>
      </c>
      <c r="WU29">
        <v>132.3343124824622</v>
      </c>
      <c r="WV29">
        <v>131.5810811112176</v>
      </c>
      <c r="WW29">
        <v>130.61885140240469</v>
      </c>
      <c r="WX29">
        <v>130.74681031807381</v>
      </c>
      <c r="WY29">
        <v>131.24076469831849</v>
      </c>
      <c r="WZ29">
        <v>129.9887762528821</v>
      </c>
      <c r="XA29">
        <v>131.0537570687103</v>
      </c>
      <c r="XB29">
        <v>129.25295293190001</v>
      </c>
      <c r="XC29">
        <v>130.6915058429972</v>
      </c>
      <c r="XD29">
        <v>130.1301960430358</v>
      </c>
      <c r="XE29">
        <v>132.037955401651</v>
      </c>
      <c r="XF29">
        <v>130.24915438786081</v>
      </c>
      <c r="XG29">
        <v>130.97015550597169</v>
      </c>
      <c r="XH29">
        <v>131.5493045191929</v>
      </c>
      <c r="XI29">
        <v>130.1563342794374</v>
      </c>
      <c r="XJ29">
        <v>131.3975169157834</v>
      </c>
      <c r="XK29">
        <v>130.59499620733459</v>
      </c>
      <c r="XL29">
        <v>130.6372731533468</v>
      </c>
      <c r="XM29">
        <v>130.9719433129641</v>
      </c>
      <c r="XN29">
        <v>129.81672120423201</v>
      </c>
      <c r="XO29">
        <v>129.96402865393381</v>
      </c>
      <c r="XP29">
        <v>130.68620677529759</v>
      </c>
      <c r="XQ29">
        <v>130.79186490810361</v>
      </c>
      <c r="XR29">
        <v>130.54953119105451</v>
      </c>
      <c r="XS29">
        <v>130.6579964784936</v>
      </c>
      <c r="XT29">
        <v>130.12110947603631</v>
      </c>
      <c r="XU29">
        <v>129.68336545785019</v>
      </c>
      <c r="XV29">
        <v>128.68462367152461</v>
      </c>
      <c r="XW29">
        <v>129.63635995533519</v>
      </c>
      <c r="XX29">
        <v>128.80553823077759</v>
      </c>
      <c r="XY29">
        <v>128.6590071482654</v>
      </c>
      <c r="XZ29">
        <v>128.7512155734164</v>
      </c>
      <c r="YA29">
        <v>128.9036967540747</v>
      </c>
      <c r="YB29">
        <v>129.36729084739741</v>
      </c>
      <c r="YC29">
        <v>128.6364805209854</v>
      </c>
      <c r="YD29">
        <v>128.19695964057971</v>
      </c>
      <c r="YE29">
        <v>129.65972870372431</v>
      </c>
      <c r="YF29">
        <v>128.6237376266939</v>
      </c>
      <c r="YG29">
        <v>129.3238223015185</v>
      </c>
      <c r="YH29">
        <v>129.7487946265249</v>
      </c>
      <c r="YI29">
        <v>129.55046772138579</v>
      </c>
      <c r="YJ29">
        <v>129.38554165712711</v>
      </c>
      <c r="YK29">
        <v>129.9792081979316</v>
      </c>
      <c r="YL29">
        <v>129.8031216632302</v>
      </c>
      <c r="YM29">
        <v>130.81738829739189</v>
      </c>
      <c r="YN29">
        <v>129.3349571600032</v>
      </c>
      <c r="YO29">
        <v>128.9006421665004</v>
      </c>
      <c r="YP29">
        <v>129.5370443281623</v>
      </c>
      <c r="YQ29">
        <v>129.62050085335551</v>
      </c>
      <c r="YR29">
        <v>128.97889918456971</v>
      </c>
      <c r="YS29">
        <v>128.33658257730801</v>
      </c>
      <c r="YT29">
        <v>129.0930983612015</v>
      </c>
      <c r="YU29">
        <v>128.60690921147199</v>
      </c>
      <c r="YV29">
        <v>128.37320302828681</v>
      </c>
      <c r="YW29">
        <v>127.9888266645185</v>
      </c>
      <c r="YX29">
        <v>128.074974786513</v>
      </c>
      <c r="YY29">
        <v>127.2770144968861</v>
      </c>
      <c r="YZ29">
        <v>127.6048416606797</v>
      </c>
      <c r="ZA29">
        <v>128.5222444949454</v>
      </c>
      <c r="ZB29">
        <v>128.74386611636649</v>
      </c>
      <c r="ZC29">
        <v>127.9718735724647</v>
      </c>
      <c r="ZD29">
        <v>128.7463036942809</v>
      </c>
      <c r="ZE29">
        <v>130.34859664762499</v>
      </c>
      <c r="ZF29">
        <v>128.41752931189319</v>
      </c>
      <c r="ZG29">
        <v>128.68838223168791</v>
      </c>
      <c r="ZH29">
        <v>128.8945395308933</v>
      </c>
      <c r="ZI29">
        <v>131.3713230634329</v>
      </c>
      <c r="ZJ29">
        <v>130.28768294607869</v>
      </c>
      <c r="ZK29">
        <v>130.68724754610051</v>
      </c>
      <c r="ZL29">
        <v>129.07114200706471</v>
      </c>
      <c r="ZM29">
        <v>131.29826585990989</v>
      </c>
      <c r="ZN29">
        <v>130.2620016738567</v>
      </c>
      <c r="ZO29">
        <v>128.85231236899759</v>
      </c>
      <c r="ZP29">
        <v>130.17438899669219</v>
      </c>
      <c r="ZQ29">
        <v>130.99251266585489</v>
      </c>
      <c r="ZR29">
        <v>129.55618873283339</v>
      </c>
      <c r="ZS29">
        <v>129.50858301606911</v>
      </c>
      <c r="ZT29">
        <v>129.23865413059531</v>
      </c>
      <c r="ZU29">
        <v>130.30740870919101</v>
      </c>
      <c r="ZV29">
        <v>132.10329537956329</v>
      </c>
      <c r="ZW29">
        <v>132.5328363567553</v>
      </c>
      <c r="ZX29">
        <v>134.15813920554001</v>
      </c>
      <c r="ZY29">
        <v>133.23745819489531</v>
      </c>
      <c r="ZZ29">
        <v>133.5499332704812</v>
      </c>
      <c r="AAA29">
        <v>134.55017723560789</v>
      </c>
      <c r="AAB29">
        <v>134.82746013186349</v>
      </c>
      <c r="AAC29">
        <v>135.3250360471996</v>
      </c>
      <c r="AAD29">
        <v>134.34371332206589</v>
      </c>
      <c r="AAE29">
        <v>134.863141023628</v>
      </c>
      <c r="AAF29">
        <v>135.14718290980551</v>
      </c>
      <c r="AAG29">
        <v>136.2027483775488</v>
      </c>
      <c r="AAH29">
        <v>135.681300609733</v>
      </c>
      <c r="AAI29">
        <v>135.09629016874629</v>
      </c>
      <c r="AAJ29">
        <v>134.30954956442909</v>
      </c>
      <c r="AAK29">
        <v>134.9225373958401</v>
      </c>
      <c r="AAL29">
        <v>136.51304074224939</v>
      </c>
      <c r="AAM29">
        <v>135.7959308899992</v>
      </c>
      <c r="AAN29">
        <v>135.5389517635642</v>
      </c>
      <c r="AAO29">
        <v>135.6752431907675</v>
      </c>
      <c r="AAP29">
        <v>135.72290418222639</v>
      </c>
      <c r="AAQ29">
        <v>136.74665248564281</v>
      </c>
      <c r="AAR29">
        <v>135.3707086573859</v>
      </c>
      <c r="AAS29">
        <v>134.40198750691329</v>
      </c>
      <c r="AAT29">
        <v>135.88129239441261</v>
      </c>
      <c r="AAU29">
        <v>136.6774474433104</v>
      </c>
      <c r="AAV29">
        <v>135.08047736084319</v>
      </c>
      <c r="AAW29">
        <v>134.5458781514059</v>
      </c>
      <c r="AAX29">
        <v>136.204772486427</v>
      </c>
      <c r="AAY29">
        <v>133.9422264346498</v>
      </c>
      <c r="AAZ29">
        <v>135.41249466288559</v>
      </c>
      <c r="ABA29">
        <v>135.7468282714114</v>
      </c>
      <c r="ABB29">
        <v>135.2029305650006</v>
      </c>
      <c r="ABC29">
        <v>135.63875945947419</v>
      </c>
      <c r="ABD29">
        <v>134.01953293716329</v>
      </c>
      <c r="ABE29">
        <v>134.42578329041461</v>
      </c>
      <c r="ABF29">
        <v>135.78018912942181</v>
      </c>
      <c r="ABG29">
        <v>135.00105123196931</v>
      </c>
      <c r="ABH29">
        <v>136.63368316586269</v>
      </c>
      <c r="ABI29">
        <v>136.1166002007453</v>
      </c>
      <c r="ABJ29">
        <v>135.1836888639456</v>
      </c>
      <c r="ABK29">
        <v>135.92583651649659</v>
      </c>
      <c r="ABL29">
        <v>134.46481431435521</v>
      </c>
      <c r="ABM29">
        <v>134.1965977311535</v>
      </c>
      <c r="ABN29">
        <v>135.45590857407939</v>
      </c>
      <c r="ABO29">
        <v>136.15376077227191</v>
      </c>
      <c r="ABP29">
        <v>134.52995148693941</v>
      </c>
      <c r="ABQ29">
        <v>135.04843878388539</v>
      </c>
      <c r="ABR29">
        <v>135.0271912759998</v>
      </c>
      <c r="ABS29">
        <v>135.27952673059599</v>
      </c>
      <c r="ABT29">
        <v>135.4431987995107</v>
      </c>
      <c r="ABU29">
        <v>135.80254420187549</v>
      </c>
      <c r="ABV29">
        <v>135.30404970519089</v>
      </c>
      <c r="ABW29">
        <v>135.4004197035772</v>
      </c>
      <c r="ABX29">
        <v>135.7982496685037</v>
      </c>
      <c r="ABY29">
        <v>136.066255304268</v>
      </c>
      <c r="ABZ29">
        <v>134.94832261322469</v>
      </c>
      <c r="ACA29">
        <v>134.75845383631429</v>
      </c>
      <c r="ACB29">
        <v>136.08626371042971</v>
      </c>
      <c r="ACC29">
        <v>136.0746486824485</v>
      </c>
      <c r="ACD29">
        <v>136.2577221778489</v>
      </c>
      <c r="ACE29">
        <v>135.74761693831991</v>
      </c>
      <c r="ACF29">
        <v>135.5142498187256</v>
      </c>
      <c r="ACG29">
        <v>134.86621759166891</v>
      </c>
      <c r="ACH29">
        <v>135.31241278268561</v>
      </c>
      <c r="ACI29">
        <v>135.06861127065341</v>
      </c>
      <c r="ACJ29">
        <v>135.30768580037989</v>
      </c>
      <c r="ACK29">
        <v>134.30070318413681</v>
      </c>
      <c r="ACL29">
        <v>137.17721981911939</v>
      </c>
      <c r="ACM29">
        <v>134.7135745647436</v>
      </c>
      <c r="ACN29">
        <v>136.06595488500361</v>
      </c>
      <c r="ACO29">
        <v>134.4230139503627</v>
      </c>
      <c r="ACP29">
        <v>134.36641504313789</v>
      </c>
      <c r="ACQ29">
        <v>134.84649258210669</v>
      </c>
      <c r="ACR29">
        <v>134.31910510229719</v>
      </c>
      <c r="ACS29">
        <v>134.64181644898721</v>
      </c>
      <c r="ACT29">
        <v>134.2993995881281</v>
      </c>
      <c r="ACU29">
        <v>134.21061753613151</v>
      </c>
      <c r="ACV29">
        <v>134.9857655452071</v>
      </c>
      <c r="ACW29">
        <v>135.34883532832239</v>
      </c>
      <c r="ACX29">
        <v>134.37179164013239</v>
      </c>
      <c r="ACY29">
        <v>133.694959005843</v>
      </c>
      <c r="ACZ29">
        <v>132.95347418331701</v>
      </c>
      <c r="ADA29">
        <v>133.192502090083</v>
      </c>
      <c r="ADB29">
        <v>132.42347364107849</v>
      </c>
      <c r="ADC29">
        <v>132.98302197924301</v>
      </c>
      <c r="ADD29">
        <v>133.09012281614849</v>
      </c>
      <c r="ADE29">
        <v>133.22897551162939</v>
      </c>
      <c r="ADF29">
        <v>134.0970566973632</v>
      </c>
      <c r="ADG29">
        <v>133.7641820995018</v>
      </c>
      <c r="ADH29">
        <v>135.48247216814559</v>
      </c>
      <c r="ADI29">
        <v>134.56195789867741</v>
      </c>
      <c r="ADJ29">
        <v>133.96788914626151</v>
      </c>
      <c r="ADK29">
        <v>134.78357486293029</v>
      </c>
      <c r="ADL29">
        <v>134.0979583298967</v>
      </c>
      <c r="ADM29">
        <v>132.95988062756359</v>
      </c>
      <c r="ADN29">
        <v>134.2134992512957</v>
      </c>
      <c r="ADO29">
        <v>135.37380238644539</v>
      </c>
      <c r="ADP29">
        <v>134.4911122870628</v>
      </c>
      <c r="ADQ29">
        <v>134.5628682705586</v>
      </c>
      <c r="ADR29">
        <v>134.15378888810571</v>
      </c>
      <c r="ADS29">
        <v>134.85842756218639</v>
      </c>
      <c r="ADT29">
        <v>136.17262103303429</v>
      </c>
      <c r="ADU29">
        <v>134.39299174175181</v>
      </c>
      <c r="ADV29">
        <v>136.5930954841495</v>
      </c>
      <c r="ADW29">
        <v>136.33114662587249</v>
      </c>
      <c r="ADX29">
        <v>136.37112020743021</v>
      </c>
      <c r="ADY29">
        <v>136.7932278784055</v>
      </c>
      <c r="ADZ29">
        <v>136.66914812736411</v>
      </c>
      <c r="AEA29">
        <v>135.82414424154979</v>
      </c>
      <c r="AEB29">
        <v>135.5808335938066</v>
      </c>
      <c r="AEC29">
        <v>137.3241178991413</v>
      </c>
      <c r="AED29">
        <v>137.47099740061421</v>
      </c>
      <c r="AEE29">
        <v>136.95559645835729</v>
      </c>
      <c r="AEF29">
        <v>137.56029494838339</v>
      </c>
      <c r="AEG29">
        <v>137.5788398541473</v>
      </c>
      <c r="AEH29">
        <v>136.7824396235915</v>
      </c>
      <c r="AEI29">
        <v>137.32095309183839</v>
      </c>
      <c r="AEJ29">
        <v>136.4841199517623</v>
      </c>
      <c r="AEK29">
        <v>136.39315147221251</v>
      </c>
      <c r="AEL29">
        <v>137.42848608194311</v>
      </c>
      <c r="AEM29">
        <v>137.5502820930156</v>
      </c>
      <c r="AEN29">
        <v>137.3790388204491</v>
      </c>
      <c r="AEO29">
        <v>138.2453384627953</v>
      </c>
      <c r="AEP29">
        <v>138.62460241657629</v>
      </c>
      <c r="AEQ29">
        <v>136.73719568696549</v>
      </c>
      <c r="AER29">
        <v>137.7267289586473</v>
      </c>
      <c r="AES29">
        <v>137.63161531206291</v>
      </c>
      <c r="AET29">
        <v>136.17506873990791</v>
      </c>
      <c r="AEU29">
        <v>137.61660202121939</v>
      </c>
      <c r="AEV29">
        <v>137.28089556339179</v>
      </c>
      <c r="AEW29">
        <v>137.03440800008849</v>
      </c>
      <c r="AEX29">
        <v>138.92668708331689</v>
      </c>
      <c r="AEY29">
        <v>138.03272264218219</v>
      </c>
      <c r="AEZ29">
        <v>138.14927201168251</v>
      </c>
      <c r="AFA29">
        <v>137.95364263908669</v>
      </c>
      <c r="AFB29">
        <v>140.57464243173911</v>
      </c>
      <c r="AFC29">
        <v>137.7312045137576</v>
      </c>
      <c r="AFD29">
        <v>139.0670484276319</v>
      </c>
      <c r="AFE29">
        <v>139.15480478745249</v>
      </c>
      <c r="AFF29">
        <v>138.92985026516581</v>
      </c>
      <c r="AFG29">
        <v>139.3128329988142</v>
      </c>
      <c r="AFH29">
        <v>138.9444609155876</v>
      </c>
      <c r="AFI29">
        <v>139.9026258986797</v>
      </c>
      <c r="AFJ29">
        <v>141.11960910247359</v>
      </c>
      <c r="AFK29">
        <v>137.8892807716791</v>
      </c>
      <c r="AFL29">
        <v>139.3315625077602</v>
      </c>
      <c r="AFM29">
        <v>139.09013509873861</v>
      </c>
      <c r="AFN29">
        <v>141.0420307481771</v>
      </c>
      <c r="AFO29">
        <v>139.51317327935689</v>
      </c>
      <c r="AFP29">
        <v>140.10512083846371</v>
      </c>
      <c r="AFQ29">
        <v>138.5722995564544</v>
      </c>
      <c r="AFR29">
        <v>139.1994674768074</v>
      </c>
      <c r="AFS29">
        <v>138.83678404329939</v>
      </c>
      <c r="AFT29">
        <v>138.89811948516191</v>
      </c>
      <c r="AFU29">
        <v>138.04970083502101</v>
      </c>
      <c r="AFV29">
        <v>137.92275355793731</v>
      </c>
      <c r="AFW29">
        <v>135.88562277767261</v>
      </c>
      <c r="AFX29">
        <v>140.67972866249971</v>
      </c>
      <c r="AFY29">
        <v>136.70905819007331</v>
      </c>
      <c r="AFZ29">
        <v>138.56830055884569</v>
      </c>
      <c r="AGA29">
        <v>136.70082378409029</v>
      </c>
      <c r="AGB29">
        <v>139.0037536958956</v>
      </c>
      <c r="AGC29">
        <v>138.08182405080331</v>
      </c>
      <c r="AGD29">
        <v>137.87335221163761</v>
      </c>
      <c r="AGE29">
        <v>137.0932172558567</v>
      </c>
      <c r="AGF29">
        <v>136.4763617803936</v>
      </c>
      <c r="AGG29">
        <v>139.7203558075872</v>
      </c>
      <c r="AGH29">
        <v>138.26765455769109</v>
      </c>
      <c r="AGI29">
        <v>136.96721037530091</v>
      </c>
      <c r="AGJ29">
        <v>137.83155683664111</v>
      </c>
      <c r="AGK29">
        <v>137.93755693159019</v>
      </c>
      <c r="AGL29">
        <v>136.90360264801461</v>
      </c>
      <c r="AGM29">
        <v>136.93726653969469</v>
      </c>
      <c r="AGN29">
        <v>139.552954819473</v>
      </c>
      <c r="AGO29">
        <v>139.38005721220381</v>
      </c>
      <c r="AGP29">
        <v>139.093586396354</v>
      </c>
      <c r="AGQ29">
        <v>139.4496811606968</v>
      </c>
      <c r="AGR29">
        <v>137.96876212844359</v>
      </c>
      <c r="AGS29">
        <v>139.5770479005532</v>
      </c>
      <c r="AGT29">
        <v>138.9020124248969</v>
      </c>
      <c r="AGU29">
        <v>139.13673262480361</v>
      </c>
      <c r="AGV29">
        <v>139.99728255817621</v>
      </c>
      <c r="AGW29">
        <v>138.37066525506361</v>
      </c>
      <c r="AGX29">
        <v>138.707729866747</v>
      </c>
      <c r="AGY29">
        <v>136.83353933180791</v>
      </c>
      <c r="AGZ29">
        <v>137.46265249891519</v>
      </c>
      <c r="AHA29">
        <v>137.23658093086021</v>
      </c>
      <c r="AHB29">
        <v>136.476509600599</v>
      </c>
      <c r="AHC29">
        <v>136.83527645708349</v>
      </c>
      <c r="AHD29">
        <v>137.3010332939011</v>
      </c>
      <c r="AHE29">
        <v>136.89428529880001</v>
      </c>
      <c r="AHF29">
        <v>137.40112340845599</v>
      </c>
      <c r="AHG29">
        <v>137.22193277611731</v>
      </c>
      <c r="AHH29">
        <v>137.65446906402789</v>
      </c>
      <c r="AHI29">
        <v>137.12837069191431</v>
      </c>
      <c r="AHJ29">
        <v>136.67517151681031</v>
      </c>
      <c r="AHK29">
        <v>133.92179306948631</v>
      </c>
    </row>
    <row r="30" spans="1:895" x14ac:dyDescent="0.35">
      <c r="A30" s="6" t="s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</row>
    <row r="31" spans="1:895" x14ac:dyDescent="0.35">
      <c r="A31" s="4" t="s">
        <v>27</v>
      </c>
      <c r="B31">
        <v>1.4125866629800901</v>
      </c>
      <c r="C31">
        <v>1.670735379458421</v>
      </c>
      <c r="D31">
        <v>1.3546572957226319</v>
      </c>
      <c r="E31">
        <v>1.8282505325591389</v>
      </c>
      <c r="F31">
        <v>1.5870012013929231</v>
      </c>
      <c r="G31">
        <v>1.5452128066995101</v>
      </c>
      <c r="H31">
        <v>1.8168725854268359</v>
      </c>
      <c r="I31">
        <v>1.5540660513773621</v>
      </c>
      <c r="J31">
        <v>1.194763756153947</v>
      </c>
      <c r="K31">
        <v>1.622624835895039</v>
      </c>
      <c r="L31">
        <v>1.528755276793248</v>
      </c>
      <c r="M31">
        <v>1.624010576682821</v>
      </c>
      <c r="N31">
        <v>1.901730298516128</v>
      </c>
      <c r="O31">
        <v>1.7886278321154521</v>
      </c>
      <c r="P31">
        <v>1.912024086185909</v>
      </c>
      <c r="Q31">
        <v>2.0139904875882451</v>
      </c>
      <c r="R31">
        <v>1.7565675830820451</v>
      </c>
      <c r="S31">
        <v>2.2417313779052961</v>
      </c>
      <c r="T31">
        <v>1.8305975906681911</v>
      </c>
      <c r="U31">
        <v>2.4374960095368858</v>
      </c>
      <c r="V31">
        <v>2.2480677571803369</v>
      </c>
      <c r="W31">
        <v>1.842238650856785</v>
      </c>
      <c r="QG31">
        <v>1.4125866629800901</v>
      </c>
      <c r="QH31">
        <v>1.670735379458421</v>
      </c>
      <c r="QI31">
        <v>1.3546572957226319</v>
      </c>
      <c r="QJ31">
        <v>1.8282505325591389</v>
      </c>
      <c r="QK31">
        <v>1.5870012013929231</v>
      </c>
      <c r="QL31">
        <v>1.5452128066995101</v>
      </c>
      <c r="QM31">
        <v>1.8168725854268359</v>
      </c>
      <c r="QN31">
        <v>1.5540660513773621</v>
      </c>
      <c r="QO31">
        <v>1.194763756153947</v>
      </c>
      <c r="QP31">
        <v>1.622624835895039</v>
      </c>
      <c r="QQ31">
        <v>1.528755276793248</v>
      </c>
      <c r="QR31">
        <v>1.624010576682821</v>
      </c>
      <c r="QS31">
        <v>1.901730298516128</v>
      </c>
      <c r="QT31">
        <v>1.7886278321154521</v>
      </c>
      <c r="QU31">
        <v>1.912024086185909</v>
      </c>
      <c r="QV31">
        <v>2.0139904875882451</v>
      </c>
      <c r="QW31">
        <v>1.7565675830820451</v>
      </c>
      <c r="QX31">
        <v>2.2417313779052961</v>
      </c>
      <c r="QY31">
        <v>1.8305975906681911</v>
      </c>
      <c r="QZ31">
        <v>2.4374960095368858</v>
      </c>
      <c r="RA31">
        <v>2.2480677571803369</v>
      </c>
      <c r="RB31">
        <v>1.842238650856785</v>
      </c>
    </row>
    <row r="32" spans="1:895" ht="24" customHeight="1" x14ac:dyDescent="0.35">
      <c r="A32" s="3" t="s">
        <v>28</v>
      </c>
      <c r="B32">
        <v>0.46092177286999458</v>
      </c>
      <c r="C32">
        <v>1.139282625512152</v>
      </c>
      <c r="D32">
        <v>-0.14072907152041131</v>
      </c>
      <c r="E32">
        <v>0.80893348035405666</v>
      </c>
      <c r="F32">
        <v>0.37657510691821022</v>
      </c>
      <c r="G32">
        <v>1.5167124768797751</v>
      </c>
      <c r="H32">
        <v>0.37775791597371722</v>
      </c>
      <c r="I32">
        <v>0.25289318703664782</v>
      </c>
      <c r="J32">
        <v>0.7640690743034213</v>
      </c>
      <c r="K32">
        <v>0.45340743421974139</v>
      </c>
      <c r="L32">
        <v>1.112294207811374</v>
      </c>
      <c r="M32">
        <v>0.90506391991780788</v>
      </c>
      <c r="N32">
        <v>0.62427653803555927</v>
      </c>
      <c r="O32">
        <v>0.44406489714356212</v>
      </c>
      <c r="P32">
        <v>1.55739239152453</v>
      </c>
      <c r="Q32">
        <v>0.61578566540561042</v>
      </c>
      <c r="R32">
        <v>1.4047703838325281</v>
      </c>
      <c r="S32">
        <v>1.5192947098504419</v>
      </c>
      <c r="T32">
        <v>1.220074389677535</v>
      </c>
      <c r="U32">
        <v>2.2602977173999652</v>
      </c>
      <c r="V32">
        <v>2.4192007059596108</v>
      </c>
      <c r="W32">
        <v>2.1840232571315141</v>
      </c>
      <c r="QG32">
        <v>0.46092177286999458</v>
      </c>
      <c r="QH32">
        <v>1.139282625512152</v>
      </c>
      <c r="QI32">
        <v>-0.14072907152041131</v>
      </c>
      <c r="QJ32">
        <v>0.80893348035405666</v>
      </c>
      <c r="QK32">
        <v>0.37657510691821022</v>
      </c>
      <c r="QL32">
        <v>1.5167124768797751</v>
      </c>
      <c r="QM32">
        <v>0.37775791597371722</v>
      </c>
      <c r="QN32">
        <v>0.25289318703664782</v>
      </c>
      <c r="QO32">
        <v>0.7640690743034213</v>
      </c>
      <c r="QP32">
        <v>0.45340743421974139</v>
      </c>
      <c r="QQ32">
        <v>1.112294207811374</v>
      </c>
      <c r="QR32">
        <v>0.90506391991780788</v>
      </c>
      <c r="QS32">
        <v>0.62427653803555927</v>
      </c>
      <c r="QT32">
        <v>0.44406489714356212</v>
      </c>
      <c r="QU32">
        <v>1.55739239152453</v>
      </c>
      <c r="QV32">
        <v>0.61578566540561042</v>
      </c>
      <c r="QW32">
        <v>1.4047703838325281</v>
      </c>
      <c r="QX32">
        <v>1.5192947098504419</v>
      </c>
      <c r="QY32">
        <v>1.220074389677535</v>
      </c>
      <c r="QZ32">
        <v>2.2602977173999652</v>
      </c>
      <c r="RA32">
        <v>2.4192007059596108</v>
      </c>
      <c r="RB32">
        <v>2.1840232571315141</v>
      </c>
    </row>
    <row r="33" spans="1:895" x14ac:dyDescent="0.35">
      <c r="A33" s="4" t="s">
        <v>29</v>
      </c>
      <c r="B33">
        <v>-0.46092177286999458</v>
      </c>
      <c r="C33">
        <v>-1.139282625512152</v>
      </c>
      <c r="D33">
        <v>0.14072907152041131</v>
      </c>
      <c r="E33">
        <v>-0.80893348035405666</v>
      </c>
      <c r="F33">
        <v>-0.37657510691821022</v>
      </c>
      <c r="G33">
        <v>-1.5167124768797751</v>
      </c>
      <c r="H33">
        <v>-0.37775791597371722</v>
      </c>
      <c r="I33">
        <v>-0.25289318703664782</v>
      </c>
      <c r="J33">
        <v>-0.7640690743034213</v>
      </c>
      <c r="K33">
        <v>-0.45340743421974139</v>
      </c>
      <c r="L33">
        <v>-1.112294207811374</v>
      </c>
      <c r="M33">
        <v>-0.90506391991780788</v>
      </c>
      <c r="N33">
        <v>-0.62427653803555927</v>
      </c>
      <c r="O33">
        <v>-0.44406489714356212</v>
      </c>
      <c r="P33">
        <v>-1.55739239152453</v>
      </c>
      <c r="Q33">
        <v>-0.61578566540561042</v>
      </c>
      <c r="R33">
        <v>-1.4047703838325281</v>
      </c>
      <c r="S33">
        <v>-1.5192947098504419</v>
      </c>
      <c r="T33">
        <v>-1.220074389677535</v>
      </c>
      <c r="U33">
        <v>-2.2602977173999652</v>
      </c>
      <c r="V33">
        <v>-2.4192007059596108</v>
      </c>
      <c r="W33">
        <v>-2.1840232571315141</v>
      </c>
      <c r="QG33">
        <v>-0.46092177286999458</v>
      </c>
      <c r="QH33">
        <v>-1.139282625512152</v>
      </c>
      <c r="QI33">
        <v>0.14072907152041131</v>
      </c>
      <c r="QJ33">
        <v>-0.80893348035405666</v>
      </c>
      <c r="QK33">
        <v>-0.37657510691821022</v>
      </c>
      <c r="QL33">
        <v>-1.5167124768797751</v>
      </c>
      <c r="QM33">
        <v>-0.37775791597371722</v>
      </c>
      <c r="QN33">
        <v>-0.25289318703664782</v>
      </c>
      <c r="QO33">
        <v>-0.7640690743034213</v>
      </c>
      <c r="QP33">
        <v>-0.45340743421974139</v>
      </c>
      <c r="QQ33">
        <v>-1.112294207811374</v>
      </c>
      <c r="QR33">
        <v>-0.90506391991780788</v>
      </c>
      <c r="QS33">
        <v>-0.62427653803555927</v>
      </c>
      <c r="QT33">
        <v>-0.44406489714356212</v>
      </c>
      <c r="QU33">
        <v>-1.55739239152453</v>
      </c>
      <c r="QV33">
        <v>-0.61578566540561042</v>
      </c>
      <c r="QW33">
        <v>-1.4047703838325281</v>
      </c>
      <c r="QX33">
        <v>-1.5192947098504419</v>
      </c>
      <c r="QY33">
        <v>-1.220074389677535</v>
      </c>
      <c r="QZ33">
        <v>-2.2602977173999652</v>
      </c>
      <c r="RA33">
        <v>-2.4192007059596108</v>
      </c>
      <c r="RB33">
        <v>-2.1840232571315141</v>
      </c>
    </row>
    <row r="34" spans="1:895" x14ac:dyDescent="0.35">
      <c r="A34" s="3" t="s">
        <v>30</v>
      </c>
      <c r="B34">
        <v>138.3494863009482</v>
      </c>
      <c r="C34">
        <v>139.6587628015389</v>
      </c>
      <c r="D34">
        <v>138.42051252584329</v>
      </c>
      <c r="E34">
        <v>140.62413841248841</v>
      </c>
      <c r="F34">
        <v>138.26436625934349</v>
      </c>
      <c r="G34">
        <v>138.6068648919854</v>
      </c>
      <c r="H34">
        <v>138.65231183075181</v>
      </c>
      <c r="I34">
        <v>136.79895018289579</v>
      </c>
      <c r="J34">
        <v>137.8451112099911</v>
      </c>
      <c r="K34">
        <v>138.7242477440208</v>
      </c>
      <c r="L34">
        <v>138.73522828493381</v>
      </c>
      <c r="M34">
        <v>137.95953392134169</v>
      </c>
      <c r="N34">
        <v>138.75074780463271</v>
      </c>
      <c r="O34">
        <v>138.7203200328336</v>
      </c>
      <c r="P34">
        <v>138.7542863450997</v>
      </c>
      <c r="Q34">
        <v>139.64387380906649</v>
      </c>
      <c r="R34">
        <v>139.4574522914007</v>
      </c>
      <c r="S34">
        <v>139.95018699533949</v>
      </c>
      <c r="T34">
        <v>139.71315509528841</v>
      </c>
      <c r="U34">
        <v>139.72106234704961</v>
      </c>
      <c r="V34">
        <v>139.67796647543889</v>
      </c>
      <c r="W34">
        <v>139.71893907374289</v>
      </c>
      <c r="QG34">
        <v>138.3494863009482</v>
      </c>
      <c r="QH34">
        <v>139.6587628015389</v>
      </c>
      <c r="QI34">
        <v>138.42051252584329</v>
      </c>
      <c r="QJ34">
        <v>140.62413841248841</v>
      </c>
      <c r="QK34">
        <v>138.26436625934349</v>
      </c>
      <c r="QL34">
        <v>138.6068648919854</v>
      </c>
      <c r="QM34">
        <v>138.65231183075181</v>
      </c>
      <c r="QN34">
        <v>136.79895018289579</v>
      </c>
      <c r="QO34">
        <v>137.8451112099911</v>
      </c>
      <c r="QP34">
        <v>138.7242477440208</v>
      </c>
      <c r="QQ34">
        <v>138.73522828493381</v>
      </c>
      <c r="QR34">
        <v>137.95953392134169</v>
      </c>
      <c r="QS34">
        <v>138.75074780463271</v>
      </c>
      <c r="QT34">
        <v>138.7203200328336</v>
      </c>
      <c r="QU34">
        <v>138.7542863450997</v>
      </c>
      <c r="QV34">
        <v>139.64387380906649</v>
      </c>
      <c r="QW34">
        <v>139.4574522914007</v>
      </c>
      <c r="QX34">
        <v>139.95018699533949</v>
      </c>
      <c r="QY34">
        <v>139.71315509528841</v>
      </c>
      <c r="QZ34">
        <v>139.72106234704961</v>
      </c>
      <c r="RA34">
        <v>139.67796647543889</v>
      </c>
      <c r="RB34">
        <v>139.71893907374289</v>
      </c>
    </row>
    <row r="35" spans="1:895" x14ac:dyDescent="0.35">
      <c r="A35" s="5" t="s">
        <v>31</v>
      </c>
      <c r="B35">
        <v>1.5856066006554621</v>
      </c>
      <c r="C35">
        <v>1.505136283811261</v>
      </c>
      <c r="D35">
        <v>1.582332320473836</v>
      </c>
      <c r="E35">
        <v>1.5019412772379419</v>
      </c>
      <c r="F35">
        <v>1.5722058879497121</v>
      </c>
      <c r="G35">
        <v>1.457617109032284</v>
      </c>
      <c r="H35">
        <v>1.539932055619891</v>
      </c>
      <c r="I35">
        <v>1.5333620484564949</v>
      </c>
      <c r="J35">
        <v>1.527616104703821</v>
      </c>
      <c r="K35">
        <v>1.521796419614559</v>
      </c>
      <c r="L35">
        <v>1.5039590847020921</v>
      </c>
      <c r="M35">
        <v>1.535430904008086</v>
      </c>
      <c r="N35">
        <v>1.538342008107523</v>
      </c>
      <c r="O35">
        <v>1.5943046276954851</v>
      </c>
      <c r="P35">
        <v>1.493949407190311</v>
      </c>
      <c r="Q35">
        <v>1.521627987927509</v>
      </c>
      <c r="R35">
        <v>1.457384865252813</v>
      </c>
      <c r="S35">
        <v>1.518217519433414</v>
      </c>
      <c r="T35">
        <v>1.5385121879446571</v>
      </c>
      <c r="U35">
        <v>1.4969831844068799</v>
      </c>
      <c r="V35">
        <v>1.4470753230339399</v>
      </c>
      <c r="W35">
        <v>1.4700863310587251</v>
      </c>
      <c r="QG35">
        <v>1.5856066006554621</v>
      </c>
      <c r="QH35">
        <v>1.505136283811261</v>
      </c>
      <c r="QI35">
        <v>1.582332320473836</v>
      </c>
      <c r="QJ35">
        <v>1.5019412772379419</v>
      </c>
      <c r="QK35">
        <v>1.5722058879497121</v>
      </c>
      <c r="QL35">
        <v>1.457617109032284</v>
      </c>
      <c r="QM35">
        <v>1.539932055619891</v>
      </c>
      <c r="QN35">
        <v>1.5333620484564949</v>
      </c>
      <c r="QO35">
        <v>1.527616104703821</v>
      </c>
      <c r="QP35">
        <v>1.521796419614559</v>
      </c>
      <c r="QQ35">
        <v>1.5039590847020921</v>
      </c>
      <c r="QR35">
        <v>1.535430904008086</v>
      </c>
      <c r="QS35">
        <v>1.538342008107523</v>
      </c>
      <c r="QT35">
        <v>1.5943046276954851</v>
      </c>
      <c r="QU35">
        <v>1.493949407190311</v>
      </c>
      <c r="QV35">
        <v>1.521627987927509</v>
      </c>
      <c r="QW35">
        <v>1.457384865252813</v>
      </c>
      <c r="QX35">
        <v>1.518217519433414</v>
      </c>
      <c r="QY35">
        <v>1.5385121879446571</v>
      </c>
      <c r="QZ35">
        <v>1.4969831844068799</v>
      </c>
      <c r="RA35">
        <v>1.4470753230339399</v>
      </c>
      <c r="RB35">
        <v>1.4700863310587251</v>
      </c>
    </row>
    <row r="37" spans="1:895" x14ac:dyDescent="0.35">
      <c r="A37" s="1" t="s">
        <v>35</v>
      </c>
      <c r="B37" s="119">
        <f t="shared" ref="B37:W37" si="3">B28</f>
        <v>45291</v>
      </c>
      <c r="C37" s="119">
        <f t="shared" si="3"/>
        <v>45298</v>
      </c>
      <c r="D37" s="119">
        <f t="shared" si="3"/>
        <v>45305</v>
      </c>
      <c r="E37" s="119">
        <f t="shared" si="3"/>
        <v>45312</v>
      </c>
      <c r="F37" s="119">
        <f t="shared" si="3"/>
        <v>45319</v>
      </c>
      <c r="G37" s="119">
        <f t="shared" si="3"/>
        <v>45326</v>
      </c>
      <c r="H37" s="119">
        <f t="shared" si="3"/>
        <v>45333</v>
      </c>
      <c r="I37" s="119">
        <f t="shared" si="3"/>
        <v>45340</v>
      </c>
      <c r="J37" s="119">
        <f t="shared" si="3"/>
        <v>45347</v>
      </c>
      <c r="K37" s="119">
        <f t="shared" si="3"/>
        <v>45354</v>
      </c>
      <c r="L37" s="119">
        <f t="shared" si="3"/>
        <v>45361</v>
      </c>
      <c r="M37" s="119">
        <f t="shared" si="3"/>
        <v>45368</v>
      </c>
      <c r="N37" s="119">
        <f t="shared" si="3"/>
        <v>45375</v>
      </c>
      <c r="O37" s="119">
        <f t="shared" si="3"/>
        <v>45382</v>
      </c>
      <c r="P37" s="119">
        <f t="shared" si="3"/>
        <v>45389</v>
      </c>
      <c r="Q37" s="119">
        <f t="shared" si="3"/>
        <v>45396</v>
      </c>
      <c r="R37" s="119">
        <f t="shared" si="3"/>
        <v>45403</v>
      </c>
      <c r="S37" s="119">
        <f t="shared" si="3"/>
        <v>45410</v>
      </c>
      <c r="T37" s="119">
        <f t="shared" si="3"/>
        <v>45417</v>
      </c>
      <c r="U37" s="119">
        <f t="shared" si="3"/>
        <v>45424</v>
      </c>
      <c r="V37" s="119">
        <f t="shared" si="3"/>
        <v>45431</v>
      </c>
      <c r="W37" s="119">
        <f t="shared" si="3"/>
        <v>45438</v>
      </c>
    </row>
    <row r="38" spans="1:895" x14ac:dyDescent="0.35">
      <c r="A38" s="101" t="s">
        <v>25</v>
      </c>
      <c r="B38">
        <v>135.8565824543368</v>
      </c>
      <c r="C38">
        <v>136.09460657309339</v>
      </c>
      <c r="D38">
        <v>136.1105565483991</v>
      </c>
      <c r="E38">
        <v>135.98520619253469</v>
      </c>
      <c r="F38">
        <v>136.41037746718229</v>
      </c>
      <c r="G38">
        <v>136.26756631905121</v>
      </c>
      <c r="H38">
        <v>136.14816036615809</v>
      </c>
      <c r="I38">
        <v>135.61338533982601</v>
      </c>
      <c r="J38">
        <v>135.88821779855411</v>
      </c>
      <c r="K38">
        <v>136.54571885757451</v>
      </c>
      <c r="L38">
        <v>136.68002470135141</v>
      </c>
      <c r="M38">
        <v>136.65920611537811</v>
      </c>
      <c r="N38">
        <v>136.51110154391469</v>
      </c>
      <c r="O38">
        <v>136.68447820204361</v>
      </c>
      <c r="P38">
        <v>136.50767700343201</v>
      </c>
      <c r="Q38">
        <v>136.49085655700489</v>
      </c>
      <c r="R38">
        <v>137.2061953064435</v>
      </c>
      <c r="S38">
        <v>136.42493351651089</v>
      </c>
      <c r="T38">
        <v>136.79323383417801</v>
      </c>
      <c r="U38">
        <v>137.28742795150251</v>
      </c>
      <c r="V38">
        <v>137.36902838071001</v>
      </c>
      <c r="W38">
        <v>137.23061812938059</v>
      </c>
      <c r="X38">
        <v>132.28025471401941</v>
      </c>
      <c r="Y38">
        <v>129.50554463983369</v>
      </c>
      <c r="Z38">
        <v>126.79739604618599</v>
      </c>
      <c r="AA38">
        <v>126.5477783748518</v>
      </c>
      <c r="AB38">
        <v>128.65237708274759</v>
      </c>
      <c r="AC38">
        <v>130.64433320017429</v>
      </c>
      <c r="AD38">
        <v>128.41327500908011</v>
      </c>
      <c r="AE38">
        <v>129.48402823394329</v>
      </c>
      <c r="AF38">
        <v>129.1025926472264</v>
      </c>
      <c r="AG38">
        <v>127.847535744794</v>
      </c>
      <c r="AH38">
        <v>130.15328020684191</v>
      </c>
      <c r="AI38">
        <v>132.8373477802763</v>
      </c>
      <c r="AJ38">
        <v>133.36677003682641</v>
      </c>
      <c r="AK38">
        <v>133.59911665392349</v>
      </c>
      <c r="AL38">
        <v>133.65562714122311</v>
      </c>
      <c r="AM38">
        <v>133.49343517050309</v>
      </c>
      <c r="AN38">
        <v>132.81783282039959</v>
      </c>
      <c r="AO38">
        <v>133.11541062137829</v>
      </c>
      <c r="AP38">
        <v>133.9172579887495</v>
      </c>
      <c r="AQ38">
        <v>133.10018121038479</v>
      </c>
      <c r="AR38">
        <v>131.75787056799641</v>
      </c>
      <c r="AS38">
        <v>130.38810644535511</v>
      </c>
      <c r="AT38">
        <v>129.55983846184779</v>
      </c>
      <c r="AU38">
        <v>129.22815866571591</v>
      </c>
      <c r="AV38">
        <v>132.47790221715809</v>
      </c>
      <c r="AW38">
        <v>134.4979469478973</v>
      </c>
      <c r="AX38">
        <v>134.84049362663529</v>
      </c>
      <c r="AY38">
        <v>135.31397771051749</v>
      </c>
      <c r="AZ38">
        <v>134.34040199461609</v>
      </c>
      <c r="BA38">
        <v>135.29100356350591</v>
      </c>
      <c r="BB38">
        <v>135.6984871520491</v>
      </c>
      <c r="BC38">
        <v>136.92930571070431</v>
      </c>
      <c r="BD38">
        <v>136.79946131300659</v>
      </c>
      <c r="BE38">
        <v>137.03207525355751</v>
      </c>
      <c r="BF38">
        <v>136.13732053791861</v>
      </c>
      <c r="BG38">
        <v>137.05375055772791</v>
      </c>
      <c r="BH38">
        <v>135.56013176948809</v>
      </c>
      <c r="BI38">
        <v>136.44523015679081</v>
      </c>
      <c r="BJ38">
        <v>136.39334120267239</v>
      </c>
      <c r="BK38">
        <v>136.2001768898559</v>
      </c>
      <c r="BL38">
        <v>135.60147910944181</v>
      </c>
      <c r="BM38">
        <v>136.82501078734501</v>
      </c>
      <c r="BN38">
        <v>136.12368491763931</v>
      </c>
      <c r="BO38">
        <v>136.43641134544629</v>
      </c>
      <c r="BP38">
        <v>136.06053562052401</v>
      </c>
      <c r="BQ38">
        <v>135.6651300499511</v>
      </c>
      <c r="BR38">
        <v>135.0871903939404</v>
      </c>
      <c r="BS38">
        <v>135.9339694590694</v>
      </c>
      <c r="BT38">
        <v>136.32504931645411</v>
      </c>
      <c r="BU38">
        <v>135.14892310606959</v>
      </c>
      <c r="BV38">
        <v>136.68953672794481</v>
      </c>
      <c r="BW38">
        <v>136.69925649853241</v>
      </c>
      <c r="BX38">
        <v>135.36107287842509</v>
      </c>
      <c r="BY38">
        <v>135.3877938443481</v>
      </c>
      <c r="BZ38">
        <v>135.019607469074</v>
      </c>
      <c r="CA38">
        <v>134.5532596743827</v>
      </c>
      <c r="CB38">
        <v>135.03273439247761</v>
      </c>
      <c r="CC38">
        <v>134.9190528933774</v>
      </c>
      <c r="CD38">
        <v>134.4110821266311</v>
      </c>
      <c r="CE38">
        <v>134.6270687259686</v>
      </c>
      <c r="CF38">
        <v>134.27797896927561</v>
      </c>
      <c r="CG38">
        <v>133.8056207669589</v>
      </c>
      <c r="CH38">
        <v>135.2731409930557</v>
      </c>
      <c r="CI38">
        <v>134.8301251051009</v>
      </c>
      <c r="CJ38">
        <v>134.69407377790171</v>
      </c>
      <c r="CK38">
        <v>133.72900634894711</v>
      </c>
      <c r="CL38">
        <v>133.4759450564695</v>
      </c>
      <c r="CM38">
        <v>134.5541670636307</v>
      </c>
      <c r="CN38">
        <v>133.5914534169361</v>
      </c>
      <c r="CO38">
        <v>133.161292896107</v>
      </c>
      <c r="CP38">
        <v>133.48991078688979</v>
      </c>
      <c r="CQ38">
        <v>133.37745291343711</v>
      </c>
      <c r="CR38">
        <v>132.9965000973711</v>
      </c>
      <c r="CS38">
        <v>133.5523711268342</v>
      </c>
      <c r="CT38">
        <v>131.83209741035191</v>
      </c>
      <c r="CU38">
        <v>131.50024544437181</v>
      </c>
      <c r="CV38">
        <v>131.95633363210891</v>
      </c>
      <c r="CW38">
        <v>131.83912682419191</v>
      </c>
      <c r="CX38">
        <v>132.0372825599724</v>
      </c>
      <c r="CY38">
        <v>131.85406720600361</v>
      </c>
      <c r="CZ38">
        <v>131.99837658791591</v>
      </c>
      <c r="DA38">
        <v>131.76132631320851</v>
      </c>
      <c r="DB38">
        <v>131.1060597532458</v>
      </c>
      <c r="DC38">
        <v>132.0593580937047</v>
      </c>
      <c r="DD38">
        <v>131.64448898023329</v>
      </c>
      <c r="DE38">
        <v>131.2789704923797</v>
      </c>
      <c r="DF38">
        <v>130.5770910031473</v>
      </c>
      <c r="DG38">
        <v>129.84113751411641</v>
      </c>
      <c r="DH38">
        <v>130.40995813562421</v>
      </c>
      <c r="DI38">
        <v>130.89337170069169</v>
      </c>
      <c r="DJ38">
        <v>131.80585423466181</v>
      </c>
      <c r="DK38">
        <v>133.178742590491</v>
      </c>
      <c r="DL38">
        <v>131.03473006257181</v>
      </c>
      <c r="DM38">
        <v>131.81064959672091</v>
      </c>
      <c r="DN38">
        <v>131.1443392869042</v>
      </c>
      <c r="DO38">
        <v>130.4610723495104</v>
      </c>
      <c r="DP38">
        <v>131.6228371599538</v>
      </c>
      <c r="DQ38">
        <v>130.4779412890677</v>
      </c>
      <c r="DR38">
        <v>130.80375345470671</v>
      </c>
      <c r="DS38">
        <v>130.51766853129661</v>
      </c>
      <c r="DT38">
        <v>130.11975483095779</v>
      </c>
      <c r="DU38">
        <v>130.11872938527631</v>
      </c>
      <c r="DV38">
        <v>129.8633460942122</v>
      </c>
      <c r="DW38">
        <v>130.03970200536801</v>
      </c>
      <c r="DX38">
        <v>129.97570015367029</v>
      </c>
      <c r="DY38">
        <v>130.40049326294979</v>
      </c>
      <c r="DZ38">
        <v>129.53270711450651</v>
      </c>
      <c r="EA38">
        <v>128.9238018034213</v>
      </c>
      <c r="EB38">
        <v>128.96444178774621</v>
      </c>
      <c r="EC38">
        <v>128.44636951132381</v>
      </c>
      <c r="ED38">
        <v>128.78465487924811</v>
      </c>
      <c r="EE38">
        <v>128.2658855924517</v>
      </c>
      <c r="EF38">
        <v>128.90034958842131</v>
      </c>
      <c r="EG38">
        <v>128.70880346374369</v>
      </c>
      <c r="EH38">
        <v>129.1135512189247</v>
      </c>
      <c r="EI38">
        <v>129.2863477763255</v>
      </c>
      <c r="EJ38">
        <v>128.6789165030408</v>
      </c>
      <c r="EK38">
        <v>128.62634822420401</v>
      </c>
      <c r="EL38">
        <v>128.67253160857359</v>
      </c>
      <c r="EM38">
        <v>129.55396435169979</v>
      </c>
      <c r="EN38">
        <v>128.19115662297941</v>
      </c>
      <c r="EO38">
        <v>129.75909903276181</v>
      </c>
      <c r="EP38">
        <v>128.96445315239171</v>
      </c>
      <c r="EQ38">
        <v>129.85929136494681</v>
      </c>
      <c r="ER38">
        <v>129.8544634049569</v>
      </c>
      <c r="ES38">
        <v>130.5085767252375</v>
      </c>
      <c r="ET38">
        <v>130.34429877626471</v>
      </c>
      <c r="EU38">
        <v>130.40134442182099</v>
      </c>
      <c r="EV38">
        <v>130.06757284600641</v>
      </c>
      <c r="EW38">
        <v>131.2590102666627</v>
      </c>
      <c r="EX38">
        <v>132.02686389947269</v>
      </c>
      <c r="EY38">
        <v>131.34978378811221</v>
      </c>
      <c r="EZ38">
        <v>132.01649807734469</v>
      </c>
      <c r="FA38">
        <v>131.84489388816141</v>
      </c>
      <c r="FB38">
        <v>131.770732078669</v>
      </c>
      <c r="FC38">
        <v>131.79030134597201</v>
      </c>
      <c r="FD38">
        <v>132.07132587179129</v>
      </c>
      <c r="FE38">
        <v>131.42258153162291</v>
      </c>
      <c r="FF38">
        <v>132.65713929262139</v>
      </c>
      <c r="FG38">
        <v>132.14596339125379</v>
      </c>
      <c r="FH38">
        <v>131.9036054842764</v>
      </c>
      <c r="FI38">
        <v>132.28310917887919</v>
      </c>
      <c r="FJ38">
        <v>132.74420722423099</v>
      </c>
      <c r="FK38">
        <v>132.20916466740269</v>
      </c>
      <c r="FL38">
        <v>131.7533592649763</v>
      </c>
      <c r="FM38">
        <v>132.1631489568579</v>
      </c>
      <c r="FN38">
        <v>131.66343430744979</v>
      </c>
      <c r="FO38">
        <v>131.9034208822217</v>
      </c>
      <c r="FP38">
        <v>131.81044690759521</v>
      </c>
      <c r="FQ38">
        <v>130.7600949484613</v>
      </c>
      <c r="FR38">
        <v>131.0959809765435</v>
      </c>
      <c r="FS38">
        <v>131.1445788025498</v>
      </c>
      <c r="FT38">
        <v>130.8803600829572</v>
      </c>
      <c r="FU38">
        <v>130.16863846259511</v>
      </c>
      <c r="FV38">
        <v>130.89296505968619</v>
      </c>
      <c r="FW38">
        <v>130.0081888166842</v>
      </c>
      <c r="FX38">
        <v>131.07078640125039</v>
      </c>
      <c r="FY38">
        <v>130.9258596069682</v>
      </c>
      <c r="FZ38">
        <v>131.29485902949449</v>
      </c>
      <c r="GA38">
        <v>131.50754905895349</v>
      </c>
      <c r="GB38">
        <v>131.32559515385191</v>
      </c>
      <c r="GC38">
        <v>131.39996185966629</v>
      </c>
      <c r="GD38">
        <v>131.7892515819608</v>
      </c>
      <c r="GE38">
        <v>132.23553838042949</v>
      </c>
      <c r="GF38">
        <v>132.46796671754541</v>
      </c>
      <c r="GG38">
        <v>132.20093933062131</v>
      </c>
      <c r="GH38">
        <v>132.06906803290309</v>
      </c>
      <c r="GI38">
        <v>131.85942911411789</v>
      </c>
      <c r="GJ38">
        <v>131.88092813665531</v>
      </c>
      <c r="GK38">
        <v>132.55199870701071</v>
      </c>
      <c r="GL38">
        <v>132.7575618984969</v>
      </c>
      <c r="GM38">
        <v>131.97318016676249</v>
      </c>
      <c r="GN38">
        <v>133.21863763229581</v>
      </c>
      <c r="GO38">
        <v>133.343023778598</v>
      </c>
      <c r="GP38">
        <v>132.5710534333283</v>
      </c>
      <c r="GQ38">
        <v>133.41105929634591</v>
      </c>
      <c r="GR38">
        <v>133.064046556074</v>
      </c>
      <c r="GS38">
        <v>133.06674666126059</v>
      </c>
      <c r="GT38">
        <v>133.5024257507998</v>
      </c>
      <c r="GU38">
        <v>133.28536810369599</v>
      </c>
      <c r="GV38">
        <v>134.39737658267049</v>
      </c>
      <c r="GW38">
        <v>134.24824653798709</v>
      </c>
      <c r="GX38">
        <v>134.66074967803669</v>
      </c>
      <c r="GY38">
        <v>133.78794676209151</v>
      </c>
      <c r="GZ38">
        <v>134.0988844681863</v>
      </c>
      <c r="HA38">
        <v>133.83452195239451</v>
      </c>
      <c r="HB38">
        <v>133.86906196467081</v>
      </c>
      <c r="HC38">
        <v>133.48912163511679</v>
      </c>
      <c r="HD38">
        <v>132.9297317412389</v>
      </c>
      <c r="HE38">
        <v>132.18629434640621</v>
      </c>
      <c r="HF38">
        <v>132.14569914216079</v>
      </c>
      <c r="HG38">
        <v>132.4574734099759</v>
      </c>
      <c r="HH38">
        <v>132.14906691506769</v>
      </c>
      <c r="HI38">
        <v>132.46577494261061</v>
      </c>
      <c r="HJ38">
        <v>132.37142193248991</v>
      </c>
      <c r="HK38">
        <v>132.79448877582769</v>
      </c>
      <c r="HL38">
        <v>133.3617444077702</v>
      </c>
      <c r="HM38">
        <v>134.33245795147781</v>
      </c>
      <c r="HN38">
        <v>134.41895649787679</v>
      </c>
      <c r="HO38">
        <v>134.8005325214456</v>
      </c>
      <c r="HP38">
        <v>134.65596324966239</v>
      </c>
      <c r="HQ38">
        <v>134.86704059671999</v>
      </c>
      <c r="HR38">
        <v>134.32914064191621</v>
      </c>
      <c r="HS38">
        <v>135.7675916619788</v>
      </c>
      <c r="HT38">
        <v>135.62012551153089</v>
      </c>
      <c r="HU38">
        <v>135.14292247897711</v>
      </c>
      <c r="HV38">
        <v>135.26115987036459</v>
      </c>
      <c r="HW38">
        <v>134.66504606462809</v>
      </c>
      <c r="HX38">
        <v>134.4989633290073</v>
      </c>
      <c r="HY38">
        <v>134.4170470527034</v>
      </c>
      <c r="HZ38">
        <v>134.27210881414041</v>
      </c>
      <c r="IA38">
        <v>135.86549012966179</v>
      </c>
      <c r="IB38">
        <v>135.84461157256729</v>
      </c>
      <c r="IC38">
        <v>135.49437216347761</v>
      </c>
      <c r="ID38">
        <v>136.07981893070459</v>
      </c>
      <c r="IE38">
        <v>136.05331735552389</v>
      </c>
      <c r="IF38">
        <v>135.79235653005881</v>
      </c>
      <c r="IG38">
        <v>136.2720672243704</v>
      </c>
      <c r="IH38">
        <v>136.24269823880269</v>
      </c>
      <c r="II38">
        <v>136.89653173366821</v>
      </c>
    </row>
    <row r="39" spans="1:895" x14ac:dyDescent="0.35">
      <c r="A39" s="6" t="s">
        <v>26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895" x14ac:dyDescent="0.35">
      <c r="A40" s="4" t="s">
        <v>27</v>
      </c>
      <c r="B40">
        <v>0.55015968988513464</v>
      </c>
      <c r="C40">
        <v>0.28825735695173188</v>
      </c>
      <c r="D40">
        <v>0.18286117749599379</v>
      </c>
      <c r="E40">
        <v>0.27819836146005628</v>
      </c>
      <c r="F40">
        <v>0.5920578004146364</v>
      </c>
      <c r="G40">
        <v>0.31154018624491192</v>
      </c>
      <c r="H40">
        <v>0.52317659361315805</v>
      </c>
      <c r="I40">
        <v>-8.9114889696304544E-3</v>
      </c>
      <c r="J40">
        <v>-2.4684517463640528E-2</v>
      </c>
      <c r="K40">
        <v>0.13706837444510711</v>
      </c>
      <c r="L40">
        <v>0.27102727998044429</v>
      </c>
      <c r="M40">
        <v>0.2470540741066429</v>
      </c>
      <c r="N40">
        <v>0.1515606442380317</v>
      </c>
      <c r="O40">
        <v>0.28435399392958521</v>
      </c>
      <c r="P40">
        <v>0.32146826489756108</v>
      </c>
      <c r="Q40">
        <v>0.54965367895655959</v>
      </c>
      <c r="R40">
        <v>0.44538121969995359</v>
      </c>
      <c r="S40">
        <v>0.48720454413125941</v>
      </c>
      <c r="T40">
        <v>0.57014116684590022</v>
      </c>
      <c r="U40">
        <v>0.45396977763240898</v>
      </c>
      <c r="V40">
        <v>0.64392303467326428</v>
      </c>
      <c r="W40">
        <v>0.61594343140637875</v>
      </c>
    </row>
    <row r="41" spans="1:895" ht="24" customHeight="1" x14ac:dyDescent="0.35">
      <c r="A41" s="3" t="s">
        <v>28</v>
      </c>
      <c r="B41">
        <v>-1.542172294106507</v>
      </c>
      <c r="C41">
        <v>-1.816971478255937</v>
      </c>
      <c r="D41">
        <v>-1.517112550381825</v>
      </c>
      <c r="E41">
        <v>-1.616768990919496</v>
      </c>
      <c r="F41">
        <v>-1.7105518699641209</v>
      </c>
      <c r="G41">
        <v>-1.5514048455247289</v>
      </c>
      <c r="H41">
        <v>-1.63237302930392</v>
      </c>
      <c r="I41">
        <v>-1.685633320001614</v>
      </c>
      <c r="J41">
        <v>-1.5888772137157621</v>
      </c>
      <c r="K41">
        <v>-1.5246649261513601</v>
      </c>
      <c r="L41">
        <v>-1.533525247986034</v>
      </c>
      <c r="M41">
        <v>-1.5960058382540301</v>
      </c>
      <c r="N41">
        <v>-1.4987097755359859</v>
      </c>
      <c r="O41">
        <v>-1.5657669253797619</v>
      </c>
      <c r="P41">
        <v>-1.5156137625390611</v>
      </c>
      <c r="Q41">
        <v>-1.4860881556908789</v>
      </c>
      <c r="R41">
        <v>-1.4241879561491539</v>
      </c>
      <c r="S41">
        <v>-1.2037314141547599</v>
      </c>
      <c r="T41">
        <v>-1.2736112942937721</v>
      </c>
      <c r="U41">
        <v>-0.97633283681057037</v>
      </c>
      <c r="V41">
        <v>-1.112774937133338</v>
      </c>
      <c r="W41">
        <v>-1.4387010084158189</v>
      </c>
    </row>
    <row r="42" spans="1:895" x14ac:dyDescent="0.35">
      <c r="A42" s="4" t="s">
        <v>29</v>
      </c>
      <c r="B42">
        <v>1.542172294106507</v>
      </c>
      <c r="C42">
        <v>1.816971478255937</v>
      </c>
      <c r="D42">
        <v>1.517112550381825</v>
      </c>
      <c r="E42">
        <v>1.616768990919496</v>
      </c>
      <c r="F42">
        <v>1.7105518699641209</v>
      </c>
      <c r="G42">
        <v>1.5514048455247289</v>
      </c>
      <c r="H42">
        <v>1.63237302930392</v>
      </c>
      <c r="I42">
        <v>1.685633320001614</v>
      </c>
      <c r="J42">
        <v>1.5888772137157621</v>
      </c>
      <c r="K42">
        <v>1.5246649261513601</v>
      </c>
      <c r="L42">
        <v>1.533525247986034</v>
      </c>
      <c r="M42">
        <v>1.5960058382540301</v>
      </c>
      <c r="N42">
        <v>1.4987097755359859</v>
      </c>
      <c r="O42">
        <v>1.5657669253797619</v>
      </c>
      <c r="P42">
        <v>1.5156137625390611</v>
      </c>
      <c r="Q42">
        <v>1.4860881556908789</v>
      </c>
      <c r="R42">
        <v>1.4241879561491539</v>
      </c>
      <c r="S42">
        <v>1.2037314141547599</v>
      </c>
      <c r="T42">
        <v>1.2736112942937721</v>
      </c>
      <c r="U42">
        <v>0.97633283681057037</v>
      </c>
      <c r="V42">
        <v>1.112774937133338</v>
      </c>
      <c r="W42">
        <v>1.4387010084158189</v>
      </c>
    </row>
    <row r="43" spans="1:895" x14ac:dyDescent="0.35">
      <c r="A43" s="3" t="s">
        <v>30</v>
      </c>
      <c r="B43">
        <v>136.40674214422191</v>
      </c>
      <c r="C43">
        <v>136.38286393004509</v>
      </c>
      <c r="D43">
        <v>136.2934177258951</v>
      </c>
      <c r="E43">
        <v>136.2634045539948</v>
      </c>
      <c r="F43">
        <v>137.00243526759689</v>
      </c>
      <c r="G43">
        <v>136.5791065052961</v>
      </c>
      <c r="H43">
        <v>136.6713369597712</v>
      </c>
      <c r="I43">
        <v>135.60447385085641</v>
      </c>
      <c r="J43">
        <v>135.86353328109041</v>
      </c>
      <c r="K43">
        <v>136.68278723201959</v>
      </c>
      <c r="L43">
        <v>136.9510519813318</v>
      </c>
      <c r="M43">
        <v>136.9062601894847</v>
      </c>
      <c r="N43">
        <v>136.66266218815269</v>
      </c>
      <c r="O43">
        <v>136.96883219597311</v>
      </c>
      <c r="P43">
        <v>136.8291452683296</v>
      </c>
      <c r="Q43">
        <v>137.04051023596139</v>
      </c>
      <c r="R43">
        <v>137.65157652614349</v>
      </c>
      <c r="S43">
        <v>136.91213806064209</v>
      </c>
      <c r="T43">
        <v>137.36337500102391</v>
      </c>
      <c r="U43">
        <v>137.74139772913489</v>
      </c>
      <c r="V43">
        <v>138.0129514153833</v>
      </c>
      <c r="W43">
        <v>137.84656156078691</v>
      </c>
    </row>
    <row r="44" spans="1:895" x14ac:dyDescent="0.35">
      <c r="A44" s="5" t="s">
        <v>31</v>
      </c>
      <c r="B44">
        <v>1.351663410045804</v>
      </c>
      <c r="C44">
        <v>1.3372373493382359</v>
      </c>
      <c r="D44">
        <v>1.344365093256942</v>
      </c>
      <c r="E44">
        <v>1.344121622124919</v>
      </c>
      <c r="F44">
        <v>1.3510998841207409</v>
      </c>
      <c r="G44">
        <v>1.340425193475157</v>
      </c>
      <c r="H44">
        <v>1.322058708126018</v>
      </c>
      <c r="I44">
        <v>1.279348266929212</v>
      </c>
      <c r="J44">
        <v>1.295542762638684</v>
      </c>
      <c r="K44">
        <v>1.2918599182790129</v>
      </c>
      <c r="L44">
        <v>1.302492289370073</v>
      </c>
      <c r="M44">
        <v>1.2978108981410681</v>
      </c>
      <c r="N44">
        <v>1.319573468462554</v>
      </c>
      <c r="O44">
        <v>1.282889807271903</v>
      </c>
      <c r="P44">
        <v>1.2884217264774629</v>
      </c>
      <c r="Q44">
        <v>1.287181300315738</v>
      </c>
      <c r="R44">
        <v>1.2862159694428641</v>
      </c>
      <c r="S44">
        <v>1.3065017745857981</v>
      </c>
      <c r="T44">
        <v>1.3253811837130951</v>
      </c>
      <c r="U44">
        <v>1.304389399780548</v>
      </c>
      <c r="V44">
        <v>1.293478835252249</v>
      </c>
      <c r="W44">
        <v>1.3145073279765911</v>
      </c>
    </row>
    <row r="46" spans="1:895" x14ac:dyDescent="0.35">
      <c r="A46" s="1" t="s">
        <v>36</v>
      </c>
      <c r="B46" s="119">
        <f t="shared" ref="B46:W46" si="4">B37</f>
        <v>45291</v>
      </c>
      <c r="C46" s="119">
        <f t="shared" si="4"/>
        <v>45298</v>
      </c>
      <c r="D46" s="119">
        <f t="shared" si="4"/>
        <v>45305</v>
      </c>
      <c r="E46" s="119">
        <f t="shared" si="4"/>
        <v>45312</v>
      </c>
      <c r="F46" s="119">
        <f t="shared" si="4"/>
        <v>45319</v>
      </c>
      <c r="G46" s="119">
        <f t="shared" si="4"/>
        <v>45326</v>
      </c>
      <c r="H46" s="119">
        <f t="shared" si="4"/>
        <v>45333</v>
      </c>
      <c r="I46" s="119">
        <f t="shared" si="4"/>
        <v>45340</v>
      </c>
      <c r="J46" s="119">
        <f t="shared" si="4"/>
        <v>45347</v>
      </c>
      <c r="K46" s="119">
        <f t="shared" si="4"/>
        <v>45354</v>
      </c>
      <c r="L46" s="119">
        <f t="shared" si="4"/>
        <v>45361</v>
      </c>
      <c r="M46" s="119">
        <f t="shared" si="4"/>
        <v>45368</v>
      </c>
      <c r="N46" s="119">
        <f t="shared" si="4"/>
        <v>45375</v>
      </c>
      <c r="O46" s="119">
        <f t="shared" si="4"/>
        <v>45382</v>
      </c>
      <c r="P46" s="119">
        <f t="shared" si="4"/>
        <v>45389</v>
      </c>
      <c r="Q46" s="119">
        <f t="shared" si="4"/>
        <v>45396</v>
      </c>
      <c r="R46" s="119">
        <f t="shared" si="4"/>
        <v>45403</v>
      </c>
      <c r="S46" s="119">
        <f t="shared" si="4"/>
        <v>45410</v>
      </c>
      <c r="T46" s="119">
        <f t="shared" si="4"/>
        <v>45417</v>
      </c>
      <c r="U46" s="119">
        <f t="shared" si="4"/>
        <v>45424</v>
      </c>
      <c r="V46" s="119">
        <f t="shared" si="4"/>
        <v>45431</v>
      </c>
      <c r="W46" s="119">
        <f t="shared" si="4"/>
        <v>45438</v>
      </c>
    </row>
    <row r="47" spans="1:895" x14ac:dyDescent="0.35">
      <c r="A47" s="101" t="s">
        <v>25</v>
      </c>
      <c r="B47">
        <v>138.3069449601409</v>
      </c>
      <c r="C47">
        <v>138.48908057686</v>
      </c>
      <c r="D47">
        <v>137.9969983318698</v>
      </c>
      <c r="E47">
        <v>138.53987967354249</v>
      </c>
      <c r="F47">
        <v>138.02097610569879</v>
      </c>
      <c r="G47">
        <v>138.00503261145531</v>
      </c>
      <c r="H47">
        <v>137.6798694637769</v>
      </c>
      <c r="I47">
        <v>136.44289609537199</v>
      </c>
      <c r="J47">
        <v>137.06680188869871</v>
      </c>
      <c r="K47">
        <v>137.3283998286629</v>
      </c>
      <c r="L47">
        <v>137.63829160604871</v>
      </c>
      <c r="M47">
        <v>137.3266357939639</v>
      </c>
      <c r="N47">
        <v>137.8214240797368</v>
      </c>
      <c r="O47">
        <v>137.88496699353041</v>
      </c>
      <c r="P47">
        <v>138.67163392113719</v>
      </c>
      <c r="Q47">
        <v>138.87931672069581</v>
      </c>
      <c r="R47">
        <v>139.2579074885254</v>
      </c>
      <c r="S47">
        <v>139.12232962820849</v>
      </c>
      <c r="T47">
        <v>139.03727872129349</v>
      </c>
      <c r="U47">
        <v>138.61635447411021</v>
      </c>
      <c r="V47">
        <v>139.24834523372411</v>
      </c>
      <c r="W47">
        <v>139.10663670533631</v>
      </c>
      <c r="X47">
        <v>129.43667556699259</v>
      </c>
      <c r="Y47">
        <v>128.5449211659614</v>
      </c>
      <c r="Z47">
        <v>128.3523362883148</v>
      </c>
      <c r="AA47">
        <v>128.3990476110109</v>
      </c>
      <c r="AB47">
        <v>128.21496588675959</v>
      </c>
      <c r="AC47">
        <v>128.277563421238</v>
      </c>
      <c r="AD47">
        <v>127.4576732924489</v>
      </c>
      <c r="AE47">
        <v>127.2637675584477</v>
      </c>
      <c r="AF47">
        <v>127.42166739621889</v>
      </c>
      <c r="AG47">
        <v>127.5774949500708</v>
      </c>
      <c r="AH47">
        <v>129.5655306161735</v>
      </c>
      <c r="AI47">
        <v>128.7092477818361</v>
      </c>
      <c r="AJ47">
        <v>129.71592309084789</v>
      </c>
      <c r="AK47">
        <v>130.09729348634201</v>
      </c>
      <c r="AL47">
        <v>129.90818456374711</v>
      </c>
      <c r="AM47">
        <v>130.12366604811831</v>
      </c>
      <c r="AN47">
        <v>130.13845977005511</v>
      </c>
      <c r="AO47">
        <v>129.5112453993026</v>
      </c>
      <c r="AP47">
        <v>130.18626685673979</v>
      </c>
      <c r="AQ47">
        <v>130.02775429879591</v>
      </c>
      <c r="AR47">
        <v>130.01866023998971</v>
      </c>
      <c r="AS47">
        <v>130.2744157656922</v>
      </c>
      <c r="AT47">
        <v>129.39728639107929</v>
      </c>
      <c r="AU47">
        <v>129.72634681652499</v>
      </c>
      <c r="AV47">
        <v>129.6055874799986</v>
      </c>
      <c r="AW47">
        <v>130.26171967531101</v>
      </c>
      <c r="AX47">
        <v>130.32208322595861</v>
      </c>
      <c r="AY47">
        <v>130.1873672094618</v>
      </c>
      <c r="AZ47">
        <v>130.96877685434751</v>
      </c>
      <c r="BA47">
        <v>131.3754334073987</v>
      </c>
      <c r="BB47">
        <v>130.77620142342519</v>
      </c>
      <c r="BC47">
        <v>130.71092200857521</v>
      </c>
      <c r="BD47">
        <v>131.5290599302833</v>
      </c>
      <c r="BE47">
        <v>131.35152236350609</v>
      </c>
      <c r="BF47">
        <v>131.85384653894781</v>
      </c>
      <c r="BG47">
        <v>131.33221232073259</v>
      </c>
      <c r="BH47">
        <v>131.8508030054208</v>
      </c>
      <c r="BI47">
        <v>131.63056507115749</v>
      </c>
      <c r="BJ47">
        <v>131.155408065714</v>
      </c>
      <c r="BK47">
        <v>131.57484276639391</v>
      </c>
      <c r="BL47">
        <v>131.55621002440549</v>
      </c>
      <c r="BM47">
        <v>130.9366502145113</v>
      </c>
      <c r="BN47">
        <v>131.0518243961956</v>
      </c>
      <c r="BO47">
        <v>130.986909669808</v>
      </c>
      <c r="BP47">
        <v>130.15055536674839</v>
      </c>
      <c r="BQ47">
        <v>131.35804173673239</v>
      </c>
      <c r="BR47">
        <v>131.2957574286184</v>
      </c>
      <c r="BS47">
        <v>131.779521167159</v>
      </c>
      <c r="BT47">
        <v>131.57767246580681</v>
      </c>
      <c r="BU47">
        <v>131.5336192338269</v>
      </c>
      <c r="BV47">
        <v>130.58666852174281</v>
      </c>
      <c r="BW47">
        <v>131.2657962689959</v>
      </c>
      <c r="BX47">
        <v>132.21451143874</v>
      </c>
      <c r="BY47">
        <v>131.55800997500759</v>
      </c>
      <c r="BZ47">
        <v>131.67843138591411</v>
      </c>
      <c r="CA47">
        <v>132.3785334156301</v>
      </c>
      <c r="CB47">
        <v>132.05140520299801</v>
      </c>
      <c r="CC47">
        <v>132.1326714815028</v>
      </c>
      <c r="CD47">
        <v>131.65156419360659</v>
      </c>
      <c r="CE47">
        <v>132.7687969909596</v>
      </c>
      <c r="CF47">
        <v>131.43473349620359</v>
      </c>
      <c r="CG47">
        <v>131.85153653472469</v>
      </c>
      <c r="CH47">
        <v>132.16642453604729</v>
      </c>
      <c r="CI47">
        <v>131.8946524610611</v>
      </c>
      <c r="CJ47">
        <v>132.34857217310099</v>
      </c>
      <c r="CK47">
        <v>132.36439564134201</v>
      </c>
      <c r="CL47">
        <v>133.14507068773349</v>
      </c>
      <c r="CM47">
        <v>133.81240282176759</v>
      </c>
      <c r="CN47">
        <v>133.0693786539166</v>
      </c>
      <c r="CO47">
        <v>132.42400829245611</v>
      </c>
      <c r="CP47">
        <v>132.670332617501</v>
      </c>
      <c r="CQ47">
        <v>132.6302948153444</v>
      </c>
      <c r="CR47">
        <v>133.08645811632121</v>
      </c>
      <c r="CS47">
        <v>132.50631766936311</v>
      </c>
      <c r="CT47">
        <v>133.49197114308649</v>
      </c>
      <c r="CU47">
        <v>133.75316338780081</v>
      </c>
      <c r="CV47">
        <v>133.09189686072509</v>
      </c>
      <c r="CW47">
        <v>133.75965532377779</v>
      </c>
      <c r="CX47">
        <v>132.54347758458661</v>
      </c>
      <c r="CY47">
        <v>132.57989437073539</v>
      </c>
      <c r="CZ47">
        <v>132.53174389182331</v>
      </c>
      <c r="DA47">
        <v>133.5326336611231</v>
      </c>
      <c r="DB47">
        <v>132.1995386941895</v>
      </c>
      <c r="DC47">
        <v>132.74637408992081</v>
      </c>
      <c r="DD47">
        <v>133.10513548347379</v>
      </c>
      <c r="DE47">
        <v>133.57024216844869</v>
      </c>
      <c r="DF47">
        <v>132.00387269136709</v>
      </c>
      <c r="DG47">
        <v>131.73847939665541</v>
      </c>
      <c r="DH47">
        <v>131.5721218769838</v>
      </c>
      <c r="DI47">
        <v>133.1332472653576</v>
      </c>
      <c r="DJ47">
        <v>133.01946622193259</v>
      </c>
      <c r="DK47">
        <v>132.9752955785456</v>
      </c>
      <c r="DL47">
        <v>133.44257308915539</v>
      </c>
      <c r="DM47">
        <v>133.09156119689681</v>
      </c>
      <c r="DN47">
        <v>133.04596487199379</v>
      </c>
      <c r="DO47">
        <v>132.95421277973921</v>
      </c>
      <c r="DP47">
        <v>133.18565783568511</v>
      </c>
      <c r="DQ47">
        <v>132.92785957406781</v>
      </c>
      <c r="DR47">
        <v>133.0544929327867</v>
      </c>
      <c r="DS47">
        <v>132.44397344478199</v>
      </c>
      <c r="DT47">
        <v>133.53017762194079</v>
      </c>
      <c r="DU47">
        <v>132.62070710068301</v>
      </c>
      <c r="DV47">
        <v>132.16884426499979</v>
      </c>
      <c r="DW47">
        <v>132.53793259837479</v>
      </c>
      <c r="DX47">
        <v>132.5570342041521</v>
      </c>
      <c r="DY47">
        <v>136.33972828852899</v>
      </c>
      <c r="DZ47">
        <v>132.25913422374609</v>
      </c>
      <c r="EA47">
        <v>132.67528433017881</v>
      </c>
      <c r="EB47">
        <v>132.44910444529029</v>
      </c>
      <c r="EC47">
        <v>132.43121711719189</v>
      </c>
      <c r="ED47">
        <v>131.39190158958539</v>
      </c>
      <c r="EE47">
        <v>132.5588569958135</v>
      </c>
      <c r="EF47">
        <v>132.99639126089849</v>
      </c>
      <c r="EG47">
        <v>131.72409071143809</v>
      </c>
      <c r="EH47">
        <v>132.26692106061259</v>
      </c>
      <c r="EI47">
        <v>132.59359880955481</v>
      </c>
      <c r="EJ47">
        <v>132.3429937816118</v>
      </c>
      <c r="EK47">
        <v>133.70579714702231</v>
      </c>
      <c r="EL47">
        <v>133.7027003266949</v>
      </c>
      <c r="EM47">
        <v>133.03356307177279</v>
      </c>
      <c r="EN47">
        <v>132.2275232314941</v>
      </c>
      <c r="EO47">
        <v>132.90862957738639</v>
      </c>
      <c r="EP47">
        <v>132.33975819719461</v>
      </c>
      <c r="EQ47">
        <v>132.15993840174039</v>
      </c>
      <c r="ER47">
        <v>132.96541017217879</v>
      </c>
      <c r="ES47">
        <v>132.82768937149339</v>
      </c>
      <c r="ET47">
        <v>132.53089969058669</v>
      </c>
      <c r="EU47">
        <v>132.65897004314499</v>
      </c>
      <c r="EV47">
        <v>133.07826543151529</v>
      </c>
      <c r="EW47">
        <v>132.68291588852941</v>
      </c>
      <c r="EX47">
        <v>133.12426001106621</v>
      </c>
      <c r="EY47">
        <v>132.57073597510751</v>
      </c>
      <c r="EZ47">
        <v>132.53954930305429</v>
      </c>
      <c r="FA47">
        <v>132.46799954919271</v>
      </c>
      <c r="FB47">
        <v>132.7895814540037</v>
      </c>
      <c r="FC47">
        <v>132.90803366527459</v>
      </c>
      <c r="FD47">
        <v>131.9026056862829</v>
      </c>
      <c r="FE47">
        <v>132.5578176973755</v>
      </c>
      <c r="FF47">
        <v>131.27540185902441</v>
      </c>
      <c r="FG47">
        <v>131.8696751726774</v>
      </c>
      <c r="FH47">
        <v>132.76288030841249</v>
      </c>
      <c r="FI47">
        <v>132.32099989918669</v>
      </c>
      <c r="FJ47">
        <v>133.27111719491401</v>
      </c>
      <c r="FK47">
        <v>132.37904956040771</v>
      </c>
      <c r="FL47">
        <v>131.58008094927351</v>
      </c>
      <c r="FM47">
        <v>132.5682515810625</v>
      </c>
      <c r="FN47">
        <v>132.95541162177531</v>
      </c>
      <c r="FO47">
        <v>132.86075986646151</v>
      </c>
      <c r="FP47">
        <v>133.15568385092351</v>
      </c>
      <c r="FQ47">
        <v>132.7115901276153</v>
      </c>
      <c r="FR47">
        <v>132.14747942803581</v>
      </c>
      <c r="FS47">
        <v>131.9077076791599</v>
      </c>
      <c r="FT47">
        <v>132.76067225614659</v>
      </c>
      <c r="FU47">
        <v>131.75372025240441</v>
      </c>
      <c r="FV47">
        <v>132.4190763821716</v>
      </c>
      <c r="FW47">
        <v>130.47636972286031</v>
      </c>
      <c r="FX47">
        <v>131.78601893391189</v>
      </c>
      <c r="FY47">
        <v>131.86315560507319</v>
      </c>
      <c r="FZ47">
        <v>133.1659660979652</v>
      </c>
      <c r="GA47">
        <v>131.58281721293719</v>
      </c>
      <c r="GB47">
        <v>132.30517677862289</v>
      </c>
      <c r="GC47">
        <v>132.37784896761269</v>
      </c>
      <c r="GD47">
        <v>131.1214708103428</v>
      </c>
      <c r="GE47">
        <v>132.2806217040972</v>
      </c>
      <c r="GF47">
        <v>132.12066442770671</v>
      </c>
      <c r="GG47">
        <v>132.04054138758951</v>
      </c>
      <c r="GH47">
        <v>132.35571479692561</v>
      </c>
      <c r="GI47">
        <v>130.8528716458444</v>
      </c>
      <c r="GJ47">
        <v>130.96310987006029</v>
      </c>
      <c r="GK47">
        <v>131.96995923135631</v>
      </c>
      <c r="GL47">
        <v>131.3663590230386</v>
      </c>
      <c r="GM47">
        <v>131.69284249028689</v>
      </c>
      <c r="GN47">
        <v>131.5822227889829</v>
      </c>
      <c r="GO47">
        <v>130.99698651367859</v>
      </c>
      <c r="GP47">
        <v>131.08756450969139</v>
      </c>
      <c r="GQ47">
        <v>130.26999544185779</v>
      </c>
      <c r="GR47">
        <v>130.42597402486399</v>
      </c>
      <c r="GS47">
        <v>130.46424390396089</v>
      </c>
      <c r="GT47">
        <v>130.3985596936576</v>
      </c>
      <c r="GU47">
        <v>130.5376392972293</v>
      </c>
      <c r="GV47">
        <v>129.90286126390151</v>
      </c>
      <c r="GW47">
        <v>130.265181908963</v>
      </c>
      <c r="GX47">
        <v>130.19381318366001</v>
      </c>
      <c r="GY47">
        <v>130.07684512447321</v>
      </c>
      <c r="GZ47">
        <v>130.58953487338749</v>
      </c>
      <c r="HA47">
        <v>129.7755975838943</v>
      </c>
      <c r="HB47">
        <v>130.66204594085119</v>
      </c>
      <c r="HC47">
        <v>130.35260499477499</v>
      </c>
      <c r="HD47">
        <v>129.96694461512379</v>
      </c>
      <c r="HE47">
        <v>130.36330461634489</v>
      </c>
      <c r="HF47">
        <v>130.9193822492783</v>
      </c>
      <c r="HG47">
        <v>130.17775623850841</v>
      </c>
      <c r="HH47">
        <v>131.0818333520952</v>
      </c>
      <c r="HI47">
        <v>130.11209313338139</v>
      </c>
      <c r="HJ47">
        <v>129.85487878567869</v>
      </c>
      <c r="HK47">
        <v>130.06073465765971</v>
      </c>
      <c r="HL47">
        <v>130.71876897070749</v>
      </c>
      <c r="HM47">
        <v>130.1012923330741</v>
      </c>
      <c r="HN47">
        <v>129.62223833332169</v>
      </c>
      <c r="HO47">
        <v>129.6792062208774</v>
      </c>
      <c r="HP47">
        <v>129.87493273384439</v>
      </c>
      <c r="HQ47">
        <v>129.35991061382671</v>
      </c>
      <c r="HR47">
        <v>129.00747456804871</v>
      </c>
      <c r="HS47">
        <v>129.4231608786159</v>
      </c>
      <c r="HT47">
        <v>128.7826992394325</v>
      </c>
      <c r="HU47">
        <v>128.9709118441466</v>
      </c>
      <c r="HV47">
        <v>129.96176179056829</v>
      </c>
      <c r="HW47">
        <v>129.8071116328112</v>
      </c>
      <c r="HX47">
        <v>129.01898295920091</v>
      </c>
      <c r="HY47">
        <v>130.05384061241011</v>
      </c>
      <c r="HZ47">
        <v>131.58711756448579</v>
      </c>
      <c r="IA47">
        <v>130.80087337092661</v>
      </c>
      <c r="IB47">
        <v>130.653393789288</v>
      </c>
      <c r="IC47">
        <v>130.55943374171699</v>
      </c>
      <c r="ID47">
        <v>131.3530049434942</v>
      </c>
      <c r="IE47">
        <v>130.8289504680489</v>
      </c>
      <c r="IF47">
        <v>131.34044811509929</v>
      </c>
      <c r="IG47">
        <v>130.9811329317391</v>
      </c>
      <c r="IH47">
        <v>131.6079169864885</v>
      </c>
      <c r="II47">
        <v>131.9440135354713</v>
      </c>
      <c r="IJ47">
        <v>129.90505591503069</v>
      </c>
      <c r="IK47">
        <v>131.04701952482091</v>
      </c>
      <c r="IL47">
        <v>131.57605056513901</v>
      </c>
      <c r="IM47">
        <v>130.40585125662881</v>
      </c>
      <c r="IN47">
        <v>130.58852690571501</v>
      </c>
      <c r="IO47">
        <v>130.5100534089288</v>
      </c>
      <c r="IP47">
        <v>130.98726557853499</v>
      </c>
      <c r="IQ47">
        <v>132.12969828796761</v>
      </c>
      <c r="IR47">
        <v>133.13923499822229</v>
      </c>
      <c r="IS47">
        <v>133.93614057464171</v>
      </c>
      <c r="IT47">
        <v>133.57031655826341</v>
      </c>
      <c r="IU47">
        <v>134.46615292473189</v>
      </c>
      <c r="IV47">
        <v>134.6128835678837</v>
      </c>
      <c r="IW47">
        <v>134.96211027773609</v>
      </c>
      <c r="IX47">
        <v>134.92125135531771</v>
      </c>
      <c r="IY47">
        <v>134.85319319700221</v>
      </c>
      <c r="IZ47">
        <v>135.49965881736401</v>
      </c>
      <c r="JA47">
        <v>135.10979052766169</v>
      </c>
      <c r="JB47">
        <v>135.51612261474949</v>
      </c>
      <c r="JC47">
        <v>135.20462064062829</v>
      </c>
      <c r="JD47">
        <v>135.3958913075526</v>
      </c>
      <c r="JE47">
        <v>134.37393048445071</v>
      </c>
      <c r="JF47">
        <v>135.56165931830461</v>
      </c>
      <c r="JG47">
        <v>135.73877538126121</v>
      </c>
      <c r="JH47">
        <v>136.04648095505951</v>
      </c>
      <c r="JI47">
        <v>135.18074129420179</v>
      </c>
      <c r="JJ47">
        <v>135.54379742354629</v>
      </c>
      <c r="JK47">
        <v>135.38995182260061</v>
      </c>
      <c r="JL47">
        <v>135.95741466574441</v>
      </c>
      <c r="JM47">
        <v>134.53484693500641</v>
      </c>
      <c r="JN47">
        <v>134.21091673771519</v>
      </c>
      <c r="JO47">
        <v>135.18326207117471</v>
      </c>
      <c r="JP47">
        <v>135.83383707753271</v>
      </c>
      <c r="JQ47">
        <v>134.9740011584868</v>
      </c>
      <c r="JR47">
        <v>133.9910722523193</v>
      </c>
      <c r="JS47">
        <v>134.85006996527491</v>
      </c>
      <c r="JT47">
        <v>133.57518997155219</v>
      </c>
      <c r="JU47">
        <v>134.42562535296801</v>
      </c>
      <c r="JV47">
        <v>135.59945211327999</v>
      </c>
      <c r="JW47">
        <v>136.2819649167194</v>
      </c>
      <c r="JX47">
        <v>135.42986558174229</v>
      </c>
      <c r="JY47">
        <v>135.87522845488931</v>
      </c>
      <c r="JZ47">
        <v>135.64754896334699</v>
      </c>
      <c r="KA47">
        <v>136.40466492632871</v>
      </c>
      <c r="KB47">
        <v>135.97852602760449</v>
      </c>
      <c r="KC47">
        <v>136.89218269972039</v>
      </c>
      <c r="KD47">
        <v>135.39057440525741</v>
      </c>
      <c r="KE47">
        <v>135.61848589299399</v>
      </c>
      <c r="KF47">
        <v>135.79546103739159</v>
      </c>
      <c r="KG47">
        <v>134.98141505669631</v>
      </c>
      <c r="KH47">
        <v>135.07314290130611</v>
      </c>
      <c r="KI47">
        <v>135.8128127232319</v>
      </c>
      <c r="KJ47">
        <v>135.6920475855359</v>
      </c>
      <c r="KK47">
        <v>134.81356520802851</v>
      </c>
      <c r="KL47">
        <v>135.03176484306641</v>
      </c>
      <c r="KM47">
        <v>134.96100388924631</v>
      </c>
      <c r="KN47">
        <v>135.16318091640539</v>
      </c>
      <c r="KO47">
        <v>135.5886623920226</v>
      </c>
      <c r="KP47">
        <v>135.5478889296833</v>
      </c>
      <c r="KQ47">
        <v>135.5149594877609</v>
      </c>
      <c r="KR47">
        <v>135.44472330197971</v>
      </c>
      <c r="KS47">
        <v>135.3246040757968</v>
      </c>
      <c r="KT47">
        <v>136.16037557513201</v>
      </c>
      <c r="KU47">
        <v>135.72154472712529</v>
      </c>
      <c r="KV47">
        <v>135.04347482769529</v>
      </c>
      <c r="KW47">
        <v>135.18166485885939</v>
      </c>
      <c r="KX47">
        <v>135.60350319639289</v>
      </c>
      <c r="KY47">
        <v>135.1711579039106</v>
      </c>
      <c r="KZ47">
        <v>135.49980367871831</v>
      </c>
      <c r="LA47">
        <v>135.24116167162401</v>
      </c>
      <c r="LB47">
        <v>134.26329279875901</v>
      </c>
      <c r="LC47">
        <v>135.02646341681489</v>
      </c>
      <c r="LD47">
        <v>134.86586118443179</v>
      </c>
      <c r="LE47">
        <v>134.76291305444951</v>
      </c>
      <c r="LF47">
        <v>135.76876688184819</v>
      </c>
      <c r="LG47">
        <v>137.61584748679911</v>
      </c>
      <c r="LH47">
        <v>135.09724023766009</v>
      </c>
      <c r="LI47">
        <v>135.43455708616179</v>
      </c>
      <c r="LJ47">
        <v>134.6199371761563</v>
      </c>
      <c r="LK47">
        <v>134.64480266903141</v>
      </c>
      <c r="LL47">
        <v>134.55491464009441</v>
      </c>
      <c r="LM47">
        <v>134.82792540621881</v>
      </c>
      <c r="LN47">
        <v>134.92860041907531</v>
      </c>
      <c r="LO47">
        <v>134.59990495909551</v>
      </c>
      <c r="LP47">
        <v>134.42127195037779</v>
      </c>
      <c r="LQ47">
        <v>134.6388646568559</v>
      </c>
      <c r="LR47">
        <v>134.5883687989498</v>
      </c>
      <c r="LS47">
        <v>134.00228942197219</v>
      </c>
      <c r="LT47">
        <v>134.09271510958371</v>
      </c>
      <c r="LU47">
        <v>133.65333338046429</v>
      </c>
      <c r="LV47">
        <v>132.27673450939261</v>
      </c>
      <c r="LW47">
        <v>131.4437115868827</v>
      </c>
      <c r="LX47">
        <v>132.34221285032081</v>
      </c>
      <c r="LY47">
        <v>132.9787734872871</v>
      </c>
      <c r="LZ47">
        <v>133.79934125223701</v>
      </c>
      <c r="MA47">
        <v>133.9211986127811</v>
      </c>
      <c r="MB47">
        <v>134.1102215962234</v>
      </c>
      <c r="MC47">
        <v>135.15154968483111</v>
      </c>
      <c r="MD47">
        <v>134.24896639238429</v>
      </c>
      <c r="ME47">
        <v>134.44133212513401</v>
      </c>
      <c r="MF47">
        <v>134.0772006943335</v>
      </c>
      <c r="MG47">
        <v>133.6535261045108</v>
      </c>
      <c r="MH47">
        <v>133.37056177512761</v>
      </c>
      <c r="MI47">
        <v>133.7380676304866</v>
      </c>
      <c r="MJ47">
        <v>134.62057841944321</v>
      </c>
      <c r="MK47">
        <v>134.1211697086307</v>
      </c>
      <c r="ML47">
        <v>133.74026949265999</v>
      </c>
      <c r="MM47">
        <v>134.01943951059491</v>
      </c>
      <c r="MN47">
        <v>134.6312149545173</v>
      </c>
      <c r="MO47">
        <v>135.43680348743541</v>
      </c>
      <c r="MP47">
        <v>134.58486509551031</v>
      </c>
      <c r="MQ47">
        <v>135.9596697401976</v>
      </c>
      <c r="MR47">
        <v>136.0668921765714</v>
      </c>
      <c r="MS47">
        <v>136.14358046860349</v>
      </c>
      <c r="MT47">
        <v>136.3081173919237</v>
      </c>
      <c r="MU47">
        <v>136.26071292446119</v>
      </c>
      <c r="MV47">
        <v>136.64286881345049</v>
      </c>
      <c r="MW47">
        <v>136.71415289792739</v>
      </c>
      <c r="MX47">
        <v>137.1860962056202</v>
      </c>
      <c r="MY47">
        <v>137.14065621848249</v>
      </c>
      <c r="MZ47">
        <v>137.44937115223621</v>
      </c>
      <c r="NA47">
        <v>137.26096036996449</v>
      </c>
      <c r="NB47">
        <v>137.1636948460492</v>
      </c>
      <c r="NC47">
        <v>137.02634451894221</v>
      </c>
      <c r="ND47">
        <v>137.39374770248631</v>
      </c>
      <c r="NE47">
        <v>136.83037331911169</v>
      </c>
      <c r="NF47">
        <v>137.066717054397</v>
      </c>
      <c r="NG47">
        <v>137.45350328582569</v>
      </c>
      <c r="NH47">
        <v>137.4750787640248</v>
      </c>
      <c r="NI47">
        <v>137.56850705969001</v>
      </c>
      <c r="NJ47">
        <v>137.42834490388191</v>
      </c>
      <c r="NK47">
        <v>138.12495037192949</v>
      </c>
      <c r="NL47">
        <v>137.14439134414329</v>
      </c>
      <c r="NM47">
        <v>137.5584643703711</v>
      </c>
      <c r="NN47">
        <v>137.50988744063969</v>
      </c>
      <c r="NO47">
        <v>136.55952694763869</v>
      </c>
      <c r="NP47">
        <v>137.28632641883709</v>
      </c>
      <c r="NQ47">
        <v>136.83394927096609</v>
      </c>
      <c r="NR47">
        <v>137.7003190963496</v>
      </c>
      <c r="NS47">
        <v>138.44408049272371</v>
      </c>
      <c r="NT47">
        <v>138.74336814655609</v>
      </c>
      <c r="NU47">
        <v>139.06793987973509</v>
      </c>
      <c r="NV47">
        <v>140.4476834325815</v>
      </c>
      <c r="NW47">
        <v>139.79805324348251</v>
      </c>
      <c r="NX47">
        <v>138.91728626665429</v>
      </c>
      <c r="NY47">
        <v>139.16252145541591</v>
      </c>
      <c r="NZ47">
        <v>139.1682773520638</v>
      </c>
      <c r="OA47">
        <v>139.45105127748619</v>
      </c>
      <c r="OB47">
        <v>139.53434231069309</v>
      </c>
      <c r="OC47">
        <v>139.76984041798261</v>
      </c>
      <c r="OD47">
        <v>139.044439686516</v>
      </c>
      <c r="OE47">
        <v>139.59446666889681</v>
      </c>
      <c r="OF47">
        <v>139.661939500877</v>
      </c>
      <c r="OG47">
        <v>140.09509390986719</v>
      </c>
      <c r="OH47">
        <v>139.77125461429131</v>
      </c>
      <c r="OI47">
        <v>140.81181313420771</v>
      </c>
      <c r="OJ47">
        <v>139.98510545496021</v>
      </c>
      <c r="OK47">
        <v>139.40679559815169</v>
      </c>
      <c r="OL47">
        <v>138.49941092714309</v>
      </c>
      <c r="OM47">
        <v>138.8081404183925</v>
      </c>
      <c r="ON47">
        <v>139.40233216839141</v>
      </c>
      <c r="OO47">
        <v>138.96873280450751</v>
      </c>
      <c r="OP47">
        <v>139.1247402256478</v>
      </c>
      <c r="OQ47">
        <v>139.21284916518329</v>
      </c>
      <c r="OR47">
        <v>138.02264665812919</v>
      </c>
      <c r="OS47">
        <v>139.57356401502301</v>
      </c>
      <c r="OT47">
        <v>138.71624776961269</v>
      </c>
      <c r="OU47">
        <v>139.5631978321513</v>
      </c>
      <c r="OV47">
        <v>138.66293624768241</v>
      </c>
      <c r="OW47">
        <v>138.53688962958489</v>
      </c>
      <c r="OX47">
        <v>138.5017323105825</v>
      </c>
      <c r="OY47">
        <v>138.19530570595771</v>
      </c>
      <c r="OZ47">
        <v>138.1806930851325</v>
      </c>
      <c r="PA47">
        <v>138.73512118465209</v>
      </c>
      <c r="PB47">
        <v>138.99905488920149</v>
      </c>
      <c r="PC47">
        <v>138.6837301180752</v>
      </c>
      <c r="PD47">
        <v>137.0216084892333</v>
      </c>
      <c r="PE47">
        <v>138.1195939365343</v>
      </c>
      <c r="PF47">
        <v>138.09953296187959</v>
      </c>
      <c r="PG47">
        <v>138.27470713250489</v>
      </c>
      <c r="PH47">
        <v>138.70782766841751</v>
      </c>
      <c r="PI47">
        <v>139.28819629926031</v>
      </c>
      <c r="PJ47">
        <v>139.15673515047891</v>
      </c>
      <c r="PK47">
        <v>139.67374076540301</v>
      </c>
      <c r="PL47">
        <v>139.15328562875379</v>
      </c>
      <c r="PM47">
        <v>139.3517237719866</v>
      </c>
      <c r="PN47">
        <v>139.88752783767401</v>
      </c>
      <c r="PO47">
        <v>139.2807625920754</v>
      </c>
      <c r="PP47">
        <v>139.45533316660391</v>
      </c>
      <c r="PQ47">
        <v>140.2717348244631</v>
      </c>
      <c r="PR47">
        <v>139.2214892445372</v>
      </c>
      <c r="PS47">
        <v>139.048314321736</v>
      </c>
      <c r="PT47">
        <v>137.9330675860744</v>
      </c>
      <c r="PU47">
        <v>137.95175339510101</v>
      </c>
      <c r="PV47">
        <v>138.51956905451999</v>
      </c>
      <c r="PW47">
        <v>137.7459074031367</v>
      </c>
      <c r="PX47">
        <v>137.53776362735411</v>
      </c>
      <c r="PY47">
        <v>138.07825334377489</v>
      </c>
      <c r="PZ47">
        <v>138.03270447431279</v>
      </c>
      <c r="QA47">
        <v>138.47293995922271</v>
      </c>
      <c r="QB47">
        <v>137.61425818801661</v>
      </c>
      <c r="QC47">
        <v>137.94364580744619</v>
      </c>
      <c r="QD47">
        <v>137.90070795691031</v>
      </c>
      <c r="QE47">
        <v>135.80778689981051</v>
      </c>
      <c r="QF47">
        <v>139.72879002695441</v>
      </c>
      <c r="QG47">
        <v>138.3069449601409</v>
      </c>
      <c r="QH47">
        <v>138.48908057686</v>
      </c>
      <c r="QI47">
        <v>137.9969983318698</v>
      </c>
      <c r="QJ47">
        <v>138.53987967354249</v>
      </c>
      <c r="QK47">
        <v>138.02097610569879</v>
      </c>
      <c r="QL47">
        <v>138.00503261145531</v>
      </c>
      <c r="QM47">
        <v>137.6798694637769</v>
      </c>
      <c r="QN47">
        <v>136.44289609537199</v>
      </c>
      <c r="QO47">
        <v>137.06680188869871</v>
      </c>
      <c r="QP47">
        <v>137.3283998286629</v>
      </c>
      <c r="QQ47">
        <v>137.63829160604871</v>
      </c>
      <c r="QR47">
        <v>137.3266357939639</v>
      </c>
      <c r="QS47">
        <v>137.8214240797368</v>
      </c>
      <c r="QT47">
        <v>137.88496699353041</v>
      </c>
      <c r="QU47">
        <v>138.67163392113719</v>
      </c>
      <c r="QV47">
        <v>138.87931672069581</v>
      </c>
      <c r="QW47">
        <v>139.2579074885254</v>
      </c>
      <c r="QX47">
        <v>139.12232962820849</v>
      </c>
      <c r="QY47">
        <v>139.03727872129349</v>
      </c>
      <c r="QZ47">
        <v>138.61635447411021</v>
      </c>
      <c r="RA47">
        <v>139.24834523372411</v>
      </c>
      <c r="RB47">
        <v>139.10663670533631</v>
      </c>
      <c r="RC47">
        <v>129.43667556699259</v>
      </c>
      <c r="RD47">
        <v>128.5449211659614</v>
      </c>
      <c r="RE47">
        <v>128.3523362883148</v>
      </c>
      <c r="RF47">
        <v>128.3990476110109</v>
      </c>
      <c r="RG47">
        <v>128.21496588675959</v>
      </c>
      <c r="RH47">
        <v>128.277563421238</v>
      </c>
      <c r="RI47">
        <v>127.4576732924489</v>
      </c>
      <c r="RJ47">
        <v>127.2637675584477</v>
      </c>
      <c r="RK47">
        <v>127.42166739621889</v>
      </c>
      <c r="RL47">
        <v>127.5774949500708</v>
      </c>
      <c r="RM47">
        <v>129.5655306161735</v>
      </c>
      <c r="RN47">
        <v>128.7092477818361</v>
      </c>
      <c r="RO47">
        <v>129.71592309084789</v>
      </c>
      <c r="RP47">
        <v>130.09729348634201</v>
      </c>
      <c r="RQ47">
        <v>129.90818456374711</v>
      </c>
      <c r="RR47">
        <v>130.12366604811831</v>
      </c>
      <c r="RS47">
        <v>130.13845977005511</v>
      </c>
      <c r="RT47">
        <v>129.5112453993026</v>
      </c>
      <c r="RU47">
        <v>130.18626685673979</v>
      </c>
      <c r="RV47">
        <v>130.02775429879591</v>
      </c>
      <c r="RW47">
        <v>130.01866023998971</v>
      </c>
      <c r="RX47">
        <v>130.2744157656922</v>
      </c>
      <c r="RY47">
        <v>129.39728639107929</v>
      </c>
      <c r="RZ47">
        <v>129.72634681652499</v>
      </c>
      <c r="SA47">
        <v>129.6055874799986</v>
      </c>
      <c r="SB47">
        <v>130.26171967531101</v>
      </c>
      <c r="SC47">
        <v>130.32208322595861</v>
      </c>
      <c r="SD47">
        <v>130.1873672094618</v>
      </c>
      <c r="SE47">
        <v>130.96877685434751</v>
      </c>
      <c r="SF47">
        <v>131.3754334073987</v>
      </c>
      <c r="SG47">
        <v>130.77620142342519</v>
      </c>
      <c r="SH47">
        <v>130.71092200857521</v>
      </c>
      <c r="SI47">
        <v>131.5290599302833</v>
      </c>
      <c r="SJ47">
        <v>131.35152236350609</v>
      </c>
      <c r="SK47">
        <v>131.85384653894781</v>
      </c>
      <c r="SL47">
        <v>131.33221232073259</v>
      </c>
      <c r="SM47">
        <v>131.8508030054208</v>
      </c>
      <c r="SN47">
        <v>131.63056507115749</v>
      </c>
      <c r="SO47">
        <v>131.155408065714</v>
      </c>
      <c r="SP47">
        <v>131.57484276639391</v>
      </c>
      <c r="SQ47">
        <v>131.55621002440549</v>
      </c>
      <c r="SR47">
        <v>130.9366502145113</v>
      </c>
      <c r="SS47">
        <v>131.0518243961956</v>
      </c>
      <c r="ST47">
        <v>130.986909669808</v>
      </c>
      <c r="SU47">
        <v>130.15055536674839</v>
      </c>
      <c r="SV47">
        <v>131.35804173673239</v>
      </c>
      <c r="SW47">
        <v>131.2957574286184</v>
      </c>
      <c r="SX47">
        <v>131.779521167159</v>
      </c>
      <c r="SY47">
        <v>131.57767246580681</v>
      </c>
      <c r="SZ47">
        <v>131.5336192338269</v>
      </c>
      <c r="TA47">
        <v>130.58666852174281</v>
      </c>
      <c r="TB47">
        <v>131.2657962689959</v>
      </c>
      <c r="TC47">
        <v>132.21451143874</v>
      </c>
      <c r="TD47">
        <v>131.55800997500759</v>
      </c>
      <c r="TE47">
        <v>131.67843138591411</v>
      </c>
      <c r="TF47">
        <v>132.3785334156301</v>
      </c>
      <c r="TG47">
        <v>132.05140520299801</v>
      </c>
      <c r="TH47">
        <v>132.1326714815028</v>
      </c>
      <c r="TI47">
        <v>131.65156419360659</v>
      </c>
      <c r="TJ47">
        <v>132.7687969909596</v>
      </c>
      <c r="TK47">
        <v>131.43473349620359</v>
      </c>
      <c r="TL47">
        <v>131.85153653472469</v>
      </c>
      <c r="TM47">
        <v>132.16642453604729</v>
      </c>
      <c r="TN47">
        <v>131.8946524610611</v>
      </c>
      <c r="TO47">
        <v>132.34857217310099</v>
      </c>
      <c r="TP47">
        <v>132.36439564134201</v>
      </c>
      <c r="TQ47">
        <v>133.14507068773349</v>
      </c>
      <c r="TR47">
        <v>133.81240282176759</v>
      </c>
      <c r="TS47">
        <v>133.0693786539166</v>
      </c>
      <c r="TT47">
        <v>132.42400829245611</v>
      </c>
      <c r="TU47">
        <v>132.670332617501</v>
      </c>
      <c r="TV47">
        <v>132.6302948153444</v>
      </c>
      <c r="TW47">
        <v>133.08645811632121</v>
      </c>
      <c r="TX47">
        <v>132.50631766936311</v>
      </c>
      <c r="TY47">
        <v>133.49197114308649</v>
      </c>
      <c r="TZ47">
        <v>133.75316338780081</v>
      </c>
      <c r="UA47">
        <v>133.09189686072509</v>
      </c>
      <c r="UB47">
        <v>133.75965532377779</v>
      </c>
      <c r="UC47">
        <v>132.54347758458661</v>
      </c>
      <c r="UD47">
        <v>132.57989437073539</v>
      </c>
      <c r="UE47">
        <v>132.53174389182331</v>
      </c>
      <c r="UF47">
        <v>133.5326336611231</v>
      </c>
      <c r="UG47">
        <v>132.1995386941895</v>
      </c>
      <c r="UH47">
        <v>132.74637408992081</v>
      </c>
      <c r="UI47">
        <v>133.10513548347379</v>
      </c>
      <c r="UJ47">
        <v>133.57024216844869</v>
      </c>
      <c r="UK47">
        <v>132.00387269136709</v>
      </c>
      <c r="UL47">
        <v>131.73847939665541</v>
      </c>
      <c r="UM47">
        <v>131.5721218769838</v>
      </c>
      <c r="UN47">
        <v>133.1332472653576</v>
      </c>
      <c r="UO47">
        <v>133.01946622193259</v>
      </c>
      <c r="UP47">
        <v>132.9752955785456</v>
      </c>
      <c r="UQ47">
        <v>133.44257308915539</v>
      </c>
      <c r="UR47">
        <v>133.09156119689681</v>
      </c>
      <c r="US47">
        <v>133.04596487199379</v>
      </c>
      <c r="UT47">
        <v>132.95421277973921</v>
      </c>
      <c r="UU47">
        <v>133.18565783568511</v>
      </c>
      <c r="UV47">
        <v>132.92785957406781</v>
      </c>
      <c r="UW47">
        <v>133.0544929327867</v>
      </c>
      <c r="UX47">
        <v>132.44397344478199</v>
      </c>
      <c r="UY47">
        <v>133.53017762194079</v>
      </c>
      <c r="UZ47">
        <v>132.62070710068301</v>
      </c>
      <c r="VA47">
        <v>132.16884426499979</v>
      </c>
      <c r="VB47">
        <v>132.53793259837479</v>
      </c>
      <c r="VC47">
        <v>132.5570342041521</v>
      </c>
      <c r="VD47">
        <v>136.33972828852899</v>
      </c>
      <c r="VE47">
        <v>132.25913422374609</v>
      </c>
      <c r="VF47">
        <v>132.67528433017881</v>
      </c>
      <c r="VG47">
        <v>132.44910444529029</v>
      </c>
      <c r="VH47">
        <v>132.43121711719189</v>
      </c>
      <c r="VI47">
        <v>131.39190158958539</v>
      </c>
      <c r="VJ47">
        <v>132.5588569958135</v>
      </c>
      <c r="VK47">
        <v>132.99639126089849</v>
      </c>
      <c r="VL47">
        <v>131.72409071143809</v>
      </c>
      <c r="VM47">
        <v>132.26692106061259</v>
      </c>
      <c r="VN47">
        <v>132.59359880955481</v>
      </c>
      <c r="VO47">
        <v>132.3429937816118</v>
      </c>
      <c r="VP47">
        <v>133.70579714702231</v>
      </c>
      <c r="VQ47">
        <v>133.7027003266949</v>
      </c>
      <c r="VR47">
        <v>133.03356307177279</v>
      </c>
      <c r="VS47">
        <v>132.2275232314941</v>
      </c>
      <c r="VT47">
        <v>132.90862957738639</v>
      </c>
      <c r="VU47">
        <v>132.33975819719461</v>
      </c>
      <c r="VV47">
        <v>132.15993840174039</v>
      </c>
      <c r="VW47">
        <v>132.96541017217879</v>
      </c>
      <c r="VX47">
        <v>132.82768937149339</v>
      </c>
      <c r="VY47">
        <v>132.53089969058669</v>
      </c>
      <c r="VZ47">
        <v>132.65897004314499</v>
      </c>
      <c r="WA47">
        <v>133.07826543151529</v>
      </c>
      <c r="WB47">
        <v>132.68291588852941</v>
      </c>
      <c r="WC47">
        <v>133.12426001106621</v>
      </c>
      <c r="WD47">
        <v>132.57073597510751</v>
      </c>
      <c r="WE47">
        <v>132.53954930305429</v>
      </c>
      <c r="WF47">
        <v>132.46799954919271</v>
      </c>
      <c r="WG47">
        <v>132.7895814540037</v>
      </c>
      <c r="WH47">
        <v>132.90803366527459</v>
      </c>
      <c r="WI47">
        <v>131.9026056862829</v>
      </c>
      <c r="WJ47">
        <v>132.5578176973755</v>
      </c>
      <c r="WK47">
        <v>131.27540185902441</v>
      </c>
      <c r="WL47">
        <v>131.8696751726774</v>
      </c>
      <c r="WM47">
        <v>132.76288030841249</v>
      </c>
      <c r="WN47">
        <v>132.32099989918669</v>
      </c>
      <c r="WO47">
        <v>133.27111719491401</v>
      </c>
      <c r="WP47">
        <v>132.37904956040771</v>
      </c>
      <c r="WQ47">
        <v>131.58008094927351</v>
      </c>
      <c r="WR47">
        <v>132.5682515810625</v>
      </c>
      <c r="WS47">
        <v>132.95541162177531</v>
      </c>
      <c r="WT47">
        <v>132.86075986646151</v>
      </c>
      <c r="WU47">
        <v>133.15568385092351</v>
      </c>
      <c r="WV47">
        <v>132.7115901276153</v>
      </c>
      <c r="WW47">
        <v>132.14747942803581</v>
      </c>
      <c r="WX47">
        <v>131.9077076791599</v>
      </c>
      <c r="WY47">
        <v>132.76067225614659</v>
      </c>
      <c r="WZ47">
        <v>131.75372025240441</v>
      </c>
      <c r="XA47">
        <v>132.4190763821716</v>
      </c>
      <c r="XB47">
        <v>130.47636972286031</v>
      </c>
      <c r="XC47">
        <v>131.78601893391189</v>
      </c>
      <c r="XD47">
        <v>131.86315560507319</v>
      </c>
      <c r="XE47">
        <v>133.1659660979652</v>
      </c>
      <c r="XF47">
        <v>131.58281721293719</v>
      </c>
      <c r="XG47">
        <v>132.30517677862289</v>
      </c>
      <c r="XH47">
        <v>132.37784896761269</v>
      </c>
      <c r="XI47">
        <v>131.1214708103428</v>
      </c>
      <c r="XJ47">
        <v>132.2806217040972</v>
      </c>
      <c r="XK47">
        <v>132.12066442770671</v>
      </c>
      <c r="XL47">
        <v>132.04054138758951</v>
      </c>
      <c r="XM47">
        <v>132.35571479692561</v>
      </c>
      <c r="XN47">
        <v>130.8528716458444</v>
      </c>
      <c r="XO47">
        <v>130.96310987006029</v>
      </c>
      <c r="XP47">
        <v>131.96995923135631</v>
      </c>
      <c r="XQ47">
        <v>131.3663590230386</v>
      </c>
      <c r="XR47">
        <v>131.69284249028689</v>
      </c>
      <c r="XS47">
        <v>131.5822227889829</v>
      </c>
      <c r="XT47">
        <v>130.99698651367859</v>
      </c>
      <c r="XU47">
        <v>131.08756450969139</v>
      </c>
      <c r="XV47">
        <v>130.26999544185779</v>
      </c>
      <c r="XW47">
        <v>130.42597402486399</v>
      </c>
      <c r="XX47">
        <v>130.46424390396089</v>
      </c>
      <c r="XY47">
        <v>130.3985596936576</v>
      </c>
      <c r="XZ47">
        <v>130.5376392972293</v>
      </c>
      <c r="YA47">
        <v>129.90286126390151</v>
      </c>
      <c r="YB47">
        <v>130.265181908963</v>
      </c>
      <c r="YC47">
        <v>130.19381318366001</v>
      </c>
      <c r="YD47">
        <v>130.07684512447321</v>
      </c>
      <c r="YE47">
        <v>130.58953487338749</v>
      </c>
      <c r="YF47">
        <v>129.7755975838943</v>
      </c>
      <c r="YG47">
        <v>130.66204594085119</v>
      </c>
      <c r="YH47">
        <v>130.35260499477499</v>
      </c>
      <c r="YI47">
        <v>129.96694461512379</v>
      </c>
      <c r="YJ47">
        <v>130.36330461634489</v>
      </c>
      <c r="YK47">
        <v>130.9193822492783</v>
      </c>
      <c r="YL47">
        <v>130.17775623850841</v>
      </c>
      <c r="YM47">
        <v>131.0818333520952</v>
      </c>
      <c r="YN47">
        <v>130.11209313338139</v>
      </c>
      <c r="YO47">
        <v>129.85487878567869</v>
      </c>
      <c r="YP47">
        <v>130.06073465765971</v>
      </c>
      <c r="YQ47">
        <v>130.71876897070749</v>
      </c>
      <c r="YR47">
        <v>130.1012923330741</v>
      </c>
      <c r="YS47">
        <v>129.62223833332169</v>
      </c>
      <c r="YT47">
        <v>129.6792062208774</v>
      </c>
      <c r="YU47">
        <v>129.87493273384439</v>
      </c>
      <c r="YV47">
        <v>129.35991061382671</v>
      </c>
      <c r="YW47">
        <v>129.00747456804871</v>
      </c>
      <c r="YX47">
        <v>129.4231608786159</v>
      </c>
      <c r="YY47">
        <v>128.7826992394325</v>
      </c>
      <c r="YZ47">
        <v>128.9709118441466</v>
      </c>
      <c r="ZA47">
        <v>129.96176179056829</v>
      </c>
      <c r="ZB47">
        <v>129.8071116328112</v>
      </c>
      <c r="ZC47">
        <v>129.01898295920091</v>
      </c>
      <c r="ZD47">
        <v>130.05384061241011</v>
      </c>
      <c r="ZE47">
        <v>131.58711756448579</v>
      </c>
      <c r="ZF47">
        <v>130.80087337092661</v>
      </c>
      <c r="ZG47">
        <v>130.653393789288</v>
      </c>
      <c r="ZH47">
        <v>130.55943374171699</v>
      </c>
      <c r="ZI47">
        <v>131.3530049434942</v>
      </c>
      <c r="ZJ47">
        <v>130.8289504680489</v>
      </c>
      <c r="ZK47">
        <v>131.34044811509929</v>
      </c>
      <c r="ZL47">
        <v>130.9811329317391</v>
      </c>
      <c r="ZM47">
        <v>131.6079169864885</v>
      </c>
      <c r="ZN47">
        <v>131.9440135354713</v>
      </c>
      <c r="ZO47">
        <v>129.90505591503069</v>
      </c>
      <c r="ZP47">
        <v>131.04701952482091</v>
      </c>
      <c r="ZQ47">
        <v>131.57605056513901</v>
      </c>
      <c r="ZR47">
        <v>130.40585125662881</v>
      </c>
      <c r="ZS47">
        <v>130.58852690571501</v>
      </c>
      <c r="ZT47">
        <v>130.5100534089288</v>
      </c>
      <c r="ZU47">
        <v>130.98726557853499</v>
      </c>
      <c r="ZV47">
        <v>132.12969828796761</v>
      </c>
      <c r="ZW47">
        <v>133.13923499822229</v>
      </c>
      <c r="ZX47">
        <v>133.93614057464171</v>
      </c>
      <c r="ZY47">
        <v>133.57031655826341</v>
      </c>
      <c r="ZZ47">
        <v>134.46615292473189</v>
      </c>
      <c r="AAA47">
        <v>134.6128835678837</v>
      </c>
      <c r="AAB47">
        <v>134.96211027773609</v>
      </c>
      <c r="AAC47">
        <v>134.92125135531771</v>
      </c>
      <c r="AAD47">
        <v>134.85319319700221</v>
      </c>
      <c r="AAE47">
        <v>135.49965881736401</v>
      </c>
      <c r="AAF47">
        <v>135.10979052766169</v>
      </c>
      <c r="AAG47">
        <v>135.51612261474949</v>
      </c>
      <c r="AAH47">
        <v>135.20462064062829</v>
      </c>
      <c r="AAI47">
        <v>135.3958913075526</v>
      </c>
      <c r="AAJ47">
        <v>134.37393048445071</v>
      </c>
      <c r="AAK47">
        <v>135.56165931830461</v>
      </c>
      <c r="AAL47">
        <v>135.73877538126121</v>
      </c>
      <c r="AAM47">
        <v>136.04648095505951</v>
      </c>
      <c r="AAN47">
        <v>135.18074129420179</v>
      </c>
      <c r="AAO47">
        <v>135.54379742354629</v>
      </c>
      <c r="AAP47">
        <v>135.38995182260061</v>
      </c>
      <c r="AAQ47">
        <v>135.95741466574441</v>
      </c>
      <c r="AAR47">
        <v>134.53484693500641</v>
      </c>
      <c r="AAS47">
        <v>134.21091673771519</v>
      </c>
      <c r="AAT47">
        <v>135.18326207117471</v>
      </c>
      <c r="AAU47">
        <v>135.83383707753271</v>
      </c>
      <c r="AAV47">
        <v>134.9740011584868</v>
      </c>
      <c r="AAW47">
        <v>133.9910722523193</v>
      </c>
      <c r="AAX47">
        <v>134.85006996527491</v>
      </c>
      <c r="AAY47">
        <v>133.57518997155219</v>
      </c>
      <c r="AAZ47">
        <v>134.42562535296801</v>
      </c>
      <c r="ABA47">
        <v>135.59945211327999</v>
      </c>
      <c r="ABB47">
        <v>136.2819649167194</v>
      </c>
      <c r="ABC47">
        <v>135.42986558174229</v>
      </c>
      <c r="ABD47">
        <v>135.87522845488931</v>
      </c>
      <c r="ABE47">
        <v>135.64754896334699</v>
      </c>
      <c r="ABF47">
        <v>136.40466492632871</v>
      </c>
      <c r="ABG47">
        <v>135.97852602760449</v>
      </c>
      <c r="ABH47">
        <v>136.89218269972039</v>
      </c>
      <c r="ABI47">
        <v>135.39057440525741</v>
      </c>
      <c r="ABJ47">
        <v>135.61848589299399</v>
      </c>
      <c r="ABK47">
        <v>135.79546103739159</v>
      </c>
      <c r="ABL47">
        <v>134.98141505669631</v>
      </c>
      <c r="ABM47">
        <v>135.07314290130611</v>
      </c>
      <c r="ABN47">
        <v>135.8128127232319</v>
      </c>
      <c r="ABO47">
        <v>135.6920475855359</v>
      </c>
      <c r="ABP47">
        <v>134.81356520802851</v>
      </c>
      <c r="ABQ47">
        <v>135.03176484306641</v>
      </c>
      <c r="ABR47">
        <v>134.96100388924631</v>
      </c>
      <c r="ABS47">
        <v>135.16318091640539</v>
      </c>
      <c r="ABT47">
        <v>135.5886623920226</v>
      </c>
      <c r="ABU47">
        <v>135.5478889296833</v>
      </c>
      <c r="ABV47">
        <v>135.5149594877609</v>
      </c>
      <c r="ABW47">
        <v>135.44472330197971</v>
      </c>
      <c r="ABX47">
        <v>135.3246040757968</v>
      </c>
      <c r="ABY47">
        <v>136.16037557513201</v>
      </c>
      <c r="ABZ47">
        <v>135.72154472712529</v>
      </c>
      <c r="ACA47">
        <v>135.04347482769529</v>
      </c>
      <c r="ACB47">
        <v>135.18166485885939</v>
      </c>
      <c r="ACC47">
        <v>135.60350319639289</v>
      </c>
      <c r="ACD47">
        <v>135.1711579039106</v>
      </c>
      <c r="ACE47">
        <v>135.49980367871831</v>
      </c>
      <c r="ACF47">
        <v>135.24116167162401</v>
      </c>
      <c r="ACG47">
        <v>134.26329279875901</v>
      </c>
      <c r="ACH47">
        <v>135.02646341681489</v>
      </c>
      <c r="ACI47">
        <v>134.86586118443179</v>
      </c>
      <c r="ACJ47">
        <v>134.76291305444951</v>
      </c>
      <c r="ACK47">
        <v>135.76876688184819</v>
      </c>
      <c r="ACL47">
        <v>137.61584748679911</v>
      </c>
      <c r="ACM47">
        <v>135.09724023766009</v>
      </c>
      <c r="ACN47">
        <v>135.43455708616179</v>
      </c>
      <c r="ACO47">
        <v>134.6199371761563</v>
      </c>
      <c r="ACP47">
        <v>134.64480266903141</v>
      </c>
      <c r="ACQ47">
        <v>134.55491464009441</v>
      </c>
      <c r="ACR47">
        <v>134.82792540621881</v>
      </c>
      <c r="ACS47">
        <v>134.92860041907531</v>
      </c>
      <c r="ACT47">
        <v>134.59990495909551</v>
      </c>
      <c r="ACU47">
        <v>134.42127195037779</v>
      </c>
      <c r="ACV47">
        <v>134.6388646568559</v>
      </c>
      <c r="ACW47">
        <v>134.5883687989498</v>
      </c>
      <c r="ACX47">
        <v>134.00228942197219</v>
      </c>
      <c r="ACY47">
        <v>134.09271510958371</v>
      </c>
      <c r="ACZ47">
        <v>133.65333338046429</v>
      </c>
      <c r="ADA47">
        <v>132.27673450939261</v>
      </c>
      <c r="ADB47">
        <v>131.4437115868827</v>
      </c>
      <c r="ADC47">
        <v>132.34221285032081</v>
      </c>
      <c r="ADD47">
        <v>132.9787734872871</v>
      </c>
      <c r="ADE47">
        <v>133.79934125223701</v>
      </c>
      <c r="ADF47">
        <v>133.9211986127811</v>
      </c>
      <c r="ADG47">
        <v>134.1102215962234</v>
      </c>
      <c r="ADH47">
        <v>135.15154968483111</v>
      </c>
      <c r="ADI47">
        <v>134.24896639238429</v>
      </c>
      <c r="ADJ47">
        <v>134.44133212513401</v>
      </c>
      <c r="ADK47">
        <v>134.0772006943335</v>
      </c>
      <c r="ADL47">
        <v>133.6535261045108</v>
      </c>
      <c r="ADM47">
        <v>133.37056177512761</v>
      </c>
      <c r="ADN47">
        <v>133.7380676304866</v>
      </c>
      <c r="ADO47">
        <v>134.62057841944321</v>
      </c>
      <c r="ADP47">
        <v>134.1211697086307</v>
      </c>
      <c r="ADQ47">
        <v>133.74026949265999</v>
      </c>
      <c r="ADR47">
        <v>134.01943951059491</v>
      </c>
      <c r="ADS47">
        <v>134.6312149545173</v>
      </c>
      <c r="ADT47">
        <v>135.43680348743541</v>
      </c>
      <c r="ADU47">
        <v>134.58486509551031</v>
      </c>
      <c r="ADV47">
        <v>135.9596697401976</v>
      </c>
      <c r="ADW47">
        <v>136.0668921765714</v>
      </c>
      <c r="ADX47">
        <v>136.14358046860349</v>
      </c>
      <c r="ADY47">
        <v>136.3081173919237</v>
      </c>
      <c r="ADZ47">
        <v>136.26071292446119</v>
      </c>
      <c r="AEA47">
        <v>136.64286881345049</v>
      </c>
      <c r="AEB47">
        <v>136.71415289792739</v>
      </c>
      <c r="AEC47">
        <v>137.1860962056202</v>
      </c>
      <c r="AED47">
        <v>137.14065621848249</v>
      </c>
      <c r="AEE47">
        <v>137.44937115223621</v>
      </c>
      <c r="AEF47">
        <v>137.26096036996449</v>
      </c>
      <c r="AEG47">
        <v>137.1636948460492</v>
      </c>
      <c r="AEH47">
        <v>137.02634451894221</v>
      </c>
      <c r="AEI47">
        <v>137.39374770248631</v>
      </c>
      <c r="AEJ47">
        <v>136.83037331911169</v>
      </c>
      <c r="AEK47">
        <v>137.066717054397</v>
      </c>
      <c r="AEL47">
        <v>137.45350328582569</v>
      </c>
      <c r="AEM47">
        <v>137.4750787640248</v>
      </c>
      <c r="AEN47">
        <v>137.56850705969001</v>
      </c>
      <c r="AEO47">
        <v>137.42834490388191</v>
      </c>
      <c r="AEP47">
        <v>138.12495037192949</v>
      </c>
      <c r="AEQ47">
        <v>137.14439134414329</v>
      </c>
      <c r="AER47">
        <v>137.5584643703711</v>
      </c>
      <c r="AES47">
        <v>137.50988744063969</v>
      </c>
      <c r="AET47">
        <v>136.55952694763869</v>
      </c>
      <c r="AEU47">
        <v>137.28632641883709</v>
      </c>
      <c r="AEV47">
        <v>136.83394927096609</v>
      </c>
      <c r="AEW47">
        <v>137.7003190963496</v>
      </c>
      <c r="AEX47">
        <v>138.44408049272371</v>
      </c>
      <c r="AEY47">
        <v>138.74336814655609</v>
      </c>
      <c r="AEZ47">
        <v>139.06793987973509</v>
      </c>
      <c r="AFA47">
        <v>140.4476834325815</v>
      </c>
      <c r="AFB47">
        <v>139.79805324348251</v>
      </c>
      <c r="AFC47">
        <v>138.91728626665429</v>
      </c>
      <c r="AFD47">
        <v>139.16252145541591</v>
      </c>
      <c r="AFE47">
        <v>139.1682773520638</v>
      </c>
      <c r="AFF47">
        <v>139.45105127748619</v>
      </c>
      <c r="AFG47">
        <v>139.53434231069309</v>
      </c>
      <c r="AFH47">
        <v>139.76984041798261</v>
      </c>
      <c r="AFI47">
        <v>139.044439686516</v>
      </c>
      <c r="AFJ47">
        <v>139.59446666889681</v>
      </c>
      <c r="AFK47">
        <v>139.661939500877</v>
      </c>
      <c r="AFL47">
        <v>140.09509390986719</v>
      </c>
      <c r="AFM47">
        <v>139.77125461429131</v>
      </c>
      <c r="AFN47">
        <v>140.81181313420771</v>
      </c>
      <c r="AFO47">
        <v>139.98510545496021</v>
      </c>
      <c r="AFP47">
        <v>139.40679559815169</v>
      </c>
      <c r="AFQ47">
        <v>138.49941092714309</v>
      </c>
      <c r="AFR47">
        <v>138.8081404183925</v>
      </c>
      <c r="AFS47">
        <v>139.40233216839141</v>
      </c>
      <c r="AFT47">
        <v>138.96873280450751</v>
      </c>
      <c r="AFU47">
        <v>139.1247402256478</v>
      </c>
      <c r="AFV47">
        <v>139.21284916518329</v>
      </c>
      <c r="AFW47">
        <v>138.02264665812919</v>
      </c>
      <c r="AFX47">
        <v>139.57356401502301</v>
      </c>
      <c r="AFY47">
        <v>138.71624776961269</v>
      </c>
      <c r="AFZ47">
        <v>139.5631978321513</v>
      </c>
      <c r="AGA47">
        <v>138.66293624768241</v>
      </c>
      <c r="AGB47">
        <v>138.53688962958489</v>
      </c>
      <c r="AGC47">
        <v>138.5017323105825</v>
      </c>
      <c r="AGD47">
        <v>138.19530570595771</v>
      </c>
      <c r="AGE47">
        <v>138.1806930851325</v>
      </c>
      <c r="AGF47">
        <v>138.73512118465209</v>
      </c>
      <c r="AGG47">
        <v>138.99905488920149</v>
      </c>
      <c r="AGH47">
        <v>138.6837301180752</v>
      </c>
      <c r="AGI47">
        <v>137.0216084892333</v>
      </c>
      <c r="AGJ47">
        <v>138.1195939365343</v>
      </c>
      <c r="AGK47">
        <v>138.09953296187959</v>
      </c>
      <c r="AGL47">
        <v>138.27470713250489</v>
      </c>
      <c r="AGM47">
        <v>138.70782766841751</v>
      </c>
      <c r="AGN47">
        <v>139.28819629926031</v>
      </c>
      <c r="AGO47">
        <v>139.15673515047891</v>
      </c>
      <c r="AGP47">
        <v>139.67374076540301</v>
      </c>
      <c r="AGQ47">
        <v>139.15328562875379</v>
      </c>
      <c r="AGR47">
        <v>139.3517237719866</v>
      </c>
      <c r="AGS47">
        <v>139.88752783767401</v>
      </c>
      <c r="AGT47">
        <v>139.2807625920754</v>
      </c>
      <c r="AGU47">
        <v>139.45533316660391</v>
      </c>
      <c r="AGV47">
        <v>140.2717348244631</v>
      </c>
      <c r="AGW47">
        <v>139.2214892445372</v>
      </c>
      <c r="AGX47">
        <v>139.048314321736</v>
      </c>
      <c r="AGY47">
        <v>137.9330675860744</v>
      </c>
      <c r="AGZ47">
        <v>137.95175339510101</v>
      </c>
      <c r="AHA47">
        <v>138.51956905451999</v>
      </c>
      <c r="AHB47">
        <v>137.7459074031367</v>
      </c>
      <c r="AHC47">
        <v>137.53776362735411</v>
      </c>
      <c r="AHD47">
        <v>138.07825334377489</v>
      </c>
      <c r="AHE47">
        <v>138.03270447431279</v>
      </c>
      <c r="AHF47">
        <v>138.47293995922271</v>
      </c>
      <c r="AHG47">
        <v>137.61425818801661</v>
      </c>
      <c r="AHH47">
        <v>137.94364580744619</v>
      </c>
      <c r="AHI47">
        <v>137.90070795691031</v>
      </c>
      <c r="AHJ47">
        <v>135.80778689981051</v>
      </c>
      <c r="AHK47">
        <v>139.72879002695441</v>
      </c>
    </row>
    <row r="48" spans="1:895" x14ac:dyDescent="0.35">
      <c r="A48" s="6" t="s">
        <v>26</v>
      </c>
      <c r="B48">
        <v>-4.0266189251070728E-2</v>
      </c>
      <c r="C48">
        <v>2.2550199866770981E-3</v>
      </c>
      <c r="D48">
        <v>-4.164793307296577E-3</v>
      </c>
      <c r="E48">
        <v>-2.2702728084880159E-3</v>
      </c>
      <c r="F48">
        <v>-1.083433884019769E-3</v>
      </c>
      <c r="G48">
        <v>-3.1839544660101642E-3</v>
      </c>
      <c r="H48">
        <v>-2.8004113673318902E-3</v>
      </c>
      <c r="I48">
        <v>-1.330705051742598E-3</v>
      </c>
      <c r="J48">
        <v>-2.5478955222411059E-3</v>
      </c>
      <c r="K48">
        <v>6.4531664995115534E-4</v>
      </c>
      <c r="L48">
        <v>3.2578836301127012E-3</v>
      </c>
      <c r="M48">
        <v>-2.5687036548447399E-3</v>
      </c>
      <c r="N48">
        <v>3.6364117818266099E-3</v>
      </c>
      <c r="O48">
        <v>4.0507881391249612E-4</v>
      </c>
      <c r="P48">
        <v>4.1015260496521933E-3</v>
      </c>
      <c r="Q48">
        <v>1.3456048042996831E-3</v>
      </c>
      <c r="R48">
        <v>-1.6469554562348779E-2</v>
      </c>
      <c r="S48">
        <v>-9.7928176637651632E-3</v>
      </c>
      <c r="T48">
        <v>-7.8999457327029177E-3</v>
      </c>
      <c r="U48">
        <v>2.871806993027803E-3</v>
      </c>
      <c r="V48">
        <v>6.7497158836999924E-3</v>
      </c>
      <c r="W48">
        <v>4.3734121353026012E-2</v>
      </c>
      <c r="QG48">
        <v>-4.0266189251070728E-2</v>
      </c>
      <c r="QH48">
        <v>2.2550199866770981E-3</v>
      </c>
      <c r="QI48">
        <v>-4.164793307296577E-3</v>
      </c>
      <c r="QJ48">
        <v>-2.2702728084880159E-3</v>
      </c>
      <c r="QK48">
        <v>-1.083433884019769E-3</v>
      </c>
      <c r="QL48">
        <v>-3.1839544660101642E-3</v>
      </c>
      <c r="QM48">
        <v>-2.8004113673318902E-3</v>
      </c>
      <c r="QN48">
        <v>-1.330705051742598E-3</v>
      </c>
      <c r="QO48">
        <v>-2.5478955222411059E-3</v>
      </c>
      <c r="QP48">
        <v>6.4531664995115534E-4</v>
      </c>
      <c r="QQ48">
        <v>3.2578836301127012E-3</v>
      </c>
      <c r="QR48">
        <v>-2.5687036548447399E-3</v>
      </c>
      <c r="QS48">
        <v>3.6364117818266099E-3</v>
      </c>
      <c r="QT48">
        <v>4.0507881391249612E-4</v>
      </c>
      <c r="QU48">
        <v>4.1015260496521933E-3</v>
      </c>
      <c r="QV48">
        <v>1.3456048042996831E-3</v>
      </c>
      <c r="QW48">
        <v>-1.6469554562348779E-2</v>
      </c>
      <c r="QX48">
        <v>-9.7928176637651632E-3</v>
      </c>
      <c r="QY48">
        <v>-7.8999457327029177E-3</v>
      </c>
      <c r="QZ48">
        <v>2.871806993027803E-3</v>
      </c>
      <c r="RA48">
        <v>6.7497158836999924E-3</v>
      </c>
      <c r="RB48">
        <v>4.3734121353026012E-2</v>
      </c>
    </row>
    <row r="49" spans="1:1765" x14ac:dyDescent="0.35">
      <c r="A49" s="4" t="s">
        <v>27</v>
      </c>
      <c r="B49">
        <v>0.7481985773591191</v>
      </c>
      <c r="C49">
        <v>0.63402976271862599</v>
      </c>
      <c r="D49">
        <v>0.51171165524857543</v>
      </c>
      <c r="E49">
        <v>0.76331488710954432</v>
      </c>
      <c r="F49">
        <v>0.36466547075158928</v>
      </c>
      <c r="G49">
        <v>0.59621280428419254</v>
      </c>
      <c r="H49">
        <v>0.64298223495887896</v>
      </c>
      <c r="I49">
        <v>0.27809802068088629</v>
      </c>
      <c r="J49">
        <v>0.32771177847547511</v>
      </c>
      <c r="K49">
        <v>0.40747190924446391</v>
      </c>
      <c r="L49">
        <v>0.36706871290604681</v>
      </c>
      <c r="M49">
        <v>0.46791092175547527</v>
      </c>
      <c r="N49">
        <v>0.6510662535793017</v>
      </c>
      <c r="O49">
        <v>0.51930755280011454</v>
      </c>
      <c r="P49">
        <v>0.74582313573023384</v>
      </c>
      <c r="Q49">
        <v>0.9981797512195385</v>
      </c>
      <c r="R49">
        <v>0.91066675390447926</v>
      </c>
      <c r="S49">
        <v>1.2421635934450139</v>
      </c>
      <c r="T49">
        <v>1.07632176920589</v>
      </c>
      <c r="U49">
        <v>1.091061414660089</v>
      </c>
      <c r="V49">
        <v>0.81592807284604874</v>
      </c>
      <c r="W49">
        <v>0.51970780523888038</v>
      </c>
      <c r="QG49">
        <v>0.7481985773591191</v>
      </c>
      <c r="QH49">
        <v>0.63402976271862599</v>
      </c>
      <c r="QI49">
        <v>0.51171165524857543</v>
      </c>
      <c r="QJ49">
        <v>0.76331488710954432</v>
      </c>
      <c r="QK49">
        <v>0.36466547075158928</v>
      </c>
      <c r="QL49">
        <v>0.59621280428419254</v>
      </c>
      <c r="QM49">
        <v>0.64298223495887896</v>
      </c>
      <c r="QN49">
        <v>0.27809802068088629</v>
      </c>
      <c r="QO49">
        <v>0.32771177847547511</v>
      </c>
      <c r="QP49">
        <v>0.40747190924446391</v>
      </c>
      <c r="QQ49">
        <v>0.36706871290604681</v>
      </c>
      <c r="QR49">
        <v>0.46791092175547527</v>
      </c>
      <c r="QS49">
        <v>0.6510662535793017</v>
      </c>
      <c r="QT49">
        <v>0.51930755280011454</v>
      </c>
      <c r="QU49">
        <v>0.74582313573023384</v>
      </c>
      <c r="QV49">
        <v>0.9981797512195385</v>
      </c>
      <c r="QW49">
        <v>0.91066675390447926</v>
      </c>
      <c r="QX49">
        <v>1.2421635934450139</v>
      </c>
      <c r="QY49">
        <v>1.07632176920589</v>
      </c>
      <c r="QZ49">
        <v>1.091061414660089</v>
      </c>
      <c r="RA49">
        <v>0.81592807284604874</v>
      </c>
      <c r="RB49">
        <v>0.51970780523888038</v>
      </c>
    </row>
    <row r="50" spans="1:1765" ht="24" customHeight="1" x14ac:dyDescent="0.35">
      <c r="A50" s="3" t="s">
        <v>28</v>
      </c>
      <c r="B50">
        <v>-0.73668386223744164</v>
      </c>
      <c r="C50">
        <v>-0.46273418063319133</v>
      </c>
      <c r="D50">
        <v>-0.86328399143303614</v>
      </c>
      <c r="E50">
        <v>-0.77726264272698131</v>
      </c>
      <c r="F50">
        <v>-0.91177983063033707</v>
      </c>
      <c r="G50">
        <v>-0.59787791902724052</v>
      </c>
      <c r="H50">
        <v>-0.92297899287456175</v>
      </c>
      <c r="I50">
        <v>-0.94653096983250862</v>
      </c>
      <c r="J50">
        <v>-0.81232241311812459</v>
      </c>
      <c r="K50">
        <v>-1.1045752251277461</v>
      </c>
      <c r="L50">
        <v>-0.91530701882680887</v>
      </c>
      <c r="M50">
        <v>-0.60348646257509131</v>
      </c>
      <c r="N50">
        <v>-0.75417374018397254</v>
      </c>
      <c r="O50">
        <v>-1.008838422557091</v>
      </c>
      <c r="P50">
        <v>-0.66591773066178916</v>
      </c>
      <c r="Q50">
        <v>-0.73199876094935235</v>
      </c>
      <c r="R50">
        <v>-0.26060005716797718</v>
      </c>
      <c r="S50">
        <v>-0.11536858216106791</v>
      </c>
      <c r="T50">
        <v>-0.4879222354188073</v>
      </c>
      <c r="U50">
        <v>0.12775441884650721</v>
      </c>
      <c r="V50">
        <v>-4.4051946074745267E-2</v>
      </c>
      <c r="W50">
        <v>6.4177490782867608E-2</v>
      </c>
      <c r="QG50">
        <v>-0.73668386223744164</v>
      </c>
      <c r="QH50">
        <v>-0.46273418063319133</v>
      </c>
      <c r="QI50">
        <v>-0.86328399143303614</v>
      </c>
      <c r="QJ50">
        <v>-0.77726264272698131</v>
      </c>
      <c r="QK50">
        <v>-0.91177983063033707</v>
      </c>
      <c r="QL50">
        <v>-0.59787791902724052</v>
      </c>
      <c r="QM50">
        <v>-0.92297899287456175</v>
      </c>
      <c r="QN50">
        <v>-0.94653096983250862</v>
      </c>
      <c r="QO50">
        <v>-0.81232241311812459</v>
      </c>
      <c r="QP50">
        <v>-1.1045752251277461</v>
      </c>
      <c r="QQ50">
        <v>-0.91530701882680887</v>
      </c>
      <c r="QR50">
        <v>-0.60348646257509131</v>
      </c>
      <c r="QS50">
        <v>-0.75417374018397254</v>
      </c>
      <c r="QT50">
        <v>-1.008838422557091</v>
      </c>
      <c r="QU50">
        <v>-0.66591773066178916</v>
      </c>
      <c r="QV50">
        <v>-0.73199876094935235</v>
      </c>
      <c r="QW50">
        <v>-0.26060005716797718</v>
      </c>
      <c r="QX50">
        <v>-0.11536858216106791</v>
      </c>
      <c r="QY50">
        <v>-0.4879222354188073</v>
      </c>
      <c r="QZ50">
        <v>0.12775441884650721</v>
      </c>
      <c r="RA50">
        <v>-4.4051946074745267E-2</v>
      </c>
      <c r="RB50">
        <v>6.4177490782867608E-2</v>
      </c>
    </row>
    <row r="51" spans="1:1765" x14ac:dyDescent="0.35">
      <c r="A51" s="4" t="s">
        <v>29</v>
      </c>
      <c r="B51">
        <v>0.73668386223744164</v>
      </c>
      <c r="C51">
        <v>0.46273418063319133</v>
      </c>
      <c r="D51">
        <v>0.86328399143303614</v>
      </c>
      <c r="E51">
        <v>0.77726264272698131</v>
      </c>
      <c r="F51">
        <v>0.91177983063033707</v>
      </c>
      <c r="G51">
        <v>0.59787791902724052</v>
      </c>
      <c r="H51">
        <v>0.92297899287456175</v>
      </c>
      <c r="I51">
        <v>0.94653096983250862</v>
      </c>
      <c r="J51">
        <v>0.81232241311812459</v>
      </c>
      <c r="K51">
        <v>1.1045752251277461</v>
      </c>
      <c r="L51">
        <v>0.91530701882680887</v>
      </c>
      <c r="M51">
        <v>0.60348646257509131</v>
      </c>
      <c r="N51">
        <v>0.75417374018397254</v>
      </c>
      <c r="O51">
        <v>1.008838422557091</v>
      </c>
      <c r="P51">
        <v>0.66591773066178916</v>
      </c>
      <c r="Q51">
        <v>0.73199876094935235</v>
      </c>
      <c r="R51">
        <v>0.26060005716797718</v>
      </c>
      <c r="S51">
        <v>0.11536858216106791</v>
      </c>
      <c r="T51">
        <v>0.4879222354188073</v>
      </c>
      <c r="U51">
        <v>-0.12775441884650721</v>
      </c>
      <c r="V51">
        <v>4.4051946074745267E-2</v>
      </c>
      <c r="W51">
        <v>-6.4177490782867608E-2</v>
      </c>
      <c r="QG51">
        <v>0.73668386223744164</v>
      </c>
      <c r="QH51">
        <v>0.46273418063319133</v>
      </c>
      <c r="QI51">
        <v>0.86328399143303614</v>
      </c>
      <c r="QJ51">
        <v>0.77726264272698131</v>
      </c>
      <c r="QK51">
        <v>0.91177983063033707</v>
      </c>
      <c r="QL51">
        <v>0.59787791902724052</v>
      </c>
      <c r="QM51">
        <v>0.92297899287456175</v>
      </c>
      <c r="QN51">
        <v>0.94653096983250862</v>
      </c>
      <c r="QO51">
        <v>0.81232241311812459</v>
      </c>
      <c r="QP51">
        <v>1.1045752251277461</v>
      </c>
      <c r="QQ51">
        <v>0.91530701882680887</v>
      </c>
      <c r="QR51">
        <v>0.60348646257509131</v>
      </c>
      <c r="QS51">
        <v>0.75417374018397254</v>
      </c>
      <c r="QT51">
        <v>1.008838422557091</v>
      </c>
      <c r="QU51">
        <v>0.66591773066178916</v>
      </c>
      <c r="QV51">
        <v>0.73199876094935235</v>
      </c>
      <c r="QW51">
        <v>0.26060005716797718</v>
      </c>
      <c r="QX51">
        <v>0.11536858216106791</v>
      </c>
      <c r="QY51">
        <v>0.4879222354188073</v>
      </c>
      <c r="QZ51">
        <v>-0.12775441884650721</v>
      </c>
      <c r="RA51">
        <v>4.4051946074745267E-2</v>
      </c>
      <c r="RB51">
        <v>-6.4177490782867608E-2</v>
      </c>
    </row>
    <row r="52" spans="1:1765" x14ac:dyDescent="0.35">
      <c r="A52" s="3" t="s">
        <v>30</v>
      </c>
      <c r="B52">
        <v>139.01487734824889</v>
      </c>
      <c r="C52">
        <v>139.12536535956531</v>
      </c>
      <c r="D52">
        <v>138.50454519381111</v>
      </c>
      <c r="E52">
        <v>139.30092428784349</v>
      </c>
      <c r="F52">
        <v>138.38455814256639</v>
      </c>
      <c r="G52">
        <v>138.59806146127349</v>
      </c>
      <c r="H52">
        <v>138.32005128736839</v>
      </c>
      <c r="I52">
        <v>136.71966341100111</v>
      </c>
      <c r="J52">
        <v>137.391965771652</v>
      </c>
      <c r="K52">
        <v>137.73651705455731</v>
      </c>
      <c r="L52">
        <v>138.00861820258481</v>
      </c>
      <c r="M52">
        <v>137.7919780120645</v>
      </c>
      <c r="N52">
        <v>138.4761267450979</v>
      </c>
      <c r="O52">
        <v>138.4046796251445</v>
      </c>
      <c r="P52">
        <v>139.42155858291699</v>
      </c>
      <c r="Q52">
        <v>139.87884207671959</v>
      </c>
      <c r="R52">
        <v>140.15210468786751</v>
      </c>
      <c r="S52">
        <v>140.3547004039898</v>
      </c>
      <c r="T52">
        <v>140.10570054476671</v>
      </c>
      <c r="U52">
        <v>139.7102876957633</v>
      </c>
      <c r="V52">
        <v>140.07102302245389</v>
      </c>
      <c r="W52">
        <v>139.67007863192819</v>
      </c>
      <c r="QG52">
        <v>139.01487734824889</v>
      </c>
      <c r="QH52">
        <v>139.12536535956531</v>
      </c>
      <c r="QI52">
        <v>138.50454519381111</v>
      </c>
      <c r="QJ52">
        <v>139.30092428784349</v>
      </c>
      <c r="QK52">
        <v>138.38455814256639</v>
      </c>
      <c r="QL52">
        <v>138.59806146127349</v>
      </c>
      <c r="QM52">
        <v>138.32005128736839</v>
      </c>
      <c r="QN52">
        <v>136.71966341100111</v>
      </c>
      <c r="QO52">
        <v>137.391965771652</v>
      </c>
      <c r="QP52">
        <v>137.73651705455731</v>
      </c>
      <c r="QQ52">
        <v>138.00861820258481</v>
      </c>
      <c r="QR52">
        <v>137.7919780120645</v>
      </c>
      <c r="QS52">
        <v>138.4761267450979</v>
      </c>
      <c r="QT52">
        <v>138.4046796251445</v>
      </c>
      <c r="QU52">
        <v>139.42155858291699</v>
      </c>
      <c r="QV52">
        <v>139.87884207671959</v>
      </c>
      <c r="QW52">
        <v>140.15210468786751</v>
      </c>
      <c r="QX52">
        <v>140.3547004039898</v>
      </c>
      <c r="QY52">
        <v>140.10570054476671</v>
      </c>
      <c r="QZ52">
        <v>139.7102876957633</v>
      </c>
      <c r="RA52">
        <v>140.07102302245389</v>
      </c>
      <c r="RB52">
        <v>139.67007863192819</v>
      </c>
    </row>
    <row r="53" spans="1:1765" x14ac:dyDescent="0.35">
      <c r="A53" s="5" t="s">
        <v>31</v>
      </c>
      <c r="B53">
        <v>1.5484308512966269</v>
      </c>
      <c r="C53">
        <v>1.524316802429071</v>
      </c>
      <c r="D53">
        <v>1.535915589089963</v>
      </c>
      <c r="E53">
        <v>1.5000732248666</v>
      </c>
      <c r="F53">
        <v>1.5524515941472461</v>
      </c>
      <c r="G53">
        <v>1.5041502680916741</v>
      </c>
      <c r="H53">
        <v>1.51506147121293</v>
      </c>
      <c r="I53">
        <v>1.5298777648246571</v>
      </c>
      <c r="J53">
        <v>1.519077215335745</v>
      </c>
      <c r="K53">
        <v>1.52293498932463</v>
      </c>
      <c r="L53">
        <v>1.525535760881586</v>
      </c>
      <c r="M53">
        <v>1.522867072557258</v>
      </c>
      <c r="N53">
        <v>1.5445655917839201</v>
      </c>
      <c r="O53">
        <v>1.5282278737358741</v>
      </c>
      <c r="P53">
        <v>1.5159513746397959</v>
      </c>
      <c r="Q53">
        <v>1.5354853219756719</v>
      </c>
      <c r="R53">
        <v>1.4812797234542141</v>
      </c>
      <c r="S53">
        <v>1.521660067853142</v>
      </c>
      <c r="T53">
        <v>1.516821307929362</v>
      </c>
      <c r="U53">
        <v>1.4899212028806439</v>
      </c>
      <c r="V53">
        <v>1.4566009170485941</v>
      </c>
      <c r="W53">
        <v>1.440194377761844</v>
      </c>
      <c r="QG53">
        <v>1.5484308512966269</v>
      </c>
      <c r="QH53">
        <v>1.524316802429071</v>
      </c>
      <c r="QI53">
        <v>1.535915589089963</v>
      </c>
      <c r="QJ53">
        <v>1.5000732248666</v>
      </c>
      <c r="QK53">
        <v>1.5524515941472461</v>
      </c>
      <c r="QL53">
        <v>1.5041502680916741</v>
      </c>
      <c r="QM53">
        <v>1.51506147121293</v>
      </c>
      <c r="QN53">
        <v>1.5298777648246571</v>
      </c>
      <c r="QO53">
        <v>1.519077215335745</v>
      </c>
      <c r="QP53">
        <v>1.52293498932463</v>
      </c>
      <c r="QQ53">
        <v>1.525535760881586</v>
      </c>
      <c r="QR53">
        <v>1.522867072557258</v>
      </c>
      <c r="QS53">
        <v>1.5445655917839201</v>
      </c>
      <c r="QT53">
        <v>1.5282278737358741</v>
      </c>
      <c r="QU53">
        <v>1.5159513746397959</v>
      </c>
      <c r="QV53">
        <v>1.5354853219756719</v>
      </c>
      <c r="QW53">
        <v>1.4812797234542141</v>
      </c>
      <c r="QX53">
        <v>1.521660067853142</v>
      </c>
      <c r="QY53">
        <v>1.516821307929362</v>
      </c>
      <c r="QZ53">
        <v>1.4899212028806439</v>
      </c>
      <c r="RA53">
        <v>1.4566009170485941</v>
      </c>
      <c r="RB53">
        <v>1.440194377761844</v>
      </c>
    </row>
    <row r="55" spans="1:1765" x14ac:dyDescent="0.35">
      <c r="A55" s="1" t="s">
        <v>37</v>
      </c>
      <c r="B55" s="119">
        <f t="shared" ref="B55:W55" si="5">B46</f>
        <v>45291</v>
      </c>
      <c r="C55" s="119">
        <f t="shared" si="5"/>
        <v>45298</v>
      </c>
      <c r="D55" s="119">
        <f t="shared" si="5"/>
        <v>45305</v>
      </c>
      <c r="E55" s="119">
        <f t="shared" si="5"/>
        <v>45312</v>
      </c>
      <c r="F55" s="119">
        <f t="shared" si="5"/>
        <v>45319</v>
      </c>
      <c r="G55" s="119">
        <f t="shared" si="5"/>
        <v>45326</v>
      </c>
      <c r="H55" s="119">
        <f t="shared" si="5"/>
        <v>45333</v>
      </c>
      <c r="I55" s="119">
        <f t="shared" si="5"/>
        <v>45340</v>
      </c>
      <c r="J55" s="119">
        <f t="shared" si="5"/>
        <v>45347</v>
      </c>
      <c r="K55" s="119">
        <f t="shared" si="5"/>
        <v>45354</v>
      </c>
      <c r="L55" s="119">
        <f t="shared" si="5"/>
        <v>45361</v>
      </c>
      <c r="M55" s="119">
        <f t="shared" si="5"/>
        <v>45368</v>
      </c>
      <c r="N55" s="119">
        <f t="shared" si="5"/>
        <v>45375</v>
      </c>
      <c r="O55" s="119">
        <f t="shared" si="5"/>
        <v>45382</v>
      </c>
      <c r="P55" s="119">
        <f t="shared" si="5"/>
        <v>45389</v>
      </c>
      <c r="Q55" s="119">
        <f t="shared" si="5"/>
        <v>45396</v>
      </c>
      <c r="R55" s="119">
        <f t="shared" si="5"/>
        <v>45403</v>
      </c>
      <c r="S55" s="119">
        <f t="shared" si="5"/>
        <v>45410</v>
      </c>
      <c r="T55" s="119">
        <f t="shared" si="5"/>
        <v>45417</v>
      </c>
      <c r="U55" s="119">
        <f t="shared" si="5"/>
        <v>45424</v>
      </c>
      <c r="V55" s="119">
        <f t="shared" si="5"/>
        <v>45431</v>
      </c>
      <c r="W55" s="119">
        <f t="shared" si="5"/>
        <v>45438</v>
      </c>
    </row>
    <row r="56" spans="1:1765" x14ac:dyDescent="0.35">
      <c r="A56" s="101" t="s">
        <v>25</v>
      </c>
      <c r="B56">
        <v>141.96441503745299</v>
      </c>
      <c r="C56">
        <v>140.42195683532731</v>
      </c>
      <c r="D56">
        <v>139.62518271152351</v>
      </c>
      <c r="E56">
        <v>139.10677555314601</v>
      </c>
      <c r="F56">
        <v>139.40684868267439</v>
      </c>
      <c r="G56">
        <v>139.47263924019691</v>
      </c>
      <c r="H56">
        <v>138.34007932300079</v>
      </c>
      <c r="I56">
        <v>137.86540453422569</v>
      </c>
      <c r="J56">
        <v>139.09739970864291</v>
      </c>
      <c r="K56">
        <v>139.81876069563299</v>
      </c>
      <c r="L56">
        <v>140.52062796282229</v>
      </c>
      <c r="M56">
        <v>141.38720881538831</v>
      </c>
      <c r="N56">
        <v>140.61145018245719</v>
      </c>
      <c r="O56">
        <v>140.68944034874659</v>
      </c>
      <c r="P56">
        <v>140.4567380871224</v>
      </c>
      <c r="Q56">
        <v>140.564112400874</v>
      </c>
      <c r="R56">
        <v>140.3790399396579</v>
      </c>
      <c r="S56">
        <v>140.73273013007611</v>
      </c>
      <c r="T56">
        <v>140.71901475480101</v>
      </c>
      <c r="U56">
        <v>140.59650160225399</v>
      </c>
      <c r="V56">
        <v>140.3164622590501</v>
      </c>
      <c r="W56">
        <v>140.80387655755959</v>
      </c>
      <c r="X56">
        <v>136.70429214137229</v>
      </c>
      <c r="Y56">
        <v>133.98570562477059</v>
      </c>
      <c r="Z56">
        <v>132.33768367799101</v>
      </c>
      <c r="AA56">
        <v>130.93584943176509</v>
      </c>
      <c r="AB56">
        <v>131.3420667686496</v>
      </c>
      <c r="AC56">
        <v>132.70404856101439</v>
      </c>
      <c r="AD56">
        <v>133.0978232171995</v>
      </c>
      <c r="AE56">
        <v>132.63329764604359</v>
      </c>
      <c r="AF56">
        <v>133.1767911332538</v>
      </c>
      <c r="AG56">
        <v>132.54756241130269</v>
      </c>
      <c r="AH56">
        <v>135.40840863837951</v>
      </c>
      <c r="AI56">
        <v>135.84798483071211</v>
      </c>
      <c r="AJ56">
        <v>136.61466187376541</v>
      </c>
      <c r="AK56">
        <v>135.5735918866051</v>
      </c>
      <c r="AL56">
        <v>135.96231954074</v>
      </c>
      <c r="AM56">
        <v>136.14322504175061</v>
      </c>
      <c r="AN56">
        <v>136.6955546892251</v>
      </c>
      <c r="AO56">
        <v>137.34618490096861</v>
      </c>
      <c r="AP56">
        <v>136.1044838443789</v>
      </c>
      <c r="AQ56">
        <v>136.58279420559199</v>
      </c>
      <c r="AR56">
        <v>137.00933698851571</v>
      </c>
      <c r="AS56">
        <v>137.12624932377881</v>
      </c>
      <c r="AT56">
        <v>137.9152361423503</v>
      </c>
      <c r="AU56">
        <v>136.86009112141301</v>
      </c>
      <c r="AV56">
        <v>137.6917819497688</v>
      </c>
      <c r="AW56">
        <v>136.46814450129429</v>
      </c>
      <c r="AX56">
        <v>136.48939557771959</v>
      </c>
      <c r="AY56">
        <v>136.7517984167774</v>
      </c>
      <c r="AZ56">
        <v>136.53771380433449</v>
      </c>
      <c r="BA56">
        <v>136.92208143579299</v>
      </c>
      <c r="BB56">
        <v>137.37329850497761</v>
      </c>
      <c r="BC56">
        <v>137.66937181660069</v>
      </c>
      <c r="BD56">
        <v>136.17886462561711</v>
      </c>
      <c r="BE56">
        <v>136.81391735841379</v>
      </c>
      <c r="BF56">
        <v>136.58795204138701</v>
      </c>
      <c r="BG56">
        <v>136.36317777416289</v>
      </c>
      <c r="BH56">
        <v>136.46960201050291</v>
      </c>
      <c r="BI56">
        <v>136.22657757401379</v>
      </c>
      <c r="BJ56">
        <v>137.48642538717121</v>
      </c>
      <c r="BK56">
        <v>138.36493790545609</v>
      </c>
      <c r="BL56">
        <v>137.4952249513351</v>
      </c>
      <c r="BM56">
        <v>137.73011934503211</v>
      </c>
      <c r="BN56">
        <v>138.61453372792499</v>
      </c>
      <c r="BO56">
        <v>138.6775388157767</v>
      </c>
      <c r="BP56">
        <v>138.18157288722691</v>
      </c>
      <c r="BQ56">
        <v>138.0375311749921</v>
      </c>
      <c r="BR56">
        <v>139.7110832905455</v>
      </c>
      <c r="BS56">
        <v>139.47143912534901</v>
      </c>
      <c r="BT56">
        <v>139.62726640259729</v>
      </c>
      <c r="BU56">
        <v>140.01750728798541</v>
      </c>
      <c r="BV56">
        <v>140.75192243051441</v>
      </c>
      <c r="BW56">
        <v>139.68203768715671</v>
      </c>
      <c r="BX56">
        <v>138.88040824937869</v>
      </c>
      <c r="BY56">
        <v>137.9113844569705</v>
      </c>
      <c r="BZ56">
        <v>139.09510779510961</v>
      </c>
      <c r="CA56">
        <v>139.1203274110685</v>
      </c>
      <c r="CB56">
        <v>138.78934507894041</v>
      </c>
      <c r="CC56">
        <v>135.8216847354376</v>
      </c>
      <c r="CD56">
        <v>136.23923711553911</v>
      </c>
      <c r="CE56">
        <v>137.86937770496871</v>
      </c>
      <c r="CF56">
        <v>138.22023071635849</v>
      </c>
      <c r="CG56">
        <v>138.41386204845421</v>
      </c>
      <c r="CH56">
        <v>138.5882334487286</v>
      </c>
      <c r="CI56">
        <v>139.60393130731671</v>
      </c>
      <c r="CJ56">
        <v>139.82132221108421</v>
      </c>
      <c r="CK56">
        <v>140.37608136172119</v>
      </c>
      <c r="CL56">
        <v>140.01834852557329</v>
      </c>
      <c r="CM56">
        <v>139.93093546958829</v>
      </c>
      <c r="CN56">
        <v>138.55999186092609</v>
      </c>
      <c r="CO56">
        <v>141.3704487959524</v>
      </c>
      <c r="CP56">
        <v>140.2223806573659</v>
      </c>
      <c r="CQ56">
        <v>139.6678813950659</v>
      </c>
      <c r="CR56">
        <v>140.46403808604589</v>
      </c>
      <c r="CS56">
        <v>140.38961712772979</v>
      </c>
      <c r="CT56">
        <v>140.3651441496246</v>
      </c>
      <c r="CU56">
        <v>140.2848597859257</v>
      </c>
      <c r="CV56">
        <v>140.40390715886849</v>
      </c>
      <c r="CW56">
        <v>139.33064478459011</v>
      </c>
      <c r="CX56">
        <v>140.1475099307257</v>
      </c>
      <c r="CY56">
        <v>140.37415815392319</v>
      </c>
      <c r="CZ56">
        <v>140.1851996379911</v>
      </c>
      <c r="DA56">
        <v>139.39080057589621</v>
      </c>
      <c r="DB56">
        <v>138.84181790280951</v>
      </c>
      <c r="DC56">
        <v>139.4055778691808</v>
      </c>
      <c r="DD56">
        <v>139.99057272129511</v>
      </c>
      <c r="DE56">
        <v>139.7604225504503</v>
      </c>
      <c r="DF56">
        <v>139.24103494787701</v>
      </c>
      <c r="DG56">
        <v>139.70895479568259</v>
      </c>
      <c r="DH56">
        <v>140.13472251449551</v>
      </c>
      <c r="DI56">
        <v>139.1154523074413</v>
      </c>
      <c r="DJ56">
        <v>139.95245013582081</v>
      </c>
      <c r="DK56">
        <v>139.90093270584461</v>
      </c>
      <c r="DL56">
        <v>139.0348229971467</v>
      </c>
      <c r="DM56">
        <v>138.02163570502589</v>
      </c>
      <c r="DN56">
        <v>138.0653923563365</v>
      </c>
      <c r="DO56">
        <v>139.7972380868222</v>
      </c>
      <c r="DP56">
        <v>139.3378992411518</v>
      </c>
      <c r="DQ56">
        <v>138.59375179230199</v>
      </c>
      <c r="DR56">
        <v>137.20538965936061</v>
      </c>
      <c r="DS56">
        <v>138.09284560041439</v>
      </c>
      <c r="DT56">
        <v>137.89056717568721</v>
      </c>
      <c r="DU56">
        <v>137.7369416491058</v>
      </c>
      <c r="DV56">
        <v>137.73182403554279</v>
      </c>
      <c r="DW56">
        <v>138.5424507975606</v>
      </c>
      <c r="DX56">
        <v>137.84512936145401</v>
      </c>
      <c r="DY56">
        <v>139.0213393195892</v>
      </c>
      <c r="DZ56">
        <v>138.4998098197467</v>
      </c>
      <c r="EA56">
        <v>137.93220442457161</v>
      </c>
      <c r="EB56">
        <v>136.31409439636121</v>
      </c>
      <c r="EC56">
        <v>136.901307178378</v>
      </c>
      <c r="ED56">
        <v>134.7359961583264</v>
      </c>
      <c r="EE56">
        <v>135.12398600777831</v>
      </c>
      <c r="EF56">
        <v>136.27681461362329</v>
      </c>
      <c r="EG56">
        <v>136.77758953373191</v>
      </c>
      <c r="EH56">
        <v>136.8516136946501</v>
      </c>
      <c r="EI56">
        <v>137.83460604933711</v>
      </c>
      <c r="EJ56">
        <v>138.14810613471201</v>
      </c>
      <c r="EK56">
        <v>138.16707727774499</v>
      </c>
      <c r="EL56">
        <v>138.5227742635314</v>
      </c>
      <c r="EM56">
        <v>139.473183875649</v>
      </c>
      <c r="EN56">
        <v>138.18849345582049</v>
      </c>
      <c r="EO56">
        <v>138.36027674966621</v>
      </c>
      <c r="EP56">
        <v>138.2409084832604</v>
      </c>
      <c r="EQ56">
        <v>138.56211994173859</v>
      </c>
      <c r="ER56">
        <v>139.37790081566419</v>
      </c>
      <c r="ES56">
        <v>138.09017408120181</v>
      </c>
      <c r="ET56">
        <v>139.05455796334479</v>
      </c>
      <c r="EU56">
        <v>138.5154050253733</v>
      </c>
      <c r="EV56">
        <v>138.50891115470111</v>
      </c>
      <c r="EW56">
        <v>138.942105330065</v>
      </c>
      <c r="EX56">
        <v>139.19565484896819</v>
      </c>
      <c r="EY56">
        <v>138.140040011108</v>
      </c>
      <c r="EZ56">
        <v>137.88750643738371</v>
      </c>
      <c r="FA56">
        <v>138.06211523882669</v>
      </c>
      <c r="FB56">
        <v>138.69865003151281</v>
      </c>
      <c r="FC56">
        <v>137.57395065200751</v>
      </c>
      <c r="FD56">
        <v>137.40399577548931</v>
      </c>
      <c r="FE56">
        <v>138.8338482084975</v>
      </c>
      <c r="FF56">
        <v>138.54003654469699</v>
      </c>
      <c r="FG56">
        <v>138.22838808157621</v>
      </c>
      <c r="FH56">
        <v>138.1141612469184</v>
      </c>
      <c r="FI56">
        <v>137.52763578239791</v>
      </c>
      <c r="FJ56">
        <v>138.44188994991521</v>
      </c>
      <c r="FK56">
        <v>138.72772822704201</v>
      </c>
      <c r="FL56">
        <v>137.39477436765799</v>
      </c>
      <c r="FM56">
        <v>138.2520725396119</v>
      </c>
      <c r="FN56">
        <v>136.61136656549871</v>
      </c>
      <c r="FO56">
        <v>137.347958248456</v>
      </c>
      <c r="FP56">
        <v>137.0939638302122</v>
      </c>
      <c r="FQ56">
        <v>137.87941550752629</v>
      </c>
      <c r="FR56">
        <v>137.33114400269241</v>
      </c>
      <c r="FS56">
        <v>137.13524875042339</v>
      </c>
      <c r="FT56">
        <v>137.7515296007426</v>
      </c>
      <c r="FU56">
        <v>137.55606290815541</v>
      </c>
      <c r="FV56">
        <v>137.88286210096541</v>
      </c>
      <c r="FW56">
        <v>138.90803023297599</v>
      </c>
      <c r="FX56">
        <v>138.27998230289231</v>
      </c>
      <c r="FY56">
        <v>136.33179782961369</v>
      </c>
      <c r="FZ56">
        <v>136.1613233962276</v>
      </c>
      <c r="GA56">
        <v>136.13348460340919</v>
      </c>
      <c r="GB56">
        <v>136.97748968878079</v>
      </c>
      <c r="GC56">
        <v>137.37919030551711</v>
      </c>
      <c r="GD56">
        <v>137.09855364839851</v>
      </c>
      <c r="GE56">
        <v>136.00663052932211</v>
      </c>
      <c r="GF56">
        <v>134.5379024685534</v>
      </c>
      <c r="GG56">
        <v>135.42816307905341</v>
      </c>
      <c r="GH56">
        <v>136.32252192901069</v>
      </c>
      <c r="GI56">
        <v>136.9971797457732</v>
      </c>
      <c r="GJ56">
        <v>137.38217139243289</v>
      </c>
      <c r="GK56">
        <v>136.66342757603621</v>
      </c>
      <c r="GL56">
        <v>137.41440582322869</v>
      </c>
      <c r="GM56">
        <v>137.491231925227</v>
      </c>
      <c r="GN56">
        <v>137.20190176447659</v>
      </c>
      <c r="GO56">
        <v>136.81943303134781</v>
      </c>
      <c r="GP56">
        <v>137.6683705361994</v>
      </c>
      <c r="GQ56">
        <v>137.3678387426192</v>
      </c>
      <c r="GR56">
        <v>136.4527804375266</v>
      </c>
      <c r="GS56">
        <v>137.1259211979507</v>
      </c>
      <c r="GT56">
        <v>137.79889575099179</v>
      </c>
      <c r="GU56">
        <v>136.8140520560024</v>
      </c>
      <c r="GV56">
        <v>137.5075970106918</v>
      </c>
      <c r="GW56">
        <v>137.69086243633481</v>
      </c>
      <c r="GX56">
        <v>137.89580111104459</v>
      </c>
      <c r="GY56">
        <v>137.5527780581333</v>
      </c>
      <c r="GZ56">
        <v>136.77669010213179</v>
      </c>
      <c r="HA56">
        <v>136.84287751758691</v>
      </c>
      <c r="HB56">
        <v>137.22031521701109</v>
      </c>
      <c r="HC56">
        <v>137.3085691830608</v>
      </c>
      <c r="HD56">
        <v>137.0827945513775</v>
      </c>
      <c r="HE56">
        <v>136.89065890579141</v>
      </c>
      <c r="HF56">
        <v>136.76171736942521</v>
      </c>
      <c r="HG56">
        <v>136.86625925777221</v>
      </c>
      <c r="HH56">
        <v>136.6177282578094</v>
      </c>
      <c r="HI56">
        <v>136.31955306230921</v>
      </c>
      <c r="HJ56">
        <v>136.43333340230629</v>
      </c>
      <c r="HK56">
        <v>136.55849705745311</v>
      </c>
      <c r="HL56">
        <v>136.926500465374</v>
      </c>
      <c r="HM56">
        <v>137.2542410253223</v>
      </c>
      <c r="HN56">
        <v>136.8099537132552</v>
      </c>
      <c r="HO56">
        <v>136.30430653719969</v>
      </c>
      <c r="HP56">
        <v>136.5754818049214</v>
      </c>
      <c r="HQ56">
        <v>136.06805235268641</v>
      </c>
      <c r="HR56">
        <v>137.2267583523109</v>
      </c>
      <c r="HS56">
        <v>137.05953850083819</v>
      </c>
      <c r="HT56">
        <v>136.57816959475559</v>
      </c>
      <c r="HU56">
        <v>136.86695416502391</v>
      </c>
      <c r="HV56">
        <v>136.5510691314272</v>
      </c>
      <c r="HW56">
        <v>137.25385329485479</v>
      </c>
      <c r="HX56">
        <v>137.3634018368854</v>
      </c>
      <c r="HY56">
        <v>135.2707138495303</v>
      </c>
      <c r="HZ56">
        <v>135.85604411688331</v>
      </c>
      <c r="IA56">
        <v>135.58703664091999</v>
      </c>
      <c r="IB56">
        <v>136.14841798144869</v>
      </c>
      <c r="IC56">
        <v>136.74388997592379</v>
      </c>
      <c r="ID56">
        <v>136.13507166915531</v>
      </c>
      <c r="IE56">
        <v>136.49831397852381</v>
      </c>
      <c r="IF56">
        <v>136.60061321243049</v>
      </c>
      <c r="IG56">
        <v>134.9174010248359</v>
      </c>
      <c r="IH56">
        <v>135.50353811224551</v>
      </c>
      <c r="II56">
        <v>135.9347365290474</v>
      </c>
      <c r="IJ56">
        <v>135.71507425641249</v>
      </c>
      <c r="IK56">
        <v>135.72534103408631</v>
      </c>
      <c r="IL56">
        <v>135.7727040376559</v>
      </c>
      <c r="IM56">
        <v>135.38873376695281</v>
      </c>
      <c r="IN56">
        <v>136.24475605325469</v>
      </c>
      <c r="IO56">
        <v>137.0893269332766</v>
      </c>
      <c r="IP56">
        <v>137.78415123254089</v>
      </c>
      <c r="IQ56">
        <v>138.18135961939609</v>
      </c>
      <c r="IR56">
        <v>138.23755943200399</v>
      </c>
      <c r="IS56">
        <v>139.29382810037029</v>
      </c>
      <c r="IT56">
        <v>138.6691488039319</v>
      </c>
      <c r="IU56">
        <v>139.66201121437979</v>
      </c>
      <c r="IV56">
        <v>139.0636378096373</v>
      </c>
      <c r="IW56">
        <v>139.3414028768662</v>
      </c>
      <c r="IX56">
        <v>139.27352645179761</v>
      </c>
      <c r="IY56">
        <v>139.2642499324869</v>
      </c>
      <c r="IZ56">
        <v>139.08896757268661</v>
      </c>
      <c r="JA56">
        <v>139.43589859790589</v>
      </c>
      <c r="JB56">
        <v>139.21211563890489</v>
      </c>
      <c r="JC56">
        <v>138.9112324485732</v>
      </c>
      <c r="JD56">
        <v>139.1470916051816</v>
      </c>
      <c r="JE56">
        <v>138.87216424563741</v>
      </c>
      <c r="JF56">
        <v>138.41972439813881</v>
      </c>
      <c r="JG56">
        <v>137.97827269966081</v>
      </c>
      <c r="JH56">
        <v>138.1815039896002</v>
      </c>
      <c r="JI56">
        <v>137.77999389920001</v>
      </c>
      <c r="JJ56">
        <v>138.65223563862929</v>
      </c>
      <c r="JK56">
        <v>138.68473262611931</v>
      </c>
      <c r="JL56">
        <v>137.30611586528269</v>
      </c>
      <c r="JM56">
        <v>137.44998433608811</v>
      </c>
      <c r="JN56">
        <v>136.97103005961341</v>
      </c>
      <c r="JO56">
        <v>138.03203110576749</v>
      </c>
      <c r="JP56">
        <v>136.85968853214521</v>
      </c>
      <c r="JQ56">
        <v>136.54413705824919</v>
      </c>
      <c r="JR56">
        <v>136.89791642883279</v>
      </c>
      <c r="JS56">
        <v>136.29929373708049</v>
      </c>
      <c r="JT56">
        <v>135.9856474808619</v>
      </c>
      <c r="JU56">
        <v>136.6533976491925</v>
      </c>
      <c r="JV56">
        <v>137.07582916028861</v>
      </c>
      <c r="JW56">
        <v>136.92909135418921</v>
      </c>
      <c r="JX56">
        <v>137.47493418715729</v>
      </c>
      <c r="JY56">
        <v>136.570576721088</v>
      </c>
      <c r="JZ56">
        <v>136.753761492884</v>
      </c>
      <c r="KA56">
        <v>136.24746821881351</v>
      </c>
      <c r="KB56">
        <v>136.30643750807209</v>
      </c>
      <c r="KC56">
        <v>135.86774196184939</v>
      </c>
      <c r="KD56">
        <v>136.33514384535621</v>
      </c>
      <c r="KE56">
        <v>135.35677182055471</v>
      </c>
      <c r="KF56">
        <v>135.4401446493406</v>
      </c>
      <c r="KG56">
        <v>135.1815051448587</v>
      </c>
      <c r="KH56">
        <v>134.9939992674372</v>
      </c>
      <c r="KI56">
        <v>134.83154078758301</v>
      </c>
      <c r="KJ56">
        <v>135.20691172687921</v>
      </c>
      <c r="KK56">
        <v>134.97894223640091</v>
      </c>
      <c r="KL56">
        <v>135.57925364416809</v>
      </c>
      <c r="KM56">
        <v>135.7060132022126</v>
      </c>
      <c r="KN56">
        <v>135.58801833927001</v>
      </c>
      <c r="KO56">
        <v>135.90215812220831</v>
      </c>
      <c r="KP56">
        <v>136.17661196337849</v>
      </c>
      <c r="KQ56">
        <v>136.03073590979969</v>
      </c>
      <c r="KR56">
        <v>136.26287143797299</v>
      </c>
      <c r="KS56">
        <v>135.63760370620349</v>
      </c>
      <c r="KT56">
        <v>135.68860261613091</v>
      </c>
      <c r="KU56">
        <v>135.40250184114939</v>
      </c>
      <c r="KV56">
        <v>135.87869456108351</v>
      </c>
      <c r="KW56">
        <v>135.5197739337132</v>
      </c>
      <c r="KX56">
        <v>135.52656530196319</v>
      </c>
      <c r="KY56">
        <v>135.43853895213749</v>
      </c>
      <c r="KZ56">
        <v>133.78595327910131</v>
      </c>
      <c r="LA56">
        <v>133.74409733146589</v>
      </c>
      <c r="LB56">
        <v>133.75275041694539</v>
      </c>
      <c r="LC56">
        <v>134.13661729952261</v>
      </c>
      <c r="LD56">
        <v>137.46339716358469</v>
      </c>
      <c r="LE56">
        <v>139.42829099751441</v>
      </c>
      <c r="LF56">
        <v>134.11139731222471</v>
      </c>
      <c r="LG56">
        <v>133.30603094569901</v>
      </c>
      <c r="LH56">
        <v>133.80083039026209</v>
      </c>
      <c r="LI56">
        <v>133.66975795357689</v>
      </c>
      <c r="LJ56">
        <v>133.874363296811</v>
      </c>
      <c r="LK56">
        <v>133.6560055521087</v>
      </c>
      <c r="LL56">
        <v>133.53860525365789</v>
      </c>
      <c r="LM56">
        <v>133.8353561387303</v>
      </c>
      <c r="LN56">
        <v>134.20811424371709</v>
      </c>
      <c r="LO56">
        <v>133.67748566041789</v>
      </c>
      <c r="LP56">
        <v>133.88919513882229</v>
      </c>
      <c r="LQ56">
        <v>133.6331530974785</v>
      </c>
      <c r="LR56">
        <v>134.1529443301539</v>
      </c>
      <c r="LS56">
        <v>132.50144017130921</v>
      </c>
      <c r="LT56">
        <v>131.94305935880851</v>
      </c>
      <c r="LU56">
        <v>132.83698471968199</v>
      </c>
      <c r="LV56">
        <v>132.67270636799211</v>
      </c>
      <c r="LW56">
        <v>132.8207353080434</v>
      </c>
      <c r="LX56">
        <v>133.0436712750699</v>
      </c>
      <c r="LY56">
        <v>132.4305740002946</v>
      </c>
      <c r="LZ56">
        <v>132.7670590660527</v>
      </c>
      <c r="MA56">
        <v>131.71045680404131</v>
      </c>
      <c r="MB56">
        <v>132.14389434171559</v>
      </c>
      <c r="MC56">
        <v>131.74631520772371</v>
      </c>
      <c r="MD56">
        <v>131.84227409390951</v>
      </c>
      <c r="ME56">
        <v>132.210160178244</v>
      </c>
      <c r="MF56">
        <v>132.89645886212961</v>
      </c>
      <c r="MG56">
        <v>133.50612270044621</v>
      </c>
      <c r="MH56">
        <v>134.19693675457361</v>
      </c>
      <c r="MI56">
        <v>133.36560971555161</v>
      </c>
      <c r="MJ56">
        <v>133.6710338186879</v>
      </c>
      <c r="MK56">
        <v>133.61689455728151</v>
      </c>
      <c r="ML56">
        <v>133.35443112188679</v>
      </c>
      <c r="MM56">
        <v>134.30820722351521</v>
      </c>
      <c r="MN56">
        <v>134.8290100677072</v>
      </c>
      <c r="MO56">
        <v>134.80590930239711</v>
      </c>
      <c r="MP56">
        <v>134.7952142458596</v>
      </c>
      <c r="MQ56">
        <v>134.85036025138069</v>
      </c>
      <c r="MR56">
        <v>134.41920458959649</v>
      </c>
      <c r="MS56">
        <v>134.35175026365849</v>
      </c>
      <c r="MT56">
        <v>134.28973306708261</v>
      </c>
      <c r="MU56">
        <v>134.32460914414941</v>
      </c>
      <c r="MV56">
        <v>134.49661201914989</v>
      </c>
      <c r="MW56">
        <v>134.4875616851524</v>
      </c>
      <c r="MX56">
        <v>134.6438333466875</v>
      </c>
      <c r="MY56">
        <v>134.9798917204688</v>
      </c>
      <c r="MZ56">
        <v>135.9058366722046</v>
      </c>
      <c r="NA56">
        <v>135.82482737340521</v>
      </c>
      <c r="NB56">
        <v>136.2048675282347</v>
      </c>
      <c r="NC56">
        <v>135.76313778131529</v>
      </c>
      <c r="ND56">
        <v>135.52932981708429</v>
      </c>
      <c r="NE56">
        <v>135.86051559171901</v>
      </c>
      <c r="NF56">
        <v>136.33597747618441</v>
      </c>
      <c r="NG56">
        <v>136.9218297435736</v>
      </c>
      <c r="NH56">
        <v>136.20696770060181</v>
      </c>
      <c r="NI56">
        <v>135.8746201291379</v>
      </c>
      <c r="NJ56">
        <v>135.91764385431159</v>
      </c>
      <c r="NK56">
        <v>136.44405386211591</v>
      </c>
      <c r="NL56">
        <v>136.0850008274557</v>
      </c>
      <c r="NM56">
        <v>135.88454460761471</v>
      </c>
      <c r="NN56">
        <v>135.82357190244011</v>
      </c>
      <c r="NO56">
        <v>137.0315842627621</v>
      </c>
      <c r="NP56">
        <v>137.5611266795344</v>
      </c>
      <c r="NQ56">
        <v>137.99030944490389</v>
      </c>
      <c r="NR56">
        <v>138.0479011267503</v>
      </c>
      <c r="NS56">
        <v>138.3705598626938</v>
      </c>
      <c r="NT56">
        <v>139.18298669664961</v>
      </c>
      <c r="NU56">
        <v>138.48375196941601</v>
      </c>
      <c r="NV56">
        <v>139.0091738857235</v>
      </c>
      <c r="NW56">
        <v>138.37506442941529</v>
      </c>
      <c r="NX56">
        <v>139.28394636790071</v>
      </c>
      <c r="NY56">
        <v>139.58481526399819</v>
      </c>
      <c r="NZ56">
        <v>139.97222032478899</v>
      </c>
      <c r="OA56">
        <v>139.73467912197569</v>
      </c>
      <c r="OB56">
        <v>140.02414439907329</v>
      </c>
      <c r="OC56">
        <v>140.70576188527909</v>
      </c>
      <c r="OD56">
        <v>140.5563831266013</v>
      </c>
      <c r="OE56">
        <v>140.40430845284939</v>
      </c>
      <c r="OF56">
        <v>140.31575241153311</v>
      </c>
      <c r="OG56">
        <v>140.36301204136561</v>
      </c>
      <c r="OH56">
        <v>140.2430287436521</v>
      </c>
      <c r="OI56">
        <v>138.93595819078479</v>
      </c>
      <c r="OJ56">
        <v>139.7670605625743</v>
      </c>
      <c r="OK56">
        <v>140.15123032518679</v>
      </c>
      <c r="OL56">
        <v>140.12395701273499</v>
      </c>
      <c r="OM56">
        <v>140.98076797937901</v>
      </c>
      <c r="ON56">
        <v>140.64654549928181</v>
      </c>
      <c r="OO56">
        <v>140.62135431326649</v>
      </c>
      <c r="OP56">
        <v>140.0248836657731</v>
      </c>
      <c r="OQ56">
        <v>140.38811861302861</v>
      </c>
      <c r="OR56">
        <v>140.44392647380249</v>
      </c>
      <c r="OS56">
        <v>140.6317614357213</v>
      </c>
      <c r="OT56">
        <v>140.7476918163685</v>
      </c>
      <c r="OU56">
        <v>141.13496403421661</v>
      </c>
      <c r="OV56">
        <v>141.0139244381354</v>
      </c>
      <c r="OW56">
        <v>141.15606456297101</v>
      </c>
      <c r="OX56">
        <v>140.7968976083512</v>
      </c>
      <c r="OY56">
        <v>140.0494902619138</v>
      </c>
      <c r="OZ56">
        <v>140.9664104640907</v>
      </c>
      <c r="PA56">
        <v>140.65471287730321</v>
      </c>
      <c r="PB56">
        <v>140.70402584082979</v>
      </c>
      <c r="PC56">
        <v>140.868553914806</v>
      </c>
      <c r="PD56">
        <v>140.3837519050762</v>
      </c>
      <c r="PE56">
        <v>140.558501535809</v>
      </c>
      <c r="PF56">
        <v>140.49859264855061</v>
      </c>
      <c r="PG56">
        <v>140.52361662111051</v>
      </c>
      <c r="PH56">
        <v>140.67915154168341</v>
      </c>
      <c r="PI56">
        <v>140.76615810810691</v>
      </c>
      <c r="PJ56">
        <v>140.4700491247655</v>
      </c>
      <c r="PK56">
        <v>140.4529532131005</v>
      </c>
      <c r="PL56">
        <v>140.2678995987807</v>
      </c>
      <c r="PM56">
        <v>140.23914452346349</v>
      </c>
      <c r="PN56">
        <v>140.17991685812731</v>
      </c>
      <c r="PO56">
        <v>140.21502919856971</v>
      </c>
      <c r="PP56">
        <v>139.99242908436531</v>
      </c>
      <c r="PQ56">
        <v>139.78258596784951</v>
      </c>
      <c r="PR56">
        <v>140.22598832938439</v>
      </c>
      <c r="PS56">
        <v>140.3331494604985</v>
      </c>
      <c r="PT56">
        <v>140.45516432696769</v>
      </c>
      <c r="PU56">
        <v>141.49831057950419</v>
      </c>
      <c r="PV56">
        <v>141.13057289199699</v>
      </c>
      <c r="PW56">
        <v>141.77604409635569</v>
      </c>
      <c r="PX56">
        <v>140.7576719864993</v>
      </c>
      <c r="PY56">
        <v>140.2739789854231</v>
      </c>
      <c r="PZ56">
        <v>140.97840669497509</v>
      </c>
      <c r="QA56">
        <v>141.6463490985561</v>
      </c>
      <c r="QB56">
        <v>143.69142542092291</v>
      </c>
      <c r="QC56">
        <v>140.73885938209881</v>
      </c>
      <c r="QD56">
        <v>140.00795567917959</v>
      </c>
      <c r="QE56">
        <v>139.19985824360469</v>
      </c>
      <c r="QF56">
        <v>139.18527920394621</v>
      </c>
      <c r="QG56">
        <v>140.020207619556</v>
      </c>
      <c r="QH56">
        <v>138.38253534918661</v>
      </c>
      <c r="QI56">
        <v>138.2451418613403</v>
      </c>
      <c r="QJ56">
        <v>138.24099542941991</v>
      </c>
      <c r="QK56">
        <v>139.5254512393609</v>
      </c>
      <c r="QL56">
        <v>140.22437754762279</v>
      </c>
      <c r="QM56">
        <v>140.68261768100979</v>
      </c>
      <c r="QN56">
        <v>140.9828084311788</v>
      </c>
      <c r="QO56">
        <v>140.89705867428219</v>
      </c>
      <c r="QP56">
        <v>140.68486318482709</v>
      </c>
      <c r="QQ56">
        <v>140.13427613350461</v>
      </c>
      <c r="QR56">
        <v>140.45491469742589</v>
      </c>
      <c r="QS56">
        <v>140.7117785022846</v>
      </c>
      <c r="QT56">
        <v>140.66406049668541</v>
      </c>
      <c r="QU56">
        <v>140.62021001534171</v>
      </c>
      <c r="QV56">
        <v>140.52847682434779</v>
      </c>
      <c r="QW56">
        <v>140.50541368959779</v>
      </c>
      <c r="QX56">
        <v>133.52796103932701</v>
      </c>
      <c r="QY56">
        <v>132.645493700343</v>
      </c>
      <c r="QZ56">
        <v>132.3732979883805</v>
      </c>
      <c r="RA56">
        <v>132.4250000610617</v>
      </c>
      <c r="RB56">
        <v>133.2809690768114</v>
      </c>
      <c r="RC56">
        <v>131.2822353173591</v>
      </c>
      <c r="RD56">
        <v>131.34722025310981</v>
      </c>
      <c r="RE56">
        <v>131.29705156278661</v>
      </c>
      <c r="RF56">
        <v>132.6177306213886</v>
      </c>
      <c r="RG56">
        <v>133.02741164355419</v>
      </c>
      <c r="RH56">
        <v>133.02142344569469</v>
      </c>
      <c r="RI56">
        <v>132.48846820257239</v>
      </c>
      <c r="RJ56">
        <v>134.0470214969246</v>
      </c>
      <c r="RK56">
        <v>135.47196529132421</v>
      </c>
      <c r="RL56">
        <v>136.39111407934399</v>
      </c>
      <c r="RM56">
        <v>136.02371273379839</v>
      </c>
      <c r="RN56">
        <v>135.5207466507035</v>
      </c>
      <c r="RO56">
        <v>135.72061199404521</v>
      </c>
      <c r="RP56">
        <v>136.13500375742629</v>
      </c>
      <c r="RQ56">
        <v>137.35776187830419</v>
      </c>
      <c r="RR56">
        <v>137.10874452646749</v>
      </c>
      <c r="RS56">
        <v>136.54660029919191</v>
      </c>
      <c r="RT56">
        <v>137.04499523826789</v>
      </c>
      <c r="RU56">
        <v>136.55079603932731</v>
      </c>
      <c r="RV56">
        <v>136.82540900328721</v>
      </c>
      <c r="RW56">
        <v>138.0719204480682</v>
      </c>
      <c r="RX56">
        <v>137.47561090050951</v>
      </c>
      <c r="RY56">
        <v>137.43680840800019</v>
      </c>
      <c r="RZ56">
        <v>136.49731768471869</v>
      </c>
      <c r="SA56">
        <v>136.31331390844221</v>
      </c>
      <c r="SB56">
        <v>136.19599361927021</v>
      </c>
      <c r="SC56">
        <v>137.24441537820621</v>
      </c>
      <c r="SD56">
        <v>136.43298885106799</v>
      </c>
      <c r="SE56">
        <v>137.959353246864</v>
      </c>
      <c r="SF56">
        <v>136.6736685257257</v>
      </c>
      <c r="SG56">
        <v>137.02263516795969</v>
      </c>
      <c r="SH56">
        <v>136.2607790748456</v>
      </c>
      <c r="SI56">
        <v>136.3272457855474</v>
      </c>
      <c r="SJ56">
        <v>137.40346425010489</v>
      </c>
      <c r="SK56">
        <v>135.24513764046119</v>
      </c>
      <c r="SL56">
        <v>137.07041220650291</v>
      </c>
      <c r="SM56">
        <v>137.6146158416463</v>
      </c>
      <c r="SN56">
        <v>137.69983987172529</v>
      </c>
      <c r="SO56">
        <v>138.10551098557971</v>
      </c>
      <c r="SP56">
        <v>137.6219146905448</v>
      </c>
      <c r="SQ56">
        <v>138.704134650349</v>
      </c>
      <c r="SR56">
        <v>138.527971416767</v>
      </c>
      <c r="SS56">
        <v>138.3367917059243</v>
      </c>
      <c r="ST56">
        <v>139.11007690085401</v>
      </c>
      <c r="SU56">
        <v>139.07685534963761</v>
      </c>
      <c r="SV56">
        <v>139.76142590902751</v>
      </c>
      <c r="SW56">
        <v>140.496460734089</v>
      </c>
      <c r="SX56">
        <v>139.9672504490822</v>
      </c>
      <c r="SY56">
        <v>140.05095976421461</v>
      </c>
      <c r="SZ56">
        <v>139.14583340872159</v>
      </c>
      <c r="TA56">
        <v>138.88804273731651</v>
      </c>
      <c r="TB56">
        <v>138.14304392700191</v>
      </c>
      <c r="TC56">
        <v>139.33153425936521</v>
      </c>
      <c r="TD56">
        <v>139.22938754851461</v>
      </c>
      <c r="TE56">
        <v>137.3253220576689</v>
      </c>
      <c r="TF56">
        <v>135.52269299635239</v>
      </c>
      <c r="TG56">
        <v>136.57539806382289</v>
      </c>
      <c r="TH56">
        <v>137.36599399290071</v>
      </c>
      <c r="TI56">
        <v>138.27781729056889</v>
      </c>
      <c r="TJ56">
        <v>138.30471950228841</v>
      </c>
      <c r="TK56">
        <v>139.22900160108631</v>
      </c>
      <c r="TL56">
        <v>139.81056388848631</v>
      </c>
      <c r="TM56">
        <v>140.10398109009611</v>
      </c>
      <c r="TN56">
        <v>139.5190890929378</v>
      </c>
      <c r="TO56">
        <v>140.74558405114419</v>
      </c>
      <c r="TP56">
        <v>139.51141967036639</v>
      </c>
      <c r="TQ56">
        <v>139.47066070955279</v>
      </c>
      <c r="TR56">
        <v>140.4897211759484</v>
      </c>
      <c r="TS56">
        <v>140.2025013508057</v>
      </c>
      <c r="TT56">
        <v>140.12303179445209</v>
      </c>
      <c r="TU56">
        <v>140.77688837650049</v>
      </c>
      <c r="TV56">
        <v>140.05498054435651</v>
      </c>
      <c r="TW56">
        <v>140.11899540730349</v>
      </c>
      <c r="TX56">
        <v>140.71789948924149</v>
      </c>
      <c r="TY56">
        <v>139.85614330319359</v>
      </c>
      <c r="TZ56">
        <v>139.66968144747921</v>
      </c>
      <c r="UA56">
        <v>139.8739320019711</v>
      </c>
      <c r="UB56">
        <v>140.16577922406819</v>
      </c>
      <c r="UC56">
        <v>140.41078225336119</v>
      </c>
      <c r="UD56">
        <v>139.33962427651599</v>
      </c>
      <c r="UE56">
        <v>138.9555102329472</v>
      </c>
      <c r="UF56">
        <v>139.56826314863781</v>
      </c>
      <c r="UG56">
        <v>139.98671768362891</v>
      </c>
      <c r="UH56">
        <v>139.84419853190889</v>
      </c>
      <c r="UI56">
        <v>138.57285177677289</v>
      </c>
      <c r="UJ56">
        <v>140.5668087210592</v>
      </c>
      <c r="UK56">
        <v>139.46576961131831</v>
      </c>
      <c r="UL56">
        <v>139.63622716706161</v>
      </c>
      <c r="UM56">
        <v>140.00037052156591</v>
      </c>
      <c r="UN56">
        <v>139.4811760138459</v>
      </c>
      <c r="UO56">
        <v>138.79057287382841</v>
      </c>
      <c r="UP56">
        <v>138.16241665367841</v>
      </c>
      <c r="UQ56">
        <v>138.63452041382419</v>
      </c>
      <c r="UR56">
        <v>139.3106493099215</v>
      </c>
      <c r="US56">
        <v>139.82254521088319</v>
      </c>
      <c r="UT56">
        <v>137.19484636632461</v>
      </c>
      <c r="UU56">
        <v>137.81731776187539</v>
      </c>
      <c r="UV56">
        <v>137.92980495006429</v>
      </c>
      <c r="UW56">
        <v>137.98582609064829</v>
      </c>
      <c r="UX56">
        <v>138.4218316889031</v>
      </c>
      <c r="UY56">
        <v>138.00990093798961</v>
      </c>
      <c r="UZ56">
        <v>138.59984136835769</v>
      </c>
      <c r="VA56">
        <v>138.6174161690401</v>
      </c>
      <c r="VB56">
        <v>138.0199687779423</v>
      </c>
      <c r="VC56">
        <v>137.73751124790681</v>
      </c>
      <c r="VD56">
        <v>136.40004818869971</v>
      </c>
      <c r="VE56">
        <v>135.91767262318911</v>
      </c>
      <c r="VF56">
        <v>134.7754699381255</v>
      </c>
      <c r="VG56">
        <v>135.2688392788591</v>
      </c>
      <c r="VH56">
        <v>137.08840301724331</v>
      </c>
      <c r="VI56">
        <v>136.77258028957641</v>
      </c>
      <c r="VJ56">
        <v>137.23065339761811</v>
      </c>
      <c r="VK56">
        <v>137.78414548548059</v>
      </c>
      <c r="VL56">
        <v>138.37773286851561</v>
      </c>
      <c r="VM56">
        <v>137.81637860443689</v>
      </c>
      <c r="VN56">
        <v>138.94069533189349</v>
      </c>
      <c r="VO56">
        <v>138.7883375268232</v>
      </c>
      <c r="VP56">
        <v>139.15378658630061</v>
      </c>
      <c r="VQ56">
        <v>137.4799319711174</v>
      </c>
      <c r="VR56">
        <v>138.35843555223221</v>
      </c>
      <c r="VS56">
        <v>139.59958487578049</v>
      </c>
      <c r="VT56">
        <v>138.4580920792439</v>
      </c>
      <c r="VU56">
        <v>138.56746841564171</v>
      </c>
      <c r="VV56">
        <v>139.06527417417189</v>
      </c>
      <c r="VW56">
        <v>138.41578616962849</v>
      </c>
      <c r="VX56">
        <v>138.7256104462727</v>
      </c>
      <c r="VY56">
        <v>139.71721143259489</v>
      </c>
      <c r="VZ56">
        <v>138.28941394279741</v>
      </c>
      <c r="WA56">
        <v>137.71547033423889</v>
      </c>
      <c r="WB56">
        <v>138.3672285852671</v>
      </c>
      <c r="WC56">
        <v>138.58749292315801</v>
      </c>
      <c r="WD56">
        <v>137.92115801325269</v>
      </c>
      <c r="WE56">
        <v>136.79389707521511</v>
      </c>
      <c r="WF56">
        <v>138.11396046531809</v>
      </c>
      <c r="WG56">
        <v>138.94403116915021</v>
      </c>
      <c r="WH56">
        <v>138.52295094859861</v>
      </c>
      <c r="WI56">
        <v>138.17610982568189</v>
      </c>
      <c r="WJ56">
        <v>137.61202034883561</v>
      </c>
      <c r="WK56">
        <v>138.01156059058849</v>
      </c>
      <c r="WL56">
        <v>138.21010257726519</v>
      </c>
      <c r="WM56">
        <v>138.31826088554769</v>
      </c>
      <c r="WN56">
        <v>137.71369185897481</v>
      </c>
      <c r="WO56">
        <v>137.71409637235769</v>
      </c>
      <c r="WP56">
        <v>137.093856170734</v>
      </c>
      <c r="WQ56">
        <v>137.6651789941867</v>
      </c>
      <c r="WR56">
        <v>136.8848796122939</v>
      </c>
      <c r="WS56">
        <v>137.49329001062699</v>
      </c>
      <c r="WT56">
        <v>137.0130915088769</v>
      </c>
      <c r="WU56">
        <v>137.54440099027161</v>
      </c>
      <c r="WV56">
        <v>137.54362875881191</v>
      </c>
      <c r="WW56">
        <v>137.8886442556215</v>
      </c>
      <c r="WX56">
        <v>137.4613379286518</v>
      </c>
      <c r="WY56">
        <v>138.3490742355734</v>
      </c>
      <c r="WZ56">
        <v>137.56724052600671</v>
      </c>
      <c r="XA56">
        <v>136.04642716801629</v>
      </c>
      <c r="XB56">
        <v>136.36216980691881</v>
      </c>
      <c r="XC56">
        <v>136.3753182530964</v>
      </c>
      <c r="XD56">
        <v>137.1249059648267</v>
      </c>
      <c r="XE56">
        <v>137.37007266989201</v>
      </c>
      <c r="XF56">
        <v>137.20710338900929</v>
      </c>
      <c r="XG56">
        <v>134.93711236608081</v>
      </c>
      <c r="XH56">
        <v>134.61794474057021</v>
      </c>
      <c r="XI56">
        <v>135.99783424704259</v>
      </c>
      <c r="XJ56">
        <v>136.79447264064959</v>
      </c>
      <c r="XK56">
        <v>136.98916345193251</v>
      </c>
      <c r="XL56">
        <v>136.99680511731259</v>
      </c>
      <c r="XM56">
        <v>137.55282377818031</v>
      </c>
      <c r="XN56">
        <v>137.15736342275861</v>
      </c>
      <c r="XO56">
        <v>137.60552564767889</v>
      </c>
      <c r="XP56">
        <v>136.52896528492829</v>
      </c>
      <c r="XQ56">
        <v>137.2674185239776</v>
      </c>
      <c r="XR56">
        <v>137.31414363363069</v>
      </c>
      <c r="XS56">
        <v>136.93888028321771</v>
      </c>
      <c r="XT56">
        <v>136.9629784687254</v>
      </c>
      <c r="XU56">
        <v>137.52383432270631</v>
      </c>
      <c r="XV56">
        <v>137.26863829440029</v>
      </c>
      <c r="XW56">
        <v>137.42659181211559</v>
      </c>
      <c r="XX56">
        <v>137.31902967985931</v>
      </c>
      <c r="XY56">
        <v>137.00689787184371</v>
      </c>
      <c r="XZ56">
        <v>138.32669268358441</v>
      </c>
      <c r="YA56">
        <v>137.38940875828311</v>
      </c>
      <c r="YB56">
        <v>136.79273120182211</v>
      </c>
      <c r="YC56">
        <v>137.24198787258391</v>
      </c>
      <c r="YD56">
        <v>136.99334412323961</v>
      </c>
      <c r="YE56">
        <v>137.22478824570081</v>
      </c>
      <c r="YF56">
        <v>137.04386666171879</v>
      </c>
      <c r="YG56">
        <v>136.9200784288615</v>
      </c>
      <c r="YH56">
        <v>136.93049395342709</v>
      </c>
      <c r="YI56">
        <v>136.94987948507369</v>
      </c>
      <c r="YJ56">
        <v>136.18526888203951</v>
      </c>
      <c r="YK56">
        <v>135.83884791986759</v>
      </c>
      <c r="YL56">
        <v>136.56371411886121</v>
      </c>
      <c r="YM56">
        <v>136.8737905533402</v>
      </c>
      <c r="YN56">
        <v>137.2697629816175</v>
      </c>
      <c r="YO56">
        <v>136.3876400494249</v>
      </c>
      <c r="YP56">
        <v>137.17745086759669</v>
      </c>
      <c r="YQ56">
        <v>136.42906150737929</v>
      </c>
      <c r="YR56">
        <v>136.52257822967101</v>
      </c>
      <c r="YS56">
        <v>136.59680121923961</v>
      </c>
      <c r="YT56">
        <v>136.64441170961439</v>
      </c>
      <c r="YU56">
        <v>137.04634681421271</v>
      </c>
      <c r="YV56">
        <v>136.65582384017509</v>
      </c>
      <c r="YW56">
        <v>136.96901803249409</v>
      </c>
      <c r="YX56">
        <v>136.77570256647351</v>
      </c>
      <c r="YY56">
        <v>136.4866700463937</v>
      </c>
      <c r="YZ56">
        <v>137.4519126936722</v>
      </c>
      <c r="ZA56">
        <v>135.51408256583619</v>
      </c>
      <c r="ZB56">
        <v>135.76843787372741</v>
      </c>
      <c r="ZC56">
        <v>135.87322917348791</v>
      </c>
      <c r="ZD56">
        <v>136.53205387577131</v>
      </c>
      <c r="ZE56">
        <v>136.63919487464381</v>
      </c>
      <c r="ZF56">
        <v>136.404814743321</v>
      </c>
      <c r="ZG56">
        <v>136.70040982561659</v>
      </c>
      <c r="ZH56">
        <v>135.06389415743811</v>
      </c>
      <c r="ZI56">
        <v>135.34680200455841</v>
      </c>
      <c r="ZJ56">
        <v>135.76208703355519</v>
      </c>
      <c r="ZK56">
        <v>135.7139529474079</v>
      </c>
      <c r="ZL56">
        <v>135.83608242607201</v>
      </c>
      <c r="ZM56">
        <v>135.15441408991401</v>
      </c>
      <c r="ZN56">
        <v>135.76781152163389</v>
      </c>
      <c r="ZO56">
        <v>135.78654517607421</v>
      </c>
      <c r="ZP56">
        <v>136.33745331007191</v>
      </c>
      <c r="ZQ56">
        <v>137.72567057813481</v>
      </c>
      <c r="ZR56">
        <v>137.65525740014749</v>
      </c>
      <c r="ZS56">
        <v>138.2953707846263</v>
      </c>
      <c r="ZT56">
        <v>138.83395143402751</v>
      </c>
      <c r="ZU56">
        <v>138.88459353206571</v>
      </c>
      <c r="ZV56">
        <v>139.0514298500097</v>
      </c>
      <c r="ZW56">
        <v>139.61527407862019</v>
      </c>
      <c r="ZX56">
        <v>138.74370154233591</v>
      </c>
      <c r="ZY56">
        <v>139.84837790622231</v>
      </c>
      <c r="ZZ56">
        <v>138.95342095709779</v>
      </c>
      <c r="AAA56">
        <v>139.3678511211773</v>
      </c>
      <c r="AAB56">
        <v>139.24450578530261</v>
      </c>
      <c r="AAC56">
        <v>139.34566193888881</v>
      </c>
      <c r="AAD56">
        <v>139.34263012219759</v>
      </c>
      <c r="AAE56">
        <v>138.79230373711351</v>
      </c>
      <c r="AAF56">
        <v>139.2779370334078</v>
      </c>
      <c r="AAG56">
        <v>138.4577541899699</v>
      </c>
      <c r="AAH56">
        <v>138.04757556287831</v>
      </c>
      <c r="AAI56">
        <v>138.4325302250696</v>
      </c>
      <c r="AAJ56">
        <v>138.10946795521161</v>
      </c>
      <c r="AAK56">
        <v>138.2800152711153</v>
      </c>
      <c r="AAL56">
        <v>138.56333729713711</v>
      </c>
      <c r="AAM56">
        <v>137.65728672644829</v>
      </c>
      <c r="AAN56">
        <v>137.43186944181789</v>
      </c>
      <c r="AAO56">
        <v>137.0141841806898</v>
      </c>
      <c r="AAP56">
        <v>137.85026715279821</v>
      </c>
      <c r="AAQ56">
        <v>137.47954375657099</v>
      </c>
      <c r="AAR56">
        <v>136.68891403086781</v>
      </c>
      <c r="AAS56">
        <v>136.7100238922597</v>
      </c>
      <c r="AAT56">
        <v>136.57883096355539</v>
      </c>
      <c r="AAU56">
        <v>136.2107615973292</v>
      </c>
      <c r="AAV56">
        <v>136.49710502800329</v>
      </c>
      <c r="AAW56">
        <v>136.72252443300891</v>
      </c>
      <c r="AAX56">
        <v>137.16516233161721</v>
      </c>
      <c r="AAY56">
        <v>137.04159534981989</v>
      </c>
      <c r="AAZ56">
        <v>137.0397818378481</v>
      </c>
      <c r="ABA56">
        <v>136.43820567105601</v>
      </c>
      <c r="ABB56">
        <v>136.26259676032791</v>
      </c>
      <c r="ABC56">
        <v>136.2381542701838</v>
      </c>
      <c r="ABD56">
        <v>136.31884014317509</v>
      </c>
      <c r="ABE56">
        <v>135.43505256985921</v>
      </c>
      <c r="ABF56">
        <v>135.69216869794991</v>
      </c>
      <c r="ABG56">
        <v>135.1381357993921</v>
      </c>
      <c r="ABH56">
        <v>134.88327913816741</v>
      </c>
      <c r="ABI56">
        <v>134.90722636001149</v>
      </c>
      <c r="ABJ56">
        <v>135.25801088990181</v>
      </c>
      <c r="ABK56">
        <v>134.64324505806161</v>
      </c>
      <c r="ABL56">
        <v>135.65355575866161</v>
      </c>
      <c r="ABM56">
        <v>135.55091135702099</v>
      </c>
      <c r="ABN56">
        <v>135.78727323329761</v>
      </c>
      <c r="ABO56">
        <v>135.59248327719001</v>
      </c>
      <c r="ABP56">
        <v>136.1363360229104</v>
      </c>
      <c r="ABQ56">
        <v>135.8058953296574</v>
      </c>
      <c r="ABR56">
        <v>136.41979233959739</v>
      </c>
      <c r="ABS56">
        <v>135.7471981913761</v>
      </c>
      <c r="ABT56">
        <v>136.0129629209178</v>
      </c>
      <c r="ABU56">
        <v>135.30916845610241</v>
      </c>
      <c r="ABV56">
        <v>135.92513666081399</v>
      </c>
      <c r="ABW56">
        <v>135.29819748858031</v>
      </c>
      <c r="ABX56">
        <v>135.35200555786739</v>
      </c>
      <c r="ABY56">
        <v>135.86432020644679</v>
      </c>
      <c r="ABZ56">
        <v>134.6560511258796</v>
      </c>
      <c r="ACA56">
        <v>133.62597276919351</v>
      </c>
      <c r="ACB56">
        <v>134.2156159333868</v>
      </c>
      <c r="ACC56">
        <v>133.40328804098669</v>
      </c>
      <c r="ACD56">
        <v>133.85702433665901</v>
      </c>
      <c r="ACE56">
        <v>143.084013474589</v>
      </c>
      <c r="ACF56">
        <v>134.7321608756892</v>
      </c>
      <c r="ACG56">
        <v>133.4319252570881</v>
      </c>
      <c r="ACH56">
        <v>133.68818227980751</v>
      </c>
      <c r="ACI56">
        <v>133.81432205595709</v>
      </c>
      <c r="ACJ56">
        <v>133.83340041702601</v>
      </c>
      <c r="ACK56">
        <v>133.48923473110699</v>
      </c>
      <c r="ACL56">
        <v>133.54253965112511</v>
      </c>
      <c r="ACM56">
        <v>133.9606585343829</v>
      </c>
      <c r="ACN56">
        <v>133.65081916075161</v>
      </c>
      <c r="ACO56">
        <v>134.13026673080509</v>
      </c>
      <c r="ACP56">
        <v>133.68572367045181</v>
      </c>
      <c r="ACQ56">
        <v>133.76540551425899</v>
      </c>
      <c r="ACR56">
        <v>133.9700286893918</v>
      </c>
      <c r="ACS56">
        <v>133.16141930847431</v>
      </c>
      <c r="ACT56">
        <v>132.41526643873189</v>
      </c>
      <c r="ACU56">
        <v>132.1756768748794</v>
      </c>
      <c r="ACV56">
        <v>132.91851588507109</v>
      </c>
      <c r="ACW56">
        <v>132.77279584223629</v>
      </c>
      <c r="ACX56">
        <v>132.744136700643</v>
      </c>
      <c r="ACY56">
        <v>132.99542990656639</v>
      </c>
      <c r="ACZ56">
        <v>132.11629581560649</v>
      </c>
      <c r="ADA56">
        <v>132.56357180214661</v>
      </c>
      <c r="ADB56">
        <v>132.34535110103471</v>
      </c>
      <c r="ADC56">
        <v>131.7467205105485</v>
      </c>
      <c r="ADD56">
        <v>131.8407602563509</v>
      </c>
      <c r="ADE56">
        <v>132.8130965861547</v>
      </c>
      <c r="ADF56">
        <v>132.9897737335682</v>
      </c>
      <c r="ADG56">
        <v>133.73219544144919</v>
      </c>
      <c r="ADH56">
        <v>133.8669798107164</v>
      </c>
      <c r="ADI56">
        <v>133.35335226955269</v>
      </c>
      <c r="ADJ56">
        <v>133.7225835035687</v>
      </c>
      <c r="ADK56">
        <v>133.30077337872851</v>
      </c>
      <c r="ADL56">
        <v>133.53184354687011</v>
      </c>
      <c r="ADM56">
        <v>134.77298825719231</v>
      </c>
      <c r="ADN56">
        <v>134.95147558210459</v>
      </c>
      <c r="ADO56">
        <v>134.89141740032721</v>
      </c>
      <c r="ADP56">
        <v>134.73403447039459</v>
      </c>
      <c r="ADQ56">
        <v>134.68728225673661</v>
      </c>
      <c r="ADR56">
        <v>134.30806651996289</v>
      </c>
      <c r="ADS56">
        <v>134.34097922686871</v>
      </c>
      <c r="ADT56">
        <v>134.73185004780811</v>
      </c>
      <c r="ADU56">
        <v>133.9227640054649</v>
      </c>
      <c r="ADV56">
        <v>134.58928768972569</v>
      </c>
      <c r="ADW56">
        <v>134.87671400522251</v>
      </c>
      <c r="ADX56">
        <v>134.68759339791251</v>
      </c>
      <c r="ADY56">
        <v>135.59058113270649</v>
      </c>
      <c r="ADZ56">
        <v>135.6080167093088</v>
      </c>
      <c r="AEA56">
        <v>136.16495414541379</v>
      </c>
      <c r="AEB56">
        <v>135.7090398923448</v>
      </c>
      <c r="AEC56">
        <v>135.80451360345009</v>
      </c>
      <c r="AED56">
        <v>135.64737742814489</v>
      </c>
      <c r="AEE56">
        <v>135.98384503498951</v>
      </c>
      <c r="AEF56">
        <v>136.5741284490737</v>
      </c>
      <c r="AEG56">
        <v>136.77295553846099</v>
      </c>
      <c r="AEH56">
        <v>136.1117565634969</v>
      </c>
      <c r="AEI56">
        <v>135.95866098551721</v>
      </c>
      <c r="AEJ56">
        <v>136.4239457709929</v>
      </c>
      <c r="AEK56">
        <v>135.90782374643931</v>
      </c>
      <c r="AEL56">
        <v>136.0339818216795</v>
      </c>
      <c r="AEM56">
        <v>135.85586439584699</v>
      </c>
      <c r="AEN56">
        <v>136.24791751649761</v>
      </c>
      <c r="AEO56">
        <v>137.30802417657131</v>
      </c>
      <c r="AEP56">
        <v>137.63150077486279</v>
      </c>
      <c r="AEQ56">
        <v>137.9212216504001</v>
      </c>
      <c r="AER56">
        <v>137.70606978604761</v>
      </c>
      <c r="AES56">
        <v>138.81013567474159</v>
      </c>
      <c r="AET56">
        <v>138.7527183273852</v>
      </c>
      <c r="AEU56">
        <v>138.81917025228549</v>
      </c>
      <c r="AEV56">
        <v>138.6761729463521</v>
      </c>
      <c r="AEW56">
        <v>138.82857198188611</v>
      </c>
      <c r="AEX56">
        <v>139.36878441473621</v>
      </c>
      <c r="AEY56">
        <v>139.7136540817209</v>
      </c>
      <c r="AEZ56">
        <v>140.06419456509039</v>
      </c>
      <c r="AFA56">
        <v>139.75637886397499</v>
      </c>
      <c r="AFB56">
        <v>140.31731192122089</v>
      </c>
      <c r="AFC56">
        <v>140.2434058066921</v>
      </c>
      <c r="AFD56">
        <v>141.04468796524071</v>
      </c>
      <c r="AFE56">
        <v>140.33443472666389</v>
      </c>
      <c r="AFF56">
        <v>140.30903581990449</v>
      </c>
      <c r="AFG56">
        <v>140.1252043289544</v>
      </c>
      <c r="AFH56">
        <v>139.6913853272433</v>
      </c>
      <c r="AFI56">
        <v>139.20161153542699</v>
      </c>
      <c r="AFJ56">
        <v>140.0609878347685</v>
      </c>
      <c r="AFK56">
        <v>140.08003345015791</v>
      </c>
      <c r="AFL56">
        <v>140.56072329308799</v>
      </c>
      <c r="AFM56">
        <v>140.7461464783145</v>
      </c>
      <c r="AFN56">
        <v>140.5942713524648</v>
      </c>
      <c r="AFO56">
        <v>140.36865171856141</v>
      </c>
      <c r="AFP56">
        <v>140.3891123570526</v>
      </c>
      <c r="AFQ56">
        <v>140.28348523355871</v>
      </c>
      <c r="AFR56">
        <v>140.34223320563191</v>
      </c>
      <c r="AFS56">
        <v>140.41290796559679</v>
      </c>
      <c r="AFT56">
        <v>141.0056577382276</v>
      </c>
      <c r="AFU56">
        <v>141.18820143644919</v>
      </c>
      <c r="AFV56">
        <v>141.35740250185489</v>
      </c>
      <c r="AFW56">
        <v>140.84748173287639</v>
      </c>
      <c r="AFX56">
        <v>139.91124021772589</v>
      </c>
      <c r="AFY56">
        <v>141.34291730861821</v>
      </c>
      <c r="AFZ56">
        <v>140.4478583012978</v>
      </c>
      <c r="AGA56">
        <v>140.3104310650217</v>
      </c>
      <c r="AGB56">
        <v>140.86318205450189</v>
      </c>
      <c r="AGC56">
        <v>140.7433334113305</v>
      </c>
      <c r="AGD56">
        <v>140.71060176645679</v>
      </c>
      <c r="AGE56">
        <v>140.5036980532179</v>
      </c>
      <c r="AGF56">
        <v>140.03866573476</v>
      </c>
      <c r="AGG56">
        <v>141.00849055992779</v>
      </c>
      <c r="AGH56">
        <v>140.7225110911007</v>
      </c>
      <c r="AGI56">
        <v>140.71093279043771</v>
      </c>
      <c r="AGJ56">
        <v>140.57346436523281</v>
      </c>
      <c r="AGK56">
        <v>140.0906773359653</v>
      </c>
      <c r="AGL56">
        <v>140.45943382127271</v>
      </c>
      <c r="AGM56">
        <v>139.8109790684905</v>
      </c>
      <c r="AGN56">
        <v>140.47023910493681</v>
      </c>
      <c r="AGO56">
        <v>140.0089071493706</v>
      </c>
      <c r="AGP56">
        <v>139.7827978105544</v>
      </c>
      <c r="AGQ56">
        <v>140.0335967063755</v>
      </c>
      <c r="AGR56">
        <v>140.1789254263106</v>
      </c>
      <c r="AGS56">
        <v>140.20383824026121</v>
      </c>
      <c r="AGT56">
        <v>141.2142309646068</v>
      </c>
      <c r="AGU56">
        <v>141.252879357979</v>
      </c>
      <c r="AGV56">
        <v>141.83446498025441</v>
      </c>
      <c r="AGW56">
        <v>141.43886031576309</v>
      </c>
      <c r="AGX56">
        <v>140.29330299550301</v>
      </c>
      <c r="AGY56">
        <v>140.68287280188781</v>
      </c>
      <c r="AGZ56">
        <v>140.88520717432769</v>
      </c>
      <c r="AHA56">
        <v>140.9572442232741</v>
      </c>
      <c r="AHB56">
        <v>141.28606531947489</v>
      </c>
      <c r="AHC56">
        <v>141.28606531947489</v>
      </c>
      <c r="AHD56">
        <v>140.0079556791795</v>
      </c>
      <c r="AHE56">
        <v>140.0079556791795</v>
      </c>
      <c r="AHF56">
        <v>139.19985824360469</v>
      </c>
      <c r="AHG56">
        <v>139.19985824360469</v>
      </c>
      <c r="AHH56">
        <v>139.18527920394621</v>
      </c>
      <c r="AHI56">
        <v>139.18527920394621</v>
      </c>
      <c r="AHJ56">
        <v>140.020207619556</v>
      </c>
      <c r="AHK56">
        <v>140.020207619556</v>
      </c>
      <c r="AHL56">
        <v>138.38253534918661</v>
      </c>
      <c r="AHM56">
        <v>138.38253534918661</v>
      </c>
      <c r="AHN56">
        <v>138.24514186134039</v>
      </c>
      <c r="AHO56">
        <v>138.24514186134039</v>
      </c>
      <c r="AHP56">
        <v>138.24099542941991</v>
      </c>
      <c r="AHQ56">
        <v>138.24099542941991</v>
      </c>
      <c r="AHR56">
        <v>139.5254512393609</v>
      </c>
      <c r="AHS56">
        <v>139.5254512393609</v>
      </c>
      <c r="AHT56">
        <v>140.22437754762271</v>
      </c>
      <c r="AHU56">
        <v>140.22437754762271</v>
      </c>
      <c r="AHV56">
        <v>140.68261768100979</v>
      </c>
      <c r="AHW56">
        <v>140.68261768100979</v>
      </c>
      <c r="AHX56">
        <v>140.9828084311788</v>
      </c>
      <c r="AHY56">
        <v>140.9828084311788</v>
      </c>
      <c r="AHZ56">
        <v>140.89705867428219</v>
      </c>
      <c r="AIA56">
        <v>140.89705867428219</v>
      </c>
      <c r="AIB56">
        <v>140.68486318482709</v>
      </c>
      <c r="AIC56">
        <v>140.68486318482709</v>
      </c>
      <c r="AID56">
        <v>140.13427613350461</v>
      </c>
      <c r="AIE56">
        <v>140.13427613350461</v>
      </c>
      <c r="AIF56">
        <v>140.45491469742581</v>
      </c>
      <c r="AIG56">
        <v>140.45491469742581</v>
      </c>
      <c r="AIH56">
        <v>140.7117785022846</v>
      </c>
      <c r="AII56">
        <v>140.7117785022846</v>
      </c>
      <c r="AIJ56">
        <v>140.66406049668549</v>
      </c>
      <c r="AIK56">
        <v>140.66406049668549</v>
      </c>
      <c r="AIL56">
        <v>140.6202100153418</v>
      </c>
      <c r="AIM56">
        <v>140.6202100153418</v>
      </c>
      <c r="AIN56">
        <v>140.52847682434779</v>
      </c>
      <c r="AIO56">
        <v>140.52847682434779</v>
      </c>
      <c r="AIP56">
        <v>140.50541368959779</v>
      </c>
      <c r="AIQ56">
        <v>140.50541368959779</v>
      </c>
      <c r="AIR56">
        <v>133.52796103932701</v>
      </c>
      <c r="AIS56">
        <v>133.52796103932701</v>
      </c>
      <c r="AIT56">
        <v>132.645493700343</v>
      </c>
      <c r="AIU56">
        <v>132.645493700343</v>
      </c>
      <c r="AIV56">
        <v>132.3732979883805</v>
      </c>
      <c r="AIW56">
        <v>132.3732979883805</v>
      </c>
      <c r="AIX56">
        <v>132.4250000610617</v>
      </c>
      <c r="AIY56">
        <v>132.4250000610617</v>
      </c>
      <c r="AIZ56">
        <v>133.2809690768114</v>
      </c>
      <c r="AJA56">
        <v>133.2809690768114</v>
      </c>
      <c r="AJB56">
        <v>131.28223531735901</v>
      </c>
      <c r="AJC56">
        <v>131.28223531735901</v>
      </c>
      <c r="AJD56">
        <v>131.34722025310981</v>
      </c>
      <c r="AJE56">
        <v>131.34722025310981</v>
      </c>
      <c r="AJF56">
        <v>131.29705156278661</v>
      </c>
      <c r="AJG56">
        <v>131.29705156278661</v>
      </c>
      <c r="AJH56">
        <v>132.6177306213886</v>
      </c>
      <c r="AJI56">
        <v>132.6177306213886</v>
      </c>
      <c r="AJJ56">
        <v>133.02741164355419</v>
      </c>
      <c r="AJK56">
        <v>133.02741164355419</v>
      </c>
      <c r="AJL56">
        <v>133.02142344569469</v>
      </c>
      <c r="AJM56">
        <v>133.02142344569469</v>
      </c>
      <c r="AJN56">
        <v>132.48846820257239</v>
      </c>
      <c r="AJO56">
        <v>132.48846820257239</v>
      </c>
      <c r="AJP56">
        <v>134.04702149692471</v>
      </c>
      <c r="AJQ56">
        <v>134.04702149692471</v>
      </c>
      <c r="AJR56">
        <v>135.4719652913243</v>
      </c>
      <c r="AJS56">
        <v>135.4719652913243</v>
      </c>
      <c r="AJT56">
        <v>136.39111407934399</v>
      </c>
      <c r="AJU56">
        <v>136.39111407934399</v>
      </c>
      <c r="AJV56">
        <v>136.02371273379839</v>
      </c>
      <c r="AJW56">
        <v>136.02371273379839</v>
      </c>
      <c r="AJX56">
        <v>135.5207466507035</v>
      </c>
      <c r="AJY56">
        <v>135.5207466507035</v>
      </c>
      <c r="AJZ56">
        <v>135.72061199404521</v>
      </c>
      <c r="AKA56">
        <v>135.72061199404521</v>
      </c>
      <c r="AKB56">
        <v>136.13500375742629</v>
      </c>
      <c r="AKC56">
        <v>136.13500375742629</v>
      </c>
      <c r="AKD56">
        <v>137.35776187830419</v>
      </c>
      <c r="AKE56">
        <v>137.35776187830419</v>
      </c>
      <c r="AKF56">
        <v>137.10874452646749</v>
      </c>
      <c r="AKG56">
        <v>137.10874452646749</v>
      </c>
      <c r="AKH56">
        <v>136.54660029919191</v>
      </c>
      <c r="AKI56">
        <v>136.54660029919191</v>
      </c>
      <c r="AKJ56">
        <v>137.04499523826789</v>
      </c>
      <c r="AKK56">
        <v>137.04499523826789</v>
      </c>
      <c r="AKL56">
        <v>136.55079603932731</v>
      </c>
      <c r="AKM56">
        <v>136.55079603932731</v>
      </c>
      <c r="AKN56">
        <v>136.82540900328721</v>
      </c>
      <c r="AKO56">
        <v>136.82540900328721</v>
      </c>
      <c r="AKP56">
        <v>138.0719204480682</v>
      </c>
      <c r="AKQ56">
        <v>138.0719204480682</v>
      </c>
      <c r="AKR56">
        <v>137.47561090050959</v>
      </c>
      <c r="AKS56">
        <v>137.47561090050959</v>
      </c>
      <c r="AKT56">
        <v>137.43680840800019</v>
      </c>
      <c r="AKU56">
        <v>137.43680840800019</v>
      </c>
      <c r="AKV56">
        <v>136.49731768471869</v>
      </c>
      <c r="AKW56">
        <v>136.49731768471869</v>
      </c>
      <c r="AKX56">
        <v>136.3133139084423</v>
      </c>
      <c r="AKY56">
        <v>136.3133139084423</v>
      </c>
      <c r="AKZ56">
        <v>136.19599361927021</v>
      </c>
      <c r="ALA56">
        <v>136.19599361927021</v>
      </c>
      <c r="ALB56">
        <v>137.24441537820621</v>
      </c>
      <c r="ALC56">
        <v>137.24441537820621</v>
      </c>
      <c r="ALD56">
        <v>136.4329888510681</v>
      </c>
      <c r="ALE56">
        <v>136.4329888510681</v>
      </c>
      <c r="ALF56">
        <v>137.959353246864</v>
      </c>
      <c r="ALG56">
        <v>137.959353246864</v>
      </c>
      <c r="ALH56">
        <v>136.6736685257257</v>
      </c>
      <c r="ALI56">
        <v>136.6736685257257</v>
      </c>
      <c r="ALJ56">
        <v>137.02263516795969</v>
      </c>
      <c r="ALK56">
        <v>137.02263516795969</v>
      </c>
      <c r="ALL56">
        <v>136.26077907484549</v>
      </c>
      <c r="ALM56">
        <v>136.26077907484549</v>
      </c>
      <c r="ALN56">
        <v>136.3272457855474</v>
      </c>
      <c r="ALO56">
        <v>136.3272457855474</v>
      </c>
      <c r="ALP56">
        <v>137.40346425010489</v>
      </c>
      <c r="ALQ56">
        <v>137.40346425010489</v>
      </c>
      <c r="ALR56">
        <v>135.24513764046119</v>
      </c>
      <c r="ALS56">
        <v>135.24513764046119</v>
      </c>
      <c r="ALT56">
        <v>137.07041220650291</v>
      </c>
      <c r="ALU56">
        <v>137.07041220650291</v>
      </c>
      <c r="ALV56">
        <v>137.6146158416463</v>
      </c>
      <c r="ALW56">
        <v>137.6146158416463</v>
      </c>
      <c r="ALX56">
        <v>137.69983987172529</v>
      </c>
      <c r="ALY56">
        <v>137.69983987172529</v>
      </c>
      <c r="ALZ56">
        <v>138.10551098557971</v>
      </c>
      <c r="AMA56">
        <v>138.10551098557971</v>
      </c>
      <c r="AMB56">
        <v>137.62191469054491</v>
      </c>
      <c r="AMC56">
        <v>137.62191469054491</v>
      </c>
      <c r="AMD56">
        <v>138.704134650349</v>
      </c>
      <c r="AME56">
        <v>138.704134650349</v>
      </c>
      <c r="AMF56">
        <v>138.527971416767</v>
      </c>
      <c r="AMG56">
        <v>138.527971416767</v>
      </c>
      <c r="AMH56">
        <v>138.3367917059243</v>
      </c>
      <c r="AMI56">
        <v>138.3367917059243</v>
      </c>
      <c r="AMJ56">
        <v>139.11007690085401</v>
      </c>
      <c r="AMK56">
        <v>139.11007690085401</v>
      </c>
      <c r="AML56">
        <v>139.07685534963761</v>
      </c>
      <c r="AMM56">
        <v>139.07685534963761</v>
      </c>
      <c r="AMN56">
        <v>139.76142590902751</v>
      </c>
      <c r="AMO56">
        <v>139.76142590902751</v>
      </c>
      <c r="AMP56">
        <v>140.496460734089</v>
      </c>
      <c r="AMQ56">
        <v>140.496460734089</v>
      </c>
      <c r="AMR56">
        <v>139.9672504490822</v>
      </c>
      <c r="AMS56">
        <v>139.9672504490822</v>
      </c>
      <c r="AMT56">
        <v>140.05095976421461</v>
      </c>
      <c r="AMU56">
        <v>140.05095976421461</v>
      </c>
      <c r="AMV56">
        <v>139.14583340872159</v>
      </c>
      <c r="AMW56">
        <v>139.14583340872159</v>
      </c>
      <c r="AMX56">
        <v>138.88804273731651</v>
      </c>
      <c r="AMY56">
        <v>138.88804273731651</v>
      </c>
      <c r="AMZ56">
        <v>138.14304392700191</v>
      </c>
      <c r="ANA56">
        <v>138.14304392700191</v>
      </c>
      <c r="ANB56">
        <v>139.33153425936521</v>
      </c>
      <c r="ANC56">
        <v>139.33153425936521</v>
      </c>
      <c r="AND56">
        <v>139.22938754851469</v>
      </c>
      <c r="ANE56">
        <v>139.22938754851469</v>
      </c>
      <c r="ANF56">
        <v>137.3253220576689</v>
      </c>
      <c r="ANG56">
        <v>137.3253220576689</v>
      </c>
      <c r="ANH56">
        <v>135.52269299635239</v>
      </c>
      <c r="ANI56">
        <v>135.52269299635239</v>
      </c>
      <c r="ANJ56">
        <v>136.575398063823</v>
      </c>
      <c r="ANK56">
        <v>136.575398063823</v>
      </c>
      <c r="ANL56">
        <v>137.36599399290071</v>
      </c>
      <c r="ANM56">
        <v>137.36599399290071</v>
      </c>
      <c r="ANN56">
        <v>138.27781729056889</v>
      </c>
      <c r="ANO56">
        <v>138.27781729056889</v>
      </c>
      <c r="ANP56">
        <v>138.30471950228841</v>
      </c>
      <c r="ANQ56">
        <v>138.30471950228841</v>
      </c>
      <c r="ANR56">
        <v>139.22900160108631</v>
      </c>
      <c r="ANS56">
        <v>139.22900160108631</v>
      </c>
      <c r="ANT56">
        <v>139.81056388848631</v>
      </c>
      <c r="ANU56">
        <v>139.81056388848631</v>
      </c>
      <c r="ANV56">
        <v>140.10398109009611</v>
      </c>
      <c r="ANW56">
        <v>140.10398109009611</v>
      </c>
      <c r="ANX56">
        <v>139.5190890929378</v>
      </c>
      <c r="ANY56">
        <v>139.5190890929378</v>
      </c>
      <c r="ANZ56">
        <v>140.74558405114419</v>
      </c>
      <c r="AOA56">
        <v>140.74558405114419</v>
      </c>
      <c r="AOB56">
        <v>139.51141967036639</v>
      </c>
      <c r="AOC56">
        <v>139.51141967036639</v>
      </c>
      <c r="AOD56">
        <v>139.4706607095529</v>
      </c>
      <c r="AOE56">
        <v>139.4706607095529</v>
      </c>
      <c r="AOF56">
        <v>140.4897211759484</v>
      </c>
      <c r="AOG56">
        <v>140.4897211759484</v>
      </c>
      <c r="AOH56">
        <v>140.2025013508057</v>
      </c>
      <c r="AOI56">
        <v>140.2025013508057</v>
      </c>
      <c r="AOJ56">
        <v>140.12303179445209</v>
      </c>
      <c r="AOK56">
        <v>140.12303179445209</v>
      </c>
      <c r="AOL56">
        <v>140.77688837650049</v>
      </c>
      <c r="AOM56">
        <v>140.77688837650049</v>
      </c>
      <c r="AON56">
        <v>140.05498054435651</v>
      </c>
      <c r="AOO56">
        <v>140.05498054435651</v>
      </c>
      <c r="AOP56">
        <v>140.11899540730349</v>
      </c>
      <c r="AOQ56">
        <v>140.11899540730349</v>
      </c>
      <c r="AOR56">
        <v>140.71789948924149</v>
      </c>
      <c r="AOS56">
        <v>140.71789948924149</v>
      </c>
      <c r="AOT56">
        <v>139.8561433031937</v>
      </c>
      <c r="AOU56">
        <v>139.8561433031937</v>
      </c>
      <c r="AOV56">
        <v>139.66968144747921</v>
      </c>
      <c r="AOW56">
        <v>139.66968144747921</v>
      </c>
      <c r="AOX56">
        <v>139.8739320019711</v>
      </c>
      <c r="AOY56">
        <v>139.8739320019711</v>
      </c>
      <c r="AOZ56">
        <v>140.16577922406819</v>
      </c>
      <c r="APA56">
        <v>140.16577922406819</v>
      </c>
      <c r="APB56">
        <v>140.41078225336111</v>
      </c>
      <c r="APC56">
        <v>140.41078225336111</v>
      </c>
      <c r="APD56">
        <v>139.33962427651591</v>
      </c>
      <c r="APE56">
        <v>139.33962427651591</v>
      </c>
      <c r="APF56">
        <v>138.9555102329472</v>
      </c>
      <c r="APG56">
        <v>138.9555102329472</v>
      </c>
      <c r="APH56">
        <v>139.56826314863781</v>
      </c>
      <c r="API56">
        <v>139.56826314863781</v>
      </c>
      <c r="APJ56">
        <v>139.98671768362891</v>
      </c>
      <c r="APK56">
        <v>139.98671768362891</v>
      </c>
      <c r="APL56">
        <v>139.84419853190889</v>
      </c>
      <c r="APM56">
        <v>139.84419853190889</v>
      </c>
      <c r="APN56">
        <v>138.57285177677289</v>
      </c>
      <c r="APO56">
        <v>138.57285177677289</v>
      </c>
      <c r="APP56">
        <v>140.56680872105929</v>
      </c>
      <c r="APQ56">
        <v>140.56680872105929</v>
      </c>
      <c r="APR56">
        <v>139.46576961131831</v>
      </c>
      <c r="APS56">
        <v>139.46576961131831</v>
      </c>
      <c r="APT56">
        <v>139.63622716706161</v>
      </c>
      <c r="APU56">
        <v>139.63622716706161</v>
      </c>
      <c r="APV56">
        <v>140.00037052156591</v>
      </c>
      <c r="APW56">
        <v>140.00037052156591</v>
      </c>
      <c r="APX56">
        <v>139.4811760138459</v>
      </c>
      <c r="APY56">
        <v>139.4811760138459</v>
      </c>
      <c r="APZ56">
        <v>138.79057287382841</v>
      </c>
      <c r="AQA56">
        <v>138.79057287382841</v>
      </c>
      <c r="AQB56">
        <v>138.16241665367829</v>
      </c>
      <c r="AQC56">
        <v>138.16241665367829</v>
      </c>
      <c r="AQD56">
        <v>138.63452041382419</v>
      </c>
      <c r="AQE56">
        <v>138.63452041382419</v>
      </c>
      <c r="AQF56">
        <v>139.31064930992139</v>
      </c>
      <c r="AQG56">
        <v>139.31064930992139</v>
      </c>
      <c r="AQH56">
        <v>139.82254521088319</v>
      </c>
      <c r="AQI56">
        <v>139.82254521088319</v>
      </c>
      <c r="AQJ56">
        <v>137.1948463663247</v>
      </c>
      <c r="AQK56">
        <v>137.1948463663247</v>
      </c>
      <c r="AQL56">
        <v>137.81731776187539</v>
      </c>
      <c r="AQM56">
        <v>137.81731776187539</v>
      </c>
      <c r="AQN56">
        <v>137.92980495006429</v>
      </c>
      <c r="AQO56">
        <v>137.92980495006429</v>
      </c>
      <c r="AQP56">
        <v>137.98582609064829</v>
      </c>
      <c r="AQQ56">
        <v>137.98582609064829</v>
      </c>
      <c r="AQR56">
        <v>138.4218316889031</v>
      </c>
      <c r="AQS56">
        <v>138.4218316889031</v>
      </c>
      <c r="AQT56">
        <v>138.00990093798961</v>
      </c>
      <c r="AQU56">
        <v>138.00990093798961</v>
      </c>
      <c r="AQV56">
        <v>138.59984136835769</v>
      </c>
      <c r="AQW56">
        <v>138.59984136835769</v>
      </c>
      <c r="AQX56">
        <v>138.6174161690401</v>
      </c>
      <c r="AQY56">
        <v>138.6174161690401</v>
      </c>
      <c r="AQZ56">
        <v>138.0199687779423</v>
      </c>
      <c r="ARA56">
        <v>138.0199687779423</v>
      </c>
      <c r="ARB56">
        <v>137.73751124790681</v>
      </c>
      <c r="ARC56">
        <v>137.73751124790681</v>
      </c>
      <c r="ARD56">
        <v>136.40004818869971</v>
      </c>
      <c r="ARE56">
        <v>136.40004818869971</v>
      </c>
      <c r="ARF56">
        <v>135.91767262318911</v>
      </c>
      <c r="ARG56">
        <v>135.91767262318911</v>
      </c>
      <c r="ARH56">
        <v>134.77546993812561</v>
      </c>
      <c r="ARI56">
        <v>134.77546993812561</v>
      </c>
      <c r="ARJ56">
        <v>135.2688392788591</v>
      </c>
      <c r="ARK56">
        <v>135.2688392788591</v>
      </c>
      <c r="ARL56">
        <v>137.08840301724339</v>
      </c>
      <c r="ARM56">
        <v>137.08840301724339</v>
      </c>
      <c r="ARN56">
        <v>136.77258028957641</v>
      </c>
      <c r="ARO56">
        <v>136.77258028957641</v>
      </c>
      <c r="ARP56">
        <v>137.23065339761811</v>
      </c>
      <c r="ARQ56">
        <v>137.23065339761811</v>
      </c>
      <c r="ARR56">
        <v>137.78414548548059</v>
      </c>
      <c r="ARS56">
        <v>137.78414548548059</v>
      </c>
      <c r="ART56">
        <v>138.37773286851561</v>
      </c>
      <c r="ARU56">
        <v>138.37773286851561</v>
      </c>
      <c r="ARV56">
        <v>137.81637860443689</v>
      </c>
      <c r="ARW56">
        <v>137.81637860443689</v>
      </c>
      <c r="ARX56">
        <v>138.94069533189349</v>
      </c>
      <c r="ARY56">
        <v>138.94069533189349</v>
      </c>
      <c r="ARZ56">
        <v>138.7883375268232</v>
      </c>
      <c r="ASA56">
        <v>138.7883375268232</v>
      </c>
      <c r="ASB56">
        <v>139.15378658630061</v>
      </c>
      <c r="ASC56">
        <v>139.15378658630061</v>
      </c>
      <c r="ASD56">
        <v>137.4799319711174</v>
      </c>
      <c r="ASE56">
        <v>137.4799319711174</v>
      </c>
      <c r="ASF56">
        <v>138.35843555223221</v>
      </c>
      <c r="ASG56">
        <v>138.35843555223221</v>
      </c>
      <c r="ASH56">
        <v>139.59958487578049</v>
      </c>
      <c r="ASI56">
        <v>139.59958487578049</v>
      </c>
      <c r="ASJ56">
        <v>138.4580920792439</v>
      </c>
      <c r="ASK56">
        <v>138.4580920792439</v>
      </c>
      <c r="ASL56">
        <v>138.56746841564171</v>
      </c>
      <c r="ASM56">
        <v>138.56746841564171</v>
      </c>
      <c r="ASN56">
        <v>139.0652741741718</v>
      </c>
      <c r="ASO56">
        <v>139.0652741741718</v>
      </c>
      <c r="ASP56">
        <v>138.41578616962849</v>
      </c>
      <c r="ASQ56">
        <v>138.41578616962849</v>
      </c>
      <c r="ASR56">
        <v>138.72561044627281</v>
      </c>
      <c r="ASS56">
        <v>138.72561044627281</v>
      </c>
      <c r="AST56">
        <v>139.71721143259489</v>
      </c>
      <c r="ASU56">
        <v>139.71721143259489</v>
      </c>
      <c r="ASV56">
        <v>138.28941394279741</v>
      </c>
      <c r="ASW56">
        <v>138.28941394279741</v>
      </c>
      <c r="ASX56">
        <v>137.71547033423889</v>
      </c>
      <c r="ASY56">
        <v>137.71547033423889</v>
      </c>
      <c r="ASZ56">
        <v>138.3672285852671</v>
      </c>
      <c r="ATA56">
        <v>138.3672285852671</v>
      </c>
      <c r="ATB56">
        <v>138.58749292315801</v>
      </c>
      <c r="ATC56">
        <v>138.58749292315801</v>
      </c>
      <c r="ATD56">
        <v>137.92115801325281</v>
      </c>
      <c r="ATE56">
        <v>137.92115801325281</v>
      </c>
      <c r="ATF56">
        <v>136.79389707521511</v>
      </c>
      <c r="ATG56">
        <v>136.79389707521511</v>
      </c>
      <c r="ATH56">
        <v>138.11396046531809</v>
      </c>
      <c r="ATI56">
        <v>138.11396046531809</v>
      </c>
      <c r="ATJ56">
        <v>138.94403116915021</v>
      </c>
      <c r="ATK56">
        <v>138.94403116915021</v>
      </c>
      <c r="ATL56">
        <v>138.52295094859861</v>
      </c>
      <c r="ATM56">
        <v>138.52295094859861</v>
      </c>
      <c r="ATN56">
        <v>138.17610982568189</v>
      </c>
      <c r="ATO56">
        <v>138.17610982568189</v>
      </c>
      <c r="ATP56">
        <v>137.61202034883561</v>
      </c>
      <c r="ATQ56">
        <v>137.61202034883561</v>
      </c>
      <c r="ATR56">
        <v>138.0115605905884</v>
      </c>
      <c r="ATS56">
        <v>138.0115605905884</v>
      </c>
      <c r="ATT56">
        <v>138.21010257726519</v>
      </c>
      <c r="ATU56">
        <v>138.21010257726519</v>
      </c>
      <c r="ATV56">
        <v>138.31826088554769</v>
      </c>
      <c r="ATW56">
        <v>138.31826088554769</v>
      </c>
      <c r="ATX56">
        <v>137.71369185897481</v>
      </c>
      <c r="ATY56">
        <v>137.71369185897481</v>
      </c>
      <c r="ATZ56">
        <v>137.71409637235769</v>
      </c>
      <c r="AUA56">
        <v>137.71409637235769</v>
      </c>
      <c r="AUB56">
        <v>137.09385617073411</v>
      </c>
      <c r="AUC56">
        <v>137.09385617073411</v>
      </c>
      <c r="AUD56">
        <v>137.6651789941867</v>
      </c>
      <c r="AUE56">
        <v>137.6651789941867</v>
      </c>
      <c r="AUF56">
        <v>136.8848796122939</v>
      </c>
      <c r="AUG56">
        <v>136.8848796122939</v>
      </c>
      <c r="AUH56">
        <v>137.49329001062699</v>
      </c>
      <c r="AUI56">
        <v>137.49329001062699</v>
      </c>
      <c r="AUJ56">
        <v>137.0130915088769</v>
      </c>
      <c r="AUK56">
        <v>137.0130915088769</v>
      </c>
      <c r="AUL56">
        <v>137.54440099027161</v>
      </c>
      <c r="AUM56">
        <v>137.54440099027161</v>
      </c>
      <c r="AUN56">
        <v>137.54362875881191</v>
      </c>
      <c r="AUO56">
        <v>137.54362875881191</v>
      </c>
      <c r="AUP56">
        <v>137.8886442556215</v>
      </c>
      <c r="AUQ56">
        <v>137.8886442556215</v>
      </c>
      <c r="AUR56">
        <v>137.4613379286518</v>
      </c>
      <c r="AUS56">
        <v>137.4613379286518</v>
      </c>
      <c r="AUT56">
        <v>138.3490742355734</v>
      </c>
      <c r="AUU56">
        <v>138.3490742355734</v>
      </c>
      <c r="AUV56">
        <v>137.56724052600671</v>
      </c>
      <c r="AUW56">
        <v>137.56724052600671</v>
      </c>
      <c r="AUX56">
        <v>136.04642716801629</v>
      </c>
      <c r="AUY56">
        <v>136.04642716801629</v>
      </c>
      <c r="AUZ56">
        <v>136.36216980691881</v>
      </c>
      <c r="AVA56">
        <v>136.36216980691881</v>
      </c>
      <c r="AVB56">
        <v>136.3753182530964</v>
      </c>
      <c r="AVC56">
        <v>136.3753182530964</v>
      </c>
      <c r="AVD56">
        <v>137.1249059648267</v>
      </c>
      <c r="AVE56">
        <v>137.1249059648267</v>
      </c>
      <c r="AVF56">
        <v>137.37007266989201</v>
      </c>
      <c r="AVG56">
        <v>137.37007266989201</v>
      </c>
      <c r="AVH56">
        <v>137.20710338900929</v>
      </c>
      <c r="AVI56">
        <v>137.20710338900929</v>
      </c>
      <c r="AVJ56">
        <v>134.93711236608081</v>
      </c>
      <c r="AVK56">
        <v>134.93711236608081</v>
      </c>
      <c r="AVL56">
        <v>134.61794474057021</v>
      </c>
      <c r="AVM56">
        <v>134.61794474057021</v>
      </c>
      <c r="AVN56">
        <v>135.99783424704259</v>
      </c>
      <c r="AVO56">
        <v>135.99783424704259</v>
      </c>
      <c r="AVP56">
        <v>136.79447264064959</v>
      </c>
      <c r="AVQ56">
        <v>136.79447264064959</v>
      </c>
      <c r="AVR56">
        <v>136.98916345193251</v>
      </c>
      <c r="AVS56">
        <v>136.98916345193251</v>
      </c>
      <c r="AVT56">
        <v>136.99680511731259</v>
      </c>
      <c r="AVU56">
        <v>136.99680511731259</v>
      </c>
      <c r="AVV56">
        <v>137.5528237781802</v>
      </c>
      <c r="AVW56">
        <v>137.5528237781802</v>
      </c>
      <c r="AVX56">
        <v>137.15736342275861</v>
      </c>
      <c r="AVY56">
        <v>137.15736342275861</v>
      </c>
      <c r="AVZ56">
        <v>137.60552564767889</v>
      </c>
      <c r="AWA56">
        <v>137.60552564767889</v>
      </c>
      <c r="AWB56">
        <v>136.52896528492829</v>
      </c>
      <c r="AWC56">
        <v>136.52896528492829</v>
      </c>
      <c r="AWD56">
        <v>137.26741852397751</v>
      </c>
      <c r="AWE56">
        <v>137.26741852397751</v>
      </c>
      <c r="AWF56">
        <v>137.31414363363069</v>
      </c>
      <c r="AWG56">
        <v>137.31414363363069</v>
      </c>
      <c r="AWH56">
        <v>136.93888028321771</v>
      </c>
      <c r="AWI56">
        <v>136.93888028321771</v>
      </c>
      <c r="AWJ56">
        <v>136.9629784687254</v>
      </c>
      <c r="AWK56">
        <v>136.9629784687254</v>
      </c>
      <c r="AWL56">
        <v>137.52383432270631</v>
      </c>
      <c r="AWM56">
        <v>137.52383432270631</v>
      </c>
      <c r="AWN56">
        <v>137.26863829440029</v>
      </c>
      <c r="AWO56">
        <v>137.26863829440029</v>
      </c>
      <c r="AWP56">
        <v>137.42659181211559</v>
      </c>
      <c r="AWQ56">
        <v>137.42659181211559</v>
      </c>
      <c r="AWR56">
        <v>137.31902967985931</v>
      </c>
      <c r="AWS56">
        <v>137.31902967985931</v>
      </c>
      <c r="AWT56">
        <v>137.00689787184371</v>
      </c>
      <c r="AWU56">
        <v>137.00689787184371</v>
      </c>
      <c r="AWV56">
        <v>138.32669268358441</v>
      </c>
      <c r="AWW56">
        <v>138.32669268358441</v>
      </c>
      <c r="AWX56">
        <v>137.38940875828311</v>
      </c>
      <c r="AWY56">
        <v>137.38940875828311</v>
      </c>
      <c r="AWZ56">
        <v>136.79273120182211</v>
      </c>
      <c r="AXA56">
        <v>136.79273120182211</v>
      </c>
      <c r="AXB56">
        <v>137.24198787258391</v>
      </c>
      <c r="AXC56">
        <v>137.24198787258391</v>
      </c>
      <c r="AXD56">
        <v>136.99334412323961</v>
      </c>
      <c r="AXE56">
        <v>136.99334412323961</v>
      </c>
      <c r="AXF56">
        <v>137.22478824570081</v>
      </c>
      <c r="AXG56">
        <v>137.22478824570081</v>
      </c>
      <c r="AXH56">
        <v>137.04386666171879</v>
      </c>
      <c r="AXI56">
        <v>137.04386666171879</v>
      </c>
      <c r="AXJ56">
        <v>136.9200784288615</v>
      </c>
      <c r="AXK56">
        <v>136.9200784288615</v>
      </c>
      <c r="AXL56">
        <v>136.93049395342709</v>
      </c>
      <c r="AXM56">
        <v>136.93049395342709</v>
      </c>
      <c r="AXN56">
        <v>136.94987948507369</v>
      </c>
      <c r="AXO56">
        <v>136.94987948507369</v>
      </c>
      <c r="AXP56">
        <v>136.18526888203951</v>
      </c>
      <c r="AXQ56">
        <v>136.18526888203951</v>
      </c>
      <c r="AXR56">
        <v>135.83884791986759</v>
      </c>
      <c r="AXS56">
        <v>135.83884791986759</v>
      </c>
      <c r="AXT56">
        <v>136.56371411886121</v>
      </c>
      <c r="AXU56">
        <v>136.56371411886121</v>
      </c>
      <c r="AXV56">
        <v>136.8737905533402</v>
      </c>
      <c r="AXW56">
        <v>136.8737905533402</v>
      </c>
      <c r="AXX56">
        <v>137.26976298161739</v>
      </c>
      <c r="AXY56">
        <v>137.26976298161739</v>
      </c>
      <c r="AXZ56">
        <v>136.3876400494249</v>
      </c>
      <c r="AYA56">
        <v>136.3876400494249</v>
      </c>
      <c r="AYB56">
        <v>137.17745086759669</v>
      </c>
      <c r="AYC56">
        <v>137.17745086759669</v>
      </c>
      <c r="AYD56">
        <v>136.42906150737929</v>
      </c>
      <c r="AYE56">
        <v>136.42906150737929</v>
      </c>
      <c r="AYF56">
        <v>136.52257822967101</v>
      </c>
      <c r="AYG56">
        <v>136.52257822967101</v>
      </c>
      <c r="AYH56">
        <v>136.5968012192395</v>
      </c>
      <c r="AYI56">
        <v>136.5968012192395</v>
      </c>
      <c r="AYJ56">
        <v>136.64441170961439</v>
      </c>
      <c r="AYK56">
        <v>136.64441170961439</v>
      </c>
      <c r="AYL56">
        <v>137.04634681421271</v>
      </c>
      <c r="AYM56">
        <v>137.04634681421271</v>
      </c>
      <c r="AYN56">
        <v>136.65582384017509</v>
      </c>
      <c r="AYO56">
        <v>136.65582384017509</v>
      </c>
      <c r="AYP56">
        <v>136.96901803249409</v>
      </c>
      <c r="AYQ56">
        <v>136.96901803249409</v>
      </c>
      <c r="AYR56">
        <v>136.77570256647351</v>
      </c>
      <c r="AYS56">
        <v>136.77570256647351</v>
      </c>
      <c r="AYT56">
        <v>136.4866700463937</v>
      </c>
      <c r="AYU56">
        <v>136.4866700463937</v>
      </c>
      <c r="AYV56">
        <v>137.4519126936722</v>
      </c>
      <c r="AYW56">
        <v>137.4519126936722</v>
      </c>
      <c r="AYX56">
        <v>135.51408256583619</v>
      </c>
      <c r="AYY56">
        <v>135.51408256583619</v>
      </c>
      <c r="AYZ56">
        <v>135.76843787372729</v>
      </c>
      <c r="AZA56">
        <v>135.76843787372729</v>
      </c>
      <c r="AZB56">
        <v>135.87322917348791</v>
      </c>
      <c r="AZC56">
        <v>135.87322917348791</v>
      </c>
      <c r="AZD56">
        <v>136.53205387577131</v>
      </c>
      <c r="AZE56">
        <v>136.53205387577131</v>
      </c>
      <c r="AZF56">
        <v>136.63919487464381</v>
      </c>
      <c r="AZG56">
        <v>136.63919487464381</v>
      </c>
      <c r="AZH56">
        <v>136.404814743321</v>
      </c>
      <c r="AZI56">
        <v>136.404814743321</v>
      </c>
      <c r="AZJ56">
        <v>136.70040982561659</v>
      </c>
      <c r="AZK56">
        <v>136.70040982561659</v>
      </c>
      <c r="AZL56">
        <v>135.0638941574382</v>
      </c>
      <c r="AZM56">
        <v>135.0638941574382</v>
      </c>
      <c r="AZN56">
        <v>135.34680200455841</v>
      </c>
      <c r="AZO56">
        <v>135.34680200455841</v>
      </c>
      <c r="AZP56">
        <v>135.76208703355519</v>
      </c>
      <c r="AZQ56">
        <v>135.76208703355519</v>
      </c>
      <c r="AZR56">
        <v>135.7139529474079</v>
      </c>
      <c r="AZS56">
        <v>135.7139529474079</v>
      </c>
      <c r="AZT56">
        <v>135.8360824260721</v>
      </c>
      <c r="AZU56">
        <v>135.8360824260721</v>
      </c>
      <c r="AZV56">
        <v>135.15441408991401</v>
      </c>
      <c r="AZW56">
        <v>135.15441408991401</v>
      </c>
      <c r="AZX56">
        <v>135.76781152163389</v>
      </c>
      <c r="AZY56">
        <v>135.76781152163389</v>
      </c>
      <c r="AZZ56">
        <v>135.78654517607421</v>
      </c>
      <c r="BAA56">
        <v>135.78654517607421</v>
      </c>
      <c r="BAB56">
        <v>136.33745331007191</v>
      </c>
      <c r="BAC56">
        <v>136.33745331007191</v>
      </c>
      <c r="BAD56">
        <v>137.72567057813481</v>
      </c>
      <c r="BAE56">
        <v>137.72567057813481</v>
      </c>
      <c r="BAF56">
        <v>137.65525740014749</v>
      </c>
      <c r="BAG56">
        <v>137.65525740014749</v>
      </c>
      <c r="BAH56">
        <v>138.2953707846263</v>
      </c>
      <c r="BAI56">
        <v>138.2953707846263</v>
      </c>
      <c r="BAJ56">
        <v>138.83395143402751</v>
      </c>
      <c r="BAK56">
        <v>138.83395143402751</v>
      </c>
      <c r="BAL56">
        <v>138.88459353206571</v>
      </c>
      <c r="BAM56">
        <v>138.88459353206571</v>
      </c>
      <c r="BAN56">
        <v>139.0514298500097</v>
      </c>
      <c r="BAO56">
        <v>139.0514298500097</v>
      </c>
      <c r="BAP56">
        <v>139.61527407862019</v>
      </c>
      <c r="BAQ56">
        <v>139.61527407862019</v>
      </c>
      <c r="BAR56">
        <v>138.74370154233591</v>
      </c>
      <c r="BAS56">
        <v>138.74370154233591</v>
      </c>
      <c r="BAT56">
        <v>139.84837790622231</v>
      </c>
      <c r="BAU56">
        <v>139.84837790622231</v>
      </c>
      <c r="BAV56">
        <v>138.95342095709779</v>
      </c>
      <c r="BAW56">
        <v>138.95342095709779</v>
      </c>
      <c r="BAX56">
        <v>139.3678511211773</v>
      </c>
      <c r="BAY56">
        <v>139.3678511211773</v>
      </c>
      <c r="BAZ56">
        <v>139.24450578530269</v>
      </c>
      <c r="BBA56">
        <v>139.24450578530269</v>
      </c>
      <c r="BBB56">
        <v>139.34566193888881</v>
      </c>
      <c r="BBC56">
        <v>139.34566193888881</v>
      </c>
      <c r="BBD56">
        <v>139.34263012219759</v>
      </c>
      <c r="BBE56">
        <v>139.34263012219759</v>
      </c>
      <c r="BBF56">
        <v>138.79230373711351</v>
      </c>
      <c r="BBG56">
        <v>138.79230373711351</v>
      </c>
      <c r="BBH56">
        <v>139.2779370334078</v>
      </c>
      <c r="BBI56">
        <v>139.2779370334078</v>
      </c>
      <c r="BBJ56">
        <v>138.4577541899699</v>
      </c>
      <c r="BBK56">
        <v>138.4577541899699</v>
      </c>
      <c r="BBL56">
        <v>138.04757556287831</v>
      </c>
      <c r="BBM56">
        <v>138.04757556287831</v>
      </c>
      <c r="BBN56">
        <v>138.4325302250696</v>
      </c>
      <c r="BBO56">
        <v>138.4325302250696</v>
      </c>
      <c r="BBP56">
        <v>138.10946795521161</v>
      </c>
      <c r="BBQ56">
        <v>138.10946795521161</v>
      </c>
      <c r="BBR56">
        <v>138.2800152711153</v>
      </c>
      <c r="BBS56">
        <v>138.2800152711153</v>
      </c>
      <c r="BBT56">
        <v>138.56333729713711</v>
      </c>
      <c r="BBU56">
        <v>138.56333729713711</v>
      </c>
      <c r="BBV56">
        <v>137.65728672644829</v>
      </c>
      <c r="BBW56">
        <v>137.65728672644829</v>
      </c>
      <c r="BBX56">
        <v>137.43186944181789</v>
      </c>
      <c r="BBY56">
        <v>137.43186944181789</v>
      </c>
      <c r="BBZ56">
        <v>137.0141841806898</v>
      </c>
      <c r="BCA56">
        <v>137.0141841806898</v>
      </c>
      <c r="BCB56">
        <v>137.85026715279821</v>
      </c>
      <c r="BCC56">
        <v>137.85026715279821</v>
      </c>
      <c r="BCD56">
        <v>137.47954375657099</v>
      </c>
      <c r="BCE56">
        <v>137.47954375657099</v>
      </c>
      <c r="BCF56">
        <v>136.68891403086781</v>
      </c>
      <c r="BCG56">
        <v>136.68891403086781</v>
      </c>
      <c r="BCH56">
        <v>136.7100238922597</v>
      </c>
      <c r="BCI56">
        <v>136.7100238922597</v>
      </c>
      <c r="BCJ56">
        <v>136.57883096355539</v>
      </c>
      <c r="BCK56">
        <v>136.57883096355539</v>
      </c>
      <c r="BCL56">
        <v>136.2107615973292</v>
      </c>
      <c r="BCM56">
        <v>136.2107615973292</v>
      </c>
      <c r="BCN56">
        <v>136.49710502800329</v>
      </c>
      <c r="BCO56">
        <v>136.49710502800329</v>
      </c>
      <c r="BCP56">
        <v>136.72252443300891</v>
      </c>
      <c r="BCQ56">
        <v>136.72252443300891</v>
      </c>
      <c r="BCR56">
        <v>137.16516233161721</v>
      </c>
      <c r="BCS56">
        <v>137.16516233161721</v>
      </c>
      <c r="BCT56">
        <v>137.04159534981989</v>
      </c>
      <c r="BCU56">
        <v>137.04159534981989</v>
      </c>
      <c r="BCV56">
        <v>137.03978183784801</v>
      </c>
      <c r="BCW56">
        <v>137.03978183784801</v>
      </c>
      <c r="BCX56">
        <v>136.43820567105601</v>
      </c>
      <c r="BCY56">
        <v>136.43820567105601</v>
      </c>
      <c r="BCZ56">
        <v>136.26259676032791</v>
      </c>
      <c r="BDA56">
        <v>136.26259676032791</v>
      </c>
      <c r="BDB56">
        <v>136.2381542701838</v>
      </c>
      <c r="BDC56">
        <v>136.2381542701838</v>
      </c>
      <c r="BDD56">
        <v>136.31884014317509</v>
      </c>
      <c r="BDE56">
        <v>136.31884014317509</v>
      </c>
      <c r="BDF56">
        <v>135.43505256985921</v>
      </c>
      <c r="BDG56">
        <v>135.43505256985921</v>
      </c>
      <c r="BDH56">
        <v>135.69216869794991</v>
      </c>
      <c r="BDI56">
        <v>135.69216869794991</v>
      </c>
      <c r="BDJ56">
        <v>135.1381357993921</v>
      </c>
      <c r="BDK56">
        <v>135.1381357993921</v>
      </c>
      <c r="BDL56">
        <v>134.88327913816741</v>
      </c>
      <c r="BDM56">
        <v>134.88327913816741</v>
      </c>
      <c r="BDN56">
        <v>134.90722636001149</v>
      </c>
      <c r="BDO56">
        <v>134.90722636001149</v>
      </c>
      <c r="BDP56">
        <v>135.25801088990181</v>
      </c>
      <c r="BDQ56">
        <v>135.25801088990181</v>
      </c>
      <c r="BDR56">
        <v>134.64324505806161</v>
      </c>
      <c r="BDS56">
        <v>134.64324505806161</v>
      </c>
      <c r="BDT56">
        <v>135.65355575866161</v>
      </c>
      <c r="BDU56">
        <v>135.65355575866161</v>
      </c>
      <c r="BDV56">
        <v>135.55091135702099</v>
      </c>
      <c r="BDW56">
        <v>135.55091135702099</v>
      </c>
      <c r="BDX56">
        <v>135.78727323329761</v>
      </c>
      <c r="BDY56">
        <v>135.78727323329761</v>
      </c>
      <c r="BDZ56">
        <v>135.5924832771899</v>
      </c>
      <c r="BEA56">
        <v>135.5924832771899</v>
      </c>
      <c r="BEB56">
        <v>136.13633602291051</v>
      </c>
      <c r="BEC56">
        <v>136.13633602291051</v>
      </c>
      <c r="BED56">
        <v>135.8058953296574</v>
      </c>
      <c r="BEE56">
        <v>135.8058953296574</v>
      </c>
      <c r="BEF56">
        <v>136.41979233959739</v>
      </c>
      <c r="BEG56">
        <v>136.41979233959739</v>
      </c>
      <c r="BEH56">
        <v>135.7471981913761</v>
      </c>
      <c r="BEI56">
        <v>135.7471981913761</v>
      </c>
      <c r="BEJ56">
        <v>136.01296292091769</v>
      </c>
      <c r="BEK56">
        <v>136.01296292091769</v>
      </c>
      <c r="BEL56">
        <v>135.30916845610241</v>
      </c>
      <c r="BEM56">
        <v>135.30916845610241</v>
      </c>
      <c r="BEN56">
        <v>135.92513666081399</v>
      </c>
      <c r="BEO56">
        <v>135.92513666081399</v>
      </c>
      <c r="BEP56">
        <v>135.29819748858031</v>
      </c>
      <c r="BEQ56">
        <v>135.29819748858031</v>
      </c>
      <c r="BER56">
        <v>135.35200555786739</v>
      </c>
      <c r="BES56">
        <v>135.35200555786739</v>
      </c>
      <c r="BET56">
        <v>135.86432020644679</v>
      </c>
      <c r="BEU56">
        <v>135.86432020644679</v>
      </c>
      <c r="BEV56">
        <v>134.65605112587949</v>
      </c>
      <c r="BEW56">
        <v>134.65605112587949</v>
      </c>
      <c r="BEX56">
        <v>133.62597276919351</v>
      </c>
      <c r="BEY56">
        <v>133.62597276919351</v>
      </c>
      <c r="BEZ56">
        <v>134.2156159333868</v>
      </c>
      <c r="BFA56">
        <v>134.2156159333868</v>
      </c>
      <c r="BFB56">
        <v>133.40328804098669</v>
      </c>
      <c r="BFC56">
        <v>133.40328804098669</v>
      </c>
      <c r="BFD56">
        <v>133.85702433665901</v>
      </c>
      <c r="BFE56">
        <v>133.85702433665901</v>
      </c>
      <c r="BFF56">
        <v>143.084013474589</v>
      </c>
      <c r="BFG56">
        <v>143.084013474589</v>
      </c>
      <c r="BFH56">
        <v>134.7321608756892</v>
      </c>
      <c r="BFI56">
        <v>134.7321608756892</v>
      </c>
      <c r="BFJ56">
        <v>133.4319252570881</v>
      </c>
      <c r="BFK56">
        <v>133.4319252570881</v>
      </c>
      <c r="BFL56">
        <v>133.68818227980751</v>
      </c>
      <c r="BFM56">
        <v>133.68818227980751</v>
      </c>
      <c r="BFN56">
        <v>133.81432205595709</v>
      </c>
      <c r="BFO56">
        <v>133.81432205595709</v>
      </c>
      <c r="BFP56">
        <v>133.83340041702601</v>
      </c>
      <c r="BFQ56">
        <v>133.83340041702601</v>
      </c>
      <c r="BFR56">
        <v>133.48923473110699</v>
      </c>
      <c r="BFS56">
        <v>133.48923473110699</v>
      </c>
      <c r="BFT56">
        <v>133.54253965112511</v>
      </c>
      <c r="BFU56">
        <v>133.54253965112511</v>
      </c>
      <c r="BFV56">
        <v>133.9606585343829</v>
      </c>
      <c r="BFW56">
        <v>133.9606585343829</v>
      </c>
      <c r="BFX56">
        <v>133.65081916075161</v>
      </c>
      <c r="BFY56">
        <v>133.65081916075161</v>
      </c>
      <c r="BFZ56">
        <v>134.13026673080509</v>
      </c>
      <c r="BGA56">
        <v>134.13026673080509</v>
      </c>
      <c r="BGB56">
        <v>133.68572367045169</v>
      </c>
      <c r="BGC56">
        <v>133.68572367045169</v>
      </c>
      <c r="BGD56">
        <v>133.76540551425899</v>
      </c>
      <c r="BGE56">
        <v>133.76540551425899</v>
      </c>
      <c r="BGF56">
        <v>133.9700286893918</v>
      </c>
      <c r="BGG56">
        <v>133.9700286893918</v>
      </c>
      <c r="BGH56">
        <v>133.16141930847439</v>
      </c>
      <c r="BGI56">
        <v>133.16141930847439</v>
      </c>
      <c r="BGJ56">
        <v>132.41526643873189</v>
      </c>
      <c r="BGK56">
        <v>132.41526643873189</v>
      </c>
      <c r="BGL56">
        <v>132.1756768748794</v>
      </c>
      <c r="BGM56">
        <v>132.1756768748794</v>
      </c>
      <c r="BGN56">
        <v>132.91851588507109</v>
      </c>
      <c r="BGO56">
        <v>132.91851588507109</v>
      </c>
      <c r="BGP56">
        <v>132.77279584223629</v>
      </c>
      <c r="BGQ56">
        <v>132.77279584223629</v>
      </c>
      <c r="BGR56">
        <v>132.744136700643</v>
      </c>
      <c r="BGS56">
        <v>132.744136700643</v>
      </c>
      <c r="BGT56">
        <v>132.99542990656639</v>
      </c>
      <c r="BGU56">
        <v>132.99542990656639</v>
      </c>
      <c r="BGV56">
        <v>132.11629581560661</v>
      </c>
      <c r="BGW56">
        <v>132.11629581560661</v>
      </c>
      <c r="BGX56">
        <v>132.56357180214661</v>
      </c>
      <c r="BGY56">
        <v>132.56357180214661</v>
      </c>
      <c r="BGZ56">
        <v>132.34535110103471</v>
      </c>
      <c r="BHA56">
        <v>132.34535110103471</v>
      </c>
      <c r="BHB56">
        <v>131.7467205105485</v>
      </c>
      <c r="BHC56">
        <v>131.7467205105485</v>
      </c>
      <c r="BHD56">
        <v>131.8407602563509</v>
      </c>
      <c r="BHE56">
        <v>131.8407602563509</v>
      </c>
      <c r="BHF56">
        <v>132.8130965861547</v>
      </c>
      <c r="BHG56">
        <v>132.8130965861547</v>
      </c>
      <c r="BHH56">
        <v>132.9897737335682</v>
      </c>
      <c r="BHI56">
        <v>132.9897737335682</v>
      </c>
      <c r="BHJ56">
        <v>133.73219544144919</v>
      </c>
      <c r="BHK56">
        <v>133.73219544144919</v>
      </c>
      <c r="BHL56">
        <v>133.8669798107164</v>
      </c>
      <c r="BHM56">
        <v>133.8669798107164</v>
      </c>
      <c r="BHN56">
        <v>133.35335226955269</v>
      </c>
      <c r="BHO56">
        <v>133.35335226955269</v>
      </c>
      <c r="BHP56">
        <v>133.7225835035687</v>
      </c>
      <c r="BHQ56">
        <v>133.7225835035687</v>
      </c>
      <c r="BHR56">
        <v>133.30077337872851</v>
      </c>
      <c r="BHS56">
        <v>133.30077337872851</v>
      </c>
      <c r="BHT56">
        <v>133.53184354686999</v>
      </c>
      <c r="BHU56">
        <v>133.53184354686999</v>
      </c>
      <c r="BHV56">
        <v>134.77298825719231</v>
      </c>
      <c r="BHW56">
        <v>134.77298825719231</v>
      </c>
      <c r="BHX56">
        <v>134.95147558210459</v>
      </c>
      <c r="BHY56">
        <v>134.95147558210459</v>
      </c>
      <c r="BHZ56">
        <v>134.89141740032721</v>
      </c>
      <c r="BIA56">
        <v>134.89141740032721</v>
      </c>
      <c r="BIB56">
        <v>134.73403447039459</v>
      </c>
      <c r="BIC56">
        <v>134.73403447039459</v>
      </c>
      <c r="BID56">
        <v>134.68728225673669</v>
      </c>
      <c r="BIE56">
        <v>134.68728225673669</v>
      </c>
      <c r="BIF56">
        <v>134.30806651996289</v>
      </c>
      <c r="BIG56">
        <v>134.30806651996289</v>
      </c>
      <c r="BIH56">
        <v>134.34097922686871</v>
      </c>
      <c r="BII56">
        <v>134.34097922686871</v>
      </c>
      <c r="BIJ56">
        <v>134.73185004780811</v>
      </c>
      <c r="BIK56">
        <v>134.73185004780811</v>
      </c>
      <c r="BIL56">
        <v>133.9227640054649</v>
      </c>
      <c r="BIM56">
        <v>133.9227640054649</v>
      </c>
      <c r="BIN56">
        <v>134.58928768972581</v>
      </c>
      <c r="BIO56">
        <v>134.58928768972581</v>
      </c>
      <c r="BIP56">
        <v>134.87671400522251</v>
      </c>
      <c r="BIQ56">
        <v>134.87671400522251</v>
      </c>
      <c r="BIR56">
        <v>134.68759339791251</v>
      </c>
      <c r="BIS56">
        <v>134.68759339791251</v>
      </c>
      <c r="BIT56">
        <v>135.59058113270649</v>
      </c>
      <c r="BIU56">
        <v>135.59058113270649</v>
      </c>
      <c r="BIV56">
        <v>135.6080167093088</v>
      </c>
      <c r="BIW56">
        <v>135.6080167093088</v>
      </c>
      <c r="BIX56">
        <v>136.16495414541379</v>
      </c>
      <c r="BIY56">
        <v>136.16495414541379</v>
      </c>
      <c r="BIZ56">
        <v>135.7090398923448</v>
      </c>
      <c r="BJA56">
        <v>135.7090398923448</v>
      </c>
      <c r="BJB56">
        <v>135.80451360345009</v>
      </c>
      <c r="BJC56">
        <v>135.80451360345009</v>
      </c>
      <c r="BJD56">
        <v>135.64737742814489</v>
      </c>
      <c r="BJE56">
        <v>135.64737742814489</v>
      </c>
      <c r="BJF56">
        <v>135.98384503498951</v>
      </c>
      <c r="BJG56">
        <v>135.98384503498951</v>
      </c>
      <c r="BJH56">
        <v>136.5741284490737</v>
      </c>
      <c r="BJI56">
        <v>136.5741284490737</v>
      </c>
      <c r="BJJ56">
        <v>136.77295553846099</v>
      </c>
      <c r="BJK56">
        <v>136.77295553846099</v>
      </c>
      <c r="BJL56">
        <v>136.1117565634969</v>
      </c>
      <c r="BJM56">
        <v>136.1117565634969</v>
      </c>
      <c r="BJN56">
        <v>135.95866098551721</v>
      </c>
      <c r="BJO56">
        <v>135.95866098551721</v>
      </c>
      <c r="BJP56">
        <v>136.4239457709929</v>
      </c>
      <c r="BJQ56">
        <v>136.4239457709929</v>
      </c>
      <c r="BJR56">
        <v>135.90782374643931</v>
      </c>
      <c r="BJS56">
        <v>135.90782374643931</v>
      </c>
      <c r="BJT56">
        <v>136.0339818216795</v>
      </c>
      <c r="BJU56">
        <v>136.0339818216795</v>
      </c>
      <c r="BJV56">
        <v>135.85586439584699</v>
      </c>
      <c r="BJW56">
        <v>135.85586439584699</v>
      </c>
      <c r="BJX56">
        <v>136.24791751649761</v>
      </c>
      <c r="BJY56">
        <v>136.24791751649761</v>
      </c>
      <c r="BJZ56">
        <v>137.30802417657131</v>
      </c>
      <c r="BKA56">
        <v>137.30802417657131</v>
      </c>
      <c r="BKB56">
        <v>137.63150077486279</v>
      </c>
      <c r="BKC56">
        <v>137.63150077486279</v>
      </c>
      <c r="BKD56">
        <v>137.9212216504001</v>
      </c>
      <c r="BKE56">
        <v>137.9212216504001</v>
      </c>
      <c r="BKF56">
        <v>137.70606978604761</v>
      </c>
      <c r="BKG56">
        <v>137.70606978604761</v>
      </c>
      <c r="BKH56">
        <v>138.81013567474159</v>
      </c>
      <c r="BKI56">
        <v>138.81013567474159</v>
      </c>
      <c r="BKJ56">
        <v>138.7527183273852</v>
      </c>
      <c r="BKK56">
        <v>138.7527183273852</v>
      </c>
      <c r="BKL56">
        <v>138.8191702522854</v>
      </c>
      <c r="BKM56">
        <v>138.8191702522854</v>
      </c>
      <c r="BKN56">
        <v>138.6761729463521</v>
      </c>
      <c r="BKO56">
        <v>138.6761729463521</v>
      </c>
      <c r="BKP56">
        <v>138.82857198188611</v>
      </c>
      <c r="BKQ56">
        <v>138.82857198188611</v>
      </c>
      <c r="BKR56">
        <v>139.36878441473621</v>
      </c>
      <c r="BKS56">
        <v>139.36878441473621</v>
      </c>
      <c r="BKT56">
        <v>139.7136540817209</v>
      </c>
      <c r="BKU56">
        <v>139.7136540817209</v>
      </c>
      <c r="BKV56">
        <v>140.06419456509039</v>
      </c>
      <c r="BKW56">
        <v>140.06419456509039</v>
      </c>
      <c r="BKX56">
        <v>139.75637886397499</v>
      </c>
      <c r="BKY56">
        <v>139.75637886397499</v>
      </c>
      <c r="BKZ56">
        <v>140.31731192122089</v>
      </c>
      <c r="BLA56">
        <v>140.31731192122089</v>
      </c>
      <c r="BLB56">
        <v>140.2434058066921</v>
      </c>
      <c r="BLC56">
        <v>140.2434058066921</v>
      </c>
      <c r="BLD56">
        <v>141.04468796524071</v>
      </c>
      <c r="BLE56">
        <v>141.04468796524071</v>
      </c>
      <c r="BLF56">
        <v>140.33443472666389</v>
      </c>
      <c r="BLG56">
        <v>140.33443472666389</v>
      </c>
      <c r="BLH56">
        <v>140.30903581990449</v>
      </c>
      <c r="BLI56">
        <v>140.30903581990449</v>
      </c>
      <c r="BLJ56">
        <v>140.1252043289544</v>
      </c>
      <c r="BLK56">
        <v>140.1252043289544</v>
      </c>
      <c r="BLL56">
        <v>139.6913853272433</v>
      </c>
      <c r="BLM56">
        <v>139.6913853272433</v>
      </c>
      <c r="BLN56">
        <v>139.20161153542699</v>
      </c>
      <c r="BLO56">
        <v>139.20161153542699</v>
      </c>
      <c r="BLP56">
        <v>140.06098783476841</v>
      </c>
      <c r="BLQ56">
        <v>140.06098783476841</v>
      </c>
      <c r="BLR56">
        <v>140.08003345015791</v>
      </c>
      <c r="BLS56">
        <v>140.08003345015791</v>
      </c>
      <c r="BLT56">
        <v>140.56072329308799</v>
      </c>
      <c r="BLU56">
        <v>140.56072329308799</v>
      </c>
      <c r="BLV56">
        <v>140.7461464783145</v>
      </c>
      <c r="BLW56">
        <v>140.7461464783145</v>
      </c>
      <c r="BLX56">
        <v>140.5942713524648</v>
      </c>
      <c r="BLY56">
        <v>140.5942713524648</v>
      </c>
      <c r="BLZ56">
        <v>140.36865171856149</v>
      </c>
      <c r="BMA56">
        <v>140.36865171856149</v>
      </c>
      <c r="BMB56">
        <v>140.38911235705251</v>
      </c>
      <c r="BMC56">
        <v>140.38911235705251</v>
      </c>
      <c r="BMD56">
        <v>140.28348523355871</v>
      </c>
      <c r="BME56">
        <v>140.28348523355871</v>
      </c>
      <c r="BMF56">
        <v>140.34223320563191</v>
      </c>
      <c r="BMG56">
        <v>140.34223320563191</v>
      </c>
      <c r="BMH56">
        <v>140.4129079655969</v>
      </c>
      <c r="BMI56">
        <v>140.4129079655969</v>
      </c>
      <c r="BMJ56">
        <v>141.0056577382276</v>
      </c>
      <c r="BMK56">
        <v>141.0056577382276</v>
      </c>
      <c r="BML56">
        <v>141.1882014364493</v>
      </c>
      <c r="BMM56">
        <v>141.1882014364493</v>
      </c>
      <c r="BMN56">
        <v>141.35740250185489</v>
      </c>
      <c r="BMO56">
        <v>141.35740250185489</v>
      </c>
      <c r="BMP56">
        <v>140.84748173287639</v>
      </c>
      <c r="BMQ56">
        <v>140.84748173287639</v>
      </c>
      <c r="BMR56">
        <v>139.91124021772589</v>
      </c>
      <c r="BMS56">
        <v>139.91124021772589</v>
      </c>
      <c r="BMT56">
        <v>141.34291730861821</v>
      </c>
      <c r="BMU56">
        <v>141.34291730861821</v>
      </c>
      <c r="BMV56">
        <v>140.4478583012978</v>
      </c>
      <c r="BMW56">
        <v>140.4478583012978</v>
      </c>
      <c r="BMX56">
        <v>140.3104310650217</v>
      </c>
      <c r="BMY56">
        <v>140.3104310650217</v>
      </c>
      <c r="BMZ56">
        <v>140.86318205450189</v>
      </c>
      <c r="BNA56">
        <v>140.86318205450189</v>
      </c>
      <c r="BNB56">
        <v>140.7433334113305</v>
      </c>
      <c r="BNC56">
        <v>140.7433334113305</v>
      </c>
      <c r="BND56">
        <v>140.71060176645679</v>
      </c>
      <c r="BNE56">
        <v>140.71060176645679</v>
      </c>
      <c r="BNF56">
        <v>140.5036980532179</v>
      </c>
      <c r="BNG56">
        <v>140.5036980532179</v>
      </c>
      <c r="BNH56">
        <v>140.03866573476</v>
      </c>
      <c r="BNI56">
        <v>140.03866573476</v>
      </c>
      <c r="BNJ56">
        <v>141.00849055992779</v>
      </c>
      <c r="BNK56">
        <v>141.00849055992779</v>
      </c>
      <c r="BNL56">
        <v>140.7225110911007</v>
      </c>
      <c r="BNM56">
        <v>140.7225110911007</v>
      </c>
      <c r="BNN56">
        <v>140.71093279043771</v>
      </c>
      <c r="BNO56">
        <v>140.71093279043771</v>
      </c>
      <c r="BNP56">
        <v>140.57346436523281</v>
      </c>
      <c r="BNQ56">
        <v>140.57346436523281</v>
      </c>
      <c r="BNR56">
        <v>140.0906773359653</v>
      </c>
      <c r="BNS56">
        <v>140.0906773359653</v>
      </c>
      <c r="BNT56">
        <v>140.45943382127271</v>
      </c>
      <c r="BNU56">
        <v>140.45943382127271</v>
      </c>
      <c r="BNV56">
        <v>139.8109790684905</v>
      </c>
      <c r="BNW56">
        <v>139.8109790684905</v>
      </c>
      <c r="BNX56">
        <v>140.47023910493681</v>
      </c>
      <c r="BNY56">
        <v>140.47023910493681</v>
      </c>
      <c r="BNZ56">
        <v>140.0089071493706</v>
      </c>
      <c r="BOA56">
        <v>140.0089071493706</v>
      </c>
      <c r="BOB56">
        <v>139.7827978105544</v>
      </c>
      <c r="BOC56">
        <v>139.7827978105544</v>
      </c>
      <c r="BOD56">
        <v>140.0335967063755</v>
      </c>
      <c r="BOE56">
        <v>140.0335967063755</v>
      </c>
      <c r="BOF56">
        <v>140.1789254263106</v>
      </c>
      <c r="BOG56">
        <v>140.1789254263106</v>
      </c>
      <c r="BOH56">
        <v>140.20383824026121</v>
      </c>
      <c r="BOI56">
        <v>140.20383824026121</v>
      </c>
      <c r="BOJ56">
        <v>141.2142309646068</v>
      </c>
      <c r="BOK56">
        <v>141.2142309646068</v>
      </c>
      <c r="BOL56">
        <v>141.252879357979</v>
      </c>
      <c r="BOM56">
        <v>141.252879357979</v>
      </c>
      <c r="BON56">
        <v>141.83446498025441</v>
      </c>
      <c r="BOO56">
        <v>141.83446498025441</v>
      </c>
      <c r="BOP56">
        <v>141.43886031576309</v>
      </c>
      <c r="BOQ56">
        <v>141.43886031576309</v>
      </c>
      <c r="BOR56">
        <v>140.29330299550301</v>
      </c>
      <c r="BOS56">
        <v>140.29330299550301</v>
      </c>
      <c r="BOT56">
        <v>140.68287280188781</v>
      </c>
      <c r="BOU56">
        <v>140.68287280188781</v>
      </c>
      <c r="BOV56">
        <v>140.88520717432769</v>
      </c>
      <c r="BOW56">
        <v>140.88520717432769</v>
      </c>
    </row>
    <row r="57" spans="1:1765" x14ac:dyDescent="0.35">
      <c r="A57" s="6" t="s">
        <v>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</row>
    <row r="58" spans="1:1765" x14ac:dyDescent="0.35">
      <c r="A58" s="4" t="s">
        <v>27</v>
      </c>
      <c r="B58">
        <v>0.96730874149056945</v>
      </c>
      <c r="C58">
        <v>1.3416361372935339</v>
      </c>
      <c r="D58">
        <v>1.1459301828060691</v>
      </c>
      <c r="E58">
        <v>1.3731444892080451</v>
      </c>
      <c r="F58">
        <v>1.1708774639491819</v>
      </c>
      <c r="G58">
        <v>1.3665466065002081</v>
      </c>
      <c r="H58">
        <v>1.6208392874207791</v>
      </c>
      <c r="I58">
        <v>1.310842862661872</v>
      </c>
      <c r="J58">
        <v>1.4594483125946449</v>
      </c>
      <c r="K58">
        <v>1.8186136846603349</v>
      </c>
      <c r="L58">
        <v>1.7408526899469341</v>
      </c>
      <c r="M58">
        <v>1.7740215304647511</v>
      </c>
      <c r="N58">
        <v>1.9168585860185201</v>
      </c>
      <c r="O58">
        <v>1.92474469641715</v>
      </c>
      <c r="P58">
        <v>1.868950821666175</v>
      </c>
      <c r="Q58">
        <v>1.9883013908151379</v>
      </c>
      <c r="R58">
        <v>2.031408202136475</v>
      </c>
      <c r="S58">
        <v>1.9349076161639971</v>
      </c>
      <c r="T58">
        <v>2.131560308869183</v>
      </c>
      <c r="U58">
        <v>1.9804976937521701</v>
      </c>
      <c r="V58">
        <v>1.933065267824702</v>
      </c>
      <c r="W58">
        <v>1.9528341939431471</v>
      </c>
      <c r="QD58">
        <v>1.251108693162422</v>
      </c>
      <c r="QE58">
        <v>1.1827596572537691</v>
      </c>
      <c r="QF58">
        <v>1.2999148740340729</v>
      </c>
      <c r="QG58">
        <v>1.273054115963419</v>
      </c>
      <c r="QH58">
        <v>1.5645877678984159</v>
      </c>
      <c r="QI58">
        <v>1.352327769811609</v>
      </c>
      <c r="QJ58">
        <v>1.377475184592498</v>
      </c>
      <c r="QK58">
        <v>1.577854022156004</v>
      </c>
      <c r="QL58">
        <v>1.756486045021973</v>
      </c>
      <c r="QM58">
        <v>1.7941828431850411</v>
      </c>
      <c r="QN58">
        <v>1.9281851039742719</v>
      </c>
      <c r="QO58">
        <v>1.8799698331499139</v>
      </c>
      <c r="QP58">
        <v>1.8090957709160309</v>
      </c>
      <c r="QQ58">
        <v>2.0177841266531402</v>
      </c>
      <c r="QR58">
        <v>2.0146135816918052</v>
      </c>
      <c r="QS58">
        <v>1.956605451623801</v>
      </c>
      <c r="QT58">
        <v>2.0207019168780112</v>
      </c>
      <c r="QU58">
        <v>2.0538507049984389</v>
      </c>
      <c r="QV58">
        <v>2.081466086720638</v>
      </c>
      <c r="QW58">
        <v>1.803225250847277</v>
      </c>
      <c r="AHB58">
        <v>1.2751362324511319</v>
      </c>
      <c r="AHC58">
        <v>1.2751362324511319</v>
      </c>
      <c r="AHD58">
        <v>1.251108693162422</v>
      </c>
      <c r="AHE58">
        <v>1.251108693162422</v>
      </c>
      <c r="AHF58">
        <v>1.1827596572537691</v>
      </c>
      <c r="AHG58">
        <v>1.1827596572537691</v>
      </c>
      <c r="AHH58">
        <v>1.2999148740340729</v>
      </c>
      <c r="AHI58">
        <v>1.2999148740340729</v>
      </c>
      <c r="AHJ58">
        <v>1.2730541159633899</v>
      </c>
      <c r="AHK58">
        <v>1.2730541159633899</v>
      </c>
      <c r="AHL58">
        <v>1.5645877678984159</v>
      </c>
      <c r="AHM58">
        <v>1.5645877678984159</v>
      </c>
      <c r="AHN58">
        <v>1.352327769811609</v>
      </c>
      <c r="AHO58">
        <v>1.352327769811609</v>
      </c>
      <c r="AHP58">
        <v>1.377475184592498</v>
      </c>
      <c r="AHQ58">
        <v>1.377475184592498</v>
      </c>
      <c r="AHR58">
        <v>1.577854022156004</v>
      </c>
      <c r="AHS58">
        <v>1.577854022156004</v>
      </c>
      <c r="AHT58">
        <v>1.756486045021973</v>
      </c>
      <c r="AHU58">
        <v>1.756486045021973</v>
      </c>
      <c r="AHV58">
        <v>1.7941828431850411</v>
      </c>
      <c r="AHW58">
        <v>1.7941828431850411</v>
      </c>
      <c r="AHX58">
        <v>1.9281851039742719</v>
      </c>
      <c r="AHY58">
        <v>1.9281851039742719</v>
      </c>
      <c r="AHZ58">
        <v>1.8799698331499139</v>
      </c>
      <c r="AIA58">
        <v>1.8799698331499139</v>
      </c>
      <c r="AIB58">
        <v>1.8090957709160309</v>
      </c>
      <c r="AIC58">
        <v>1.8090957709160309</v>
      </c>
      <c r="AID58">
        <v>2.0177841266531402</v>
      </c>
      <c r="AIE58">
        <v>2.0177841266531402</v>
      </c>
      <c r="AIF58">
        <v>2.0146135816918052</v>
      </c>
      <c r="AIG58">
        <v>2.0146135816918052</v>
      </c>
      <c r="AIH58">
        <v>1.956522146793503</v>
      </c>
      <c r="AII58">
        <v>1.956522146793503</v>
      </c>
      <c r="AIJ58">
        <v>2.0207019168780112</v>
      </c>
      <c r="AIK58">
        <v>2.0207019168780112</v>
      </c>
      <c r="AIL58">
        <v>2.0538507049984389</v>
      </c>
      <c r="AIM58">
        <v>2.0538507049984389</v>
      </c>
      <c r="AIN58">
        <v>2.081466086720638</v>
      </c>
      <c r="AIO58">
        <v>2.081466086720638</v>
      </c>
      <c r="AIP58">
        <v>1.8244764580994399</v>
      </c>
      <c r="AIQ58">
        <v>1.8244764580994399</v>
      </c>
    </row>
    <row r="59" spans="1:1765" ht="24" customHeight="1" x14ac:dyDescent="0.35">
      <c r="A59" s="3" t="s">
        <v>28</v>
      </c>
      <c r="B59">
        <v>-0.12589042330711209</v>
      </c>
      <c r="C59">
        <v>8.1216612682624145E-3</v>
      </c>
      <c r="D59">
        <v>-2.5394176138803459E-2</v>
      </c>
      <c r="E59">
        <v>-9.1858695632396348E-2</v>
      </c>
      <c r="F59">
        <v>-0.26147882889577551</v>
      </c>
      <c r="G59">
        <v>-0.37646692960811379</v>
      </c>
      <c r="H59">
        <v>-0.39462632761660638</v>
      </c>
      <c r="I59">
        <v>-0.56470144977325276</v>
      </c>
      <c r="J59">
        <v>-2.1328317780842099E-3</v>
      </c>
      <c r="K59">
        <v>0.40070047283816729</v>
      </c>
      <c r="L59">
        <v>0.45380396951637181</v>
      </c>
      <c r="M59">
        <v>0.51285394946779661</v>
      </c>
      <c r="N59">
        <v>0.92520080588101905</v>
      </c>
      <c r="O59">
        <v>1.0322058281198001</v>
      </c>
      <c r="P59">
        <v>1.285430383801099</v>
      </c>
      <c r="Q59">
        <v>1.4519222613815539</v>
      </c>
      <c r="R59">
        <v>1.4629147837505909</v>
      </c>
      <c r="S59">
        <v>1.3268260849381761</v>
      </c>
      <c r="T59">
        <v>1.429057578707329</v>
      </c>
      <c r="U59">
        <v>1.305666597970855</v>
      </c>
      <c r="V59">
        <v>1.0392832029169481</v>
      </c>
      <c r="W59">
        <v>1.2292598847202501</v>
      </c>
      <c r="QD59">
        <v>0.13022112297926469</v>
      </c>
      <c r="QE59">
        <v>-0.17271865870228001</v>
      </c>
      <c r="QF59">
        <v>-0.1760787773550874</v>
      </c>
      <c r="QG59">
        <v>-0.2723659080090215</v>
      </c>
      <c r="QH59">
        <v>-0.32946044162983412</v>
      </c>
      <c r="QI59">
        <v>-0.66289391313685542</v>
      </c>
      <c r="QJ59">
        <v>-0.2990048414232831</v>
      </c>
      <c r="QK59">
        <v>0.14482754652249241</v>
      </c>
      <c r="QL59">
        <v>0.38069628484015539</v>
      </c>
      <c r="QM59">
        <v>0.46635808519917532</v>
      </c>
      <c r="QN59">
        <v>0.87878568578702243</v>
      </c>
      <c r="QO59">
        <v>0.98628408851647009</v>
      </c>
      <c r="QP59">
        <v>1.139349663190615</v>
      </c>
      <c r="QQ59">
        <v>1.330257782315613</v>
      </c>
      <c r="QR59">
        <v>1.4788651024094579</v>
      </c>
      <c r="QS59">
        <v>1.4745466110982191</v>
      </c>
      <c r="QT59">
        <v>1.348826801987514</v>
      </c>
      <c r="QU59">
        <v>1.433062195240268</v>
      </c>
      <c r="QV59">
        <v>1.1768909876768701</v>
      </c>
      <c r="QW59">
        <v>1.0678514482798109</v>
      </c>
      <c r="AHB59">
        <v>-7.1299458530234014E-3</v>
      </c>
      <c r="AHC59">
        <v>-7.1299458530234014E-3</v>
      </c>
      <c r="AHD59">
        <v>0.13022112297926469</v>
      </c>
      <c r="AHE59">
        <v>0.13022112297926469</v>
      </c>
      <c r="AHF59">
        <v>-0.17271865870228001</v>
      </c>
      <c r="AHG59">
        <v>-0.17271865870228001</v>
      </c>
      <c r="AHH59">
        <v>-0.1760787773550874</v>
      </c>
      <c r="AHI59">
        <v>-0.1760787773550874</v>
      </c>
      <c r="AHJ59">
        <v>-0.27236590800899307</v>
      </c>
      <c r="AHK59">
        <v>-0.27236590800899307</v>
      </c>
      <c r="AHL59">
        <v>-0.32946044162983412</v>
      </c>
      <c r="AHM59">
        <v>-0.32946044162983412</v>
      </c>
      <c r="AHN59">
        <v>-0.66289391313685542</v>
      </c>
      <c r="AHO59">
        <v>-0.66289391313685542</v>
      </c>
      <c r="AHP59">
        <v>-0.2990048414232831</v>
      </c>
      <c r="AHQ59">
        <v>-0.2990048414232831</v>
      </c>
      <c r="AHR59">
        <v>0.14482754652249241</v>
      </c>
      <c r="AHS59">
        <v>0.14482754652249241</v>
      </c>
      <c r="AHT59">
        <v>0.38069628484012702</v>
      </c>
      <c r="AHU59">
        <v>0.38069628484012702</v>
      </c>
      <c r="AHV59">
        <v>0.46635808519917532</v>
      </c>
      <c r="AHW59">
        <v>0.46635808519917532</v>
      </c>
      <c r="AHX59">
        <v>0.87878568578702243</v>
      </c>
      <c r="AHY59">
        <v>0.87878568578702243</v>
      </c>
      <c r="AHZ59">
        <v>0.98628408851647009</v>
      </c>
      <c r="AIA59">
        <v>0.98628408851647009</v>
      </c>
      <c r="AIB59">
        <v>1.139349663190615</v>
      </c>
      <c r="AIC59">
        <v>1.139349663190615</v>
      </c>
      <c r="AID59">
        <v>1.330257782315613</v>
      </c>
      <c r="AIE59">
        <v>1.330257782315613</v>
      </c>
      <c r="AIF59">
        <v>1.4788651024094579</v>
      </c>
      <c r="AIG59">
        <v>1.4788651024094579</v>
      </c>
      <c r="AIH59">
        <v>1.4750741288199549</v>
      </c>
      <c r="AII59">
        <v>1.4750741288199549</v>
      </c>
      <c r="AIJ59">
        <v>1.348826801987514</v>
      </c>
      <c r="AIK59">
        <v>1.348826801987514</v>
      </c>
      <c r="AIL59">
        <v>1.433062195240268</v>
      </c>
      <c r="AIM59">
        <v>1.433062195240268</v>
      </c>
      <c r="AIN59">
        <v>1.1768909876768701</v>
      </c>
      <c r="AIO59">
        <v>1.1768909876768701</v>
      </c>
      <c r="AIP59">
        <v>1.097553439977105</v>
      </c>
      <c r="AIQ59">
        <v>1.097553439977105</v>
      </c>
    </row>
    <row r="60" spans="1:1765" x14ac:dyDescent="0.35">
      <c r="A60" s="4" t="s">
        <v>29</v>
      </c>
      <c r="B60">
        <v>0.12589042330711209</v>
      </c>
      <c r="C60">
        <v>-8.1216612682624145E-3</v>
      </c>
      <c r="D60">
        <v>2.5394176138803459E-2</v>
      </c>
      <c r="E60">
        <v>9.1858695632396348E-2</v>
      </c>
      <c r="F60">
        <v>0.26147882889577551</v>
      </c>
      <c r="G60">
        <v>0.37646692960811379</v>
      </c>
      <c r="H60">
        <v>0.39462632761660638</v>
      </c>
      <c r="I60">
        <v>0.56470144977325276</v>
      </c>
      <c r="J60">
        <v>2.1328317780842099E-3</v>
      </c>
      <c r="K60">
        <v>-0.40070047283816729</v>
      </c>
      <c r="L60">
        <v>-0.45380396951637181</v>
      </c>
      <c r="M60">
        <v>-0.51285394946779661</v>
      </c>
      <c r="N60">
        <v>-0.92520080588101905</v>
      </c>
      <c r="O60">
        <v>-1.0322058281198001</v>
      </c>
      <c r="P60">
        <v>-1.285430383801099</v>
      </c>
      <c r="Q60">
        <v>-1.4519222613815539</v>
      </c>
      <c r="R60">
        <v>-1.4629147837505909</v>
      </c>
      <c r="S60">
        <v>-1.3268260849381761</v>
      </c>
      <c r="T60">
        <v>-1.429057578707329</v>
      </c>
      <c r="U60">
        <v>-1.305666597970855</v>
      </c>
      <c r="V60">
        <v>-1.0392832029169481</v>
      </c>
      <c r="W60">
        <v>-1.2292598847202501</v>
      </c>
      <c r="QD60">
        <v>-0.13022112297926469</v>
      </c>
      <c r="QE60">
        <v>0.17271865870228001</v>
      </c>
      <c r="QF60">
        <v>0.1760787773550874</v>
      </c>
      <c r="QG60">
        <v>0.2723659080090215</v>
      </c>
      <c r="QH60">
        <v>0.32946044162983412</v>
      </c>
      <c r="QI60">
        <v>0.66289391313685542</v>
      </c>
      <c r="QJ60">
        <v>0.2990048414232831</v>
      </c>
      <c r="QK60">
        <v>-0.14482754652249241</v>
      </c>
      <c r="QL60">
        <v>-0.38069628484015539</v>
      </c>
      <c r="QM60">
        <v>-0.46635808519917532</v>
      </c>
      <c r="QN60">
        <v>-0.87878568578702243</v>
      </c>
      <c r="QO60">
        <v>-0.98628408851647009</v>
      </c>
      <c r="QP60">
        <v>-1.139349663190615</v>
      </c>
      <c r="QQ60">
        <v>-1.330257782315613</v>
      </c>
      <c r="QR60">
        <v>-1.4788651024094579</v>
      </c>
      <c r="QS60">
        <v>-1.4745466110982191</v>
      </c>
      <c r="QT60">
        <v>-1.348826801987514</v>
      </c>
      <c r="QU60">
        <v>-1.433062195240268</v>
      </c>
      <c r="QV60">
        <v>-1.1768909876768701</v>
      </c>
      <c r="QW60">
        <v>-1.0678514482798109</v>
      </c>
      <c r="AHB60">
        <v>7.1299458530234014E-3</v>
      </c>
      <c r="AHC60">
        <v>7.1299458530234014E-3</v>
      </c>
      <c r="AHD60">
        <v>-0.13022112297926469</v>
      </c>
      <c r="AHE60">
        <v>-0.13022112297926469</v>
      </c>
      <c r="AHF60">
        <v>0.17271865870228001</v>
      </c>
      <c r="AHG60">
        <v>0.17271865870228001</v>
      </c>
      <c r="AHH60">
        <v>0.1760787773550874</v>
      </c>
      <c r="AHI60">
        <v>0.1760787773550874</v>
      </c>
      <c r="AHJ60">
        <v>0.27236590800899307</v>
      </c>
      <c r="AHK60">
        <v>0.27236590800899307</v>
      </c>
      <c r="AHL60">
        <v>0.32946044162983412</v>
      </c>
      <c r="AHM60">
        <v>0.32946044162983412</v>
      </c>
      <c r="AHN60">
        <v>0.66289391313685542</v>
      </c>
      <c r="AHO60">
        <v>0.66289391313685542</v>
      </c>
      <c r="AHP60">
        <v>0.2990048414232831</v>
      </c>
      <c r="AHQ60">
        <v>0.2990048414232831</v>
      </c>
      <c r="AHR60">
        <v>-0.14482754652249241</v>
      </c>
      <c r="AHS60">
        <v>-0.14482754652249241</v>
      </c>
      <c r="AHT60">
        <v>-0.38069628484012702</v>
      </c>
      <c r="AHU60">
        <v>-0.38069628484012702</v>
      </c>
      <c r="AHV60">
        <v>-0.46635808519917532</v>
      </c>
      <c r="AHW60">
        <v>-0.46635808519917532</v>
      </c>
      <c r="AHX60">
        <v>-0.87878568578702243</v>
      </c>
      <c r="AHY60">
        <v>-0.87878568578702243</v>
      </c>
      <c r="AHZ60">
        <v>-0.98628408851647009</v>
      </c>
      <c r="AIA60">
        <v>-0.98628408851647009</v>
      </c>
      <c r="AIB60">
        <v>-1.139349663190615</v>
      </c>
      <c r="AIC60">
        <v>-1.139349663190615</v>
      </c>
      <c r="AID60">
        <v>-1.330257782315613</v>
      </c>
      <c r="AIE60">
        <v>-1.330257782315613</v>
      </c>
      <c r="AIF60">
        <v>-1.4788651024094579</v>
      </c>
      <c r="AIG60">
        <v>-1.4788651024094579</v>
      </c>
      <c r="AIH60">
        <v>-1.4750741288199549</v>
      </c>
      <c r="AII60">
        <v>-1.4750741288199549</v>
      </c>
      <c r="AIJ60">
        <v>-1.348826801987514</v>
      </c>
      <c r="AIK60">
        <v>-1.348826801987514</v>
      </c>
      <c r="AIL60">
        <v>-1.433062195240268</v>
      </c>
      <c r="AIM60">
        <v>-1.433062195240268</v>
      </c>
      <c r="AIN60">
        <v>-1.1768909876768701</v>
      </c>
      <c r="AIO60">
        <v>-1.1768909876768701</v>
      </c>
      <c r="AIP60">
        <v>-1.097553439977105</v>
      </c>
      <c r="AIQ60">
        <v>-1.097553439977105</v>
      </c>
    </row>
    <row r="61" spans="1:1765" x14ac:dyDescent="0.35">
      <c r="A61" s="3" t="s">
        <v>30</v>
      </c>
      <c r="B61">
        <v>142.93172377894359</v>
      </c>
      <c r="C61">
        <v>141.76359297262081</v>
      </c>
      <c r="D61">
        <v>140.77111289432949</v>
      </c>
      <c r="E61">
        <v>140.479920042354</v>
      </c>
      <c r="F61">
        <v>140.5777261466236</v>
      </c>
      <c r="G61">
        <v>140.83918584669709</v>
      </c>
      <c r="H61">
        <v>139.96091861042149</v>
      </c>
      <c r="I61">
        <v>139.1762473968875</v>
      </c>
      <c r="J61">
        <v>140.5568480212375</v>
      </c>
      <c r="K61">
        <v>141.63737438029341</v>
      </c>
      <c r="L61">
        <v>142.26148065276919</v>
      </c>
      <c r="M61">
        <v>143.16123034585311</v>
      </c>
      <c r="N61">
        <v>142.52830876847571</v>
      </c>
      <c r="O61">
        <v>142.61418504516379</v>
      </c>
      <c r="P61">
        <v>142.32568890878849</v>
      </c>
      <c r="Q61">
        <v>142.55241379168919</v>
      </c>
      <c r="R61">
        <v>142.4104481417944</v>
      </c>
      <c r="S61">
        <v>142.6676377462401</v>
      </c>
      <c r="T61">
        <v>142.85057506367019</v>
      </c>
      <c r="U61">
        <v>142.57699929600611</v>
      </c>
      <c r="V61">
        <v>142.2495275268748</v>
      </c>
      <c r="W61">
        <v>142.75671075150279</v>
      </c>
      <c r="QD61">
        <v>141.25906437234201</v>
      </c>
      <c r="QE61">
        <v>140.38261790085849</v>
      </c>
      <c r="QF61">
        <v>140.48519407798031</v>
      </c>
      <c r="QG61">
        <v>141.29326173551939</v>
      </c>
      <c r="QH61">
        <v>139.947123117085</v>
      </c>
      <c r="QI61">
        <v>139.59746963115191</v>
      </c>
      <c r="QJ61">
        <v>139.61847061401241</v>
      </c>
      <c r="QK61">
        <v>141.10330526151691</v>
      </c>
      <c r="QL61">
        <v>141.98086359264479</v>
      </c>
      <c r="QM61">
        <v>142.47680052419491</v>
      </c>
      <c r="QN61">
        <v>142.9109935351531</v>
      </c>
      <c r="QO61">
        <v>142.77702850743211</v>
      </c>
      <c r="QP61">
        <v>142.4939589557431</v>
      </c>
      <c r="QQ61">
        <v>142.15206026015781</v>
      </c>
      <c r="QR61">
        <v>142.4695282791177</v>
      </c>
      <c r="QS61">
        <v>142.6683839539084</v>
      </c>
      <c r="QT61">
        <v>142.68476241356339</v>
      </c>
      <c r="QU61">
        <v>142.67406072034021</v>
      </c>
      <c r="QV61">
        <v>142.60994291106849</v>
      </c>
      <c r="QW61">
        <v>142.30863894044509</v>
      </c>
      <c r="AHB61">
        <v>142.5612015519261</v>
      </c>
      <c r="AHC61">
        <v>142.5612015519261</v>
      </c>
      <c r="AHD61">
        <v>141.2590643723419</v>
      </c>
      <c r="AHE61">
        <v>141.2590643723419</v>
      </c>
      <c r="AHF61">
        <v>140.38261790085849</v>
      </c>
      <c r="AHG61">
        <v>140.38261790085849</v>
      </c>
      <c r="AHH61">
        <v>140.48519407798031</v>
      </c>
      <c r="AHI61">
        <v>140.48519407798031</v>
      </c>
      <c r="AHJ61">
        <v>141.29326173551939</v>
      </c>
      <c r="AHK61">
        <v>141.29326173551939</v>
      </c>
      <c r="AHL61">
        <v>139.94712311708511</v>
      </c>
      <c r="AHM61">
        <v>139.94712311708511</v>
      </c>
      <c r="AHN61">
        <v>139.59746963115199</v>
      </c>
      <c r="AHO61">
        <v>139.59746963115199</v>
      </c>
      <c r="AHP61">
        <v>139.61847061401241</v>
      </c>
      <c r="AHQ61">
        <v>139.61847061401241</v>
      </c>
      <c r="AHR61">
        <v>141.10330526151691</v>
      </c>
      <c r="AHS61">
        <v>141.10330526151691</v>
      </c>
      <c r="AHT61">
        <v>141.98086359264471</v>
      </c>
      <c r="AHU61">
        <v>141.98086359264471</v>
      </c>
      <c r="AHV61">
        <v>142.47680052419491</v>
      </c>
      <c r="AHW61">
        <v>142.47680052419491</v>
      </c>
      <c r="AHX61">
        <v>142.9109935351531</v>
      </c>
      <c r="AHY61">
        <v>142.9109935351531</v>
      </c>
      <c r="AHZ61">
        <v>142.77702850743211</v>
      </c>
      <c r="AIA61">
        <v>142.77702850743211</v>
      </c>
      <c r="AIB61">
        <v>142.4939589557431</v>
      </c>
      <c r="AIC61">
        <v>142.4939589557431</v>
      </c>
      <c r="AID61">
        <v>142.15206026015781</v>
      </c>
      <c r="AIE61">
        <v>142.15206026015781</v>
      </c>
      <c r="AIF61">
        <v>142.46952827911761</v>
      </c>
      <c r="AIG61">
        <v>142.46952827911761</v>
      </c>
      <c r="AIH61">
        <v>142.66830064907811</v>
      </c>
      <c r="AII61">
        <v>142.66830064907811</v>
      </c>
      <c r="AIJ61">
        <v>142.6847624135635</v>
      </c>
      <c r="AIK61">
        <v>142.6847624135635</v>
      </c>
      <c r="AIL61">
        <v>142.67406072034021</v>
      </c>
      <c r="AIM61">
        <v>142.67406072034021</v>
      </c>
      <c r="AIN61">
        <v>142.60994291106849</v>
      </c>
      <c r="AIO61">
        <v>142.60994291106849</v>
      </c>
      <c r="AIP61">
        <v>142.3298901476972</v>
      </c>
      <c r="AIQ61">
        <v>142.3298901476972</v>
      </c>
    </row>
    <row r="62" spans="1:1765" x14ac:dyDescent="0.35">
      <c r="A62" s="5" t="s">
        <v>31</v>
      </c>
      <c r="B62">
        <v>2.0123979054842871</v>
      </c>
      <c r="C62">
        <v>1.9106669031583681</v>
      </c>
      <c r="D62">
        <v>1.906761836730372</v>
      </c>
      <c r="E62">
        <v>1.8967606636140319</v>
      </c>
      <c r="F62">
        <v>1.865304438323977</v>
      </c>
      <c r="G62">
        <v>1.9281634580078451</v>
      </c>
      <c r="H62">
        <v>1.8843405971104961</v>
      </c>
      <c r="I62">
        <v>1.8560476904071921</v>
      </c>
      <c r="J62">
        <v>1.7791664285415041</v>
      </c>
      <c r="K62">
        <v>1.752949739645469</v>
      </c>
      <c r="L62">
        <v>1.760083029331784</v>
      </c>
      <c r="M62">
        <v>1.7432692508893439</v>
      </c>
      <c r="N62">
        <v>1.721971487735829</v>
      </c>
      <c r="O62">
        <v>1.697378989380395</v>
      </c>
      <c r="P62">
        <v>1.687096214995387</v>
      </c>
      <c r="Q62">
        <v>1.6455915286513769</v>
      </c>
      <c r="R62">
        <v>1.640035690592812</v>
      </c>
      <c r="S62">
        <v>1.6533787652689691</v>
      </c>
      <c r="T62">
        <v>1.6284183237072991</v>
      </c>
      <c r="U62">
        <v>1.622559781612924</v>
      </c>
      <c r="V62">
        <v>1.635271398315473</v>
      </c>
      <c r="W62">
        <v>1.6323274508559089</v>
      </c>
      <c r="QD62">
        <v>1.900811887454591</v>
      </c>
      <c r="QE62">
        <v>1.916389706932113</v>
      </c>
      <c r="QF62">
        <v>1.8611089286740949</v>
      </c>
      <c r="QG62">
        <v>1.9252675453926491</v>
      </c>
      <c r="QH62">
        <v>1.897617231193097</v>
      </c>
      <c r="QI62">
        <v>1.886750172901549</v>
      </c>
      <c r="QJ62">
        <v>1.8189829515933631</v>
      </c>
      <c r="QK62">
        <v>1.756518519813808</v>
      </c>
      <c r="QL62">
        <v>1.776269164453157</v>
      </c>
      <c r="QM62">
        <v>1.7552865776734019</v>
      </c>
      <c r="QN62">
        <v>1.71378793965447</v>
      </c>
      <c r="QO62">
        <v>1.7113427577433691</v>
      </c>
      <c r="QP62">
        <v>1.699990746417477</v>
      </c>
      <c r="QQ62">
        <v>1.6592608468119909</v>
      </c>
      <c r="QR62">
        <v>1.651876286033213</v>
      </c>
      <c r="QS62">
        <v>1.626753142452835</v>
      </c>
      <c r="QT62">
        <v>1.6686599893470579</v>
      </c>
      <c r="QU62">
        <v>1.6182909057603529</v>
      </c>
      <c r="QV62">
        <v>1.619114428829654</v>
      </c>
      <c r="QW62">
        <v>1.621821191594407</v>
      </c>
      <c r="AHB62">
        <v>1.951192058579138</v>
      </c>
      <c r="AHC62">
        <v>1.951192058579138</v>
      </c>
      <c r="AHD62">
        <v>1.900811887454591</v>
      </c>
      <c r="AHE62">
        <v>1.900811887454591</v>
      </c>
      <c r="AHF62">
        <v>1.916389706932113</v>
      </c>
      <c r="AHG62">
        <v>1.916389706932113</v>
      </c>
      <c r="AHH62">
        <v>1.8611089286740949</v>
      </c>
      <c r="AHI62">
        <v>1.8611089286740949</v>
      </c>
      <c r="AHJ62">
        <v>1.9252675453926491</v>
      </c>
      <c r="AHK62">
        <v>1.9252675453926491</v>
      </c>
      <c r="AHL62">
        <v>1.8976172311930981</v>
      </c>
      <c r="AHM62">
        <v>1.8976172311930981</v>
      </c>
      <c r="AHN62">
        <v>1.886750172901549</v>
      </c>
      <c r="AHO62">
        <v>1.886750172901549</v>
      </c>
      <c r="AHP62">
        <v>1.8189829515933631</v>
      </c>
      <c r="AHQ62">
        <v>1.8189829515933631</v>
      </c>
      <c r="AHR62">
        <v>1.756518519813808</v>
      </c>
      <c r="AHS62">
        <v>1.756518519813808</v>
      </c>
      <c r="AHT62">
        <v>1.776269164453157</v>
      </c>
      <c r="AHU62">
        <v>1.776269164453157</v>
      </c>
      <c r="AHV62">
        <v>1.7552865776734019</v>
      </c>
      <c r="AHW62">
        <v>1.7552865776734019</v>
      </c>
      <c r="AHX62">
        <v>1.71378793965447</v>
      </c>
      <c r="AHY62">
        <v>1.71378793965447</v>
      </c>
      <c r="AHZ62">
        <v>1.7113427577433691</v>
      </c>
      <c r="AIA62">
        <v>1.7113427577433691</v>
      </c>
      <c r="AIB62">
        <v>1.699990746417477</v>
      </c>
      <c r="AIC62">
        <v>1.699990746417477</v>
      </c>
      <c r="AID62">
        <v>1.6592608468119909</v>
      </c>
      <c r="AIE62">
        <v>1.6592608468119909</v>
      </c>
      <c r="AIF62">
        <v>1.651876286033213</v>
      </c>
      <c r="AIG62">
        <v>1.651876286033213</v>
      </c>
      <c r="AIH62">
        <v>1.6269101083166659</v>
      </c>
      <c r="AII62">
        <v>1.6269101083166659</v>
      </c>
      <c r="AIJ62">
        <v>1.6686599893470579</v>
      </c>
      <c r="AIK62">
        <v>1.6686599893470579</v>
      </c>
      <c r="AIL62">
        <v>1.6182909057603529</v>
      </c>
      <c r="AIM62">
        <v>1.6182909057603529</v>
      </c>
      <c r="AIN62">
        <v>1.619114428829654</v>
      </c>
      <c r="AIO62">
        <v>1.619114428829654</v>
      </c>
      <c r="AIP62">
        <v>1.622293892675196</v>
      </c>
      <c r="AIQ62">
        <v>1.622293892675196</v>
      </c>
    </row>
    <row r="64" spans="1:1765" x14ac:dyDescent="0.35">
      <c r="A64" s="1" t="s">
        <v>38</v>
      </c>
      <c r="B64" s="119">
        <f t="shared" ref="B64:W64" si="6">B55</f>
        <v>45291</v>
      </c>
      <c r="C64" s="119">
        <f t="shared" si="6"/>
        <v>45298</v>
      </c>
      <c r="D64" s="119">
        <f t="shared" si="6"/>
        <v>45305</v>
      </c>
      <c r="E64" s="119">
        <f t="shared" si="6"/>
        <v>45312</v>
      </c>
      <c r="F64" s="119">
        <f t="shared" si="6"/>
        <v>45319</v>
      </c>
      <c r="G64" s="119">
        <f t="shared" si="6"/>
        <v>45326</v>
      </c>
      <c r="H64" s="119">
        <f t="shared" si="6"/>
        <v>45333</v>
      </c>
      <c r="I64" s="119">
        <f t="shared" si="6"/>
        <v>45340</v>
      </c>
      <c r="J64" s="119">
        <f t="shared" si="6"/>
        <v>45347</v>
      </c>
      <c r="K64" s="119">
        <f t="shared" si="6"/>
        <v>45354</v>
      </c>
      <c r="L64" s="119">
        <f t="shared" si="6"/>
        <v>45361</v>
      </c>
      <c r="M64" s="119">
        <f t="shared" si="6"/>
        <v>45368</v>
      </c>
      <c r="N64" s="119">
        <f t="shared" si="6"/>
        <v>45375</v>
      </c>
      <c r="O64" s="119">
        <f t="shared" si="6"/>
        <v>45382</v>
      </c>
      <c r="P64" s="119">
        <f t="shared" si="6"/>
        <v>45389</v>
      </c>
      <c r="Q64" s="119">
        <f t="shared" si="6"/>
        <v>45396</v>
      </c>
      <c r="R64" s="119">
        <f t="shared" si="6"/>
        <v>45403</v>
      </c>
      <c r="S64" s="119">
        <f t="shared" si="6"/>
        <v>45410</v>
      </c>
      <c r="T64" s="119">
        <f t="shared" si="6"/>
        <v>45417</v>
      </c>
      <c r="U64" s="119">
        <f t="shared" si="6"/>
        <v>45424</v>
      </c>
      <c r="V64" s="119">
        <f t="shared" si="6"/>
        <v>45431</v>
      </c>
      <c r="W64" s="119">
        <f t="shared" si="6"/>
        <v>45438</v>
      </c>
    </row>
    <row r="65" spans="1:885" x14ac:dyDescent="0.35">
      <c r="A65" s="101" t="s">
        <v>25</v>
      </c>
      <c r="B65">
        <v>139.61095755820941</v>
      </c>
      <c r="C65">
        <v>138.9987322493651</v>
      </c>
      <c r="D65">
        <v>138.50316788636269</v>
      </c>
      <c r="E65">
        <v>138.4290754056145</v>
      </c>
      <c r="F65">
        <v>138.44765510382649</v>
      </c>
      <c r="G65">
        <v>138.49360529136311</v>
      </c>
      <c r="H65">
        <v>137.81737363672781</v>
      </c>
      <c r="I65">
        <v>137.03055657618449</v>
      </c>
      <c r="J65">
        <v>137.89498892049721</v>
      </c>
      <c r="K65">
        <v>138.48572412407199</v>
      </c>
      <c r="L65">
        <v>138.78700115768959</v>
      </c>
      <c r="M65">
        <v>138.98869310234431</v>
      </c>
      <c r="N65">
        <v>138.77370072303711</v>
      </c>
      <c r="O65">
        <v>138.82765108005501</v>
      </c>
      <c r="P65">
        <v>139.13624794801791</v>
      </c>
      <c r="Q65">
        <v>139.24492484920231</v>
      </c>
      <c r="R65">
        <v>139.48701108458269</v>
      </c>
      <c r="S65">
        <v>139.51628657985879</v>
      </c>
      <c r="T65">
        <v>139.55252648189821</v>
      </c>
      <c r="U65">
        <v>139.34260019939271</v>
      </c>
      <c r="V65">
        <v>139.58374305530211</v>
      </c>
      <c r="W65">
        <v>140.02311393212921</v>
      </c>
      <c r="X65">
        <v>129.43667556699259</v>
      </c>
      <c r="Y65">
        <v>128.5449211659614</v>
      </c>
      <c r="Z65">
        <v>128.3523362883148</v>
      </c>
      <c r="AA65">
        <v>129.10504999140741</v>
      </c>
      <c r="AB65">
        <v>129.45139966140749</v>
      </c>
      <c r="AC65">
        <v>130.38550749897621</v>
      </c>
      <c r="AD65">
        <v>129.5617162627529</v>
      </c>
      <c r="AE65">
        <v>129.65525131404371</v>
      </c>
      <c r="AF65">
        <v>130.537398370913</v>
      </c>
      <c r="AG65">
        <v>130.93280788047579</v>
      </c>
      <c r="AH65">
        <v>131.3596956418595</v>
      </c>
      <c r="AI65">
        <v>131.34043458365909</v>
      </c>
      <c r="AJ65">
        <v>131.47186015187549</v>
      </c>
      <c r="AK65">
        <v>133.1582380427875</v>
      </c>
      <c r="AL65">
        <v>133.2469986469271</v>
      </c>
      <c r="AM65">
        <v>133.77764324930769</v>
      </c>
      <c r="AN65">
        <v>133.09882683249819</v>
      </c>
      <c r="AO65">
        <v>133.0102502833891</v>
      </c>
      <c r="AP65">
        <v>133.87338592082531</v>
      </c>
      <c r="AQ65">
        <v>133.90417154509711</v>
      </c>
      <c r="AR65">
        <v>134.5461031277994</v>
      </c>
      <c r="AS65">
        <v>133.80632460864811</v>
      </c>
      <c r="AT65">
        <v>133.60980757637981</v>
      </c>
      <c r="AU65">
        <v>133.96303903137911</v>
      </c>
      <c r="AV65">
        <v>133.93808188569949</v>
      </c>
      <c r="AW65">
        <v>134.7923533810538</v>
      </c>
      <c r="AX65">
        <v>134.11067888115991</v>
      </c>
      <c r="AY65">
        <v>134.82438150958399</v>
      </c>
      <c r="AZ65">
        <v>134.38971562150289</v>
      </c>
      <c r="BA65">
        <v>134.51863515600229</v>
      </c>
      <c r="BB65">
        <v>134.4098170039868</v>
      </c>
      <c r="BC65">
        <v>134.5427316276965</v>
      </c>
      <c r="BD65">
        <v>134.91519968511349</v>
      </c>
      <c r="BE65">
        <v>135.00233181778171</v>
      </c>
      <c r="BF65">
        <v>135.52158100473929</v>
      </c>
      <c r="BG65">
        <v>134.51006281943069</v>
      </c>
      <c r="BH65">
        <v>134.9942888319184</v>
      </c>
      <c r="BI65">
        <v>134.63142864175069</v>
      </c>
      <c r="BJ65">
        <v>134.31837085037091</v>
      </c>
      <c r="BK65">
        <v>134.50904634742909</v>
      </c>
      <c r="BL65">
        <v>134.41743099015471</v>
      </c>
      <c r="BM65">
        <v>135.21969776767031</v>
      </c>
      <c r="BN65">
        <v>135.7646388101391</v>
      </c>
      <c r="BO65">
        <v>135.24477706308599</v>
      </c>
      <c r="BP65">
        <v>135.25618819976691</v>
      </c>
      <c r="BQ65">
        <v>136.1527820998844</v>
      </c>
      <c r="BR65">
        <v>136.42197196083711</v>
      </c>
      <c r="BS65">
        <v>135.9214610686461</v>
      </c>
      <c r="BT65">
        <v>135.71210555885651</v>
      </c>
      <c r="BU65">
        <v>136.91880689018959</v>
      </c>
      <c r="BV65">
        <v>136.57941904462311</v>
      </c>
      <c r="BW65">
        <v>137.12643123235549</v>
      </c>
      <c r="BX65">
        <v>137.68027595848301</v>
      </c>
      <c r="BY65">
        <v>137.81901295607551</v>
      </c>
      <c r="BZ65">
        <v>136.84981536187161</v>
      </c>
      <c r="CA65">
        <v>136.87917366564881</v>
      </c>
      <c r="CB65">
        <v>135.8127107473897</v>
      </c>
      <c r="CC65">
        <v>136.81048534562279</v>
      </c>
      <c r="CD65">
        <v>136.74252701831091</v>
      </c>
      <c r="CE65">
        <v>136.67878189141439</v>
      </c>
      <c r="CF65">
        <v>134.45956720083939</v>
      </c>
      <c r="CG65">
        <v>134.82212667403871</v>
      </c>
      <c r="CH65">
        <v>136.03034220943221</v>
      </c>
      <c r="CI65">
        <v>136.0854187057694</v>
      </c>
      <c r="CJ65">
        <v>136.34660434359839</v>
      </c>
      <c r="CK65">
        <v>136.37184580958939</v>
      </c>
      <c r="CL65">
        <v>137.5726789753476</v>
      </c>
      <c r="CM65">
        <v>137.82672237763489</v>
      </c>
      <c r="CN65">
        <v>137.83662389031511</v>
      </c>
      <c r="CO65">
        <v>137.19885749113519</v>
      </c>
      <c r="CP65">
        <v>137.69861993381161</v>
      </c>
      <c r="CQ65">
        <v>136.60488626106061</v>
      </c>
      <c r="CR65">
        <v>138.51397246339391</v>
      </c>
      <c r="CS65">
        <v>137.3213821017988</v>
      </c>
      <c r="CT65">
        <v>137.47806085227069</v>
      </c>
      <c r="CU65">
        <v>138.2304562243074</v>
      </c>
      <c r="CV65">
        <v>137.9566772123064</v>
      </c>
      <c r="CW65">
        <v>138.00679135622539</v>
      </c>
      <c r="CX65">
        <v>137.81403974229519</v>
      </c>
      <c r="CY65">
        <v>137.6708441539723</v>
      </c>
      <c r="CZ65">
        <v>137.05388899891591</v>
      </c>
      <c r="DA65">
        <v>137.86501837784311</v>
      </c>
      <c r="DB65">
        <v>137.3407050261699</v>
      </c>
      <c r="DC65">
        <v>137.87304928911689</v>
      </c>
      <c r="DD65">
        <v>137.50249364193741</v>
      </c>
      <c r="DE65">
        <v>137.24540216298209</v>
      </c>
      <c r="DF65">
        <v>137.02058299181951</v>
      </c>
      <c r="DG65">
        <v>137.36393163570051</v>
      </c>
      <c r="DH65">
        <v>137.17783408665991</v>
      </c>
      <c r="DI65">
        <v>137.25262086131929</v>
      </c>
      <c r="DJ65">
        <v>137.5796590248502</v>
      </c>
      <c r="DK65">
        <v>137.9920809478063</v>
      </c>
      <c r="DL65">
        <v>137.35432402674829</v>
      </c>
      <c r="DM65">
        <v>137.65833185828109</v>
      </c>
      <c r="DN65">
        <v>137.6920294948695</v>
      </c>
      <c r="DO65">
        <v>137.04281171407479</v>
      </c>
      <c r="DP65">
        <v>136.43684627615991</v>
      </c>
      <c r="DQ65">
        <v>136.52984201294541</v>
      </c>
      <c r="DR65">
        <v>137.81299480909249</v>
      </c>
      <c r="DS65">
        <v>136.99048984498941</v>
      </c>
      <c r="DT65">
        <v>136.70139768038291</v>
      </c>
      <c r="DU65">
        <v>135.61580222652429</v>
      </c>
      <c r="DV65">
        <v>136.07954742206061</v>
      </c>
      <c r="DW65">
        <v>136.17554430104889</v>
      </c>
      <c r="DX65">
        <v>135.75925906595981</v>
      </c>
      <c r="DY65">
        <v>137.1367780903158</v>
      </c>
      <c r="DZ65">
        <v>136.48546813216959</v>
      </c>
      <c r="EA65">
        <v>136.1644964156585</v>
      </c>
      <c r="EB65">
        <v>136.6565496190384</v>
      </c>
      <c r="EC65">
        <v>136.39180894684989</v>
      </c>
      <c r="ED65">
        <v>135.693906125111</v>
      </c>
      <c r="EE65">
        <v>134.9696372602948</v>
      </c>
      <c r="EF65">
        <v>135.44860545584939</v>
      </c>
      <c r="EG65">
        <v>133.73568704925839</v>
      </c>
      <c r="EH65">
        <v>134.21019138600661</v>
      </c>
      <c r="EI65">
        <v>135.0904948750549</v>
      </c>
      <c r="EJ65">
        <v>135.29655474449899</v>
      </c>
      <c r="EK65">
        <v>135.69163206074171</v>
      </c>
      <c r="EL65">
        <v>136.37187397630339</v>
      </c>
      <c r="EM65">
        <v>136.51354144081441</v>
      </c>
      <c r="EN65">
        <v>136.14733025365729</v>
      </c>
      <c r="EO65">
        <v>136.39252986701399</v>
      </c>
      <c r="EP65">
        <v>136.8111244178161</v>
      </c>
      <c r="EQ65">
        <v>136.35771215478329</v>
      </c>
      <c r="ER65">
        <v>136.63283618406749</v>
      </c>
      <c r="ES65">
        <v>136.4027673782374</v>
      </c>
      <c r="ET65">
        <v>136.35972707596699</v>
      </c>
      <c r="EU65">
        <v>137.0617228253885</v>
      </c>
      <c r="EV65">
        <v>136.2360363891168</v>
      </c>
      <c r="EW65">
        <v>136.93731133901869</v>
      </c>
      <c r="EX65">
        <v>136.7689355278097</v>
      </c>
      <c r="EY65">
        <v>136.42260631067759</v>
      </c>
      <c r="EZ65">
        <v>136.8724898415656</v>
      </c>
      <c r="FA65">
        <v>136.98236597193039</v>
      </c>
      <c r="FB65">
        <v>136.32037410172711</v>
      </c>
      <c r="FC65">
        <v>136.20349949567981</v>
      </c>
      <c r="FD65">
        <v>135.96102875616569</v>
      </c>
      <c r="FE65">
        <v>136.64663674350149</v>
      </c>
      <c r="FF65">
        <v>135.5203459322006</v>
      </c>
      <c r="FG65">
        <v>135.58513648972851</v>
      </c>
      <c r="FH65">
        <v>136.76897901517029</v>
      </c>
      <c r="FI65">
        <v>136.53590699115239</v>
      </c>
      <c r="FJ65">
        <v>136.55600152374021</v>
      </c>
      <c r="FK65">
        <v>136.23738854117079</v>
      </c>
      <c r="FL65">
        <v>135.38017625718399</v>
      </c>
      <c r="FM65">
        <v>136.86208599637911</v>
      </c>
      <c r="FN65">
        <v>137.31161357954369</v>
      </c>
      <c r="FO65">
        <v>136.41234386930219</v>
      </c>
      <c r="FP65">
        <v>136.96851836243579</v>
      </c>
      <c r="FQ65">
        <v>135.68784779927111</v>
      </c>
      <c r="FR65">
        <v>136.2743403077518</v>
      </c>
      <c r="FS65">
        <v>135.9477558212732</v>
      </c>
      <c r="FT65">
        <v>136.75955028321229</v>
      </c>
      <c r="FU65">
        <v>136.10691569066731</v>
      </c>
      <c r="FV65">
        <v>136.11297390533349</v>
      </c>
      <c r="FW65">
        <v>136.15914378832949</v>
      </c>
      <c r="FX65">
        <v>136.4109597507902</v>
      </c>
      <c r="FY65">
        <v>136.47930087479941</v>
      </c>
      <c r="FZ65">
        <v>137.68817411444539</v>
      </c>
      <c r="GA65">
        <v>136.90564473666109</v>
      </c>
      <c r="GB65">
        <v>135.4620729245236</v>
      </c>
      <c r="GC65">
        <v>135.2357329762514</v>
      </c>
      <c r="GD65">
        <v>134.9213417487083</v>
      </c>
      <c r="GE65">
        <v>135.83256465725981</v>
      </c>
      <c r="GF65">
        <v>136.21848082334861</v>
      </c>
      <c r="GG65">
        <v>136.03238382203901</v>
      </c>
      <c r="GH65">
        <v>135.25865539006671</v>
      </c>
      <c r="GI65">
        <v>133.7040643285612</v>
      </c>
      <c r="GJ65">
        <v>134.48056624202351</v>
      </c>
      <c r="GK65">
        <v>135.3825707789355</v>
      </c>
      <c r="GL65">
        <v>135.7501803660754</v>
      </c>
      <c r="GM65">
        <v>136.0386824227343</v>
      </c>
      <c r="GN65">
        <v>135.64117771340281</v>
      </c>
      <c r="GO65">
        <v>135.92776154062639</v>
      </c>
      <c r="GP65">
        <v>136.0612946819941</v>
      </c>
      <c r="GQ65">
        <v>135.55599209771779</v>
      </c>
      <c r="GR65">
        <v>135.33991699714451</v>
      </c>
      <c r="GS65">
        <v>135.87294017871869</v>
      </c>
      <c r="GT65">
        <v>135.70398783647099</v>
      </c>
      <c r="GU65">
        <v>134.95569588317039</v>
      </c>
      <c r="GV65">
        <v>135.34044140975129</v>
      </c>
      <c r="GW65">
        <v>135.84700688475741</v>
      </c>
      <c r="GX65">
        <v>135.15348311063451</v>
      </c>
      <c r="GY65">
        <v>135.603101361065</v>
      </c>
      <c r="GZ65">
        <v>135.91737756563589</v>
      </c>
      <c r="HA65">
        <v>135.83095294683841</v>
      </c>
      <c r="HB65">
        <v>135.78395401472781</v>
      </c>
      <c r="HC65">
        <v>135.16859391197161</v>
      </c>
      <c r="HD65">
        <v>135.08215255393819</v>
      </c>
      <c r="HE65">
        <v>135.550700513945</v>
      </c>
      <c r="HF65">
        <v>135.7527802042033</v>
      </c>
      <c r="HG65">
        <v>135.37206335590301</v>
      </c>
      <c r="HH65">
        <v>135.43257900238879</v>
      </c>
      <c r="HI65">
        <v>134.88811540224739</v>
      </c>
      <c r="HJ65">
        <v>135.00014749033741</v>
      </c>
      <c r="HK65">
        <v>134.7686849791682</v>
      </c>
      <c r="HL65">
        <v>134.7476785206803</v>
      </c>
      <c r="HM65">
        <v>134.57803899046911</v>
      </c>
      <c r="HN65">
        <v>134.69254106192341</v>
      </c>
      <c r="HO65">
        <v>134.81568428657991</v>
      </c>
      <c r="HP65">
        <v>135.07173050145551</v>
      </c>
      <c r="HQ65">
        <v>134.5103721661032</v>
      </c>
      <c r="HR65">
        <v>134.1138632099192</v>
      </c>
      <c r="HS65">
        <v>134.24810153131739</v>
      </c>
      <c r="HT65">
        <v>133.93688457038681</v>
      </c>
      <c r="HU65">
        <v>134.26990416315249</v>
      </c>
      <c r="HV65">
        <v>134.39395186462841</v>
      </c>
      <c r="HW65">
        <v>134.04176448867571</v>
      </c>
      <c r="HX65">
        <v>133.84089206040389</v>
      </c>
      <c r="HY65">
        <v>134.2597572975819</v>
      </c>
      <c r="HZ65">
        <v>134.7784382516401</v>
      </c>
      <c r="IA65">
        <v>134.61931297939199</v>
      </c>
      <c r="IB65">
        <v>133.64281469699671</v>
      </c>
      <c r="IC65">
        <v>133.78132830045391</v>
      </c>
      <c r="ID65">
        <v>134.11867995597311</v>
      </c>
      <c r="IE65">
        <v>134.4309709848591</v>
      </c>
      <c r="IF65">
        <v>135.0337260162508</v>
      </c>
      <c r="IG65">
        <v>134.48124998667919</v>
      </c>
      <c r="IH65">
        <v>134.94014287223379</v>
      </c>
      <c r="II65">
        <v>135.06248636928069</v>
      </c>
      <c r="IJ65">
        <v>133.47873117127929</v>
      </c>
      <c r="IK65">
        <v>134.23069242691031</v>
      </c>
      <c r="IL65">
        <v>134.64365115726301</v>
      </c>
      <c r="IM65">
        <v>134.00393920008841</v>
      </c>
      <c r="IN65">
        <v>133.54662246703089</v>
      </c>
      <c r="IO65">
        <v>133.186818412707</v>
      </c>
      <c r="IP65">
        <v>132.74710499536511</v>
      </c>
      <c r="IQ65">
        <v>133.62788551508771</v>
      </c>
      <c r="IR65">
        <v>135.3296571459328</v>
      </c>
      <c r="IS65">
        <v>136.29979303567529</v>
      </c>
      <c r="IT65">
        <v>136.5299077604065</v>
      </c>
      <c r="IU65">
        <v>136.9252968362525</v>
      </c>
      <c r="IV65">
        <v>137.7263896713751</v>
      </c>
      <c r="IW65">
        <v>137.37717163771401</v>
      </c>
      <c r="IX65">
        <v>138.05729166005119</v>
      </c>
      <c r="IY65">
        <v>137.7549773861241</v>
      </c>
      <c r="IZ65">
        <v>138.09955093224929</v>
      </c>
      <c r="JA65">
        <v>137.9749357016554</v>
      </c>
      <c r="JB65">
        <v>138.01337156419771</v>
      </c>
      <c r="JC65">
        <v>137.91029756874789</v>
      </c>
      <c r="JD65">
        <v>138.16794743470211</v>
      </c>
      <c r="JE65">
        <v>137.86262684415729</v>
      </c>
      <c r="JF65">
        <v>137.87223000667379</v>
      </c>
      <c r="JG65">
        <v>138.09699453423181</v>
      </c>
      <c r="JH65">
        <v>137.9601003437941</v>
      </c>
      <c r="JI65">
        <v>137.4963972186176</v>
      </c>
      <c r="JJ65">
        <v>137.19374413040299</v>
      </c>
      <c r="JK65">
        <v>137.39773727821779</v>
      </c>
      <c r="JL65">
        <v>137.16863400187589</v>
      </c>
      <c r="JM65">
        <v>137.40400075226361</v>
      </c>
      <c r="JN65">
        <v>137.24349384294109</v>
      </c>
      <c r="JO65">
        <v>136.638714622507</v>
      </c>
      <c r="JP65">
        <v>136.89749604804689</v>
      </c>
      <c r="JQ65">
        <v>136.3042808447714</v>
      </c>
      <c r="JR65">
        <v>136.98227922135339</v>
      </c>
      <c r="JS65">
        <v>136.39369119818619</v>
      </c>
      <c r="JT65">
        <v>135.76245268507</v>
      </c>
      <c r="JU65">
        <v>136.1163941621349</v>
      </c>
      <c r="JV65">
        <v>135.99866954005981</v>
      </c>
      <c r="JW65">
        <v>135.88602686912091</v>
      </c>
      <c r="JX65">
        <v>136.1752372360254</v>
      </c>
      <c r="JY65">
        <v>136.52593295727041</v>
      </c>
      <c r="JZ65">
        <v>136.25670537237781</v>
      </c>
      <c r="KA65">
        <v>136.84738788008951</v>
      </c>
      <c r="KB65">
        <v>136.12371401541591</v>
      </c>
      <c r="KC65">
        <v>136.55979985758199</v>
      </c>
      <c r="KD65">
        <v>135.9474420327513</v>
      </c>
      <c r="KE65">
        <v>135.96580172613301</v>
      </c>
      <c r="KF65">
        <v>135.7130311383207</v>
      </c>
      <c r="KG65">
        <v>135.68468253232189</v>
      </c>
      <c r="KH65">
        <v>135.03299806702611</v>
      </c>
      <c r="KI65">
        <v>135.38253728910641</v>
      </c>
      <c r="KJ65">
        <v>135.08232619237461</v>
      </c>
      <c r="KK65">
        <v>134.69081980753941</v>
      </c>
      <c r="KL65">
        <v>134.70569872107421</v>
      </c>
      <c r="KM65">
        <v>134.90832613523611</v>
      </c>
      <c r="KN65">
        <v>134.73527312144259</v>
      </c>
      <c r="KO65">
        <v>135.2837535222057</v>
      </c>
      <c r="KP65">
        <v>135.0941915530681</v>
      </c>
      <c r="KQ65">
        <v>134.85531176598221</v>
      </c>
      <c r="KR65">
        <v>135.10438164320121</v>
      </c>
      <c r="KS65">
        <v>135.18121971991781</v>
      </c>
      <c r="KT65">
        <v>135.40823118220021</v>
      </c>
      <c r="KU65">
        <v>135.32460107719771</v>
      </c>
      <c r="KV65">
        <v>134.79724236466029</v>
      </c>
      <c r="KW65">
        <v>134.85823246596161</v>
      </c>
      <c r="KX65">
        <v>134.82808776720981</v>
      </c>
      <c r="KY65">
        <v>135.0256600664045</v>
      </c>
      <c r="KZ65">
        <v>134.8117835804598</v>
      </c>
      <c r="LA65">
        <v>134.76768757453391</v>
      </c>
      <c r="LB65">
        <v>134.34386395354659</v>
      </c>
      <c r="LC65">
        <v>133.57735986089091</v>
      </c>
      <c r="LD65">
        <v>133.58190847463081</v>
      </c>
      <c r="LE65">
        <v>133.60985377236091</v>
      </c>
      <c r="LF65">
        <v>134.2459517667595</v>
      </c>
      <c r="LG65">
        <v>136.8763231208091</v>
      </c>
      <c r="LH65">
        <v>136.99724892267059</v>
      </c>
      <c r="LI65">
        <v>134.15900907064781</v>
      </c>
      <c r="LJ65">
        <v>133.358018186945</v>
      </c>
      <c r="LK65">
        <v>133.54742843551159</v>
      </c>
      <c r="LL65">
        <v>133.58765488067129</v>
      </c>
      <c r="LM65">
        <v>133.6969826451768</v>
      </c>
      <c r="LN65">
        <v>133.60742988161331</v>
      </c>
      <c r="LO65">
        <v>133.45397978644141</v>
      </c>
      <c r="LP65">
        <v>133.4748500888312</v>
      </c>
      <c r="LQ65">
        <v>133.75804974288539</v>
      </c>
      <c r="LR65">
        <v>133.47057094308411</v>
      </c>
      <c r="LS65">
        <v>133.43190242803971</v>
      </c>
      <c r="LT65">
        <v>133.32897135154681</v>
      </c>
      <c r="LU65">
        <v>133.47890678005331</v>
      </c>
      <c r="LV65">
        <v>132.0686926154402</v>
      </c>
      <c r="LW65">
        <v>131.34075567017729</v>
      </c>
      <c r="LX65">
        <v>132.196536187433</v>
      </c>
      <c r="LY65">
        <v>132.1356392783116</v>
      </c>
      <c r="LZ65">
        <v>132.4990830993633</v>
      </c>
      <c r="MA65">
        <v>132.68511731711331</v>
      </c>
      <c r="MB65">
        <v>132.40779228183419</v>
      </c>
      <c r="MC65">
        <v>132.88984586111539</v>
      </c>
      <c r="MD65">
        <v>132.1437294931666</v>
      </c>
      <c r="ME65">
        <v>132.37491859628221</v>
      </c>
      <c r="MF65">
        <v>131.9681336958165</v>
      </c>
      <c r="MG65">
        <v>131.89348345679699</v>
      </c>
      <c r="MH65">
        <v>132.0704861903252</v>
      </c>
      <c r="MI65">
        <v>132.65697325217121</v>
      </c>
      <c r="MJ65">
        <v>133.15005939250301</v>
      </c>
      <c r="MK65">
        <v>133.60511741438731</v>
      </c>
      <c r="ML65">
        <v>132.9986210480364</v>
      </c>
      <c r="MM65">
        <v>133.28622635142949</v>
      </c>
      <c r="MN65">
        <v>133.45573978328849</v>
      </c>
      <c r="MO65">
        <v>133.55088825903539</v>
      </c>
      <c r="MP65">
        <v>133.90011676138579</v>
      </c>
      <c r="MQ65">
        <v>134.65027745036491</v>
      </c>
      <c r="MR65">
        <v>134.5572704132299</v>
      </c>
      <c r="MS65">
        <v>134.75973862687761</v>
      </c>
      <c r="MT65">
        <v>134.96883008133301</v>
      </c>
      <c r="MU65">
        <v>134.60860726770369</v>
      </c>
      <c r="MV65">
        <v>134.68077624844091</v>
      </c>
      <c r="MW65">
        <v>134.61006778509679</v>
      </c>
      <c r="MX65">
        <v>134.7717923539945</v>
      </c>
      <c r="MY65">
        <v>134.89346057554761</v>
      </c>
      <c r="MZ65">
        <v>134.9664687970141</v>
      </c>
      <c r="NA65">
        <v>134.98857376859061</v>
      </c>
      <c r="NB65">
        <v>135.2507379367452</v>
      </c>
      <c r="NC65">
        <v>135.78003966690451</v>
      </c>
      <c r="ND65">
        <v>135.8616126550121</v>
      </c>
      <c r="NE65">
        <v>135.95263848665641</v>
      </c>
      <c r="NF65">
        <v>135.75951940073969</v>
      </c>
      <c r="NG65">
        <v>135.67390778358151</v>
      </c>
      <c r="NH65">
        <v>135.93286915221219</v>
      </c>
      <c r="NI65">
        <v>136.13333443075371</v>
      </c>
      <c r="NJ65">
        <v>136.52388051573951</v>
      </c>
      <c r="NK65">
        <v>136.22318767722021</v>
      </c>
      <c r="NL65">
        <v>135.68310986354109</v>
      </c>
      <c r="NM65">
        <v>135.78807418722411</v>
      </c>
      <c r="NN65">
        <v>135.96411996563111</v>
      </c>
      <c r="NO65">
        <v>135.45987887012669</v>
      </c>
      <c r="NP65">
        <v>135.59604164425389</v>
      </c>
      <c r="NQ65">
        <v>135.23645894077879</v>
      </c>
      <c r="NR65">
        <v>136.13779636293131</v>
      </c>
      <c r="NS65">
        <v>136.46272304755919</v>
      </c>
      <c r="NT65">
        <v>137.0815299585179</v>
      </c>
      <c r="NU65">
        <v>136.98663346910729</v>
      </c>
      <c r="NV65">
        <v>137.59728773091081</v>
      </c>
      <c r="NW65">
        <v>137.8562382764153</v>
      </c>
      <c r="NX65">
        <v>137.31884878654239</v>
      </c>
      <c r="NY65">
        <v>137.35571989869399</v>
      </c>
      <c r="NZ65">
        <v>137.27359385248241</v>
      </c>
      <c r="OA65">
        <v>137.97813225680761</v>
      </c>
      <c r="OB65">
        <v>138.38233270438681</v>
      </c>
      <c r="OC65">
        <v>138.26171190845631</v>
      </c>
      <c r="OD65">
        <v>137.75459664062799</v>
      </c>
      <c r="OE65">
        <v>138.3393944876602</v>
      </c>
      <c r="OF65">
        <v>138.67594173470081</v>
      </c>
      <c r="OG65">
        <v>139.05263356396031</v>
      </c>
      <c r="OH65">
        <v>138.80880296948061</v>
      </c>
      <c r="OI65">
        <v>138.49746750021481</v>
      </c>
      <c r="OJ65">
        <v>139.12020883310251</v>
      </c>
      <c r="OK65">
        <v>138.82535939692269</v>
      </c>
      <c r="OL65">
        <v>137.59182972222911</v>
      </c>
      <c r="OM65">
        <v>138.36275675819499</v>
      </c>
      <c r="ON65">
        <v>138.66597240218391</v>
      </c>
      <c r="OO65">
        <v>138.5692565942733</v>
      </c>
      <c r="OP65">
        <v>139.14588273767041</v>
      </c>
      <c r="OQ65">
        <v>138.77236594136929</v>
      </c>
      <c r="OR65">
        <v>139.078907023429</v>
      </c>
      <c r="OS65">
        <v>138.957609900123</v>
      </c>
      <c r="OT65">
        <v>139.13610658903269</v>
      </c>
      <c r="OU65">
        <v>139.22999580536211</v>
      </c>
      <c r="OV65">
        <v>139.28303298781009</v>
      </c>
      <c r="OW65">
        <v>139.376244364466</v>
      </c>
      <c r="OX65">
        <v>139.5777107722009</v>
      </c>
      <c r="OY65">
        <v>139.24443338774029</v>
      </c>
      <c r="OZ65">
        <v>138.90563760558891</v>
      </c>
      <c r="PA65">
        <v>138.55889541264219</v>
      </c>
      <c r="PB65">
        <v>138.10398639279811</v>
      </c>
      <c r="PC65">
        <v>138.62487772992949</v>
      </c>
      <c r="PD65">
        <v>138.07206329258611</v>
      </c>
      <c r="PE65">
        <v>138.85186923001001</v>
      </c>
      <c r="PF65">
        <v>138.53341678874759</v>
      </c>
      <c r="PG65">
        <v>138.47164503027699</v>
      </c>
      <c r="PH65">
        <v>138.94485282751251</v>
      </c>
      <c r="PI65">
        <v>139.24335397030629</v>
      </c>
      <c r="PJ65">
        <v>139.38243564200761</v>
      </c>
      <c r="PK65">
        <v>139.5743265237551</v>
      </c>
      <c r="PL65">
        <v>139.50732495616191</v>
      </c>
      <c r="PM65">
        <v>139.4157523507252</v>
      </c>
      <c r="PN65">
        <v>139.46137081076949</v>
      </c>
      <c r="PO65">
        <v>139.438477619678</v>
      </c>
      <c r="PP65">
        <v>139.36262986614281</v>
      </c>
      <c r="PQ65">
        <v>139.43611861699321</v>
      </c>
      <c r="PR65">
        <v>139.23917464204149</v>
      </c>
      <c r="PS65">
        <v>138.84922510780899</v>
      </c>
      <c r="PT65">
        <v>138.48041595541949</v>
      </c>
      <c r="PU65">
        <v>138.6693449713149</v>
      </c>
      <c r="PV65">
        <v>138.76389538565289</v>
      </c>
      <c r="PW65">
        <v>138.59917372616241</v>
      </c>
      <c r="PX65">
        <v>139.06944122762059</v>
      </c>
      <c r="PY65">
        <v>138.8188728633379</v>
      </c>
      <c r="PZ65">
        <v>139.2317681222996</v>
      </c>
      <c r="QA65">
        <v>139.13161159194519</v>
      </c>
      <c r="QB65">
        <v>138.7030041111941</v>
      </c>
      <c r="QC65">
        <v>139.073946287631</v>
      </c>
      <c r="QD65">
        <v>139.2151930969265</v>
      </c>
      <c r="QE65">
        <v>141.03305917473179</v>
      </c>
      <c r="QF65">
        <v>140.60777516666411</v>
      </c>
      <c r="AGZ65">
        <v>138.82813240995159</v>
      </c>
      <c r="AHA65">
        <v>138.99280635191411</v>
      </c>
    </row>
    <row r="66" spans="1:885" x14ac:dyDescent="0.35">
      <c r="A66" s="6" t="s">
        <v>26</v>
      </c>
      <c r="B66">
        <v>5.1282182495810957E-3</v>
      </c>
      <c r="C66">
        <v>3.649259695720275E-3</v>
      </c>
      <c r="D66">
        <v>-2.5542706964642997E-4</v>
      </c>
      <c r="E66">
        <v>-9.6433755842895152E-4</v>
      </c>
      <c r="F66">
        <v>8.0270588713915458E-4</v>
      </c>
      <c r="G66">
        <v>1.185652451454189E-4</v>
      </c>
      <c r="H66">
        <v>-2.412529974549216E-5</v>
      </c>
      <c r="I66">
        <v>-2.7787891661716908E-3</v>
      </c>
      <c r="J66">
        <v>1.1051562725185701E-2</v>
      </c>
      <c r="K66">
        <v>-4.3460143293430056E-3</v>
      </c>
      <c r="L66">
        <v>-6.2792143914407461E-3</v>
      </c>
      <c r="M66">
        <v>-7.1427237926116049E-3</v>
      </c>
      <c r="N66">
        <v>1.8775536616999491E-4</v>
      </c>
      <c r="O66">
        <v>-4.9428377627691589E-4</v>
      </c>
      <c r="P66">
        <v>-1.851788549629418E-3</v>
      </c>
      <c r="Q66">
        <v>-4.4396099391690313E-3</v>
      </c>
      <c r="R66">
        <v>-1.049137462240424E-2</v>
      </c>
      <c r="S66">
        <v>-6.0041458087880528E-3</v>
      </c>
      <c r="T66">
        <v>-4.180648078147442E-3</v>
      </c>
      <c r="U66">
        <v>2.4823047167785721E-3</v>
      </c>
      <c r="V66">
        <v>2.0955900729404679E-3</v>
      </c>
      <c r="W66">
        <v>1.5104996497939281E-2</v>
      </c>
    </row>
    <row r="67" spans="1:885" x14ac:dyDescent="0.35">
      <c r="A67" s="4" t="s">
        <v>27</v>
      </c>
      <c r="B67">
        <v>0.81805375396578484</v>
      </c>
      <c r="C67">
        <v>0.90789667860468626</v>
      </c>
      <c r="D67">
        <v>0.77451432466287429</v>
      </c>
      <c r="E67">
        <v>1.0003457925734269</v>
      </c>
      <c r="F67">
        <v>0.80381422163858929</v>
      </c>
      <c r="G67">
        <v>0.941234814812276</v>
      </c>
      <c r="H67">
        <v>1.144767724644481</v>
      </c>
      <c r="I67">
        <v>0.74933193069747972</v>
      </c>
      <c r="J67">
        <v>0.84065610821284054</v>
      </c>
      <c r="K67">
        <v>1.0831443622065819</v>
      </c>
      <c r="L67">
        <v>0.96795291432414388</v>
      </c>
      <c r="M67">
        <v>0.99958769597964192</v>
      </c>
      <c r="N67">
        <v>1.098594877220336</v>
      </c>
      <c r="O67">
        <v>1.04924647131449</v>
      </c>
      <c r="P67">
        <v>1.1670349460033831</v>
      </c>
      <c r="Q67">
        <v>1.3508164238459699</v>
      </c>
      <c r="R67">
        <v>1.348862387527191</v>
      </c>
      <c r="S67">
        <v>1.465440913248472</v>
      </c>
      <c r="T67">
        <v>1.517220468212173</v>
      </c>
      <c r="U67">
        <v>1.4127285624213639</v>
      </c>
      <c r="V67">
        <v>1.3510314786900319</v>
      </c>
      <c r="W67">
        <v>1.4082593648967081</v>
      </c>
    </row>
    <row r="68" spans="1:885" ht="24" customHeight="1" x14ac:dyDescent="0.35">
      <c r="A68" s="3" t="s">
        <v>28</v>
      </c>
      <c r="B68">
        <v>-0.5731865639371847</v>
      </c>
      <c r="C68">
        <v>-0.43864854587206992</v>
      </c>
      <c r="D68">
        <v>-0.53281639890408883</v>
      </c>
      <c r="E68">
        <v>-0.52894878175456483</v>
      </c>
      <c r="F68">
        <v>-0.70309021666921012</v>
      </c>
      <c r="G68">
        <v>-0.59383750455174322</v>
      </c>
      <c r="H68">
        <v>-0.71743724969428513</v>
      </c>
      <c r="I68">
        <v>-0.84124623539429422</v>
      </c>
      <c r="J68">
        <v>-0.49883132499931548</v>
      </c>
      <c r="K68">
        <v>-0.38274106149199838</v>
      </c>
      <c r="L68">
        <v>-0.36323596851559609</v>
      </c>
      <c r="M68">
        <v>-0.25327340458670727</v>
      </c>
      <c r="N68">
        <v>-0.14753755288617751</v>
      </c>
      <c r="O68">
        <v>-0.23015725005183191</v>
      </c>
      <c r="P68">
        <v>8.9988996444901659E-2</v>
      </c>
      <c r="Q68">
        <v>0.105168839820692</v>
      </c>
      <c r="R68">
        <v>0.37748310584646561</v>
      </c>
      <c r="S68">
        <v>0.44481892544197882</v>
      </c>
      <c r="T68">
        <v>0.35965259949688289</v>
      </c>
      <c r="U68">
        <v>0.55579173175030405</v>
      </c>
      <c r="V68">
        <v>0.43035957585857432</v>
      </c>
      <c r="W68">
        <v>0.71205843759392451</v>
      </c>
    </row>
    <row r="69" spans="1:885" x14ac:dyDescent="0.35">
      <c r="A69" s="4" t="s">
        <v>29</v>
      </c>
      <c r="B69">
        <v>0.5731865639371847</v>
      </c>
      <c r="C69">
        <v>0.43864854587206992</v>
      </c>
      <c r="D69">
        <v>0.53281639890408883</v>
      </c>
      <c r="E69">
        <v>0.52894878175456483</v>
      </c>
      <c r="F69">
        <v>0.70309021666921012</v>
      </c>
      <c r="G69">
        <v>0.59383750455174322</v>
      </c>
      <c r="H69">
        <v>0.71743724969428513</v>
      </c>
      <c r="I69">
        <v>0.84124623539429422</v>
      </c>
      <c r="J69">
        <v>0.49883132499931548</v>
      </c>
      <c r="K69">
        <v>0.38274106149199838</v>
      </c>
      <c r="L69">
        <v>0.36323596851559609</v>
      </c>
      <c r="M69">
        <v>0.25327340458670727</v>
      </c>
      <c r="N69">
        <v>0.14753755288617751</v>
      </c>
      <c r="O69">
        <v>0.23015725005183191</v>
      </c>
      <c r="P69">
        <v>-8.9988996444901659E-2</v>
      </c>
      <c r="Q69">
        <v>-0.105168839820692</v>
      </c>
      <c r="R69">
        <v>-0.37748310584646561</v>
      </c>
      <c r="S69">
        <v>-0.44481892544197882</v>
      </c>
      <c r="T69">
        <v>-0.35965259949688289</v>
      </c>
      <c r="U69">
        <v>-0.55579173175030405</v>
      </c>
      <c r="V69">
        <v>-0.43035957585857432</v>
      </c>
      <c r="W69">
        <v>-0.71205843759392451</v>
      </c>
    </row>
    <row r="70" spans="1:885" x14ac:dyDescent="0.35">
      <c r="A70" s="3" t="s">
        <v>30</v>
      </c>
      <c r="B70">
        <v>140.4341395304248</v>
      </c>
      <c r="C70">
        <v>139.91027818766551</v>
      </c>
      <c r="D70">
        <v>139.277426783956</v>
      </c>
      <c r="E70">
        <v>139.4284568606295</v>
      </c>
      <c r="F70">
        <v>139.25227203135219</v>
      </c>
      <c r="G70">
        <v>139.4349586714205</v>
      </c>
      <c r="H70">
        <v>138.96211723607249</v>
      </c>
      <c r="I70">
        <v>137.7771097177158</v>
      </c>
      <c r="J70">
        <v>138.74669659143521</v>
      </c>
      <c r="K70">
        <v>139.56452247194929</v>
      </c>
      <c r="L70">
        <v>139.74867485762229</v>
      </c>
      <c r="M70">
        <v>139.98113807453129</v>
      </c>
      <c r="N70">
        <v>139.87248335562359</v>
      </c>
      <c r="O70">
        <v>139.87640326759319</v>
      </c>
      <c r="P70">
        <v>140.30143110547169</v>
      </c>
      <c r="Q70">
        <v>140.59130166310911</v>
      </c>
      <c r="R70">
        <v>140.82538209748751</v>
      </c>
      <c r="S70">
        <v>140.9757233472985</v>
      </c>
      <c r="T70">
        <v>141.06556630203229</v>
      </c>
      <c r="U70">
        <v>140.75781106653091</v>
      </c>
      <c r="V70">
        <v>140.93687012406511</v>
      </c>
      <c r="W70">
        <v>141.44647829352391</v>
      </c>
    </row>
    <row r="71" spans="1:885" x14ac:dyDescent="0.35">
      <c r="A71" s="5" t="s">
        <v>31</v>
      </c>
      <c r="B71">
        <v>1.737071791944454</v>
      </c>
      <c r="C71">
        <v>1.6741249964289699</v>
      </c>
      <c r="D71">
        <v>1.6897025514294639</v>
      </c>
      <c r="E71">
        <v>1.6794004095440651</v>
      </c>
      <c r="F71">
        <v>1.675544738162454</v>
      </c>
      <c r="G71">
        <v>1.693074352511738</v>
      </c>
      <c r="H71">
        <v>1.684148996943643</v>
      </c>
      <c r="I71">
        <v>1.6552407032729159</v>
      </c>
      <c r="J71">
        <v>1.6160323173552</v>
      </c>
      <c r="K71">
        <v>1.6087820808035589</v>
      </c>
      <c r="L71">
        <v>1.595475486228779</v>
      </c>
      <c r="M71">
        <v>1.58292918459079</v>
      </c>
      <c r="N71">
        <v>1.581035395381668</v>
      </c>
      <c r="O71">
        <v>1.5577571809593409</v>
      </c>
      <c r="P71">
        <v>1.5573400459606941</v>
      </c>
      <c r="Q71">
        <v>1.5454648306392389</v>
      </c>
      <c r="R71">
        <v>1.5260222381025681</v>
      </c>
      <c r="S71">
        <v>1.5544467895272569</v>
      </c>
      <c r="T71">
        <v>1.5453599411431611</v>
      </c>
      <c r="U71">
        <v>1.5263532889790821</v>
      </c>
      <c r="V71">
        <v>1.5281983626454909</v>
      </c>
      <c r="W71">
        <v>1.54994598075086</v>
      </c>
    </row>
    <row r="74" spans="1:885" x14ac:dyDescent="0.35">
      <c r="B74">
        <f>B65-I65</f>
        <v>2.5804009820249121</v>
      </c>
    </row>
    <row r="75" spans="1:885" x14ac:dyDescent="0.35">
      <c r="B75">
        <f>B70-I70</f>
        <v>2.6570298127089984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27"/>
  <sheetViews>
    <sheetView topLeftCell="B1" zoomScale="160" zoomScaleNormal="160" workbookViewId="0">
      <selection activeCell="E18" sqref="E18"/>
    </sheetView>
  </sheetViews>
  <sheetFormatPr defaultColWidth="9.1796875" defaultRowHeight="15" customHeight="1" x14ac:dyDescent="0.25"/>
  <cols>
    <col min="1" max="1" width="25" style="41" customWidth="1"/>
    <col min="2" max="2" width="5.81640625" style="41" customWidth="1"/>
    <col min="3" max="3" width="5.26953125" style="41" customWidth="1"/>
    <col min="4" max="4" width="6.54296875" style="41" customWidth="1"/>
    <col min="5" max="5" width="6.81640625" style="41" customWidth="1"/>
    <col min="6" max="6" width="6.1796875" style="41" customWidth="1"/>
    <col min="7" max="7" width="5.26953125" style="41" customWidth="1"/>
    <col min="8" max="8" width="6.7265625" style="41" customWidth="1"/>
    <col min="9" max="10" width="5.81640625" style="41" customWidth="1"/>
    <col min="11" max="11" width="6.453125" style="41" customWidth="1"/>
    <col min="12" max="13" width="6.54296875" style="41" customWidth="1"/>
    <col min="14" max="15" width="7.1796875" style="41" customWidth="1"/>
    <col min="16" max="16" width="5.26953125" style="41" customWidth="1"/>
    <col min="17" max="17" width="6.54296875" style="41" customWidth="1"/>
    <col min="18" max="18" width="5.81640625" style="41" customWidth="1"/>
    <col min="19" max="19" width="7.26953125" style="41" customWidth="1"/>
    <col min="20" max="20" width="5.81640625" style="41" customWidth="1"/>
    <col min="21" max="21" width="6.54296875" style="41" customWidth="1"/>
    <col min="22" max="22" width="6.81640625" style="41" customWidth="1"/>
    <col min="23" max="79" width="9.1796875" style="41" customWidth="1"/>
    <col min="80" max="16384" width="9.1796875" style="41"/>
  </cols>
  <sheetData>
    <row r="1" spans="1:27" ht="14.25" customHeight="1" x14ac:dyDescent="0.35">
      <c r="A1" s="35" t="s">
        <v>0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0">
        <v>45417</v>
      </c>
      <c r="U1" s="120">
        <v>45424</v>
      </c>
      <c r="V1" s="120">
        <v>45431</v>
      </c>
      <c r="W1" s="120">
        <v>45438</v>
      </c>
      <c r="X1" s="120">
        <v>45445</v>
      </c>
      <c r="Y1" s="120">
        <v>45452</v>
      </c>
      <c r="Z1" s="132"/>
      <c r="AA1" s="133"/>
    </row>
    <row r="2" spans="1:27" ht="15" customHeight="1" thickBot="1" x14ac:dyDescent="0.4">
      <c r="A2" s="38" t="s">
        <v>233</v>
      </c>
      <c r="B2" s="83">
        <f>'Data Tables (W)'!B2</f>
        <v>136.05632120452859</v>
      </c>
      <c r="C2" s="83">
        <f>'Data Tables (W)'!C2</f>
        <v>136.88098243777449</v>
      </c>
      <c r="D2" s="83">
        <f>'Data Tables (W)'!D2</f>
        <v>137.20377228585971</v>
      </c>
      <c r="E2" s="83">
        <f>'Data Tables (W)'!E2</f>
        <v>136.3915843143165</v>
      </c>
      <c r="F2" s="83">
        <f>'Data Tables (W)'!F2</f>
        <v>136.79715166064699</v>
      </c>
      <c r="G2" s="83">
        <f>'Data Tables (W)'!G2</f>
        <v>136.81194415837371</v>
      </c>
      <c r="H2" s="83">
        <f>'Data Tables (W)'!H2</f>
        <v>136.01598172989301</v>
      </c>
      <c r="I2" s="83">
        <f>'Data Tables (W)'!I2</f>
        <v>135.6200262497423</v>
      </c>
      <c r="J2" s="83">
        <f>'Data Tables (W)'!J2</f>
        <v>135.88967678804011</v>
      </c>
      <c r="K2" s="83">
        <f>'Data Tables (W)'!K2</f>
        <v>136.33676839689829</v>
      </c>
      <c r="L2" s="83">
        <f>'Data Tables (W)'!L2</f>
        <v>136.88884558653791</v>
      </c>
      <c r="M2" s="83">
        <f>'Data Tables (W)'!M2</f>
        <v>136.6931365673783</v>
      </c>
      <c r="N2" s="83">
        <f>'Data Tables (W)'!N2</f>
        <v>136.48195985799489</v>
      </c>
      <c r="O2" s="83">
        <f>'Data Tables (W)'!O2</f>
        <v>136.97951758211281</v>
      </c>
      <c r="P2" s="83">
        <f>'Data Tables (W)'!P2</f>
        <v>137.8432258987915</v>
      </c>
      <c r="Q2" s="83">
        <f>'Data Tables (W)'!Q2</f>
        <v>136.60942143574749</v>
      </c>
      <c r="R2" s="83">
        <f>'Data Tables (W)'!R2</f>
        <v>136.8121403511544</v>
      </c>
      <c r="S2" s="83">
        <f>'Data Tables (W)'!S2</f>
        <v>137.75730937869039</v>
      </c>
      <c r="T2" s="83">
        <f>'Data Tables (W)'!T2</f>
        <v>137.84816144960749</v>
      </c>
      <c r="U2" s="83">
        <f>'Data Tables (W)'!U2</f>
        <v>137.07794243382759</v>
      </c>
      <c r="V2" s="83">
        <f>'Data Tables (W)'!V2</f>
        <v>137.7403087548314</v>
      </c>
      <c r="W2" s="83">
        <f>'Data Tables (W)'!W2</f>
        <v>135.71469458839491</v>
      </c>
      <c r="X2" s="61"/>
      <c r="Y2" s="75"/>
      <c r="Z2" s="134"/>
      <c r="AA2" s="135"/>
    </row>
    <row r="3" spans="1:27" ht="15" hidden="1" customHeight="1" x14ac:dyDescent="0.25">
      <c r="A3" s="43" t="s">
        <v>234</v>
      </c>
      <c r="B3" s="11">
        <f>'Data Tables (W)'!B3*Z2</f>
        <v>0</v>
      </c>
      <c r="C3" s="11">
        <f>'Data Tables (W)'!C3*AA2</f>
        <v>0</v>
      </c>
      <c r="D3" s="11">
        <f>'Data Tables (W)'!D3*AB2</f>
        <v>0</v>
      </c>
      <c r="E3" s="11">
        <f>'Data Tables (W)'!E3*AC2</f>
        <v>0</v>
      </c>
      <c r="F3" s="11">
        <f>'Data Tables (W)'!F3*AD2</f>
        <v>0</v>
      </c>
      <c r="G3" s="11">
        <f>'Data Tables (W)'!G3*AE2</f>
        <v>0</v>
      </c>
      <c r="H3" s="11">
        <f>'Data Tables (W)'!H3*AF2</f>
        <v>0</v>
      </c>
      <c r="I3" s="11">
        <f>'Data Tables (W)'!I3*AG2</f>
        <v>0</v>
      </c>
      <c r="J3" s="11">
        <f>'Data Tables (W)'!J3*AH2</f>
        <v>0</v>
      </c>
      <c r="K3" s="11">
        <f>'Data Tables (W)'!K3*AI2</f>
        <v>0</v>
      </c>
      <c r="L3" s="11">
        <f>'Data Tables (W)'!L3*AJ2</f>
        <v>0</v>
      </c>
      <c r="M3" s="11">
        <f>'Data Tables (W)'!M3*AK2</f>
        <v>0</v>
      </c>
      <c r="N3" s="11">
        <f>'Data Tables (W)'!N3*AL2</f>
        <v>0</v>
      </c>
      <c r="O3" s="11">
        <f>'Data Tables (W)'!O3*AM2</f>
        <v>0</v>
      </c>
      <c r="P3" s="11">
        <f>'Data Tables (W)'!P3*AN2</f>
        <v>0</v>
      </c>
      <c r="Q3" s="11">
        <f>'Data Tables (W)'!Q3*AO2</f>
        <v>0</v>
      </c>
      <c r="R3" s="11">
        <f>'Data Tables (W)'!R3*AP2</f>
        <v>0</v>
      </c>
      <c r="S3" s="11">
        <f>'Data Tables (W)'!S3*AQ2</f>
        <v>0</v>
      </c>
      <c r="T3" s="11">
        <f>'Data Tables (W)'!T3*AR2</f>
        <v>0</v>
      </c>
      <c r="U3" s="11">
        <f>'Data Tables (W)'!U3*AS2</f>
        <v>0</v>
      </c>
      <c r="V3" s="11">
        <f>'Data Tables (W)'!V3*AT2</f>
        <v>0</v>
      </c>
      <c r="W3" s="11">
        <f>'Data Tables (W)'!W3*AU2</f>
        <v>0</v>
      </c>
      <c r="X3" s="44"/>
      <c r="Y3" s="17"/>
    </row>
    <row r="4" spans="1:27" ht="30" customHeight="1" x14ac:dyDescent="0.25">
      <c r="A4" s="36" t="s">
        <v>235</v>
      </c>
      <c r="B4" s="11">
        <f>'Data Tables (W)'!B4</f>
        <v>2.4580395221992428</v>
      </c>
      <c r="C4" s="11">
        <f>'Data Tables (W)'!C4</f>
        <v>2.3527766810589981</v>
      </c>
      <c r="D4" s="11">
        <f>'Data Tables (W)'!D4</f>
        <v>2.0894218624272298</v>
      </c>
      <c r="E4" s="11">
        <f>'Data Tables (W)'!E4</f>
        <v>2.1231693907876088</v>
      </c>
      <c r="F4" s="11">
        <f>'Data Tables (W)'!F4</f>
        <v>2.069337695485046</v>
      </c>
      <c r="G4" s="11">
        <f>'Data Tables (W)'!G4</f>
        <v>2.504913958167208</v>
      </c>
      <c r="H4" s="11">
        <f>'Data Tables (W)'!H4</f>
        <v>2.5367407081098459</v>
      </c>
      <c r="I4" s="11">
        <f>'Data Tables (W)'!I4</f>
        <v>2.2532617730236102</v>
      </c>
      <c r="J4" s="11">
        <f>'Data Tables (W)'!J4</f>
        <v>2.3585975718374641</v>
      </c>
      <c r="K4" s="11">
        <f>'Data Tables (W)'!K4</f>
        <v>2.1543528965792968</v>
      </c>
      <c r="L4" s="11">
        <f>'Data Tables (W)'!L4</f>
        <v>2.515203709197436</v>
      </c>
      <c r="M4" s="11">
        <f>'Data Tables (W)'!M4</f>
        <v>2.308996335562739</v>
      </c>
      <c r="N4" s="11">
        <f>'Data Tables (W)'!N4</f>
        <v>2.7368945243683238</v>
      </c>
      <c r="O4" s="11">
        <f>'Data Tables (W)'!O4</f>
        <v>2.5086333666018281</v>
      </c>
      <c r="P4" s="11">
        <f>'Data Tables (W)'!P4</f>
        <v>2.3824043221091529</v>
      </c>
      <c r="Q4" s="11">
        <f>'Data Tables (W)'!Q4</f>
        <v>2.4909824939644811</v>
      </c>
      <c r="R4" s="11">
        <f>'Data Tables (W)'!R4</f>
        <v>2.1384375997981522</v>
      </c>
      <c r="S4" s="11">
        <f>'Data Tables (W)'!S4</f>
        <v>2.207039810581477</v>
      </c>
      <c r="T4" s="11">
        <f>'Data Tables (W)'!T4</f>
        <v>2.3245282762669892</v>
      </c>
      <c r="U4" s="11">
        <f>'Data Tables (W)'!U4</f>
        <v>2.728119420910474</v>
      </c>
      <c r="V4" s="11">
        <f>'Data Tables (W)'!V4</f>
        <v>2.2480884703734598</v>
      </c>
      <c r="W4" s="11">
        <f>'Data Tables (W)'!W4</f>
        <v>2.237494004528287</v>
      </c>
      <c r="X4" s="44"/>
      <c r="Y4" s="17"/>
    </row>
    <row r="5" spans="1:27" ht="30" customHeight="1" x14ac:dyDescent="0.25">
      <c r="A5" s="38" t="s">
        <v>236</v>
      </c>
      <c r="B5" s="83">
        <f>'Data Tables (W)'!B5</f>
        <v>-1.124771435119897</v>
      </c>
      <c r="C5" s="83">
        <f>'Data Tables (W)'!C5</f>
        <v>-0.51528999304707668</v>
      </c>
      <c r="D5" s="83">
        <f>'Data Tables (W)'!D5</f>
        <v>-0.89769972339510673</v>
      </c>
      <c r="E5" s="83">
        <f>'Data Tables (W)'!E5</f>
        <v>-0.95170982231883272</v>
      </c>
      <c r="F5" s="83">
        <f>'Data Tables (W)'!F5</f>
        <v>-0.89750775462613319</v>
      </c>
      <c r="G5" s="83">
        <f>'Data Tables (W)'!G5</f>
        <v>-0.54012024820664806</v>
      </c>
      <c r="H5" s="83">
        <f>'Data Tables (W)'!H5</f>
        <v>-0.98169294992189293</v>
      </c>
      <c r="I5" s="83">
        <f>'Data Tables (W)'!I5</f>
        <v>-1.169682070868475</v>
      </c>
      <c r="J5" s="83">
        <f>'Data Tables (W)'!J5</f>
        <v>-0.76270211834378188</v>
      </c>
      <c r="K5" s="83">
        <f>'Data Tables (W)'!K5</f>
        <v>-1.416030805480005</v>
      </c>
      <c r="L5" s="83">
        <f>'Data Tables (W)'!L5</f>
        <v>-0.93198217937026584</v>
      </c>
      <c r="M5" s="83">
        <f>'Data Tables (W)'!M5</f>
        <v>-0.6934434728107135</v>
      </c>
      <c r="N5" s="83">
        <f>'Data Tables (W)'!N5</f>
        <v>-0.39765531044116642</v>
      </c>
      <c r="O5" s="83">
        <f>'Data Tables (W)'!O5</f>
        <v>-0.98817389122567079</v>
      </c>
      <c r="P5" s="83">
        <f>'Data Tables (W)'!P5</f>
        <v>-1.146178534150522</v>
      </c>
      <c r="Q5" s="83">
        <f>'Data Tables (W)'!Q5</f>
        <v>-1.1496539249535831</v>
      </c>
      <c r="R5" s="83">
        <f>'Data Tables (W)'!R5</f>
        <v>-0.25562920670728317</v>
      </c>
      <c r="S5" s="83">
        <f>'Data Tables (W)'!S5</f>
        <v>-0.47264447882682248</v>
      </c>
      <c r="T5" s="83">
        <f>'Data Tables (W)'!T5</f>
        <v>-0.64907995907526583</v>
      </c>
      <c r="U5" s="83">
        <f>'Data Tables (W)'!U5</f>
        <v>7.4582222078504401E-2</v>
      </c>
      <c r="V5" s="83">
        <f>'Data Tables (W)'!V5</f>
        <v>0.26935833476272819</v>
      </c>
      <c r="W5" s="83">
        <f>'Data Tables (W)'!W5</f>
        <v>1.031369883003407</v>
      </c>
      <c r="X5" s="44"/>
      <c r="Y5" s="17"/>
    </row>
    <row r="6" spans="1:27" ht="15" customHeight="1" x14ac:dyDescent="0.25">
      <c r="A6" s="36" t="s">
        <v>237</v>
      </c>
      <c r="B6" s="11">
        <f t="shared" ref="B6:W6" si="0">(194%/B10-1)/10%*1.7</f>
        <v>1.7584069504949023</v>
      </c>
      <c r="C6" s="11">
        <f t="shared" si="0"/>
        <v>1.8393063284651159</v>
      </c>
      <c r="D6" s="11">
        <f t="shared" si="0"/>
        <v>2.3954029806067441</v>
      </c>
      <c r="E6" s="11">
        <f t="shared" si="0"/>
        <v>1.9213146499974061</v>
      </c>
      <c r="F6" s="11">
        <f t="shared" si="0"/>
        <v>1.8821655178597576</v>
      </c>
      <c r="G6" s="11">
        <f t="shared" si="0"/>
        <v>2.3402363665774</v>
      </c>
      <c r="H6" s="11">
        <f t="shared" si="0"/>
        <v>2.4029578322518077</v>
      </c>
      <c r="I6" s="11">
        <f t="shared" si="0"/>
        <v>1.7697315893728247</v>
      </c>
      <c r="J6" s="11">
        <f t="shared" si="0"/>
        <v>2.6834250550549426</v>
      </c>
      <c r="K6" s="11">
        <f t="shared" si="0"/>
        <v>1.7926244008095338</v>
      </c>
      <c r="L6" s="11">
        <f t="shared" si="0"/>
        <v>1.9930289880077483</v>
      </c>
      <c r="M6" s="11">
        <f t="shared" si="0"/>
        <v>1.6742939662371836</v>
      </c>
      <c r="N6" s="11">
        <f t="shared" si="0"/>
        <v>1.7292815541534368</v>
      </c>
      <c r="O6" s="11">
        <f t="shared" si="0"/>
        <v>2.5323238939950534</v>
      </c>
      <c r="P6" s="11">
        <f t="shared" si="0"/>
        <v>2.3553365719691191</v>
      </c>
      <c r="Q6" s="11">
        <f t="shared" si="0"/>
        <v>1.3569400698406759</v>
      </c>
      <c r="R6" s="11">
        <f t="shared" si="0"/>
        <v>2.7323430984241099</v>
      </c>
      <c r="S6" s="11">
        <f t="shared" si="0"/>
        <v>2.6961608492965494</v>
      </c>
      <c r="T6" s="11">
        <f t="shared" si="0"/>
        <v>1.4453927151059394</v>
      </c>
      <c r="U6" s="11">
        <f t="shared" si="0"/>
        <v>3.4885186105820352</v>
      </c>
      <c r="V6" s="11">
        <f t="shared" si="0"/>
        <v>3.7711142581429273</v>
      </c>
      <c r="W6" s="11">
        <f t="shared" si="0"/>
        <v>3.911789945196475</v>
      </c>
      <c r="Y6" s="16"/>
    </row>
    <row r="7" spans="1:27" ht="15" customHeight="1" x14ac:dyDescent="0.25">
      <c r="A7" s="38" t="s">
        <v>30</v>
      </c>
      <c r="B7" s="83">
        <f t="shared" ref="B7:W7" si="1">SUM(B2:B6)</f>
        <v>139.14799624210283</v>
      </c>
      <c r="C7" s="83">
        <f t="shared" si="1"/>
        <v>140.55777545425153</v>
      </c>
      <c r="D7" s="83">
        <f t="shared" si="1"/>
        <v>140.79089740549858</v>
      </c>
      <c r="E7" s="83">
        <f t="shared" si="1"/>
        <v>139.48435853278269</v>
      </c>
      <c r="F7" s="83">
        <f t="shared" si="1"/>
        <v>139.85114711936566</v>
      </c>
      <c r="G7" s="83">
        <f t="shared" si="1"/>
        <v>141.11697423491165</v>
      </c>
      <c r="H7" s="83">
        <f t="shared" si="1"/>
        <v>139.97398732033278</v>
      </c>
      <c r="I7" s="83">
        <f t="shared" si="1"/>
        <v>138.47333754127027</v>
      </c>
      <c r="J7" s="83">
        <f t="shared" si="1"/>
        <v>140.16899729658874</v>
      </c>
      <c r="K7" s="83">
        <f t="shared" si="1"/>
        <v>138.86771488880711</v>
      </c>
      <c r="L7" s="83">
        <f t="shared" si="1"/>
        <v>140.46509610437283</v>
      </c>
      <c r="M7" s="83">
        <f t="shared" si="1"/>
        <v>139.9829833963675</v>
      </c>
      <c r="N7" s="83">
        <f t="shared" si="1"/>
        <v>140.55048062607548</v>
      </c>
      <c r="O7" s="83">
        <f t="shared" si="1"/>
        <v>141.03230095148402</v>
      </c>
      <c r="P7" s="83">
        <f t="shared" si="1"/>
        <v>141.43478825871927</v>
      </c>
      <c r="Q7" s="83">
        <f t="shared" si="1"/>
        <v>139.30769007459907</v>
      </c>
      <c r="R7" s="83">
        <f t="shared" si="1"/>
        <v>141.42729184266938</v>
      </c>
      <c r="S7" s="83">
        <f t="shared" si="1"/>
        <v>142.1878655597416</v>
      </c>
      <c r="T7" s="83">
        <f t="shared" si="1"/>
        <v>140.96900248190516</v>
      </c>
      <c r="U7" s="83">
        <f t="shared" si="1"/>
        <v>143.36916268739861</v>
      </c>
      <c r="V7" s="83">
        <f t="shared" si="1"/>
        <v>144.02886981811051</v>
      </c>
      <c r="W7" s="83">
        <f t="shared" si="1"/>
        <v>142.89534842112309</v>
      </c>
      <c r="Y7" s="16"/>
    </row>
    <row r="8" spans="1:27" ht="15" customHeight="1" x14ac:dyDescent="0.25">
      <c r="A8" s="40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Y8" s="16"/>
    </row>
    <row r="9" spans="1:27" ht="15" customHeight="1" x14ac:dyDescent="0.25">
      <c r="A9" s="42" t="s">
        <v>238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Y9" s="16"/>
    </row>
    <row r="10" spans="1:27" ht="15" customHeight="1" x14ac:dyDescent="0.25">
      <c r="A10" s="36" t="s">
        <v>239</v>
      </c>
      <c r="B10" s="81">
        <f>'Data Tables (W)'!B8</f>
        <v>1.758145032626552</v>
      </c>
      <c r="C10" s="81">
        <f>'Data Tables (W)'!C8</f>
        <v>1.7505952408751431</v>
      </c>
      <c r="D10" s="81">
        <f>'Data Tables (W)'!D8</f>
        <v>1.7004029270738199</v>
      </c>
      <c r="E10" s="81">
        <f>'Data Tables (W)'!E8</f>
        <v>1.743007851730034</v>
      </c>
      <c r="F10" s="81">
        <f>'Data Tables (W)'!F8</f>
        <v>1.7466216980677221</v>
      </c>
      <c r="G10" s="81">
        <f>'Data Tables (W)'!G8</f>
        <v>1.7052532024372771</v>
      </c>
      <c r="H10" s="81">
        <f>'Data Tables (W)'!H8</f>
        <v>1.699740848025773</v>
      </c>
      <c r="I10" s="81">
        <f>'Data Tables (W)'!I8</f>
        <v>1.7570842631906809</v>
      </c>
      <c r="J10" s="81">
        <f>'Data Tables (W)'!J8</f>
        <v>1.6755214048243261</v>
      </c>
      <c r="K10" s="81">
        <f>'Data Tables (W)'!K8</f>
        <v>1.754943817138138</v>
      </c>
      <c r="L10" s="81">
        <f>'Data Tables (W)'!L8</f>
        <v>1.73642656054617</v>
      </c>
      <c r="M10" s="81">
        <f>'Data Tables (W)'!M8</f>
        <v>1.7660640910776759</v>
      </c>
      <c r="N10" s="81">
        <f>'Data Tables (W)'!N8</f>
        <v>1.7608790761483479</v>
      </c>
      <c r="O10" s="81">
        <f>'Data Tables (W)'!O8</f>
        <v>1.6884831615012921</v>
      </c>
      <c r="P10" s="81">
        <f>'Data Tables (W)'!P8</f>
        <v>1.7039228368553641</v>
      </c>
      <c r="Q10" s="81">
        <f>'Data Tables (W)'!Q8</f>
        <v>1.796595722082468</v>
      </c>
      <c r="R10" s="81">
        <f>'Data Tables (W)'!R8</f>
        <v>1.671367654388388</v>
      </c>
      <c r="S10" s="81">
        <f>'Data Tables (W)'!S8</f>
        <v>1.6744379908523079</v>
      </c>
      <c r="T10" s="81">
        <f>'Data Tables (W)'!T8</f>
        <v>1.7879803650366779</v>
      </c>
      <c r="U10" s="81">
        <f>'Data Tables (W)'!U8</f>
        <v>1.609682018834016</v>
      </c>
      <c r="V10" s="81">
        <f>'Data Tables (W)'!V8</f>
        <v>1.587781935534383</v>
      </c>
      <c r="W10" s="81">
        <f>'Data Tables (W)'!W8</f>
        <v>1.577100768821353</v>
      </c>
      <c r="X10" s="44"/>
      <c r="Y10" s="17"/>
    </row>
    <row r="11" spans="1:27" ht="15" customHeight="1" x14ac:dyDescent="0.25">
      <c r="A11" s="37" t="s">
        <v>240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4"/>
    </row>
    <row r="12" spans="1:27" ht="15" customHeight="1" x14ac:dyDescent="0.25">
      <c r="A12" s="43" t="s">
        <v>241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</row>
    <row r="13" spans="1:27" ht="15" customHeight="1" x14ac:dyDescent="0.25">
      <c r="A13" s="38" t="s">
        <v>242</v>
      </c>
      <c r="B13" s="103">
        <f t="shared" ref="B13:V13" si="2">B12/10%*1.7</f>
        <v>0</v>
      </c>
      <c r="C13" s="103">
        <f t="shared" si="2"/>
        <v>0</v>
      </c>
      <c r="D13" s="103">
        <f t="shared" si="2"/>
        <v>0</v>
      </c>
      <c r="E13" s="103">
        <f t="shared" si="2"/>
        <v>0</v>
      </c>
      <c r="F13" s="103">
        <f t="shared" si="2"/>
        <v>0</v>
      </c>
      <c r="G13" s="103">
        <f t="shared" si="2"/>
        <v>0</v>
      </c>
      <c r="H13" s="103">
        <f t="shared" si="2"/>
        <v>0</v>
      </c>
      <c r="I13" s="103">
        <f t="shared" si="2"/>
        <v>0</v>
      </c>
      <c r="J13" s="103">
        <f t="shared" si="2"/>
        <v>0</v>
      </c>
      <c r="K13" s="103">
        <f t="shared" si="2"/>
        <v>0</v>
      </c>
      <c r="L13" s="103">
        <f t="shared" si="2"/>
        <v>0</v>
      </c>
      <c r="M13" s="103">
        <f t="shared" si="2"/>
        <v>0</v>
      </c>
      <c r="N13" s="103">
        <f t="shared" si="2"/>
        <v>0</v>
      </c>
      <c r="O13" s="103">
        <f t="shared" si="2"/>
        <v>0</v>
      </c>
      <c r="P13" s="103">
        <f t="shared" si="2"/>
        <v>0</v>
      </c>
      <c r="Q13" s="103">
        <f t="shared" si="2"/>
        <v>0</v>
      </c>
      <c r="R13" s="103">
        <f t="shared" si="2"/>
        <v>0</v>
      </c>
      <c r="S13" s="103">
        <f t="shared" si="2"/>
        <v>0</v>
      </c>
      <c r="T13" s="103">
        <f t="shared" si="2"/>
        <v>0</v>
      </c>
      <c r="U13" s="103">
        <f t="shared" si="2"/>
        <v>0</v>
      </c>
      <c r="V13" s="103">
        <f t="shared" si="2"/>
        <v>0</v>
      </c>
    </row>
    <row r="14" spans="1:27" ht="15" customHeight="1" x14ac:dyDescent="0.25">
      <c r="A14" s="36" t="s">
        <v>243</v>
      </c>
      <c r="B14" s="11">
        <f t="shared" ref="B14:W14" si="3">B7+B13</f>
        <v>139.14799624210283</v>
      </c>
      <c r="C14" s="11">
        <f t="shared" si="3"/>
        <v>140.55777545425153</v>
      </c>
      <c r="D14" s="11">
        <f t="shared" si="3"/>
        <v>140.79089740549858</v>
      </c>
      <c r="E14" s="11">
        <f t="shared" si="3"/>
        <v>139.48435853278269</v>
      </c>
      <c r="F14" s="11">
        <f t="shared" si="3"/>
        <v>139.85114711936566</v>
      </c>
      <c r="G14" s="11">
        <f t="shared" si="3"/>
        <v>141.11697423491165</v>
      </c>
      <c r="H14" s="11">
        <f t="shared" si="3"/>
        <v>139.97398732033278</v>
      </c>
      <c r="I14" s="11">
        <f t="shared" si="3"/>
        <v>138.47333754127027</v>
      </c>
      <c r="J14" s="11">
        <f t="shared" si="3"/>
        <v>140.16899729658874</v>
      </c>
      <c r="K14" s="11">
        <f t="shared" si="3"/>
        <v>138.86771488880711</v>
      </c>
      <c r="L14" s="11">
        <f t="shared" si="3"/>
        <v>140.46509610437283</v>
      </c>
      <c r="M14" s="11">
        <f t="shared" si="3"/>
        <v>139.9829833963675</v>
      </c>
      <c r="N14" s="11">
        <f t="shared" si="3"/>
        <v>140.55048062607548</v>
      </c>
      <c r="O14" s="11">
        <f t="shared" si="3"/>
        <v>141.03230095148402</v>
      </c>
      <c r="P14" s="11">
        <f t="shared" si="3"/>
        <v>141.43478825871927</v>
      </c>
      <c r="Q14" s="11">
        <f t="shared" si="3"/>
        <v>139.30769007459907</v>
      </c>
      <c r="R14" s="11">
        <f t="shared" si="3"/>
        <v>141.42729184266938</v>
      </c>
      <c r="S14" s="11">
        <f t="shared" si="3"/>
        <v>142.1878655597416</v>
      </c>
      <c r="T14" s="11">
        <f t="shared" si="3"/>
        <v>140.96900248190516</v>
      </c>
      <c r="U14" s="11">
        <f t="shared" si="3"/>
        <v>143.36916268739861</v>
      </c>
      <c r="V14" s="11">
        <f t="shared" si="3"/>
        <v>144.02886981811051</v>
      </c>
      <c r="W14" s="11">
        <f t="shared" si="3"/>
        <v>142.89534842112309</v>
      </c>
    </row>
    <row r="15" spans="1:27" ht="15" customHeight="1" x14ac:dyDescent="0.25">
      <c r="A15" s="38" t="s">
        <v>244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7" ht="15" customHeight="1" x14ac:dyDescent="0.25">
      <c r="A16" s="36" t="s">
        <v>245</v>
      </c>
      <c r="B16" s="19">
        <f t="shared" ref="B16:R16" si="4">B15-($V$14-B14)*1%</f>
        <v>-4.880873576007673E-2</v>
      </c>
      <c r="C16" s="19">
        <f t="shared" si="4"/>
        <v>-3.4710943638589814E-2</v>
      </c>
      <c r="D16" s="19">
        <f t="shared" si="4"/>
        <v>-3.2379724126119246E-2</v>
      </c>
      <c r="E16" s="19">
        <f t="shared" si="4"/>
        <v>-4.5445112853278145E-2</v>
      </c>
      <c r="F16" s="19">
        <f t="shared" si="4"/>
        <v>-4.1777226987448443E-2</v>
      </c>
      <c r="G16" s="19">
        <f t="shared" si="4"/>
        <v>-2.911895583198856E-2</v>
      </c>
      <c r="H16" s="19">
        <f t="shared" si="4"/>
        <v>-4.0548824977777259E-2</v>
      </c>
      <c r="I16" s="19">
        <f t="shared" si="4"/>
        <v>-5.5555322768402395E-2</v>
      </c>
      <c r="J16" s="19">
        <f t="shared" si="4"/>
        <v>-3.8598725215217657E-2</v>
      </c>
      <c r="K16" s="19">
        <f t="shared" si="4"/>
        <v>-5.161154929303393E-2</v>
      </c>
      <c r="L16" s="19">
        <f t="shared" si="4"/>
        <v>-3.5637737137376745E-2</v>
      </c>
      <c r="M16" s="19">
        <f t="shared" si="4"/>
        <v>-4.0458864217430064E-2</v>
      </c>
      <c r="N16" s="19">
        <f t="shared" si="4"/>
        <v>-3.4783891920350245E-2</v>
      </c>
      <c r="O16" s="19">
        <f t="shared" si="4"/>
        <v>-2.9965688666264895E-2</v>
      </c>
      <c r="P16" s="19">
        <f t="shared" si="4"/>
        <v>-2.5940815593912418E-2</v>
      </c>
      <c r="Q16" s="19">
        <f t="shared" si="4"/>
        <v>-4.7211797435114423E-2</v>
      </c>
      <c r="R16" s="19">
        <f t="shared" si="4"/>
        <v>-2.6015779754411314E-2</v>
      </c>
      <c r="S16" s="19"/>
      <c r="T16" s="19"/>
      <c r="U16" s="17"/>
      <c r="V16" s="19"/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246</v>
      </c>
      <c r="B19" s="51" t="s">
        <v>247</v>
      </c>
    </row>
    <row r="20" spans="1:8" ht="15" customHeight="1" x14ac:dyDescent="0.25">
      <c r="A20" s="50" t="s">
        <v>248</v>
      </c>
      <c r="B20" s="51" t="s">
        <v>249</v>
      </c>
    </row>
    <row r="21" spans="1:8" ht="15" customHeight="1" x14ac:dyDescent="0.25">
      <c r="A21" s="50" t="s">
        <v>250</v>
      </c>
      <c r="B21" s="51" t="s">
        <v>251</v>
      </c>
    </row>
    <row r="22" spans="1:8" ht="15" customHeight="1" x14ac:dyDescent="0.25">
      <c r="A22" s="50"/>
      <c r="B22" s="51" t="s">
        <v>252</v>
      </c>
    </row>
    <row r="23" spans="1:8" ht="15" customHeight="1" x14ac:dyDescent="0.25">
      <c r="A23" s="50" t="s">
        <v>253</v>
      </c>
      <c r="B23" s="51" t="s">
        <v>254</v>
      </c>
    </row>
    <row r="24" spans="1:8" ht="15" customHeight="1" x14ac:dyDescent="0.25">
      <c r="A24" s="50" t="s">
        <v>255</v>
      </c>
      <c r="B24" s="51" t="s">
        <v>256</v>
      </c>
    </row>
    <row r="25" spans="1:8" ht="15" customHeight="1" x14ac:dyDescent="0.25">
      <c r="A25" s="50" t="s">
        <v>257</v>
      </c>
      <c r="B25" s="51" t="s">
        <v>258</v>
      </c>
    </row>
    <row r="26" spans="1:8" ht="15" customHeight="1" x14ac:dyDescent="0.25">
      <c r="A26" s="50"/>
      <c r="B26" s="51" t="s">
        <v>259</v>
      </c>
    </row>
    <row r="27" spans="1:8" ht="15" customHeight="1" x14ac:dyDescent="0.25">
      <c r="A27" s="50" t="s">
        <v>260</v>
      </c>
      <c r="B27" s="51" t="s">
        <v>261</v>
      </c>
    </row>
  </sheetData>
  <mergeCells count="2">
    <mergeCell ref="Z2:AA2"/>
    <mergeCell ref="Z1:AA1"/>
  </mergeCells>
  <pageMargins left="0.7" right="0.7" top="0.75" bottom="0.75" header="0.3" footer="0.3"/>
  <pageSetup orientation="portrait" horizontalDpi="204" verticalDpi="19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28"/>
  <sheetViews>
    <sheetView topLeftCell="B1" zoomScale="160" zoomScaleNormal="160" workbookViewId="0">
      <selection activeCell="B1" sqref="B1:D1"/>
    </sheetView>
  </sheetViews>
  <sheetFormatPr defaultColWidth="9.1796875" defaultRowHeight="15" customHeight="1" x14ac:dyDescent="0.25"/>
  <cols>
    <col min="1" max="1" width="25" style="41" customWidth="1"/>
    <col min="2" max="2" width="6" style="41" customWidth="1"/>
    <col min="3" max="3" width="5.54296875" style="41" customWidth="1"/>
    <col min="4" max="4" width="6.26953125" style="41" customWidth="1"/>
    <col min="5" max="5" width="6.1796875" style="41" customWidth="1"/>
    <col min="6" max="6" width="5.81640625" style="41" customWidth="1"/>
    <col min="7" max="7" width="5.26953125" style="41" customWidth="1"/>
    <col min="8" max="8" width="6.26953125" style="41" customWidth="1"/>
    <col min="9" max="9" width="7.81640625" style="41" customWidth="1"/>
    <col min="10" max="10" width="6" style="41" customWidth="1"/>
    <col min="11" max="11" width="6.453125" style="41" customWidth="1"/>
    <col min="12" max="12" width="7" style="41" customWidth="1"/>
    <col min="13" max="13" width="6.1796875" style="41" customWidth="1"/>
    <col min="14" max="14" width="6.54296875" style="41" customWidth="1"/>
    <col min="15" max="15" width="6.1796875" style="41" customWidth="1"/>
    <col min="16" max="16" width="5.26953125" style="41" customWidth="1"/>
    <col min="17" max="17" width="6.453125" style="41" customWidth="1"/>
    <col min="18" max="18" width="6.1796875" style="41" customWidth="1"/>
    <col min="19" max="19" width="6.7265625" style="41" customWidth="1"/>
    <col min="20" max="20" width="5.81640625" style="41" customWidth="1"/>
    <col min="21" max="21" width="6.26953125" style="41" customWidth="1"/>
    <col min="22" max="22" width="7" style="41" customWidth="1"/>
    <col min="23" max="79" width="9.1796875" style="41" customWidth="1"/>
    <col min="80" max="16384" width="9.1796875" style="41"/>
  </cols>
  <sheetData>
    <row r="1" spans="1:27" ht="18.75" customHeight="1" x14ac:dyDescent="0.25">
      <c r="A1" s="35" t="s">
        <v>33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0">
        <v>45417</v>
      </c>
      <c r="U1" s="120">
        <v>45424</v>
      </c>
      <c r="V1" s="120">
        <v>45431</v>
      </c>
      <c r="W1" s="120">
        <v>45438</v>
      </c>
      <c r="X1" s="120">
        <v>45445</v>
      </c>
      <c r="Y1" s="120">
        <v>45452</v>
      </c>
      <c r="Z1" s="120">
        <v>45459</v>
      </c>
      <c r="AA1" s="120">
        <v>45466</v>
      </c>
    </row>
    <row r="2" spans="1:27" ht="15" customHeight="1" thickBot="1" x14ac:dyDescent="0.3">
      <c r="A2" s="38" t="s">
        <v>233</v>
      </c>
      <c r="B2" s="12">
        <f>'Data Tables (W)'!B20</f>
        <v>139.89986358932751</v>
      </c>
      <c r="C2" s="12">
        <f>'Data Tables (W)'!C20</f>
        <v>139.22087859253611</v>
      </c>
      <c r="D2" s="12">
        <f>'Data Tables (W)'!D20</f>
        <v>138.45122616137829</v>
      </c>
      <c r="E2" s="12">
        <f>'Data Tables (W)'!E20</f>
        <v>139.13295221795619</v>
      </c>
      <c r="F2" s="12">
        <f>'Data Tables (W)'!F20</f>
        <v>139.4071937843016</v>
      </c>
      <c r="G2" s="12">
        <f>'Data Tables (W)'!G20</f>
        <v>138.85435716110149</v>
      </c>
      <c r="H2" s="12">
        <f>'Data Tables (W)'!H20</f>
        <v>138.35479174790379</v>
      </c>
      <c r="I2" s="12">
        <f>'Data Tables (W)'!I20</f>
        <v>137.00572752966531</v>
      </c>
      <c r="J2" s="12">
        <f>'Data Tables (W)'!J20</f>
        <v>137.50702914643281</v>
      </c>
      <c r="K2" s="12">
        <f>'Data Tables (W)'!K20</f>
        <v>137.56841144299179</v>
      </c>
      <c r="L2" s="12">
        <f>'Data Tables (W)'!L20</f>
        <v>137.7728850293343</v>
      </c>
      <c r="M2" s="12">
        <f>'Data Tables (W)'!M20</f>
        <v>138.05330561606701</v>
      </c>
      <c r="N2" s="12">
        <f>'Data Tables (W)'!N20</f>
        <v>138.75270928336181</v>
      </c>
      <c r="O2" s="12">
        <f>'Data Tables (W)'!O20</f>
        <v>138.3369899007788</v>
      </c>
      <c r="P2" s="12">
        <f>'Data Tables (W)'!P20</f>
        <v>139.95198659066321</v>
      </c>
      <c r="Q2" s="12">
        <f>'Data Tables (W)'!Q20</f>
        <v>140.8414772294644</v>
      </c>
      <c r="R2" s="12">
        <f>'Data Tables (W)'!R20</f>
        <v>141.47547096084401</v>
      </c>
      <c r="S2" s="12">
        <f>'Data Tables (W)'!S20</f>
        <v>141.22443513864249</v>
      </c>
      <c r="T2" s="12">
        <f>'Data Tables (W)'!T20</f>
        <v>140.75215579178831</v>
      </c>
      <c r="U2" s="12">
        <f>'Data Tables (W)'!U20</f>
        <v>139.93662680476521</v>
      </c>
      <c r="V2" s="12">
        <f>'Data Tables (W)'!V20</f>
        <v>140.84410462041029</v>
      </c>
      <c r="W2" s="12">
        <f>'Data Tables (W)'!W20</f>
        <v>140.5587093348235</v>
      </c>
      <c r="X2" s="12">
        <f>'Data Tables (W)'!X20</f>
        <v>127.3329513837031</v>
      </c>
      <c r="Y2" s="12">
        <f>'Data Tables (W)'!Y20</f>
        <v>127.1896038011362</v>
      </c>
      <c r="Z2" s="104"/>
      <c r="AA2" s="105"/>
    </row>
    <row r="3" spans="1:27" ht="15" hidden="1" customHeight="1" x14ac:dyDescent="0.25">
      <c r="A3" s="43" t="s">
        <v>234</v>
      </c>
      <c r="B3" s="13">
        <f>'Data Tables (W)'!B21*Z2</f>
        <v>0</v>
      </c>
      <c r="C3" s="13">
        <f>'Data Tables (W)'!C21*AA2</f>
        <v>0</v>
      </c>
      <c r="D3" s="13">
        <f>'Data Tables (W)'!D21*AB2</f>
        <v>0</v>
      </c>
      <c r="E3" s="13">
        <f>'Data Tables (W)'!E21*AC2</f>
        <v>0</v>
      </c>
      <c r="F3" s="13">
        <f>'Data Tables (W)'!F21*AD2</f>
        <v>0</v>
      </c>
      <c r="G3" s="13">
        <f>'Data Tables (W)'!G21*AE2</f>
        <v>0</v>
      </c>
      <c r="H3" s="13">
        <f>'Data Tables (W)'!H21*AF2</f>
        <v>0</v>
      </c>
      <c r="I3" s="13">
        <f>'Data Tables (W)'!I21*AG2</f>
        <v>0</v>
      </c>
      <c r="J3" s="13">
        <f>'Data Tables (W)'!J21*AH2</f>
        <v>0</v>
      </c>
      <c r="K3" s="13">
        <f>'Data Tables (W)'!K21*AI2</f>
        <v>0</v>
      </c>
      <c r="L3" s="13">
        <f>'Data Tables (W)'!L21*AJ2</f>
        <v>0</v>
      </c>
      <c r="M3" s="13">
        <f>'Data Tables (W)'!M21*AK2</f>
        <v>0</v>
      </c>
      <c r="N3" s="13">
        <f>'Data Tables (W)'!N21*AL2</f>
        <v>0</v>
      </c>
      <c r="O3" s="13">
        <f>'Data Tables (W)'!O21*AM2</f>
        <v>0</v>
      </c>
      <c r="P3" s="13">
        <f>'Data Tables (W)'!P21*AN2</f>
        <v>0</v>
      </c>
      <c r="Q3" s="13">
        <f>'Data Tables (W)'!Q21*AO2</f>
        <v>0</v>
      </c>
      <c r="R3" s="13">
        <f>'Data Tables (W)'!R21*AP2</f>
        <v>0</v>
      </c>
      <c r="S3" s="13">
        <f>'Data Tables (W)'!S21*AQ2</f>
        <v>0</v>
      </c>
      <c r="T3" s="13">
        <f>'Data Tables (W)'!T21*AR2</f>
        <v>0</v>
      </c>
      <c r="U3" s="13">
        <f>'Data Tables (W)'!U21*AS2</f>
        <v>0</v>
      </c>
      <c r="V3" s="13">
        <f>'Data Tables (W)'!V21*AT2</f>
        <v>0</v>
      </c>
      <c r="W3" s="13">
        <f>'Data Tables (W)'!W21*AU2</f>
        <v>0</v>
      </c>
      <c r="X3" s="13">
        <f>'Data Tables (W)'!X21*AV2</f>
        <v>0</v>
      </c>
      <c r="Y3" s="13">
        <f>'Data Tables (W)'!Y21*AW2</f>
        <v>0</v>
      </c>
    </row>
    <row r="4" spans="1:27" ht="30" customHeight="1" x14ac:dyDescent="0.25">
      <c r="A4" s="36" t="s">
        <v>235</v>
      </c>
      <c r="B4" s="13">
        <f>'Data Tables (W)'!B22</f>
        <v>-0.79926936583402153</v>
      </c>
      <c r="C4" s="13">
        <f>'Data Tables (W)'!C22</f>
        <v>-0.99932417358320436</v>
      </c>
      <c r="D4" s="13">
        <f>'Data Tables (W)'!D22</f>
        <v>-1.2906296341546979</v>
      </c>
      <c r="E4" s="13">
        <f>'Data Tables (W)'!E22</f>
        <v>-0.95933527061299628</v>
      </c>
      <c r="F4" s="13">
        <f>'Data Tables (W)'!F22</f>
        <v>-1.4059618917281109</v>
      </c>
      <c r="G4" s="13">
        <f>'Data Tables (W)'!G22</f>
        <v>-1.169119749106585</v>
      </c>
      <c r="H4" s="13">
        <f>'Data Tables (W)'!H22</f>
        <v>-0.96860273359379789</v>
      </c>
      <c r="I4" s="13">
        <f>'Data Tables (W)'!I22</f>
        <v>-1.4334284889153821</v>
      </c>
      <c r="J4" s="13">
        <f>'Data Tables (W)'!J22</f>
        <v>-1.337139495874567</v>
      </c>
      <c r="K4" s="13">
        <f>'Data Tables (W)'!K22</f>
        <v>-1.168388332992379</v>
      </c>
      <c r="L4" s="13">
        <f>'Data Tables (W)'!L22</f>
        <v>-1.388159718871435</v>
      </c>
      <c r="M4" s="13">
        <f>'Data Tables (W)'!M22</f>
        <v>-1.252137546667939</v>
      </c>
      <c r="N4" s="13">
        <f>'Data Tables (W)'!N22</f>
        <v>-1.2495898752076191</v>
      </c>
      <c r="O4" s="13">
        <f>'Data Tables (W)'!O22</f>
        <v>-1.386537431266504</v>
      </c>
      <c r="P4" s="13">
        <f>'Data Tables (W)'!P22</f>
        <v>-1.1221102144237141</v>
      </c>
      <c r="Q4" s="13">
        <f>'Data Tables (W)'!Q22</f>
        <v>-0.80478376964472886</v>
      </c>
      <c r="R4" s="13">
        <f>'Data Tables (W)'!R22</f>
        <v>-0.76287039113253741</v>
      </c>
      <c r="S4" s="13">
        <f>'Data Tables (W)'!S22</f>
        <v>-0.543694056297511</v>
      </c>
      <c r="T4" s="13">
        <f>'Data Tables (W)'!T22</f>
        <v>-0.72306407996541111</v>
      </c>
      <c r="U4" s="13">
        <f>'Data Tables (W)'!U22</f>
        <v>-0.72546441395047623</v>
      </c>
      <c r="V4" s="13">
        <f>'Data Tables (W)'!V22</f>
        <v>-0.9753464219817829</v>
      </c>
      <c r="W4" s="13">
        <f>'Data Tables (W)'!W22</f>
        <v>-1.2154892626183771</v>
      </c>
      <c r="X4" s="13">
        <f>'Data Tables (W)'!X22</f>
        <v>0</v>
      </c>
      <c r="Y4" s="13">
        <f>'Data Tables (W)'!Y22</f>
        <v>0</v>
      </c>
    </row>
    <row r="5" spans="1:27" ht="30" customHeight="1" x14ac:dyDescent="0.25">
      <c r="A5" s="38" t="s">
        <v>236</v>
      </c>
      <c r="B5" s="12">
        <f>'Data Tables (W)'!B23</f>
        <v>-1.627902413963682</v>
      </c>
      <c r="C5" s="12">
        <f>'Data Tables (W)'!C23</f>
        <v>-1.606113538228271</v>
      </c>
      <c r="D5" s="12">
        <f>'Data Tables (W)'!D23</f>
        <v>-1.756199999689301</v>
      </c>
      <c r="E5" s="12">
        <f>'Data Tables (W)'!E23</f>
        <v>-2.0783945257989269</v>
      </c>
      <c r="F5" s="12">
        <f>'Data Tables (W)'!F23</f>
        <v>-1.8616231754014341</v>
      </c>
      <c r="G5" s="12">
        <f>'Data Tables (W)'!G23</f>
        <v>-1.8396814054387389</v>
      </c>
      <c r="H5" s="12">
        <f>'Data Tables (W)'!H23</f>
        <v>-2.030943090957408</v>
      </c>
      <c r="I5" s="12">
        <f>'Data Tables (W)'!I23</f>
        <v>-1.900514212648716</v>
      </c>
      <c r="J5" s="12">
        <f>'Data Tables (W)'!J23</f>
        <v>-1.8790883667921039</v>
      </c>
      <c r="K5" s="12">
        <f>'Data Tables (W)'!K23</f>
        <v>-1.8972485195629361</v>
      </c>
      <c r="L5" s="12">
        <f>'Data Tables (W)'!L23</f>
        <v>-2.0868771546578841</v>
      </c>
      <c r="M5" s="12">
        <f>'Data Tables (W)'!M23</f>
        <v>-1.605600325237049</v>
      </c>
      <c r="N5" s="12">
        <f>'Data Tables (W)'!N23</f>
        <v>-1.9744598401439359</v>
      </c>
      <c r="O5" s="12">
        <f>'Data Tables (W)'!O23</f>
        <v>-2.2643110443999031</v>
      </c>
      <c r="P5" s="12">
        <f>'Data Tables (W)'!P23</f>
        <v>-2.038344418442875</v>
      </c>
      <c r="Q5" s="12">
        <f>'Data Tables (W)'!Q23</f>
        <v>-1.906586974194028</v>
      </c>
      <c r="R5" s="12">
        <f>'Data Tables (W)'!R23</f>
        <v>-1.6605938286280091</v>
      </c>
      <c r="S5" s="12">
        <f>'Data Tables (W)'!S23</f>
        <v>-1.694634781252802</v>
      </c>
      <c r="T5" s="12">
        <f>'Data Tables (W)'!T23</f>
        <v>-2.0522968677826441</v>
      </c>
      <c r="U5" s="12">
        <f>'Data Tables (W)'!U23</f>
        <v>-1.3452262359435849</v>
      </c>
      <c r="V5" s="12">
        <f>'Data Tables (W)'!V23</f>
        <v>-1.797536397203686</v>
      </c>
      <c r="W5" s="12">
        <f>'Data Tables (W)'!W23</f>
        <v>-1.548080829926306</v>
      </c>
      <c r="X5" s="12">
        <f>'Data Tables (W)'!X23</f>
        <v>0</v>
      </c>
      <c r="Y5" s="12">
        <f>'Data Tables (W)'!Y23</f>
        <v>0</v>
      </c>
    </row>
    <row r="6" spans="1:27" ht="15" customHeight="1" x14ac:dyDescent="0.25">
      <c r="A6" s="36" t="s">
        <v>237</v>
      </c>
      <c r="B6" s="13">
        <f t="shared" ref="B6:Y6" si="0">(194%/B10-1)/10%*1.7</f>
        <v>5.2746363304214192</v>
      </c>
      <c r="C6" s="13">
        <f t="shared" si="0"/>
        <v>5.3115318808691301</v>
      </c>
      <c r="D6" s="13">
        <f t="shared" si="0"/>
        <v>5.2458666588787493</v>
      </c>
      <c r="E6" s="13">
        <f t="shared" si="0"/>
        <v>5.839873635745902</v>
      </c>
      <c r="F6" s="13">
        <f t="shared" si="0"/>
        <v>5.3552876918413022</v>
      </c>
      <c r="G6" s="13">
        <f t="shared" si="0"/>
        <v>5.5945042006363002</v>
      </c>
      <c r="H6" s="13">
        <f t="shared" si="0"/>
        <v>5.5577827042394956</v>
      </c>
      <c r="I6" s="13">
        <f t="shared" si="0"/>
        <v>4.9285616566445878</v>
      </c>
      <c r="J6" s="13">
        <f t="shared" si="0"/>
        <v>4.9901522819020272</v>
      </c>
      <c r="K6" s="13">
        <f t="shared" si="0"/>
        <v>5.407517520757068</v>
      </c>
      <c r="L6" s="13">
        <f t="shared" si="0"/>
        <v>5.0393833350686679</v>
      </c>
      <c r="M6" s="13">
        <f t="shared" si="0"/>
        <v>5.630621686984548</v>
      </c>
      <c r="N6" s="13">
        <f t="shared" si="0"/>
        <v>4.8517767545706505</v>
      </c>
      <c r="O6" s="13">
        <f t="shared" si="0"/>
        <v>5.1242287796618085</v>
      </c>
      <c r="P6" s="13">
        <f t="shared" si="0"/>
        <v>4.8706822261217892</v>
      </c>
      <c r="Q6" s="13">
        <f t="shared" si="0"/>
        <v>5.2571443599842507</v>
      </c>
      <c r="R6" s="13">
        <f t="shared" si="0"/>
        <v>5.7382052033475928</v>
      </c>
      <c r="S6" s="13">
        <f t="shared" si="0"/>
        <v>4.8513329299433039</v>
      </c>
      <c r="T6" s="13">
        <f t="shared" si="0"/>
        <v>5.3638470947667267</v>
      </c>
      <c r="U6" s="13">
        <f t="shared" si="0"/>
        <v>5.0878221064872911</v>
      </c>
      <c r="V6" s="13">
        <f t="shared" si="0"/>
        <v>5.6135427738835659</v>
      </c>
      <c r="W6" s="13">
        <f t="shared" si="0"/>
        <v>5.8477939529972955</v>
      </c>
      <c r="X6" s="13" t="e">
        <f t="shared" si="0"/>
        <v>#DIV/0!</v>
      </c>
      <c r="Y6" s="13" t="e">
        <f t="shared" si="0"/>
        <v>#DIV/0!</v>
      </c>
    </row>
    <row r="7" spans="1:27" ht="15" customHeight="1" x14ac:dyDescent="0.25">
      <c r="A7" s="38" t="s">
        <v>30</v>
      </c>
      <c r="B7" s="12">
        <f t="shared" ref="B7:Y7" si="1">SUM(B2:B6)</f>
        <v>142.74732813995124</v>
      </c>
      <c r="C7" s="12">
        <f t="shared" si="1"/>
        <v>141.92697276159376</v>
      </c>
      <c r="D7" s="12">
        <f t="shared" si="1"/>
        <v>140.65026318641304</v>
      </c>
      <c r="E7" s="12">
        <f t="shared" si="1"/>
        <v>141.93509605729017</v>
      </c>
      <c r="F7" s="12">
        <f t="shared" si="1"/>
        <v>141.49489640901336</v>
      </c>
      <c r="G7" s="12">
        <f t="shared" si="1"/>
        <v>141.44006020719246</v>
      </c>
      <c r="H7" s="12">
        <f t="shared" si="1"/>
        <v>140.91302862759207</v>
      </c>
      <c r="I7" s="12">
        <f t="shared" si="1"/>
        <v>138.60034648474578</v>
      </c>
      <c r="J7" s="12">
        <f t="shared" si="1"/>
        <v>139.28095356566817</v>
      </c>
      <c r="K7" s="12">
        <f t="shared" si="1"/>
        <v>139.91029211119354</v>
      </c>
      <c r="L7" s="12">
        <f t="shared" si="1"/>
        <v>139.33723149087365</v>
      </c>
      <c r="M7" s="12">
        <f t="shared" si="1"/>
        <v>140.82618943114656</v>
      </c>
      <c r="N7" s="12">
        <f t="shared" si="1"/>
        <v>140.38043632258092</v>
      </c>
      <c r="O7" s="12">
        <f t="shared" si="1"/>
        <v>139.81037020477422</v>
      </c>
      <c r="P7" s="12">
        <f t="shared" si="1"/>
        <v>141.66221418391842</v>
      </c>
      <c r="Q7" s="12">
        <f t="shared" si="1"/>
        <v>143.38725084560988</v>
      </c>
      <c r="R7" s="12">
        <f t="shared" si="1"/>
        <v>144.79021194443106</v>
      </c>
      <c r="S7" s="12">
        <f t="shared" si="1"/>
        <v>143.83743923103549</v>
      </c>
      <c r="T7" s="12">
        <f t="shared" si="1"/>
        <v>143.34064193880698</v>
      </c>
      <c r="U7" s="12">
        <f t="shared" si="1"/>
        <v>142.95375826135844</v>
      </c>
      <c r="V7" s="12">
        <f t="shared" si="1"/>
        <v>143.68476457510837</v>
      </c>
      <c r="W7" s="12">
        <f t="shared" si="1"/>
        <v>143.64293319527613</v>
      </c>
      <c r="X7" s="12" t="e">
        <f t="shared" si="1"/>
        <v>#DIV/0!</v>
      </c>
      <c r="Y7" s="12" t="e">
        <f t="shared" si="1"/>
        <v>#DIV/0!</v>
      </c>
    </row>
    <row r="8" spans="1:27" ht="15" customHeight="1" x14ac:dyDescent="0.2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 spans="1:27" ht="15" customHeight="1" x14ac:dyDescent="0.25">
      <c r="A9" s="42" t="s">
        <v>238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</row>
    <row r="10" spans="1:27" ht="15" customHeight="1" x14ac:dyDescent="0.25">
      <c r="A10" s="36" t="s">
        <v>239</v>
      </c>
      <c r="B10" s="81">
        <f>'Data Tables (W)'!B26</f>
        <v>1.480607786846684</v>
      </c>
      <c r="C10" s="81">
        <f>'Data Tables (W)'!C26</f>
        <v>1.4781593740893459</v>
      </c>
      <c r="D10" s="81">
        <f>'Data Tables (W)'!D26</f>
        <v>1.482522596476908</v>
      </c>
      <c r="E10" s="81">
        <f>'Data Tables (W)'!E26</f>
        <v>1.443965957341556</v>
      </c>
      <c r="F10" s="81">
        <f>'Data Tables (W)'!F26</f>
        <v>1.475266185549303</v>
      </c>
      <c r="G10" s="81">
        <f>'Data Tables (W)'!G26</f>
        <v>1.459646987919798</v>
      </c>
      <c r="H10" s="81">
        <f>'Data Tables (W)'!H26</f>
        <v>1.4620231266702359</v>
      </c>
      <c r="I10" s="81">
        <f>'Data Tables (W)'!I26</f>
        <v>1.5039746115772581</v>
      </c>
      <c r="J10" s="81">
        <f>'Data Tables (W)'!J26</f>
        <v>1.499762237987895</v>
      </c>
      <c r="K10" s="81">
        <f>'Data Tables (W)'!K26</f>
        <v>1.471827477963553</v>
      </c>
      <c r="L10" s="81">
        <f>'Data Tables (W)'!L26</f>
        <v>1.496412104576575</v>
      </c>
      <c r="M10" s="81">
        <f>'Data Tables (W)'!M26</f>
        <v>1.457317454914093</v>
      </c>
      <c r="N10" s="81">
        <f>'Data Tables (W)'!N26</f>
        <v>1.509259424092446</v>
      </c>
      <c r="O10" s="81">
        <f>'Data Tables (W)'!O26</f>
        <v>1.4906734299510409</v>
      </c>
      <c r="P10" s="81">
        <f>'Data Tables (W)'!P26</f>
        <v>1.5079547889278699</v>
      </c>
      <c r="Q10" s="81">
        <f>'Data Tables (W)'!Q26</f>
        <v>1.4817714018737369</v>
      </c>
      <c r="R10" s="81">
        <f>'Data Tables (W)'!R26</f>
        <v>1.4504223048855489</v>
      </c>
      <c r="S10" s="81">
        <f>'Data Tables (W)'!S26</f>
        <v>1.509290078812852</v>
      </c>
      <c r="T10" s="81">
        <f>'Data Tables (W)'!T26</f>
        <v>1.474701551135069</v>
      </c>
      <c r="U10" s="81">
        <f>'Data Tables (W)'!U26</f>
        <v>1.4931304608032689</v>
      </c>
      <c r="V10" s="81">
        <f>'Data Tables (W)'!V26</f>
        <v>1.4584180961723821</v>
      </c>
      <c r="W10" s="81">
        <f>'Data Tables (W)'!W26</f>
        <v>1.4434653983595429</v>
      </c>
      <c r="X10" s="81">
        <f>'Data Tables (W)'!X26</f>
        <v>0</v>
      </c>
      <c r="Y10" s="81">
        <f>'Data Tables (W)'!Y26</f>
        <v>0</v>
      </c>
    </row>
    <row r="11" spans="1:27" ht="15" customHeight="1" x14ac:dyDescent="0.25">
      <c r="A11" s="37" t="s">
        <v>240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4"/>
      <c r="W11" s="84"/>
      <c r="X11" s="84"/>
      <c r="Y11" s="84"/>
    </row>
    <row r="12" spans="1:27" ht="15" customHeight="1" x14ac:dyDescent="0.25">
      <c r="A12" s="43" t="s">
        <v>241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</row>
    <row r="13" spans="1:27" ht="15" customHeight="1" x14ac:dyDescent="0.25">
      <c r="A13" s="38" t="s">
        <v>242</v>
      </c>
      <c r="B13" s="85">
        <f t="shared" ref="B13:Y13" si="2">B12/10%*1.7</f>
        <v>0</v>
      </c>
      <c r="C13" s="85">
        <f t="shared" si="2"/>
        <v>0</v>
      </c>
      <c r="D13" s="85">
        <f t="shared" si="2"/>
        <v>0</v>
      </c>
      <c r="E13" s="85">
        <f t="shared" si="2"/>
        <v>0</v>
      </c>
      <c r="F13" s="85">
        <f t="shared" si="2"/>
        <v>0</v>
      </c>
      <c r="G13" s="85">
        <f t="shared" si="2"/>
        <v>0</v>
      </c>
      <c r="H13" s="85">
        <f t="shared" si="2"/>
        <v>0</v>
      </c>
      <c r="I13" s="85">
        <f t="shared" si="2"/>
        <v>0</v>
      </c>
      <c r="J13" s="85">
        <f t="shared" si="2"/>
        <v>0</v>
      </c>
      <c r="K13" s="85">
        <f t="shared" si="2"/>
        <v>0</v>
      </c>
      <c r="L13" s="85">
        <f t="shared" si="2"/>
        <v>0</v>
      </c>
      <c r="M13" s="85">
        <f t="shared" si="2"/>
        <v>0</v>
      </c>
      <c r="N13" s="85">
        <f t="shared" si="2"/>
        <v>0</v>
      </c>
      <c r="O13" s="85">
        <f t="shared" si="2"/>
        <v>0</v>
      </c>
      <c r="P13" s="85">
        <f t="shared" si="2"/>
        <v>0</v>
      </c>
      <c r="Q13" s="85">
        <f t="shared" si="2"/>
        <v>0</v>
      </c>
      <c r="R13" s="85">
        <f t="shared" si="2"/>
        <v>0</v>
      </c>
      <c r="S13" s="85">
        <f t="shared" si="2"/>
        <v>0</v>
      </c>
      <c r="T13" s="85">
        <f t="shared" si="2"/>
        <v>0</v>
      </c>
      <c r="U13" s="85">
        <f t="shared" si="2"/>
        <v>0</v>
      </c>
      <c r="V13" s="85">
        <f t="shared" si="2"/>
        <v>0</v>
      </c>
      <c r="W13" s="85">
        <f t="shared" si="2"/>
        <v>0</v>
      </c>
      <c r="X13" s="85">
        <f t="shared" si="2"/>
        <v>0</v>
      </c>
      <c r="Y13" s="85">
        <f t="shared" si="2"/>
        <v>0</v>
      </c>
    </row>
    <row r="14" spans="1:27" ht="15" customHeight="1" x14ac:dyDescent="0.25">
      <c r="A14" s="36" t="s">
        <v>243</v>
      </c>
      <c r="B14" s="13">
        <f t="shared" ref="B14:Y14" si="3">B7+B13</f>
        <v>142.74732813995124</v>
      </c>
      <c r="C14" s="13">
        <f t="shared" si="3"/>
        <v>141.92697276159376</v>
      </c>
      <c r="D14" s="13">
        <f t="shared" si="3"/>
        <v>140.65026318641304</v>
      </c>
      <c r="E14" s="13">
        <f t="shared" si="3"/>
        <v>141.93509605729017</v>
      </c>
      <c r="F14" s="13">
        <f t="shared" si="3"/>
        <v>141.49489640901336</v>
      </c>
      <c r="G14" s="13">
        <f t="shared" si="3"/>
        <v>141.44006020719246</v>
      </c>
      <c r="H14" s="13">
        <f t="shared" si="3"/>
        <v>140.91302862759207</v>
      </c>
      <c r="I14" s="13">
        <f t="shared" si="3"/>
        <v>138.60034648474578</v>
      </c>
      <c r="J14" s="13">
        <f t="shared" si="3"/>
        <v>139.28095356566817</v>
      </c>
      <c r="K14" s="13">
        <f t="shared" si="3"/>
        <v>139.91029211119354</v>
      </c>
      <c r="L14" s="13">
        <f t="shared" si="3"/>
        <v>139.33723149087365</v>
      </c>
      <c r="M14" s="13">
        <f t="shared" si="3"/>
        <v>140.82618943114656</v>
      </c>
      <c r="N14" s="13">
        <f t="shared" si="3"/>
        <v>140.38043632258092</v>
      </c>
      <c r="O14" s="13">
        <f t="shared" si="3"/>
        <v>139.81037020477422</v>
      </c>
      <c r="P14" s="13">
        <f t="shared" si="3"/>
        <v>141.66221418391842</v>
      </c>
      <c r="Q14" s="13">
        <f t="shared" si="3"/>
        <v>143.38725084560988</v>
      </c>
      <c r="R14" s="13">
        <f t="shared" si="3"/>
        <v>144.79021194443106</v>
      </c>
      <c r="S14" s="13">
        <f t="shared" si="3"/>
        <v>143.83743923103549</v>
      </c>
      <c r="T14" s="13">
        <f t="shared" si="3"/>
        <v>143.34064193880698</v>
      </c>
      <c r="U14" s="13">
        <f t="shared" si="3"/>
        <v>142.95375826135844</v>
      </c>
      <c r="V14" s="13">
        <f t="shared" si="3"/>
        <v>143.68476457510837</v>
      </c>
      <c r="W14" s="13">
        <f t="shared" si="3"/>
        <v>143.64293319527613</v>
      </c>
      <c r="X14" s="13" t="e">
        <f t="shared" si="3"/>
        <v>#DIV/0!</v>
      </c>
      <c r="Y14" s="13" t="e">
        <f t="shared" si="3"/>
        <v>#DIV/0!</v>
      </c>
    </row>
    <row r="15" spans="1:27" ht="15" customHeight="1" x14ac:dyDescent="0.25">
      <c r="A15" s="38" t="s">
        <v>244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7" ht="15" customHeight="1" x14ac:dyDescent="0.25">
      <c r="A16" s="36" t="s">
        <v>245</v>
      </c>
      <c r="B16" s="19">
        <f t="shared" ref="B16:R16" si="4">B15-($V$14-B14)*1%</f>
        <v>-9.3743643515713879E-3</v>
      </c>
      <c r="C16" s="19">
        <f t="shared" si="4"/>
        <v>-1.7577918135146149E-2</v>
      </c>
      <c r="D16" s="19">
        <f t="shared" si="4"/>
        <v>-3.0345013886953324E-2</v>
      </c>
      <c r="E16" s="19">
        <f t="shared" si="4"/>
        <v>-1.7496685178182078E-2</v>
      </c>
      <c r="F16" s="19">
        <f t="shared" si="4"/>
        <v>-2.1898681660950103E-2</v>
      </c>
      <c r="G16" s="19">
        <f t="shared" si="4"/>
        <v>-2.2447043679159152E-2</v>
      </c>
      <c r="H16" s="19">
        <f t="shared" si="4"/>
        <v>-2.7717359475163052E-2</v>
      </c>
      <c r="I16" s="19">
        <f t="shared" si="4"/>
        <v>-5.0844180903625899E-2</v>
      </c>
      <c r="J16" s="19">
        <f t="shared" si="4"/>
        <v>-4.4038110094402047E-2</v>
      </c>
      <c r="K16" s="19">
        <f t="shared" si="4"/>
        <v>-3.7744724639148332E-2</v>
      </c>
      <c r="L16" s="19">
        <f t="shared" si="4"/>
        <v>-4.3475330842347261E-2</v>
      </c>
      <c r="M16" s="19">
        <f t="shared" si="4"/>
        <v>-2.858575143961815E-2</v>
      </c>
      <c r="N16" s="19">
        <f t="shared" si="4"/>
        <v>-3.3043282525274546E-2</v>
      </c>
      <c r="O16" s="19">
        <f t="shared" si="4"/>
        <v>-3.8743943703341589E-2</v>
      </c>
      <c r="P16" s="19">
        <f t="shared" si="4"/>
        <v>-2.0225503911899523E-2</v>
      </c>
      <c r="Q16" s="19">
        <f t="shared" si="4"/>
        <v>-2.9751372949849042E-3</v>
      </c>
      <c r="R16" s="19">
        <f t="shared" si="4"/>
        <v>1.1054473693226896E-2</v>
      </c>
      <c r="S16" s="19"/>
      <c r="T16" s="19"/>
      <c r="U16" s="17"/>
      <c r="V16" s="19"/>
      <c r="W16" s="19"/>
      <c r="X16" s="19"/>
      <c r="Y16" s="19"/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246</v>
      </c>
      <c r="B19" s="51" t="s">
        <v>247</v>
      </c>
    </row>
    <row r="20" spans="1:8" ht="15" customHeight="1" x14ac:dyDescent="0.25">
      <c r="A20" s="50" t="s">
        <v>248</v>
      </c>
      <c r="B20" s="51" t="s">
        <v>249</v>
      </c>
    </row>
    <row r="21" spans="1:8" ht="15" customHeight="1" x14ac:dyDescent="0.25">
      <c r="A21" s="50" t="s">
        <v>250</v>
      </c>
      <c r="B21" s="51" t="s">
        <v>251</v>
      </c>
    </row>
    <row r="22" spans="1:8" ht="15" customHeight="1" x14ac:dyDescent="0.25">
      <c r="A22" s="50"/>
      <c r="B22" s="51" t="s">
        <v>272</v>
      </c>
    </row>
    <row r="23" spans="1:8" ht="15" customHeight="1" x14ac:dyDescent="0.25">
      <c r="A23" s="50"/>
      <c r="B23" s="51" t="s">
        <v>252</v>
      </c>
    </row>
    <row r="24" spans="1:8" ht="15" customHeight="1" x14ac:dyDescent="0.25">
      <c r="A24" s="50" t="s">
        <v>253</v>
      </c>
      <c r="B24" s="51" t="s">
        <v>254</v>
      </c>
    </row>
    <row r="25" spans="1:8" ht="15" customHeight="1" x14ac:dyDescent="0.25">
      <c r="A25" s="50" t="s">
        <v>255</v>
      </c>
      <c r="B25" s="51" t="s">
        <v>256</v>
      </c>
    </row>
    <row r="26" spans="1:8" ht="15" customHeight="1" x14ac:dyDescent="0.25">
      <c r="A26" s="50" t="s">
        <v>257</v>
      </c>
      <c r="B26" s="51" t="s">
        <v>258</v>
      </c>
    </row>
    <row r="27" spans="1:8" ht="15" customHeight="1" x14ac:dyDescent="0.25">
      <c r="A27" s="50"/>
      <c r="B27" s="51" t="s">
        <v>259</v>
      </c>
    </row>
    <row r="28" spans="1:8" ht="15" customHeight="1" x14ac:dyDescent="0.25">
      <c r="A28" s="50" t="s">
        <v>260</v>
      </c>
      <c r="B28" s="51" t="s">
        <v>261</v>
      </c>
    </row>
  </sheetData>
  <pageMargins left="0.7" right="0.7" top="0.75" bottom="0.75" header="0.3" footer="0.3"/>
  <pageSetup orientation="portrait" horizontalDpi="204" verticalDpi="19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28"/>
  <sheetViews>
    <sheetView zoomScale="160" zoomScaleNormal="160" workbookViewId="0">
      <selection activeCell="B1" sqref="B1:D1"/>
    </sheetView>
  </sheetViews>
  <sheetFormatPr defaultColWidth="9.1796875" defaultRowHeight="15" customHeight="1" x14ac:dyDescent="0.25"/>
  <cols>
    <col min="1" max="1" width="25" style="41" customWidth="1"/>
    <col min="2" max="2" width="7" style="41" customWidth="1"/>
    <col min="3" max="3" width="6.54296875" style="41" customWidth="1"/>
    <col min="4" max="4" width="6.1796875" style="41" customWidth="1"/>
    <col min="5" max="5" width="5.81640625" style="41" customWidth="1"/>
    <col min="6" max="6" width="6.1796875" style="41" customWidth="1"/>
    <col min="7" max="7" width="5.26953125" style="41" customWidth="1"/>
    <col min="8" max="8" width="6.453125" style="41" customWidth="1"/>
    <col min="9" max="9" width="6" style="41" customWidth="1"/>
    <col min="10" max="11" width="6.453125" style="41" customWidth="1"/>
    <col min="12" max="13" width="6.1796875" style="41" customWidth="1"/>
    <col min="14" max="14" width="6.453125" style="41" customWidth="1"/>
    <col min="15" max="15" width="6.26953125" style="41" customWidth="1"/>
    <col min="16" max="16" width="5.26953125" style="41" customWidth="1"/>
    <col min="17" max="17" width="6" style="41" customWidth="1"/>
    <col min="18" max="19" width="6.453125" style="41" customWidth="1"/>
    <col min="20" max="20" width="6.1796875" style="41" customWidth="1"/>
    <col min="21" max="21" width="6.26953125" style="41" customWidth="1"/>
    <col min="22" max="22" width="6.54296875" style="41" customWidth="1"/>
    <col min="23" max="79" width="9.1796875" style="41" customWidth="1"/>
    <col min="80" max="16384" width="9.1796875" style="41"/>
  </cols>
  <sheetData>
    <row r="1" spans="1:27" ht="30" customHeight="1" x14ac:dyDescent="0.35">
      <c r="A1" s="35" t="s">
        <v>34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0">
        <v>45417</v>
      </c>
      <c r="U1" s="120">
        <v>45424</v>
      </c>
      <c r="V1" s="120">
        <v>45431</v>
      </c>
      <c r="W1" s="120">
        <v>45438</v>
      </c>
      <c r="X1" s="120">
        <v>45445</v>
      </c>
      <c r="Y1" s="120">
        <v>45452</v>
      </c>
      <c r="Z1" s="106"/>
      <c r="AA1" s="130"/>
    </row>
    <row r="2" spans="1:27" ht="15" customHeight="1" thickBot="1" x14ac:dyDescent="0.4">
      <c r="A2" s="38" t="s">
        <v>233</v>
      </c>
      <c r="B2" s="12">
        <f>'Data Tables (W)'!B29</f>
        <v>136.93689963796811</v>
      </c>
      <c r="C2" s="12">
        <f>'Data Tables (W)'!C29</f>
        <v>137.98802742208051</v>
      </c>
      <c r="D2" s="12">
        <f>'Data Tables (W)'!D29</f>
        <v>137.06585523012069</v>
      </c>
      <c r="E2" s="12">
        <f>'Data Tables (W)'!E29</f>
        <v>138.79588787992921</v>
      </c>
      <c r="F2" s="12">
        <f>'Data Tables (W)'!F29</f>
        <v>136.6773650579506</v>
      </c>
      <c r="G2" s="12">
        <f>'Data Tables (W)'!G29</f>
        <v>137.06165208528591</v>
      </c>
      <c r="H2" s="12">
        <f>'Data Tables (W)'!H29</f>
        <v>136.83543924532489</v>
      </c>
      <c r="I2" s="12">
        <f>'Data Tables (W)'!I29</f>
        <v>135.24488413151849</v>
      </c>
      <c r="J2" s="12">
        <f>'Data Tables (W)'!J29</f>
        <v>136.65034745383721</v>
      </c>
      <c r="K2" s="12">
        <f>'Data Tables (W)'!K29</f>
        <v>137.10162290812579</v>
      </c>
      <c r="L2" s="12">
        <f>'Data Tables (W)'!L29</f>
        <v>137.20647300814059</v>
      </c>
      <c r="M2" s="12">
        <f>'Data Tables (W)'!M29</f>
        <v>136.3355233446589</v>
      </c>
      <c r="N2" s="12">
        <f>'Data Tables (W)'!N29</f>
        <v>136.84901750611661</v>
      </c>
      <c r="O2" s="12">
        <f>'Data Tables (W)'!O29</f>
        <v>136.93169220071809</v>
      </c>
      <c r="P2" s="12">
        <f>'Data Tables (W)'!P29</f>
        <v>136.84226225891379</v>
      </c>
      <c r="Q2" s="12">
        <f>'Data Tables (W)'!Q29</f>
        <v>137.62988332147819</v>
      </c>
      <c r="R2" s="12">
        <f>'Data Tables (W)'!R29</f>
        <v>137.7008847083186</v>
      </c>
      <c r="S2" s="12">
        <f>'Data Tables (W)'!S29</f>
        <v>137.7084556174342</v>
      </c>
      <c r="T2" s="12">
        <f>'Data Tables (W)'!T29</f>
        <v>137.88255750462031</v>
      </c>
      <c r="U2" s="12">
        <f>'Data Tables (W)'!U29</f>
        <v>137.28356633751281</v>
      </c>
      <c r="V2" s="12">
        <f>'Data Tables (W)'!V29</f>
        <v>137.4298987182585</v>
      </c>
      <c r="W2" s="12">
        <f>'Data Tables (W)'!W29</f>
        <v>137.87670042288619</v>
      </c>
      <c r="X2" s="61"/>
      <c r="Y2" s="75"/>
      <c r="Z2" s="107"/>
      <c r="AA2" s="131"/>
    </row>
    <row r="3" spans="1:27" ht="15" hidden="1" customHeight="1" x14ac:dyDescent="0.25">
      <c r="A3" s="43" t="s">
        <v>234</v>
      </c>
      <c r="B3" s="13">
        <f>'Data Tables (W)'!B30*Z2</f>
        <v>0</v>
      </c>
      <c r="C3" s="13">
        <f>'Data Tables (W)'!C30*AA2</f>
        <v>0</v>
      </c>
      <c r="D3" s="13">
        <f>'Data Tables (W)'!D30*AB2</f>
        <v>0</v>
      </c>
      <c r="E3" s="13">
        <f>'Data Tables (W)'!E30*AC2</f>
        <v>0</v>
      </c>
      <c r="F3" s="13">
        <f>'Data Tables (W)'!F30*AD2</f>
        <v>0</v>
      </c>
      <c r="G3" s="13">
        <f>'Data Tables (W)'!G30*AE2</f>
        <v>0</v>
      </c>
      <c r="H3" s="13">
        <f>'Data Tables (W)'!H30*AF2</f>
        <v>0</v>
      </c>
      <c r="I3" s="13">
        <f>'Data Tables (W)'!I30*AG2</f>
        <v>0</v>
      </c>
      <c r="J3" s="13">
        <f>'Data Tables (W)'!J30*AH2</f>
        <v>0</v>
      </c>
      <c r="K3" s="13">
        <f>'Data Tables (W)'!K30*AI2</f>
        <v>0</v>
      </c>
      <c r="L3" s="13">
        <f>'Data Tables (W)'!L30*AJ2</f>
        <v>0</v>
      </c>
      <c r="M3" s="13">
        <f>'Data Tables (W)'!M30*AK2</f>
        <v>0</v>
      </c>
      <c r="N3" s="13">
        <f>'Data Tables (W)'!N30*AL2</f>
        <v>0</v>
      </c>
      <c r="O3" s="13">
        <f>'Data Tables (W)'!O30*AM2</f>
        <v>0</v>
      </c>
      <c r="P3" s="13">
        <f>'Data Tables (W)'!P30*AN2</f>
        <v>0</v>
      </c>
      <c r="Q3" s="13">
        <f>'Data Tables (W)'!Q30*AO2</f>
        <v>0</v>
      </c>
      <c r="R3" s="13">
        <f>'Data Tables (W)'!R30*AP2</f>
        <v>0</v>
      </c>
      <c r="S3" s="13">
        <f>'Data Tables (W)'!S30*AQ2</f>
        <v>0</v>
      </c>
      <c r="T3" s="13">
        <f>'Data Tables (W)'!T30*AR2</f>
        <v>0</v>
      </c>
      <c r="U3" s="13">
        <f>'Data Tables (W)'!U30*AS2</f>
        <v>0</v>
      </c>
      <c r="V3" s="13">
        <f>'Data Tables (W)'!V30*AT2</f>
        <v>0</v>
      </c>
      <c r="W3" s="13">
        <f>'Data Tables (W)'!W30*AU2</f>
        <v>0</v>
      </c>
      <c r="X3" s="44"/>
      <c r="Y3" s="17"/>
    </row>
    <row r="4" spans="1:27" ht="30" customHeight="1" x14ac:dyDescent="0.25">
      <c r="A4" s="36" t="s">
        <v>235</v>
      </c>
      <c r="B4" s="13">
        <f>'Data Tables (W)'!B31</f>
        <v>1.4125866629800901</v>
      </c>
      <c r="C4" s="13">
        <f>'Data Tables (W)'!C31</f>
        <v>1.670735379458421</v>
      </c>
      <c r="D4" s="13">
        <f>'Data Tables (W)'!D31</f>
        <v>1.3546572957226319</v>
      </c>
      <c r="E4" s="13">
        <f>'Data Tables (W)'!E31</f>
        <v>1.8282505325591389</v>
      </c>
      <c r="F4" s="13">
        <f>'Data Tables (W)'!F31</f>
        <v>1.5870012013929231</v>
      </c>
      <c r="G4" s="13">
        <f>'Data Tables (W)'!G31</f>
        <v>1.5452128066995101</v>
      </c>
      <c r="H4" s="13">
        <f>'Data Tables (W)'!H31</f>
        <v>1.8168725854268359</v>
      </c>
      <c r="I4" s="13">
        <f>'Data Tables (W)'!I31</f>
        <v>1.5540660513773621</v>
      </c>
      <c r="J4" s="13">
        <f>'Data Tables (W)'!J31</f>
        <v>1.194763756153947</v>
      </c>
      <c r="K4" s="13">
        <f>'Data Tables (W)'!K31</f>
        <v>1.622624835895039</v>
      </c>
      <c r="L4" s="13">
        <f>'Data Tables (W)'!L31</f>
        <v>1.528755276793248</v>
      </c>
      <c r="M4" s="13">
        <f>'Data Tables (W)'!M31</f>
        <v>1.624010576682821</v>
      </c>
      <c r="N4" s="13">
        <f>'Data Tables (W)'!N31</f>
        <v>1.901730298516128</v>
      </c>
      <c r="O4" s="13">
        <f>'Data Tables (W)'!O31</f>
        <v>1.7886278321154521</v>
      </c>
      <c r="P4" s="13">
        <f>'Data Tables (W)'!P31</f>
        <v>1.912024086185909</v>
      </c>
      <c r="Q4" s="13">
        <f>'Data Tables (W)'!Q31</f>
        <v>2.0139904875882451</v>
      </c>
      <c r="R4" s="13">
        <f>'Data Tables (W)'!R31</f>
        <v>1.7565675830820451</v>
      </c>
      <c r="S4" s="13">
        <f>'Data Tables (W)'!S31</f>
        <v>2.2417313779052961</v>
      </c>
      <c r="T4" s="13">
        <f>'Data Tables (W)'!T31</f>
        <v>1.8305975906681911</v>
      </c>
      <c r="U4" s="13">
        <f>'Data Tables (W)'!U31</f>
        <v>2.4374960095368858</v>
      </c>
      <c r="V4" s="13">
        <f>'Data Tables (W)'!V31</f>
        <v>2.2480677571803369</v>
      </c>
      <c r="W4" s="13">
        <f>'Data Tables (W)'!W31</f>
        <v>1.842238650856785</v>
      </c>
      <c r="X4" s="44"/>
      <c r="Y4" s="17"/>
    </row>
    <row r="5" spans="1:27" ht="30" customHeight="1" x14ac:dyDescent="0.25">
      <c r="A5" s="38" t="s">
        <v>236</v>
      </c>
      <c r="B5" s="12">
        <f>'Data Tables (W)'!B32</f>
        <v>0.46092177286999458</v>
      </c>
      <c r="C5" s="12">
        <f>'Data Tables (W)'!C32</f>
        <v>1.139282625512152</v>
      </c>
      <c r="D5" s="12">
        <f>'Data Tables (W)'!D32</f>
        <v>-0.14072907152041131</v>
      </c>
      <c r="E5" s="12">
        <f>'Data Tables (W)'!E32</f>
        <v>0.80893348035405666</v>
      </c>
      <c r="F5" s="12">
        <f>'Data Tables (W)'!F32</f>
        <v>0.37657510691821022</v>
      </c>
      <c r="G5" s="12">
        <f>'Data Tables (W)'!G32</f>
        <v>1.5167124768797751</v>
      </c>
      <c r="H5" s="12">
        <f>'Data Tables (W)'!H32</f>
        <v>0.37775791597371722</v>
      </c>
      <c r="I5" s="12">
        <f>'Data Tables (W)'!I32</f>
        <v>0.25289318703664782</v>
      </c>
      <c r="J5" s="12">
        <f>'Data Tables (W)'!J32</f>
        <v>0.7640690743034213</v>
      </c>
      <c r="K5" s="12">
        <f>'Data Tables (W)'!K32</f>
        <v>0.45340743421974139</v>
      </c>
      <c r="L5" s="12">
        <f>'Data Tables (W)'!L32</f>
        <v>1.112294207811374</v>
      </c>
      <c r="M5" s="12">
        <f>'Data Tables (W)'!M32</f>
        <v>0.90506391991780788</v>
      </c>
      <c r="N5" s="12">
        <f>'Data Tables (W)'!N32</f>
        <v>0.62427653803555927</v>
      </c>
      <c r="O5" s="12">
        <f>'Data Tables (W)'!O32</f>
        <v>0.44406489714356212</v>
      </c>
      <c r="P5" s="12">
        <f>'Data Tables (W)'!P32</f>
        <v>1.55739239152453</v>
      </c>
      <c r="Q5" s="12">
        <f>'Data Tables (W)'!Q32</f>
        <v>0.61578566540561042</v>
      </c>
      <c r="R5" s="12">
        <f>'Data Tables (W)'!R32</f>
        <v>1.4047703838325281</v>
      </c>
      <c r="S5" s="12">
        <f>'Data Tables (W)'!S32</f>
        <v>1.5192947098504419</v>
      </c>
      <c r="T5" s="12">
        <f>'Data Tables (W)'!T32</f>
        <v>1.220074389677535</v>
      </c>
      <c r="U5" s="12">
        <f>'Data Tables (W)'!U32</f>
        <v>2.2602977173999652</v>
      </c>
      <c r="V5" s="12">
        <f>'Data Tables (W)'!V32</f>
        <v>2.4192007059596108</v>
      </c>
      <c r="W5" s="12">
        <f>'Data Tables (W)'!W32</f>
        <v>2.1840232571315141</v>
      </c>
      <c r="X5" s="44"/>
      <c r="Y5" s="17"/>
    </row>
    <row r="6" spans="1:27" ht="15" customHeight="1" x14ac:dyDescent="0.25">
      <c r="A6" s="36" t="s">
        <v>237</v>
      </c>
      <c r="B6" s="13">
        <f t="shared" ref="B6:W6" si="0">(194%/B10-1)/10%*1.7</f>
        <v>3.7996106892886559</v>
      </c>
      <c r="C6" s="13">
        <f t="shared" si="0"/>
        <v>4.9116370754740108</v>
      </c>
      <c r="D6" s="13">
        <f t="shared" si="0"/>
        <v>3.8426507967201244</v>
      </c>
      <c r="E6" s="13">
        <f t="shared" si="0"/>
        <v>4.9582486344938586</v>
      </c>
      <c r="F6" s="13">
        <f t="shared" si="0"/>
        <v>3.9768963802881285</v>
      </c>
      <c r="G6" s="13">
        <f t="shared" si="0"/>
        <v>5.6259693273602638</v>
      </c>
      <c r="H6" s="13">
        <f t="shared" si="0"/>
        <v>4.4165293070180853</v>
      </c>
      <c r="I6" s="13">
        <f t="shared" si="0"/>
        <v>4.5082928609053265</v>
      </c>
      <c r="J6" s="13">
        <f t="shared" si="0"/>
        <v>4.5891937106765868</v>
      </c>
      <c r="K6" s="13">
        <f t="shared" si="0"/>
        <v>4.6717555481916424</v>
      </c>
      <c r="L6" s="13">
        <f t="shared" si="0"/>
        <v>4.9287880471381023</v>
      </c>
      <c r="M6" s="13">
        <f t="shared" si="0"/>
        <v>4.4793123636557457</v>
      </c>
      <c r="N6" s="13">
        <f t="shared" si="0"/>
        <v>4.4386656713432533</v>
      </c>
      <c r="O6" s="13">
        <f t="shared" si="0"/>
        <v>3.6861345235329996</v>
      </c>
      <c r="P6" s="13">
        <f t="shared" si="0"/>
        <v>5.0757141046870462</v>
      </c>
      <c r="Q6" s="13">
        <f t="shared" si="0"/>
        <v>4.6741544330552767</v>
      </c>
      <c r="R6" s="13">
        <f t="shared" si="0"/>
        <v>5.6295749230790504</v>
      </c>
      <c r="S6" s="13">
        <f t="shared" si="0"/>
        <v>4.7228424635146204</v>
      </c>
      <c r="T6" s="13">
        <f t="shared" si="0"/>
        <v>4.4362942708038844</v>
      </c>
      <c r="U6" s="13">
        <f t="shared" si="0"/>
        <v>5.0309755938020206</v>
      </c>
      <c r="V6" s="13">
        <f t="shared" si="0"/>
        <v>5.7907970476990034</v>
      </c>
      <c r="W6" s="13">
        <f t="shared" si="0"/>
        <v>5.4340566286664957</v>
      </c>
      <c r="Y6" s="16"/>
    </row>
    <row r="7" spans="1:27" ht="15" customHeight="1" x14ac:dyDescent="0.25">
      <c r="A7" s="38" t="s">
        <v>30</v>
      </c>
      <c r="B7" s="12">
        <f t="shared" ref="B7:W7" si="1">SUM(B2:B6)</f>
        <v>142.61001876310684</v>
      </c>
      <c r="C7" s="12">
        <f t="shared" si="1"/>
        <v>145.70968250252508</v>
      </c>
      <c r="D7" s="12">
        <f t="shared" si="1"/>
        <v>142.12243425104305</v>
      </c>
      <c r="E7" s="12">
        <f t="shared" si="1"/>
        <v>146.39132052733626</v>
      </c>
      <c r="F7" s="12">
        <f t="shared" si="1"/>
        <v>142.61783774654987</v>
      </c>
      <c r="G7" s="12">
        <f t="shared" si="1"/>
        <v>145.74954669622545</v>
      </c>
      <c r="H7" s="12">
        <f t="shared" si="1"/>
        <v>143.44659905374354</v>
      </c>
      <c r="I7" s="12">
        <f t="shared" si="1"/>
        <v>141.56013623083783</v>
      </c>
      <c r="J7" s="12">
        <f t="shared" si="1"/>
        <v>143.19837399497118</v>
      </c>
      <c r="K7" s="12">
        <f t="shared" si="1"/>
        <v>143.84941072643221</v>
      </c>
      <c r="L7" s="12">
        <f t="shared" si="1"/>
        <v>144.77631053988333</v>
      </c>
      <c r="M7" s="12">
        <f t="shared" si="1"/>
        <v>143.34391020491526</v>
      </c>
      <c r="N7" s="12">
        <f t="shared" si="1"/>
        <v>143.81369001401154</v>
      </c>
      <c r="O7" s="12">
        <f t="shared" si="1"/>
        <v>142.85051945351012</v>
      </c>
      <c r="P7" s="12">
        <f t="shared" si="1"/>
        <v>145.38739284131128</v>
      </c>
      <c r="Q7" s="12">
        <f t="shared" si="1"/>
        <v>144.93381390752731</v>
      </c>
      <c r="R7" s="12">
        <f t="shared" si="1"/>
        <v>146.49179759831222</v>
      </c>
      <c r="S7" s="12">
        <f t="shared" si="1"/>
        <v>146.19232416870454</v>
      </c>
      <c r="T7" s="12">
        <f t="shared" si="1"/>
        <v>145.36952375576993</v>
      </c>
      <c r="U7" s="12">
        <f t="shared" si="1"/>
        <v>147.01233565825169</v>
      </c>
      <c r="V7" s="12">
        <f t="shared" si="1"/>
        <v>147.88796422909746</v>
      </c>
      <c r="W7" s="12">
        <f t="shared" si="1"/>
        <v>147.33701895954098</v>
      </c>
      <c r="Y7" s="16"/>
    </row>
    <row r="8" spans="1:27" ht="15" customHeight="1" x14ac:dyDescent="0.2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Y8" s="16"/>
    </row>
    <row r="9" spans="1:27" ht="15" customHeight="1" x14ac:dyDescent="0.25">
      <c r="A9" s="42" t="s">
        <v>238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Y9" s="16"/>
    </row>
    <row r="10" spans="1:27" ht="15" customHeight="1" x14ac:dyDescent="0.25">
      <c r="A10" s="36" t="s">
        <v>239</v>
      </c>
      <c r="B10" s="81">
        <f>'Data Tables (W)'!B35</f>
        <v>1.5856066006554621</v>
      </c>
      <c r="C10" s="81">
        <f>'Data Tables (W)'!C35</f>
        <v>1.505136283811261</v>
      </c>
      <c r="D10" s="81">
        <f>'Data Tables (W)'!D35</f>
        <v>1.582332320473836</v>
      </c>
      <c r="E10" s="81">
        <f>'Data Tables (W)'!E35</f>
        <v>1.5019412772379419</v>
      </c>
      <c r="F10" s="81">
        <f>'Data Tables (W)'!F35</f>
        <v>1.5722058879497121</v>
      </c>
      <c r="G10" s="81">
        <f>'Data Tables (W)'!G35</f>
        <v>1.457617109032284</v>
      </c>
      <c r="H10" s="81">
        <f>'Data Tables (W)'!H35</f>
        <v>1.539932055619891</v>
      </c>
      <c r="I10" s="81">
        <f>'Data Tables (W)'!I35</f>
        <v>1.5333620484564949</v>
      </c>
      <c r="J10" s="81">
        <f>'Data Tables (W)'!J35</f>
        <v>1.527616104703821</v>
      </c>
      <c r="K10" s="81">
        <f>'Data Tables (W)'!K35</f>
        <v>1.521796419614559</v>
      </c>
      <c r="L10" s="81">
        <f>'Data Tables (W)'!L35</f>
        <v>1.5039590847020921</v>
      </c>
      <c r="M10" s="81">
        <f>'Data Tables (W)'!M35</f>
        <v>1.535430904008086</v>
      </c>
      <c r="N10" s="81">
        <f>'Data Tables (W)'!N35</f>
        <v>1.538342008107523</v>
      </c>
      <c r="O10" s="81">
        <f>'Data Tables (W)'!O35</f>
        <v>1.5943046276954851</v>
      </c>
      <c r="P10" s="81">
        <f>'Data Tables (W)'!P35</f>
        <v>1.493949407190311</v>
      </c>
      <c r="Q10" s="81">
        <f>'Data Tables (W)'!Q35</f>
        <v>1.521627987927509</v>
      </c>
      <c r="R10" s="81">
        <f>'Data Tables (W)'!R35</f>
        <v>1.457384865252813</v>
      </c>
      <c r="S10" s="81">
        <f>'Data Tables (W)'!S35</f>
        <v>1.518217519433414</v>
      </c>
      <c r="T10" s="81">
        <f>'Data Tables (W)'!T35</f>
        <v>1.5385121879446571</v>
      </c>
      <c r="U10" s="81">
        <f>'Data Tables (W)'!U35</f>
        <v>1.4969831844068799</v>
      </c>
      <c r="V10" s="81">
        <f>'Data Tables (W)'!V35</f>
        <v>1.4470753230339399</v>
      </c>
      <c r="W10" s="81">
        <f>'Data Tables (W)'!W35</f>
        <v>1.4700863310587251</v>
      </c>
      <c r="X10" s="44"/>
      <c r="Y10" s="17"/>
    </row>
    <row r="11" spans="1:27" ht="15" customHeight="1" x14ac:dyDescent="0.25">
      <c r="A11" s="37" t="s">
        <v>240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4"/>
      <c r="W11" s="84"/>
    </row>
    <row r="12" spans="1:27" ht="15" customHeight="1" x14ac:dyDescent="0.25">
      <c r="A12" s="43" t="s">
        <v>241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</row>
    <row r="13" spans="1:27" ht="15" customHeight="1" x14ac:dyDescent="0.25">
      <c r="A13" s="38" t="s">
        <v>242</v>
      </c>
      <c r="B13" s="85">
        <f t="shared" ref="B13:W13" si="2">B12/10%*1.7</f>
        <v>0</v>
      </c>
      <c r="C13" s="85">
        <f t="shared" si="2"/>
        <v>0</v>
      </c>
      <c r="D13" s="85">
        <f t="shared" si="2"/>
        <v>0</v>
      </c>
      <c r="E13" s="85">
        <f t="shared" si="2"/>
        <v>0</v>
      </c>
      <c r="F13" s="85">
        <f t="shared" si="2"/>
        <v>0</v>
      </c>
      <c r="G13" s="85">
        <f t="shared" si="2"/>
        <v>0</v>
      </c>
      <c r="H13" s="85">
        <f t="shared" si="2"/>
        <v>0</v>
      </c>
      <c r="I13" s="85">
        <f t="shared" si="2"/>
        <v>0</v>
      </c>
      <c r="J13" s="85">
        <f t="shared" si="2"/>
        <v>0</v>
      </c>
      <c r="K13" s="85">
        <f t="shared" si="2"/>
        <v>0</v>
      </c>
      <c r="L13" s="85">
        <f t="shared" si="2"/>
        <v>0</v>
      </c>
      <c r="M13" s="85">
        <f t="shared" si="2"/>
        <v>0</v>
      </c>
      <c r="N13" s="85">
        <f t="shared" si="2"/>
        <v>0</v>
      </c>
      <c r="O13" s="85">
        <f t="shared" si="2"/>
        <v>0</v>
      </c>
      <c r="P13" s="85">
        <f t="shared" si="2"/>
        <v>0</v>
      </c>
      <c r="Q13" s="85">
        <f t="shared" si="2"/>
        <v>0</v>
      </c>
      <c r="R13" s="85">
        <f t="shared" si="2"/>
        <v>0</v>
      </c>
      <c r="S13" s="85">
        <f t="shared" si="2"/>
        <v>0</v>
      </c>
      <c r="T13" s="85">
        <f t="shared" si="2"/>
        <v>0</v>
      </c>
      <c r="U13" s="85">
        <f t="shared" si="2"/>
        <v>0</v>
      </c>
      <c r="V13" s="85">
        <f t="shared" si="2"/>
        <v>0</v>
      </c>
      <c r="W13" s="85">
        <f t="shared" si="2"/>
        <v>0</v>
      </c>
    </row>
    <row r="14" spans="1:27" ht="15" customHeight="1" x14ac:dyDescent="0.25">
      <c r="A14" s="36" t="s">
        <v>243</v>
      </c>
      <c r="B14" s="13">
        <f t="shared" ref="B14:W14" si="3">B7+B13</f>
        <v>142.61001876310684</v>
      </c>
      <c r="C14" s="13">
        <f t="shared" si="3"/>
        <v>145.70968250252508</v>
      </c>
      <c r="D14" s="13">
        <f t="shared" si="3"/>
        <v>142.12243425104305</v>
      </c>
      <c r="E14" s="13">
        <f t="shared" si="3"/>
        <v>146.39132052733626</v>
      </c>
      <c r="F14" s="13">
        <f t="shared" si="3"/>
        <v>142.61783774654987</v>
      </c>
      <c r="G14" s="13">
        <f t="shared" si="3"/>
        <v>145.74954669622545</v>
      </c>
      <c r="H14" s="13">
        <f t="shared" si="3"/>
        <v>143.44659905374354</v>
      </c>
      <c r="I14" s="13">
        <f t="shared" si="3"/>
        <v>141.56013623083783</v>
      </c>
      <c r="J14" s="13">
        <f t="shared" si="3"/>
        <v>143.19837399497118</v>
      </c>
      <c r="K14" s="13">
        <f t="shared" si="3"/>
        <v>143.84941072643221</v>
      </c>
      <c r="L14" s="13">
        <f t="shared" si="3"/>
        <v>144.77631053988333</v>
      </c>
      <c r="M14" s="13">
        <f t="shared" si="3"/>
        <v>143.34391020491526</v>
      </c>
      <c r="N14" s="13">
        <f t="shared" si="3"/>
        <v>143.81369001401154</v>
      </c>
      <c r="O14" s="13">
        <f t="shared" si="3"/>
        <v>142.85051945351012</v>
      </c>
      <c r="P14" s="13">
        <f t="shared" si="3"/>
        <v>145.38739284131128</v>
      </c>
      <c r="Q14" s="13">
        <f t="shared" si="3"/>
        <v>144.93381390752731</v>
      </c>
      <c r="R14" s="13">
        <f t="shared" si="3"/>
        <v>146.49179759831222</v>
      </c>
      <c r="S14" s="13">
        <f t="shared" si="3"/>
        <v>146.19232416870454</v>
      </c>
      <c r="T14" s="13">
        <f t="shared" si="3"/>
        <v>145.36952375576993</v>
      </c>
      <c r="U14" s="13">
        <f t="shared" si="3"/>
        <v>147.01233565825169</v>
      </c>
      <c r="V14" s="13">
        <f t="shared" si="3"/>
        <v>147.88796422909746</v>
      </c>
      <c r="W14" s="13">
        <f t="shared" si="3"/>
        <v>147.33701895954098</v>
      </c>
    </row>
    <row r="15" spans="1:27" ht="15" customHeight="1" x14ac:dyDescent="0.25">
      <c r="A15" s="38" t="s">
        <v>244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1"/>
      <c r="W15" s="21"/>
    </row>
    <row r="16" spans="1:27" ht="15" customHeight="1" x14ac:dyDescent="0.25">
      <c r="A16" s="36" t="s">
        <v>245</v>
      </c>
      <c r="B16" s="19">
        <f t="shared" ref="B16:R16" si="4">B15-($V$14-B14)*1%</f>
        <v>-5.2779454659906265E-2</v>
      </c>
      <c r="C16" s="19">
        <f t="shared" si="4"/>
        <v>-2.1782817265723793E-2</v>
      </c>
      <c r="D16" s="19">
        <f t="shared" si="4"/>
        <v>-5.7655299780544171E-2</v>
      </c>
      <c r="E16" s="19">
        <f t="shared" si="4"/>
        <v>-1.4966437017612008E-2</v>
      </c>
      <c r="F16" s="19">
        <f t="shared" si="4"/>
        <v>-5.2701264825475963E-2</v>
      </c>
      <c r="G16" s="19">
        <f t="shared" si="4"/>
        <v>-2.1384175328720119E-2</v>
      </c>
      <c r="H16" s="19">
        <f t="shared" si="4"/>
        <v>-4.4413651753539229E-2</v>
      </c>
      <c r="I16" s="19">
        <f t="shared" si="4"/>
        <v>-6.3278279982596358E-2</v>
      </c>
      <c r="J16" s="19">
        <f t="shared" si="4"/>
        <v>-4.6895902341262855E-2</v>
      </c>
      <c r="K16" s="19">
        <f t="shared" si="4"/>
        <v>-4.0385535026652521E-2</v>
      </c>
      <c r="L16" s="19">
        <f t="shared" si="4"/>
        <v>-3.1116536892141368E-2</v>
      </c>
      <c r="M16" s="19">
        <f t="shared" si="4"/>
        <v>-4.5440540241822022E-2</v>
      </c>
      <c r="N16" s="19">
        <f t="shared" si="4"/>
        <v>-4.0742742150859212E-2</v>
      </c>
      <c r="O16" s="19">
        <f t="shared" si="4"/>
        <v>-5.0374447755873464E-2</v>
      </c>
      <c r="P16" s="19">
        <f t="shared" si="4"/>
        <v>-2.500571387786181E-2</v>
      </c>
      <c r="Q16" s="19">
        <f t="shared" si="4"/>
        <v>-2.954150321570154E-2</v>
      </c>
      <c r="R16" s="19">
        <f t="shared" si="4"/>
        <v>-1.3961666307852455E-2</v>
      </c>
      <c r="S16" s="19"/>
      <c r="T16" s="19"/>
      <c r="U16" s="19"/>
      <c r="V16" s="19"/>
      <c r="W16" s="19"/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246</v>
      </c>
      <c r="B19" s="51" t="s">
        <v>247</v>
      </c>
    </row>
    <row r="20" spans="1:8" ht="15" customHeight="1" x14ac:dyDescent="0.25">
      <c r="A20" s="50" t="s">
        <v>248</v>
      </c>
      <c r="B20" s="51" t="s">
        <v>249</v>
      </c>
    </row>
    <row r="21" spans="1:8" ht="15" customHeight="1" x14ac:dyDescent="0.25">
      <c r="A21" s="50" t="s">
        <v>250</v>
      </c>
      <c r="B21" s="51" t="s">
        <v>251</v>
      </c>
    </row>
    <row r="22" spans="1:8" ht="15" customHeight="1" x14ac:dyDescent="0.25">
      <c r="A22" s="50"/>
      <c r="B22" s="51" t="s">
        <v>272</v>
      </c>
    </row>
    <row r="23" spans="1:8" ht="15" customHeight="1" x14ac:dyDescent="0.25">
      <c r="A23" s="50"/>
      <c r="B23" s="51" t="s">
        <v>252</v>
      </c>
    </row>
    <row r="24" spans="1:8" ht="15" customHeight="1" x14ac:dyDescent="0.25">
      <c r="A24" s="50" t="s">
        <v>253</v>
      </c>
      <c r="B24" s="51" t="s">
        <v>254</v>
      </c>
    </row>
    <row r="25" spans="1:8" ht="15" customHeight="1" x14ac:dyDescent="0.25">
      <c r="A25" s="50" t="s">
        <v>255</v>
      </c>
      <c r="B25" s="51" t="s">
        <v>256</v>
      </c>
    </row>
    <row r="26" spans="1:8" ht="15" customHeight="1" x14ac:dyDescent="0.25">
      <c r="A26" s="50" t="s">
        <v>257</v>
      </c>
      <c r="B26" s="51" t="s">
        <v>258</v>
      </c>
    </row>
    <row r="27" spans="1:8" ht="15" customHeight="1" x14ac:dyDescent="0.25">
      <c r="A27" s="50"/>
      <c r="B27" s="51" t="s">
        <v>259</v>
      </c>
    </row>
    <row r="28" spans="1:8" ht="15" customHeight="1" x14ac:dyDescent="0.25">
      <c r="A28" s="50" t="s">
        <v>260</v>
      </c>
      <c r="B28" s="51" t="s">
        <v>261</v>
      </c>
    </row>
  </sheetData>
  <pageMargins left="0.7" right="0.7" top="0.75" bottom="0.75" header="0.3" footer="0.3"/>
  <pageSetup orientation="portrait" horizontalDpi="204" verticalDpi="19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27"/>
  <sheetViews>
    <sheetView topLeftCell="F1" zoomScale="160" zoomScaleNormal="160" workbookViewId="0">
      <selection activeCell="B1" sqref="B1:D1"/>
    </sheetView>
  </sheetViews>
  <sheetFormatPr defaultColWidth="9.1796875" defaultRowHeight="15" customHeight="1" x14ac:dyDescent="0.25"/>
  <cols>
    <col min="1" max="1" width="25" style="41" customWidth="1"/>
    <col min="2" max="2" width="6.1796875" style="41" customWidth="1"/>
    <col min="3" max="3" width="5.26953125" style="41" customWidth="1"/>
    <col min="4" max="4" width="6.1796875" style="41" customWidth="1"/>
    <col min="5" max="6" width="6" style="41" customWidth="1"/>
    <col min="7" max="7" width="5.26953125" style="41" customWidth="1"/>
    <col min="8" max="8" width="6.54296875" style="41" customWidth="1"/>
    <col min="9" max="9" width="7.1796875" style="41" customWidth="1"/>
    <col min="10" max="10" width="6.1796875" style="41" customWidth="1"/>
    <col min="11" max="11" width="5.81640625" style="41" customWidth="1"/>
    <col min="12" max="12" width="6.1796875" style="41" customWidth="1"/>
    <col min="13" max="14" width="6.453125" style="41" customWidth="1"/>
    <col min="15" max="15" width="6.54296875" style="41" customWidth="1"/>
    <col min="16" max="16" width="5.81640625" style="41" customWidth="1"/>
    <col min="17" max="17" width="6.1796875" style="41" customWidth="1"/>
    <col min="18" max="18" width="6" style="41" customWidth="1"/>
    <col min="19" max="19" width="7.26953125" style="41" customWidth="1"/>
    <col min="20" max="20" width="6.1796875" style="41" customWidth="1"/>
    <col min="21" max="21" width="6.7265625" style="41" customWidth="1"/>
    <col min="22" max="22" width="7.54296875" style="41" customWidth="1"/>
    <col min="23" max="76" width="9.1796875" style="41" customWidth="1"/>
    <col min="77" max="16384" width="9.1796875" style="41"/>
  </cols>
  <sheetData>
    <row r="1" spans="1:27" ht="22.5" customHeight="1" x14ac:dyDescent="0.25">
      <c r="A1" s="35" t="s">
        <v>32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1">
        <v>45417</v>
      </c>
      <c r="U1" s="121">
        <v>45424</v>
      </c>
      <c r="V1" s="122">
        <v>45431</v>
      </c>
      <c r="W1" s="121">
        <v>45438</v>
      </c>
      <c r="X1" s="122">
        <v>45445</v>
      </c>
      <c r="Y1" s="121">
        <v>45452</v>
      </c>
      <c r="Z1" s="122">
        <v>45459</v>
      </c>
      <c r="AA1" s="121">
        <v>45466</v>
      </c>
    </row>
    <row r="2" spans="1:27" ht="15" customHeight="1" x14ac:dyDescent="0.25">
      <c r="A2" s="38" t="s">
        <v>233</v>
      </c>
      <c r="B2" s="12">
        <f>'Data Tables (W)'!B11</f>
        <v>138.93479459059989</v>
      </c>
      <c r="C2" s="12">
        <f>'Data Tables (W)'!C11</f>
        <v>139.13471238532199</v>
      </c>
      <c r="D2" s="12">
        <f>'Data Tables (W)'!D11</f>
        <v>139.57796897467321</v>
      </c>
      <c r="E2" s="12">
        <f>'Data Tables (W)'!E11</f>
        <v>138.92051418481529</v>
      </c>
      <c r="F2" s="12">
        <f>'Data Tables (W)'!F11</f>
        <v>137.3766640426964</v>
      </c>
      <c r="G2" s="12">
        <f>'Data Tables (W)'!G11</f>
        <v>139.14472979344609</v>
      </c>
      <c r="H2" s="12">
        <f>'Data Tables (W)'!H11</f>
        <v>139.7086831199108</v>
      </c>
      <c r="I2" s="12">
        <f>'Data Tables (W)'!I11</f>
        <v>137.97556913355641</v>
      </c>
      <c r="J2" s="12">
        <f>'Data Tables (W)'!J11</f>
        <v>137.63206593392579</v>
      </c>
      <c r="K2" s="12">
        <f>'Data Tables (W)'!K11</f>
        <v>138.28963820457679</v>
      </c>
      <c r="L2" s="12">
        <f>'Data Tables (W)'!L11</f>
        <v>139.19173877012381</v>
      </c>
      <c r="M2" s="12">
        <f>'Data Tables (W)'!M11</f>
        <v>137.31806050109651</v>
      </c>
      <c r="N2" s="12">
        <f>'Data Tables (W)'!N11</f>
        <v>138.25253701726771</v>
      </c>
      <c r="O2" s="12">
        <f>'Data Tables (W)'!O11</f>
        <v>139.0013628719075</v>
      </c>
      <c r="P2" s="12">
        <f>'Data Tables (W)'!P11</f>
        <v>138.7999169089257</v>
      </c>
      <c r="Q2" s="12">
        <f>'Data Tables (W)'!Q11</f>
        <v>137.80263778897481</v>
      </c>
      <c r="R2" s="12">
        <f>'Data Tables (W)'!R11</f>
        <v>138.5035296513154</v>
      </c>
      <c r="S2" s="12">
        <f>'Data Tables (W)'!S11</f>
        <v>137.53356587912751</v>
      </c>
      <c r="T2" s="12">
        <f>'Data Tables (W)'!T11</f>
        <v>137.97663384800251</v>
      </c>
      <c r="U2" s="12">
        <f>'Data Tables (W)'!U11</f>
        <v>138.62900324543429</v>
      </c>
      <c r="V2" s="12">
        <f>'Data Tables (W)'!V11</f>
        <v>138.94196883861079</v>
      </c>
      <c r="W2" s="12">
        <f>'Data Tables (W)'!W11</f>
        <v>138.7733621031359</v>
      </c>
    </row>
    <row r="3" spans="1:27" ht="15" hidden="1" customHeight="1" x14ac:dyDescent="0.25">
      <c r="A3" s="43" t="s">
        <v>234</v>
      </c>
      <c r="B3" s="13">
        <f>'Data Tables (W)'!F12*V2</f>
        <v>0</v>
      </c>
      <c r="C3" s="13">
        <f>'Data Tables (W)'!G12*W2</f>
        <v>0</v>
      </c>
      <c r="D3" s="13">
        <f>'Data Tables (W)'!H12*X2</f>
        <v>0</v>
      </c>
      <c r="E3" s="13">
        <f>'Data Tables (W)'!I12*Y2</f>
        <v>0</v>
      </c>
      <c r="F3" s="13">
        <f>'Data Tables (W)'!J12*Z2</f>
        <v>0</v>
      </c>
      <c r="G3" s="13">
        <f>'Data Tables (W)'!K12*AA2</f>
        <v>0</v>
      </c>
      <c r="H3" s="13">
        <f>'Data Tables (W)'!L12*AB2</f>
        <v>0</v>
      </c>
      <c r="I3" s="13">
        <f>'Data Tables (W)'!M12*AC2</f>
        <v>0</v>
      </c>
      <c r="J3" s="13">
        <f>'Data Tables (W)'!N12*AD2</f>
        <v>0</v>
      </c>
      <c r="K3" s="13">
        <f>'Data Tables (W)'!O12*AE2</f>
        <v>0</v>
      </c>
      <c r="L3" s="13">
        <f>'Data Tables (W)'!P12*AF2</f>
        <v>0</v>
      </c>
      <c r="M3" s="13">
        <f>'Data Tables (W)'!Q12*AG2</f>
        <v>0</v>
      </c>
      <c r="N3" s="13">
        <f>'Data Tables (W)'!R12*AH2</f>
        <v>0</v>
      </c>
      <c r="O3" s="13">
        <f>'Data Tables (W)'!S12*AI2</f>
        <v>0</v>
      </c>
      <c r="P3" s="13">
        <f>'Data Tables (W)'!T12*AJ2</f>
        <v>0</v>
      </c>
      <c r="Q3" s="13">
        <f>'Data Tables (W)'!U12*AK2</f>
        <v>0</v>
      </c>
      <c r="R3" s="13">
        <v>0</v>
      </c>
      <c r="U3" s="16"/>
    </row>
    <row r="4" spans="1:27" ht="30" customHeight="1" x14ac:dyDescent="0.25">
      <c r="A4" s="36" t="s">
        <v>235</v>
      </c>
      <c r="B4" s="13">
        <f>'Data Tables (W)'!B13</f>
        <v>2.707996182348325</v>
      </c>
      <c r="C4" s="13">
        <f>'Data Tables (W)'!C13</f>
        <v>2.5257051787802141</v>
      </c>
      <c r="D4" s="13">
        <f>'Data Tables (W)'!D13</f>
        <v>2.8450553817063171</v>
      </c>
      <c r="E4" s="13">
        <f>'Data Tables (W)'!E13</f>
        <v>2.7088173915512068</v>
      </c>
      <c r="F4" s="13">
        <f>'Data Tables (W)'!F13</f>
        <v>2.2710196578162818</v>
      </c>
      <c r="G4" s="13">
        <f>'Data Tables (W)'!G13</f>
        <v>2.6701001730073979</v>
      </c>
      <c r="H4" s="13">
        <f>'Data Tables (W)'!H13</f>
        <v>2.192000890846117</v>
      </c>
      <c r="I4" s="13">
        <f>'Data Tables (W)'!I13</f>
        <v>2.847587003881983</v>
      </c>
      <c r="J4" s="13">
        <f>'Data Tables (W)'!J13</f>
        <v>3.0193848781215422</v>
      </c>
      <c r="K4" s="13">
        <f>'Data Tables (W)'!K13</f>
        <v>2.6673400269071981</v>
      </c>
      <c r="L4" s="13">
        <f>'Data Tables (W)'!L13</f>
        <v>3.1219168499911798</v>
      </c>
      <c r="M4" s="13">
        <f>'Data Tables (W)'!M13</f>
        <v>3.2099961995275241</v>
      </c>
      <c r="N4" s="13">
        <f>'Data Tables (W)'!N13</f>
        <v>2.3448504473498422</v>
      </c>
      <c r="O4" s="13">
        <f>'Data Tables (W)'!O13</f>
        <v>3.0592782642635261</v>
      </c>
      <c r="P4" s="13">
        <f>'Data Tables (W)'!P13</f>
        <v>3.2164212962242398</v>
      </c>
      <c r="Q4" s="13">
        <f>'Data Tables (W)'!Q13</f>
        <v>3.2196802313880819</v>
      </c>
      <c r="R4" s="13">
        <f>'Data Tables (W)'!R13</f>
        <v>2.9699714489266569</v>
      </c>
      <c r="S4" s="13">
        <f>'Data Tables (W)'!S13</f>
        <v>3.3997384726270918</v>
      </c>
      <c r="T4" s="13">
        <f>'Data Tables (W)'!T13</f>
        <v>3.3790074764952749</v>
      </c>
      <c r="U4" s="13">
        <f>'Data Tables (W)'!U13</f>
        <v>2.984846931574253</v>
      </c>
      <c r="V4" s="13">
        <f>'Data Tables (W)'!V13</f>
        <v>3.290087075658505</v>
      </c>
      <c r="W4" s="13">
        <f>'Data Tables (W)'!W13</f>
        <v>3.0817012827323249</v>
      </c>
    </row>
    <row r="5" spans="1:27" ht="30" customHeight="1" x14ac:dyDescent="0.25">
      <c r="A5" s="38" t="s">
        <v>236</v>
      </c>
      <c r="B5" s="12">
        <f>'Data Tables (W)'!B14</f>
        <v>1.575648843978342</v>
      </c>
      <c r="C5" s="12">
        <f>'Data Tables (W)'!C14</f>
        <v>1.5154884325340281</v>
      </c>
      <c r="D5" s="12">
        <f>'Data Tables (W)'!D14</f>
        <v>1.700964400737689</v>
      </c>
      <c r="E5" s="12">
        <f>'Data Tables (W)'!E14</f>
        <v>1.442875467764992</v>
      </c>
      <c r="F5" s="12">
        <f>'Data Tables (W)'!F14</f>
        <v>0.99118568202854362</v>
      </c>
      <c r="G5" s="12">
        <f>'Data Tables (W)'!G14</f>
        <v>0.70658519851187407</v>
      </c>
      <c r="H5" s="12">
        <f>'Data Tables (W)'!H14</f>
        <v>1.6892425252151499</v>
      </c>
      <c r="I5" s="12">
        <f>'Data Tables (W)'!I14</f>
        <v>1.7511045475027911</v>
      </c>
      <c r="J5" s="12">
        <f>'Data Tables (W)'!J14</f>
        <v>0.86570966834651131</v>
      </c>
      <c r="K5" s="12">
        <f>'Data Tables (W)'!K14</f>
        <v>0.1045305774815688</v>
      </c>
      <c r="L5" s="12">
        <f>'Data Tables (W)'!L14</f>
        <v>0.96798326600114137</v>
      </c>
      <c r="M5" s="12">
        <f>'Data Tables (W)'!M14</f>
        <v>1.075842296061239</v>
      </c>
      <c r="N5" s="12">
        <f>'Data Tables (W)'!N14</f>
        <v>0.90672956092311097</v>
      </c>
      <c r="O5" s="12">
        <f>'Data Tables (W)'!O14</f>
        <v>1.7020901555172541</v>
      </c>
      <c r="P5" s="12">
        <f>'Data Tables (W)'!P14</f>
        <v>0.86455551722929158</v>
      </c>
      <c r="Q5" s="12">
        <f>'Data Tables (W)'!Q14</f>
        <v>1.200788324168514</v>
      </c>
      <c r="R5" s="12">
        <f>'Data Tables (W)'!R14</f>
        <v>0.78750442657641884</v>
      </c>
      <c r="S5" s="12">
        <f>'Data Tables (W)'!S14</f>
        <v>1.8276873603070669</v>
      </c>
      <c r="T5" s="12">
        <f>'Data Tables (W)'!T14</f>
        <v>0.454809173302408</v>
      </c>
      <c r="U5" s="12">
        <f>'Data Tables (W)'!U14</f>
        <v>1.32095369104357</v>
      </c>
      <c r="V5" s="12">
        <f>'Data Tables (W)'!V14</f>
        <v>1.866614387812916</v>
      </c>
      <c r="W5" s="12">
        <f>'Data Tables (W)'!W14</f>
        <v>1.6777179396949859</v>
      </c>
    </row>
    <row r="6" spans="1:27" ht="15" customHeight="1" x14ac:dyDescent="0.25">
      <c r="A6" s="36" t="s">
        <v>237</v>
      </c>
      <c r="B6" s="13">
        <f t="shared" ref="B6:W6" si="0">(145%/B10-1)/10%*1.7</f>
        <v>1.8038622277931442</v>
      </c>
      <c r="C6" s="13">
        <f t="shared" si="0"/>
        <v>0.6484953798913915</v>
      </c>
      <c r="D6" s="13">
        <f t="shared" si="0"/>
        <v>1.4201121104389571</v>
      </c>
      <c r="E6" s="13">
        <f t="shared" si="0"/>
        <v>1.2407850416922535</v>
      </c>
      <c r="F6" s="13">
        <f t="shared" si="0"/>
        <v>0.12297143498336793</v>
      </c>
      <c r="G6" s="13">
        <f t="shared" si="0"/>
        <v>0.91385349723869225</v>
      </c>
      <c r="H6" s="13">
        <f t="shared" si="0"/>
        <v>0.6359342551504632</v>
      </c>
      <c r="I6" s="13">
        <f t="shared" si="0"/>
        <v>1.5628086708568503</v>
      </c>
      <c r="J6" s="13">
        <f t="shared" si="0"/>
        <v>0.95062044548327651</v>
      </c>
      <c r="K6" s="13">
        <f t="shared" si="0"/>
        <v>0.47353842407691205</v>
      </c>
      <c r="L6" s="13">
        <f t="shared" si="0"/>
        <v>0.54648024195284584</v>
      </c>
      <c r="M6" s="13">
        <f t="shared" si="0"/>
        <v>7.9952781347387925E-2</v>
      </c>
      <c r="N6" s="13">
        <f t="shared" si="0"/>
        <v>0.55079083715840804</v>
      </c>
      <c r="O6" s="13">
        <f t="shared" si="0"/>
        <v>1.0506493064469096</v>
      </c>
      <c r="P6" s="13">
        <f t="shared" si="0"/>
        <v>0.761105006445014</v>
      </c>
      <c r="Q6" s="13">
        <f t="shared" si="0"/>
        <v>0.28320296490957864</v>
      </c>
      <c r="R6" s="13">
        <f t="shared" si="0"/>
        <v>0.45903506736088895</v>
      </c>
      <c r="S6" s="13">
        <f t="shared" si="0"/>
        <v>0.99684669943331916</v>
      </c>
      <c r="T6" s="13">
        <f t="shared" si="0"/>
        <v>1.690419660423278</v>
      </c>
      <c r="U6" s="13">
        <f t="shared" si="0"/>
        <v>1.7731579714936414</v>
      </c>
      <c r="V6" s="13">
        <f t="shared" si="0"/>
        <v>1.7616562190995522</v>
      </c>
      <c r="W6" s="13">
        <f t="shared" si="0"/>
        <v>2.2855684283529953</v>
      </c>
    </row>
    <row r="7" spans="1:27" ht="15" customHeight="1" x14ac:dyDescent="0.25">
      <c r="A7" s="38" t="s">
        <v>30</v>
      </c>
      <c r="B7" s="12">
        <f t="shared" ref="B7:W7" si="1">SUM(B2:B6)</f>
        <v>145.02230184471969</v>
      </c>
      <c r="C7" s="12">
        <f t="shared" si="1"/>
        <v>143.82440137652762</v>
      </c>
      <c r="D7" s="12">
        <f t="shared" si="1"/>
        <v>145.54410086755618</v>
      </c>
      <c r="E7" s="12">
        <f t="shared" si="1"/>
        <v>144.31299208582374</v>
      </c>
      <c r="F7" s="12">
        <f t="shared" si="1"/>
        <v>140.76184081752459</v>
      </c>
      <c r="G7" s="12">
        <f t="shared" si="1"/>
        <v>143.43526866220407</v>
      </c>
      <c r="H7" s="12">
        <f t="shared" si="1"/>
        <v>144.22586079112253</v>
      </c>
      <c r="I7" s="12">
        <f t="shared" si="1"/>
        <v>144.13706935579802</v>
      </c>
      <c r="J7" s="12">
        <f t="shared" si="1"/>
        <v>142.46778092587712</v>
      </c>
      <c r="K7" s="12">
        <f t="shared" si="1"/>
        <v>141.53504723304246</v>
      </c>
      <c r="L7" s="12">
        <f t="shared" si="1"/>
        <v>143.82811912806898</v>
      </c>
      <c r="M7" s="12">
        <f t="shared" si="1"/>
        <v>141.68385177803268</v>
      </c>
      <c r="N7" s="12">
        <f t="shared" si="1"/>
        <v>142.05490786269908</v>
      </c>
      <c r="O7" s="12">
        <f t="shared" si="1"/>
        <v>144.81338059813518</v>
      </c>
      <c r="P7" s="12">
        <f t="shared" si="1"/>
        <v>143.64199872882423</v>
      </c>
      <c r="Q7" s="12">
        <f t="shared" si="1"/>
        <v>142.50630930944098</v>
      </c>
      <c r="R7" s="12">
        <f t="shared" si="1"/>
        <v>142.72004059417938</v>
      </c>
      <c r="S7" s="12">
        <f t="shared" si="1"/>
        <v>143.75783841149499</v>
      </c>
      <c r="T7" s="12">
        <f t="shared" si="1"/>
        <v>143.50087015822348</v>
      </c>
      <c r="U7" s="12">
        <f t="shared" si="1"/>
        <v>144.70796183954576</v>
      </c>
      <c r="V7" s="12">
        <f t="shared" si="1"/>
        <v>145.86032652118178</v>
      </c>
      <c r="W7" s="12">
        <f t="shared" si="1"/>
        <v>145.81834975391621</v>
      </c>
    </row>
    <row r="8" spans="1:27" ht="15" customHeight="1" x14ac:dyDescent="0.2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U8" s="16"/>
    </row>
    <row r="9" spans="1:27" ht="15" customHeight="1" x14ac:dyDescent="0.25">
      <c r="A9" s="42" t="s">
        <v>238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U9" s="16"/>
    </row>
    <row r="10" spans="1:27" ht="15" customHeight="1" x14ac:dyDescent="0.25">
      <c r="A10" s="36" t="s">
        <v>273</v>
      </c>
      <c r="B10" s="81">
        <f>'Data Tables (W)'!B17</f>
        <v>1.310900904366654</v>
      </c>
      <c r="C10" s="81">
        <f>'Data Tables (W)'!C17</f>
        <v>1.3967196335663881</v>
      </c>
      <c r="D10" s="81">
        <f>'Data Tables (W)'!D17</f>
        <v>1.33821118200635</v>
      </c>
      <c r="E10" s="81">
        <f>'Data Tables (W)'!E17</f>
        <v>1.3513672763347879</v>
      </c>
      <c r="F10" s="81">
        <f>'Data Tables (W)'!F17</f>
        <v>1.4395865865686379</v>
      </c>
      <c r="G10" s="81">
        <f>'Data Tables (W)'!G17</f>
        <v>1.376030009612373</v>
      </c>
      <c r="H10" s="81">
        <f>'Data Tables (W)'!H17</f>
        <v>1.3977144416265399</v>
      </c>
      <c r="I10" s="81">
        <f>'Data Tables (W)'!I17</f>
        <v>1.3279240462516799</v>
      </c>
      <c r="J10" s="81">
        <f>'Data Tables (W)'!J17</f>
        <v>1.373211587580663</v>
      </c>
      <c r="K10" s="81">
        <f>'Data Tables (W)'!K17</f>
        <v>1.410704540875052</v>
      </c>
      <c r="L10" s="81">
        <f>'Data Tables (W)'!L17</f>
        <v>1.4048401537000541</v>
      </c>
      <c r="M10" s="81">
        <f>'Data Tables (W)'!M17</f>
        <v>1.4432124207579591</v>
      </c>
      <c r="N10" s="81">
        <f>'Data Tables (W)'!N17</f>
        <v>1.4044951152748739</v>
      </c>
      <c r="O10" s="81">
        <f>'Data Tables (W)'!O17</f>
        <v>1.365601845203213</v>
      </c>
      <c r="P10" s="81">
        <f>'Data Tables (W)'!P17</f>
        <v>1.387864099168109</v>
      </c>
      <c r="Q10" s="81">
        <f>'Data Tables (W)'!Q17</f>
        <v>1.4262402663468901</v>
      </c>
      <c r="R10" s="81">
        <f>'Data Tables (W)'!R17</f>
        <v>1.4118764241491439</v>
      </c>
      <c r="S10" s="81">
        <f>'Data Tables (W)'!S17</f>
        <v>1.369684390364684</v>
      </c>
      <c r="T10" s="81">
        <f>'Data Tables (W)'!T17</f>
        <v>1.3188574921191341</v>
      </c>
      <c r="U10" s="81">
        <f>'Data Tables (W)'!U17</f>
        <v>1.313044935616593</v>
      </c>
      <c r="V10" s="81">
        <f>'Data Tables (W)'!V17</f>
        <v>1.3138498921489701</v>
      </c>
      <c r="W10" s="81">
        <f>'Data Tables (W)'!W17</f>
        <v>1.278157814822839</v>
      </c>
    </row>
    <row r="11" spans="1:27" ht="15" customHeight="1" x14ac:dyDescent="0.25">
      <c r="A11" s="37" t="s">
        <v>240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</row>
    <row r="12" spans="1:27" ht="15" customHeight="1" x14ac:dyDescent="0.25">
      <c r="A12" s="43" t="s">
        <v>241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</row>
    <row r="13" spans="1:27" ht="15" customHeight="1" x14ac:dyDescent="0.25">
      <c r="A13" s="38" t="s">
        <v>242</v>
      </c>
      <c r="B13" s="85">
        <f t="shared" ref="B13:W13" si="2">B12/10%*1.7</f>
        <v>0</v>
      </c>
      <c r="C13" s="85">
        <f t="shared" si="2"/>
        <v>0</v>
      </c>
      <c r="D13" s="85">
        <f t="shared" si="2"/>
        <v>0</v>
      </c>
      <c r="E13" s="85">
        <f t="shared" si="2"/>
        <v>0</v>
      </c>
      <c r="F13" s="85">
        <f t="shared" si="2"/>
        <v>0</v>
      </c>
      <c r="G13" s="85">
        <f t="shared" si="2"/>
        <v>0</v>
      </c>
      <c r="H13" s="85">
        <f t="shared" si="2"/>
        <v>0</v>
      </c>
      <c r="I13" s="85">
        <f t="shared" si="2"/>
        <v>0</v>
      </c>
      <c r="J13" s="85">
        <f t="shared" si="2"/>
        <v>0</v>
      </c>
      <c r="K13" s="85">
        <f t="shared" si="2"/>
        <v>0</v>
      </c>
      <c r="L13" s="85">
        <f t="shared" si="2"/>
        <v>0</v>
      </c>
      <c r="M13" s="85">
        <f t="shared" si="2"/>
        <v>0</v>
      </c>
      <c r="N13" s="85">
        <f t="shared" si="2"/>
        <v>0</v>
      </c>
      <c r="O13" s="85">
        <f t="shared" si="2"/>
        <v>0</v>
      </c>
      <c r="P13" s="85">
        <f t="shared" si="2"/>
        <v>0</v>
      </c>
      <c r="Q13" s="85">
        <f t="shared" si="2"/>
        <v>0</v>
      </c>
      <c r="R13" s="85">
        <f t="shared" si="2"/>
        <v>0</v>
      </c>
      <c r="S13" s="85">
        <f t="shared" si="2"/>
        <v>0</v>
      </c>
      <c r="T13" s="85">
        <f t="shared" si="2"/>
        <v>0</v>
      </c>
      <c r="U13" s="85">
        <f t="shared" si="2"/>
        <v>0</v>
      </c>
      <c r="V13" s="85">
        <f t="shared" si="2"/>
        <v>0</v>
      </c>
      <c r="W13" s="85">
        <f t="shared" si="2"/>
        <v>0</v>
      </c>
    </row>
    <row r="14" spans="1:27" ht="15" customHeight="1" x14ac:dyDescent="0.25">
      <c r="A14" s="36" t="s">
        <v>243</v>
      </c>
      <c r="B14" s="87">
        <f t="shared" ref="B14:W14" si="3">B7+B13</f>
        <v>145.02230184471969</v>
      </c>
      <c r="C14" s="87">
        <f t="shared" si="3"/>
        <v>143.82440137652762</v>
      </c>
      <c r="D14" s="87">
        <f t="shared" si="3"/>
        <v>145.54410086755618</v>
      </c>
      <c r="E14" s="87">
        <f t="shared" si="3"/>
        <v>144.31299208582374</v>
      </c>
      <c r="F14" s="87">
        <f t="shared" si="3"/>
        <v>140.76184081752459</v>
      </c>
      <c r="G14" s="87">
        <f t="shared" si="3"/>
        <v>143.43526866220407</v>
      </c>
      <c r="H14" s="87">
        <f t="shared" si="3"/>
        <v>144.22586079112253</v>
      </c>
      <c r="I14" s="87">
        <f t="shared" si="3"/>
        <v>144.13706935579802</v>
      </c>
      <c r="J14" s="87">
        <f t="shared" si="3"/>
        <v>142.46778092587712</v>
      </c>
      <c r="K14" s="87">
        <f t="shared" si="3"/>
        <v>141.53504723304246</v>
      </c>
      <c r="L14" s="87">
        <f t="shared" si="3"/>
        <v>143.82811912806898</v>
      </c>
      <c r="M14" s="87">
        <f t="shared" si="3"/>
        <v>141.68385177803268</v>
      </c>
      <c r="N14" s="87">
        <f t="shared" si="3"/>
        <v>142.05490786269908</v>
      </c>
      <c r="O14" s="87">
        <f t="shared" si="3"/>
        <v>144.81338059813518</v>
      </c>
      <c r="P14" s="87">
        <f t="shared" si="3"/>
        <v>143.64199872882423</v>
      </c>
      <c r="Q14" s="87">
        <f t="shared" si="3"/>
        <v>142.50630930944098</v>
      </c>
      <c r="R14" s="87">
        <f t="shared" si="3"/>
        <v>142.72004059417938</v>
      </c>
      <c r="S14" s="87">
        <f t="shared" si="3"/>
        <v>143.75783841149499</v>
      </c>
      <c r="T14" s="87">
        <f t="shared" si="3"/>
        <v>143.50087015822348</v>
      </c>
      <c r="U14" s="87">
        <f t="shared" si="3"/>
        <v>144.70796183954576</v>
      </c>
      <c r="V14" s="87">
        <f t="shared" si="3"/>
        <v>145.86032652118178</v>
      </c>
      <c r="W14" s="87">
        <f t="shared" si="3"/>
        <v>145.81834975391621</v>
      </c>
    </row>
    <row r="15" spans="1:27" ht="15" customHeight="1" x14ac:dyDescent="0.25">
      <c r="A15" s="38" t="s">
        <v>244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54"/>
      <c r="R15" s="95"/>
      <c r="S15" s="20"/>
      <c r="T15" s="20"/>
      <c r="U15" s="20"/>
      <c r="V15" s="20"/>
      <c r="W15" s="20"/>
    </row>
    <row r="16" spans="1:27" ht="15" customHeight="1" x14ac:dyDescent="0.25">
      <c r="A16" s="36" t="s">
        <v>245</v>
      </c>
      <c r="B16" s="19">
        <f t="shared" ref="B16:W16" si="4">B15-($R$14-B14)*1%</f>
        <v>2.3022612505403117E-2</v>
      </c>
      <c r="C16" s="19">
        <f t="shared" si="4"/>
        <v>1.1043607823482375E-2</v>
      </c>
      <c r="D16" s="19">
        <f t="shared" si="4"/>
        <v>2.8240602733768015E-2</v>
      </c>
      <c r="E16" s="19">
        <f t="shared" si="4"/>
        <v>1.5929514916443566E-2</v>
      </c>
      <c r="F16" s="19">
        <f t="shared" si="4"/>
        <v>-1.9581997766547943E-2</v>
      </c>
      <c r="G16" s="19">
        <f t="shared" si="4"/>
        <v>7.152280680246861E-3</v>
      </c>
      <c r="H16" s="19">
        <f t="shared" si="4"/>
        <v>1.505820196943148E-2</v>
      </c>
      <c r="I16" s="19">
        <f t="shared" si="4"/>
        <v>1.4170287616186385E-2</v>
      </c>
      <c r="J16" s="19">
        <f t="shared" si="4"/>
        <v>-2.5225966830225845E-3</v>
      </c>
      <c r="K16" s="19">
        <f t="shared" si="4"/>
        <v>-1.1849933611369181E-2</v>
      </c>
      <c r="L16" s="19">
        <f t="shared" si="4"/>
        <v>1.1080785338895964E-2</v>
      </c>
      <c r="M16" s="19">
        <f t="shared" si="4"/>
        <v>-1.0361888161467049E-2</v>
      </c>
      <c r="N16" s="19">
        <f t="shared" si="4"/>
        <v>-6.6513273148029843E-3</v>
      </c>
      <c r="O16" s="19">
        <f t="shared" si="4"/>
        <v>2.0933400039558025E-2</v>
      </c>
      <c r="P16" s="19">
        <f t="shared" si="4"/>
        <v>9.2195813464485358E-3</v>
      </c>
      <c r="Q16" s="19">
        <f t="shared" si="4"/>
        <v>-2.1373128473840099E-3</v>
      </c>
      <c r="R16" s="19">
        <f t="shared" si="4"/>
        <v>0</v>
      </c>
      <c r="S16" s="19">
        <f t="shared" si="4"/>
        <v>1.0377978173156067E-2</v>
      </c>
      <c r="T16" s="19">
        <f t="shared" si="4"/>
        <v>7.8082956404409744E-3</v>
      </c>
      <c r="U16" s="19">
        <f t="shared" si="4"/>
        <v>1.9879212453663798E-2</v>
      </c>
      <c r="V16" s="19">
        <f t="shared" si="4"/>
        <v>3.1402859270023953E-2</v>
      </c>
      <c r="W16" s="19">
        <f t="shared" si="4"/>
        <v>3.0983091597368288E-2</v>
      </c>
    </row>
    <row r="17" spans="1:20" ht="15" customHeight="1" x14ac:dyDescent="0.25">
      <c r="R17" s="96"/>
      <c r="S17" s="96"/>
      <c r="T17" s="96"/>
    </row>
    <row r="19" spans="1:20" ht="15" customHeight="1" x14ac:dyDescent="0.25">
      <c r="A19" s="50" t="s">
        <v>246</v>
      </c>
      <c r="B19" s="51" t="s">
        <v>247</v>
      </c>
    </row>
    <row r="20" spans="1:20" ht="15" customHeight="1" x14ac:dyDescent="0.25">
      <c r="A20" s="50" t="s">
        <v>248</v>
      </c>
      <c r="B20" s="51" t="s">
        <v>249</v>
      </c>
    </row>
    <row r="21" spans="1:20" ht="15" customHeight="1" x14ac:dyDescent="0.25">
      <c r="A21" s="50" t="s">
        <v>250</v>
      </c>
      <c r="B21" s="51" t="s">
        <v>251</v>
      </c>
    </row>
    <row r="22" spans="1:20" ht="15" customHeight="1" x14ac:dyDescent="0.25">
      <c r="A22" s="50"/>
      <c r="B22" s="51" t="s">
        <v>252</v>
      </c>
    </row>
    <row r="23" spans="1:20" ht="15" customHeight="1" x14ac:dyDescent="0.25">
      <c r="A23" s="50" t="s">
        <v>253</v>
      </c>
      <c r="B23" s="51" t="s">
        <v>254</v>
      </c>
    </row>
    <row r="24" spans="1:20" ht="15" customHeight="1" x14ac:dyDescent="0.25">
      <c r="A24" s="50" t="s">
        <v>255</v>
      </c>
      <c r="B24" s="51" t="s">
        <v>256</v>
      </c>
    </row>
    <row r="25" spans="1:20" ht="15" customHeight="1" x14ac:dyDescent="0.25">
      <c r="A25" s="50" t="s">
        <v>257</v>
      </c>
      <c r="B25" s="51" t="s">
        <v>258</v>
      </c>
    </row>
    <row r="26" spans="1:20" ht="15" customHeight="1" x14ac:dyDescent="0.25">
      <c r="A26" s="50"/>
      <c r="B26" s="51" t="s">
        <v>259</v>
      </c>
    </row>
    <row r="27" spans="1:20" ht="15" customHeight="1" x14ac:dyDescent="0.25">
      <c r="A27" s="50" t="s">
        <v>260</v>
      </c>
      <c r="B27" s="51" t="s">
        <v>261</v>
      </c>
    </row>
  </sheetData>
  <pageMargins left="0.7" right="0.7" top="0.75" bottom="0.75" header="0.3" footer="0.3"/>
  <pageSetup orientation="portrait" horizontalDpi="204" verticalDpi="19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31"/>
  <sheetViews>
    <sheetView zoomScale="160" zoomScaleNormal="160" workbookViewId="0">
      <selection activeCell="B1" sqref="B1:D1"/>
    </sheetView>
  </sheetViews>
  <sheetFormatPr defaultColWidth="9.1796875" defaultRowHeight="15" customHeight="1" x14ac:dyDescent="0.25"/>
  <cols>
    <col min="1" max="1" width="25" style="41" customWidth="1"/>
    <col min="2" max="2" width="6.1796875" style="41" customWidth="1"/>
    <col min="3" max="3" width="5.26953125" style="41" customWidth="1"/>
    <col min="4" max="5" width="6.453125" style="41" customWidth="1"/>
    <col min="6" max="6" width="5.7265625" style="41" customWidth="1"/>
    <col min="7" max="7" width="5.26953125" style="41" customWidth="1"/>
    <col min="8" max="10" width="6.1796875" style="41" customWidth="1"/>
    <col min="11" max="13" width="6.81640625" style="41" customWidth="1"/>
    <col min="14" max="14" width="7" style="41" customWidth="1"/>
    <col min="15" max="15" width="6.453125" style="41" customWidth="1"/>
    <col min="16" max="16" width="5.26953125" style="41" customWidth="1"/>
    <col min="17" max="17" width="6.54296875" style="41" customWidth="1"/>
    <col min="18" max="18" width="6.26953125" style="41" customWidth="1"/>
    <col min="19" max="19" width="6" style="41" customWidth="1"/>
    <col min="20" max="20" width="6.453125" style="41" customWidth="1"/>
    <col min="21" max="21" width="6.54296875" style="41" customWidth="1"/>
    <col min="22" max="22" width="7.54296875" style="41" customWidth="1"/>
    <col min="23" max="76" width="9.1796875" style="41" customWidth="1"/>
    <col min="77" max="16384" width="9.1796875" style="41"/>
  </cols>
  <sheetData>
    <row r="1" spans="1:26" ht="30" customHeight="1" x14ac:dyDescent="0.25">
      <c r="A1" s="35" t="s">
        <v>35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1">
        <v>45417</v>
      </c>
      <c r="U1" s="121">
        <v>45424</v>
      </c>
      <c r="V1" s="122">
        <v>45431</v>
      </c>
      <c r="W1" s="121">
        <v>45438</v>
      </c>
      <c r="X1" s="121">
        <v>45445</v>
      </c>
      <c r="Y1" s="122">
        <v>45452</v>
      </c>
      <c r="Z1" s="121">
        <v>45459</v>
      </c>
    </row>
    <row r="2" spans="1:26" ht="15" customHeight="1" x14ac:dyDescent="0.25">
      <c r="A2" s="38" t="s">
        <v>233</v>
      </c>
      <c r="B2" s="12">
        <f>'Data Tables (W)'!B38</f>
        <v>135.8565824543368</v>
      </c>
      <c r="C2" s="12">
        <f>'Data Tables (W)'!C38</f>
        <v>136.09460657309339</v>
      </c>
      <c r="D2" s="12">
        <f>'Data Tables (W)'!D38</f>
        <v>136.1105565483991</v>
      </c>
      <c r="E2" s="12">
        <f>'Data Tables (W)'!E38</f>
        <v>135.98520619253469</v>
      </c>
      <c r="F2" s="12">
        <f>'Data Tables (W)'!F38</f>
        <v>136.41037746718229</v>
      </c>
      <c r="G2" s="12">
        <f>'Data Tables (W)'!G38</f>
        <v>136.26756631905121</v>
      </c>
      <c r="H2" s="12">
        <f>'Data Tables (W)'!H38</f>
        <v>136.14816036615809</v>
      </c>
      <c r="I2" s="12">
        <f>'Data Tables (W)'!I38</f>
        <v>135.61338533982601</v>
      </c>
      <c r="J2" s="12">
        <f>'Data Tables (W)'!J38</f>
        <v>135.88821779855411</v>
      </c>
      <c r="K2" s="12">
        <f>'Data Tables (W)'!K38</f>
        <v>136.54571885757451</v>
      </c>
      <c r="L2" s="12">
        <f>'Data Tables (W)'!L38</f>
        <v>136.68002470135141</v>
      </c>
      <c r="M2" s="12">
        <f>'Data Tables (W)'!M38</f>
        <v>136.65920611537811</v>
      </c>
      <c r="N2" s="12">
        <f>'Data Tables (W)'!N38</f>
        <v>136.51110154391469</v>
      </c>
      <c r="O2" s="12">
        <f>'Data Tables (W)'!O38</f>
        <v>136.68447820204361</v>
      </c>
      <c r="P2" s="12">
        <f>'Data Tables (W)'!P38</f>
        <v>136.50767700343201</v>
      </c>
      <c r="Q2" s="12">
        <f>'Data Tables (W)'!Q38</f>
        <v>136.49085655700489</v>
      </c>
      <c r="R2" s="12">
        <f>'Data Tables (W)'!R38</f>
        <v>137.2061953064435</v>
      </c>
      <c r="S2" s="12">
        <f>'Data Tables (W)'!S38</f>
        <v>136.42493351651089</v>
      </c>
      <c r="T2" s="12">
        <f>'Data Tables (W)'!T38</f>
        <v>136.79323383417801</v>
      </c>
      <c r="U2" s="12">
        <f>'Data Tables (W)'!U38</f>
        <v>137.28742795150251</v>
      </c>
      <c r="V2" s="12">
        <f>'Data Tables (W)'!V38</f>
        <v>137.36902838071001</v>
      </c>
      <c r="W2" s="12">
        <f>'Data Tables (W)'!W38</f>
        <v>137.23061812938059</v>
      </c>
    </row>
    <row r="3" spans="1:26" ht="15" hidden="1" customHeight="1" x14ac:dyDescent="0.25">
      <c r="A3" s="43" t="s">
        <v>234</v>
      </c>
      <c r="B3" s="13">
        <f>'Data Tables (W)'!F39*V2</f>
        <v>0</v>
      </c>
      <c r="C3" s="13">
        <f>'Data Tables (W)'!G39*W2</f>
        <v>0</v>
      </c>
      <c r="D3" s="13">
        <f>'Data Tables (W)'!H39*X2</f>
        <v>0</v>
      </c>
      <c r="E3" s="13">
        <f>'Data Tables (W)'!I39*Y2</f>
        <v>0</v>
      </c>
      <c r="F3" s="13">
        <f>'Data Tables (W)'!J39*Z2</f>
        <v>0</v>
      </c>
      <c r="G3" s="13">
        <f>'Data Tables (W)'!K39*AA2</f>
        <v>0</v>
      </c>
      <c r="H3" s="13">
        <f>'Data Tables (W)'!L39*AB2</f>
        <v>0</v>
      </c>
      <c r="I3" s="13">
        <f>'Data Tables (W)'!M39*AC2</f>
        <v>0</v>
      </c>
      <c r="J3" s="13">
        <f>'Data Tables (W)'!N39*AD2</f>
        <v>0</v>
      </c>
      <c r="K3" s="13">
        <f>'Data Tables (W)'!O39*AE2</f>
        <v>0</v>
      </c>
      <c r="L3" s="13">
        <f>'Data Tables (W)'!P39*AF2</f>
        <v>0</v>
      </c>
      <c r="M3" s="13">
        <f>'Data Tables (W)'!Q39*AG2</f>
        <v>0</v>
      </c>
      <c r="N3" s="13">
        <f>'Data Tables (W)'!R39*AH2</f>
        <v>0</v>
      </c>
      <c r="O3" s="13">
        <f>'Data Tables (W)'!S39*AI2</f>
        <v>0</v>
      </c>
      <c r="P3" s="13">
        <f>'Data Tables (W)'!T39*AJ2</f>
        <v>0</v>
      </c>
      <c r="Q3" s="13">
        <f>'Data Tables (W)'!U39*AK2</f>
        <v>0</v>
      </c>
      <c r="R3" s="13">
        <f>'Data Tables (W)'!V39*AL2</f>
        <v>0</v>
      </c>
      <c r="S3" s="13">
        <f>'Data Tables (W)'!W39*AM2</f>
        <v>0</v>
      </c>
      <c r="T3" s="13">
        <f>'Data Tables (W)'!X39*AN2</f>
        <v>0</v>
      </c>
      <c r="U3" s="13">
        <f>'Data Tables (W)'!Y39*AO2</f>
        <v>0</v>
      </c>
      <c r="V3" s="13">
        <f>'Data Tables (W)'!Z39*AP2</f>
        <v>0</v>
      </c>
      <c r="W3" s="13">
        <f>'Data Tables (W)'!AA39*AQ2</f>
        <v>0</v>
      </c>
    </row>
    <row r="4" spans="1:26" ht="30" customHeight="1" x14ac:dyDescent="0.25">
      <c r="A4" s="36" t="s">
        <v>235</v>
      </c>
      <c r="B4" s="13">
        <f>'Data Tables (W)'!B40</f>
        <v>0.55015968988513464</v>
      </c>
      <c r="C4" s="13">
        <f>'Data Tables (W)'!C40</f>
        <v>0.28825735695173188</v>
      </c>
      <c r="D4" s="13">
        <f>'Data Tables (W)'!D40</f>
        <v>0.18286117749599379</v>
      </c>
      <c r="E4" s="13">
        <f>'Data Tables (W)'!E40</f>
        <v>0.27819836146005628</v>
      </c>
      <c r="F4" s="13">
        <f>'Data Tables (W)'!F40</f>
        <v>0.5920578004146364</v>
      </c>
      <c r="G4" s="13">
        <f>'Data Tables (W)'!G40</f>
        <v>0.31154018624491192</v>
      </c>
      <c r="H4" s="13">
        <f>'Data Tables (W)'!H40</f>
        <v>0.52317659361315805</v>
      </c>
      <c r="I4" s="13">
        <f>'Data Tables (W)'!I40</f>
        <v>-8.9114889696304544E-3</v>
      </c>
      <c r="J4" s="13">
        <f>'Data Tables (W)'!J40</f>
        <v>-2.4684517463640528E-2</v>
      </c>
      <c r="K4" s="13">
        <f>'Data Tables (W)'!K40</f>
        <v>0.13706837444510711</v>
      </c>
      <c r="L4" s="13">
        <f>'Data Tables (W)'!L40</f>
        <v>0.27102727998044429</v>
      </c>
      <c r="M4" s="13">
        <f>'Data Tables (W)'!M40</f>
        <v>0.2470540741066429</v>
      </c>
      <c r="N4" s="13">
        <f>'Data Tables (W)'!N40</f>
        <v>0.1515606442380317</v>
      </c>
      <c r="O4" s="13">
        <f>'Data Tables (W)'!O40</f>
        <v>0.28435399392958521</v>
      </c>
      <c r="P4" s="13">
        <f>'Data Tables (W)'!P40</f>
        <v>0.32146826489756108</v>
      </c>
      <c r="Q4" s="13">
        <f>'Data Tables (W)'!Q40</f>
        <v>0.54965367895655959</v>
      </c>
      <c r="R4" s="13">
        <f>'Data Tables (W)'!R40</f>
        <v>0.44538121969995359</v>
      </c>
      <c r="S4" s="13">
        <f>'Data Tables (W)'!S40</f>
        <v>0.48720454413125941</v>
      </c>
      <c r="T4" s="13">
        <f>'Data Tables (W)'!T40</f>
        <v>0.57014116684590022</v>
      </c>
      <c r="U4" s="13">
        <f>'Data Tables (W)'!U40</f>
        <v>0.45396977763240898</v>
      </c>
      <c r="V4" s="13">
        <f>'Data Tables (W)'!V40</f>
        <v>0.64392303467326428</v>
      </c>
      <c r="W4" s="13">
        <f>'Data Tables (W)'!W40</f>
        <v>0.61594343140637875</v>
      </c>
    </row>
    <row r="5" spans="1:26" ht="30" customHeight="1" x14ac:dyDescent="0.25">
      <c r="A5" s="38" t="s">
        <v>236</v>
      </c>
      <c r="B5" s="12">
        <f>'Data Tables (W)'!B41</f>
        <v>-1.542172294106507</v>
      </c>
      <c r="C5" s="12">
        <f>'Data Tables (W)'!C41</f>
        <v>-1.816971478255937</v>
      </c>
      <c r="D5" s="12">
        <f>'Data Tables (W)'!D41</f>
        <v>-1.517112550381825</v>
      </c>
      <c r="E5" s="12">
        <f>'Data Tables (W)'!E41</f>
        <v>-1.616768990919496</v>
      </c>
      <c r="F5" s="12">
        <f>'Data Tables (W)'!F41</f>
        <v>-1.7105518699641209</v>
      </c>
      <c r="G5" s="12">
        <f>'Data Tables (W)'!G41</f>
        <v>-1.5514048455247289</v>
      </c>
      <c r="H5" s="12">
        <f>'Data Tables (W)'!H41</f>
        <v>-1.63237302930392</v>
      </c>
      <c r="I5" s="12">
        <f>'Data Tables (W)'!I41</f>
        <v>-1.685633320001614</v>
      </c>
      <c r="J5" s="12">
        <f>'Data Tables (W)'!J41</f>
        <v>-1.5888772137157621</v>
      </c>
      <c r="K5" s="12">
        <f>'Data Tables (W)'!K41</f>
        <v>-1.5246649261513601</v>
      </c>
      <c r="L5" s="12">
        <f>'Data Tables (W)'!L41</f>
        <v>-1.533525247986034</v>
      </c>
      <c r="M5" s="12">
        <f>'Data Tables (W)'!M41</f>
        <v>-1.5960058382540301</v>
      </c>
      <c r="N5" s="12">
        <f>'Data Tables (W)'!N41</f>
        <v>-1.4987097755359859</v>
      </c>
      <c r="O5" s="12">
        <f>'Data Tables (W)'!O41</f>
        <v>-1.5657669253797619</v>
      </c>
      <c r="P5" s="12">
        <f>'Data Tables (W)'!P41</f>
        <v>-1.5156137625390611</v>
      </c>
      <c r="Q5" s="12">
        <f>'Data Tables (W)'!Q41</f>
        <v>-1.4860881556908789</v>
      </c>
      <c r="R5" s="12">
        <f>'Data Tables (W)'!R41</f>
        <v>-1.4241879561491539</v>
      </c>
      <c r="S5" s="12">
        <f>'Data Tables (W)'!S41</f>
        <v>-1.2037314141547599</v>
      </c>
      <c r="T5" s="12">
        <f>'Data Tables (W)'!T41</f>
        <v>-1.2736112942937721</v>
      </c>
      <c r="U5" s="12">
        <f>'Data Tables (W)'!U41</f>
        <v>-0.97633283681057037</v>
      </c>
      <c r="V5" s="12">
        <f>'Data Tables (W)'!V41</f>
        <v>-1.112774937133338</v>
      </c>
      <c r="W5" s="12">
        <f>'Data Tables (W)'!W41</f>
        <v>-1.4387010084158189</v>
      </c>
    </row>
    <row r="6" spans="1:26" ht="15" customHeight="1" x14ac:dyDescent="0.25">
      <c r="A6" s="36" t="s">
        <v>237</v>
      </c>
      <c r="B6" s="13">
        <f t="shared" ref="B6:W6" si="0">(145%/B10-1)/10%*1.7</f>
        <v>1.2367886981306095</v>
      </c>
      <c r="C6" s="13">
        <f t="shared" si="0"/>
        <v>1.4335264133914938</v>
      </c>
      <c r="D6" s="13">
        <f t="shared" si="0"/>
        <v>1.3357929506198229</v>
      </c>
      <c r="E6" s="13">
        <f t="shared" si="0"/>
        <v>1.3391142544309826</v>
      </c>
      <c r="F6" s="13">
        <f t="shared" si="0"/>
        <v>1.244395021942845</v>
      </c>
      <c r="G6" s="13">
        <f t="shared" si="0"/>
        <v>1.3896871828355803</v>
      </c>
      <c r="H6" s="13">
        <f t="shared" si="0"/>
        <v>1.6451629178712475</v>
      </c>
      <c r="I6" s="13">
        <f t="shared" si="0"/>
        <v>2.267622927388476</v>
      </c>
      <c r="J6" s="13">
        <f t="shared" si="0"/>
        <v>2.0267745001286972</v>
      </c>
      <c r="K6" s="13">
        <f t="shared" si="0"/>
        <v>2.0810161776968674</v>
      </c>
      <c r="L6" s="13">
        <f t="shared" si="0"/>
        <v>1.9252559889790439</v>
      </c>
      <c r="M6" s="13">
        <f t="shared" si="0"/>
        <v>1.9935221189062766</v>
      </c>
      <c r="N6" s="13">
        <f t="shared" si="0"/>
        <v>1.6802785817753061</v>
      </c>
      <c r="O6" s="13">
        <f t="shared" si="0"/>
        <v>2.2144328065236065</v>
      </c>
      <c r="P6" s="13">
        <f t="shared" si="0"/>
        <v>2.1319344384178818</v>
      </c>
      <c r="Q6" s="13">
        <f t="shared" si="0"/>
        <v>2.1503714309347863</v>
      </c>
      <c r="R6" s="13">
        <f t="shared" si="0"/>
        <v>2.1647441686463935</v>
      </c>
      <c r="S6" s="13">
        <f t="shared" si="0"/>
        <v>1.8671768224844689</v>
      </c>
      <c r="T6" s="13">
        <f t="shared" si="0"/>
        <v>1.5984230822881353</v>
      </c>
      <c r="U6" s="13">
        <f t="shared" si="0"/>
        <v>1.8977310028333132</v>
      </c>
      <c r="V6" s="13">
        <f t="shared" si="0"/>
        <v>2.0571343946210421</v>
      </c>
      <c r="W6" s="13">
        <f t="shared" si="0"/>
        <v>1.7522727910109999</v>
      </c>
    </row>
    <row r="7" spans="1:26" ht="15" customHeight="1" x14ac:dyDescent="0.25">
      <c r="A7" s="38" t="s">
        <v>30</v>
      </c>
      <c r="B7" s="12">
        <f t="shared" ref="B7:W7" si="1">SUM(B2:B6)</f>
        <v>136.10135854824603</v>
      </c>
      <c r="C7" s="12">
        <f t="shared" si="1"/>
        <v>135.99941886518067</v>
      </c>
      <c r="D7" s="12">
        <f t="shared" si="1"/>
        <v>136.11209812613311</v>
      </c>
      <c r="E7" s="12">
        <f t="shared" si="1"/>
        <v>135.98574981750625</v>
      </c>
      <c r="F7" s="12">
        <f t="shared" si="1"/>
        <v>136.53627841957564</v>
      </c>
      <c r="G7" s="12">
        <f t="shared" si="1"/>
        <v>136.41738884260698</v>
      </c>
      <c r="H7" s="12">
        <f t="shared" si="1"/>
        <v>136.68412684833859</v>
      </c>
      <c r="I7" s="12">
        <f t="shared" si="1"/>
        <v>136.18646345824325</v>
      </c>
      <c r="J7" s="12">
        <f t="shared" si="1"/>
        <v>136.30143056750342</v>
      </c>
      <c r="K7" s="12">
        <f t="shared" si="1"/>
        <v>137.23913848356514</v>
      </c>
      <c r="L7" s="12">
        <f t="shared" si="1"/>
        <v>137.34278272232487</v>
      </c>
      <c r="M7" s="12">
        <f t="shared" si="1"/>
        <v>137.303776470137</v>
      </c>
      <c r="N7" s="12">
        <f t="shared" si="1"/>
        <v>136.84423099439203</v>
      </c>
      <c r="O7" s="12">
        <f t="shared" si="1"/>
        <v>137.61749807711703</v>
      </c>
      <c r="P7" s="12">
        <f t="shared" si="1"/>
        <v>137.44546594420839</v>
      </c>
      <c r="Q7" s="12">
        <f t="shared" si="1"/>
        <v>137.70479351120537</v>
      </c>
      <c r="R7" s="12">
        <f t="shared" si="1"/>
        <v>138.3921327386407</v>
      </c>
      <c r="S7" s="12">
        <f t="shared" si="1"/>
        <v>137.57558346897187</v>
      </c>
      <c r="T7" s="12">
        <f t="shared" si="1"/>
        <v>137.68818678901826</v>
      </c>
      <c r="U7" s="12">
        <f t="shared" si="1"/>
        <v>138.66279589515767</v>
      </c>
      <c r="V7" s="12">
        <f t="shared" si="1"/>
        <v>138.95731087287098</v>
      </c>
      <c r="W7" s="12">
        <f t="shared" si="1"/>
        <v>138.16013334338214</v>
      </c>
    </row>
    <row r="8" spans="1:26" ht="15" customHeight="1" x14ac:dyDescent="0.2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U8" s="16"/>
    </row>
    <row r="9" spans="1:26" ht="15" customHeight="1" x14ac:dyDescent="0.25">
      <c r="A9" s="42" t="s">
        <v>238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U9" s="16"/>
    </row>
    <row r="10" spans="1:26" ht="15" customHeight="1" x14ac:dyDescent="0.25">
      <c r="A10" s="36" t="s">
        <v>273</v>
      </c>
      <c r="B10" s="81">
        <f>'Data Tables (W)'!B44</f>
        <v>1.351663410045804</v>
      </c>
      <c r="C10" s="81">
        <f>'Data Tables (W)'!C44</f>
        <v>1.3372373493382359</v>
      </c>
      <c r="D10" s="81">
        <f>'Data Tables (W)'!D44</f>
        <v>1.344365093256942</v>
      </c>
      <c r="E10" s="81">
        <f>'Data Tables (W)'!E44</f>
        <v>1.344121622124919</v>
      </c>
      <c r="F10" s="81">
        <f>'Data Tables (W)'!F44</f>
        <v>1.3510998841207409</v>
      </c>
      <c r="G10" s="81">
        <f>'Data Tables (W)'!G44</f>
        <v>1.340425193475157</v>
      </c>
      <c r="H10" s="81">
        <f>'Data Tables (W)'!H44</f>
        <v>1.322058708126018</v>
      </c>
      <c r="I10" s="81">
        <f>'Data Tables (W)'!I44</f>
        <v>1.279348266929212</v>
      </c>
      <c r="J10" s="81">
        <f>'Data Tables (W)'!J44</f>
        <v>1.295542762638684</v>
      </c>
      <c r="K10" s="81">
        <f>'Data Tables (W)'!K44</f>
        <v>1.2918599182790129</v>
      </c>
      <c r="L10" s="81">
        <f>'Data Tables (W)'!L44</f>
        <v>1.302492289370073</v>
      </c>
      <c r="M10" s="81">
        <f>'Data Tables (W)'!M44</f>
        <v>1.2978108981410681</v>
      </c>
      <c r="N10" s="81">
        <f>'Data Tables (W)'!N44</f>
        <v>1.319573468462554</v>
      </c>
      <c r="O10" s="81">
        <f>'Data Tables (W)'!O44</f>
        <v>1.282889807271903</v>
      </c>
      <c r="P10" s="81">
        <f>'Data Tables (W)'!P44</f>
        <v>1.2884217264774629</v>
      </c>
      <c r="Q10" s="81">
        <f>'Data Tables (W)'!Q44</f>
        <v>1.287181300315738</v>
      </c>
      <c r="R10" s="81">
        <f>'Data Tables (W)'!R44</f>
        <v>1.2862159694428641</v>
      </c>
      <c r="S10" s="81">
        <f>'Data Tables (W)'!S44</f>
        <v>1.3065017745857981</v>
      </c>
      <c r="T10" s="81">
        <f>'Data Tables (W)'!T44</f>
        <v>1.3253811837130951</v>
      </c>
      <c r="U10" s="81">
        <f>'Data Tables (W)'!U44</f>
        <v>1.304389399780548</v>
      </c>
      <c r="V10" s="81">
        <f>'Data Tables (W)'!V44</f>
        <v>1.293478835252249</v>
      </c>
      <c r="W10" s="81">
        <f>'Data Tables (W)'!W44</f>
        <v>1.3145073279765911</v>
      </c>
    </row>
    <row r="11" spans="1:26" ht="15" customHeight="1" x14ac:dyDescent="0.25">
      <c r="A11" s="37" t="s">
        <v>240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</row>
    <row r="12" spans="1:26" ht="15" customHeight="1" x14ac:dyDescent="0.25">
      <c r="A12" s="43" t="s">
        <v>241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</row>
    <row r="13" spans="1:26" ht="15" customHeight="1" x14ac:dyDescent="0.25">
      <c r="A13" s="38" t="s">
        <v>242</v>
      </c>
      <c r="B13" s="85">
        <f t="shared" ref="B13:W13" si="2">B12/10%*1.7</f>
        <v>0</v>
      </c>
      <c r="C13" s="85">
        <f t="shared" si="2"/>
        <v>0</v>
      </c>
      <c r="D13" s="85">
        <f t="shared" si="2"/>
        <v>0</v>
      </c>
      <c r="E13" s="85">
        <f t="shared" si="2"/>
        <v>0</v>
      </c>
      <c r="F13" s="85">
        <f t="shared" si="2"/>
        <v>0</v>
      </c>
      <c r="G13" s="85">
        <f t="shared" si="2"/>
        <v>0</v>
      </c>
      <c r="H13" s="85">
        <f t="shared" si="2"/>
        <v>0</v>
      </c>
      <c r="I13" s="85">
        <f t="shared" si="2"/>
        <v>0</v>
      </c>
      <c r="J13" s="85">
        <f t="shared" si="2"/>
        <v>0</v>
      </c>
      <c r="K13" s="85">
        <f t="shared" si="2"/>
        <v>0</v>
      </c>
      <c r="L13" s="85">
        <f t="shared" si="2"/>
        <v>0</v>
      </c>
      <c r="M13" s="85">
        <f t="shared" si="2"/>
        <v>0</v>
      </c>
      <c r="N13" s="85">
        <f t="shared" si="2"/>
        <v>0</v>
      </c>
      <c r="O13" s="85">
        <f t="shared" si="2"/>
        <v>0</v>
      </c>
      <c r="P13" s="85">
        <f t="shared" si="2"/>
        <v>0</v>
      </c>
      <c r="Q13" s="85">
        <f t="shared" si="2"/>
        <v>0</v>
      </c>
      <c r="R13" s="85">
        <f t="shared" si="2"/>
        <v>0</v>
      </c>
      <c r="S13" s="85">
        <f t="shared" si="2"/>
        <v>0</v>
      </c>
      <c r="T13" s="85">
        <f t="shared" si="2"/>
        <v>0</v>
      </c>
      <c r="U13" s="85">
        <f t="shared" si="2"/>
        <v>0</v>
      </c>
      <c r="V13" s="85">
        <f t="shared" si="2"/>
        <v>0</v>
      </c>
      <c r="W13" s="85">
        <f t="shared" si="2"/>
        <v>0</v>
      </c>
    </row>
    <row r="14" spans="1:26" ht="15" customHeight="1" x14ac:dyDescent="0.25">
      <c r="A14" s="36" t="s">
        <v>243</v>
      </c>
      <c r="B14" s="87">
        <f t="shared" ref="B14:W14" si="3">B7+B13</f>
        <v>136.10135854824603</v>
      </c>
      <c r="C14" s="87">
        <f t="shared" si="3"/>
        <v>135.99941886518067</v>
      </c>
      <c r="D14" s="87">
        <f t="shared" si="3"/>
        <v>136.11209812613311</v>
      </c>
      <c r="E14" s="87">
        <f t="shared" si="3"/>
        <v>135.98574981750625</v>
      </c>
      <c r="F14" s="87">
        <f t="shared" si="3"/>
        <v>136.53627841957564</v>
      </c>
      <c r="G14" s="87">
        <f t="shared" si="3"/>
        <v>136.41738884260698</v>
      </c>
      <c r="H14" s="87">
        <f t="shared" si="3"/>
        <v>136.68412684833859</v>
      </c>
      <c r="I14" s="87">
        <f t="shared" si="3"/>
        <v>136.18646345824325</v>
      </c>
      <c r="J14" s="87">
        <f t="shared" si="3"/>
        <v>136.30143056750342</v>
      </c>
      <c r="K14" s="87">
        <f t="shared" si="3"/>
        <v>137.23913848356514</v>
      </c>
      <c r="L14" s="87">
        <f t="shared" si="3"/>
        <v>137.34278272232487</v>
      </c>
      <c r="M14" s="87">
        <f t="shared" si="3"/>
        <v>137.303776470137</v>
      </c>
      <c r="N14" s="87">
        <f t="shared" si="3"/>
        <v>136.84423099439203</v>
      </c>
      <c r="O14" s="87">
        <f t="shared" si="3"/>
        <v>137.61749807711703</v>
      </c>
      <c r="P14" s="87">
        <f t="shared" si="3"/>
        <v>137.44546594420839</v>
      </c>
      <c r="Q14" s="87">
        <f t="shared" si="3"/>
        <v>137.70479351120537</v>
      </c>
      <c r="R14" s="87">
        <f t="shared" si="3"/>
        <v>138.3921327386407</v>
      </c>
      <c r="S14" s="87">
        <f t="shared" si="3"/>
        <v>137.57558346897187</v>
      </c>
      <c r="T14" s="87">
        <f t="shared" si="3"/>
        <v>137.68818678901826</v>
      </c>
      <c r="U14" s="87">
        <f t="shared" si="3"/>
        <v>138.66279589515767</v>
      </c>
      <c r="V14" s="87">
        <f t="shared" si="3"/>
        <v>138.95731087287098</v>
      </c>
      <c r="W14" s="87">
        <f t="shared" si="3"/>
        <v>138.16013334338214</v>
      </c>
    </row>
    <row r="15" spans="1:26" ht="15" customHeight="1" x14ac:dyDescent="0.25">
      <c r="A15" s="38" t="s">
        <v>244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</row>
    <row r="16" spans="1:26" ht="15" customHeight="1" x14ac:dyDescent="0.25">
      <c r="A16" s="36" t="s">
        <v>245</v>
      </c>
      <c r="B16" s="19">
        <f t="shared" ref="B16:W16" si="4">B15-($R$14-B14)*1%</f>
        <v>-2.2907741903946715E-2</v>
      </c>
      <c r="C16" s="19">
        <f t="shared" si="4"/>
        <v>-2.3927138734600249E-2</v>
      </c>
      <c r="D16" s="19">
        <f t="shared" si="4"/>
        <v>-2.2800346125075917E-2</v>
      </c>
      <c r="E16" s="19">
        <f t="shared" si="4"/>
        <v>-2.4063829211344513E-2</v>
      </c>
      <c r="F16" s="19">
        <f t="shared" si="4"/>
        <v>-1.8558543190650596E-2</v>
      </c>
      <c r="G16" s="19">
        <f t="shared" si="4"/>
        <v>-1.9747438960337149E-2</v>
      </c>
      <c r="H16" s="19">
        <f t="shared" si="4"/>
        <v>-1.7080058903021042E-2</v>
      </c>
      <c r="I16" s="19">
        <f t="shared" si="4"/>
        <v>-2.2056692803974442E-2</v>
      </c>
      <c r="J16" s="19">
        <f t="shared" si="4"/>
        <v>-2.0907021711372806E-2</v>
      </c>
      <c r="K16" s="19">
        <f t="shared" si="4"/>
        <v>-1.152994255075555E-2</v>
      </c>
      <c r="L16" s="19">
        <f t="shared" si="4"/>
        <v>-1.0493500163158274E-2</v>
      </c>
      <c r="M16" s="19">
        <f t="shared" si="4"/>
        <v>-1.0883562685037021E-2</v>
      </c>
      <c r="N16" s="19">
        <f t="shared" si="4"/>
        <v>-1.5479017442486623E-2</v>
      </c>
      <c r="O16" s="19">
        <f t="shared" si="4"/>
        <v>-7.7463466152366328E-3</v>
      </c>
      <c r="P16" s="19">
        <f t="shared" si="4"/>
        <v>-9.4666679443230345E-3</v>
      </c>
      <c r="Q16" s="19">
        <f t="shared" si="4"/>
        <v>-6.8733922743533073E-3</v>
      </c>
      <c r="R16" s="19">
        <f t="shared" si="4"/>
        <v>0</v>
      </c>
      <c r="S16" s="19">
        <f t="shared" si="4"/>
        <v>-8.1654926966882608E-3</v>
      </c>
      <c r="T16" s="19">
        <f t="shared" si="4"/>
        <v>-7.0394594962243677E-3</v>
      </c>
      <c r="U16" s="19">
        <f t="shared" si="4"/>
        <v>2.7066315651697436E-3</v>
      </c>
      <c r="V16" s="19">
        <f t="shared" si="4"/>
        <v>5.6517813423027979E-3</v>
      </c>
      <c r="W16" s="19">
        <f t="shared" si="4"/>
        <v>-2.3199939525855484E-3</v>
      </c>
    </row>
    <row r="19" spans="1:2" ht="15" customHeight="1" x14ac:dyDescent="0.25">
      <c r="A19" s="50" t="s">
        <v>246</v>
      </c>
      <c r="B19" s="51" t="s">
        <v>247</v>
      </c>
    </row>
    <row r="20" spans="1:2" ht="15" customHeight="1" x14ac:dyDescent="0.25">
      <c r="A20" s="50" t="s">
        <v>248</v>
      </c>
      <c r="B20" s="51" t="s">
        <v>249</v>
      </c>
    </row>
    <row r="21" spans="1:2" ht="15" customHeight="1" x14ac:dyDescent="0.25">
      <c r="A21" s="50" t="s">
        <v>250</v>
      </c>
      <c r="B21" s="51" t="s">
        <v>251</v>
      </c>
    </row>
    <row r="22" spans="1:2" ht="15" customHeight="1" x14ac:dyDescent="0.25">
      <c r="A22" s="50"/>
      <c r="B22" s="51" t="s">
        <v>252</v>
      </c>
    </row>
    <row r="23" spans="1:2" ht="15" customHeight="1" x14ac:dyDescent="0.25">
      <c r="A23" s="50" t="s">
        <v>253</v>
      </c>
      <c r="B23" s="51" t="s">
        <v>254</v>
      </c>
    </row>
    <row r="24" spans="1:2" ht="15" customHeight="1" x14ac:dyDescent="0.25">
      <c r="A24" s="50" t="s">
        <v>255</v>
      </c>
      <c r="B24" s="51" t="s">
        <v>256</v>
      </c>
    </row>
    <row r="25" spans="1:2" ht="15" customHeight="1" x14ac:dyDescent="0.25">
      <c r="A25" s="50" t="s">
        <v>257</v>
      </c>
      <c r="B25" s="51" t="s">
        <v>258</v>
      </c>
    </row>
    <row r="26" spans="1:2" ht="15" customHeight="1" x14ac:dyDescent="0.25">
      <c r="A26" s="50"/>
      <c r="B26" s="51" t="s">
        <v>259</v>
      </c>
    </row>
    <row r="27" spans="1:2" ht="15" customHeight="1" x14ac:dyDescent="0.25">
      <c r="A27" s="50" t="s">
        <v>260</v>
      </c>
      <c r="B27" s="51" t="s">
        <v>261</v>
      </c>
    </row>
    <row r="28" spans="1:2" ht="15" customHeight="1" x14ac:dyDescent="0.25">
      <c r="A28" s="50"/>
      <c r="B28" s="51"/>
    </row>
    <row r="29" spans="1:2" ht="15" customHeight="1" x14ac:dyDescent="0.25">
      <c r="A29" s="50"/>
      <c r="B29" s="51"/>
    </row>
    <row r="30" spans="1:2" ht="15" customHeight="1" x14ac:dyDescent="0.25">
      <c r="A30" s="50"/>
      <c r="B30" s="51"/>
    </row>
    <row r="31" spans="1:2" ht="15" customHeight="1" x14ac:dyDescent="0.25">
      <c r="A31" s="50"/>
      <c r="B31" s="51"/>
    </row>
  </sheetData>
  <pageMargins left="0.7" right="0.7" top="0.75" bottom="0.75" header="0.3" footer="0.3"/>
  <pageSetup orientation="portrait" horizontalDpi="204" verticalDpi="19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30"/>
  <sheetViews>
    <sheetView zoomScale="160" zoomScaleNormal="160" workbookViewId="0">
      <selection activeCell="B23" sqref="B23"/>
    </sheetView>
  </sheetViews>
  <sheetFormatPr defaultColWidth="9.1796875" defaultRowHeight="15" customHeight="1" x14ac:dyDescent="0.25"/>
  <cols>
    <col min="1" max="1" width="28.54296875" style="41" customWidth="1"/>
    <col min="2" max="2" width="6.54296875" style="41" customWidth="1"/>
    <col min="3" max="3" width="5.81640625" style="41" customWidth="1"/>
    <col min="4" max="4" width="5.7265625" style="41" customWidth="1"/>
    <col min="5" max="5" width="6.1796875" style="41" customWidth="1"/>
    <col min="6" max="6" width="6" style="41" customWidth="1"/>
    <col min="7" max="7" width="5.26953125" style="41" customWidth="1"/>
    <col min="8" max="8" width="6.1796875" style="41" customWidth="1"/>
    <col min="9" max="9" width="6.54296875" style="41" customWidth="1"/>
    <col min="10" max="10" width="5.81640625" style="41" customWidth="1"/>
    <col min="11" max="11" width="6.26953125" style="41" customWidth="1"/>
    <col min="12" max="12" width="7.1796875" style="41" customWidth="1"/>
    <col min="13" max="14" width="6.26953125" style="41" customWidth="1"/>
    <col min="15" max="15" width="7.1796875" style="41" customWidth="1"/>
    <col min="16" max="16" width="5.26953125" style="41" customWidth="1"/>
    <col min="17" max="17" width="5.81640625" style="41" customWidth="1"/>
    <col min="18" max="18" width="7" style="41" customWidth="1"/>
    <col min="19" max="19" width="6" style="41" customWidth="1"/>
    <col min="20" max="20" width="6.26953125" style="41" customWidth="1"/>
    <col min="21" max="22" width="7.453125" style="41" customWidth="1"/>
    <col min="23" max="79" width="9.1796875" style="41" customWidth="1"/>
    <col min="80" max="16384" width="9.1796875" style="41"/>
  </cols>
  <sheetData>
    <row r="1" spans="1:27" ht="30" customHeight="1" x14ac:dyDescent="0.25">
      <c r="A1" s="71" t="s">
        <v>274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1">
        <v>45417</v>
      </c>
      <c r="U1" s="121">
        <v>45424</v>
      </c>
      <c r="V1" s="122">
        <v>45431</v>
      </c>
      <c r="W1" s="121">
        <v>45438</v>
      </c>
      <c r="X1" s="121">
        <v>45445</v>
      </c>
      <c r="Y1" s="122">
        <v>45452</v>
      </c>
      <c r="Z1" s="121">
        <v>45459</v>
      </c>
      <c r="AA1" s="121">
        <v>45466</v>
      </c>
    </row>
    <row r="2" spans="1:27" ht="15" customHeight="1" x14ac:dyDescent="0.25">
      <c r="A2" s="72" t="s">
        <v>275</v>
      </c>
      <c r="B2" s="12">
        <f>'Data Tables (W)'!B56</f>
        <v>141.96441503745299</v>
      </c>
      <c r="C2" s="12">
        <f>'Data Tables (W)'!C56</f>
        <v>140.42195683532731</v>
      </c>
      <c r="D2" s="12">
        <f>'Data Tables (W)'!D56</f>
        <v>139.62518271152351</v>
      </c>
      <c r="E2" s="12">
        <f>'Data Tables (W)'!E56</f>
        <v>139.10677555314601</v>
      </c>
      <c r="F2" s="12">
        <f>'Data Tables (W)'!F56</f>
        <v>139.40684868267439</v>
      </c>
      <c r="G2" s="12">
        <f>'Data Tables (W)'!G56</f>
        <v>139.47263924019691</v>
      </c>
      <c r="H2" s="12">
        <f>'Data Tables (W)'!H56</f>
        <v>138.34007932300079</v>
      </c>
      <c r="I2" s="12">
        <f>'Data Tables (W)'!I56</f>
        <v>137.86540453422569</v>
      </c>
      <c r="J2" s="12">
        <f>'Data Tables (W)'!J56</f>
        <v>139.09739970864291</v>
      </c>
      <c r="K2" s="12">
        <f>'Data Tables (W)'!K56</f>
        <v>139.81876069563299</v>
      </c>
      <c r="L2" s="12">
        <f>'Data Tables (W)'!L56</f>
        <v>140.52062796282229</v>
      </c>
      <c r="M2" s="12">
        <f>'Data Tables (W)'!M56</f>
        <v>141.38720881538831</v>
      </c>
      <c r="N2" s="12">
        <f>'Data Tables (W)'!N56</f>
        <v>140.61145018245719</v>
      </c>
      <c r="O2" s="12">
        <f>'Data Tables (W)'!O56</f>
        <v>140.68944034874659</v>
      </c>
      <c r="P2" s="12">
        <f>'Data Tables (W)'!P56</f>
        <v>140.4567380871224</v>
      </c>
      <c r="Q2" s="12">
        <f>'Data Tables (W)'!Q56</f>
        <v>140.564112400874</v>
      </c>
      <c r="R2" s="12">
        <f>'Data Tables (W)'!R56</f>
        <v>140.3790399396579</v>
      </c>
      <c r="S2" s="12">
        <f>'Data Tables (W)'!S56</f>
        <v>140.73273013007611</v>
      </c>
      <c r="T2" s="12">
        <f>'Data Tables (W)'!T56</f>
        <v>140.71901475480101</v>
      </c>
      <c r="U2" s="12">
        <f>'Data Tables (W)'!U56</f>
        <v>140.59650160225399</v>
      </c>
      <c r="V2" s="12">
        <f>'Data Tables (W)'!V56</f>
        <v>140.3164622590501</v>
      </c>
      <c r="W2" s="12">
        <f>'Data Tables (W)'!W56</f>
        <v>140.80387655755959</v>
      </c>
      <c r="X2" s="108"/>
      <c r="Y2" s="108"/>
      <c r="Z2" s="46"/>
    </row>
    <row r="3" spans="1:27" ht="15" hidden="1" customHeight="1" x14ac:dyDescent="0.25">
      <c r="A3" s="73" t="s">
        <v>276</v>
      </c>
      <c r="B3" s="13">
        <f>'Data Tables (W)'!B57*$Z$2</f>
        <v>0</v>
      </c>
      <c r="C3" s="13">
        <f>'Data Tables (W)'!C57*$Z$2</f>
        <v>0</v>
      </c>
      <c r="D3" s="13">
        <f>'Data Tables (W)'!D57*$Z$2</f>
        <v>0</v>
      </c>
      <c r="E3" s="13">
        <f>'Data Tables (W)'!E57*$Z$2</f>
        <v>0</v>
      </c>
      <c r="F3" s="13">
        <f>'Data Tables (W)'!F57*$Z$2</f>
        <v>0</v>
      </c>
      <c r="G3" s="13">
        <f>'Data Tables (W)'!G57*$Z$2</f>
        <v>0</v>
      </c>
      <c r="H3" s="13">
        <f>'Data Tables (W)'!H57*$Z$2</f>
        <v>0</v>
      </c>
      <c r="I3" s="13">
        <f>'Data Tables (W)'!I57*$Z$2</f>
        <v>0</v>
      </c>
      <c r="J3" s="13">
        <f>'Data Tables (W)'!J57*$Z$2</f>
        <v>0</v>
      </c>
      <c r="K3" s="13">
        <f>'Data Tables (W)'!K57*$Z$2</f>
        <v>0</v>
      </c>
      <c r="L3" s="13">
        <f>'Data Tables (W)'!L57*$Z$2</f>
        <v>0</v>
      </c>
      <c r="M3" s="13">
        <f>'Data Tables (W)'!M57*$Z$2</f>
        <v>0</v>
      </c>
      <c r="N3" s="13">
        <f>'Data Tables (W)'!N57*$Z$2</f>
        <v>0</v>
      </c>
      <c r="O3" s="13">
        <f>'Data Tables (W)'!O57*$Z$2</f>
        <v>0</v>
      </c>
      <c r="P3" s="13">
        <f>'Data Tables (W)'!P57*$Z$2</f>
        <v>0</v>
      </c>
      <c r="Q3" s="13">
        <f>'Data Tables (W)'!Q57*$Z$2</f>
        <v>0</v>
      </c>
      <c r="R3" s="13">
        <f>'Data Tables (W)'!R57*$Z$2</f>
        <v>0</v>
      </c>
      <c r="S3" s="13">
        <f>'Data Tables (W)'!S57*$Z$2</f>
        <v>0</v>
      </c>
      <c r="T3" s="13">
        <f>'Data Tables (W)'!T57*$Z$2</f>
        <v>0</v>
      </c>
      <c r="U3" s="13">
        <f>'Data Tables (W)'!U57*$Z$2</f>
        <v>0</v>
      </c>
      <c r="V3" s="13">
        <f>'Data Tables (W)'!V57*$Z$2</f>
        <v>0</v>
      </c>
      <c r="W3" s="13">
        <f>'Data Tables (W)'!W57*$Z$2</f>
        <v>0</v>
      </c>
      <c r="X3" s="16"/>
      <c r="Y3" s="16"/>
    </row>
    <row r="4" spans="1:27" ht="30" customHeight="1" x14ac:dyDescent="0.25">
      <c r="A4" s="73" t="s">
        <v>277</v>
      </c>
      <c r="B4" s="13">
        <f>'Data Tables (W)'!B58</f>
        <v>0.96730874149056945</v>
      </c>
      <c r="C4" s="13">
        <f>'Data Tables (W)'!C58</f>
        <v>1.3416361372935339</v>
      </c>
      <c r="D4" s="13">
        <f>'Data Tables (W)'!D58</f>
        <v>1.1459301828060691</v>
      </c>
      <c r="E4" s="13">
        <f>'Data Tables (W)'!E58</f>
        <v>1.3731444892080451</v>
      </c>
      <c r="F4" s="13">
        <f>'Data Tables (W)'!F58</f>
        <v>1.1708774639491819</v>
      </c>
      <c r="G4" s="13">
        <f>'Data Tables (W)'!G58</f>
        <v>1.3665466065002081</v>
      </c>
      <c r="H4" s="13">
        <f>'Data Tables (W)'!H58</f>
        <v>1.6208392874207791</v>
      </c>
      <c r="I4" s="13">
        <f>'Data Tables (W)'!I58</f>
        <v>1.310842862661872</v>
      </c>
      <c r="J4" s="13">
        <f>'Data Tables (W)'!J58</f>
        <v>1.4594483125946449</v>
      </c>
      <c r="K4" s="13">
        <f>'Data Tables (W)'!K58</f>
        <v>1.8186136846603349</v>
      </c>
      <c r="L4" s="13">
        <f>'Data Tables (W)'!L58</f>
        <v>1.7408526899469341</v>
      </c>
      <c r="M4" s="13">
        <f>'Data Tables (W)'!M58</f>
        <v>1.7740215304647511</v>
      </c>
      <c r="N4" s="13">
        <f>'Data Tables (W)'!N58</f>
        <v>1.9168585860185201</v>
      </c>
      <c r="O4" s="13">
        <f>'Data Tables (W)'!O58</f>
        <v>1.92474469641715</v>
      </c>
      <c r="P4" s="13">
        <f>'Data Tables (W)'!P58</f>
        <v>1.868950821666175</v>
      </c>
      <c r="Q4" s="13">
        <f>'Data Tables (W)'!Q58</f>
        <v>1.9883013908151379</v>
      </c>
      <c r="R4" s="13">
        <f>'Data Tables (W)'!R58</f>
        <v>2.031408202136475</v>
      </c>
      <c r="S4" s="13">
        <f>'Data Tables (W)'!S58</f>
        <v>1.9349076161639971</v>
      </c>
      <c r="T4" s="13">
        <f>'Data Tables (W)'!T58</f>
        <v>2.131560308869183</v>
      </c>
      <c r="U4" s="13">
        <f>'Data Tables (W)'!U58</f>
        <v>1.9804976937521701</v>
      </c>
      <c r="V4" s="13">
        <f>'Data Tables (W)'!V58</f>
        <v>1.933065267824702</v>
      </c>
      <c r="W4" s="13">
        <f>'Data Tables (W)'!W58</f>
        <v>1.9528341939431471</v>
      </c>
      <c r="X4" s="16"/>
      <c r="Y4" s="16"/>
    </row>
    <row r="5" spans="1:27" ht="30" customHeight="1" x14ac:dyDescent="0.25">
      <c r="A5" s="72" t="s">
        <v>278</v>
      </c>
      <c r="B5" s="12">
        <f t="shared" ref="B5:W5" si="0">(159%/B11-1)/10%*1.7/0.65</f>
        <v>-5.489634930366484</v>
      </c>
      <c r="C5" s="12">
        <f t="shared" si="0"/>
        <v>-4.3893955759483321</v>
      </c>
      <c r="D5" s="12">
        <f t="shared" si="0"/>
        <v>-4.3448217735791443</v>
      </c>
      <c r="E5" s="12">
        <f t="shared" si="0"/>
        <v>-4.2298279145701017</v>
      </c>
      <c r="F5" s="12">
        <f t="shared" si="0"/>
        <v>-3.860104429851646</v>
      </c>
      <c r="G5" s="12">
        <f t="shared" si="0"/>
        <v>-4.5868907113962152</v>
      </c>
      <c r="H5" s="12">
        <f t="shared" si="0"/>
        <v>-4.0853223167105144</v>
      </c>
      <c r="I5" s="12">
        <f t="shared" si="0"/>
        <v>-3.7489178755796186</v>
      </c>
      <c r="J5" s="12">
        <f t="shared" si="0"/>
        <v>-2.7807570951092822</v>
      </c>
      <c r="K5" s="12">
        <f t="shared" si="0"/>
        <v>-2.4311948740520157</v>
      </c>
      <c r="L5" s="12">
        <f t="shared" si="0"/>
        <v>-2.5273383746063303</v>
      </c>
      <c r="M5" s="12">
        <f t="shared" si="0"/>
        <v>-2.2994614319217388</v>
      </c>
      <c r="N5" s="12">
        <f t="shared" si="0"/>
        <v>-2.0044245863068406</v>
      </c>
      <c r="O5" s="12">
        <f t="shared" si="0"/>
        <v>-1.6545353665744906</v>
      </c>
      <c r="P5" s="12">
        <f t="shared" si="0"/>
        <v>-1.5052131861472182</v>
      </c>
      <c r="Q5" s="12">
        <f t="shared" si="0"/>
        <v>-0.88353170424788963</v>
      </c>
      <c r="R5" s="12">
        <f t="shared" si="0"/>
        <v>-0.79792516801438107</v>
      </c>
      <c r="S5" s="12">
        <f t="shared" si="0"/>
        <v>-1.0025521744230759</v>
      </c>
      <c r="T5" s="12">
        <f t="shared" si="0"/>
        <v>-0.6170324376121199</v>
      </c>
      <c r="U5" s="12">
        <f t="shared" si="0"/>
        <v>-0.5248272074516338</v>
      </c>
      <c r="V5" s="12">
        <f t="shared" si="0"/>
        <v>-0.7240517922175207</v>
      </c>
      <c r="W5" s="12">
        <f t="shared" si="0"/>
        <v>-0.67818845856537935</v>
      </c>
      <c r="X5" s="16"/>
      <c r="Y5" s="16"/>
    </row>
    <row r="6" spans="1:27" ht="15" customHeight="1" x14ac:dyDescent="0.25">
      <c r="A6" s="73" t="s">
        <v>30</v>
      </c>
      <c r="B6" s="13">
        <f t="shared" ref="B6:W6" si="1">SUM(B2:B5)</f>
        <v>137.44208884857707</v>
      </c>
      <c r="C6" s="13">
        <f t="shared" si="1"/>
        <v>137.37419739667251</v>
      </c>
      <c r="D6" s="13">
        <f t="shared" si="1"/>
        <v>136.42629112075042</v>
      </c>
      <c r="E6" s="13">
        <f t="shared" si="1"/>
        <v>136.25009212778394</v>
      </c>
      <c r="F6" s="13">
        <f t="shared" si="1"/>
        <v>136.71762171677193</v>
      </c>
      <c r="G6" s="13">
        <f t="shared" si="1"/>
        <v>136.2522951353009</v>
      </c>
      <c r="H6" s="13">
        <f t="shared" si="1"/>
        <v>135.87559629371106</v>
      </c>
      <c r="I6" s="13">
        <f t="shared" si="1"/>
        <v>135.42732952130794</v>
      </c>
      <c r="J6" s="13">
        <f t="shared" si="1"/>
        <v>137.77609092612826</v>
      </c>
      <c r="K6" s="13">
        <f t="shared" si="1"/>
        <v>139.20617950624131</v>
      </c>
      <c r="L6" s="13">
        <f t="shared" si="1"/>
        <v>139.73414227816289</v>
      </c>
      <c r="M6" s="13">
        <f t="shared" si="1"/>
        <v>140.86176891393131</v>
      </c>
      <c r="N6" s="13">
        <f t="shared" si="1"/>
        <v>140.52388418216887</v>
      </c>
      <c r="O6" s="13">
        <f t="shared" si="1"/>
        <v>140.95964967858924</v>
      </c>
      <c r="P6" s="13">
        <f t="shared" si="1"/>
        <v>140.82047572264136</v>
      </c>
      <c r="Q6" s="13">
        <f t="shared" si="1"/>
        <v>141.66888208744123</v>
      </c>
      <c r="R6" s="13">
        <f t="shared" si="1"/>
        <v>141.61252297377999</v>
      </c>
      <c r="S6" s="13">
        <f t="shared" si="1"/>
        <v>141.66508557181703</v>
      </c>
      <c r="T6" s="13">
        <f t="shared" si="1"/>
        <v>142.23354262605807</v>
      </c>
      <c r="U6" s="13">
        <f t="shared" si="1"/>
        <v>142.05217208855453</v>
      </c>
      <c r="V6" s="13">
        <f t="shared" si="1"/>
        <v>141.52547573465728</v>
      </c>
      <c r="W6" s="13">
        <f t="shared" si="1"/>
        <v>142.07852229293735</v>
      </c>
      <c r="X6" s="16"/>
      <c r="Y6" s="16"/>
    </row>
    <row r="7" spans="1:27" ht="15" hidden="1" customHeight="1" x14ac:dyDescent="0.25">
      <c r="A7" s="73" t="s">
        <v>282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3">
        <f t="shared" ref="P7:U7" si="2">-0.5*0.75*1200/22000*65</f>
        <v>-1.3295454545454546</v>
      </c>
      <c r="Q7" s="13">
        <f t="shared" si="2"/>
        <v>-1.3295454545454546</v>
      </c>
      <c r="R7" s="13">
        <f t="shared" si="2"/>
        <v>-1.3295454545454546</v>
      </c>
      <c r="S7" s="13">
        <f t="shared" si="2"/>
        <v>-1.3295454545454546</v>
      </c>
      <c r="T7" s="13">
        <f t="shared" si="2"/>
        <v>-1.3295454545454546</v>
      </c>
      <c r="U7" s="13">
        <f t="shared" si="2"/>
        <v>-1.3295454545454546</v>
      </c>
      <c r="V7" s="13"/>
      <c r="W7" s="13"/>
      <c r="X7" s="16"/>
      <c r="Y7" s="16"/>
    </row>
    <row r="8" spans="1:27" ht="15" hidden="1" customHeight="1" x14ac:dyDescent="0.25">
      <c r="A8" s="73" t="s">
        <v>291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3">
        <f t="shared" ref="P8:U8" si="3">P6+P7</f>
        <v>139.49093026809589</v>
      </c>
      <c r="Q8" s="13">
        <f t="shared" si="3"/>
        <v>140.33933663289577</v>
      </c>
      <c r="R8" s="13">
        <f t="shared" si="3"/>
        <v>140.28297751923452</v>
      </c>
      <c r="S8" s="13">
        <f t="shared" si="3"/>
        <v>140.33554011727156</v>
      </c>
      <c r="T8" s="13">
        <f t="shared" si="3"/>
        <v>140.9039971715126</v>
      </c>
      <c r="U8" s="13">
        <f t="shared" si="3"/>
        <v>140.72262663400906</v>
      </c>
      <c r="V8" s="13"/>
      <c r="W8" s="13"/>
      <c r="X8" s="16"/>
      <c r="Y8" s="16"/>
    </row>
    <row r="9" spans="1:27" ht="15" customHeight="1" x14ac:dyDescent="0.25">
      <c r="A9" s="92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7" ht="15" customHeight="1" x14ac:dyDescent="0.25">
      <c r="A10" s="93" t="s">
        <v>238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7" ht="15" customHeight="1" x14ac:dyDescent="0.25">
      <c r="A11" s="72" t="s">
        <v>279</v>
      </c>
      <c r="B11" s="14">
        <f>'Data Tables (W)'!B62</f>
        <v>2.0123979054842871</v>
      </c>
      <c r="C11" s="14">
        <f>'Data Tables (W)'!C62</f>
        <v>1.9106669031583681</v>
      </c>
      <c r="D11" s="14">
        <f>'Data Tables (W)'!D62</f>
        <v>1.906761836730372</v>
      </c>
      <c r="E11" s="14">
        <f>'Data Tables (W)'!E62</f>
        <v>1.8967606636140319</v>
      </c>
      <c r="F11" s="14">
        <f>'Data Tables (W)'!F62</f>
        <v>1.865304438323977</v>
      </c>
      <c r="G11" s="14">
        <f>'Data Tables (W)'!G62</f>
        <v>1.9281634580078451</v>
      </c>
      <c r="H11" s="14">
        <f>'Data Tables (W)'!H62</f>
        <v>1.8843405971104961</v>
      </c>
      <c r="I11" s="14">
        <f>'Data Tables (W)'!I62</f>
        <v>1.8560476904071921</v>
      </c>
      <c r="J11" s="14">
        <f>'Data Tables (W)'!J62</f>
        <v>1.7791664285415041</v>
      </c>
      <c r="K11" s="14">
        <f>'Data Tables (W)'!K62</f>
        <v>1.752949739645469</v>
      </c>
      <c r="L11" s="14">
        <f>'Data Tables (W)'!L62</f>
        <v>1.760083029331784</v>
      </c>
      <c r="M11" s="14">
        <f>'Data Tables (W)'!M62</f>
        <v>1.7432692508893439</v>
      </c>
      <c r="N11" s="14">
        <f>'Data Tables (W)'!N62</f>
        <v>1.721971487735829</v>
      </c>
      <c r="O11" s="14">
        <f>'Data Tables (W)'!O62</f>
        <v>1.697378989380395</v>
      </c>
      <c r="P11" s="14">
        <f>'Data Tables (W)'!P62</f>
        <v>1.687096214995387</v>
      </c>
      <c r="Q11" s="14">
        <f>'Data Tables (W)'!Q62</f>
        <v>1.6455915286513769</v>
      </c>
      <c r="R11" s="14">
        <f>'Data Tables (W)'!R62</f>
        <v>1.640035690592812</v>
      </c>
      <c r="S11" s="14">
        <f>'Data Tables (W)'!S62</f>
        <v>1.6533787652689691</v>
      </c>
      <c r="T11" s="14">
        <f>'Data Tables (W)'!T62</f>
        <v>1.6284183237072991</v>
      </c>
      <c r="U11" s="14">
        <f>'Data Tables (W)'!U62</f>
        <v>1.622559781612924</v>
      </c>
      <c r="V11" s="14">
        <f>'Data Tables (W)'!V62</f>
        <v>1.635271398315473</v>
      </c>
      <c r="W11" s="14">
        <f>'Data Tables (W)'!W62</f>
        <v>1.6323274508559089</v>
      </c>
      <c r="X11" s="109"/>
      <c r="Y11" s="16"/>
    </row>
    <row r="12" spans="1:27" ht="15" customHeight="1" x14ac:dyDescent="0.25">
      <c r="A12" s="73" t="s">
        <v>240</v>
      </c>
      <c r="B12" s="17"/>
      <c r="C12" s="17"/>
      <c r="D12" s="11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1"/>
      <c r="P12" s="11"/>
      <c r="Q12" s="17"/>
      <c r="R12" s="17"/>
      <c r="S12" s="17"/>
      <c r="T12" s="17"/>
      <c r="U12" s="18"/>
      <c r="V12" s="18"/>
      <c r="W12" s="18"/>
    </row>
    <row r="13" spans="1:27" ht="15" customHeight="1" x14ac:dyDescent="0.25">
      <c r="A13" s="72" t="s">
        <v>280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</row>
    <row r="14" spans="1:27" ht="15" customHeight="1" x14ac:dyDescent="0.25">
      <c r="A14" s="94" t="s">
        <v>242</v>
      </c>
      <c r="B14" s="13">
        <f t="shared" ref="B14:W14" si="4">B13/10%*1.7/0.65</f>
        <v>0</v>
      </c>
      <c r="C14" s="13">
        <f t="shared" si="4"/>
        <v>0</v>
      </c>
      <c r="D14" s="13">
        <f t="shared" si="4"/>
        <v>0</v>
      </c>
      <c r="E14" s="13">
        <f t="shared" si="4"/>
        <v>0</v>
      </c>
      <c r="F14" s="13">
        <f t="shared" si="4"/>
        <v>0</v>
      </c>
      <c r="G14" s="13">
        <f t="shared" si="4"/>
        <v>0</v>
      </c>
      <c r="H14" s="13">
        <f t="shared" si="4"/>
        <v>0</v>
      </c>
      <c r="I14" s="13">
        <f t="shared" si="4"/>
        <v>0</v>
      </c>
      <c r="J14" s="13">
        <f t="shared" si="4"/>
        <v>0</v>
      </c>
      <c r="K14" s="13">
        <f t="shared" si="4"/>
        <v>0</v>
      </c>
      <c r="L14" s="13">
        <f t="shared" si="4"/>
        <v>0</v>
      </c>
      <c r="M14" s="13">
        <f t="shared" si="4"/>
        <v>0</v>
      </c>
      <c r="N14" s="13">
        <f t="shared" si="4"/>
        <v>0</v>
      </c>
      <c r="O14" s="13">
        <f t="shared" si="4"/>
        <v>0</v>
      </c>
      <c r="P14" s="13">
        <f t="shared" si="4"/>
        <v>0</v>
      </c>
      <c r="Q14" s="13">
        <f t="shared" si="4"/>
        <v>0</v>
      </c>
      <c r="R14" s="13">
        <f t="shared" si="4"/>
        <v>0</v>
      </c>
      <c r="S14" s="13">
        <f t="shared" si="4"/>
        <v>0</v>
      </c>
      <c r="T14" s="13">
        <f t="shared" si="4"/>
        <v>0</v>
      </c>
      <c r="U14" s="13">
        <f t="shared" si="4"/>
        <v>0</v>
      </c>
      <c r="V14" s="13">
        <f t="shared" si="4"/>
        <v>0</v>
      </c>
      <c r="W14" s="13">
        <f t="shared" si="4"/>
        <v>0</v>
      </c>
    </row>
    <row r="15" spans="1:27" ht="15" customHeight="1" x14ac:dyDescent="0.25">
      <c r="A15" s="72" t="s">
        <v>243</v>
      </c>
      <c r="B15" s="12">
        <f t="shared" ref="B15:W15" si="5">B14+B6</f>
        <v>137.44208884857707</v>
      </c>
      <c r="C15" s="12">
        <f t="shared" si="5"/>
        <v>137.37419739667251</v>
      </c>
      <c r="D15" s="12">
        <f t="shared" si="5"/>
        <v>136.42629112075042</v>
      </c>
      <c r="E15" s="12">
        <f t="shared" si="5"/>
        <v>136.25009212778394</v>
      </c>
      <c r="F15" s="12">
        <f t="shared" si="5"/>
        <v>136.71762171677193</v>
      </c>
      <c r="G15" s="12">
        <f t="shared" si="5"/>
        <v>136.2522951353009</v>
      </c>
      <c r="H15" s="12">
        <f t="shared" si="5"/>
        <v>135.87559629371106</v>
      </c>
      <c r="I15" s="12">
        <f t="shared" si="5"/>
        <v>135.42732952130794</v>
      </c>
      <c r="J15" s="12">
        <f t="shared" si="5"/>
        <v>137.77609092612826</v>
      </c>
      <c r="K15" s="12">
        <f t="shared" si="5"/>
        <v>139.20617950624131</v>
      </c>
      <c r="L15" s="12">
        <f t="shared" si="5"/>
        <v>139.73414227816289</v>
      </c>
      <c r="M15" s="12">
        <f t="shared" si="5"/>
        <v>140.86176891393131</v>
      </c>
      <c r="N15" s="12">
        <f t="shared" si="5"/>
        <v>140.52388418216887</v>
      </c>
      <c r="O15" s="12">
        <f t="shared" si="5"/>
        <v>140.95964967858924</v>
      </c>
      <c r="P15" s="12">
        <f t="shared" si="5"/>
        <v>140.82047572264136</v>
      </c>
      <c r="Q15" s="12">
        <f t="shared" si="5"/>
        <v>141.66888208744123</v>
      </c>
      <c r="R15" s="12">
        <f t="shared" si="5"/>
        <v>141.61252297377999</v>
      </c>
      <c r="S15" s="12">
        <f t="shared" si="5"/>
        <v>141.66508557181703</v>
      </c>
      <c r="T15" s="12">
        <f t="shared" si="5"/>
        <v>142.23354262605807</v>
      </c>
      <c r="U15" s="12">
        <f t="shared" si="5"/>
        <v>142.05217208855453</v>
      </c>
      <c r="V15" s="12">
        <f t="shared" si="5"/>
        <v>141.52547573465728</v>
      </c>
      <c r="W15" s="12">
        <f t="shared" si="5"/>
        <v>142.07852229293735</v>
      </c>
    </row>
    <row r="16" spans="1:27" ht="15" customHeight="1" x14ac:dyDescent="0.25">
      <c r="A16" s="73" t="s">
        <v>281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pans="1:23" ht="15" customHeight="1" x14ac:dyDescent="0.25">
      <c r="A17" s="74" t="s">
        <v>245</v>
      </c>
      <c r="B17" s="20">
        <f t="shared" ref="B17:R17" si="6">B16-($V$15-B15)*0.65%</f>
        <v>-2.6542014759521337E-2</v>
      </c>
      <c r="C17" s="20">
        <f t="shared" si="6"/>
        <v>-2.6983309196900965E-2</v>
      </c>
      <c r="D17" s="20">
        <f t="shared" si="6"/>
        <v>-3.3144699990394572E-2</v>
      </c>
      <c r="E17" s="20">
        <f t="shared" si="6"/>
        <v>-3.4289993444676668E-2</v>
      </c>
      <c r="F17" s="20">
        <f t="shared" si="6"/>
        <v>-3.1251051116254758E-2</v>
      </c>
      <c r="G17" s="20">
        <f t="shared" si="6"/>
        <v>-3.4275673895816469E-2</v>
      </c>
      <c r="H17" s="20">
        <f t="shared" si="6"/>
        <v>-3.6724216366150447E-2</v>
      </c>
      <c r="I17" s="20">
        <f t="shared" si="6"/>
        <v>-3.9637950386770704E-2</v>
      </c>
      <c r="J17" s="20">
        <f t="shared" si="6"/>
        <v>-2.4371001255438601E-2</v>
      </c>
      <c r="K17" s="20">
        <f t="shared" si="6"/>
        <v>-1.5075425484703774E-2</v>
      </c>
      <c r="L17" s="20">
        <f t="shared" si="6"/>
        <v>-1.1643667467213506E-2</v>
      </c>
      <c r="M17" s="20">
        <f t="shared" si="6"/>
        <v>-4.3140943347187606E-3</v>
      </c>
      <c r="N17" s="20">
        <f t="shared" si="6"/>
        <v>-6.5103450911746423E-3</v>
      </c>
      <c r="O17" s="20">
        <f t="shared" si="6"/>
        <v>-3.6778693644422167E-3</v>
      </c>
      <c r="P17" s="20">
        <f t="shared" si="6"/>
        <v>-4.5825000781034506E-3</v>
      </c>
      <c r="Q17" s="20">
        <f t="shared" si="6"/>
        <v>9.3214129309571105E-4</v>
      </c>
      <c r="R17" s="20">
        <f t="shared" si="6"/>
        <v>5.6580705429762194E-4</v>
      </c>
      <c r="S17" s="20"/>
      <c r="T17" s="20"/>
      <c r="U17" s="21"/>
      <c r="V17" s="20"/>
      <c r="W17" s="20"/>
    </row>
    <row r="20" spans="1:23" ht="15" customHeight="1" x14ac:dyDescent="0.25">
      <c r="A20" s="49" t="s">
        <v>246</v>
      </c>
      <c r="B20" s="48" t="s">
        <v>283</v>
      </c>
    </row>
    <row r="21" spans="1:23" ht="15" customHeight="1" x14ac:dyDescent="0.25">
      <c r="A21" s="49" t="s">
        <v>248</v>
      </c>
      <c r="B21" s="48" t="s">
        <v>247</v>
      </c>
    </row>
    <row r="22" spans="1:23" ht="15" customHeight="1" x14ac:dyDescent="0.25">
      <c r="A22" s="49" t="s">
        <v>250</v>
      </c>
      <c r="B22" s="48" t="s">
        <v>284</v>
      </c>
    </row>
    <row r="23" spans="1:23" ht="15" customHeight="1" x14ac:dyDescent="0.25">
      <c r="A23" s="49" t="s">
        <v>253</v>
      </c>
      <c r="B23" s="48" t="s">
        <v>251</v>
      </c>
    </row>
    <row r="24" spans="1:23" ht="15" customHeight="1" x14ac:dyDescent="0.25">
      <c r="B24" s="48" t="s">
        <v>252</v>
      </c>
    </row>
    <row r="25" spans="1:23" ht="15" customHeight="1" x14ac:dyDescent="0.25">
      <c r="A25" s="49" t="s">
        <v>255</v>
      </c>
      <c r="B25" s="48" t="s">
        <v>256</v>
      </c>
    </row>
    <row r="26" spans="1:23" ht="15" customHeight="1" x14ac:dyDescent="0.25">
      <c r="B26" s="48" t="s">
        <v>285</v>
      </c>
    </row>
    <row r="27" spans="1:23" ht="15" customHeight="1" x14ac:dyDescent="0.25">
      <c r="A27" s="49" t="s">
        <v>257</v>
      </c>
      <c r="B27" s="48" t="s">
        <v>286</v>
      </c>
    </row>
    <row r="28" spans="1:23" ht="15" customHeight="1" x14ac:dyDescent="0.25">
      <c r="A28" s="49" t="s">
        <v>260</v>
      </c>
      <c r="B28" s="48" t="s">
        <v>258</v>
      </c>
    </row>
    <row r="29" spans="1:23" ht="15" customHeight="1" x14ac:dyDescent="0.25">
      <c r="B29" s="48" t="s">
        <v>259</v>
      </c>
    </row>
    <row r="30" spans="1:23" ht="15" customHeight="1" x14ac:dyDescent="0.25">
      <c r="A30" s="49" t="s">
        <v>287</v>
      </c>
      <c r="B30" s="48" t="s">
        <v>261</v>
      </c>
    </row>
  </sheetData>
  <pageMargins left="0.7" right="0.7" top="0.75" bottom="0.75" header="0.3" footer="0.3"/>
  <pageSetup orientation="portrait" horizontalDpi="204" verticalDpi="1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55BF62EA51469C2F194260F7319E" ma:contentTypeVersion="18" ma:contentTypeDescription="Create a new document." ma:contentTypeScope="" ma:versionID="18df2f67ff85675faaa7949590c44638">
  <xsd:schema xmlns:xsd="http://www.w3.org/2001/XMLSchema" xmlns:xs="http://www.w3.org/2001/XMLSchema" xmlns:p="http://schemas.microsoft.com/office/2006/metadata/properties" xmlns:ns1="http://schemas.microsoft.com/sharepoint/v3" xmlns:ns2="1656b474-bc9c-41b0-a7dd-8c5877b9b3ae" xmlns:ns3="a679ee5a-1808-44ed-a317-05ab7d0badb3" targetNamespace="http://schemas.microsoft.com/office/2006/metadata/properties" ma:root="true" ma:fieldsID="b298bae2beaf776934d715f6b2c9e9e4" ns1:_="" ns2:_="" ns3:_="">
    <xsd:import namespace="http://schemas.microsoft.com/sharepoint/v3"/>
    <xsd:import namespace="1656b474-bc9c-41b0-a7dd-8c5877b9b3ae"/>
    <xsd:import namespace="a679ee5a-1808-44ed-a317-05ab7d0bad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6b474-bc9c-41b0-a7dd-8c5877b9b3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67c62a-3843-4132-824a-87649e672d87}" ma:internalName="TaxCatchAll" ma:showField="CatchAllData" ma:web="1656b474-bc9c-41b0-a7dd-8c5877b9b3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9ee5a-1808-44ed-a317-05ab7d0ba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b5ec89-0457-47a0-a80b-1c0e379d7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79ee5a-1808-44ed-a317-05ab7d0badb3">
      <Terms xmlns="http://schemas.microsoft.com/office/infopath/2007/PartnerControls"/>
    </lcf76f155ced4ddcb4097134ff3c332f>
    <TaxCatchAll xmlns="1656b474-bc9c-41b0-a7dd-8c5877b9b3a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B08117B-5972-46D1-9534-BF71B3E45D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8DAA28-DADE-481B-B52F-1ADCCB938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656b474-bc9c-41b0-a7dd-8c5877b9b3ae"/>
    <ds:schemaRef ds:uri="a679ee5a-1808-44ed-a317-05ab7d0bad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8E20A5-15E7-437D-BF8B-BBE31FDEB255}">
  <ds:schemaRefs>
    <ds:schemaRef ds:uri="http://schemas.microsoft.com/office/2006/metadata/properties"/>
    <ds:schemaRef ds:uri="http://schemas.microsoft.com/office/infopath/2007/PartnerControls"/>
    <ds:schemaRef ds:uri="a679ee5a-1808-44ed-a317-05ab7d0badb3"/>
    <ds:schemaRef ds:uri="1656b474-bc9c-41b0-a7dd-8c5877b9b3ae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Data Tables (Q)</vt:lpstr>
      <vt:lpstr>Data Tables (M)</vt:lpstr>
      <vt:lpstr>Waterfall Tables</vt:lpstr>
      <vt:lpstr>t-1 Data Table</vt:lpstr>
      <vt:lpstr>distribution_rolledup</vt:lpstr>
      <vt:lpstr>POS</vt:lpstr>
      <vt:lpstr>AN Table</vt:lpstr>
      <vt:lpstr>FRN Table</vt:lpstr>
      <vt:lpstr>STG Table</vt:lpstr>
      <vt:lpstr>FLD Table</vt:lpstr>
      <vt:lpstr>ENT Table</vt:lpstr>
      <vt:lpstr>KMX Table</vt:lpstr>
      <vt:lpstr>KMX Table (Monthly)</vt:lpstr>
      <vt:lpstr>NonKMXENT Table</vt:lpstr>
      <vt:lpstr>POS Table</vt:lpstr>
      <vt:lpstr>Data Tables (W)</vt:lpstr>
      <vt:lpstr>AN Table (Weekly)</vt:lpstr>
      <vt:lpstr>FRN Table (Weekly)</vt:lpstr>
      <vt:lpstr>STG Table (Weekly)</vt:lpstr>
      <vt:lpstr>FLD Table (Weekly)</vt:lpstr>
      <vt:lpstr>ENT Table (Weekly)</vt:lpstr>
      <vt:lpstr>KMX Table (Weekly)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Summers</dc:creator>
  <cp:lastModifiedBy>Ahmed Ali</cp:lastModifiedBy>
  <dcterms:created xsi:type="dcterms:W3CDTF">2015-06-05T18:17:20Z</dcterms:created>
  <dcterms:modified xsi:type="dcterms:W3CDTF">2026-02-11T02:03:35Z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0x0101002F7055BF62EA51469C2F194260F7319E</vt:lpwstr>
  </property>
  <property fmtid="{D5CDD505-2E9C-101B-9397-08002B2CF9AE}" pid="3" name="MediaServiceImageTags">
    <vt:lpwstr/>
  </property>
</Properties>
</file>