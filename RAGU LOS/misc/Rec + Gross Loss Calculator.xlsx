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mericancreditacceptance.sharepoint.com/teams/mROA/Shared Documents/Projects/raguscore/RAGU LOS/"/>
    </mc:Choice>
  </mc:AlternateContent>
  <xr:revisionPtr revIDLastSave="2016" documentId="8_{2B36339F-4717-4A15-8F3F-591297F17AC1}" xr6:coauthVersionLast="47" xr6:coauthVersionMax="47" xr10:uidLastSave="{81574941-AEB7-43F9-9401-7D1F2EB691C3}"/>
  <bookViews>
    <workbookView xWindow="-23085" yWindow="-21840" windowWidth="38640" windowHeight="21120" activeTab="4" xr2:uid="{00000000-000D-0000-FFFF-FFFF00000000}"/>
  </bookViews>
  <sheets>
    <sheet name="Main" sheetId="3" r:id="rId1"/>
    <sheet name="KMX populations" sheetId="19" r:id="rId2"/>
    <sheet name="ragu" sheetId="8" r:id="rId3"/>
    <sheet name="POS decomp" sheetId="21" r:id="rId4"/>
    <sheet name="factory" sheetId="4" r:id="rId5"/>
    <sheet name="recovery" sheetId="17" r:id="rId6"/>
    <sheet name="multipliers" sheetId="1" r:id="rId7"/>
    <sheet name="KMX Multipliers" sheetId="18" r:id="rId8"/>
    <sheet name="populations" sheetId="2" r:id="rId9"/>
    <sheet name="fraud" sheetId="6" r:id="rId10"/>
    <sheet name="dealer" sheetId="5" r:id="rId11"/>
    <sheet name="tc" sheetId="7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2" i="4" l="1"/>
  <c r="F99" i="4"/>
  <c r="E102" i="4"/>
  <c r="D98" i="4" l="1"/>
  <c r="F98" i="4"/>
  <c r="G98" i="4" s="1"/>
  <c r="E98" i="4"/>
  <c r="I51" i="2"/>
  <c r="J51" i="2"/>
  <c r="K51" i="2"/>
  <c r="L51" i="2"/>
  <c r="H51" i="2"/>
  <c r="I41" i="2"/>
  <c r="J41" i="2"/>
  <c r="K41" i="2"/>
  <c r="L41" i="2"/>
  <c r="H41" i="2"/>
  <c r="I36" i="2"/>
  <c r="J36" i="2"/>
  <c r="K36" i="2"/>
  <c r="L36" i="2"/>
  <c r="I37" i="2"/>
  <c r="J37" i="2"/>
  <c r="K37" i="2"/>
  <c r="L37" i="2"/>
  <c r="I38" i="2"/>
  <c r="J38" i="2"/>
  <c r="K38" i="2"/>
  <c r="L38" i="2"/>
  <c r="I39" i="2"/>
  <c r="J39" i="2"/>
  <c r="K39" i="2"/>
  <c r="L39" i="2"/>
  <c r="I40" i="2"/>
  <c r="J40" i="2"/>
  <c r="K40" i="2"/>
  <c r="L40" i="2"/>
  <c r="H37" i="2"/>
  <c r="H38" i="2"/>
  <c r="H39" i="2"/>
  <c r="H40" i="2"/>
  <c r="H36" i="2"/>
  <c r="AR32" i="21"/>
  <c r="AU32" i="21"/>
  <c r="AW32" i="21"/>
  <c r="AY32" i="21"/>
  <c r="AO32" i="21"/>
  <c r="AL32" i="21"/>
  <c r="AK32" i="21"/>
  <c r="AJ32" i="21"/>
  <c r="AI32" i="21"/>
  <c r="AH32" i="21"/>
  <c r="AG32" i="21"/>
  <c r="AF32" i="21"/>
  <c r="AE32" i="21"/>
  <c r="AD32" i="21"/>
  <c r="AC32" i="21"/>
  <c r="AB32" i="21"/>
  <c r="J32" i="21"/>
  <c r="K32" i="21"/>
  <c r="L32" i="21"/>
  <c r="M32" i="21"/>
  <c r="N32" i="21"/>
  <c r="O32" i="21"/>
  <c r="P32" i="21"/>
  <c r="Q32" i="21"/>
  <c r="R32" i="21"/>
  <c r="S32" i="21"/>
  <c r="I32" i="21"/>
  <c r="AO29" i="21"/>
  <c r="AY29" i="21"/>
  <c r="AX29" i="21"/>
  <c r="AW29" i="21"/>
  <c r="AV29" i="21"/>
  <c r="AU29" i="21"/>
  <c r="AT29" i="21"/>
  <c r="AS29" i="21"/>
  <c r="AR29" i="21"/>
  <c r="AQ29" i="21"/>
  <c r="AP29" i="21"/>
  <c r="AP21" i="21"/>
  <c r="AY26" i="21"/>
  <c r="AX26" i="21"/>
  <c r="AW26" i="21"/>
  <c r="AV26" i="21"/>
  <c r="AU26" i="21"/>
  <c r="AT26" i="21"/>
  <c r="AS26" i="21"/>
  <c r="AR26" i="21"/>
  <c r="AQ26" i="21"/>
  <c r="AP26" i="21"/>
  <c r="AO26" i="21"/>
  <c r="AY25" i="21"/>
  <c r="AX25" i="21"/>
  <c r="AW25" i="21"/>
  <c r="AV25" i="21"/>
  <c r="AU25" i="21"/>
  <c r="AT25" i="21"/>
  <c r="AS25" i="21"/>
  <c r="AR25" i="21"/>
  <c r="AQ25" i="21"/>
  <c r="AP25" i="21"/>
  <c r="AO25" i="21"/>
  <c r="AY24" i="21"/>
  <c r="AX24" i="21"/>
  <c r="AW24" i="21"/>
  <c r="AV24" i="21"/>
  <c r="AU24" i="21"/>
  <c r="AT24" i="21"/>
  <c r="AS24" i="21"/>
  <c r="AR24" i="21"/>
  <c r="AQ24" i="21"/>
  <c r="AP24" i="21"/>
  <c r="AO24" i="21"/>
  <c r="AY23" i="21"/>
  <c r="AX23" i="21"/>
  <c r="AW23" i="21"/>
  <c r="AV23" i="21"/>
  <c r="AU23" i="21"/>
  <c r="AT23" i="21"/>
  <c r="AS23" i="21"/>
  <c r="AR23" i="21"/>
  <c r="AQ23" i="21"/>
  <c r="AP23" i="21"/>
  <c r="AO23" i="21"/>
  <c r="AY22" i="21"/>
  <c r="AX22" i="21"/>
  <c r="AW22" i="21"/>
  <c r="AV22" i="21"/>
  <c r="AU22" i="21"/>
  <c r="AT22" i="21"/>
  <c r="AS22" i="21"/>
  <c r="AR22" i="21"/>
  <c r="AQ22" i="21"/>
  <c r="AP22" i="21"/>
  <c r="AO22" i="21"/>
  <c r="AY21" i="21"/>
  <c r="AX21" i="21"/>
  <c r="AW21" i="21"/>
  <c r="AV21" i="21"/>
  <c r="AU21" i="21"/>
  <c r="AT21" i="21"/>
  <c r="AS21" i="21"/>
  <c r="AR21" i="21"/>
  <c r="AQ21" i="21"/>
  <c r="AO21" i="21"/>
  <c r="F69" i="6" l="1"/>
  <c r="F70" i="6"/>
  <c r="F71" i="6"/>
  <c r="F72" i="6"/>
  <c r="F73" i="6"/>
  <c r="F74" i="6"/>
  <c r="F75" i="6"/>
  <c r="F76" i="6"/>
  <c r="F77" i="6"/>
  <c r="F78" i="6"/>
  <c r="F79" i="6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I21" i="21"/>
  <c r="E57" i="3"/>
  <c r="J48" i="3"/>
  <c r="E48" i="3"/>
  <c r="L26" i="3"/>
  <c r="L34" i="3" s="1"/>
  <c r="K26" i="3"/>
  <c r="L12" i="3"/>
  <c r="L13" i="3" s="1"/>
  <c r="K12" i="3"/>
  <c r="BP8" i="8"/>
  <c r="BQ8" i="8"/>
  <c r="BP6" i="8"/>
  <c r="I30" i="21"/>
  <c r="AB22" i="21"/>
  <c r="AB21" i="21"/>
  <c r="AB29" i="21" s="1"/>
  <c r="G12" i="3"/>
  <c r="G14" i="3" s="1"/>
  <c r="F12" i="3"/>
  <c r="J30" i="21"/>
  <c r="K30" i="21"/>
  <c r="L30" i="21"/>
  <c r="M30" i="21"/>
  <c r="N30" i="21"/>
  <c r="O30" i="21"/>
  <c r="P30" i="21"/>
  <c r="Q30" i="21"/>
  <c r="R30" i="21"/>
  <c r="S30" i="21"/>
  <c r="I22" i="21"/>
  <c r="I29" i="21" s="1"/>
  <c r="I23" i="21"/>
  <c r="S21" i="21"/>
  <c r="R21" i="21"/>
  <c r="Q21" i="21"/>
  <c r="Q29" i="21" s="1"/>
  <c r="P21" i="21"/>
  <c r="P29" i="21" s="1"/>
  <c r="O21" i="21"/>
  <c r="O29" i="21" s="1"/>
  <c r="N21" i="21"/>
  <c r="N29" i="21" s="1"/>
  <c r="M21" i="21"/>
  <c r="M29" i="21" s="1"/>
  <c r="L21" i="21"/>
  <c r="L29" i="21" s="1"/>
  <c r="K21" i="21"/>
  <c r="K29" i="21" s="1"/>
  <c r="J21" i="21"/>
  <c r="J29" i="21" s="1"/>
  <c r="S26" i="21"/>
  <c r="R26" i="21"/>
  <c r="Q26" i="21"/>
  <c r="P26" i="21"/>
  <c r="O26" i="21"/>
  <c r="N26" i="21"/>
  <c r="M26" i="21"/>
  <c r="L26" i="21"/>
  <c r="K26" i="21"/>
  <c r="J26" i="21"/>
  <c r="I26" i="21"/>
  <c r="S25" i="21"/>
  <c r="R25" i="21"/>
  <c r="Q25" i="21"/>
  <c r="P25" i="21"/>
  <c r="O25" i="21"/>
  <c r="N25" i="21"/>
  <c r="M25" i="21"/>
  <c r="L25" i="21"/>
  <c r="K25" i="21"/>
  <c r="J25" i="21"/>
  <c r="I25" i="21"/>
  <c r="S24" i="21"/>
  <c r="R24" i="21"/>
  <c r="Q24" i="21"/>
  <c r="P24" i="21"/>
  <c r="O24" i="21"/>
  <c r="N24" i="21"/>
  <c r="M24" i="21"/>
  <c r="L24" i="21"/>
  <c r="K24" i="21"/>
  <c r="J24" i="21"/>
  <c r="I24" i="21"/>
  <c r="S23" i="21"/>
  <c r="R23" i="21"/>
  <c r="Q23" i="21"/>
  <c r="P23" i="21"/>
  <c r="O23" i="21"/>
  <c r="N23" i="21"/>
  <c r="M23" i="21"/>
  <c r="L23" i="21"/>
  <c r="K23" i="21"/>
  <c r="J23" i="21"/>
  <c r="S22" i="21"/>
  <c r="S29" i="21" s="1"/>
  <c r="R22" i="21"/>
  <c r="R29" i="21" s="1"/>
  <c r="Q22" i="21"/>
  <c r="P22" i="21"/>
  <c r="O22" i="21"/>
  <c r="N22" i="21"/>
  <c r="M22" i="21"/>
  <c r="L22" i="21"/>
  <c r="K22" i="21"/>
  <c r="J22" i="21"/>
  <c r="AB23" i="21"/>
  <c r="AC23" i="21"/>
  <c r="AD23" i="21"/>
  <c r="AE23" i="21"/>
  <c r="AF23" i="21"/>
  <c r="AG23" i="21"/>
  <c r="AH23" i="21"/>
  <c r="AI23" i="21"/>
  <c r="AJ23" i="21"/>
  <c r="AK23" i="21"/>
  <c r="AL23" i="21"/>
  <c r="AB24" i="21"/>
  <c r="AC24" i="21"/>
  <c r="AD24" i="21"/>
  <c r="AE24" i="21"/>
  <c r="AF24" i="21"/>
  <c r="AG24" i="21"/>
  <c r="AH24" i="21"/>
  <c r="AI24" i="21"/>
  <c r="AJ24" i="21"/>
  <c r="AK24" i="21"/>
  <c r="AL24" i="21"/>
  <c r="AB25" i="21"/>
  <c r="AC25" i="21"/>
  <c r="AD25" i="21"/>
  <c r="AE25" i="21"/>
  <c r="AF25" i="21"/>
  <c r="AG25" i="21"/>
  <c r="AH25" i="21"/>
  <c r="AI25" i="21"/>
  <c r="AJ25" i="21"/>
  <c r="AK25" i="21"/>
  <c r="AL25" i="21"/>
  <c r="AB26" i="21"/>
  <c r="AC26" i="21"/>
  <c r="AD26" i="21"/>
  <c r="AE26" i="21"/>
  <c r="AF26" i="21"/>
  <c r="AG26" i="21"/>
  <c r="AH26" i="21"/>
  <c r="AI26" i="21"/>
  <c r="AJ26" i="21"/>
  <c r="AK26" i="21"/>
  <c r="AL26" i="21"/>
  <c r="AC21" i="21"/>
  <c r="AC29" i="21" s="1"/>
  <c r="AD21" i="21"/>
  <c r="AD29" i="21" s="1"/>
  <c r="AE21" i="21"/>
  <c r="AE29" i="21" s="1"/>
  <c r="AF21" i="21"/>
  <c r="AF29" i="21" s="1"/>
  <c r="AG21" i="21"/>
  <c r="AG29" i="21" s="1"/>
  <c r="AH21" i="21"/>
  <c r="AH29" i="21" s="1"/>
  <c r="AI21" i="21"/>
  <c r="AI29" i="21" s="1"/>
  <c r="AJ21" i="21"/>
  <c r="AJ29" i="21" s="1"/>
  <c r="AK21" i="21"/>
  <c r="AK29" i="21" s="1"/>
  <c r="AL21" i="21"/>
  <c r="AL29" i="21" s="1"/>
  <c r="AC22" i="21"/>
  <c r="AD22" i="21"/>
  <c r="AE22" i="21"/>
  <c r="AF22" i="21"/>
  <c r="AG22" i="21"/>
  <c r="AH22" i="21"/>
  <c r="AI22" i="21"/>
  <c r="AJ22" i="21"/>
  <c r="AK22" i="21"/>
  <c r="AL22" i="21"/>
  <c r="G5" i="3"/>
  <c r="F5" i="3"/>
  <c r="E5" i="3"/>
  <c r="G26" i="3"/>
  <c r="F26" i="3"/>
  <c r="E26" i="3"/>
  <c r="E49" i="3"/>
  <c r="K28" i="3" l="1"/>
  <c r="K30" i="3"/>
  <c r="F14" i="3"/>
  <c r="H14" i="3" s="1"/>
  <c r="K14" i="3"/>
  <c r="L28" i="3"/>
  <c r="F13" i="3"/>
  <c r="K37" i="3"/>
  <c r="L35" i="3"/>
  <c r="K35" i="3"/>
  <c r="K39" i="3"/>
  <c r="K38" i="3"/>
  <c r="L39" i="3"/>
  <c r="L38" i="3"/>
  <c r="L37" i="3"/>
  <c r="L30" i="3"/>
  <c r="K34" i="3"/>
  <c r="M34" i="3" s="1"/>
  <c r="G16" i="3"/>
  <c r="G15" i="3"/>
  <c r="K16" i="3"/>
  <c r="K18" i="3"/>
  <c r="K15" i="3"/>
  <c r="K13" i="3"/>
  <c r="M13" i="3" s="1"/>
  <c r="K17" i="3"/>
  <c r="L18" i="3"/>
  <c r="L17" i="3"/>
  <c r="L16" i="3"/>
  <c r="L15" i="3"/>
  <c r="L14" i="3"/>
  <c r="G18" i="3"/>
  <c r="G17" i="3"/>
  <c r="F16" i="3"/>
  <c r="F15" i="3"/>
  <c r="F18" i="3"/>
  <c r="F17" i="3"/>
  <c r="G13" i="3"/>
  <c r="M28" i="3" l="1"/>
  <c r="M14" i="3"/>
  <c r="M30" i="3"/>
  <c r="M37" i="3"/>
  <c r="M39" i="3"/>
  <c r="H13" i="3"/>
  <c r="M35" i="3"/>
  <c r="M38" i="3"/>
  <c r="H17" i="3"/>
  <c r="H18" i="3"/>
  <c r="M15" i="3"/>
  <c r="M17" i="3"/>
  <c r="M16" i="3"/>
  <c r="M18" i="3"/>
  <c r="H15" i="3"/>
  <c r="H16" i="3"/>
  <c r="L19" i="3"/>
  <c r="G19" i="3"/>
  <c r="K19" i="3"/>
  <c r="F19" i="3"/>
  <c r="M19" i="3" l="1"/>
  <c r="H19" i="3"/>
  <c r="G36" i="3"/>
  <c r="F36" i="3"/>
  <c r="I2" i="17"/>
  <c r="I15" i="17"/>
  <c r="I28" i="17"/>
  <c r="I41" i="17"/>
  <c r="I54" i="17"/>
  <c r="I67" i="17"/>
  <c r="I3" i="17"/>
  <c r="I16" i="17"/>
  <c r="I29" i="17"/>
  <c r="I42" i="17"/>
  <c r="I55" i="17"/>
  <c r="I68" i="17"/>
  <c r="I4" i="17"/>
  <c r="I17" i="17"/>
  <c r="I30" i="17"/>
  <c r="I43" i="17"/>
  <c r="I56" i="17"/>
  <c r="I69" i="17"/>
  <c r="I5" i="17"/>
  <c r="I18" i="17"/>
  <c r="I31" i="17"/>
  <c r="I44" i="17"/>
  <c r="I57" i="17"/>
  <c r="I70" i="17"/>
  <c r="I6" i="17"/>
  <c r="I19" i="17"/>
  <c r="I32" i="17"/>
  <c r="I45" i="17"/>
  <c r="I58" i="17"/>
  <c r="I71" i="17"/>
  <c r="I7" i="17"/>
  <c r="I20" i="17"/>
  <c r="I33" i="17"/>
  <c r="I46" i="17"/>
  <c r="I59" i="17"/>
  <c r="I72" i="17"/>
  <c r="I8" i="17"/>
  <c r="I21" i="17"/>
  <c r="I34" i="17"/>
  <c r="I47" i="17"/>
  <c r="I60" i="17"/>
  <c r="I73" i="17"/>
  <c r="I9" i="17"/>
  <c r="I22" i="17"/>
  <c r="I35" i="17"/>
  <c r="I48" i="17"/>
  <c r="I61" i="17"/>
  <c r="I74" i="17"/>
  <c r="I10" i="17"/>
  <c r="I23" i="17"/>
  <c r="I36" i="17"/>
  <c r="I49" i="17"/>
  <c r="I62" i="17"/>
  <c r="I75" i="17"/>
  <c r="I11" i="17"/>
  <c r="I24" i="17"/>
  <c r="I37" i="17"/>
  <c r="I50" i="17"/>
  <c r="I63" i="17"/>
  <c r="I76" i="17"/>
  <c r="I12" i="17"/>
  <c r="I25" i="17"/>
  <c r="I38" i="17"/>
  <c r="I51" i="17"/>
  <c r="I64" i="17"/>
  <c r="I77" i="17"/>
  <c r="I13" i="17"/>
  <c r="I26" i="17"/>
  <c r="I39" i="17"/>
  <c r="I52" i="17"/>
  <c r="I65" i="17"/>
  <c r="I78" i="17"/>
  <c r="I14" i="17"/>
  <c r="I27" i="17"/>
  <c r="I40" i="17"/>
  <c r="I53" i="17"/>
  <c r="I66" i="17"/>
  <c r="I79" i="17"/>
  <c r="G58" i="3"/>
  <c r="F58" i="3"/>
  <c r="E58" i="3"/>
  <c r="G38" i="3" l="1"/>
  <c r="L32" i="3" s="1"/>
  <c r="G59" i="3"/>
  <c r="F59" i="3"/>
  <c r="F61" i="3"/>
  <c r="F37" i="3"/>
  <c r="F38" i="3"/>
  <c r="K32" i="3" s="1"/>
  <c r="F42" i="3"/>
  <c r="F39" i="3"/>
  <c r="F41" i="3"/>
  <c r="G41" i="3"/>
  <c r="G42" i="3"/>
  <c r="G39" i="3"/>
  <c r="G40" i="3"/>
  <c r="G37" i="3"/>
  <c r="H37" i="3" s="1"/>
  <c r="F40" i="3"/>
  <c r="F60" i="3"/>
  <c r="G60" i="3"/>
  <c r="G63" i="3"/>
  <c r="F64" i="3"/>
  <c r="G61" i="3"/>
  <c r="F63" i="3"/>
  <c r="G64" i="3"/>
  <c r="H59" i="3" l="1"/>
  <c r="M32" i="3"/>
  <c r="H38" i="3"/>
  <c r="H41" i="3"/>
  <c r="H39" i="3"/>
  <c r="H42" i="3"/>
  <c r="H40" i="3"/>
  <c r="H64" i="3"/>
  <c r="H60" i="3"/>
  <c r="H61" i="3"/>
  <c r="H63" i="3"/>
  <c r="G49" i="3" l="1"/>
  <c r="F49" i="3"/>
  <c r="J49" i="3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L49" i="3"/>
  <c r="K49" i="3"/>
  <c r="B3" i="4"/>
  <c r="B2" i="4"/>
  <c r="V26" i="4" s="1"/>
  <c r="B1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7" i="4"/>
  <c r="E6" i="4" l="1"/>
  <c r="E23" i="4" s="1"/>
  <c r="W26" i="4"/>
  <c r="W28" i="4" s="1"/>
  <c r="S26" i="4"/>
  <c r="E62" i="4"/>
  <c r="C131" i="4"/>
  <c r="H97" i="4" s="1"/>
  <c r="V28" i="4"/>
  <c r="F7" i="3" s="1"/>
  <c r="V29" i="4"/>
  <c r="F8" i="3" s="1"/>
  <c r="V30" i="4"/>
  <c r="F9" i="3" s="1"/>
  <c r="V27" i="4"/>
  <c r="F6" i="3" s="1"/>
  <c r="I6" i="4"/>
  <c r="I21" i="4" s="1"/>
  <c r="R26" i="4"/>
  <c r="C96" i="4"/>
  <c r="G97" i="4" s="1"/>
  <c r="D62" i="4"/>
  <c r="L12" i="4"/>
  <c r="L19" i="4"/>
  <c r="J36" i="4"/>
  <c r="C5" i="4"/>
  <c r="L6" i="4"/>
  <c r="C36" i="4"/>
  <c r="H5" i="4"/>
  <c r="L26" i="4"/>
  <c r="M26" i="4"/>
  <c r="N26" i="4"/>
  <c r="C37" i="4"/>
  <c r="J37" i="4"/>
  <c r="M19" i="4"/>
  <c r="M23" i="4" s="1"/>
  <c r="N19" i="4"/>
  <c r="N21" i="4" s="1"/>
  <c r="M12" i="4"/>
  <c r="M13" i="4" s="1"/>
  <c r="K57" i="3" s="1"/>
  <c r="N12" i="4"/>
  <c r="N13" i="4" s="1"/>
  <c r="L57" i="3" s="1"/>
  <c r="M6" i="4"/>
  <c r="M8" i="4" s="1"/>
  <c r="K61" i="3" s="1"/>
  <c r="N6" i="4"/>
  <c r="N8" i="4" s="1"/>
  <c r="L61" i="3" s="1"/>
  <c r="J6" i="4"/>
  <c r="J13" i="4" s="1"/>
  <c r="I7" i="4" l="1"/>
  <c r="E26" i="4"/>
  <c r="E11" i="4"/>
  <c r="E12" i="4"/>
  <c r="E13" i="4"/>
  <c r="E16" i="4"/>
  <c r="E17" i="4"/>
  <c r="E19" i="4"/>
  <c r="E24" i="4"/>
  <c r="L55" i="4" s="1"/>
  <c r="M55" i="4" s="1"/>
  <c r="E14" i="4"/>
  <c r="E15" i="4"/>
  <c r="E18" i="4"/>
  <c r="E8" i="4"/>
  <c r="E22" i="4"/>
  <c r="L54" i="4" s="1"/>
  <c r="M54" i="4" s="1"/>
  <c r="E27" i="4"/>
  <c r="I9" i="4"/>
  <c r="E9" i="4"/>
  <c r="E7" i="4"/>
  <c r="L38" i="4" s="1"/>
  <c r="M38" i="4" s="1"/>
  <c r="E25" i="4"/>
  <c r="E20" i="4"/>
  <c r="E10" i="4"/>
  <c r="E21" i="4"/>
  <c r="I13" i="4"/>
  <c r="I12" i="4"/>
  <c r="I28" i="4"/>
  <c r="I19" i="4"/>
  <c r="K53" i="3" s="1"/>
  <c r="I15" i="4"/>
  <c r="I16" i="4"/>
  <c r="I14" i="4"/>
  <c r="K55" i="3" s="1"/>
  <c r="F62" i="3" s="1"/>
  <c r="I23" i="4"/>
  <c r="I8" i="4"/>
  <c r="I24" i="4"/>
  <c r="R29" i="4"/>
  <c r="F29" i="3" s="1"/>
  <c r="R30" i="4"/>
  <c r="F30" i="3" s="1"/>
  <c r="R27" i="4"/>
  <c r="F27" i="3" s="1"/>
  <c r="R28" i="4"/>
  <c r="F28" i="3" s="1"/>
  <c r="I25" i="4"/>
  <c r="I10" i="4"/>
  <c r="I26" i="4"/>
  <c r="I18" i="4"/>
  <c r="I11" i="4"/>
  <c r="I20" i="4"/>
  <c r="N30" i="4"/>
  <c r="G53" i="3" s="1"/>
  <c r="M29" i="4"/>
  <c r="F52" i="3" s="1"/>
  <c r="N29" i="4"/>
  <c r="G52" i="3" s="1"/>
  <c r="M30" i="4"/>
  <c r="F53" i="3" s="1"/>
  <c r="M28" i="4"/>
  <c r="F51" i="3" s="1"/>
  <c r="N28" i="4"/>
  <c r="G51" i="3" s="1"/>
  <c r="N27" i="4"/>
  <c r="G50" i="3" s="1"/>
  <c r="M27" i="4"/>
  <c r="I22" i="4"/>
  <c r="K51" i="3" s="1"/>
  <c r="I17" i="4"/>
  <c r="I27" i="4"/>
  <c r="S29" i="4"/>
  <c r="G29" i="3" s="1"/>
  <c r="S30" i="4"/>
  <c r="G30" i="3" s="1"/>
  <c r="S27" i="4"/>
  <c r="G27" i="3" s="1"/>
  <c r="S28" i="4"/>
  <c r="G28" i="3" s="1"/>
  <c r="G7" i="3"/>
  <c r="H7" i="3" s="1"/>
  <c r="W29" i="4"/>
  <c r="G8" i="3" s="1"/>
  <c r="H8" i="3" s="1"/>
  <c r="W30" i="4"/>
  <c r="G9" i="3" s="1"/>
  <c r="H9" i="3" s="1"/>
  <c r="W27" i="4"/>
  <c r="G6" i="3" s="1"/>
  <c r="H6" i="3" s="1"/>
  <c r="E87" i="4"/>
  <c r="E74" i="4"/>
  <c r="E89" i="4"/>
  <c r="E64" i="4"/>
  <c r="E63" i="4"/>
  <c r="E70" i="4"/>
  <c r="E72" i="4"/>
  <c r="E73" i="4"/>
  <c r="E88" i="4"/>
  <c r="E75" i="4"/>
  <c r="E76" i="4"/>
  <c r="E82" i="4"/>
  <c r="E67" i="4"/>
  <c r="E68" i="4"/>
  <c r="E69" i="4"/>
  <c r="E71" i="4"/>
  <c r="E90" i="4"/>
  <c r="E77" i="4"/>
  <c r="E92" i="4"/>
  <c r="E65" i="4"/>
  <c r="E66" i="4"/>
  <c r="E83" i="4"/>
  <c r="E86" i="4"/>
  <c r="E91" i="4"/>
  <c r="E78" i="4"/>
  <c r="E79" i="4"/>
  <c r="E80" i="4"/>
  <c r="E81" i="4"/>
  <c r="E84" i="4"/>
  <c r="E85" i="4"/>
  <c r="M14" i="4"/>
  <c r="K58" i="3" s="1"/>
  <c r="M22" i="4"/>
  <c r="M21" i="4"/>
  <c r="M20" i="4"/>
  <c r="N22" i="4"/>
  <c r="N23" i="4"/>
  <c r="N20" i="4"/>
  <c r="M57" i="3"/>
  <c r="N14" i="4"/>
  <c r="L58" i="3" s="1"/>
  <c r="M61" i="3"/>
  <c r="N7" i="4"/>
  <c r="L60" i="3" s="1"/>
  <c r="M7" i="4"/>
  <c r="K60" i="3" s="1"/>
  <c r="J21" i="4"/>
  <c r="J14" i="4"/>
  <c r="L55" i="3" s="1"/>
  <c r="J11" i="4"/>
  <c r="J15" i="4"/>
  <c r="J20" i="4"/>
  <c r="J12" i="4"/>
  <c r="J28" i="4"/>
  <c r="J16" i="4"/>
  <c r="J24" i="4"/>
  <c r="J8" i="4"/>
  <c r="J25" i="4"/>
  <c r="J27" i="4"/>
  <c r="J17" i="4"/>
  <c r="J7" i="4"/>
  <c r="J22" i="4"/>
  <c r="L51" i="3" s="1"/>
  <c r="J10" i="4"/>
  <c r="J23" i="4"/>
  <c r="J26" i="4"/>
  <c r="J9" i="4"/>
  <c r="J18" i="4"/>
  <c r="J19" i="4"/>
  <c r="L53" i="3" s="1"/>
  <c r="D138" i="4" l="1"/>
  <c r="E138" i="4" s="1"/>
  <c r="D150" i="4"/>
  <c r="E150" i="4" s="1"/>
  <c r="D154" i="4"/>
  <c r="E154" i="4" s="1"/>
  <c r="K38" i="4"/>
  <c r="K57" i="4"/>
  <c r="K54" i="4"/>
  <c r="K40" i="4"/>
  <c r="D137" i="4"/>
  <c r="E137" i="4" s="1"/>
  <c r="K56" i="4"/>
  <c r="K41" i="4"/>
  <c r="L39" i="4"/>
  <c r="M39" i="4" s="1"/>
  <c r="K46" i="4"/>
  <c r="K49" i="4"/>
  <c r="D149" i="4"/>
  <c r="E149" i="4" s="1"/>
  <c r="L57" i="4"/>
  <c r="M57" i="4" s="1"/>
  <c r="K55" i="4"/>
  <c r="K50" i="4"/>
  <c r="K47" i="4"/>
  <c r="K45" i="4"/>
  <c r="K51" i="4"/>
  <c r="K43" i="4"/>
  <c r="D134" i="4"/>
  <c r="E134" i="4" s="1"/>
  <c r="L52" i="4"/>
  <c r="M52" i="4" s="1"/>
  <c r="L44" i="4"/>
  <c r="M44" i="4" s="1"/>
  <c r="K44" i="4"/>
  <c r="L46" i="4"/>
  <c r="M46" i="4" s="1"/>
  <c r="D142" i="4"/>
  <c r="E142" i="4" s="1"/>
  <c r="L43" i="4"/>
  <c r="M43" i="4" s="1"/>
  <c r="L45" i="4"/>
  <c r="M45" i="4" s="1"/>
  <c r="L48" i="4"/>
  <c r="M48" i="4" s="1"/>
  <c r="L49" i="4"/>
  <c r="M49" i="4" s="1"/>
  <c r="K48" i="4"/>
  <c r="K42" i="4"/>
  <c r="D145" i="4"/>
  <c r="E145" i="4" s="1"/>
  <c r="L50" i="4"/>
  <c r="M50" i="4" s="1"/>
  <c r="L42" i="4"/>
  <c r="M42" i="4" s="1"/>
  <c r="L47" i="4"/>
  <c r="M47" i="4" s="1"/>
  <c r="K39" i="4"/>
  <c r="L40" i="4"/>
  <c r="M40" i="4" s="1"/>
  <c r="L56" i="4"/>
  <c r="M56" i="4" s="1"/>
  <c r="K53" i="4"/>
  <c r="L41" i="4"/>
  <c r="M41" i="4" s="1"/>
  <c r="L51" i="4"/>
  <c r="M51" i="4" s="1"/>
  <c r="K52" i="4"/>
  <c r="M53" i="3"/>
  <c r="L53" i="4"/>
  <c r="M53" i="4" s="1"/>
  <c r="H30" i="3"/>
  <c r="H27" i="3"/>
  <c r="H28" i="3"/>
  <c r="H29" i="3"/>
  <c r="D135" i="4"/>
  <c r="E135" i="4" s="1"/>
  <c r="M51" i="3"/>
  <c r="D148" i="4"/>
  <c r="E148" i="4" s="1"/>
  <c r="D156" i="4"/>
  <c r="E156" i="4" s="1"/>
  <c r="D146" i="4"/>
  <c r="E146" i="4" s="1"/>
  <c r="D140" i="4"/>
  <c r="E140" i="4" s="1"/>
  <c r="D158" i="4"/>
  <c r="E158" i="4" s="1"/>
  <c r="D143" i="4"/>
  <c r="E143" i="4" s="1"/>
  <c r="D153" i="4"/>
  <c r="E153" i="4" s="1"/>
  <c r="D136" i="4"/>
  <c r="E136" i="4" s="1"/>
  <c r="D151" i="4"/>
  <c r="E151" i="4" s="1"/>
  <c r="D147" i="4"/>
  <c r="E147" i="4" s="1"/>
  <c r="D157" i="4"/>
  <c r="E157" i="4" s="1"/>
  <c r="D159" i="4"/>
  <c r="E159" i="4" s="1"/>
  <c r="D144" i="4"/>
  <c r="E144" i="4" s="1"/>
  <c r="D155" i="4"/>
  <c r="E155" i="4" s="1"/>
  <c r="D141" i="4"/>
  <c r="E141" i="4" s="1"/>
  <c r="D152" i="4"/>
  <c r="E152" i="4" s="1"/>
  <c r="D139" i="4"/>
  <c r="E139" i="4" s="1"/>
  <c r="D133" i="4"/>
  <c r="E133" i="4" s="1"/>
  <c r="H51" i="3"/>
  <c r="M55" i="3"/>
  <c r="G62" i="3"/>
  <c r="H53" i="3"/>
  <c r="H52" i="3"/>
  <c r="M58" i="3"/>
  <c r="F50" i="3"/>
  <c r="H50" i="3" s="1"/>
  <c r="M60" i="3"/>
  <c r="N46" i="4" l="1"/>
  <c r="N53" i="4"/>
  <c r="O53" i="4" s="1"/>
  <c r="N44" i="4"/>
  <c r="O44" i="4" s="1"/>
  <c r="N39" i="4"/>
  <c r="O39" i="4" s="1"/>
  <c r="N43" i="4"/>
  <c r="O43" i="4" s="1"/>
  <c r="L54" i="3" s="1"/>
  <c r="N56" i="4"/>
  <c r="O56" i="4" s="1"/>
  <c r="N41" i="4"/>
  <c r="N57" i="4"/>
  <c r="O57" i="4" s="1"/>
  <c r="N40" i="4"/>
  <c r="N54" i="4"/>
  <c r="O54" i="4" s="1"/>
  <c r="L59" i="3" s="1"/>
  <c r="N50" i="4"/>
  <c r="O50" i="4" s="1"/>
  <c r="N52" i="4"/>
  <c r="O52" i="4" s="1"/>
  <c r="L56" i="3" s="1"/>
  <c r="N55" i="4"/>
  <c r="O55" i="4" s="1"/>
  <c r="N38" i="4"/>
  <c r="O38" i="4" s="1"/>
  <c r="N45" i="4"/>
  <c r="O45" i="4" s="1"/>
  <c r="N48" i="4"/>
  <c r="O48" i="4" s="1"/>
  <c r="N49" i="4"/>
  <c r="O49" i="4" s="1"/>
  <c r="L50" i="3" s="1"/>
  <c r="N47" i="4"/>
  <c r="N51" i="4"/>
  <c r="O51" i="4" s="1"/>
  <c r="N42" i="4"/>
  <c r="O42" i="4" s="1"/>
  <c r="F144" i="4"/>
  <c r="G144" i="4" s="1"/>
  <c r="H109" i="4" s="1"/>
  <c r="F135" i="4"/>
  <c r="G135" i="4" s="1"/>
  <c r="H100" i="4" s="1"/>
  <c r="F136" i="4"/>
  <c r="G136" i="4" s="1"/>
  <c r="H101" i="4" s="1"/>
  <c r="F159" i="4"/>
  <c r="G159" i="4" s="1"/>
  <c r="H124" i="4" s="1"/>
  <c r="F142" i="4"/>
  <c r="G142" i="4" s="1"/>
  <c r="H107" i="4" s="1"/>
  <c r="L31" i="3" s="1"/>
  <c r="F157" i="4"/>
  <c r="G157" i="4" s="1"/>
  <c r="H122" i="4" s="1"/>
  <c r="F147" i="4"/>
  <c r="G147" i="4" s="1"/>
  <c r="H112" i="4" s="1"/>
  <c r="F148" i="4"/>
  <c r="G148" i="4" s="1"/>
  <c r="H113" i="4" s="1"/>
  <c r="F145" i="4"/>
  <c r="G145" i="4" s="1"/>
  <c r="H110" i="4" s="1"/>
  <c r="F152" i="4"/>
  <c r="G152" i="4" s="1"/>
  <c r="H117" i="4" s="1"/>
  <c r="L29" i="3" s="1"/>
  <c r="F140" i="4"/>
  <c r="G140" i="4" s="1"/>
  <c r="H105" i="4" s="1"/>
  <c r="F146" i="4"/>
  <c r="G146" i="4" s="1"/>
  <c r="H111" i="4" s="1"/>
  <c r="F137" i="4"/>
  <c r="G137" i="4" s="1"/>
  <c r="H102" i="4" s="1"/>
  <c r="F138" i="4"/>
  <c r="G138" i="4" s="1"/>
  <c r="H103" i="4" s="1"/>
  <c r="F133" i="4"/>
  <c r="G133" i="4" s="1"/>
  <c r="H98" i="4" s="1"/>
  <c r="F134" i="4"/>
  <c r="G134" i="4" s="1"/>
  <c r="H99" i="4" s="1"/>
  <c r="F139" i="4"/>
  <c r="G139" i="4" s="1"/>
  <c r="H104" i="4" s="1"/>
  <c r="F149" i="4"/>
  <c r="G149" i="4" s="1"/>
  <c r="H114" i="4" s="1"/>
  <c r="F153" i="4"/>
  <c r="G153" i="4" s="1"/>
  <c r="H118" i="4" s="1"/>
  <c r="F151" i="4"/>
  <c r="G151" i="4" s="1"/>
  <c r="H116" i="4" s="1"/>
  <c r="F150" i="4"/>
  <c r="G150" i="4" s="1"/>
  <c r="H115" i="4" s="1"/>
  <c r="F154" i="4"/>
  <c r="G154" i="4" s="1"/>
  <c r="H119" i="4" s="1"/>
  <c r="F156" i="4"/>
  <c r="G156" i="4" s="1"/>
  <c r="H121" i="4" s="1"/>
  <c r="F141" i="4"/>
  <c r="G141" i="4" s="1"/>
  <c r="H106" i="4" s="1"/>
  <c r="F143" i="4"/>
  <c r="G143" i="4" s="1"/>
  <c r="H108" i="4" s="1"/>
  <c r="F155" i="4"/>
  <c r="G155" i="4" s="1"/>
  <c r="H120" i="4" s="1"/>
  <c r="F158" i="4"/>
  <c r="G158" i="4" s="1"/>
  <c r="H123" i="4" s="1"/>
  <c r="H62" i="3"/>
  <c r="L27" i="3" l="1"/>
  <c r="L36" i="3"/>
  <c r="L33" i="3"/>
  <c r="O40" i="4"/>
  <c r="O41" i="4"/>
  <c r="H126" i="4"/>
  <c r="O47" i="4"/>
  <c r="L52" i="3" s="1"/>
  <c r="O46" i="4"/>
  <c r="G161" i="4"/>
  <c r="L40" i="3" l="1"/>
  <c r="L41" i="3" s="1"/>
  <c r="L62" i="3"/>
  <c r="L63" i="3" s="1"/>
  <c r="O58" i="4"/>
  <c r="D6" i="4"/>
  <c r="D7" i="4" l="1"/>
  <c r="E38" i="4" s="1"/>
  <c r="F38" i="4" s="1"/>
  <c r="D87" i="4"/>
  <c r="D68" i="4"/>
  <c r="D63" i="4"/>
  <c r="D92" i="4"/>
  <c r="D79" i="4"/>
  <c r="D85" i="4"/>
  <c r="D80" i="4"/>
  <c r="D65" i="4"/>
  <c r="D66" i="4"/>
  <c r="D69" i="4"/>
  <c r="D71" i="4"/>
  <c r="D74" i="4"/>
  <c r="D91" i="4"/>
  <c r="D76" i="4"/>
  <c r="D77" i="4"/>
  <c r="D84" i="4"/>
  <c r="D78" i="4"/>
  <c r="D86" i="4"/>
  <c r="D88" i="4"/>
  <c r="D70" i="4"/>
  <c r="D73" i="4"/>
  <c r="D75" i="4"/>
  <c r="D89" i="4"/>
  <c r="D72" i="4"/>
  <c r="D90" i="4"/>
  <c r="D67" i="4"/>
  <c r="D64" i="4"/>
  <c r="D81" i="4"/>
  <c r="D82" i="4"/>
  <c r="D83" i="4"/>
  <c r="D27" i="4"/>
  <c r="D19" i="4"/>
  <c r="D8" i="4"/>
  <c r="D9" i="4"/>
  <c r="D10" i="4"/>
  <c r="D18" i="4"/>
  <c r="D22" i="4"/>
  <c r="D16" i="4"/>
  <c r="D26" i="4"/>
  <c r="D15" i="4"/>
  <c r="D24" i="4"/>
  <c r="D25" i="4"/>
  <c r="D14" i="4"/>
  <c r="D11" i="4"/>
  <c r="D23" i="4"/>
  <c r="D21" i="4"/>
  <c r="D20" i="4"/>
  <c r="D13" i="4"/>
  <c r="D17" i="4"/>
  <c r="D12" i="4"/>
  <c r="BF3" i="1"/>
  <c r="BF4" i="1"/>
  <c r="BF5" i="1"/>
  <c r="BF6" i="1"/>
  <c r="BF7" i="1"/>
  <c r="BF8" i="1"/>
  <c r="BF9" i="1"/>
  <c r="BF10" i="1"/>
  <c r="BG10" i="1" s="1"/>
  <c r="BH10" i="1" s="1"/>
  <c r="BF11" i="1"/>
  <c r="BG11" i="1" s="1"/>
  <c r="BH11" i="1" s="1"/>
  <c r="BF12" i="1"/>
  <c r="BG12" i="1" s="1"/>
  <c r="BH12" i="1" s="1"/>
  <c r="BF13" i="1"/>
  <c r="BG13" i="1" s="1"/>
  <c r="BH13" i="1" s="1"/>
  <c r="BF14" i="1"/>
  <c r="BF15" i="1"/>
  <c r="BF16" i="1"/>
  <c r="BG16" i="1" s="1"/>
  <c r="BH16" i="1" s="1"/>
  <c r="BF17" i="1"/>
  <c r="BG17" i="1" s="1"/>
  <c r="BH17" i="1" s="1"/>
  <c r="BF18" i="1"/>
  <c r="BF19" i="1"/>
  <c r="BF20" i="1"/>
  <c r="BG20" i="1" s="1"/>
  <c r="BH20" i="1" s="1"/>
  <c r="BF2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3" i="1"/>
  <c r="BG4" i="1"/>
  <c r="BH4" i="1" s="1"/>
  <c r="BG5" i="1"/>
  <c r="BH5" i="1" s="1"/>
  <c r="BG6" i="1"/>
  <c r="BH6" i="1" s="1"/>
  <c r="BG8" i="1"/>
  <c r="BH8" i="1" s="1"/>
  <c r="BG9" i="1"/>
  <c r="BH9" i="1" s="1"/>
  <c r="D101" i="4" l="1"/>
  <c r="E101" i="4" s="1"/>
  <c r="D110" i="4"/>
  <c r="E110" i="4" s="1"/>
  <c r="D105" i="4"/>
  <c r="E105" i="4" s="1"/>
  <c r="D111" i="4"/>
  <c r="E111" i="4" s="1"/>
  <c r="D115" i="4"/>
  <c r="E115" i="4" s="1"/>
  <c r="D117" i="4"/>
  <c r="E117" i="4" s="1"/>
  <c r="D123" i="4"/>
  <c r="E123" i="4" s="1"/>
  <c r="D108" i="4"/>
  <c r="E108" i="4" s="1"/>
  <c r="D124" i="4"/>
  <c r="E124" i="4" s="1"/>
  <c r="D116" i="4"/>
  <c r="E116" i="4" s="1"/>
  <c r="E39" i="4"/>
  <c r="F39" i="4" s="1"/>
  <c r="D114" i="4"/>
  <c r="E114" i="4" s="1"/>
  <c r="D103" i="4"/>
  <c r="E103" i="4" s="1"/>
  <c r="D119" i="4"/>
  <c r="E119" i="4" s="1"/>
  <c r="D99" i="4"/>
  <c r="E99" i="4" s="1"/>
  <c r="E41" i="4"/>
  <c r="F41" i="4" s="1"/>
  <c r="D121" i="4"/>
  <c r="E121" i="4" s="1"/>
  <c r="D109" i="4"/>
  <c r="E109" i="4" s="1"/>
  <c r="D107" i="4"/>
  <c r="E107" i="4" s="1"/>
  <c r="D113" i="4"/>
  <c r="E113" i="4" s="1"/>
  <c r="D104" i="4"/>
  <c r="E104" i="4" s="1"/>
  <c r="D122" i="4"/>
  <c r="E122" i="4" s="1"/>
  <c r="D100" i="4"/>
  <c r="E100" i="4" s="1"/>
  <c r="D106" i="4"/>
  <c r="E106" i="4" s="1"/>
  <c r="D120" i="4"/>
  <c r="E120" i="4" s="1"/>
  <c r="D102" i="4"/>
  <c r="D112" i="4"/>
  <c r="E112" i="4" s="1"/>
  <c r="D118" i="4"/>
  <c r="E118" i="4" s="1"/>
  <c r="E46" i="4"/>
  <c r="F46" i="4" s="1"/>
  <c r="E40" i="4"/>
  <c r="F40" i="4" s="1"/>
  <c r="BG7" i="1"/>
  <c r="BH7" i="1" s="1"/>
  <c r="BG18" i="1"/>
  <c r="BH18" i="1" s="1"/>
  <c r="BG15" i="1"/>
  <c r="BH15" i="1" s="1"/>
  <c r="BG14" i="1"/>
  <c r="BH14" i="1" s="1"/>
  <c r="D38" i="4"/>
  <c r="D44" i="4"/>
  <c r="D39" i="4"/>
  <c r="E52" i="4"/>
  <c r="F52" i="4" s="1"/>
  <c r="E43" i="4"/>
  <c r="F43" i="4" s="1"/>
  <c r="E42" i="4"/>
  <c r="F42" i="4" s="1"/>
  <c r="E54" i="4"/>
  <c r="F54" i="4" s="1"/>
  <c r="E51" i="4"/>
  <c r="F51" i="4" s="1"/>
  <c r="E45" i="4"/>
  <c r="F45" i="4" s="1"/>
  <c r="E56" i="4"/>
  <c r="F56" i="4" s="1"/>
  <c r="E48" i="4"/>
  <c r="F48" i="4" s="1"/>
  <c r="E44" i="4"/>
  <c r="F44" i="4" s="1"/>
  <c r="E50" i="4"/>
  <c r="F50" i="4" s="1"/>
  <c r="E55" i="4"/>
  <c r="F55" i="4" s="1"/>
  <c r="D52" i="4"/>
  <c r="D55" i="4"/>
  <c r="D53" i="4"/>
  <c r="D54" i="4"/>
  <c r="D41" i="4"/>
  <c r="D40" i="4"/>
  <c r="D43" i="4"/>
  <c r="D57" i="4"/>
  <c r="D46" i="4"/>
  <c r="D45" i="4"/>
  <c r="D50" i="4"/>
  <c r="D51" i="4"/>
  <c r="E57" i="4"/>
  <c r="F57" i="4" s="1"/>
  <c r="D47" i="4"/>
  <c r="D42" i="4"/>
  <c r="D49" i="4"/>
  <c r="D56" i="4"/>
  <c r="D48" i="4"/>
  <c r="E47" i="4"/>
  <c r="F47" i="4" s="1"/>
  <c r="E53" i="4"/>
  <c r="F53" i="4" s="1"/>
  <c r="E49" i="4"/>
  <c r="F49" i="4" s="1"/>
  <c r="BG19" i="1"/>
  <c r="BH19" i="1" s="1"/>
  <c r="BG3" i="1"/>
  <c r="BH3" i="1" s="1"/>
  <c r="G38" i="4" l="1"/>
  <c r="H38" i="4" s="1"/>
  <c r="F100" i="4"/>
  <c r="G100" i="4" s="1"/>
  <c r="F117" i="4"/>
  <c r="G117" i="4" s="1"/>
  <c r="K29" i="3" s="1"/>
  <c r="M29" i="3" s="1"/>
  <c r="F115" i="4"/>
  <c r="G115" i="4" s="1"/>
  <c r="F112" i="4"/>
  <c r="G112" i="4" s="1"/>
  <c r="F114" i="4"/>
  <c r="G114" i="4" s="1"/>
  <c r="F107" i="4"/>
  <c r="G107" i="4" s="1"/>
  <c r="K31" i="3" s="1"/>
  <c r="M31" i="3" s="1"/>
  <c r="F123" i="4"/>
  <c r="G123" i="4" s="1"/>
  <c r="F118" i="4"/>
  <c r="G118" i="4" s="1"/>
  <c r="G99" i="4"/>
  <c r="F103" i="4"/>
  <c r="G103" i="4" s="1"/>
  <c r="F109" i="4"/>
  <c r="G109" i="4" s="1"/>
  <c r="F104" i="4"/>
  <c r="G104" i="4" s="1"/>
  <c r="F113" i="4"/>
  <c r="G113" i="4" s="1"/>
  <c r="F108" i="4"/>
  <c r="G108" i="4" s="1"/>
  <c r="F121" i="4"/>
  <c r="G121" i="4" s="1"/>
  <c r="F101" i="4"/>
  <c r="G101" i="4" s="1"/>
  <c r="F102" i="4"/>
  <c r="F124" i="4"/>
  <c r="G124" i="4" s="1"/>
  <c r="F120" i="4"/>
  <c r="G120" i="4" s="1"/>
  <c r="F105" i="4"/>
  <c r="G105" i="4" s="1"/>
  <c r="F119" i="4"/>
  <c r="G119" i="4" s="1"/>
  <c r="F116" i="4"/>
  <c r="G116" i="4" s="1"/>
  <c r="F122" i="4"/>
  <c r="G122" i="4" s="1"/>
  <c r="F110" i="4"/>
  <c r="G110" i="4" s="1"/>
  <c r="F106" i="4"/>
  <c r="G106" i="4" s="1"/>
  <c r="F111" i="4"/>
  <c r="G111" i="4" s="1"/>
  <c r="G42" i="4"/>
  <c r="H42" i="4" s="1"/>
  <c r="G57" i="4"/>
  <c r="H57" i="4" s="1"/>
  <c r="G40" i="4"/>
  <c r="H40" i="4" s="1"/>
  <c r="T40" i="4" s="1"/>
  <c r="U40" i="4" s="1"/>
  <c r="G49" i="4"/>
  <c r="H49" i="4" s="1"/>
  <c r="G47" i="4"/>
  <c r="H47" i="4" s="1"/>
  <c r="G54" i="4"/>
  <c r="H54" i="4" s="1"/>
  <c r="G46" i="4"/>
  <c r="H46" i="4" s="1"/>
  <c r="T46" i="4" s="1"/>
  <c r="U46" i="4" s="1"/>
  <c r="G53" i="4"/>
  <c r="H53" i="4" s="1"/>
  <c r="T53" i="4" s="1"/>
  <c r="U53" i="4" s="1"/>
  <c r="G52" i="4"/>
  <c r="H52" i="4" s="1"/>
  <c r="G55" i="4"/>
  <c r="H55" i="4" s="1"/>
  <c r="T55" i="4" s="1"/>
  <c r="U55" i="4" s="1"/>
  <c r="G51" i="4"/>
  <c r="H51" i="4" s="1"/>
  <c r="T51" i="4" s="1"/>
  <c r="U51" i="4" s="1"/>
  <c r="G39" i="4"/>
  <c r="H39" i="4" s="1"/>
  <c r="T39" i="4" s="1"/>
  <c r="U39" i="4" s="1"/>
  <c r="G56" i="4"/>
  <c r="H56" i="4" s="1"/>
  <c r="T56" i="4" s="1"/>
  <c r="U56" i="4" s="1"/>
  <c r="G43" i="4"/>
  <c r="H43" i="4" s="1"/>
  <c r="T43" i="4" s="1"/>
  <c r="U43" i="4" s="1"/>
  <c r="G45" i="4"/>
  <c r="H45" i="4" s="1"/>
  <c r="T45" i="4" s="1"/>
  <c r="U45" i="4" s="1"/>
  <c r="G50" i="4"/>
  <c r="H50" i="4" s="1"/>
  <c r="T50" i="4" s="1"/>
  <c r="U50" i="4" s="1"/>
  <c r="G44" i="4"/>
  <c r="H44" i="4" s="1"/>
  <c r="T44" i="4" s="1"/>
  <c r="U44" i="4" s="1"/>
  <c r="G41" i="4"/>
  <c r="H41" i="4" s="1"/>
  <c r="T41" i="4" s="1"/>
  <c r="U41" i="4" s="1"/>
  <c r="G48" i="4"/>
  <c r="H48" i="4" s="1"/>
  <c r="T48" i="4" s="1"/>
  <c r="U48" i="4" s="1"/>
  <c r="T42" i="4" l="1"/>
  <c r="U42" i="4" s="1"/>
  <c r="K27" i="3"/>
  <c r="K36" i="3"/>
  <c r="M36" i="3" s="1"/>
  <c r="K33" i="3"/>
  <c r="M33" i="3" s="1"/>
  <c r="G126" i="4"/>
  <c r="T38" i="4"/>
  <c r="U38" i="4" s="1"/>
  <c r="T57" i="4"/>
  <c r="U57" i="4" s="1"/>
  <c r="K59" i="3"/>
  <c r="M59" i="3" s="1"/>
  <c r="T54" i="4"/>
  <c r="U54" i="4" s="1"/>
  <c r="K56" i="3"/>
  <c r="M56" i="3" s="1"/>
  <c r="T52" i="4"/>
  <c r="U52" i="4" s="1"/>
  <c r="K50" i="3"/>
  <c r="M50" i="3" s="1"/>
  <c r="T49" i="4"/>
  <c r="U49" i="4" s="1"/>
  <c r="K52" i="3"/>
  <c r="M52" i="3" s="1"/>
  <c r="T47" i="4"/>
  <c r="U47" i="4" s="1"/>
  <c r="G58" i="4"/>
  <c r="K54" i="3"/>
  <c r="M54" i="3" s="1"/>
  <c r="K40" i="3" l="1"/>
  <c r="M40" i="3" s="1"/>
  <c r="M27" i="3"/>
  <c r="K62" i="3"/>
  <c r="M62" i="3" s="1"/>
  <c r="H58" i="4"/>
  <c r="V38" i="4" a="1"/>
  <c r="V38" i="4" s="1"/>
  <c r="W38" i="4" s="1" a="1"/>
  <c r="W38" i="4" s="1"/>
  <c r="K41" i="3" l="1"/>
  <c r="M41" i="3" s="1"/>
  <c r="K63" i="3"/>
  <c r="M6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<sst xmlns="http://schemas.openxmlformats.org/spreadsheetml/2006/main" count="2114" uniqueCount="450">
  <si>
    <t>FRN | 2023 Q3</t>
  </si>
  <si>
    <t>AN | 2023 Q3</t>
  </si>
  <si>
    <t>STG | 2023 Q3</t>
  </si>
  <si>
    <t>FLD | 2023 Q3</t>
  </si>
  <si>
    <t>ENT | 2023 Q3</t>
  </si>
  <si>
    <t>FRN | 2023 Q4</t>
  </si>
  <si>
    <t>AN | 2023 Q4</t>
  </si>
  <si>
    <t>STG | 2023 Q4</t>
  </si>
  <si>
    <t>FLD | 2023 Q4</t>
  </si>
  <si>
    <t>ENT | 2023 Q4</t>
  </si>
  <si>
    <t>FRN | 2024 Q1</t>
  </si>
  <si>
    <t>AN | 2024 Q1</t>
  </si>
  <si>
    <t>STG | 2024 Q1</t>
  </si>
  <si>
    <t>FLD | 2024 Q1</t>
  </si>
  <si>
    <t>ENT | 2024 Q1</t>
  </si>
  <si>
    <t>FRN | 2024 Q2</t>
  </si>
  <si>
    <t>AN | 2024 Q2</t>
  </si>
  <si>
    <t>STG | 2024 Q2</t>
  </si>
  <si>
    <t>FLD | 2024 Q2</t>
  </si>
  <si>
    <t>ENT | 2024 Q2</t>
  </si>
  <si>
    <t>FRN | 2024 Q3</t>
  </si>
  <si>
    <t>AN | 2024 Q3</t>
  </si>
  <si>
    <t>STG | 2024 Q3</t>
  </si>
  <si>
    <t>FLD | 2024 Q3</t>
  </si>
  <si>
    <t>ENT | 2024 Q3</t>
  </si>
  <si>
    <t>FRN | 2024 Q4</t>
  </si>
  <si>
    <t>AN | 2024 Q4</t>
  </si>
  <si>
    <t>STG | 2024 Q4</t>
  </si>
  <si>
    <t>FLD | 2024 Q4</t>
  </si>
  <si>
    <t>ENT | 2024 Q4</t>
  </si>
  <si>
    <t>FRN | 2025 Q1</t>
  </si>
  <si>
    <t>AN | 2025 Q1</t>
  </si>
  <si>
    <t>STG | 2025 Q1</t>
  </si>
  <si>
    <t>FLD | 2025 Q1</t>
  </si>
  <si>
    <t>ENT | 2025 Q1</t>
  </si>
  <si>
    <t>FRN | 2025 Q2</t>
  </si>
  <si>
    <t>AN | 2025 Q2</t>
  </si>
  <si>
    <t>STG | 2025 Q2</t>
  </si>
  <si>
    <t>FLD | 2025 Q2</t>
  </si>
  <si>
    <t>ENT | 2025 Q2</t>
  </si>
  <si>
    <t>FRN | 2025 Q3</t>
  </si>
  <si>
    <t>AN | 2025 Q3</t>
  </si>
  <si>
    <t>STG | 2025 Q3</t>
  </si>
  <si>
    <t>FLD | 2025 Q3</t>
  </si>
  <si>
    <t>ENT | 2025 Q3</t>
  </si>
  <si>
    <t>FRN | 2025 Q4</t>
  </si>
  <si>
    <t>AN | 2025 Q4</t>
  </si>
  <si>
    <t>STG | 2025 Q4</t>
  </si>
  <si>
    <t>FLD | 2025 Q4</t>
  </si>
  <si>
    <t>ENT | 2025 Q4</t>
  </si>
  <si>
    <t>FRN | 2026 Q1</t>
  </si>
  <si>
    <t>AN | 2026 Q1</t>
  </si>
  <si>
    <t>STG | 2026 Q1</t>
  </si>
  <si>
    <t>FLD | 2026 Q1</t>
  </si>
  <si>
    <t>ENT | 2026 Q1</t>
  </si>
  <si>
    <t>00_initial</t>
  </si>
  <si>
    <t>01_prev_aca_chargeoff</t>
  </si>
  <si>
    <t>02_small_amt_financed</t>
  </si>
  <si>
    <t>03_zero_cash_down</t>
  </si>
  <si>
    <t>04_high_mileage</t>
  </si>
  <si>
    <t>05_high_pti</t>
  </si>
  <si>
    <t>06_car_make</t>
  </si>
  <si>
    <t>07_theft_risk</t>
  </si>
  <si>
    <t>08_mcy_low_mileage</t>
  </si>
  <si>
    <t>09_weekend_weekday</t>
  </si>
  <si>
    <t>10_student_loans</t>
  </si>
  <si>
    <t>11_low_pti</t>
  </si>
  <si>
    <t>12_chime</t>
  </si>
  <si>
    <t>13_employment_type</t>
  </si>
  <si>
    <t>14_auth_tradelines</t>
  </si>
  <si>
    <t>15_fraud</t>
  </si>
  <si>
    <t>16_driver_flag</t>
  </si>
  <si>
    <t>17_pricing_scalar</t>
  </si>
  <si>
    <t>18_final</t>
  </si>
  <si>
    <t>--- FINAL_MULT (mean)</t>
  </si>
  <si>
    <t>--- WTD_MULT_RAGU</t>
  </si>
  <si>
    <t>--- GROSS_LOSS_IMPACT</t>
  </si>
  <si>
    <t>--- N_RECORDS</t>
  </si>
  <si>
    <t>prev_co_flag</t>
  </si>
  <si>
    <t>small_amt_financed_flag</t>
  </si>
  <si>
    <t>pricing_change_flag</t>
  </si>
  <si>
    <t>zero_cash_down_flag</t>
  </si>
  <si>
    <t>high_mileage_vehicle_flag</t>
  </si>
  <si>
    <t>high_pti_flag</t>
  </si>
  <si>
    <t>car_make_penalty_flag</t>
  </si>
  <si>
    <t>car_make_benefit_flag</t>
  </si>
  <si>
    <t>theft_risk_flag</t>
  </si>
  <si>
    <t>mcy_low_mileage_flag</t>
  </si>
  <si>
    <t>weekend_flag</t>
  </si>
  <si>
    <t>weekday_flag</t>
  </si>
  <si>
    <t>student_loan_flag</t>
  </si>
  <si>
    <t>student_loans_cutoff_date</t>
  </si>
  <si>
    <t>low_pti_flag</t>
  </si>
  <si>
    <t>nonkmx_chime_flag</t>
  </si>
  <si>
    <t>seasonal_employment_pct</t>
  </si>
  <si>
    <t>waiter_employment_pct</t>
  </si>
  <si>
    <t>other_employment_pct</t>
  </si>
  <si>
    <t>nonkmx_auth_tradelines_flag</t>
  </si>
  <si>
    <t>fraud_adjustment_mean</t>
  </si>
  <si>
    <t>driver_flag</t>
  </si>
  <si>
    <t>pricing_scalar_mean</t>
  </si>
  <si>
    <t xml:space="preserve"> </t>
  </si>
  <si>
    <t>Previous ACA Chargeoff</t>
  </si>
  <si>
    <t>Small Amount Financed</t>
  </si>
  <si>
    <t>Zero Cash Down</t>
  </si>
  <si>
    <t>High Mileage</t>
  </si>
  <si>
    <t>High PTI</t>
  </si>
  <si>
    <t>Toyota/Honda</t>
  </si>
  <si>
    <t>Theft Risk</t>
  </si>
  <si>
    <t>Weekday/Weekend</t>
  </si>
  <si>
    <t>Student Loans</t>
  </si>
  <si>
    <t>Low PTI</t>
  </si>
  <si>
    <t>Chime</t>
  </si>
  <si>
    <t>Waiter/Seasonal</t>
  </si>
  <si>
    <t>Authorized Tradelines</t>
  </si>
  <si>
    <t>Fraud</t>
  </si>
  <si>
    <t>Driver</t>
  </si>
  <si>
    <t>Dealer Level Loss</t>
  </si>
  <si>
    <t>Clip</t>
  </si>
  <si>
    <t>Weighted Multiplier</t>
  </si>
  <si>
    <t>RAGU Impact</t>
  </si>
  <si>
    <t>Final Multplier</t>
  </si>
  <si>
    <t>ENT</t>
  </si>
  <si>
    <t>LOB</t>
  </si>
  <si>
    <t>Start</t>
  </si>
  <si>
    <t>End</t>
  </si>
  <si>
    <t>2024 Q4</t>
  </si>
  <si>
    <t>2026 Q1</t>
  </si>
  <si>
    <t>2025 Q1</t>
  </si>
  <si>
    <t>2025 Q2</t>
  </si>
  <si>
    <t>2025 Q3</t>
  </si>
  <si>
    <t>2025 Q4</t>
  </si>
  <si>
    <t>Column1</t>
  </si>
  <si>
    <t>adjustment size</t>
  </si>
  <si>
    <t>ln</t>
  </si>
  <si>
    <t>share</t>
  </si>
  <si>
    <t>Ragu impact per adjustment</t>
  </si>
  <si>
    <t>Delta</t>
  </si>
  <si>
    <t>valid_vintage</t>
  </si>
  <si>
    <t>lob</t>
  </si>
  <si>
    <t>a_dealers</t>
  </si>
  <si>
    <t>b_dealers</t>
  </si>
  <si>
    <t>c_dealers</t>
  </si>
  <si>
    <t>d_dealers</t>
  </si>
  <si>
    <t>e_dealers</t>
  </si>
  <si>
    <t>f_dealers</t>
  </si>
  <si>
    <t>good_dealer</t>
  </si>
  <si>
    <t>bad_dealer</t>
  </si>
  <si>
    <t>2019 Q2</t>
  </si>
  <si>
    <t>AN</t>
  </si>
  <si>
    <t>2018 Q1</t>
  </si>
  <si>
    <t>FRN</t>
  </si>
  <si>
    <t>2023 Q3</t>
  </si>
  <si>
    <t>STG</t>
  </si>
  <si>
    <t>2018 Q4</t>
  </si>
  <si>
    <t>FLD</t>
  </si>
  <si>
    <t>2016 Q4</t>
  </si>
  <si>
    <t>2018 Q2</t>
  </si>
  <si>
    <t>2016 Q2</t>
  </si>
  <si>
    <t>2019 Q3</t>
  </si>
  <si>
    <t>2024 Q3</t>
  </si>
  <si>
    <t>2020 Q2</t>
  </si>
  <si>
    <t>2022 Q3</t>
  </si>
  <si>
    <t>2024 Q2</t>
  </si>
  <si>
    <t>2022 Q2</t>
  </si>
  <si>
    <t>2023 Q2</t>
  </si>
  <si>
    <t>2023 Q4</t>
  </si>
  <si>
    <t>2024 Q1</t>
  </si>
  <si>
    <t>2021 Q4</t>
  </si>
  <si>
    <t>2019 Q4</t>
  </si>
  <si>
    <t>2018 Q3</t>
  </si>
  <si>
    <t>2020 Q1</t>
  </si>
  <si>
    <t>2023 Q1</t>
  </si>
  <si>
    <t>2017 Q4</t>
  </si>
  <si>
    <t>2019 Q1</t>
  </si>
  <si>
    <t>2021 Q3</t>
  </si>
  <si>
    <t>2022 Q4</t>
  </si>
  <si>
    <t>2020 Q4</t>
  </si>
  <si>
    <t>2022 Q1</t>
  </si>
  <si>
    <t>2017 Q2</t>
  </si>
  <si>
    <t>2020 Q3</t>
  </si>
  <si>
    <t>2021 Q2</t>
  </si>
  <si>
    <t>2016 Q3</t>
  </si>
  <si>
    <t>2016 Q1</t>
  </si>
  <si>
    <t>2017 Q1</t>
  </si>
  <si>
    <t>2021 Q1</t>
  </si>
  <si>
    <t>2017 Q3</t>
  </si>
  <si>
    <t>Good Dealer %</t>
  </si>
  <si>
    <t>Bad Dealer %</t>
  </si>
  <si>
    <t>lookup</t>
  </si>
  <si>
    <t>DQ MOB 3</t>
  </si>
  <si>
    <t>DQ MOB 6</t>
  </si>
  <si>
    <t>CO Rate MOB 6</t>
  </si>
  <si>
    <t>Model Score</t>
  </si>
  <si>
    <t>CO Rate MOB 12</t>
  </si>
  <si>
    <t>time</t>
  </si>
  <si>
    <t>neg_fraud</t>
  </si>
  <si>
    <t>pos_fraud</t>
  </si>
  <si>
    <t>other_fraud</t>
  </si>
  <si>
    <t>KMX</t>
  </si>
  <si>
    <t>ORL</t>
  </si>
  <si>
    <t>Positive Fraud</t>
  </si>
  <si>
    <t>Negative Fraud</t>
  </si>
  <si>
    <t>vintage</t>
  </si>
  <si>
    <t>co_6</t>
  </si>
  <si>
    <t>co_12</t>
  </si>
  <si>
    <t>MCY</t>
  </si>
  <si>
    <t>dq_3</t>
  </si>
  <si>
    <t>dq_6</t>
  </si>
  <si>
    <t>Gross Loss</t>
  </si>
  <si>
    <t>Recovery + LTV</t>
  </si>
  <si>
    <t>RAGU Score</t>
  </si>
  <si>
    <t>Contract Model Score¹</t>
  </si>
  <si>
    <t>Shift to FRN 3.1 Score²</t>
  </si>
  <si>
    <t>Gross Loss Adjustments (Dealer Level, vehicle age, etc.)²</t>
  </si>
  <si>
    <t>Recovery Adjustments excluding LTV (Mileage, LOB, etc.)³</t>
  </si>
  <si>
    <t>BBLTV Adjustments⁴</t>
  </si>
  <si>
    <t>ms</t>
  </si>
  <si>
    <t>gl</t>
  </si>
  <si>
    <t>rec</t>
  </si>
  <si>
    <t>ltv</t>
  </si>
  <si>
    <t>recltv</t>
  </si>
  <si>
    <t>population %</t>
  </si>
  <si>
    <t>Other Adjustments</t>
  </si>
  <si>
    <t>Final Gross Loss</t>
  </si>
  <si>
    <t>mult before adjustment</t>
  </si>
  <si>
    <t xml:space="preserve"> population %</t>
  </si>
  <si>
    <t xml:space="preserve"> Low Fraud %</t>
  </si>
  <si>
    <t xml:space="preserve"> High Fraud %</t>
  </si>
  <si>
    <t xml:space="preserve"> Good Dealer %</t>
  </si>
  <si>
    <t xml:space="preserve"> Bad Dealer %</t>
  </si>
  <si>
    <t>age</t>
  </si>
  <si>
    <t>mileage</t>
  </si>
  <si>
    <t>truck</t>
  </si>
  <si>
    <t>POS</t>
  </si>
  <si>
    <t>Contract Model Score</t>
  </si>
  <si>
    <t>Gross Loss Adjustments (Dealer level, high PTI, etc.)</t>
  </si>
  <si>
    <t>Recovery Adjustments excluding LTV (Mileage, vehicle type, etc.)</t>
  </si>
  <si>
    <t>LTV Adjustments</t>
  </si>
  <si>
    <t>LTV</t>
  </si>
  <si>
    <t>measures</t>
  </si>
  <si>
    <t>AN 2023 Q3</t>
  </si>
  <si>
    <t>AN 2023 Q4</t>
  </si>
  <si>
    <t>AN 2024 Q1</t>
  </si>
  <si>
    <t>AN 2024 Q2</t>
  </si>
  <si>
    <t>AN 2024 Q3</t>
  </si>
  <si>
    <t>AN 2024 Q4</t>
  </si>
  <si>
    <t>AN 2025 Q1</t>
  </si>
  <si>
    <t>AN 2025 Q2</t>
  </si>
  <si>
    <t>AN 2025 Q3</t>
  </si>
  <si>
    <t>AN 2025 Q4</t>
  </si>
  <si>
    <t>AN 2026 Q1</t>
  </si>
  <si>
    <t>FRN 2023 Q3</t>
  </si>
  <si>
    <t>FRN 2023 Q4</t>
  </si>
  <si>
    <t>FRN 2024 Q1</t>
  </si>
  <si>
    <t>FRN 2024 Q2</t>
  </si>
  <si>
    <t>FRN 2024 Q3</t>
  </si>
  <si>
    <t>FRN 2024 Q4</t>
  </si>
  <si>
    <t>FRN 2025 Q1</t>
  </si>
  <si>
    <t>FRN 2025 Q2</t>
  </si>
  <si>
    <t>FRN 2025 Q3</t>
  </si>
  <si>
    <t>FRN 2025 Q4</t>
  </si>
  <si>
    <t>FRN 2026 Q1</t>
  </si>
  <si>
    <t>STG 2023 Q3</t>
  </si>
  <si>
    <t>STG 2023 Q4</t>
  </si>
  <si>
    <t>STG 2024 Q1</t>
  </si>
  <si>
    <t>STG 2024 Q2</t>
  </si>
  <si>
    <t>STG 2024 Q3</t>
  </si>
  <si>
    <t>STG 2024 Q4</t>
  </si>
  <si>
    <t>STG 2025 Q1</t>
  </si>
  <si>
    <t>STG 2025 Q2</t>
  </si>
  <si>
    <t>STG 2025 Q3</t>
  </si>
  <si>
    <t>STG 2025 Q4</t>
  </si>
  <si>
    <t>STG 2026 Q1</t>
  </si>
  <si>
    <t>FLD 2023 Q3</t>
  </si>
  <si>
    <t>FLD 2023 Q4</t>
  </si>
  <si>
    <t>FLD 2024 Q1</t>
  </si>
  <si>
    <t>FLD 2024 Q2</t>
  </si>
  <si>
    <t>FLD 2024 Q3</t>
  </si>
  <si>
    <t>FLD 2024 Q4</t>
  </si>
  <si>
    <t>FLD 2025 Q1</t>
  </si>
  <si>
    <t>FLD 2025 Q2</t>
  </si>
  <si>
    <t>FLD 2025 Q3</t>
  </si>
  <si>
    <t>FLD 2025 Q4</t>
  </si>
  <si>
    <t>FLD 2026 Q1</t>
  </si>
  <si>
    <t>ENT 2023 Q3</t>
  </si>
  <si>
    <t>ENT 2023 Q4</t>
  </si>
  <si>
    <t>ENT 2024 Q1</t>
  </si>
  <si>
    <t>ENT 2024 Q2</t>
  </si>
  <si>
    <t>ENT 2024 Q3</t>
  </si>
  <si>
    <t>ENT 2024 Q4</t>
  </si>
  <si>
    <t>ENT 2025 Q1</t>
  </si>
  <si>
    <t>ENT 2025 Q2</t>
  </si>
  <si>
    <t>ENT 2025 Q3</t>
  </si>
  <si>
    <t>ENT 2025 Q4</t>
  </si>
  <si>
    <t>ENT 2026 Q1</t>
  </si>
  <si>
    <t>Contract Model Score²</t>
  </si>
  <si>
    <t>Shift to Mountain3 Score³</t>
  </si>
  <si>
    <t>Gross Loss Adjustments (vehicle age, weekday/weekend, etc.³)</t>
  </si>
  <si>
    <t>BBLTV Adjustment to Recovery⁴ (Accounts for mileage/age and wholesale/retail gap⁵)</t>
  </si>
  <si>
    <t>multipliers</t>
  </si>
  <si>
    <t>Age</t>
  </si>
  <si>
    <t>Mileage</t>
  </si>
  <si>
    <t>Truck %</t>
  </si>
  <si>
    <t>Driver %</t>
  </si>
  <si>
    <t>toyho</t>
  </si>
  <si>
    <t>driver</t>
  </si>
  <si>
    <t>KMX | 2023 Q3</t>
  </si>
  <si>
    <t>KMX | 2023 Q4</t>
  </si>
  <si>
    <t>KMX | 2024 Q1</t>
  </si>
  <si>
    <t>KMX | 2024 Q2</t>
  </si>
  <si>
    <t>KMX | 2024 Q3</t>
  </si>
  <si>
    <t>KMX | 2024 Q4</t>
  </si>
  <si>
    <t>KMX | 2025 Q1</t>
  </si>
  <si>
    <t>KMX | 2025 Q2</t>
  </si>
  <si>
    <t>KMX | 2025 Q3</t>
  </si>
  <si>
    <t>KMX | 2025 Q4</t>
  </si>
  <si>
    <t>KMX | 2026 Q1</t>
  </si>
  <si>
    <t>02_low_fico_3.0</t>
  </si>
  <si>
    <t>03_low_vantage_3.0</t>
  </si>
  <si>
    <t>04_high_pti_3.0</t>
  </si>
  <si>
    <t>07_loss_scale_div_3.0</t>
  </si>
  <si>
    <t>08_secured_credit_3.0</t>
  </si>
  <si>
    <t>09_auth_tradelines_3.0</t>
  </si>
  <si>
    <t>11_soft_pull_3.0</t>
  </si>
  <si>
    <t>12_fraud_all</t>
  </si>
  <si>
    <t>13_clip_3.0</t>
  </si>
  <si>
    <t>14_vehicle_age_3.0</t>
  </si>
  <si>
    <t>15_npc_all</t>
  </si>
  <si>
    <t>16_student_loans_all</t>
  </si>
  <si>
    <t>17_high_sales_price_4.1</t>
  </si>
  <si>
    <t>18_driver_flag_all</t>
  </si>
  <si>
    <t>19_louisiana_all</t>
  </si>
  <si>
    <t>20_georgia_all</t>
  </si>
  <si>
    <t>21_txca_all</t>
  </si>
  <si>
    <t>22_state_counter_all</t>
  </si>
  <si>
    <t>23_secured_credit_3.1+</t>
  </si>
  <si>
    <t>24_job_time_3.1+</t>
  </si>
  <si>
    <t>25_existing_dq_3.1+</t>
  </si>
  <si>
    <t>26_employment_3.1+</t>
  </si>
  <si>
    <t>27_auth_tradelines_3.1+</t>
  </si>
  <si>
    <t>28_soft_pull_3.1+</t>
  </si>
  <si>
    <t>30_final_3.1+</t>
  </si>
  <si>
    <t>job_time_flag</t>
  </si>
  <si>
    <t>low_fico_flag</t>
  </si>
  <si>
    <t>high_model_score_flag</t>
  </si>
  <si>
    <t>low_vantage_flag</t>
  </si>
  <si>
    <t>normal_pti_flag</t>
  </si>
  <si>
    <t>high_pti_tier_1_flag</t>
  </si>
  <si>
    <t>high_pti_tier_2_flag</t>
  </si>
  <si>
    <t>high_pti_tier_3_flag</t>
  </si>
  <si>
    <t>existing_dq_flag</t>
  </si>
  <si>
    <t>seasonal_employment_flag</t>
  </si>
  <si>
    <t>secured_credit_flag</t>
  </si>
  <si>
    <t>kmx_auth_tradelines_flag</t>
  </si>
  <si>
    <t>null_fico_w_vantage_flag</t>
  </si>
  <si>
    <t>null_fico_null_vantage_flag</t>
  </si>
  <si>
    <t>soft_pull_flag</t>
  </si>
  <si>
    <t>narrowed_soft_pull_flag</t>
  </si>
  <si>
    <t>continuous_vehicle_age_mean</t>
  </si>
  <si>
    <t>kmx_npc_flag</t>
  </si>
  <si>
    <t>high_pti_npc</t>
  </si>
  <si>
    <t>high_sales_price_flag</t>
  </si>
  <si>
    <t>louisiana_flag</t>
  </si>
  <si>
    <t>georgia_flag</t>
  </si>
  <si>
    <t>txca_flag</t>
  </si>
  <si>
    <t>chime_flag</t>
  </si>
  <si>
    <t>low_bureau_flag</t>
  </si>
  <si>
    <t>cd_perc_flag</t>
  </si>
  <si>
    <t>open_tl_flag</t>
  </si>
  <si>
    <t>mtn_3_1_flag</t>
  </si>
  <si>
    <t>mtn_model_3.0_pct</t>
  </si>
  <si>
    <t>mtn_model_3.1_pct</t>
  </si>
  <si>
    <t>mtn_model_3.2_pct</t>
  </si>
  <si>
    <t>mtn_model_4.1_pct</t>
  </si>
  <si>
    <t>impact</t>
  </si>
  <si>
    <t>KMX multipliers</t>
  </si>
  <si>
    <t>Vehicle Age</t>
  </si>
  <si>
    <t>POS 2023 Q3</t>
  </si>
  <si>
    <t>POS 2023 Q4</t>
  </si>
  <si>
    <t>POS 2024 Q1</t>
  </si>
  <si>
    <t>POS 2024 Q2</t>
  </si>
  <si>
    <t>POS 2024 Q3</t>
  </si>
  <si>
    <t>POS 2024 Q4</t>
  </si>
  <si>
    <t>POS 2025 Q1</t>
  </si>
  <si>
    <t>POS 2025 Q2</t>
  </si>
  <si>
    <t>POS 2025 Q3</t>
  </si>
  <si>
    <t>POS 2025 Q4</t>
  </si>
  <si>
    <t>POS 2026 Q1</t>
  </si>
  <si>
    <t>KMX 2023 Q3</t>
  </si>
  <si>
    <t>KMX 2023 Q4</t>
  </si>
  <si>
    <t>KMX 2024 Q1</t>
  </si>
  <si>
    <t>KMX 2024 Q2</t>
  </si>
  <si>
    <t>KMX 2024 Q3</t>
  </si>
  <si>
    <t>KMX 2024 Q4</t>
  </si>
  <si>
    <t>KMX 2025 Q1</t>
  </si>
  <si>
    <t>KMX 2025 Q2</t>
  </si>
  <si>
    <t>KMX 2025 Q3</t>
  </si>
  <si>
    <t>KMX 2025 Q4</t>
  </si>
  <si>
    <t>KMX 2026 Q1</t>
  </si>
  <si>
    <t>SUM</t>
  </si>
  <si>
    <t>rec+ltv</t>
  </si>
  <si>
    <t>GL</t>
  </si>
  <si>
    <t>Job Time</t>
  </si>
  <si>
    <t>State</t>
  </si>
  <si>
    <t>Louisiana %</t>
  </si>
  <si>
    <t>Georgia %</t>
  </si>
  <si>
    <t>Texas/California %</t>
  </si>
  <si>
    <t>Soft Pull Factors</t>
  </si>
  <si>
    <t>NONKMX LOB</t>
  </si>
  <si>
    <t>1a. POS Ragu Breakdown</t>
  </si>
  <si>
    <t>1b. POS Recovery Mix</t>
  </si>
  <si>
    <t>1c. POS Gross-Loss Mix</t>
  </si>
  <si>
    <t>2a. KMX Ragu Breakdown</t>
  </si>
  <si>
    <t>2c. KMX Gross-Loss Breakdown</t>
  </si>
  <si>
    <t>2b. KMX Recovery Breakdown</t>
  </si>
  <si>
    <t>SECTION 2: KMX Breakdown</t>
  </si>
  <si>
    <t xml:space="preserve"> Age</t>
  </si>
  <si>
    <t xml:space="preserve"> Low Vantage %</t>
  </si>
  <si>
    <t xml:space="preserve"> Low Cash Down %</t>
  </si>
  <si>
    <t>SECTION 3: nonKMX LOB Breakdown</t>
  </si>
  <si>
    <t>nonKMX LOBs:</t>
  </si>
  <si>
    <t>Low Fico</t>
  </si>
  <si>
    <t>Low Vantage</t>
  </si>
  <si>
    <t>High PRI</t>
  </si>
  <si>
    <t>Scalar division</t>
  </si>
  <si>
    <t>Secured Credit</t>
  </si>
  <si>
    <t>Auth Tradelines</t>
  </si>
  <si>
    <t>Soft Pull</t>
  </si>
  <si>
    <t>NPC</t>
  </si>
  <si>
    <t>High sales price</t>
  </si>
  <si>
    <t>LA</t>
  </si>
  <si>
    <t>GA</t>
  </si>
  <si>
    <t>TXCA</t>
  </si>
  <si>
    <t>State Counter</t>
  </si>
  <si>
    <t>Existing DQ</t>
  </si>
  <si>
    <t>Seasonal</t>
  </si>
  <si>
    <t>SECTION 1: POS Breakdown (excl. STE)</t>
  </si>
  <si>
    <t>NONKMX</t>
  </si>
  <si>
    <t>NONKMX 2023 Q3</t>
  </si>
  <si>
    <t>NONKMX 2024 Q2</t>
  </si>
  <si>
    <t>NONKMX 2025 Q1</t>
  </si>
  <si>
    <t>NONKMX 2025 Q3</t>
  </si>
  <si>
    <t>NONKMX 2026 Q1</t>
  </si>
  <si>
    <t xml:space="preserve">good dealer </t>
  </si>
  <si>
    <t>bad dealer</t>
  </si>
  <si>
    <t>nonkmx</t>
  </si>
  <si>
    <t>low fraud</t>
  </si>
  <si>
    <t xml:space="preserve">high fraud </t>
  </si>
  <si>
    <t>kmx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</si>
</sst>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00"/>
    <numFmt numFmtId="165" formatCode="0.0000"/>
    <numFmt numFmtId="166" formatCode="0.000000"/>
    <numFmt numFmtId="167" formatCode="0.0"/>
    <numFmt numFmtId="168" formatCode="0.0%"/>
    <numFmt numFmtId="169" formatCode="\+0.00;[Red]\-0.00"/>
    <numFmt numFmtId="170" formatCode="\+0.00;\-0.00"/>
    <numFmt numFmtId="171" formatCode="\+0.0%;[Red]\-0.0%"/>
    <numFmt numFmtId="172" formatCode="[Red]\+0.0%;\-0.0%"/>
    <numFmt numFmtId="173" formatCode="_(* #,##0.0_);_(* \(#,##0.0\);_(* &quot;-&quot;??_);_(@_)"/>
    <numFmt numFmtId="174" formatCode="[Red]\+0.0;\-0.0"/>
    <numFmt numFmtId="175" formatCode="[Red]\+0;\-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sz val="9"/>
      <color theme="1"/>
      <name val="Calibri"/>
      <family val="2"/>
      <scheme val="minor"/>
    </font>
    <font>
      <sz val="9"/>
      <color rgb="FF00B05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9"/>
      <color rgb="FF000000"/>
      <name val="Arial"/>
      <family val="2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</borders>
  <cellStyleXfs count="3">
    <xf numFmtId="0" fontId="0" fillId="0" borderId="0"/>
    <xf numFmtId="9" fontId="1" fillId="0" borderId="0"/>
    <xf numFmtId="43" fontId="1" fillId="0" borderId="0"/>
  </cellStyleXfs>
  <cellXfs count="230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0" fontId="3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1" xfId="0" applyFont="1" applyBorder="1" applyAlignment="1">
      <alignment horizontal="center" vertical="top"/>
    </xf>
    <xf numFmtId="166" fontId="0" fillId="0" borderId="0" xfId="0" applyNumberFormat="1"/>
    <xf numFmtId="9" fontId="1" fillId="0" borderId="0" xfId="1"/>
    <xf numFmtId="168" fontId="1" fillId="0" borderId="0" xfId="1" applyNumberFormat="1"/>
    <xf numFmtId="10" fontId="1" fillId="0" borderId="0" xfId="1" applyNumberFormat="1"/>
    <xf numFmtId="0" fontId="6" fillId="0" borderId="1" xfId="0" applyFont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0" fillId="4" borderId="0" xfId="0" applyFill="1"/>
    <xf numFmtId="2" fontId="0" fillId="4" borderId="0" xfId="0" applyNumberFormat="1" applyFill="1"/>
    <xf numFmtId="0" fontId="0" fillId="0" borderId="0" xfId="0" applyNumberFormat="1"/>
    <xf numFmtId="0" fontId="6" fillId="5" borderId="1" xfId="0" applyFont="1" applyFill="1" applyBorder="1" applyAlignment="1">
      <alignment horizontal="center" vertical="top"/>
    </xf>
    <xf numFmtId="0" fontId="0" fillId="0" borderId="5" xfId="0" applyNumberFormat="1" applyBorder="1"/>
    <xf numFmtId="0" fontId="6" fillId="0" borderId="1" xfId="0" applyFont="1" applyFill="1" applyBorder="1" applyAlignment="1">
      <alignment horizontal="center" vertical="top"/>
    </xf>
    <xf numFmtId="9" fontId="1" fillId="0" borderId="0" xfId="1" applyNumberFormat="1"/>
    <xf numFmtId="9" fontId="1" fillId="0" borderId="0" xfId="1" applyNumberFormat="1" applyFill="1"/>
    <xf numFmtId="168" fontId="1" fillId="0" borderId="0" xfId="1" applyNumberFormat="1" applyBorder="1"/>
    <xf numFmtId="0" fontId="0" fillId="0" borderId="4" xfId="0" applyNumberFormat="1" applyBorder="1"/>
    <xf numFmtId="0" fontId="0" fillId="0" borderId="4" xfId="0" applyBorder="1"/>
    <xf numFmtId="0" fontId="0" fillId="0" borderId="5" xfId="0" applyBorder="1"/>
    <xf numFmtId="0" fontId="0" fillId="0" borderId="9" xfId="0" applyBorder="1"/>
    <xf numFmtId="168" fontId="1" fillId="0" borderId="10" xfId="1" applyNumberFormat="1" applyBorder="1"/>
    <xf numFmtId="0" fontId="0" fillId="0" borderId="6" xfId="0" applyBorder="1"/>
    <xf numFmtId="168" fontId="1" fillId="0" borderId="7" xfId="1" applyNumberFormat="1" applyBorder="1"/>
    <xf numFmtId="168" fontId="1" fillId="0" borderId="8" xfId="1" applyNumberFormat="1" applyBorder="1"/>
    <xf numFmtId="0" fontId="0" fillId="0" borderId="9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10" fontId="1" fillId="0" borderId="8" xfId="1" applyNumberFormat="1" applyBorder="1"/>
    <xf numFmtId="0" fontId="0" fillId="0" borderId="0" xfId="0" applyBorder="1"/>
    <xf numFmtId="167" fontId="0" fillId="0" borderId="0" xfId="0" applyNumberFormat="1" applyFill="1"/>
    <xf numFmtId="0" fontId="5" fillId="0" borderId="0" xfId="0" applyNumberFormat="1" applyFont="1" applyFill="1" applyAlignment="1">
      <alignment horizontal="center" vertical="center"/>
    </xf>
    <xf numFmtId="0" fontId="0" fillId="0" borderId="0" xfId="0" applyNumberFormat="1" applyFill="1"/>
    <xf numFmtId="0" fontId="0" fillId="0" borderId="0" xfId="0" applyNumberFormat="1" applyFill="1" applyBorder="1"/>
    <xf numFmtId="2" fontId="1" fillId="8" borderId="0" xfId="1" applyNumberFormat="1" applyFont="1" applyFill="1" applyBorder="1" applyAlignment="1">
      <alignment horizontal="center" vertical="center"/>
    </xf>
    <xf numFmtId="2" fontId="1" fillId="8" borderId="0" xfId="0" applyNumberFormat="1" applyFont="1" applyFill="1" applyBorder="1" applyAlignment="1">
      <alignment horizontal="center" vertical="center"/>
    </xf>
    <xf numFmtId="2" fontId="1" fillId="8" borderId="0" xfId="2" applyNumberFormat="1" applyFont="1" applyFill="1" applyBorder="1" applyAlignment="1">
      <alignment horizontal="center" vertical="center"/>
    </xf>
    <xf numFmtId="0" fontId="11" fillId="8" borderId="11" xfId="0" applyNumberFormat="1" applyFont="1" applyFill="1" applyBorder="1"/>
    <xf numFmtId="0" fontId="11" fillId="8" borderId="12" xfId="0" applyNumberFormat="1" applyFont="1" applyFill="1" applyBorder="1"/>
    <xf numFmtId="0" fontId="11" fillId="8" borderId="13" xfId="0" applyNumberFormat="1" applyFont="1" applyFill="1" applyBorder="1"/>
    <xf numFmtId="0" fontId="4" fillId="7" borderId="11" xfId="1" applyNumberFormat="1" applyFont="1" applyFill="1" applyBorder="1" applyAlignment="1">
      <alignment horizontal="center" vertical="center"/>
    </xf>
    <xf numFmtId="0" fontId="4" fillId="6" borderId="4" xfId="1" applyNumberFormat="1" applyFont="1" applyFill="1" applyBorder="1" applyAlignment="1">
      <alignment horizontal="center" vertical="center"/>
    </xf>
    <xf numFmtId="0" fontId="4" fillId="6" borderId="4" xfId="0" applyNumberFormat="1" applyFont="1" applyFill="1" applyBorder="1" applyAlignment="1">
      <alignment horizontal="center" vertical="center"/>
    </xf>
    <xf numFmtId="0" fontId="4" fillId="6" borderId="11" xfId="0" applyNumberFormat="1" applyFont="1" applyFill="1" applyBorder="1" applyAlignment="1">
      <alignment horizontal="center" vertical="center"/>
    </xf>
    <xf numFmtId="169" fontId="12" fillId="8" borderId="12" xfId="2" applyNumberFormat="1" applyFont="1" applyFill="1" applyBorder="1" applyAlignment="1">
      <alignment horizontal="center" vertical="center"/>
    </xf>
    <xf numFmtId="169" fontId="12" fillId="8" borderId="12" xfId="0" applyNumberFormat="1" applyFont="1" applyFill="1" applyBorder="1" applyAlignment="1">
      <alignment horizontal="center" vertical="center"/>
    </xf>
    <xf numFmtId="169" fontId="12" fillId="8" borderId="2" xfId="0" applyNumberFormat="1" applyFont="1" applyFill="1" applyBorder="1" applyAlignment="1">
      <alignment horizontal="center" vertical="center"/>
    </xf>
    <xf numFmtId="168" fontId="7" fillId="8" borderId="7" xfId="1" applyNumberFormat="1" applyFont="1" applyFill="1" applyBorder="1" applyAlignment="1">
      <alignment horizontal="center" vertical="top"/>
    </xf>
    <xf numFmtId="168" fontId="7" fillId="8" borderId="0" xfId="1" applyNumberFormat="1" applyFont="1" applyFill="1" applyBorder="1" applyAlignment="1">
      <alignment horizontal="center" vertical="top"/>
    </xf>
    <xf numFmtId="171" fontId="8" fillId="8" borderId="13" xfId="0" applyNumberFormat="1" applyFont="1" applyFill="1" applyBorder="1" applyAlignment="1">
      <alignment horizontal="center" vertical="top"/>
    </xf>
    <xf numFmtId="171" fontId="8" fillId="8" borderId="12" xfId="0" applyNumberFormat="1" applyFont="1" applyFill="1" applyBorder="1" applyAlignment="1">
      <alignment horizontal="center" vertical="top"/>
    </xf>
    <xf numFmtId="172" fontId="8" fillId="8" borderId="13" xfId="0" applyNumberFormat="1" applyFont="1" applyFill="1" applyBorder="1" applyAlignment="1">
      <alignment horizontal="center" vertical="top"/>
    </xf>
    <xf numFmtId="172" fontId="8" fillId="8" borderId="12" xfId="0" applyNumberFormat="1" applyFont="1" applyFill="1" applyBorder="1" applyAlignment="1">
      <alignment horizontal="center" vertical="top"/>
    </xf>
    <xf numFmtId="2" fontId="1" fillId="8" borderId="14" xfId="1" applyNumberFormat="1" applyFont="1" applyFill="1" applyBorder="1" applyAlignment="1">
      <alignment horizontal="center" vertical="center"/>
    </xf>
    <xf numFmtId="2" fontId="1" fillId="8" borderId="14" xfId="0" applyNumberFormat="1" applyFont="1" applyFill="1" applyBorder="1" applyAlignment="1">
      <alignment horizontal="center" vertical="center"/>
    </xf>
    <xf numFmtId="167" fontId="5" fillId="6" borderId="12" xfId="0" applyNumberFormat="1" applyFont="1" applyFill="1" applyBorder="1" applyAlignment="1">
      <alignment horizontal="left"/>
    </xf>
    <xf numFmtId="167" fontId="5" fillId="6" borderId="13" xfId="0" applyNumberFormat="1" applyFont="1" applyFill="1" applyBorder="1" applyAlignment="1">
      <alignment horizontal="left"/>
    </xf>
    <xf numFmtId="0" fontId="0" fillId="8" borderId="2" xfId="0" applyFont="1" applyFill="1" applyBorder="1" applyAlignment="1">
      <alignment horizontal="left"/>
    </xf>
    <xf numFmtId="0" fontId="4" fillId="7" borderId="0" xfId="0" applyNumberFormat="1" applyFont="1" applyFill="1" applyBorder="1"/>
    <xf numFmtId="0" fontId="10" fillId="6" borderId="16" xfId="0" applyNumberFormat="1" applyFont="1" applyFill="1" applyBorder="1" applyAlignment="1">
      <alignment vertical="center"/>
    </xf>
    <xf numFmtId="0" fontId="9" fillId="6" borderId="17" xfId="0" applyNumberFormat="1" applyFont="1" applyFill="1" applyBorder="1" applyAlignment="1">
      <alignment vertical="top"/>
    </xf>
    <xf numFmtId="0" fontId="10" fillId="6" borderId="18" xfId="1" applyNumberFormat="1" applyFont="1" applyFill="1" applyBorder="1" applyAlignment="1"/>
    <xf numFmtId="0" fontId="10" fillId="6" borderId="18" xfId="1" applyNumberFormat="1" applyFont="1" applyFill="1" applyBorder="1"/>
    <xf numFmtId="0" fontId="9" fillId="6" borderId="18" xfId="1" applyNumberFormat="1" applyFont="1" applyFill="1" applyBorder="1" applyAlignment="1">
      <alignment vertical="top"/>
    </xf>
    <xf numFmtId="0" fontId="9" fillId="6" borderId="17" xfId="1" applyNumberFormat="1" applyFont="1" applyFill="1" applyBorder="1" applyAlignment="1">
      <alignment vertical="top"/>
    </xf>
    <xf numFmtId="0" fontId="4" fillId="6" borderId="19" xfId="1" applyNumberFormat="1" applyFont="1" applyFill="1" applyBorder="1" applyAlignment="1">
      <alignment horizontal="left" vertical="center"/>
    </xf>
    <xf numFmtId="167" fontId="1" fillId="8" borderId="0" xfId="1" applyNumberFormat="1" applyFont="1" applyFill="1" applyBorder="1" applyAlignment="1">
      <alignment horizontal="center"/>
    </xf>
    <xf numFmtId="0" fontId="0" fillId="4" borderId="3" xfId="0" applyFill="1" applyBorder="1"/>
    <xf numFmtId="0" fontId="0" fillId="4" borderId="3" xfId="0" applyNumberFormat="1" applyFill="1" applyBorder="1"/>
    <xf numFmtId="0" fontId="9" fillId="6" borderId="17" xfId="0" applyNumberFormat="1" applyFont="1" applyFill="1" applyBorder="1" applyAlignment="1">
      <alignment horizontal="left" vertical="top"/>
    </xf>
    <xf numFmtId="0" fontId="10" fillId="7" borderId="2" xfId="0" applyFont="1" applyFill="1" applyBorder="1"/>
    <xf numFmtId="2" fontId="1" fillId="8" borderId="4" xfId="1" applyNumberFormat="1" applyFont="1" applyFill="1" applyBorder="1" applyAlignment="1">
      <alignment horizontal="center" vertical="center"/>
    </xf>
    <xf numFmtId="2" fontId="1" fillId="8" borderId="7" xfId="1" applyNumberFormat="1" applyFont="1" applyFill="1" applyBorder="1" applyAlignment="1">
      <alignment horizontal="center" vertical="center"/>
    </xf>
    <xf numFmtId="169" fontId="12" fillId="8" borderId="11" xfId="0" applyNumberFormat="1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 wrapText="1"/>
    </xf>
    <xf numFmtId="0" fontId="13" fillId="9" borderId="22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top"/>
    </xf>
    <xf numFmtId="0" fontId="6" fillId="11" borderId="1" xfId="0" applyFont="1" applyFill="1" applyBorder="1" applyAlignment="1">
      <alignment horizontal="center" vertical="top"/>
    </xf>
    <xf numFmtId="0" fontId="6" fillId="12" borderId="1" xfId="0" applyFont="1" applyFill="1" applyBorder="1" applyAlignment="1">
      <alignment horizontal="center" vertical="top"/>
    </xf>
    <xf numFmtId="2" fontId="1" fillId="8" borderId="0" xfId="1" applyNumberFormat="1" applyFont="1" applyFill="1" applyBorder="1" applyAlignment="1">
      <alignment horizontal="center"/>
    </xf>
    <xf numFmtId="0" fontId="0" fillId="13" borderId="0" xfId="0" applyFill="1"/>
    <xf numFmtId="2" fontId="0" fillId="13" borderId="0" xfId="0" applyNumberFormat="1" applyFill="1"/>
    <xf numFmtId="2" fontId="0" fillId="14" borderId="0" xfId="0" applyNumberFormat="1" applyFill="1"/>
    <xf numFmtId="2" fontId="0" fillId="0" borderId="0" xfId="0" applyNumberFormat="1" applyFill="1"/>
    <xf numFmtId="0" fontId="0" fillId="15" borderId="0" xfId="0" applyFill="1"/>
    <xf numFmtId="0" fontId="6" fillId="16" borderId="1" xfId="0" applyFont="1" applyFill="1" applyBorder="1" applyAlignment="1">
      <alignment horizontal="center" vertical="top"/>
    </xf>
    <xf numFmtId="0" fontId="0" fillId="12" borderId="0" xfId="0" applyFill="1"/>
    <xf numFmtId="173" fontId="1" fillId="0" borderId="0" xfId="2" applyNumberFormat="1"/>
    <xf numFmtId="167" fontId="7" fillId="8" borderId="7" xfId="1" applyNumberFormat="1" applyFont="1" applyFill="1" applyBorder="1" applyAlignment="1">
      <alignment horizontal="center" vertical="center"/>
    </xf>
    <xf numFmtId="168" fontId="7" fillId="8" borderId="0" xfId="0" applyNumberFormat="1" applyFont="1" applyFill="1" applyBorder="1" applyAlignment="1">
      <alignment horizontal="center" vertical="center"/>
    </xf>
    <xf numFmtId="0" fontId="10" fillId="6" borderId="15" xfId="1" applyNumberFormat="1" applyFont="1" applyFill="1" applyBorder="1" applyAlignment="1"/>
    <xf numFmtId="0" fontId="9" fillId="6" borderId="23" xfId="0" applyNumberFormat="1" applyFont="1" applyFill="1" applyBorder="1" applyAlignment="1">
      <alignment vertical="top"/>
    </xf>
    <xf numFmtId="2" fontId="1" fillId="8" borderId="3" xfId="1" applyNumberFormat="1" applyFont="1" applyFill="1" applyBorder="1" applyAlignment="1">
      <alignment horizontal="center" vertical="center"/>
    </xf>
    <xf numFmtId="168" fontId="7" fillId="8" borderId="6" xfId="0" applyNumberFormat="1" applyFont="1" applyFill="1" applyBorder="1" applyAlignment="1">
      <alignment horizontal="center" vertical="center"/>
    </xf>
    <xf numFmtId="167" fontId="8" fillId="8" borderId="13" xfId="0" applyNumberFormat="1" applyFont="1" applyFill="1" applyBorder="1" applyAlignment="1">
      <alignment horizontal="center" vertical="top"/>
    </xf>
    <xf numFmtId="0" fontId="10" fillId="6" borderId="15" xfId="1" applyNumberFormat="1" applyFont="1" applyFill="1" applyBorder="1"/>
    <xf numFmtId="0" fontId="9" fillId="6" borderId="15" xfId="1" applyNumberFormat="1" applyFont="1" applyFill="1" applyBorder="1" applyAlignment="1">
      <alignment vertical="top"/>
    </xf>
    <xf numFmtId="168" fontId="7" fillId="8" borderId="0" xfId="1" applyNumberFormat="1" applyFont="1" applyFill="1" applyBorder="1" applyAlignment="1">
      <alignment horizontal="center" vertical="center"/>
    </xf>
    <xf numFmtId="2" fontId="1" fillId="8" borderId="3" xfId="2" applyNumberFormat="1" applyFont="1" applyFill="1" applyBorder="1" applyAlignment="1">
      <alignment horizontal="center" vertical="center"/>
    </xf>
    <xf numFmtId="2" fontId="1" fillId="8" borderId="4" xfId="2" applyNumberFormat="1" applyFont="1" applyFill="1" applyBorder="1" applyAlignment="1">
      <alignment horizontal="center" vertical="center"/>
    </xf>
    <xf numFmtId="167" fontId="7" fillId="8" borderId="6" xfId="1" applyNumberFormat="1" applyFont="1" applyFill="1" applyBorder="1" applyAlignment="1">
      <alignment horizontal="center" vertical="center"/>
    </xf>
    <xf numFmtId="168" fontId="7" fillId="8" borderId="9" xfId="1" applyNumberFormat="1" applyFont="1" applyFill="1" applyBorder="1" applyAlignment="1">
      <alignment horizontal="center" vertical="center"/>
    </xf>
    <xf numFmtId="168" fontId="7" fillId="8" borderId="6" xfId="1" applyNumberFormat="1" applyFont="1" applyFill="1" applyBorder="1" applyAlignment="1">
      <alignment horizontal="center" vertical="center"/>
    </xf>
    <xf numFmtId="168" fontId="7" fillId="8" borderId="7" xfId="1" applyNumberFormat="1" applyFont="1" applyFill="1" applyBorder="1" applyAlignment="1">
      <alignment horizontal="center" vertical="center"/>
    </xf>
    <xf numFmtId="168" fontId="7" fillId="8" borderId="7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5" fillId="6" borderId="12" xfId="0" applyNumberFormat="1" applyFont="1" applyFill="1" applyBorder="1" applyAlignment="1">
      <alignment horizontal="center" vertical="center"/>
    </xf>
    <xf numFmtId="0" fontId="5" fillId="7" borderId="2" xfId="0" applyNumberFormat="1" applyFont="1" applyFill="1" applyBorder="1" applyAlignment="1">
      <alignment horizontal="center" vertical="center"/>
    </xf>
    <xf numFmtId="2" fontId="0" fillId="8" borderId="14" xfId="0" applyNumberFormat="1" applyFill="1" applyBorder="1" applyAlignment="1">
      <alignment horizontal="center" vertical="center"/>
    </xf>
    <xf numFmtId="167" fontId="1" fillId="8" borderId="14" xfId="1" applyNumberFormat="1" applyFont="1" applyFill="1" applyBorder="1" applyAlignment="1">
      <alignment horizontal="center"/>
    </xf>
    <xf numFmtId="167" fontId="1" fillId="8" borderId="25" xfId="1" applyNumberFormat="1" applyFont="1" applyFill="1" applyBorder="1" applyAlignment="1">
      <alignment horizontal="center"/>
    </xf>
    <xf numFmtId="167" fontId="5" fillId="6" borderId="2" xfId="0" applyNumberFormat="1" applyFont="1" applyFill="1" applyBorder="1" applyAlignment="1">
      <alignment horizontal="left"/>
    </xf>
    <xf numFmtId="167" fontId="4" fillId="6" borderId="14" xfId="0" applyNumberFormat="1" applyFont="1" applyFill="1" applyBorder="1" applyAlignment="1">
      <alignment horizontal="center"/>
    </xf>
    <xf numFmtId="0" fontId="4" fillId="6" borderId="25" xfId="0" applyNumberFormat="1" applyFont="1" applyFill="1" applyBorder="1" applyAlignment="1">
      <alignment horizontal="center" vertical="center"/>
    </xf>
    <xf numFmtId="0" fontId="4" fillId="6" borderId="2" xfId="0" applyNumberFormat="1" applyFont="1" applyFill="1" applyBorder="1" applyAlignment="1">
      <alignment horizontal="center" vertical="center"/>
    </xf>
    <xf numFmtId="167" fontId="4" fillId="7" borderId="2" xfId="0" applyNumberFormat="1" applyFont="1" applyFill="1" applyBorder="1" applyAlignment="1">
      <alignment horizontal="center" vertical="center"/>
    </xf>
    <xf numFmtId="167" fontId="5" fillId="6" borderId="11" xfId="0" applyNumberFormat="1" applyFont="1" applyFill="1" applyBorder="1" applyAlignment="1">
      <alignment horizontal="center" vertical="center"/>
    </xf>
    <xf numFmtId="167" fontId="5" fillId="6" borderId="12" xfId="0" applyNumberFormat="1" applyFont="1" applyFill="1" applyBorder="1" applyAlignment="1">
      <alignment horizontal="center" vertical="center"/>
    </xf>
    <xf numFmtId="0" fontId="5" fillId="6" borderId="13" xfId="0" applyNumberFormat="1" applyFont="1" applyFill="1" applyBorder="1" applyAlignment="1">
      <alignment horizontal="center" vertical="center"/>
    </xf>
    <xf numFmtId="167" fontId="4" fillId="6" borderId="24" xfId="0" applyNumberFormat="1" applyFont="1" applyFill="1" applyBorder="1" applyAlignment="1">
      <alignment horizontal="center"/>
    </xf>
    <xf numFmtId="2" fontId="4" fillId="6" borderId="24" xfId="0" applyNumberFormat="1" applyFont="1" applyFill="1" applyBorder="1" applyAlignment="1">
      <alignment horizontal="center"/>
    </xf>
    <xf numFmtId="2" fontId="4" fillId="6" borderId="14" xfId="0" applyNumberFormat="1" applyFont="1" applyFill="1" applyBorder="1" applyAlignment="1">
      <alignment horizontal="center"/>
    </xf>
    <xf numFmtId="2" fontId="1" fillId="8" borderId="14" xfId="1" applyNumberFormat="1" applyFont="1" applyFill="1" applyBorder="1" applyAlignment="1">
      <alignment horizontal="center"/>
    </xf>
    <xf numFmtId="0" fontId="10" fillId="6" borderId="11" xfId="1" applyNumberFormat="1" applyFont="1" applyFill="1" applyBorder="1"/>
    <xf numFmtId="0" fontId="9" fillId="6" borderId="12" xfId="1" applyNumberFormat="1" applyFont="1" applyFill="1" applyBorder="1" applyAlignment="1">
      <alignment vertical="top"/>
    </xf>
    <xf numFmtId="0" fontId="9" fillId="6" borderId="13" xfId="1" applyNumberFormat="1" applyFont="1" applyFill="1" applyBorder="1" applyAlignment="1">
      <alignment vertical="top"/>
    </xf>
    <xf numFmtId="167" fontId="5" fillId="6" borderId="11" xfId="0" applyNumberFormat="1" applyFont="1" applyFill="1" applyBorder="1" applyAlignment="1">
      <alignment horizontal="left"/>
    </xf>
    <xf numFmtId="2" fontId="1" fillId="8" borderId="24" xfId="1" applyNumberFormat="1" applyFont="1" applyFill="1" applyBorder="1" applyAlignment="1">
      <alignment horizontal="center"/>
    </xf>
    <xf numFmtId="0" fontId="10" fillId="6" borderId="11" xfId="0" applyNumberFormat="1" applyFont="1" applyFill="1" applyBorder="1" applyAlignment="1">
      <alignment vertical="center"/>
    </xf>
    <xf numFmtId="0" fontId="10" fillId="6" borderId="12" xfId="1" applyNumberFormat="1" applyFont="1" applyFill="1" applyBorder="1" applyAlignment="1"/>
    <xf numFmtId="0" fontId="10" fillId="6" borderId="12" xfId="1" applyNumberFormat="1" applyFont="1" applyFill="1" applyBorder="1"/>
    <xf numFmtId="0" fontId="4" fillId="6" borderId="13" xfId="1" applyNumberFormat="1" applyFont="1" applyFill="1" applyBorder="1" applyAlignment="1">
      <alignment horizontal="left" vertical="center"/>
    </xf>
    <xf numFmtId="168" fontId="1" fillId="8" borderId="3" xfId="1" applyNumberFormat="1" applyFont="1" applyFill="1" applyBorder="1" applyAlignment="1">
      <alignment horizontal="center" vertical="center"/>
    </xf>
    <xf numFmtId="168" fontId="1" fillId="8" borderId="5" xfId="1" applyNumberFormat="1" applyFont="1" applyFill="1" applyBorder="1" applyAlignment="1">
      <alignment horizontal="center" vertical="center"/>
    </xf>
    <xf numFmtId="167" fontId="1" fillId="8" borderId="9" xfId="1" applyNumberFormat="1" applyFont="1" applyFill="1" applyBorder="1" applyAlignment="1">
      <alignment horizontal="center" vertical="center"/>
    </xf>
    <xf numFmtId="167" fontId="1" fillId="8" borderId="10" xfId="1" applyNumberFormat="1" applyFont="1" applyFill="1" applyBorder="1" applyAlignment="1">
      <alignment horizontal="center" vertical="center"/>
    </xf>
    <xf numFmtId="3" fontId="1" fillId="8" borderId="9" xfId="1" applyNumberFormat="1" applyFont="1" applyFill="1" applyBorder="1" applyAlignment="1">
      <alignment horizontal="center" vertical="center"/>
    </xf>
    <xf numFmtId="3" fontId="1" fillId="8" borderId="10" xfId="1" applyNumberFormat="1" applyFont="1" applyFill="1" applyBorder="1" applyAlignment="1">
      <alignment horizontal="center" vertical="center"/>
    </xf>
    <xf numFmtId="168" fontId="1" fillId="8" borderId="9" xfId="1" applyNumberFormat="1" applyFont="1" applyFill="1" applyBorder="1" applyAlignment="1">
      <alignment horizontal="center" vertical="center"/>
    </xf>
    <xf numFmtId="168" fontId="1" fillId="8" borderId="10" xfId="1" applyNumberFormat="1" applyFont="1" applyFill="1" applyBorder="1" applyAlignment="1">
      <alignment horizontal="center" vertical="center"/>
    </xf>
    <xf numFmtId="168" fontId="1" fillId="8" borderId="6" xfId="1" applyNumberFormat="1" applyFont="1" applyFill="1" applyBorder="1" applyAlignment="1">
      <alignment horizontal="center" vertical="center"/>
    </xf>
    <xf numFmtId="168" fontId="1" fillId="8" borderId="8" xfId="1" applyNumberFormat="1" applyFont="1" applyFill="1" applyBorder="1" applyAlignment="1">
      <alignment horizontal="center" vertical="center"/>
    </xf>
    <xf numFmtId="2" fontId="0" fillId="8" borderId="0" xfId="0" applyNumberFormat="1" applyFill="1" applyBorder="1" applyAlignment="1">
      <alignment horizontal="center" vertical="center"/>
    </xf>
    <xf numFmtId="0" fontId="4" fillId="6" borderId="6" xfId="1" applyNumberFormat="1" applyFont="1" applyFill="1" applyBorder="1" applyAlignment="1">
      <alignment horizontal="center" vertical="center"/>
    </xf>
    <xf numFmtId="0" fontId="4" fillId="6" borderId="7" xfId="0" applyNumberFormat="1" applyFont="1" applyFill="1" applyBorder="1" applyAlignment="1">
      <alignment horizontal="center" vertical="center"/>
    </xf>
    <xf numFmtId="0" fontId="4" fillId="6" borderId="8" xfId="0" applyNumberFormat="1" applyFont="1" applyFill="1" applyBorder="1" applyAlignment="1">
      <alignment horizontal="center" vertical="center"/>
    </xf>
    <xf numFmtId="167" fontId="4" fillId="7" borderId="12" xfId="0" applyNumberFormat="1" applyFont="1" applyFill="1" applyBorder="1" applyAlignment="1">
      <alignment horizontal="center" vertical="center"/>
    </xf>
    <xf numFmtId="167" fontId="4" fillId="6" borderId="0" xfId="0" applyNumberFormat="1" applyFont="1" applyFill="1" applyBorder="1" applyAlignment="1">
      <alignment horizontal="center"/>
    </xf>
    <xf numFmtId="0" fontId="4" fillId="6" borderId="12" xfId="0" applyNumberFormat="1" applyFont="1" applyFill="1" applyBorder="1" applyAlignment="1">
      <alignment horizontal="center" vertical="center"/>
    </xf>
    <xf numFmtId="0" fontId="4" fillId="7" borderId="2" xfId="1" applyNumberFormat="1" applyFont="1" applyFill="1" applyBorder="1" applyAlignment="1">
      <alignment horizontal="center" vertical="center"/>
    </xf>
    <xf numFmtId="0" fontId="0" fillId="17" borderId="0" xfId="0" applyNumberFormat="1" applyFill="1"/>
    <xf numFmtId="0" fontId="16" fillId="17" borderId="0" xfId="0" applyNumberFormat="1" applyFont="1" applyFill="1"/>
    <xf numFmtId="174" fontId="12" fillId="8" borderId="12" xfId="0" applyNumberFormat="1" applyFont="1" applyFill="1" applyBorder="1" applyAlignment="1">
      <alignment horizontal="center" vertical="center"/>
    </xf>
    <xf numFmtId="175" fontId="12" fillId="8" borderId="12" xfId="0" applyNumberFormat="1" applyFont="1" applyFill="1" applyBorder="1" applyAlignment="1">
      <alignment horizontal="center" vertical="center"/>
    </xf>
    <xf numFmtId="172" fontId="12" fillId="8" borderId="11" xfId="2" applyNumberFormat="1" applyFont="1" applyFill="1" applyBorder="1" applyAlignment="1">
      <alignment horizontal="center" vertical="center"/>
    </xf>
    <xf numFmtId="172" fontId="12" fillId="8" borderId="13" xfId="0" applyNumberFormat="1" applyFont="1" applyFill="1" applyBorder="1" applyAlignment="1">
      <alignment horizontal="center" vertical="center"/>
    </xf>
    <xf numFmtId="171" fontId="12" fillId="8" borderId="12" xfId="0" applyNumberFormat="1" applyFont="1" applyFill="1" applyBorder="1" applyAlignment="1">
      <alignment horizontal="center" vertical="center"/>
    </xf>
    <xf numFmtId="170" fontId="0" fillId="8" borderId="0" xfId="0" applyNumberFormat="1" applyFill="1" applyBorder="1" applyAlignment="1">
      <alignment horizontal="center" vertical="center"/>
    </xf>
    <xf numFmtId="170" fontId="0" fillId="8" borderId="14" xfId="0" applyNumberFormat="1" applyFill="1" applyBorder="1" applyAlignment="1">
      <alignment horizontal="center" vertical="center"/>
    </xf>
    <xf numFmtId="169" fontId="17" fillId="8" borderId="12" xfId="2" applyNumberFormat="1" applyFont="1" applyFill="1" applyBorder="1" applyAlignment="1">
      <alignment horizontal="center" vertical="center"/>
    </xf>
    <xf numFmtId="169" fontId="17" fillId="8" borderId="12" xfId="0" applyNumberFormat="1" applyFont="1" applyFill="1" applyBorder="1" applyAlignment="1">
      <alignment horizontal="center" vertical="top"/>
    </xf>
    <xf numFmtId="169" fontId="17" fillId="8" borderId="2" xfId="0" applyNumberFormat="1" applyFont="1" applyFill="1" applyBorder="1" applyAlignment="1">
      <alignment horizontal="center" vertical="top"/>
    </xf>
    <xf numFmtId="169" fontId="17" fillId="8" borderId="2" xfId="2" applyNumberFormat="1" applyFont="1" applyFill="1" applyBorder="1" applyAlignment="1">
      <alignment horizontal="center" vertical="center"/>
    </xf>
    <xf numFmtId="0" fontId="0" fillId="0" borderId="0" xfId="0" applyFill="1"/>
    <xf numFmtId="0" fontId="15" fillId="8" borderId="14" xfId="0" applyNumberFormat="1" applyFont="1" applyFill="1" applyBorder="1" applyAlignment="1">
      <alignment vertical="center"/>
    </xf>
    <xf numFmtId="0" fontId="15" fillId="8" borderId="25" xfId="0" applyNumberFormat="1" applyFont="1" applyFill="1" applyBorder="1" applyAlignment="1">
      <alignment vertical="center"/>
    </xf>
    <xf numFmtId="0" fontId="14" fillId="8" borderId="24" xfId="0" applyNumberFormat="1" applyFont="1" applyFill="1" applyBorder="1" applyAlignment="1">
      <alignment vertical="center"/>
    </xf>
    <xf numFmtId="0" fontId="5" fillId="7" borderId="13" xfId="0" applyNumberFormat="1" applyFont="1" applyFill="1" applyBorder="1" applyAlignment="1">
      <alignment horizontal="center" vertical="center"/>
    </xf>
    <xf numFmtId="2" fontId="0" fillId="5" borderId="0" xfId="0" applyNumberFormat="1" applyFill="1"/>
    <xf numFmtId="0" fontId="0" fillId="5" borderId="0" xfId="0" applyFill="1"/>
    <xf numFmtId="0" fontId="0" fillId="18" borderId="0" xfId="0" applyFill="1"/>
    <xf numFmtId="0" fontId="0" fillId="20" borderId="31" xfId="0" applyFont="1" applyFill="1" applyBorder="1"/>
    <xf numFmtId="0" fontId="0" fillId="20" borderId="27" xfId="0" applyFont="1" applyFill="1" applyBorder="1"/>
    <xf numFmtId="0" fontId="0" fillId="19" borderId="31" xfId="0" applyFont="1" applyFill="1" applyBorder="1"/>
    <xf numFmtId="0" fontId="0" fillId="19" borderId="27" xfId="0" applyFont="1" applyFill="1" applyBorder="1"/>
    <xf numFmtId="0" fontId="0" fillId="20" borderId="32" xfId="0" applyFont="1" applyFill="1" applyBorder="1"/>
    <xf numFmtId="0" fontId="0" fillId="20" borderId="28" xfId="0" applyFont="1" applyFill="1" applyBorder="1"/>
    <xf numFmtId="0" fontId="18" fillId="0" borderId="1" xfId="0" applyFont="1" applyBorder="1" applyAlignment="1">
      <alignment horizontal="center" vertical="top"/>
    </xf>
    <xf numFmtId="0" fontId="0" fillId="21" borderId="0" xfId="0" applyFill="1"/>
    <xf numFmtId="9" fontId="1" fillId="21" borderId="0" xfId="1" applyNumberFormat="1" applyFill="1"/>
    <xf numFmtId="9" fontId="1" fillId="21" borderId="3" xfId="1" applyNumberFormat="1" applyFill="1" applyBorder="1"/>
    <xf numFmtId="9" fontId="1" fillId="21" borderId="5" xfId="1" applyNumberFormat="1" applyFill="1" applyBorder="1"/>
    <xf numFmtId="9" fontId="1" fillId="0" borderId="9" xfId="1" applyNumberFormat="1" applyFill="1" applyBorder="1"/>
    <xf numFmtId="9" fontId="1" fillId="0" borderId="10" xfId="1" applyNumberFormat="1" applyFill="1" applyBorder="1"/>
    <xf numFmtId="9" fontId="1" fillId="21" borderId="9" xfId="1" applyNumberFormat="1" applyFill="1" applyBorder="1"/>
    <xf numFmtId="9" fontId="1" fillId="21" borderId="10" xfId="1" applyNumberFormat="1" applyFill="1" applyBorder="1"/>
    <xf numFmtId="9" fontId="1" fillId="21" borderId="6" xfId="1" applyNumberFormat="1" applyFill="1" applyBorder="1"/>
    <xf numFmtId="9" fontId="1" fillId="21" borderId="8" xfId="1" applyNumberFormat="1" applyFill="1" applyBorder="1"/>
    <xf numFmtId="9" fontId="0" fillId="21" borderId="33" xfId="1" applyNumberFormat="1" applyFont="1" applyFill="1" applyBorder="1" applyAlignment="1"/>
    <xf numFmtId="9" fontId="0" fillId="21" borderId="34" xfId="1" applyNumberFormat="1" applyFont="1" applyFill="1" applyBorder="1" applyAlignment="1"/>
    <xf numFmtId="9" fontId="0" fillId="21" borderId="29" xfId="1" applyNumberFormat="1" applyFont="1" applyFill="1" applyBorder="1" applyAlignment="1"/>
    <xf numFmtId="9" fontId="0" fillId="21" borderId="35" xfId="1" applyNumberFormat="1" applyFont="1" applyFill="1" applyBorder="1" applyAlignment="1"/>
    <xf numFmtId="9" fontId="0" fillId="21" borderId="36" xfId="1" applyNumberFormat="1" applyFont="1" applyFill="1" applyBorder="1" applyAlignment="1"/>
    <xf numFmtId="9" fontId="0" fillId="21" borderId="37" xfId="1" applyNumberFormat="1" applyFont="1" applyFill="1" applyBorder="1" applyAlignment="1"/>
    <xf numFmtId="9" fontId="0" fillId="21" borderId="38" xfId="1" applyNumberFormat="1" applyFont="1" applyFill="1" applyBorder="1" applyAlignment="1"/>
    <xf numFmtId="9" fontId="0" fillId="21" borderId="30" xfId="1" applyNumberFormat="1" applyFont="1" applyFill="1" applyBorder="1" applyAlignment="1"/>
    <xf numFmtId="9" fontId="0" fillId="0" borderId="29" xfId="1" applyNumberFormat="1" applyFont="1" applyFill="1" applyBorder="1" applyAlignment="1"/>
    <xf numFmtId="9" fontId="0" fillId="0" borderId="30" xfId="1" applyNumberFormat="1" applyFont="1" applyFill="1" applyBorder="1" applyAlignment="1"/>
    <xf numFmtId="9" fontId="0" fillId="0" borderId="33" xfId="1" applyNumberFormat="1" applyFont="1" applyFill="1" applyBorder="1" applyAlignment="1"/>
    <xf numFmtId="9" fontId="0" fillId="0" borderId="35" xfId="1" applyNumberFormat="1" applyFont="1" applyFill="1" applyBorder="1" applyAlignment="1"/>
    <xf numFmtId="9" fontId="0" fillId="0" borderId="37" xfId="1" applyNumberFormat="1" applyFont="1" applyFill="1" applyBorder="1" applyAlignment="1"/>
    <xf numFmtId="9" fontId="0" fillId="0" borderId="34" xfId="1" applyNumberFormat="1" applyFont="1" applyFill="1" applyBorder="1" applyAlignment="1"/>
    <xf numFmtId="9" fontId="0" fillId="0" borderId="36" xfId="1" applyNumberFormat="1" applyFont="1" applyFill="1" applyBorder="1" applyAlignment="1"/>
    <xf numFmtId="9" fontId="0" fillId="0" borderId="38" xfId="1" applyNumberFormat="1" applyFont="1" applyFill="1" applyBorder="1" applyAlignment="1"/>
    <xf numFmtId="2" fontId="0" fillId="22" borderId="0" xfId="0" applyNumberFormat="1" applyFill="1"/>
    <xf numFmtId="10" fontId="0" fillId="20" borderId="27" xfId="0" applyNumberFormat="1" applyFont="1" applyFill="1" applyBorder="1"/>
    <xf numFmtId="0" fontId="3" fillId="14" borderId="1" xfId="0" applyFont="1" applyFill="1" applyBorder="1" applyAlignment="1">
      <alignment horizontal="center" vertical="top"/>
    </xf>
    <xf numFmtId="10" fontId="0" fillId="14" borderId="0" xfId="0" applyNumberFormat="1" applyFill="1"/>
    <xf numFmtId="10" fontId="1" fillId="14" borderId="0" xfId="1" applyNumberFormat="1" applyFill="1"/>
    <xf numFmtId="0" fontId="15" fillId="8" borderId="24" xfId="0" applyNumberFormat="1" applyFont="1" applyFill="1" applyBorder="1" applyAlignment="1">
      <alignment horizontal="left" vertical="center"/>
    </xf>
    <xf numFmtId="0" fontId="15" fillId="8" borderId="14" xfId="0" applyNumberFormat="1" applyFont="1" applyFill="1" applyBorder="1" applyAlignment="1">
      <alignment horizontal="left" vertical="center"/>
    </xf>
    <xf numFmtId="0" fontId="15" fillId="8" borderId="25" xfId="0" applyNumberFormat="1" applyFont="1" applyFill="1" applyBorder="1" applyAlignment="1">
      <alignment horizontal="left" vertical="center"/>
    </xf>
    <xf numFmtId="0" fontId="14" fillId="8" borderId="24" xfId="0" applyNumberFormat="1" applyFont="1" applyFill="1" applyBorder="1" applyAlignment="1">
      <alignment horizontal="left" vertical="center"/>
    </xf>
    <xf numFmtId="0" fontId="14" fillId="8" borderId="14" xfId="0" applyNumberFormat="1" applyFont="1" applyFill="1" applyBorder="1" applyAlignment="1">
      <alignment horizontal="left" vertical="center"/>
    </xf>
    <xf numFmtId="0" fontId="14" fillId="8" borderId="25" xfId="0" applyNumberFormat="1" applyFont="1" applyFill="1" applyBorder="1" applyAlignment="1">
      <alignment horizontal="left" vertical="center"/>
    </xf>
    <xf numFmtId="169" fontId="12" fillId="8" borderId="11" xfId="0" applyNumberFormat="1" applyFont="1" applyFill="1" applyBorder="1" applyAlignment="1">
      <alignment horizontal="center" vertical="center"/>
    </xf>
    <xf numFmtId="169" fontId="12" fillId="8" borderId="13" xfId="0" applyNumberFormat="1" applyFont="1" applyFill="1" applyBorder="1" applyAlignment="1">
      <alignment horizontal="center" vertical="center"/>
    </xf>
    <xf numFmtId="2" fontId="1" fillId="8" borderId="5" xfId="1" applyNumberFormat="1" applyFont="1" applyFill="1" applyBorder="1" applyAlignment="1">
      <alignment horizontal="center" vertical="center"/>
    </xf>
    <xf numFmtId="2" fontId="1" fillId="8" borderId="8" xfId="1" applyNumberFormat="1" applyFont="1" applyFill="1" applyBorder="1" applyAlignment="1">
      <alignment horizontal="center" vertical="center"/>
    </xf>
    <xf numFmtId="2" fontId="1" fillId="8" borderId="26" xfId="1" applyNumberFormat="1" applyFont="1" applyFill="1" applyBorder="1" applyAlignment="1">
      <alignment horizontal="center" vertical="center"/>
    </xf>
    <xf numFmtId="2" fontId="1" fillId="8" borderId="23" xfId="1" applyNumberFormat="1" applyFont="1" applyFill="1" applyBorder="1" applyAlignment="1">
      <alignment horizontal="center" vertical="center"/>
    </xf>
    <xf numFmtId="167" fontId="14" fillId="8" borderId="24" xfId="0" applyNumberFormat="1" applyFont="1" applyFill="1" applyBorder="1" applyAlignment="1">
      <alignment horizontal="left" vertical="center"/>
    </xf>
    <xf numFmtId="167" fontId="14" fillId="8" borderId="14" xfId="0" applyNumberFormat="1" applyFont="1" applyFill="1" applyBorder="1" applyAlignment="1">
      <alignment horizontal="left" vertical="center"/>
    </xf>
    <xf numFmtId="167" fontId="14" fillId="8" borderId="25" xfId="0" applyNumberFormat="1" applyFont="1" applyFill="1" applyBorder="1" applyAlignment="1">
      <alignment horizontal="left" vertical="center"/>
    </xf>
    <xf numFmtId="0" fontId="10" fillId="7" borderId="20" xfId="1" applyNumberFormat="1" applyFont="1" applyFill="1" applyBorder="1" applyAlignment="1">
      <alignment horizontal="center" vertical="center"/>
    </xf>
    <xf numFmtId="0" fontId="10" fillId="7" borderId="21" xfId="1" applyNumberFormat="1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74"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168" formatCode="0.0%"/>
    </dxf>
    <dxf>
      <numFmt numFmtId="168" formatCode="0.0%"/>
    </dxf>
    <dxf>
      <numFmt numFmtId="168" formatCode="0.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0D434B-73D1-4EC5-B9CD-9CBABAAFFA3A}" name="rec" displayName="rec" ref="A1:I79" totalsRowShown="0">
  <autoFilter ref="A1:I79" xr:uid="{D40D434B-73D1-4EC5-B9CD-9CBABAAFFA3A}"/>
  <sortState xmlns:xlrd2="http://schemas.microsoft.com/office/spreadsheetml/2017/richdata2" ref="A2:I79">
    <sortCondition ref="B1:B79"/>
  </sortState>
  <tableColumns count="9">
    <tableColumn id="1" xr3:uid="{3408EC7E-4287-4A5A-B912-4F36C516043C}" name="time"/>
    <tableColumn id="2" xr3:uid="{61806294-4434-46A8-85CF-C176DAA97EB8}" name="lob"/>
    <tableColumn id="3" xr3:uid="{D195C97B-D07F-49E4-92B0-361A07FE6FC0}" name="ltv" dataCellStyle="Percent"/>
    <tableColumn id="4" xr3:uid="{5B1A2EFD-869D-491D-B207-F915BAA0BB23}" name="age"/>
    <tableColumn id="5" xr3:uid="{E023505F-E650-4CF6-8B05-120CED748AFD}" name="mileage"/>
    <tableColumn id="6" xr3:uid="{325CEB9F-9870-4158-9914-E41FAD85A5F2}" name="toyho" dataDxfId="73" dataCellStyle="Percent"/>
    <tableColumn id="7" xr3:uid="{8278DEED-C1E6-4030-8BC2-9422B535469B}" name="driver" dataDxfId="72" dataCellStyle="Percent"/>
    <tableColumn id="8" xr3:uid="{D0BF2378-D784-4D16-BD51-24C6E70723B4}" name="truck" dataDxfId="71" dataCellStyle="Percent"/>
    <tableColumn id="9" xr3:uid="{320B7542-9705-44A8-AB7E-0C31C3079117}" name="lookup" dataDxfId="70">
      <calculatedColumnFormula>_xlfn.CONCAT(rec[[#This Row],[lob]], " ",rec[[#This Row],[time]])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1D0255-2B2B-4063-8348-FA2C211D3C40}" name="Mult" displayName="Mult" ref="A1:BD24" totalsRowShown="0" headerRowDxfId="69">
  <autoFilter ref="A1:BD24" xr:uid="{771D0255-2B2B-4063-8348-FA2C211D3C40}"/>
  <tableColumns count="56">
    <tableColumn id="1" xr3:uid="{EA16D624-8FDF-45A3-B540-16CE1BE00EDF}" name="Column1" dataDxfId="68"/>
    <tableColumn id="2" xr3:uid="{5C578315-AA35-4832-BF46-B4C31BCEC8F7}" name="FRN | 2023 Q3"/>
    <tableColumn id="3" xr3:uid="{CE801858-15D1-43C3-878A-A66035EACE3E}" name="AN | 2023 Q3"/>
    <tableColumn id="4" xr3:uid="{4761F43B-2C6F-4AA8-8005-E371BE998581}" name="STG | 2023 Q3"/>
    <tableColumn id="5" xr3:uid="{F6716E3C-A9F2-4FA5-B113-7967DA37344F}" name="FLD | 2023 Q3"/>
    <tableColumn id="6" xr3:uid="{DC1BC0D5-AA6C-4339-B99D-747040FB68C2}" name="ENT | 2023 Q3"/>
    <tableColumn id="7" xr3:uid="{0F684034-F785-4743-B0B1-3BB221D0CE10}" name="FRN | 2023 Q4"/>
    <tableColumn id="8" xr3:uid="{1F5ED26E-F826-4DCF-8079-C1923DB6F387}" name="AN | 2023 Q4"/>
    <tableColumn id="9" xr3:uid="{827DF45A-1BA4-4652-BCA6-3C62E6794DB8}" name="STG | 2023 Q4"/>
    <tableColumn id="10" xr3:uid="{2B212BEE-3F19-4E95-B21C-072BFE328F60}" name="FLD | 2023 Q4"/>
    <tableColumn id="11" xr3:uid="{8DF3B76A-08FE-44B4-9594-8C75447FB1A6}" name="ENT | 2023 Q4"/>
    <tableColumn id="12" xr3:uid="{5AE4D11F-682B-4EEC-A6A9-3E2C60266A92}" name="FRN | 2024 Q1"/>
    <tableColumn id="13" xr3:uid="{6FE81D08-24D3-4EC0-84A5-4C651CC2EE49}" name="AN | 2024 Q1"/>
    <tableColumn id="14" xr3:uid="{EF81D503-F033-4C31-A1E9-B4AC3DBC24BA}" name="STG | 2024 Q1"/>
    <tableColumn id="15" xr3:uid="{3671CDB7-8A37-4C36-B4BD-1B4B00367A2C}" name="FLD | 2024 Q1"/>
    <tableColumn id="16" xr3:uid="{95161359-C868-4644-95F0-F70A12D0BC3B}" name="ENT | 2024 Q1"/>
    <tableColumn id="17" xr3:uid="{F1BD44B9-24F2-4ACF-9A17-E4A8063DA354}" name="FRN | 2024 Q2"/>
    <tableColumn id="18" xr3:uid="{E7DF4A73-C187-4CC0-A020-D18398F21EA6}" name="AN | 2024 Q2"/>
    <tableColumn id="19" xr3:uid="{9F120BA6-8CB4-4F5F-B2BA-BA0FE187B74A}" name="STG | 2024 Q2"/>
    <tableColumn id="20" xr3:uid="{8951F0E4-31D2-4F5C-80A7-4F948AD7005F}" name="FLD | 2024 Q2"/>
    <tableColumn id="21" xr3:uid="{6BE4089D-7272-400C-8208-AFBBE7DD70BE}" name="ENT | 2024 Q2"/>
    <tableColumn id="22" xr3:uid="{49A235C6-BEEC-4D89-BE38-C91B8B7E4291}" name="FRN | 2024 Q3"/>
    <tableColumn id="23" xr3:uid="{9D82241A-27A2-4DBA-B998-508D4AE85E29}" name="AN | 2024 Q3"/>
    <tableColumn id="24" xr3:uid="{1004F805-D560-40F3-AA69-5C51685729DD}" name="STG | 2024 Q3"/>
    <tableColumn id="25" xr3:uid="{D26DEA8A-D644-470C-A833-99923FB36C89}" name="FLD | 2024 Q3"/>
    <tableColumn id="26" xr3:uid="{7B6097BC-6728-495D-8932-B12DEA1FCA9E}" name="ENT | 2024 Q3"/>
    <tableColumn id="27" xr3:uid="{7375B262-DDF7-4AD3-B9B2-D51FEADBA195}" name="FRN | 2024 Q4"/>
    <tableColumn id="28" xr3:uid="{854BCB84-68E3-4D96-907D-5E96D83A0687}" name="AN | 2024 Q4"/>
    <tableColumn id="29" xr3:uid="{896AD589-E49C-4F3E-AFF2-1C15990D3527}" name="STG | 2024 Q4"/>
    <tableColumn id="30" xr3:uid="{4463FBE8-EA7E-4916-A52B-1CFF5CFE2228}" name="FLD | 2024 Q4"/>
    <tableColumn id="31" xr3:uid="{ED86D01B-7176-4C9D-AD78-6CDB8094560B}" name="ENT | 2024 Q4"/>
    <tableColumn id="32" xr3:uid="{D9CDA360-C876-45D5-BBAC-F472E43A670C}" name="FRN | 2025 Q1"/>
    <tableColumn id="33" xr3:uid="{0913A60A-3DBE-462D-A602-9BCCED786EA7}" name="AN | 2025 Q1"/>
    <tableColumn id="34" xr3:uid="{DCD7BBA3-EABF-4682-9D2F-770EF9CA6620}" name="STG | 2025 Q1"/>
    <tableColumn id="35" xr3:uid="{E994E658-628F-41A2-9D2A-1E1538472BF7}" name="FLD | 2025 Q1"/>
    <tableColumn id="36" xr3:uid="{4EFDECDB-303B-417C-BBBD-3B911B67CCFF}" name="ENT | 2025 Q1"/>
    <tableColumn id="37" xr3:uid="{5F4B3F60-BA76-44FD-9A57-FAB3CFB326C2}" name="FRN | 2025 Q2"/>
    <tableColumn id="38" xr3:uid="{BF8C37A6-3A15-45ED-A0D9-424FCA0B1516}" name="AN | 2025 Q2"/>
    <tableColumn id="39" xr3:uid="{EC2D7780-1514-43F2-8030-E0B2D7D6F43C}" name="STG | 2025 Q2"/>
    <tableColumn id="40" xr3:uid="{A0D41F1D-EE9B-4D5F-BB15-6A27D6E4A9BC}" name="FLD | 2025 Q2"/>
    <tableColumn id="41" xr3:uid="{3263EC09-B727-407E-8E5C-4FA6692AB3BA}" name="ENT | 2025 Q2"/>
    <tableColumn id="42" xr3:uid="{B1410BD2-F092-4DE4-9347-FC128A63AE60}" name="FRN | 2025 Q3"/>
    <tableColumn id="43" xr3:uid="{D4C14562-5545-4CF1-AEB5-E042E197EC39}" name="AN | 2025 Q3"/>
    <tableColumn id="44" xr3:uid="{94075ED1-1275-49E7-BF56-9F033F9D924A}" name="STG | 2025 Q3"/>
    <tableColumn id="45" xr3:uid="{42AE0D65-C821-42C0-B806-ED24C3AA1F55}" name="FLD | 2025 Q3"/>
    <tableColumn id="46" xr3:uid="{9313378B-CC9F-4C76-AD72-837BF2A3FDD4}" name="ENT | 2025 Q3"/>
    <tableColumn id="47" xr3:uid="{709E4F0B-143E-4F6C-A06C-C68560A45342}" name="FRN | 2025 Q4"/>
    <tableColumn id="48" xr3:uid="{A3CFF3D5-B8C9-4B39-96B6-79BF7A674902}" name="AN | 2025 Q4"/>
    <tableColumn id="49" xr3:uid="{5CCD7750-73E0-4472-AB15-9E48879B905F}" name="STG | 2025 Q4"/>
    <tableColumn id="50" xr3:uid="{D9A05834-A1C6-4D9E-923C-A9DE45691C24}" name="FLD | 2025 Q4"/>
    <tableColumn id="51" xr3:uid="{6FA528A2-0B04-4D15-96E6-5968342F9012}" name="ENT | 2025 Q4"/>
    <tableColumn id="52" xr3:uid="{C4243B7E-CE7E-49FF-A52F-A5C5895D321F}" name="FRN | 2026 Q1"/>
    <tableColumn id="53" xr3:uid="{FC57A436-781B-48D6-9988-9AC5B219C5B6}" name="AN | 2026 Q1"/>
    <tableColumn id="54" xr3:uid="{531FF7D2-0D42-4973-B5E7-5BE67EF36774}" name="STG | 2026 Q1"/>
    <tableColumn id="55" xr3:uid="{FEBF35F3-BA4D-4E48-B9E0-7B5ED1CAA615}" name="FLD | 2026 Q1"/>
    <tableColumn id="56" xr3:uid="{2332B771-54A2-4F03-B547-2D2C2B4A15AC}" name="ENT | 2026 Q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7C6CC3-410B-434D-B64C-5DC5253620CB}" name="flag" displayName="flag" ref="A1:BD25" totalsRowShown="0" headerRowDxfId="67">
  <autoFilter ref="A1:BD25" xr:uid="{D67C6CC3-410B-434D-B64C-5DC5253620CB}"/>
  <tableColumns count="56">
    <tableColumn id="1" xr3:uid="{733A2C13-4239-410B-98E8-4378C1E275B8}" name="Column1" dataDxfId="66"/>
    <tableColumn id="2" xr3:uid="{C60FFDF2-898E-40FD-9C69-D8125BF127AF}" name="FRN | 2023 Q3" dataDxfId="65"/>
    <tableColumn id="3" xr3:uid="{CAAD0D9A-6754-4594-8C48-E43F97A9825C}" name="AN | 2023 Q3" dataDxfId="64"/>
    <tableColumn id="4" xr3:uid="{3E97C722-5350-4506-9C8C-28BE54F74943}" name="STG | 2023 Q3" dataDxfId="63"/>
    <tableColumn id="5" xr3:uid="{97C311A7-EF11-447A-B2CC-F199C14C6014}" name="FLD | 2023 Q3" dataDxfId="62"/>
    <tableColumn id="6" xr3:uid="{37828C36-19AC-4CE4-9087-4FF995437A4D}" name="ENT | 2023 Q3" dataDxfId="61"/>
    <tableColumn id="7" xr3:uid="{35E9C467-CCBF-4E7F-A79D-5A8694E4E6AB}" name="FRN | 2023 Q4" dataDxfId="60"/>
    <tableColumn id="8" xr3:uid="{70D95F34-A93D-4E4F-B662-758A1F613BF8}" name="AN | 2023 Q4" dataDxfId="59"/>
    <tableColumn id="9" xr3:uid="{842EF921-8A64-4EA7-9E55-342F6641D04A}" name="STG | 2023 Q4" dataDxfId="58"/>
    <tableColumn id="10" xr3:uid="{32EBE23D-81F5-459D-9E43-0255AD6F6A51}" name="FLD | 2023 Q4" dataDxfId="57"/>
    <tableColumn id="11" xr3:uid="{68B3DED9-FE16-4B25-882E-822DBF465DAE}" name="ENT | 2023 Q4" dataDxfId="56"/>
    <tableColumn id="12" xr3:uid="{B8032C73-2904-46EF-840C-F6834954FAC1}" name="FRN | 2024 Q1" dataDxfId="55"/>
    <tableColumn id="13" xr3:uid="{BE1A27A3-D042-42D4-A438-263F52552907}" name="AN | 2024 Q1" dataDxfId="54"/>
    <tableColumn id="14" xr3:uid="{0741D57B-F7FD-4232-8F7F-91BBE5C1072E}" name="STG | 2024 Q1" dataDxfId="53"/>
    <tableColumn id="15" xr3:uid="{BA9B2573-1D44-4F70-991A-8020A83DF05A}" name="FLD | 2024 Q1" dataDxfId="52"/>
    <tableColumn id="16" xr3:uid="{EC27A22F-DCE7-4394-933B-C8F5DED9517A}" name="ENT | 2024 Q1" dataDxfId="51"/>
    <tableColumn id="17" xr3:uid="{0D13BF41-93EB-4400-986C-1569237DAC81}" name="FRN | 2024 Q2" dataDxfId="50"/>
    <tableColumn id="18" xr3:uid="{FE934D2C-221A-43C7-9E62-C11A0D6ECD0A}" name="AN | 2024 Q2" dataDxfId="49"/>
    <tableColumn id="19" xr3:uid="{AE4FF488-EA00-4E6E-8083-06D7D5160E8B}" name="STG | 2024 Q2" dataDxfId="48"/>
    <tableColumn id="20" xr3:uid="{B4D827D1-EE35-4187-A210-5184940736C5}" name="FLD | 2024 Q2" dataDxfId="47"/>
    <tableColumn id="21" xr3:uid="{3DF4C607-E76F-428D-871D-5C2D62AE1328}" name="ENT | 2024 Q2" dataDxfId="46"/>
    <tableColumn id="22" xr3:uid="{BCBD886E-224B-4FDF-B571-9029AD2E3F3D}" name="FRN | 2024 Q3" dataDxfId="45"/>
    <tableColumn id="23" xr3:uid="{B74816EB-41DF-41A5-9ED9-CB25FDDCA5D6}" name="AN | 2024 Q3" dataDxfId="44"/>
    <tableColumn id="24" xr3:uid="{6F31AEB0-3AA0-4224-B103-380D426448D5}" name="STG | 2024 Q3" dataDxfId="43"/>
    <tableColumn id="25" xr3:uid="{0E6917E7-90B4-4CEE-82AA-7792CD57C663}" name="FLD | 2024 Q3" dataDxfId="42"/>
    <tableColumn id="26" xr3:uid="{5264BDAC-ACB1-46B2-A784-50D43D27D963}" name="ENT | 2024 Q3" dataDxfId="41"/>
    <tableColumn id="27" xr3:uid="{86ACB8F1-6121-4C95-A2D4-44FEF683DF1F}" name="FRN | 2024 Q4" dataDxfId="40"/>
    <tableColumn id="28" xr3:uid="{BB852945-B147-4FCD-88AD-86DAD7D318CE}" name="AN | 2024 Q4" dataDxfId="39"/>
    <tableColumn id="29" xr3:uid="{B825C82B-29FA-4D76-839D-6C14E6F07D58}" name="STG | 2024 Q4" dataDxfId="38"/>
    <tableColumn id="30" xr3:uid="{0B5939F3-6502-426C-9E23-E9C6C0094951}" name="FLD | 2024 Q4" dataDxfId="37"/>
    <tableColumn id="31" xr3:uid="{90948E5D-89B5-4939-B1D2-E315C4A31A38}" name="ENT | 2024 Q4" dataDxfId="36"/>
    <tableColumn id="32" xr3:uid="{41A4E9E0-3423-4FD1-BEDE-E9A094922D79}" name="FRN | 2025 Q1" dataDxfId="35"/>
    <tableColumn id="33" xr3:uid="{F690D2EC-AE23-40D4-8C08-588C4D02020E}" name="AN | 2025 Q1" dataDxfId="34"/>
    <tableColumn id="34" xr3:uid="{61C44A05-DD70-48A0-BCF0-466D01FF33A3}" name="STG | 2025 Q1" dataDxfId="33"/>
    <tableColumn id="35" xr3:uid="{644B952A-D19C-4C5C-87F6-F1A9F0FC9819}" name="FLD | 2025 Q1" dataDxfId="32"/>
    <tableColumn id="36" xr3:uid="{2A85EFC0-E374-4C51-8B70-97F953514FF7}" name="ENT | 2025 Q1" dataDxfId="31"/>
    <tableColumn id="37" xr3:uid="{798C3CBC-7D51-44FD-97F8-90AC100CD511}" name="FRN | 2025 Q2" dataDxfId="30"/>
    <tableColumn id="38" xr3:uid="{C0583AC6-4675-4EA4-A9CF-265A3E3C2AB2}" name="AN | 2025 Q2" dataDxfId="29"/>
    <tableColumn id="39" xr3:uid="{B2F3F231-886D-4F10-8DD3-946A0B93E289}" name="STG | 2025 Q2" dataDxfId="28"/>
    <tableColumn id="40" xr3:uid="{036B8125-F363-44A3-8CE4-336B17F8E2F5}" name="FLD | 2025 Q2" dataDxfId="27"/>
    <tableColumn id="41" xr3:uid="{51AC96FC-766B-4FE7-B274-B032CDB13A85}" name="ENT | 2025 Q2" dataDxfId="26"/>
    <tableColumn id="42" xr3:uid="{76ED54ED-26A0-41F6-98D0-70183FD736A0}" name="FRN | 2025 Q3" dataDxfId="25"/>
    <tableColumn id="43" xr3:uid="{C2E347CD-8E62-415B-B04B-F21A837FADE9}" name="AN | 2025 Q3" dataDxfId="24"/>
    <tableColumn id="44" xr3:uid="{14EF1ED4-5C6E-41DF-A860-A72D2055E416}" name="STG | 2025 Q3" dataDxfId="23"/>
    <tableColumn id="45" xr3:uid="{876AABD1-2A4C-486C-BD73-DFCC725A4182}" name="FLD | 2025 Q3" dataDxfId="22"/>
    <tableColumn id="46" xr3:uid="{13E04447-A0F4-4EFC-86FB-4B518020F5B0}" name="ENT | 2025 Q3" dataDxfId="21"/>
    <tableColumn id="47" xr3:uid="{7DB3DEF0-9C0F-4432-91FD-08622CEC0B45}" name="FRN | 2025 Q4" dataDxfId="20"/>
    <tableColumn id="48" xr3:uid="{54A3B9A4-4D1C-475F-8415-54E08977F365}" name="AN | 2025 Q4" dataDxfId="19"/>
    <tableColumn id="49" xr3:uid="{52425990-D3E2-43D8-81EC-6C4053FCC07D}" name="STG | 2025 Q4" dataDxfId="18"/>
    <tableColumn id="50" xr3:uid="{C6DD6CEE-DB3F-40D4-AD7A-8D620A62FF1A}" name="FLD | 2025 Q4" dataDxfId="17"/>
    <tableColumn id="51" xr3:uid="{40F22680-1AC9-48AB-BF11-992F95F209CC}" name="ENT | 2025 Q4" dataDxfId="16"/>
    <tableColumn id="52" xr3:uid="{A5510AC6-F919-4E16-A8DB-5B6508A36482}" name="FRN | 2026 Q1" dataDxfId="15"/>
    <tableColumn id="53" xr3:uid="{5F845C0B-7864-4284-BA41-1EE2CF3C7E63}" name="AN | 2026 Q1" dataDxfId="14"/>
    <tableColumn id="54" xr3:uid="{9C4FB6FF-0B8A-42AB-967E-0D8CDA7444E8}" name="STG | 2026 Q1" dataDxfId="13"/>
    <tableColumn id="55" xr3:uid="{1B552ABA-4E7D-43AC-9087-DE161D083C99}" name="FLD | 2026 Q1" dataDxfId="12"/>
    <tableColumn id="56" xr3:uid="{EAED6D44-81C2-49E6-8ADE-4B4A20E77B54}" name="ENT | 2026 Q1" dataDxfId="1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DB4552-7036-49C5-9386-69A73C4EC3EF}" name="fraud" displayName="fraud" ref="A1:F79" totalsRowShown="0">
  <autoFilter ref="A1:F79" xr:uid="{09DB4552-7036-49C5-9386-69A73C4EC3EF}"/>
  <sortState xmlns:xlrd2="http://schemas.microsoft.com/office/spreadsheetml/2017/richdata2" ref="A2:E68">
    <sortCondition ref="A1:A68"/>
  </sortState>
  <tableColumns count="6">
    <tableColumn id="1" xr3:uid="{535A3309-BF72-4B0B-8145-A79EEF808AF6}" name="time"/>
    <tableColumn id="2" xr3:uid="{E79D82F0-C3D1-4BC3-A5D0-4E6D079E75F9}" name="lob"/>
    <tableColumn id="3" xr3:uid="{7E236A39-D911-4520-840F-9910D1CCE12E}" name="neg_fraud"/>
    <tableColumn id="4" xr3:uid="{7E170596-EF16-4178-8215-88B01D81BC6B}" name="pos_fraud"/>
    <tableColumn id="5" xr3:uid="{41C7539E-7764-44CA-A246-F39A29B7DF91}" name="other_fraud"/>
    <tableColumn id="6" xr3:uid="{AE7D1609-6B70-4E41-94F9-0BC69B837D2A}" name="lookup" dataDxfId="10">
      <calculatedColumnFormula>_xlfn.CONCAT(fraud[[#This Row],[lob]], " ",fraud[[#This Row],[time]])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2E1F1F-5105-48BB-9E5A-F329143A296A}" name="dll" displayName="dll" ref="A1:K229" totalsRowShown="0" dataCellStyle="Percent">
  <autoFilter ref="A1:K229" xr:uid="{8D2E1F1F-5105-48BB-9E5A-F329143A296A}"/>
  <sortState xmlns:xlrd2="http://schemas.microsoft.com/office/spreadsheetml/2017/richdata2" ref="A2:J188">
    <sortCondition descending="1" ref="A1:A188"/>
  </sortState>
  <tableColumns count="11">
    <tableColumn id="1" xr3:uid="{896E7B2E-6EB4-4D51-9814-99FF3707BBEE}" name="valid_vintage"/>
    <tableColumn id="2" xr3:uid="{1684D702-0B8C-4A68-84FE-70B331AEF29A}" name="lob"/>
    <tableColumn id="3" xr3:uid="{4CB56F72-A2F7-413C-B108-474E44E1E938}" name="a_dealers" dataDxfId="9" dataCellStyle="Percent"/>
    <tableColumn id="4" xr3:uid="{16747FD4-56D5-4C6C-8D8E-6291E52834FC}" name="b_dealers" dataDxfId="8" dataCellStyle="Percent"/>
    <tableColumn id="5" xr3:uid="{009C6D43-2F32-4340-A397-C0D2DA0CB477}" name="c_dealers" dataDxfId="7" dataCellStyle="Percent"/>
    <tableColumn id="6" xr3:uid="{E3A28409-D34A-4466-A949-98FDB0A4B3C9}" name="d_dealers" dataDxfId="6" dataCellStyle="Percent"/>
    <tableColumn id="7" xr3:uid="{80DE57CC-A149-488D-9B63-275A26716AF9}" name="e_dealers" dataDxfId="5" dataCellStyle="Percent"/>
    <tableColumn id="8" xr3:uid="{C7FEDE8A-A5F9-4709-A6F9-CF6B7247AE30}" name="f_dealers" dataDxfId="4" dataCellStyle="Percent"/>
    <tableColumn id="9" xr3:uid="{371A6FED-C0A0-40B7-AD4A-81F763A6DB95}" name="good_dealer" dataDxfId="3" dataCellStyle="Percent"/>
    <tableColumn id="10" xr3:uid="{48A5533D-FCA8-4388-B668-3A3F27B7EFAB}" name="bad_dealer" dataDxfId="2" dataCellStyle="Percent"/>
    <tableColumn id="11" xr3:uid="{3284C461-1715-4F06-BBD5-13E2680D2D88}" name="lookup" dataDxfId="1" dataCellStyle="Percent">
      <calculatedColumnFormula>_xlfn.CONCAT(dll[[#This Row],[lob]], " ", dll[[#This Row],[valid_vintage]])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40B77A-271E-4409-900E-A1B96924E542}" name="dq" displayName="dq" ref="A1:G55" totalsRowShown="0">
  <autoFilter ref="A1:G55" xr:uid="{5940B77A-271E-4409-900E-A1B96924E542}"/>
  <tableColumns count="7">
    <tableColumn id="1" xr3:uid="{14C815FF-C799-4B76-A47F-3B7CD998939C}" name="vintage"/>
    <tableColumn id="2" xr3:uid="{6C3534C5-28E4-4280-9B66-CC118C19EC45}" name="lob"/>
    <tableColumn id="3" xr3:uid="{941B1E9F-C2ED-4E9F-8494-911797FDF5AD}" name="dq_3"/>
    <tableColumn id="4" xr3:uid="{06079F97-51D6-4A31-BF8F-55278C651832}" name="dq_6"/>
    <tableColumn id="5" xr3:uid="{78C33749-3DAA-4188-B093-C5462CB7A908}" name="co_6"/>
    <tableColumn id="6" xr3:uid="{762B8760-5216-4057-AA8F-ACB6F8EC3D7D}" name="co_12"/>
    <tableColumn id="7" xr3:uid="{A9DCC709-608E-4F81-9751-D3861F6C49A8}" name="lookup" dataDxfId="0">
      <calculatedColumnFormula>_xlfn.CONCAT(dq[[#This Row],[lob]]," ", dq[[#This Row],[vintage]])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W105"/>
  <sheetViews>
    <sheetView zoomScale="109" zoomScaleNormal="145" workbookViewId="0">
      <selection activeCell="D9" sqref="D9"/>
    </sheetView>
  </sheetViews>
  <sheetFormatPr defaultRowHeight="14.5" x14ac:dyDescent="0.35"/>
  <cols>
    <col min="1" max="1" width="21.7265625" style="15" customWidth="1"/>
    <col min="2" max="2" width="10.36328125" style="15" customWidth="1"/>
    <col min="3" max="3" width="8.7265625" style="15"/>
    <col min="4" max="4" width="23.36328125" style="15" customWidth="1"/>
    <col min="5" max="5" width="19.08984375" style="15" bestFit="1" customWidth="1"/>
    <col min="6" max="6" width="13.08984375" style="15" customWidth="1"/>
    <col min="7" max="7" width="17.26953125" style="15" customWidth="1"/>
    <col min="8" max="8" width="13" style="15" customWidth="1"/>
    <col min="9" max="9" width="5.7265625" style="15" customWidth="1"/>
    <col min="10" max="10" width="22.26953125" style="15" customWidth="1"/>
    <col min="11" max="11" width="9.36328125" style="15" bestFit="1" customWidth="1"/>
    <col min="12" max="12" width="13.90625" style="15" customWidth="1"/>
    <col min="13" max="13" width="17" style="15" bestFit="1" customWidth="1"/>
    <col min="14" max="17" width="19.7265625" style="15" customWidth="1"/>
    <col min="18" max="23" width="8.7265625" style="15"/>
  </cols>
  <sheetData>
    <row r="1" spans="1:23" ht="16" thickBot="1" x14ac:dyDescent="0.4">
      <c r="A1" s="74" t="s">
        <v>409</v>
      </c>
      <c r="B1" s="61" t="s">
        <v>155</v>
      </c>
      <c r="C1" s="33"/>
      <c r="K1"/>
      <c r="L1"/>
      <c r="M1"/>
      <c r="N1"/>
      <c r="O1"/>
      <c r="P1"/>
      <c r="Q1"/>
      <c r="R1"/>
      <c r="S1"/>
      <c r="T1"/>
      <c r="U1"/>
      <c r="V1"/>
      <c r="W1"/>
    </row>
    <row r="2" spans="1:23" ht="21.5" thickBot="1" x14ac:dyDescent="0.55000000000000004">
      <c r="A2" s="74" t="s">
        <v>124</v>
      </c>
      <c r="B2" s="61" t="s">
        <v>128</v>
      </c>
      <c r="C2" s="33"/>
      <c r="E2" s="155" t="s">
        <v>437</v>
      </c>
      <c r="F2" s="154"/>
      <c r="G2" s="154"/>
      <c r="H2" s="154"/>
      <c r="I2" s="154"/>
      <c r="J2" s="154"/>
      <c r="K2" s="154"/>
      <c r="L2" s="154"/>
      <c r="M2" s="154"/>
      <c r="N2" s="36"/>
      <c r="O2"/>
      <c r="P2"/>
      <c r="Q2"/>
      <c r="R2"/>
      <c r="S2"/>
      <c r="T2"/>
      <c r="U2"/>
      <c r="V2"/>
      <c r="W2"/>
    </row>
    <row r="3" spans="1:23" ht="16" thickBot="1" x14ac:dyDescent="0.4">
      <c r="A3" s="74" t="s">
        <v>125</v>
      </c>
      <c r="B3" s="61" t="s">
        <v>131</v>
      </c>
      <c r="C3" s="33"/>
      <c r="O3"/>
      <c r="P3"/>
      <c r="Q3"/>
      <c r="R3"/>
      <c r="S3"/>
      <c r="T3"/>
      <c r="U3"/>
      <c r="V3"/>
      <c r="W3"/>
    </row>
    <row r="4" spans="1:23" ht="17.5" thickBot="1" x14ac:dyDescent="0.4">
      <c r="E4" s="213" t="s">
        <v>410</v>
      </c>
      <c r="F4" s="214"/>
      <c r="G4" s="214"/>
      <c r="H4" s="215"/>
      <c r="N4" s="36"/>
    </row>
    <row r="5" spans="1:23" ht="15" thickBot="1" x14ac:dyDescent="0.4">
      <c r="A5" s="62" t="s">
        <v>421</v>
      </c>
      <c r="B5" s="37"/>
      <c r="E5" s="119" t="str">
        <f>factory!U26</f>
        <v>POS</v>
      </c>
      <c r="F5" s="116" t="str">
        <f>B2</f>
        <v>2025 Q1</v>
      </c>
      <c r="G5" s="116" t="str">
        <f>B3</f>
        <v>2025 Q4</v>
      </c>
      <c r="H5" s="118" t="s">
        <v>137</v>
      </c>
      <c r="K5"/>
      <c r="L5"/>
      <c r="N5" s="34"/>
    </row>
    <row r="6" spans="1:23" ht="15.5" x14ac:dyDescent="0.35">
      <c r="A6" s="41" t="s">
        <v>149</v>
      </c>
      <c r="B6" s="37"/>
      <c r="E6" s="59" t="s">
        <v>193</v>
      </c>
      <c r="F6" s="70">
        <f>factory!V27</f>
        <v>138.29935729461579</v>
      </c>
      <c r="G6" s="70">
        <f>factory!W27</f>
        <v>140.31999546557549</v>
      </c>
      <c r="H6" s="163">
        <f>G6-F6</f>
        <v>2.0206381709596997</v>
      </c>
      <c r="K6"/>
      <c r="L6"/>
    </row>
    <row r="7" spans="1:23" ht="14.5" customHeight="1" x14ac:dyDescent="0.35">
      <c r="A7" s="42" t="s">
        <v>153</v>
      </c>
      <c r="E7" s="59" t="s">
        <v>209</v>
      </c>
      <c r="F7" s="83">
        <f>factory!V28</f>
        <v>0.21131624994714571</v>
      </c>
      <c r="G7" s="83">
        <f>factory!W28</f>
        <v>1.9565456161171539</v>
      </c>
      <c r="H7" s="164">
        <f>G7-F7</f>
        <v>1.7452293661700082</v>
      </c>
      <c r="P7" s="36"/>
      <c r="Q7" s="36"/>
      <c r="R7" s="36"/>
      <c r="S7" s="36"/>
      <c r="T7" s="36"/>
      <c r="U7" s="36"/>
      <c r="V7" s="36"/>
    </row>
    <row r="8" spans="1:23" ht="14.5" customHeight="1" thickBot="1" x14ac:dyDescent="0.4">
      <c r="A8" s="42" t="s">
        <v>122</v>
      </c>
      <c r="E8" s="59" t="s">
        <v>210</v>
      </c>
      <c r="F8" s="83">
        <f>factory!V29</f>
        <v>2.1597741063951048</v>
      </c>
      <c r="G8" s="83">
        <f>factory!W29</f>
        <v>3.7818078251801239</v>
      </c>
      <c r="H8" s="164">
        <f>G8-F8</f>
        <v>1.6220337187850191</v>
      </c>
      <c r="P8" s="36"/>
      <c r="Q8" s="36"/>
      <c r="R8" s="36"/>
      <c r="S8" s="36"/>
      <c r="T8" s="36"/>
      <c r="U8" s="36"/>
      <c r="V8" s="36"/>
    </row>
    <row r="9" spans="1:23" ht="16" thickBot="1" x14ac:dyDescent="0.4">
      <c r="A9" s="42" t="s">
        <v>155</v>
      </c>
      <c r="E9" s="115" t="s">
        <v>211</v>
      </c>
      <c r="F9" s="113">
        <f>factory!V30</f>
        <v>140.67044765095804</v>
      </c>
      <c r="G9" s="114">
        <f>factory!W30</f>
        <v>146.05834890687277</v>
      </c>
      <c r="H9" s="165">
        <f t="shared" ref="H9" si="0">G9-F9</f>
        <v>5.387901255914727</v>
      </c>
      <c r="K9" s="35"/>
      <c r="P9" s="36"/>
      <c r="Q9" s="36"/>
      <c r="R9" s="36"/>
      <c r="S9" s="36"/>
      <c r="T9" s="36"/>
      <c r="U9" s="36"/>
      <c r="V9" s="36"/>
    </row>
    <row r="10" spans="1:23" ht="14.5" customHeight="1" thickBot="1" x14ac:dyDescent="0.4">
      <c r="A10" s="43" t="s">
        <v>151</v>
      </c>
      <c r="K10" s="35"/>
      <c r="P10" s="36"/>
      <c r="Q10" s="36"/>
      <c r="R10" s="36"/>
      <c r="S10" s="36"/>
      <c r="T10" s="36"/>
      <c r="U10" s="36"/>
      <c r="V10" s="36"/>
    </row>
    <row r="11" spans="1:23" ht="14.5" customHeight="1" thickBot="1" x14ac:dyDescent="0.4">
      <c r="E11" s="225" t="s">
        <v>411</v>
      </c>
      <c r="F11" s="226"/>
      <c r="G11" s="226"/>
      <c r="H11" s="227"/>
      <c r="J11" s="170" t="s">
        <v>412</v>
      </c>
      <c r="K11" s="168"/>
      <c r="L11" s="168"/>
      <c r="M11" s="169"/>
      <c r="P11" s="36"/>
      <c r="Q11" s="36"/>
      <c r="R11" s="36"/>
      <c r="S11" s="36"/>
      <c r="T11" s="36"/>
      <c r="U11" s="36"/>
      <c r="V11" s="36"/>
    </row>
    <row r="12" spans="1:23" ht="15" thickBot="1" x14ac:dyDescent="0.4">
      <c r="E12" s="109" t="s">
        <v>234</v>
      </c>
      <c r="F12" s="123" t="str">
        <f>B2</f>
        <v>2025 Q1</v>
      </c>
      <c r="G12" s="116" t="str">
        <f>B3</f>
        <v>2025 Q4</v>
      </c>
      <c r="H12" s="118" t="s">
        <v>137</v>
      </c>
      <c r="J12" s="109" t="s">
        <v>234</v>
      </c>
      <c r="K12" s="124" t="str">
        <f>B2</f>
        <v>2025 Q1</v>
      </c>
      <c r="L12" s="125" t="str">
        <f>B3</f>
        <v>2025 Q4</v>
      </c>
      <c r="M12" s="117" t="s">
        <v>137</v>
      </c>
      <c r="P12" s="36"/>
      <c r="Q12" s="36"/>
      <c r="R12" s="36"/>
      <c r="S12" s="36"/>
      <c r="T12" s="36"/>
      <c r="U12" s="36"/>
      <c r="V12" s="36"/>
    </row>
    <row r="13" spans="1:23" ht="18" customHeight="1" x14ac:dyDescent="0.35">
      <c r="E13" s="120" t="s">
        <v>199</v>
      </c>
      <c r="F13" s="161">
        <f>INDEX('POS decomp'!$I21:$S21,MATCH(F$12,'POS decomp'!$I$20:$S$20, 0))</f>
        <v>-0.95588292985341106</v>
      </c>
      <c r="G13" s="161">
        <f>INDEX('POS decomp'!$I21:$S21,MATCH(G$12,'POS decomp'!$I$20:$S$20, 0))</f>
        <v>2.0246779857254697E-2</v>
      </c>
      <c r="H13" s="163">
        <f>G13-F13</f>
        <v>0.97612970971066571</v>
      </c>
      <c r="J13" s="110" t="s">
        <v>199</v>
      </c>
      <c r="K13" s="146">
        <f>INDEX('POS decomp'!$AB21:$AL21,MATCH(K$12,'POS decomp'!$AB$20:$AL$20, 0))</f>
        <v>-0.15422944841979</v>
      </c>
      <c r="L13" s="146">
        <f>INDEX('POS decomp'!$AB21:$AL21,MATCH(L$12,'POS decomp'!$AB$20:$AL$20, 0))</f>
        <v>0.72239380095455907</v>
      </c>
      <c r="M13" s="163">
        <f t="shared" ref="M13:M18" si="1">L13-K13</f>
        <v>0.8766232493743491</v>
      </c>
      <c r="P13" s="36"/>
      <c r="Q13" s="36"/>
      <c r="R13" s="36"/>
      <c r="S13" s="36"/>
      <c r="T13" s="36"/>
      <c r="U13" s="36"/>
      <c r="V13" s="36"/>
    </row>
    <row r="14" spans="1:23" x14ac:dyDescent="0.35">
      <c r="E14" s="121" t="s">
        <v>149</v>
      </c>
      <c r="F14" s="161">
        <f>INDEX('POS decomp'!$I22:$S22,MATCH(F$12,'POS decomp'!$I$20:$S$20, 0))</f>
        <v>0.27284125064099179</v>
      </c>
      <c r="G14" s="161">
        <f>INDEX('POS decomp'!$I22:$S22,MATCH(G$12,'POS decomp'!$I$20:$S$20, 0))</f>
        <v>0.40054145168165267</v>
      </c>
      <c r="H14" s="163">
        <f t="shared" ref="H14:H19" si="2">G14-F14</f>
        <v>0.12770020104066088</v>
      </c>
      <c r="J14" s="110" t="s">
        <v>149</v>
      </c>
      <c r="K14" s="146">
        <f>INDEX('POS decomp'!$AB22:$AL22,MATCH(K$12,'POS decomp'!$AB$20:$AL$20, 0))</f>
        <v>8.331732722427633E-2</v>
      </c>
      <c r="L14" s="146">
        <f>INDEX('POS decomp'!$AB22:$AL22,MATCH(L$12,'POS decomp'!$AB$20:$AL$20, 0))</f>
        <v>0.18577643110719819</v>
      </c>
      <c r="M14" s="163">
        <f t="shared" si="1"/>
        <v>0.10245910388292186</v>
      </c>
      <c r="P14" s="36"/>
      <c r="Q14" s="36"/>
      <c r="R14" s="36"/>
      <c r="S14" s="36"/>
      <c r="T14" s="36"/>
      <c r="U14" s="36"/>
      <c r="V14" s="36"/>
    </row>
    <row r="15" spans="1:23" x14ac:dyDescent="0.35">
      <c r="E15" s="121" t="s">
        <v>151</v>
      </c>
      <c r="F15" s="161">
        <f>INDEX('POS decomp'!$I23:$S23,MATCH(F$12,'POS decomp'!$I$20:$S$20, 0))</f>
        <v>1.1738563186334088</v>
      </c>
      <c r="G15" s="161">
        <f>INDEX('POS decomp'!$I23:$S23,MATCH(G$12,'POS decomp'!$I$20:$S$20, 0))</f>
        <v>1.5164242825066436</v>
      </c>
      <c r="H15" s="163">
        <f t="shared" si="2"/>
        <v>0.34256796387323485</v>
      </c>
      <c r="J15" s="110" t="s">
        <v>151</v>
      </c>
      <c r="K15" s="146">
        <f>INDEX('POS decomp'!$AB23:$AL23,MATCH(K$12,'POS decomp'!$AB$20:$AL$20, 0))</f>
        <v>0.11940349733668117</v>
      </c>
      <c r="L15" s="146">
        <f>INDEX('POS decomp'!$AB23:$AL23,MATCH(L$12,'POS decomp'!$AB$20:$AL$20, 0))</f>
        <v>0.46468387914270087</v>
      </c>
      <c r="M15" s="163">
        <f t="shared" si="1"/>
        <v>0.34528038180601972</v>
      </c>
      <c r="P15" s="36"/>
      <c r="Q15" s="36"/>
      <c r="R15" s="36"/>
      <c r="S15" s="36"/>
      <c r="T15" s="36"/>
      <c r="U15" s="36"/>
      <c r="V15" s="36"/>
    </row>
    <row r="16" spans="1:23" x14ac:dyDescent="0.35">
      <c r="E16" s="121" t="s">
        <v>153</v>
      </c>
      <c r="F16" s="161">
        <f>INDEX('POS decomp'!$I24:$S24,MATCH(F$12,'POS decomp'!$I$20:$S$20, 0))</f>
        <v>0.75299844080888478</v>
      </c>
      <c r="G16" s="161">
        <f>INDEX('POS decomp'!$I24:$S24,MATCH(G$12,'POS decomp'!$I$20:$S$20, 0))</f>
        <v>0.92455928966797207</v>
      </c>
      <c r="H16" s="163">
        <f t="shared" si="2"/>
        <v>0.17156084885908729</v>
      </c>
      <c r="J16" s="110" t="s">
        <v>153</v>
      </c>
      <c r="K16" s="146">
        <f>INDEX('POS decomp'!$AB24:$AL24,MATCH(K$12,'POS decomp'!$AB$20:$AL$20, 0))</f>
        <v>0.20623122623005646</v>
      </c>
      <c r="L16" s="146">
        <f>INDEX('POS decomp'!$AB24:$AL24,MATCH(L$12,'POS decomp'!$AB$20:$AL$20, 0))</f>
        <v>0.30022634380932478</v>
      </c>
      <c r="M16" s="163">
        <f t="shared" si="1"/>
        <v>9.3995117579268317E-2</v>
      </c>
      <c r="P16" s="36"/>
      <c r="Q16" s="36"/>
      <c r="R16" s="36"/>
      <c r="S16" s="36"/>
      <c r="T16" s="36"/>
      <c r="U16" s="36"/>
      <c r="V16" s="36"/>
    </row>
    <row r="17" spans="5:22" x14ac:dyDescent="0.35">
      <c r="E17" s="110" t="s">
        <v>155</v>
      </c>
      <c r="F17" s="161">
        <f>INDEX('POS decomp'!$I25:$S25,MATCH(F$12,'POS decomp'!$I$20:$S$20, 0))</f>
        <v>0.11460964029930185</v>
      </c>
      <c r="G17" s="161">
        <f>INDEX('POS decomp'!$I25:$S25,MATCH(G$12,'POS decomp'!$I$20:$S$20, 0))</f>
        <v>0.21373009093933695</v>
      </c>
      <c r="H17" s="163">
        <f t="shared" si="2"/>
        <v>9.9120450640035107E-2</v>
      </c>
      <c r="J17" s="110" t="s">
        <v>155</v>
      </c>
      <c r="K17" s="146">
        <f>INDEX('POS decomp'!$AB25:$AL25,MATCH(K$12,'POS decomp'!$AB$20:$AL$20, 0))</f>
        <v>0.10732217858127735</v>
      </c>
      <c r="L17" s="146">
        <f>INDEX('POS decomp'!$AB25:$AL25,MATCH(L$12,'POS decomp'!$AB$20:$AL$20, 0))</f>
        <v>9.944576599129544E-2</v>
      </c>
      <c r="M17" s="163">
        <f t="shared" si="1"/>
        <v>-7.8764125899819099E-3</v>
      </c>
      <c r="P17" s="36"/>
      <c r="Q17" s="36"/>
      <c r="R17" s="36"/>
      <c r="S17" s="36"/>
      <c r="T17" s="36"/>
      <c r="U17" s="36"/>
      <c r="V17" s="36"/>
    </row>
    <row r="18" spans="5:22" ht="15" thickBot="1" x14ac:dyDescent="0.4">
      <c r="E18" s="122" t="s">
        <v>122</v>
      </c>
      <c r="F18" s="161">
        <f>INDEX('POS decomp'!$I26:$S26,MATCH(F$12,'POS decomp'!$I$20:$S$20, 0))</f>
        <v>0.80243801300221795</v>
      </c>
      <c r="G18" s="161">
        <f>INDEX('POS decomp'!$I26:$S26,MATCH(G$12,'POS decomp'!$I$20:$S$20, 0))</f>
        <v>0.71584809693481322</v>
      </c>
      <c r="H18" s="163">
        <f t="shared" si="2"/>
        <v>-8.6589916067404737E-2</v>
      </c>
      <c r="J18" s="110" t="s">
        <v>122</v>
      </c>
      <c r="K18" s="146">
        <f>INDEX('POS decomp'!$AB26:$AL26,MATCH(K$12,'POS decomp'!$AB$20:$AL$20, 0))</f>
        <v>-0.15072853100535966</v>
      </c>
      <c r="L18" s="146">
        <f>INDEX('POS decomp'!$AB26:$AL26,MATCH(L$12,'POS decomp'!$AB$20:$AL$20, 0))</f>
        <v>0.18401939511209034</v>
      </c>
      <c r="M18" s="163">
        <f t="shared" si="1"/>
        <v>0.33474792611744997</v>
      </c>
      <c r="P18" s="36"/>
      <c r="Q18" s="36"/>
      <c r="R18" s="36"/>
      <c r="S18" s="36"/>
      <c r="T18" s="36"/>
      <c r="U18" s="36"/>
      <c r="V18" s="36"/>
    </row>
    <row r="19" spans="5:22" ht="15" thickBot="1" x14ac:dyDescent="0.4">
      <c r="E19" s="111" t="s">
        <v>234</v>
      </c>
      <c r="F19" s="162">
        <f>SUM(F13:F18)</f>
        <v>2.1608607335313943</v>
      </c>
      <c r="G19" s="162">
        <f>SUM(G13:G18)</f>
        <v>3.7913499915876732</v>
      </c>
      <c r="H19" s="166">
        <f t="shared" si="2"/>
        <v>1.6304892580562789</v>
      </c>
      <c r="J19" s="171" t="s">
        <v>234</v>
      </c>
      <c r="K19" s="112">
        <f>SUM(K13:K18)</f>
        <v>0.21131624994714165</v>
      </c>
      <c r="L19" s="112">
        <f>SUM(L13:L18)</f>
        <v>1.9565456161171686</v>
      </c>
      <c r="M19" s="166">
        <f>L19-K19</f>
        <v>1.7452293661700269</v>
      </c>
      <c r="P19" s="36"/>
      <c r="Q19" s="36"/>
      <c r="R19" s="36"/>
      <c r="S19" s="36"/>
      <c r="T19" s="36"/>
      <c r="U19" s="36"/>
      <c r="V19" s="36"/>
    </row>
    <row r="20" spans="5:22" x14ac:dyDescent="0.35">
      <c r="F20" s="1"/>
      <c r="G20" s="1"/>
      <c r="P20" s="36"/>
      <c r="Q20" s="36"/>
      <c r="R20" s="36"/>
      <c r="S20" s="36"/>
      <c r="T20" s="36"/>
      <c r="U20" s="36"/>
      <c r="V20" s="36"/>
    </row>
    <row r="21" spans="5:22" x14ac:dyDescent="0.35">
      <c r="F21" s="1"/>
      <c r="G21" s="1"/>
      <c r="P21" s="36"/>
      <c r="Q21" s="36"/>
      <c r="R21" s="36"/>
      <c r="S21" s="36"/>
      <c r="T21" s="36"/>
      <c r="U21" s="36"/>
      <c r="V21" s="36"/>
    </row>
    <row r="22" spans="5:22" x14ac:dyDescent="0.35">
      <c r="P22" s="36"/>
      <c r="Q22" s="36"/>
      <c r="R22" s="36"/>
      <c r="S22" s="36"/>
      <c r="T22" s="36"/>
      <c r="U22" s="36"/>
      <c r="V22" s="36"/>
    </row>
    <row r="23" spans="5:22" ht="21" x14ac:dyDescent="0.5">
      <c r="E23" s="155" t="s">
        <v>416</v>
      </c>
      <c r="F23" s="154"/>
      <c r="G23" s="154"/>
      <c r="H23" s="154"/>
      <c r="I23" s="154"/>
      <c r="J23" s="154"/>
      <c r="K23" s="154"/>
      <c r="L23" s="154"/>
      <c r="M23" s="154"/>
      <c r="P23" s="36"/>
      <c r="Q23" s="36"/>
      <c r="R23" s="36"/>
      <c r="S23" s="36"/>
      <c r="T23" s="36"/>
      <c r="U23" s="36"/>
      <c r="V23" s="36"/>
    </row>
    <row r="24" spans="5:22" ht="15" thickBot="1" x14ac:dyDescent="0.4">
      <c r="P24" s="36"/>
      <c r="Q24" s="36"/>
      <c r="R24" s="36"/>
      <c r="S24" s="36"/>
      <c r="T24" s="36"/>
      <c r="U24" s="36"/>
      <c r="V24" s="36"/>
    </row>
    <row r="25" spans="5:22" ht="16" thickBot="1" x14ac:dyDescent="0.4">
      <c r="E25" s="216" t="s">
        <v>413</v>
      </c>
      <c r="F25" s="217"/>
      <c r="G25" s="217"/>
      <c r="H25" s="218"/>
      <c r="J25" s="216" t="s">
        <v>414</v>
      </c>
      <c r="K25" s="217"/>
      <c r="L25" s="217"/>
      <c r="M25" s="218"/>
      <c r="P25" s="36"/>
      <c r="Q25" s="36"/>
      <c r="R25" s="36"/>
      <c r="S25" s="36"/>
      <c r="T25" s="36"/>
      <c r="U25" s="36"/>
      <c r="V25" s="36"/>
    </row>
    <row r="26" spans="5:22" ht="15" thickBot="1" x14ac:dyDescent="0.4">
      <c r="E26" s="109" t="str">
        <f>factory!Q26</f>
        <v>KMX</v>
      </c>
      <c r="F26" s="123" t="str">
        <f>B2</f>
        <v>2025 Q1</v>
      </c>
      <c r="G26" s="116" t="str">
        <f>B3</f>
        <v>2025 Q4</v>
      </c>
      <c r="H26" s="118" t="s">
        <v>137</v>
      </c>
      <c r="J26" s="44" t="s">
        <v>199</v>
      </c>
      <c r="K26" s="45" t="str">
        <f>B2</f>
        <v>2025 Q1</v>
      </c>
      <c r="L26" s="46" t="str">
        <f>B3</f>
        <v>2025 Q4</v>
      </c>
      <c r="M26" s="47" t="s">
        <v>137</v>
      </c>
      <c r="P26" s="36"/>
      <c r="Q26" s="36"/>
      <c r="R26" s="36"/>
      <c r="S26" s="36"/>
      <c r="T26" s="36"/>
      <c r="U26" s="36"/>
      <c r="V26" s="36"/>
    </row>
    <row r="27" spans="5:22" ht="15.5" x14ac:dyDescent="0.35">
      <c r="E27" s="59" t="s">
        <v>193</v>
      </c>
      <c r="F27" s="70">
        <f>factory!R27</f>
        <v>139.70876763492191</v>
      </c>
      <c r="G27" s="70">
        <f>factory!S27</f>
        <v>140.94205426095121</v>
      </c>
      <c r="H27" s="163">
        <f>G27-F27</f>
        <v>1.2332866260292974</v>
      </c>
      <c r="J27" s="63" t="s">
        <v>112</v>
      </c>
      <c r="K27" s="38">
        <f>factory!G116+factory!G102</f>
        <v>-1.2922409771828682</v>
      </c>
      <c r="L27" s="38">
        <f>factory!H116+factory!H102</f>
        <v>-1.1293257913409658</v>
      </c>
      <c r="M27" s="48">
        <f t="shared" ref="M27:M40" si="3">L27-K27</f>
        <v>0.16291518584190245</v>
      </c>
      <c r="P27" s="36"/>
      <c r="Q27" s="36"/>
      <c r="R27" s="36"/>
      <c r="S27" s="36"/>
      <c r="T27" s="36"/>
      <c r="U27" s="36"/>
      <c r="V27" s="36"/>
    </row>
    <row r="28" spans="5:22" ht="15" thickBot="1" x14ac:dyDescent="0.4">
      <c r="E28" s="59" t="s">
        <v>209</v>
      </c>
      <c r="F28" s="83">
        <f>factory!R28</f>
        <v>-0.34039322521121562</v>
      </c>
      <c r="G28" s="83">
        <f>factory!S28</f>
        <v>1.489744982764222</v>
      </c>
      <c r="H28" s="164">
        <f>G28-F28</f>
        <v>1.8301382079754376</v>
      </c>
      <c r="J28" s="73" t="s">
        <v>226</v>
      </c>
      <c r="K28" s="93">
        <f>INDEX('KMX populations'!$B28:$L28,MATCH("KMX | "&amp;K$26,'KMX populations'!$B$1:$L$1, 0))</f>
        <v>0.23263722833306771</v>
      </c>
      <c r="L28" s="93">
        <f>INDEX('KMX populations'!$B28:$L28,MATCH("KMX | "&amp;L$26,'KMX populations'!$B$1:$L$1, 0))</f>
        <v>0.15797197153129361</v>
      </c>
      <c r="M28" s="56">
        <f t="shared" si="3"/>
        <v>-7.4665256801774105E-2</v>
      </c>
      <c r="P28" s="36"/>
      <c r="Q28" s="36"/>
      <c r="R28" s="36"/>
      <c r="S28" s="36"/>
      <c r="T28" s="36"/>
      <c r="U28" s="36"/>
      <c r="V28" s="36"/>
    </row>
    <row r="29" spans="5:22" ht="16" thickBot="1" x14ac:dyDescent="0.4">
      <c r="E29" s="59" t="s">
        <v>210</v>
      </c>
      <c r="F29" s="83">
        <f>factory!R29</f>
        <v>-2.1096883685372632</v>
      </c>
      <c r="G29" s="83">
        <f>factory!S29</f>
        <v>4.1753595711398167E-2</v>
      </c>
      <c r="H29" s="164">
        <f t="shared" ref="H29:H30" si="4">G29-F29</f>
        <v>2.1514419642486615</v>
      </c>
      <c r="J29" s="94" t="s">
        <v>403</v>
      </c>
      <c r="K29" s="96">
        <f>factory!G117</f>
        <v>-0.63280526343097299</v>
      </c>
      <c r="L29" s="75">
        <f>factory!H117</f>
        <v>-0.49157282301077787</v>
      </c>
      <c r="M29" s="77">
        <f t="shared" si="3"/>
        <v>0.14123244042019512</v>
      </c>
      <c r="P29" s="36"/>
      <c r="Q29" s="36"/>
      <c r="R29" s="36"/>
      <c r="S29" s="36"/>
      <c r="T29" s="36"/>
      <c r="U29" s="36"/>
      <c r="V29" s="36"/>
    </row>
    <row r="30" spans="5:22" ht="15" thickBot="1" x14ac:dyDescent="0.4">
      <c r="E30" s="115" t="s">
        <v>211</v>
      </c>
      <c r="F30" s="126">
        <f>factory!R30</f>
        <v>137.25868604117343</v>
      </c>
      <c r="G30" s="126">
        <f>factory!S30</f>
        <v>142.47355283942682</v>
      </c>
      <c r="H30" s="165">
        <f t="shared" si="4"/>
        <v>5.2148667982533823</v>
      </c>
      <c r="J30" s="95" t="s">
        <v>226</v>
      </c>
      <c r="K30" s="97">
        <f>INDEX('KMX populations'!B2:L2,MATCH("KMX | "&amp;K$26,'KMX populations'!$B$1:$L$1, 0))</f>
        <v>0.16212338593974171</v>
      </c>
      <c r="L30" s="108">
        <f>INDEX('KMX populations'!C2:M2,MATCH("KMX | "&amp;L$26,'KMX populations'!$B$1:$L$1, 0))</f>
        <v>0.1098021274162187</v>
      </c>
      <c r="M30" s="55">
        <f t="shared" si="3"/>
        <v>-5.2321258523523012E-2</v>
      </c>
      <c r="P30" s="36"/>
      <c r="Q30" s="36"/>
      <c r="R30" s="36"/>
      <c r="S30" s="36"/>
      <c r="T30" s="36"/>
      <c r="U30" s="36"/>
      <c r="V30" s="36"/>
    </row>
    <row r="31" spans="5:22" ht="15.5" x14ac:dyDescent="0.35">
      <c r="F31" s="1"/>
      <c r="G31" s="1"/>
      <c r="J31" s="99" t="s">
        <v>377</v>
      </c>
      <c r="K31" s="102">
        <f>factory!G107</f>
        <v>0.41491423276875122</v>
      </c>
      <c r="L31" s="103">
        <f>factory!H107</f>
        <v>0.22464027490758418</v>
      </c>
      <c r="M31" s="77">
        <f t="shared" si="3"/>
        <v>-0.19027395786116705</v>
      </c>
      <c r="P31" s="36"/>
      <c r="Q31" s="36"/>
      <c r="R31" s="36"/>
      <c r="S31" s="36"/>
      <c r="T31" s="36"/>
      <c r="U31" s="36"/>
      <c r="V31" s="36"/>
    </row>
    <row r="32" spans="5:22" ht="15" thickBot="1" x14ac:dyDescent="0.4">
      <c r="F32" s="1"/>
      <c r="G32" s="1"/>
      <c r="J32" s="95" t="s">
        <v>417</v>
      </c>
      <c r="K32" s="104">
        <f>F38</f>
        <v>5.9169485458613202</v>
      </c>
      <c r="L32" s="92">
        <f>G38</f>
        <v>6.1398487192710798</v>
      </c>
      <c r="M32" s="98">
        <f>L32-K32</f>
        <v>0.22290017340975954</v>
      </c>
      <c r="P32" s="36"/>
      <c r="Q32" s="36"/>
      <c r="R32" s="36"/>
      <c r="S32" s="36"/>
      <c r="T32" s="36"/>
      <c r="U32" s="36"/>
      <c r="V32" s="36"/>
    </row>
    <row r="33" spans="5:22" ht="15.5" x14ac:dyDescent="0.35">
      <c r="F33" s="1"/>
      <c r="G33" s="1"/>
      <c r="J33" s="99" t="s">
        <v>408</v>
      </c>
      <c r="K33" s="96">
        <f>factory!G104+factory!G121</f>
        <v>4.6908281872859475E-2</v>
      </c>
      <c r="L33" s="75">
        <f>factory!H104+factory!H121</f>
        <v>1.2686239374255339</v>
      </c>
      <c r="M33" s="77">
        <f t="shared" si="3"/>
        <v>1.2217156555526745</v>
      </c>
      <c r="P33" s="36"/>
      <c r="Q33" s="36"/>
      <c r="R33" s="36"/>
      <c r="S33" s="36"/>
      <c r="T33" s="36"/>
      <c r="U33" s="36"/>
      <c r="V33" s="36"/>
    </row>
    <row r="34" spans="5:22" ht="15" thickBot="1" x14ac:dyDescent="0.4">
      <c r="J34" s="100" t="s">
        <v>418</v>
      </c>
      <c r="K34" s="105">
        <f>INDEX('KMX populations'!B29:L29,MATCH("KMX | "&amp;K$26,'KMX populations'!$B$1:$L$1, 0))</f>
        <v>1.7535469472341782E-2</v>
      </c>
      <c r="L34" s="101">
        <f>INDEX('KMX populations'!C29:M29,MATCH("KMX | "&amp;L$26,'KMX populations'!$B$1:$L$1, 0))</f>
        <v>9.7220633649776969E-3</v>
      </c>
      <c r="M34" s="56">
        <f>L34-K34</f>
        <v>-7.8134061073640848E-3</v>
      </c>
      <c r="P34" s="36"/>
      <c r="Q34" s="36"/>
      <c r="R34" s="36"/>
      <c r="S34" s="36"/>
      <c r="T34" s="36"/>
      <c r="U34" s="36"/>
      <c r="V34" s="36"/>
    </row>
    <row r="35" spans="5:22" ht="16" thickBot="1" x14ac:dyDescent="0.4">
      <c r="E35" s="216" t="s">
        <v>415</v>
      </c>
      <c r="F35" s="217"/>
      <c r="G35" s="217"/>
      <c r="H35" s="218"/>
      <c r="J35" s="100" t="s">
        <v>419</v>
      </c>
      <c r="K35" s="106">
        <f>INDEX('KMX populations'!B30:L30,MATCH("KMX | "&amp;K$26,'KMX populations'!$B$1:$L$1, 0))</f>
        <v>8.9324618736383449E-2</v>
      </c>
      <c r="L35" s="107">
        <f>INDEX('KMX populations'!C30:M30,MATCH("KMX | "&amp;L$26,'KMX populations'!$B$1:$L$1, 0))</f>
        <v>0.16184376072286399</v>
      </c>
      <c r="M35" s="55">
        <f>L35-K35</f>
        <v>7.2519141986480545E-2</v>
      </c>
      <c r="P35" s="36"/>
      <c r="Q35" s="36"/>
      <c r="R35" s="36"/>
      <c r="S35" s="36"/>
      <c r="T35" s="36"/>
      <c r="U35" s="36"/>
      <c r="V35" s="36"/>
    </row>
    <row r="36" spans="5:22" ht="16" thickBot="1" x14ac:dyDescent="0.4">
      <c r="E36" s="44" t="s">
        <v>199</v>
      </c>
      <c r="F36" s="45" t="str">
        <f>B2</f>
        <v>2025 Q1</v>
      </c>
      <c r="G36" s="46" t="str">
        <f>B3</f>
        <v>2025 Q4</v>
      </c>
      <c r="H36" s="47" t="s">
        <v>137</v>
      </c>
      <c r="J36" s="127" t="s">
        <v>404</v>
      </c>
      <c r="K36" s="96">
        <f>factory!G112+factory!G113+factory!G114+factory!G115</f>
        <v>-8.9100437720550374E-2</v>
      </c>
      <c r="L36" s="75">
        <f>factory!H112+factory!H113+factory!H114+factory!H115</f>
        <v>0.11138264021749489</v>
      </c>
      <c r="M36" s="49">
        <f t="shared" si="3"/>
        <v>0.20048307793804526</v>
      </c>
      <c r="P36" s="36"/>
      <c r="Q36" s="36"/>
      <c r="R36" s="36"/>
      <c r="S36" s="36"/>
      <c r="T36" s="36"/>
      <c r="U36" s="36"/>
      <c r="V36" s="36"/>
    </row>
    <row r="37" spans="5:22" ht="15.5" x14ac:dyDescent="0.35">
      <c r="E37" s="132" t="s">
        <v>239</v>
      </c>
      <c r="F37" s="136">
        <f>INDEX(rec[ltv],MATCH($E$36&amp;" "&amp;F$36,rec[lookup], 0))</f>
        <v>1.604727867366883</v>
      </c>
      <c r="G37" s="137">
        <f>INDEX(rec[ltv],MATCH($E$36&amp;" "&amp;G$36,rec[lookup], 0))</f>
        <v>1.5761077725041781</v>
      </c>
      <c r="H37" s="158">
        <f>G37-F37</f>
        <v>-2.8620094862704892E-2</v>
      </c>
      <c r="J37" s="128" t="s">
        <v>405</v>
      </c>
      <c r="K37" s="105">
        <f>INDEX('KMX populations'!B25:L25,MATCH("KMX | "&amp;K$26,'KMX populations'!$B$1:$L$1, 0))</f>
        <v>5.3137786279823579E-3</v>
      </c>
      <c r="L37" s="101">
        <f>INDEX('KMX populations'!C25:M25,MATCH("KMX | "&amp;L$26,'KMX populations'!$B$1:$L$1, 0))</f>
        <v>4.6894658584010068E-3</v>
      </c>
      <c r="M37" s="56">
        <f>L37-K37</f>
        <v>-6.2431276958135103E-4</v>
      </c>
      <c r="P37" s="36"/>
      <c r="Q37" s="36"/>
      <c r="R37" s="36"/>
      <c r="S37" s="36"/>
      <c r="T37" s="36"/>
      <c r="U37" s="36"/>
      <c r="V37" s="36"/>
    </row>
    <row r="38" spans="5:22" ht="15.5" x14ac:dyDescent="0.35">
      <c r="E38" s="133" t="s">
        <v>301</v>
      </c>
      <c r="F38" s="138">
        <f>INDEX(rec[age],MATCH($E$36&amp;" "&amp;F$36,rec[lookup], 0))</f>
        <v>5.9169485458613202</v>
      </c>
      <c r="G38" s="139">
        <f>INDEX(rec[age],MATCH($E$36&amp;" "&amp;G$36,rec[lookup], 0))</f>
        <v>6.1398487192710798</v>
      </c>
      <c r="H38" s="156">
        <f t="shared" ref="H38:H42" si="5">G38-F38</f>
        <v>0.22290017340975954</v>
      </c>
      <c r="J38" s="128" t="s">
        <v>406</v>
      </c>
      <c r="K38" s="105">
        <f>INDEX('KMX populations'!B26:L26,MATCH("KMX | "&amp;K$26,'KMX populations'!$B$1:$L$1, 0))</f>
        <v>0.11584037409001539</v>
      </c>
      <c r="L38" s="101">
        <f>INDEX('KMX populations'!C26:M26,MATCH("KMX | "&amp;L$26,'KMX populations'!$B$1:$L$1, 0))</f>
        <v>7.7090243623470209E-2</v>
      </c>
      <c r="M38" s="56">
        <f>L38-K38</f>
        <v>-3.8750130466545185E-2</v>
      </c>
      <c r="P38" s="36"/>
      <c r="Q38" s="36"/>
      <c r="R38" s="36"/>
      <c r="S38" s="36"/>
      <c r="T38" s="36"/>
      <c r="U38" s="36"/>
      <c r="V38" s="36"/>
    </row>
    <row r="39" spans="5:22" ht="16" thickBot="1" x14ac:dyDescent="0.4">
      <c r="E39" s="134" t="s">
        <v>302</v>
      </c>
      <c r="F39" s="140">
        <f>INDEX(rec[mileage],MATCH($E$36&amp;" "&amp;F$36,rec[lookup], 0))</f>
        <v>60448</v>
      </c>
      <c r="G39" s="141">
        <f>INDEX(rec[mileage],MATCH($E$36&amp;" "&amp;G$36,rec[lookup], 0))</f>
        <v>60705</v>
      </c>
      <c r="H39" s="157">
        <f t="shared" si="5"/>
        <v>257</v>
      </c>
      <c r="J39" s="129" t="s">
        <v>407</v>
      </c>
      <c r="K39" s="106">
        <f>INDEX('KMX populations'!B27:L27,MATCH("KMX | "&amp;K$26,'KMX populations'!$B$1:$L$1, 0))</f>
        <v>0.25522078750199267</v>
      </c>
      <c r="L39" s="107">
        <f>INDEX('KMX populations'!C27:M27,MATCH("KMX | "&amp;L$26,'KMX populations'!$B$1:$L$1, 0))</f>
        <v>0.33752716458881388</v>
      </c>
      <c r="M39" s="54">
        <f>L39-K39</f>
        <v>8.2306377086821203E-2</v>
      </c>
      <c r="P39" s="36"/>
      <c r="Q39" s="36"/>
      <c r="R39" s="36"/>
      <c r="S39" s="36"/>
      <c r="T39" s="36"/>
      <c r="U39" s="36"/>
      <c r="V39" s="36"/>
    </row>
    <row r="40" spans="5:22" ht="16" thickBot="1" x14ac:dyDescent="0.4">
      <c r="E40" s="134" t="s">
        <v>107</v>
      </c>
      <c r="F40" s="142">
        <f>INDEX(rec[toyho],MATCH($E$36&amp;" "&amp;F$36,rec[lookup], 0))</f>
        <v>0.13852348993288499</v>
      </c>
      <c r="G40" s="143">
        <f>INDEX(rec[toyho],MATCH($E$36&amp;" "&amp;G$36,rec[lookup], 0))</f>
        <v>0.23679363442127699</v>
      </c>
      <c r="H40" s="160">
        <f t="shared" si="5"/>
        <v>9.8270144488391997E-2</v>
      </c>
      <c r="J40" s="69" t="s">
        <v>223</v>
      </c>
      <c r="K40" s="76">
        <f>SUM(factory!G98:G124)-K36-K33-K31-K29-K27</f>
        <v>1.2119309384815544</v>
      </c>
      <c r="L40" s="76">
        <f>SUM(factory!H98:H124)-L36-L33-L31-L29-L27</f>
        <v>1.5059967445653464</v>
      </c>
      <c r="M40" s="50">
        <f t="shared" si="3"/>
        <v>0.29406580608379196</v>
      </c>
      <c r="P40" s="36"/>
      <c r="Q40" s="36"/>
      <c r="R40" s="36"/>
      <c r="S40" s="36"/>
      <c r="T40" s="36"/>
      <c r="U40" s="36"/>
      <c r="V40" s="36"/>
    </row>
    <row r="41" spans="5:22" ht="15.5" x14ac:dyDescent="0.35">
      <c r="E41" s="134" t="s">
        <v>303</v>
      </c>
      <c r="F41" s="142">
        <f>INDEX(rec[truck],MATCH($E$36&amp;" "&amp;F$36,rec[lookup], 0))</f>
        <v>5.3208053691275098E-2</v>
      </c>
      <c r="G41" s="143">
        <f>INDEX(rec[truck],MATCH($E$36&amp;" "&amp;G$36,rec[lookup], 0))</f>
        <v>6.8150003683783905E-2</v>
      </c>
      <c r="H41" s="160">
        <f t="shared" si="5"/>
        <v>1.4941949992508807E-2</v>
      </c>
      <c r="J41" s="228" t="s">
        <v>224</v>
      </c>
      <c r="K41" s="223">
        <f>SUM(K27,K29,K31,K33,K36,K40)</f>
        <v>-0.34039322521122672</v>
      </c>
      <c r="L41" s="221">
        <f>SUM(L27,L29,L31,L33,L36,L40)</f>
        <v>1.4897449827642157</v>
      </c>
      <c r="M41" s="219">
        <f>L41-K41</f>
        <v>1.8301382079754425</v>
      </c>
      <c r="P41" s="36"/>
      <c r="Q41" s="36"/>
      <c r="R41" s="36"/>
      <c r="S41" s="36"/>
      <c r="T41" s="36"/>
      <c r="U41" s="36"/>
      <c r="V41" s="36"/>
    </row>
    <row r="42" spans="5:22" ht="16" thickBot="1" x14ac:dyDescent="0.4">
      <c r="E42" s="135" t="s">
        <v>304</v>
      </c>
      <c r="F42" s="144">
        <f>INDEX(rec[driver],MATCH($E$36&amp;" "&amp;F$36,rec[lookup], 0))</f>
        <v>9.9865771812080503E-3</v>
      </c>
      <c r="G42" s="145">
        <f>INDEX(rec[driver],MATCH($E$36&amp;" "&amp;G$36,rec[lookup], 0))</f>
        <v>8.7674058793192292E-3</v>
      </c>
      <c r="H42" s="159">
        <f t="shared" si="5"/>
        <v>-1.219171301888821E-3</v>
      </c>
      <c r="I42" s="37"/>
      <c r="J42" s="229"/>
      <c r="K42" s="224"/>
      <c r="L42" s="222"/>
      <c r="M42" s="220"/>
      <c r="P42" s="36"/>
      <c r="Q42" s="36"/>
      <c r="R42" s="36"/>
      <c r="S42" s="36"/>
      <c r="T42" s="36"/>
      <c r="U42" s="36"/>
      <c r="V42" s="36"/>
    </row>
    <row r="43" spans="5:22" x14ac:dyDescent="0.35">
      <c r="P43" s="36"/>
      <c r="Q43" s="36"/>
      <c r="R43" s="36"/>
      <c r="S43" s="36"/>
      <c r="T43" s="36"/>
      <c r="U43" s="36"/>
      <c r="V43" s="36"/>
    </row>
    <row r="44" spans="5:22" x14ac:dyDescent="0.35">
      <c r="P44" s="36"/>
      <c r="Q44" s="36"/>
      <c r="R44" s="36"/>
      <c r="S44" s="36"/>
      <c r="T44" s="36"/>
      <c r="U44" s="36"/>
      <c r="V44" s="36"/>
    </row>
    <row r="45" spans="5:22" ht="16.5" customHeight="1" x14ac:dyDescent="0.35">
      <c r="F45" s="1"/>
      <c r="G45" s="1"/>
    </row>
    <row r="46" spans="5:22" ht="21" x14ac:dyDescent="0.5">
      <c r="E46" s="155" t="s">
        <v>420</v>
      </c>
      <c r="F46" s="154"/>
      <c r="G46" s="154"/>
      <c r="H46" s="154"/>
      <c r="I46" s="154"/>
      <c r="J46" s="154"/>
      <c r="K46" s="154"/>
      <c r="L46" s="154"/>
      <c r="M46" s="154"/>
    </row>
    <row r="47" spans="5:22" ht="15" thickBot="1" x14ac:dyDescent="0.4">
      <c r="F47" s="1"/>
      <c r="G47" s="1"/>
    </row>
    <row r="48" spans="5:22" ht="18" customHeight="1" thickBot="1" x14ac:dyDescent="0.4">
      <c r="E48" s="216" t="str">
        <f>_xlfn.CONCAT("3a. ",B1," Ragu Breakdown")</f>
        <v>3a. FLD Ragu Breakdown</v>
      </c>
      <c r="F48" s="217"/>
      <c r="G48" s="217"/>
      <c r="H48" s="218"/>
      <c r="J48" s="216" t="str">
        <f>_xlfn.CONCAT("3c. ",B1," Gross-Loss Breakdown")</f>
        <v>3c. FLD Gross-Loss Breakdown</v>
      </c>
      <c r="K48" s="217"/>
      <c r="L48" s="217"/>
      <c r="M48" s="218"/>
    </row>
    <row r="49" spans="5:13" ht="15" thickBot="1" x14ac:dyDescent="0.4">
      <c r="E49" s="150" t="str">
        <f>B1</f>
        <v>FLD</v>
      </c>
      <c r="F49" s="151" t="str">
        <f>B2</f>
        <v>2025 Q1</v>
      </c>
      <c r="G49" s="151" t="str">
        <f>B3</f>
        <v>2025 Q4</v>
      </c>
      <c r="H49" s="152" t="s">
        <v>137</v>
      </c>
      <c r="J49" s="44" t="str">
        <f>B1</f>
        <v>FLD</v>
      </c>
      <c r="K49" s="45" t="str">
        <f>B2</f>
        <v>2025 Q1</v>
      </c>
      <c r="L49" s="46" t="str">
        <f>B3</f>
        <v>2025 Q4</v>
      </c>
      <c r="M49" s="47" t="s">
        <v>137</v>
      </c>
    </row>
    <row r="50" spans="5:13" ht="15.5" x14ac:dyDescent="0.35">
      <c r="E50" s="130" t="s">
        <v>193</v>
      </c>
      <c r="F50" s="70">
        <f>factory!M27</f>
        <v>136.70742932031769</v>
      </c>
      <c r="G50" s="70">
        <f>factory!N27</f>
        <v>138.94555151202141</v>
      </c>
      <c r="H50" s="163">
        <f>G50-F50</f>
        <v>2.2381221917037237</v>
      </c>
      <c r="J50" s="63" t="s">
        <v>112</v>
      </c>
      <c r="K50" s="38">
        <f>factory!H49</f>
        <v>-0.69044882671302432</v>
      </c>
      <c r="L50" s="39">
        <f>factory!O49</f>
        <v>-0.33979850200290235</v>
      </c>
      <c r="M50" s="48">
        <f t="shared" ref="M50:M61" si="6">L50-K50</f>
        <v>0.35065032471012197</v>
      </c>
    </row>
    <row r="51" spans="5:13" ht="15" thickBot="1" x14ac:dyDescent="0.4">
      <c r="E51" s="59" t="s">
        <v>209</v>
      </c>
      <c r="F51" s="83">
        <f>factory!M28</f>
        <v>2.4076494891832279</v>
      </c>
      <c r="G51" s="83">
        <f>factory!N28</f>
        <v>1.620438206134992</v>
      </c>
      <c r="H51" s="164">
        <f>G51-F51</f>
        <v>-0.78721128304823584</v>
      </c>
      <c r="J51" s="73" t="s">
        <v>226</v>
      </c>
      <c r="K51" s="51">
        <f>factory!I22</f>
        <v>0.22720478325859489</v>
      </c>
      <c r="L51" s="51">
        <f>factory!J22</f>
        <v>0.18085668958223161</v>
      </c>
      <c r="M51" s="55">
        <f t="shared" si="6"/>
        <v>-4.6348093676363278E-2</v>
      </c>
    </row>
    <row r="52" spans="5:13" ht="16" thickBot="1" x14ac:dyDescent="0.4">
      <c r="E52" s="60" t="s">
        <v>210</v>
      </c>
      <c r="F52" s="83">
        <f>factory!M29</f>
        <v>2.5711353009211653</v>
      </c>
      <c r="G52" s="83">
        <f>factory!N29</f>
        <v>3.4826661719225225</v>
      </c>
      <c r="H52" s="164">
        <f t="shared" ref="H52:H53" si="7">G52-F52</f>
        <v>0.91153087100135721</v>
      </c>
      <c r="J52" s="65" t="s">
        <v>110</v>
      </c>
      <c r="K52" s="38">
        <f>factory!H47</f>
        <v>-0.22237148354597244</v>
      </c>
      <c r="L52" s="39">
        <f>factory!O47</f>
        <v>1.797674925713845E-3</v>
      </c>
      <c r="M52" s="49">
        <f t="shared" si="6"/>
        <v>0.22416915847168628</v>
      </c>
    </row>
    <row r="53" spans="5:13" ht="15" thickBot="1" x14ac:dyDescent="0.4">
      <c r="E53" s="115" t="s">
        <v>211</v>
      </c>
      <c r="F53" s="131">
        <f>factory!M30</f>
        <v>141.68621411042207</v>
      </c>
      <c r="G53" s="126">
        <f>factory!N30</f>
        <v>144.04865589007892</v>
      </c>
      <c r="H53" s="165">
        <f t="shared" si="7"/>
        <v>2.362441779656848</v>
      </c>
      <c r="J53" s="64" t="s">
        <v>226</v>
      </c>
      <c r="K53" s="51">
        <f>factory!I19</f>
        <v>0.26208271051320381</v>
      </c>
      <c r="L53" s="51">
        <f>factory!J19</f>
        <v>0.20306716023268109</v>
      </c>
      <c r="M53" s="55">
        <f t="shared" si="6"/>
        <v>-5.9015550280522716E-2</v>
      </c>
    </row>
    <row r="54" spans="5:13" ht="15.5" x14ac:dyDescent="0.35">
      <c r="J54" s="66" t="s">
        <v>107</v>
      </c>
      <c r="K54" s="40">
        <f>factory!H43</f>
        <v>1.0003717772579286</v>
      </c>
      <c r="L54" s="40">
        <f>factory!O43</f>
        <v>1.2487890938075565</v>
      </c>
      <c r="M54" s="49">
        <f t="shared" si="6"/>
        <v>0.24841731654962795</v>
      </c>
    </row>
    <row r="55" spans="5:13" ht="15" thickBot="1" x14ac:dyDescent="0.4">
      <c r="J55" s="64" t="s">
        <v>226</v>
      </c>
      <c r="K55" s="51">
        <f>factory!I14</f>
        <v>0.20627802690582961</v>
      </c>
      <c r="L55" s="51">
        <f>factory!J14</f>
        <v>0.25171866737176102</v>
      </c>
      <c r="M55" s="53">
        <f t="shared" si="6"/>
        <v>4.5440640465931409E-2</v>
      </c>
    </row>
    <row r="56" spans="5:13" ht="16" thickBot="1" x14ac:dyDescent="0.4">
      <c r="J56" s="66" t="s">
        <v>115</v>
      </c>
      <c r="K56" s="38">
        <f>factory!H52</f>
        <v>0.20695951692918657</v>
      </c>
      <c r="L56" s="39">
        <f>factory!O52</f>
        <v>0.18427500037417754</v>
      </c>
      <c r="M56" s="49">
        <f t="shared" si="6"/>
        <v>-2.2684516555009027E-2</v>
      </c>
    </row>
    <row r="57" spans="5:13" ht="16" thickBot="1" x14ac:dyDescent="0.4">
      <c r="E57" s="216" t="str">
        <f>_xlfn.CONCAT("3b. ",B1," Recovery Breakdown")</f>
        <v>3b. FLD Recovery Breakdown</v>
      </c>
      <c r="F57" s="217"/>
      <c r="G57" s="217"/>
      <c r="H57" s="218"/>
      <c r="J57" s="67" t="s">
        <v>227</v>
      </c>
      <c r="K57" s="52">
        <f>factory!M13</f>
        <v>0.2137</v>
      </c>
      <c r="L57" s="52">
        <f>factory!N13</f>
        <v>0.16589999999999999</v>
      </c>
      <c r="M57" s="54">
        <f t="shared" si="6"/>
        <v>-4.7800000000000009E-2</v>
      </c>
    </row>
    <row r="58" spans="5:13" ht="15" thickBot="1" x14ac:dyDescent="0.4">
      <c r="E58" s="153" t="str">
        <f>B1</f>
        <v>FLD</v>
      </c>
      <c r="F58" s="147" t="str">
        <f>B2</f>
        <v>2025 Q1</v>
      </c>
      <c r="G58" s="148" t="str">
        <f>B3</f>
        <v>2025 Q4</v>
      </c>
      <c r="H58" s="149" t="s">
        <v>137</v>
      </c>
      <c r="J58" s="68" t="s">
        <v>228</v>
      </c>
      <c r="K58" s="51">
        <f>factory!M14</f>
        <v>3.2000000000000001E-2</v>
      </c>
      <c r="L58" s="51">
        <f>factory!N14</f>
        <v>7.3899999999999993E-2</v>
      </c>
      <c r="M58" s="55">
        <f t="shared" si="6"/>
        <v>4.1899999999999993E-2</v>
      </c>
    </row>
    <row r="59" spans="5:13" ht="15" customHeight="1" x14ac:dyDescent="0.35">
      <c r="E59" s="132" t="s">
        <v>239</v>
      </c>
      <c r="F59" s="136">
        <f>INDEX(rec[ltv],MATCH($B$1&amp;" "&amp;F$58,rec[lookup], 0))</f>
        <v>1.405198512022616</v>
      </c>
      <c r="G59" s="137">
        <f>INDEX(rec[ltv],MATCH($B$1&amp;" "&amp;G$58,rec[lookup], 0))</f>
        <v>1.434086716457567</v>
      </c>
      <c r="H59" s="158">
        <f t="shared" ref="H59:H64" si="8">G59-F59</f>
        <v>2.8888204434950993E-2</v>
      </c>
      <c r="J59" s="66" t="s">
        <v>117</v>
      </c>
      <c r="K59" s="38">
        <f>factory!H54</f>
        <v>2.1259614433157381</v>
      </c>
      <c r="L59" s="39">
        <f>factory!O54</f>
        <v>0.5450514914150929</v>
      </c>
      <c r="M59" s="49">
        <f t="shared" si="6"/>
        <v>-1.5809099519006451</v>
      </c>
    </row>
    <row r="60" spans="5:13" ht="15.5" x14ac:dyDescent="0.35">
      <c r="E60" s="133" t="s">
        <v>301</v>
      </c>
      <c r="F60" s="138">
        <f>INDEX(rec[age],MATCH($B$1&amp;" "&amp;F$58,rec[lookup], 0))</f>
        <v>5.6023905048478797</v>
      </c>
      <c r="G60" s="139">
        <f>INDEX(rec[age],MATCH($B$1&amp;" "&amp;G$58,rec[lookup], 0))</f>
        <v>4.9316693220038896</v>
      </c>
      <c r="H60" s="156">
        <f t="shared" si="8"/>
        <v>-0.67072118284399007</v>
      </c>
      <c r="J60" s="67" t="s">
        <v>229</v>
      </c>
      <c r="K60" s="52">
        <f>factory!M7</f>
        <v>0.48391282051281997</v>
      </c>
      <c r="L60" s="52">
        <f>factory!N7</f>
        <v>0.5343</v>
      </c>
      <c r="M60" s="54">
        <f t="shared" si="6"/>
        <v>5.0387179487180023E-2</v>
      </c>
    </row>
    <row r="61" spans="5:13" ht="16" thickBot="1" x14ac:dyDescent="0.4">
      <c r="E61" s="134" t="s">
        <v>302</v>
      </c>
      <c r="F61" s="140">
        <f>INDEX(rec[mileage],MATCH($B$1&amp;" "&amp;F$58,rec[lookup], 0))</f>
        <v>63746</v>
      </c>
      <c r="G61" s="141">
        <f>INDEX(rec[mileage],MATCH($B$1&amp;" "&amp;G$58,rec[lookup], 0))</f>
        <v>57653</v>
      </c>
      <c r="H61" s="157">
        <f t="shared" si="8"/>
        <v>-6093</v>
      </c>
      <c r="J61" s="67" t="s">
        <v>230</v>
      </c>
      <c r="K61" s="52">
        <f>factory!M8</f>
        <v>5.1282051282051197E-2</v>
      </c>
      <c r="L61" s="52">
        <f>factory!N8</f>
        <v>5.9374999999999997E-2</v>
      </c>
      <c r="M61" s="56">
        <f t="shared" si="6"/>
        <v>8.0929487179488002E-3</v>
      </c>
    </row>
    <row r="62" spans="5:13" ht="16" thickBot="1" x14ac:dyDescent="0.4">
      <c r="E62" s="134" t="s">
        <v>107</v>
      </c>
      <c r="F62" s="142">
        <f>K55</f>
        <v>0.20627802690582961</v>
      </c>
      <c r="G62" s="143">
        <f>L55</f>
        <v>0.25171866737176102</v>
      </c>
      <c r="H62" s="160">
        <f t="shared" si="8"/>
        <v>4.5440640465931409E-2</v>
      </c>
      <c r="J62" s="69" t="s">
        <v>223</v>
      </c>
      <c r="K62" s="57">
        <f>SUM(factory!H38:H57,-factory!H43-factory!H47-factory!H49-factory!H52-factory!H54)</f>
        <v>-1.2822938060631728E-2</v>
      </c>
      <c r="L62" s="58">
        <f>SUM(factory!O38:O57,-factory!O43-factory!O47-factory!O49-factory!O52-factory!O54)</f>
        <v>-1.9676552384655821E-2</v>
      </c>
      <c r="M62" s="50">
        <f t="shared" ref="M62" si="9">L62-K62</f>
        <v>-6.8536143240240932E-3</v>
      </c>
    </row>
    <row r="63" spans="5:13" ht="15.5" x14ac:dyDescent="0.35">
      <c r="E63" s="134" t="s">
        <v>303</v>
      </c>
      <c r="F63" s="142">
        <f>INDEX(rec[truck],MATCH($B$1&amp;" "&amp;F$58,rec[lookup], 0))</f>
        <v>4.6138415245737197E-2</v>
      </c>
      <c r="G63" s="143">
        <f>INDEX(rec[truck],MATCH($B$1&amp;" "&amp;G$58,rec[lookup], 0))</f>
        <v>5.4168879447689798E-2</v>
      </c>
      <c r="H63" s="160">
        <f t="shared" si="8"/>
        <v>8.0304642019526015E-3</v>
      </c>
      <c r="J63" s="228" t="s">
        <v>224</v>
      </c>
      <c r="K63" s="223">
        <f>SUM(K50,K52,K54,K56,K59,K62)</f>
        <v>2.4076494891832247</v>
      </c>
      <c r="L63" s="221">
        <f>SUM(L50,L52,L54,L56,L59,L62)</f>
        <v>1.6204382061349829</v>
      </c>
      <c r="M63" s="219">
        <f>L63-K63</f>
        <v>-0.78721128304824184</v>
      </c>
    </row>
    <row r="64" spans="5:13" ht="16" thickBot="1" x14ac:dyDescent="0.4">
      <c r="E64" s="135" t="s">
        <v>304</v>
      </c>
      <c r="F64" s="144">
        <f>INDEX(rec[driver],MATCH($B$1&amp;" "&amp;F$58,rec[lookup], 0))</f>
        <v>3.2597793380140398E-2</v>
      </c>
      <c r="G64" s="145">
        <f>INDEX(rec[driver],MATCH($B$1&amp;" "&amp;G$58,rec[lookup], 0))</f>
        <v>3.9830058417418997E-2</v>
      </c>
      <c r="H64" s="159">
        <f t="shared" si="8"/>
        <v>7.2322650372785985E-3</v>
      </c>
      <c r="I64" s="37"/>
      <c r="J64" s="229"/>
      <c r="K64" s="224"/>
      <c r="L64" s="222"/>
      <c r="M64" s="220"/>
    </row>
    <row r="73" ht="14.5" customHeight="1" x14ac:dyDescent="0.35"/>
    <row r="74" ht="15" customHeight="1" x14ac:dyDescent="0.35"/>
    <row r="105" spans="8:8" x14ac:dyDescent="0.35">
      <c r="H105" s="36"/>
    </row>
  </sheetData>
  <mergeCells count="16">
    <mergeCell ref="J63:J64"/>
    <mergeCell ref="K63:K64"/>
    <mergeCell ref="L63:L64"/>
    <mergeCell ref="M63:M64"/>
    <mergeCell ref="E57:H57"/>
    <mergeCell ref="E4:H4"/>
    <mergeCell ref="E25:H25"/>
    <mergeCell ref="J25:M25"/>
    <mergeCell ref="E35:H35"/>
    <mergeCell ref="E48:H48"/>
    <mergeCell ref="J48:M48"/>
    <mergeCell ref="M41:M42"/>
    <mergeCell ref="L41:L42"/>
    <mergeCell ref="K41:K42"/>
    <mergeCell ref="E11:H11"/>
    <mergeCell ref="J41:J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5D810-090D-45D7-9B32-727AD97A98F4}">
  <dimension ref="A1:L37"/>
  <sheetViews>
    <sheetView zoomScale="116" zoomScaleNormal="145" workbookViewId="0">
      <selection activeCell="L32" sqref="L32"/>
    </sheetView>
  </sheetViews>
  <sheetFormatPr defaultRowHeight="14.5" x14ac:dyDescent="0.35"/>
  <cols>
    <col min="1" max="1" width="27.6328125" bestFit="1" customWidth="1"/>
    <col min="2" max="2" width="13.81640625" bestFit="1" customWidth="1"/>
    <col min="3" max="4" width="13.81640625" customWidth="1"/>
    <col min="5" max="5" width="13.81640625" bestFit="1" customWidth="1"/>
    <col min="6" max="7" width="13.81640625" hidden="1" customWidth="1"/>
    <col min="8" max="8" width="13.81640625" bestFit="1" customWidth="1"/>
    <col min="9" max="9" width="13.81640625" hidden="1" customWidth="1"/>
    <col min="10" max="10" width="13.81640625" bestFit="1" customWidth="1"/>
    <col min="11" max="11" width="13.81640625" hidden="1" customWidth="1"/>
    <col min="12" max="12" width="13.81640625" bestFit="1" customWidth="1"/>
  </cols>
  <sheetData>
    <row r="1" spans="1:12" x14ac:dyDescent="0.35">
      <c r="B1" s="11" t="s">
        <v>307</v>
      </c>
      <c r="C1" s="11" t="s">
        <v>308</v>
      </c>
      <c r="D1" s="11" t="s">
        <v>309</v>
      </c>
      <c r="E1" s="11" t="s">
        <v>310</v>
      </c>
      <c r="F1" s="11" t="s">
        <v>311</v>
      </c>
      <c r="G1" s="11" t="s">
        <v>312</v>
      </c>
      <c r="H1" s="11" t="s">
        <v>313</v>
      </c>
      <c r="I1" s="11" t="s">
        <v>314</v>
      </c>
      <c r="J1" s="11" t="s">
        <v>315</v>
      </c>
      <c r="K1" s="11" t="s">
        <v>316</v>
      </c>
      <c r="L1" s="11" t="s">
        <v>317</v>
      </c>
    </row>
    <row r="2" spans="1:12" x14ac:dyDescent="0.35">
      <c r="A2" s="16" t="s">
        <v>343</v>
      </c>
      <c r="B2" s="9">
        <v>0.2356376262626263</v>
      </c>
      <c r="C2" s="9">
        <v>0.22366710013003899</v>
      </c>
      <c r="D2" s="9">
        <v>0.1861426524087752</v>
      </c>
      <c r="E2" s="9">
        <v>0.1636219221604448</v>
      </c>
      <c r="F2" s="9">
        <v>0.18165757738689611</v>
      </c>
      <c r="G2" s="9">
        <v>0.1785186401707998</v>
      </c>
      <c r="H2" s="9">
        <v>0.16212338593974171</v>
      </c>
      <c r="I2" s="9">
        <v>0.1166237113402062</v>
      </c>
      <c r="J2" s="9">
        <v>0.12642772745175271</v>
      </c>
      <c r="K2" s="9">
        <v>0.1421967862645829</v>
      </c>
      <c r="L2" s="9">
        <v>0.1098021274162187</v>
      </c>
    </row>
    <row r="3" spans="1:12" x14ac:dyDescent="0.35">
      <c r="A3" s="11" t="s">
        <v>344</v>
      </c>
      <c r="B3" s="9">
        <v>5.2872474747474738E-2</v>
      </c>
      <c r="C3" s="9">
        <v>4.6442504179825379E-2</v>
      </c>
      <c r="D3" s="9">
        <v>3.9245948627494212E-2</v>
      </c>
      <c r="E3" s="9">
        <v>3.2204491299010762E-2</v>
      </c>
      <c r="F3" s="9">
        <v>2.9495352945694751E-2</v>
      </c>
      <c r="G3" s="9">
        <v>3.9579569715881099E-2</v>
      </c>
      <c r="H3" s="9">
        <v>1.381582443275413E-3</v>
      </c>
      <c r="I3" s="9">
        <v>0</v>
      </c>
      <c r="J3" s="9">
        <v>0</v>
      </c>
      <c r="K3" s="9">
        <v>0</v>
      </c>
      <c r="L3" s="9">
        <v>4.5750886423424452E-4</v>
      </c>
    </row>
    <row r="4" spans="1:12" x14ac:dyDescent="0.35">
      <c r="A4" s="11" t="s">
        <v>345</v>
      </c>
      <c r="B4" s="9">
        <v>0.23484848484848489</v>
      </c>
      <c r="C4" s="9">
        <v>0.24168679175181129</v>
      </c>
      <c r="D4" s="9">
        <v>0.1977180024253114</v>
      </c>
      <c r="E4" s="9">
        <v>0.2465882013141743</v>
      </c>
      <c r="F4" s="9">
        <v>0.23112374222290499</v>
      </c>
      <c r="G4" s="9">
        <v>0.24092626046969939</v>
      </c>
      <c r="H4" s="9">
        <v>0.2376321802433711</v>
      </c>
      <c r="I4" s="9">
        <v>0.26823453608247422</v>
      </c>
      <c r="J4" s="9">
        <v>0.25915714848365501</v>
      </c>
      <c r="K4" s="9">
        <v>0.26619707975640178</v>
      </c>
      <c r="L4" s="9">
        <v>0.29532197186320491</v>
      </c>
    </row>
    <row r="5" spans="1:12" x14ac:dyDescent="0.35">
      <c r="A5" s="11" t="s">
        <v>346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7.3903760880275908E-4</v>
      </c>
      <c r="H5" s="9">
        <v>1.4666029013231311E-2</v>
      </c>
      <c r="I5" s="9">
        <v>1.3402061855670101E-2</v>
      </c>
      <c r="J5" s="9">
        <v>1.050282263358277E-2</v>
      </c>
      <c r="K5" s="9">
        <v>1.1739672756621911E-2</v>
      </c>
      <c r="L5" s="9">
        <v>8.3495367722749621E-3</v>
      </c>
    </row>
    <row r="6" spans="1:12" x14ac:dyDescent="0.35">
      <c r="A6" s="11" t="s">
        <v>347</v>
      </c>
      <c r="B6" s="9">
        <v>0.83475378787878785</v>
      </c>
      <c r="C6" s="9">
        <v>0.83559353520341817</v>
      </c>
      <c r="D6" s="9">
        <v>0.86963951052805644</v>
      </c>
      <c r="E6" s="9">
        <v>0.86417791898332008</v>
      </c>
      <c r="F6" s="9">
        <v>0.86896074967355408</v>
      </c>
      <c r="G6" s="9">
        <v>0.86804072918377406</v>
      </c>
      <c r="H6" s="9">
        <v>0.85812211063287103</v>
      </c>
      <c r="I6" s="9">
        <v>0.87177835051546393</v>
      </c>
      <c r="J6" s="9">
        <v>0.87770775896022057</v>
      </c>
      <c r="K6" s="9">
        <v>0.8756328417345367</v>
      </c>
      <c r="L6" s="9">
        <v>0.89820427770788058</v>
      </c>
    </row>
    <row r="7" spans="1:12" x14ac:dyDescent="0.35">
      <c r="A7" s="11" t="s">
        <v>348</v>
      </c>
      <c r="B7" s="9">
        <v>0.1130050505050505</v>
      </c>
      <c r="C7" s="9">
        <v>0.1001300390117035</v>
      </c>
      <c r="D7" s="9">
        <v>8.1964502259949293E-2</v>
      </c>
      <c r="E7" s="9">
        <v>8.1449924182251429E-2</v>
      </c>
      <c r="F7" s="9">
        <v>7.7809355557262469E-2</v>
      </c>
      <c r="G7" s="9">
        <v>7.4314337329610777E-2</v>
      </c>
      <c r="H7" s="9">
        <v>8.4170253467240552E-2</v>
      </c>
      <c r="I7" s="9">
        <v>7.7963917525773196E-2</v>
      </c>
      <c r="J7" s="9">
        <v>7.3782329000918995E-2</v>
      </c>
      <c r="K7" s="9">
        <v>7.5647516325482431E-2</v>
      </c>
      <c r="L7" s="9">
        <v>6.5652522017614096E-2</v>
      </c>
    </row>
    <row r="8" spans="1:12" x14ac:dyDescent="0.35">
      <c r="A8" s="11" t="s">
        <v>349</v>
      </c>
      <c r="B8" s="9">
        <v>4.6875E-2</v>
      </c>
      <c r="C8" s="9">
        <v>5.6474085082667658E-2</v>
      </c>
      <c r="D8" s="9">
        <v>4.4592657920846657E-2</v>
      </c>
      <c r="E8" s="9">
        <v>4.7801285291356778E-2</v>
      </c>
      <c r="F8" s="9">
        <v>4.6240110607573548E-2</v>
      </c>
      <c r="G8" s="9">
        <v>4.8940712760716043E-2</v>
      </c>
      <c r="H8" s="9">
        <v>4.9311865667676293E-2</v>
      </c>
      <c r="I8" s="9">
        <v>4.6585051546391747E-2</v>
      </c>
      <c r="J8" s="9">
        <v>4.4833924117106468E-2</v>
      </c>
      <c r="K8" s="9">
        <v>4.4097145792061053E-2</v>
      </c>
      <c r="L8" s="9">
        <v>3.3398147089099849E-2</v>
      </c>
    </row>
    <row r="9" spans="1:12" x14ac:dyDescent="0.35">
      <c r="A9" s="11" t="s">
        <v>350</v>
      </c>
      <c r="B9" s="9">
        <v>5.366161616161616E-3</v>
      </c>
      <c r="C9" s="9">
        <v>7.8023407022106634E-3</v>
      </c>
      <c r="D9" s="9">
        <v>3.8033292911476128E-3</v>
      </c>
      <c r="E9" s="9">
        <v>6.570871543071702E-3</v>
      </c>
      <c r="F9" s="9">
        <v>6.9897841616099543E-3</v>
      </c>
      <c r="G9" s="9">
        <v>8.7042207258991623E-3</v>
      </c>
      <c r="H9" s="9">
        <v>8.3957702322121266E-3</v>
      </c>
      <c r="I9" s="9">
        <v>3.672680412371134E-3</v>
      </c>
      <c r="J9" s="9">
        <v>3.6759879217539708E-3</v>
      </c>
      <c r="K9" s="9">
        <v>4.6224961479198771E-3</v>
      </c>
      <c r="L9" s="9">
        <v>2.7450531854054669E-3</v>
      </c>
    </row>
    <row r="10" spans="1:12" x14ac:dyDescent="0.35">
      <c r="A10" s="11" t="s">
        <v>351</v>
      </c>
      <c r="B10" s="9">
        <v>6.8181818181818177E-2</v>
      </c>
      <c r="C10" s="9">
        <v>7.1335686420211777E-2</v>
      </c>
      <c r="D10" s="9">
        <v>8.1303053687575788E-2</v>
      </c>
      <c r="E10" s="9">
        <v>8.0077983969961727E-2</v>
      </c>
      <c r="F10" s="9">
        <v>7.3123895844534909E-2</v>
      </c>
      <c r="G10" s="9">
        <v>9.4678929216620134E-2</v>
      </c>
      <c r="H10" s="9">
        <v>0.13061267867580639</v>
      </c>
      <c r="I10" s="9">
        <v>0.1019974226804124</v>
      </c>
      <c r="J10" s="9">
        <v>0.10213995011159251</v>
      </c>
      <c r="K10" s="9">
        <v>0.11387482573923249</v>
      </c>
      <c r="L10" s="9">
        <v>8.8642342445384881E-2</v>
      </c>
    </row>
    <row r="11" spans="1:12" x14ac:dyDescent="0.35">
      <c r="A11" s="11" t="s">
        <v>352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7.9706679419735381E-3</v>
      </c>
      <c r="I11" s="9">
        <v>6.7654639175257726E-3</v>
      </c>
      <c r="J11" s="9">
        <v>7.3519758435079416E-3</v>
      </c>
      <c r="K11" s="9">
        <v>7.9242791107197886E-3</v>
      </c>
      <c r="L11" s="9">
        <v>4.3463342102253227E-3</v>
      </c>
    </row>
    <row r="12" spans="1:12" x14ac:dyDescent="0.35">
      <c r="A12" s="16" t="s">
        <v>353</v>
      </c>
      <c r="B12" s="9">
        <v>0.24447601010101011</v>
      </c>
      <c r="C12" s="9">
        <v>0.2242244101801969</v>
      </c>
      <c r="D12" s="9">
        <v>0.27488700253555293</v>
      </c>
      <c r="E12" s="9">
        <v>0.26196837316773769</v>
      </c>
      <c r="F12" s="9">
        <v>0.26684077118058219</v>
      </c>
      <c r="G12" s="9">
        <v>0.24954836590573171</v>
      </c>
      <c r="H12" s="9">
        <v>0.32849779478186941</v>
      </c>
      <c r="I12" s="9">
        <v>0.3125</v>
      </c>
      <c r="J12" s="9">
        <v>0.35906524878561108</v>
      </c>
      <c r="K12" s="9">
        <v>0.35732628952967938</v>
      </c>
      <c r="L12" s="9">
        <v>0.24259407526020821</v>
      </c>
    </row>
    <row r="13" spans="1:12" x14ac:dyDescent="0.35">
      <c r="A13" s="11" t="s">
        <v>354</v>
      </c>
      <c r="B13" s="9">
        <v>5.0978535353535352E-2</v>
      </c>
      <c r="C13" s="9">
        <v>4.0126323611369127E-2</v>
      </c>
      <c r="D13" s="9">
        <v>3.3182670047403807E-2</v>
      </c>
      <c r="E13" s="9">
        <v>3.9641851397212803E-2</v>
      </c>
      <c r="F13" s="9">
        <v>4.0095245410553808E-2</v>
      </c>
      <c r="G13" s="9">
        <v>4.0482837904417812E-2</v>
      </c>
      <c r="H13" s="9">
        <v>3.8206068335193147E-2</v>
      </c>
      <c r="I13" s="9">
        <v>4.1237113402061848E-2</v>
      </c>
      <c r="J13" s="9">
        <v>3.9779440724694762E-2</v>
      </c>
      <c r="K13" s="9">
        <v>4.306992442585663E-2</v>
      </c>
      <c r="L13" s="9">
        <v>2.687864577376187E-2</v>
      </c>
    </row>
    <row r="14" spans="1:12" x14ac:dyDescent="0.35">
      <c r="A14" s="11" t="s">
        <v>355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6.4542617835440963E-2</v>
      </c>
      <c r="H14" s="9">
        <v>0.92082469844306292</v>
      </c>
      <c r="I14" s="9">
        <v>0.8768041237113402</v>
      </c>
      <c r="J14" s="9">
        <v>0.92693974005513979</v>
      </c>
      <c r="K14" s="9">
        <v>0.92640692640692646</v>
      </c>
      <c r="L14" s="9">
        <v>0.57691867779938233</v>
      </c>
    </row>
    <row r="15" spans="1:12" x14ac:dyDescent="0.35">
      <c r="A15" s="11" t="s">
        <v>356</v>
      </c>
      <c r="B15" s="9">
        <v>0.20202020202020199</v>
      </c>
      <c r="C15" s="9">
        <v>0.1987739178896526</v>
      </c>
      <c r="D15" s="9">
        <v>0.13873883805534121</v>
      </c>
      <c r="E15" s="9">
        <v>0.1465087731966207</v>
      </c>
      <c r="F15" s="9">
        <v>0.1465550349489208</v>
      </c>
      <c r="G15" s="9">
        <v>0.116521596321235</v>
      </c>
      <c r="H15" s="9">
        <v>6.1905521015994468E-2</v>
      </c>
      <c r="I15" s="9">
        <v>0.1230670103092784</v>
      </c>
      <c r="J15" s="9">
        <v>7.3060259944860179E-2</v>
      </c>
      <c r="K15" s="9">
        <v>6.9484188128255922E-2</v>
      </c>
      <c r="L15" s="9">
        <v>0.39608829921079719</v>
      </c>
    </row>
    <row r="16" spans="1:12" x14ac:dyDescent="0.35">
      <c r="A16" s="11" t="s">
        <v>357</v>
      </c>
      <c r="B16" s="9">
        <v>0.6826073232323232</v>
      </c>
      <c r="C16" s="9">
        <v>0.70481144343302993</v>
      </c>
      <c r="D16" s="9">
        <v>0.75030316392900454</v>
      </c>
      <c r="E16" s="9">
        <v>0.7480684525958553</v>
      </c>
      <c r="F16" s="9">
        <v>0.75597204086335357</v>
      </c>
      <c r="G16" s="9">
        <v>0.76621776974872724</v>
      </c>
      <c r="H16" s="9">
        <v>0.77506775067750677</v>
      </c>
      <c r="I16" s="9">
        <v>0.40109536082474229</v>
      </c>
      <c r="J16" s="9">
        <v>0</v>
      </c>
      <c r="K16" s="9">
        <v>0</v>
      </c>
      <c r="L16" s="9">
        <v>0</v>
      </c>
    </row>
    <row r="17" spans="1:12" x14ac:dyDescent="0.35">
      <c r="A17" s="11" t="s">
        <v>358</v>
      </c>
      <c r="B17" s="9">
        <v>0.12973484848484851</v>
      </c>
      <c r="C17" s="9">
        <v>0.13654096228868659</v>
      </c>
      <c r="D17" s="9">
        <v>0.13399845661999779</v>
      </c>
      <c r="E17" s="9">
        <v>8.6648855513033432E-2</v>
      </c>
      <c r="F17" s="9">
        <v>0.10039173515631</v>
      </c>
      <c r="G17" s="9">
        <v>9.3529315158482507E-2</v>
      </c>
      <c r="H17" s="9">
        <v>4.899303894999734E-2</v>
      </c>
      <c r="I17" s="9">
        <v>3.711340206185567E-2</v>
      </c>
      <c r="J17" s="9">
        <v>0</v>
      </c>
      <c r="K17" s="9">
        <v>0</v>
      </c>
      <c r="L17" s="9">
        <v>0</v>
      </c>
    </row>
    <row r="18" spans="1:12" x14ac:dyDescent="0.35">
      <c r="A18" s="11" t="s">
        <v>98</v>
      </c>
      <c r="B18" s="9">
        <v>1.004373421717172</v>
      </c>
      <c r="C18" s="9">
        <v>1.0029388816645</v>
      </c>
      <c r="D18" s="9">
        <v>0.99243964281777097</v>
      </c>
      <c r="E18" s="9">
        <v>0.98954942595133222</v>
      </c>
      <c r="F18" s="9">
        <v>0.99542822029341727</v>
      </c>
      <c r="G18" s="9">
        <v>0.99594022006897698</v>
      </c>
      <c r="H18" s="9">
        <v>0.99525638981880016</v>
      </c>
      <c r="I18" s="9">
        <v>0.99391172680412376</v>
      </c>
      <c r="J18" s="9">
        <v>0.99501181567546282</v>
      </c>
      <c r="K18" s="9">
        <v>0.99955315870570105</v>
      </c>
      <c r="L18" s="9">
        <v>0.99698272904037499</v>
      </c>
    </row>
    <row r="19" spans="1:12" x14ac:dyDescent="0.35">
      <c r="A19" s="16" t="s">
        <v>359</v>
      </c>
      <c r="B19" s="91">
        <v>6.5047874579124594</v>
      </c>
      <c r="C19" s="91">
        <v>6.1678586909405899</v>
      </c>
      <c r="D19" s="91">
        <v>6.1323172748318964</v>
      </c>
      <c r="E19" s="91">
        <v>5.2577201723349454</v>
      </c>
      <c r="F19" s="91">
        <v>5.4510139027575084</v>
      </c>
      <c r="G19" s="91">
        <v>5.2271445776536938</v>
      </c>
      <c r="H19" s="91">
        <v>4.9115654391838106</v>
      </c>
      <c r="I19" s="91">
        <v>5.1086554982817853</v>
      </c>
      <c r="J19" s="91">
        <v>5.3292853704433076</v>
      </c>
      <c r="K19" s="91">
        <v>5.1382896764252646</v>
      </c>
      <c r="L19" s="91">
        <v>4.6912672995539122</v>
      </c>
    </row>
    <row r="20" spans="1:12" x14ac:dyDescent="0.35">
      <c r="A20" s="11" t="s">
        <v>360</v>
      </c>
      <c r="B20" s="9">
        <v>0.6298926767676768</v>
      </c>
      <c r="C20" s="9">
        <v>0.62232955600966</v>
      </c>
      <c r="D20" s="9">
        <v>0.65533017307904307</v>
      </c>
      <c r="E20" s="9">
        <v>0.64668929164560618</v>
      </c>
      <c r="F20" s="9">
        <v>0.6420616022736001</v>
      </c>
      <c r="G20" s="9">
        <v>0.63778945639678108</v>
      </c>
      <c r="H20" s="9">
        <v>0.62415643764280782</v>
      </c>
      <c r="I20" s="9">
        <v>0.61701030927835054</v>
      </c>
      <c r="J20" s="9">
        <v>0.62294866745437838</v>
      </c>
      <c r="K20" s="9">
        <v>0.61493873358280138</v>
      </c>
      <c r="L20" s="9">
        <v>0.61512066796294174</v>
      </c>
    </row>
    <row r="21" spans="1:12" x14ac:dyDescent="0.35">
      <c r="A21" s="11" t="s">
        <v>361</v>
      </c>
      <c r="B21" s="9">
        <v>0.1652462121212121</v>
      </c>
      <c r="C21" s="9">
        <v>0.1644064647965818</v>
      </c>
      <c r="D21" s="9">
        <v>0.13036048947194359</v>
      </c>
      <c r="E21" s="9">
        <v>0.13582208101667989</v>
      </c>
      <c r="F21" s="9">
        <v>0.13103925032644601</v>
      </c>
      <c r="G21" s="9">
        <v>0.13195927081622599</v>
      </c>
      <c r="H21" s="9">
        <v>0.141877889367129</v>
      </c>
      <c r="I21" s="9">
        <v>0.1282216494845361</v>
      </c>
      <c r="J21" s="9">
        <v>0.1222922410397794</v>
      </c>
      <c r="K21" s="9">
        <v>0.12436715826546341</v>
      </c>
      <c r="L21" s="9">
        <v>0.1017957222921194</v>
      </c>
    </row>
    <row r="22" spans="1:12" x14ac:dyDescent="0.35">
      <c r="A22" s="11" t="s">
        <v>90</v>
      </c>
      <c r="B22" s="9">
        <v>2.446338383838384E-2</v>
      </c>
      <c r="C22" s="9">
        <v>7.170722645365038E-2</v>
      </c>
      <c r="D22" s="9">
        <v>0.27582405467974858</v>
      </c>
      <c r="E22" s="9">
        <v>0.26052422557585392</v>
      </c>
      <c r="F22" s="9">
        <v>0.25147860818803291</v>
      </c>
      <c r="G22" s="9">
        <v>0.30358022663820011</v>
      </c>
      <c r="H22" s="9">
        <v>0.3213241936340932</v>
      </c>
      <c r="I22" s="9">
        <v>0.26829896907216488</v>
      </c>
      <c r="J22" s="9">
        <v>0.2693317579099383</v>
      </c>
      <c r="K22" s="9">
        <v>0.20338983050847459</v>
      </c>
      <c r="L22" s="9">
        <v>0.22154866750543289</v>
      </c>
    </row>
    <row r="23" spans="1:12" x14ac:dyDescent="0.35">
      <c r="A23" s="11" t="s">
        <v>362</v>
      </c>
      <c r="B23" s="9">
        <v>0.12421085858585861</v>
      </c>
      <c r="C23" s="9">
        <v>0.1248374512353706</v>
      </c>
      <c r="D23" s="9">
        <v>8.5712710836732445E-2</v>
      </c>
      <c r="E23" s="9">
        <v>0.12585746263268099</v>
      </c>
      <c r="F23" s="9">
        <v>0.1178277901528535</v>
      </c>
      <c r="G23" s="9">
        <v>0.12588273936607</v>
      </c>
      <c r="H23" s="9">
        <v>0.1241298687496679</v>
      </c>
      <c r="I23" s="9">
        <v>0.16005154639175259</v>
      </c>
      <c r="J23" s="9">
        <v>0.15110936064067221</v>
      </c>
      <c r="K23" s="9">
        <v>0.15166189742460931</v>
      </c>
      <c r="L23" s="9">
        <v>0.144115292233787</v>
      </c>
    </row>
    <row r="24" spans="1:12" x14ac:dyDescent="0.35">
      <c r="A24" s="11" t="s">
        <v>99</v>
      </c>
      <c r="B24" s="9">
        <v>1.152146464646465E-2</v>
      </c>
      <c r="C24" s="9">
        <v>8.1738807356492669E-3</v>
      </c>
      <c r="D24" s="9">
        <v>5.8979164369970232E-3</v>
      </c>
      <c r="E24" s="9">
        <v>5.0545165715936173E-3</v>
      </c>
      <c r="F24" s="9">
        <v>4.839081342653046E-3</v>
      </c>
      <c r="G24" s="9">
        <v>3.1203810149449829E-3</v>
      </c>
      <c r="H24" s="9">
        <v>2.497475955151708E-3</v>
      </c>
      <c r="I24" s="9">
        <v>2.0618556701030928E-3</v>
      </c>
      <c r="J24" s="9">
        <v>1.3128528291978471E-3</v>
      </c>
      <c r="K24" s="9">
        <v>1.614205004035512E-3</v>
      </c>
      <c r="L24" s="9">
        <v>1.4869038087612951E-3</v>
      </c>
    </row>
    <row r="25" spans="1:12" x14ac:dyDescent="0.35">
      <c r="A25" s="16" t="s">
        <v>363</v>
      </c>
      <c r="B25" s="9">
        <v>7.8914141414141419E-3</v>
      </c>
      <c r="C25" s="9">
        <v>8.7311907858071709E-3</v>
      </c>
      <c r="D25" s="9">
        <v>8.4334692977620987E-3</v>
      </c>
      <c r="E25" s="9">
        <v>8.8815076900859262E-3</v>
      </c>
      <c r="F25" s="9">
        <v>6.375297641907981E-3</v>
      </c>
      <c r="G25" s="9">
        <v>6.322877319756939E-3</v>
      </c>
      <c r="H25" s="9">
        <v>5.3137786279823579E-3</v>
      </c>
      <c r="I25" s="9">
        <v>5.2190721649484533E-3</v>
      </c>
      <c r="J25" s="9">
        <v>5.8421950899304187E-3</v>
      </c>
      <c r="K25" s="9">
        <v>6.6035659255998238E-3</v>
      </c>
      <c r="L25" s="9">
        <v>4.6894658584010068E-3</v>
      </c>
    </row>
    <row r="26" spans="1:12" x14ac:dyDescent="0.35">
      <c r="A26" s="16" t="s">
        <v>364</v>
      </c>
      <c r="B26" s="9">
        <v>0.10211489898989901</v>
      </c>
      <c r="C26" s="9">
        <v>0.10143042912873861</v>
      </c>
      <c r="D26" s="9">
        <v>9.7508543710726495E-2</v>
      </c>
      <c r="E26" s="9">
        <v>9.6396851758249691E-2</v>
      </c>
      <c r="F26" s="9">
        <v>0.10046854597127269</v>
      </c>
      <c r="G26" s="9">
        <v>0.1095417966825423</v>
      </c>
      <c r="H26" s="9">
        <v>0.11584037409001539</v>
      </c>
      <c r="I26" s="9">
        <v>0.10309278350515461</v>
      </c>
      <c r="J26" s="9">
        <v>0.1003675987921754</v>
      </c>
      <c r="K26" s="9">
        <v>7.9829774745028989E-2</v>
      </c>
      <c r="L26" s="9">
        <v>7.7090243623470209E-2</v>
      </c>
    </row>
    <row r="27" spans="1:12" x14ac:dyDescent="0.35">
      <c r="A27" s="16" t="s">
        <v>365</v>
      </c>
      <c r="B27" s="9">
        <v>0.26815025252525249</v>
      </c>
      <c r="C27" s="9">
        <v>0.26602266394203983</v>
      </c>
      <c r="D27" s="9">
        <v>0.27196560467423658</v>
      </c>
      <c r="E27" s="9">
        <v>0.27640984908657668</v>
      </c>
      <c r="F27" s="9">
        <v>0.28227974498809433</v>
      </c>
      <c r="G27" s="9">
        <v>0.26309738873378219</v>
      </c>
      <c r="H27" s="9">
        <v>0.25522078750199267</v>
      </c>
      <c r="I27" s="9">
        <v>0.27841494845360831</v>
      </c>
      <c r="J27" s="9">
        <v>0.2754365235657083</v>
      </c>
      <c r="K27" s="9">
        <v>0.31579719715312943</v>
      </c>
      <c r="L27" s="9">
        <v>0.33752716458881388</v>
      </c>
    </row>
    <row r="28" spans="1:12" x14ac:dyDescent="0.35">
      <c r="A28" s="16" t="s">
        <v>366</v>
      </c>
      <c r="B28" s="9">
        <v>0.1508838383838384</v>
      </c>
      <c r="C28" s="9">
        <v>0.14007059260635329</v>
      </c>
      <c r="D28" s="9">
        <v>0.192371293131959</v>
      </c>
      <c r="E28" s="9">
        <v>0.17156473391580621</v>
      </c>
      <c r="F28" s="9">
        <v>0.1818880098317843</v>
      </c>
      <c r="G28" s="9">
        <v>0.17375595335851529</v>
      </c>
      <c r="H28" s="9">
        <v>0.23263722833306771</v>
      </c>
      <c r="I28" s="9">
        <v>0.1332474226804124</v>
      </c>
      <c r="J28" s="9">
        <v>0.1743468557174741</v>
      </c>
      <c r="K28" s="9">
        <v>0.15797197153129361</v>
      </c>
      <c r="L28" s="9">
        <v>0.10957337298410159</v>
      </c>
    </row>
    <row r="29" spans="1:12" x14ac:dyDescent="0.35">
      <c r="A29" s="16" t="s">
        <v>367</v>
      </c>
      <c r="B29" s="9">
        <v>0.1237373737373737</v>
      </c>
      <c r="C29" s="9">
        <v>0.11814973063347579</v>
      </c>
      <c r="D29" s="9">
        <v>0.12799029875427179</v>
      </c>
      <c r="E29" s="9">
        <v>0.10997183912195831</v>
      </c>
      <c r="F29" s="9">
        <v>0.1052308164989631</v>
      </c>
      <c r="G29" s="9">
        <v>0.1109377566102808</v>
      </c>
      <c r="H29" s="9">
        <v>1.7535469472341782E-2</v>
      </c>
      <c r="I29" s="9">
        <v>1.3402061855670101E-2</v>
      </c>
      <c r="J29" s="9">
        <v>1.050282263358277E-2</v>
      </c>
      <c r="K29" s="9">
        <v>1.1813045711350801E-2</v>
      </c>
      <c r="L29" s="9">
        <v>9.7220633649776969E-3</v>
      </c>
    </row>
    <row r="30" spans="1:12" x14ac:dyDescent="0.35">
      <c r="A30" s="16" t="s">
        <v>368</v>
      </c>
      <c r="B30" s="9">
        <v>0.24779040404040401</v>
      </c>
      <c r="C30" s="9">
        <v>0.23165521084896901</v>
      </c>
      <c r="D30" s="9">
        <v>0.21811266674016089</v>
      </c>
      <c r="E30" s="9">
        <v>0.15914506462560471</v>
      </c>
      <c r="F30" s="9">
        <v>0.1865734695445119</v>
      </c>
      <c r="G30" s="9">
        <v>0.17129249466250621</v>
      </c>
      <c r="H30" s="9">
        <v>8.9324618736383449E-2</v>
      </c>
      <c r="I30" s="9">
        <v>0.1376932989690722</v>
      </c>
      <c r="J30" s="9">
        <v>0.17323093081265589</v>
      </c>
      <c r="K30" s="9">
        <v>0.1785163988553819</v>
      </c>
      <c r="L30" s="9">
        <v>0.16184376072286399</v>
      </c>
    </row>
    <row r="31" spans="1:12" x14ac:dyDescent="0.35">
      <c r="A31" s="11" t="s">
        <v>369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</row>
    <row r="32" spans="1:12" x14ac:dyDescent="0.35">
      <c r="A32" s="11" t="s">
        <v>370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</row>
    <row r="33" spans="1:12" x14ac:dyDescent="0.35">
      <c r="A33" s="11" t="s">
        <v>371</v>
      </c>
      <c r="B33" s="9">
        <v>1</v>
      </c>
      <c r="C33" s="9">
        <v>1</v>
      </c>
      <c r="D33" s="9">
        <v>1</v>
      </c>
      <c r="E33" s="9">
        <v>1</v>
      </c>
      <c r="F33" s="9">
        <v>1</v>
      </c>
      <c r="G33" s="9">
        <v>0.73452126786007554</v>
      </c>
      <c r="H33" s="9">
        <v>0.46910037727828258</v>
      </c>
      <c r="I33" s="9">
        <v>0.47751288659793822</v>
      </c>
      <c r="J33" s="9">
        <v>0.46947617172115008</v>
      </c>
      <c r="K33" s="9">
        <v>0.35204343678919953</v>
      </c>
      <c r="L33" s="9">
        <v>0</v>
      </c>
    </row>
    <row r="34" spans="1:12" x14ac:dyDescent="0.35">
      <c r="A34" s="11" t="s">
        <v>372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0.26547873213992451</v>
      </c>
      <c r="H34" s="9">
        <v>0.53089962272171742</v>
      </c>
      <c r="I34" s="9">
        <v>0.52248711340206189</v>
      </c>
      <c r="J34" s="9">
        <v>0.53052382827884992</v>
      </c>
      <c r="K34" s="9">
        <v>0.63196125907990319</v>
      </c>
      <c r="L34" s="9">
        <v>0.84032940638224862</v>
      </c>
    </row>
    <row r="35" spans="1:12" x14ac:dyDescent="0.35">
      <c r="A35" s="11" t="s">
        <v>373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3.9117007892027912E-2</v>
      </c>
    </row>
    <row r="36" spans="1:12" x14ac:dyDescent="0.35">
      <c r="A36" s="11" t="s">
        <v>374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1.599530413089735E-2</v>
      </c>
      <c r="L36" s="9">
        <v>0.1205535857257234</v>
      </c>
    </row>
    <row r="37" spans="1:12" x14ac:dyDescent="0.35">
      <c r="A37" s="11" t="s">
        <v>77</v>
      </c>
      <c r="B37">
        <v>6336</v>
      </c>
      <c r="C37">
        <v>5383</v>
      </c>
      <c r="D37">
        <v>18142</v>
      </c>
      <c r="E37">
        <v>13849</v>
      </c>
      <c r="F37">
        <v>13019</v>
      </c>
      <c r="G37">
        <v>12178</v>
      </c>
      <c r="H37">
        <v>18819</v>
      </c>
      <c r="I37">
        <v>15520</v>
      </c>
      <c r="J37">
        <v>15234</v>
      </c>
      <c r="K37">
        <v>13629</v>
      </c>
      <c r="L37">
        <v>8743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B48A1-C878-4114-BC42-6897C0679578}">
  <dimension ref="A1:CA71"/>
  <sheetViews>
    <sheetView topLeftCell="BP1" zoomScale="115" zoomScaleNormal="23" workbookViewId="0">
      <selection activeCell="BX3" sqref="BX3"/>
    </sheetView>
  </sheetViews>
  <sheetFormatPr defaultRowHeight="14.5" x14ac:dyDescent="0.35"/>
  <cols>
    <col min="1" max="1" width="50.81640625" bestFit="1" customWidth="1"/>
    <col min="2" max="2" width="12.6328125" bestFit="1" customWidth="1"/>
    <col min="3" max="12" width="15" bestFit="1" customWidth="1"/>
    <col min="34" max="34" width="15.36328125" bestFit="1" customWidth="1"/>
    <col min="35" max="35" width="15.08984375" customWidth="1"/>
    <col min="36" max="36" width="15.36328125" bestFit="1" customWidth="1"/>
    <col min="46" max="46" width="11.54296875" bestFit="1" customWidth="1"/>
    <col min="56" max="56" width="11.54296875" bestFit="1" customWidth="1"/>
    <col min="57" max="68" width="11.54296875" customWidth="1"/>
    <col min="69" max="70" width="12.6328125" bestFit="1" customWidth="1"/>
    <col min="71" max="71" width="12" bestFit="1" customWidth="1"/>
    <col min="72" max="79" width="12.6328125" bestFit="1" customWidth="1"/>
  </cols>
  <sheetData>
    <row r="1" spans="1:79" x14ac:dyDescent="0.35">
      <c r="A1" t="s">
        <v>240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  <c r="I1" t="s">
        <v>248</v>
      </c>
      <c r="J1" t="s">
        <v>249</v>
      </c>
      <c r="K1" t="s">
        <v>250</v>
      </c>
      <c r="L1" s="13" t="s">
        <v>251</v>
      </c>
      <c r="M1" t="s">
        <v>252</v>
      </c>
      <c r="N1" t="s">
        <v>253</v>
      </c>
      <c r="O1" t="s">
        <v>254</v>
      </c>
      <c r="P1" t="s">
        <v>255</v>
      </c>
      <c r="Q1" t="s">
        <v>256</v>
      </c>
      <c r="R1" t="s">
        <v>257</v>
      </c>
      <c r="S1" t="s">
        <v>258</v>
      </c>
      <c r="T1" t="s">
        <v>259</v>
      </c>
      <c r="U1" t="s">
        <v>260</v>
      </c>
      <c r="V1" t="s">
        <v>261</v>
      </c>
      <c r="W1" s="13" t="s">
        <v>262</v>
      </c>
      <c r="X1" t="s">
        <v>263</v>
      </c>
      <c r="Y1" t="s">
        <v>264</v>
      </c>
      <c r="Z1" t="s">
        <v>265</v>
      </c>
      <c r="AA1" t="s">
        <v>266</v>
      </c>
      <c r="AB1" t="s">
        <v>267</v>
      </c>
      <c r="AC1" t="s">
        <v>268</v>
      </c>
      <c r="AD1" t="s">
        <v>269</v>
      </c>
      <c r="AE1" t="s">
        <v>270</v>
      </c>
      <c r="AF1" t="s">
        <v>271</v>
      </c>
      <c r="AG1" t="s">
        <v>272</v>
      </c>
      <c r="AH1" s="13" t="s">
        <v>273</v>
      </c>
      <c r="AI1" t="s">
        <v>274</v>
      </c>
      <c r="AJ1" t="s">
        <v>275</v>
      </c>
      <c r="AK1" t="s">
        <v>276</v>
      </c>
      <c r="AL1" t="s">
        <v>277</v>
      </c>
      <c r="AM1" t="s">
        <v>278</v>
      </c>
      <c r="AN1" t="s">
        <v>279</v>
      </c>
      <c r="AO1" t="s">
        <v>280</v>
      </c>
      <c r="AP1" t="s">
        <v>281</v>
      </c>
      <c r="AQ1" t="s">
        <v>282</v>
      </c>
      <c r="AR1" t="s">
        <v>283</v>
      </c>
      <c r="AS1" s="13" t="s">
        <v>284</v>
      </c>
      <c r="AT1" t="s">
        <v>285</v>
      </c>
      <c r="AU1" t="s">
        <v>286</v>
      </c>
      <c r="AV1" t="s">
        <v>287</v>
      </c>
      <c r="AW1" t="s">
        <v>288</v>
      </c>
      <c r="AX1" t="s">
        <v>289</v>
      </c>
      <c r="AY1" t="s">
        <v>290</v>
      </c>
      <c r="AZ1" t="s">
        <v>291</v>
      </c>
      <c r="BA1" t="s">
        <v>292</v>
      </c>
      <c r="BB1" t="s">
        <v>293</v>
      </c>
      <c r="BC1" t="s">
        <v>294</v>
      </c>
      <c r="BD1" s="13" t="s">
        <v>295</v>
      </c>
      <c r="BE1" t="s">
        <v>389</v>
      </c>
      <c r="BF1" t="s">
        <v>390</v>
      </c>
      <c r="BG1" t="s">
        <v>391</v>
      </c>
      <c r="BH1" t="s">
        <v>392</v>
      </c>
      <c r="BI1" t="s">
        <v>393</v>
      </c>
      <c r="BJ1" t="s">
        <v>394</v>
      </c>
      <c r="BK1" t="s">
        <v>395</v>
      </c>
      <c r="BL1" t="s">
        <v>396</v>
      </c>
      <c r="BM1" t="s">
        <v>397</v>
      </c>
      <c r="BN1" t="s">
        <v>398</v>
      </c>
      <c r="BO1" t="s">
        <v>399</v>
      </c>
      <c r="BP1" t="s">
        <v>378</v>
      </c>
      <c r="BQ1" t="s">
        <v>379</v>
      </c>
      <c r="BR1" t="s">
        <v>380</v>
      </c>
      <c r="BS1" t="s">
        <v>381</v>
      </c>
      <c r="BT1" t="s">
        <v>382</v>
      </c>
      <c r="BU1" t="s">
        <v>383</v>
      </c>
      <c r="BV1" t="s">
        <v>384</v>
      </c>
      <c r="BW1" t="s">
        <v>385</v>
      </c>
      <c r="BX1" t="s">
        <v>386</v>
      </c>
      <c r="BY1" t="s">
        <v>387</v>
      </c>
      <c r="BZ1" t="s">
        <v>388</v>
      </c>
    </row>
    <row r="2" spans="1:79" x14ac:dyDescent="0.35">
      <c r="A2" t="s">
        <v>149</v>
      </c>
      <c r="B2" t="s">
        <v>152</v>
      </c>
      <c r="C2" t="s">
        <v>166</v>
      </c>
      <c r="D2" t="s">
        <v>167</v>
      </c>
      <c r="E2" t="s">
        <v>163</v>
      </c>
      <c r="F2" t="s">
        <v>160</v>
      </c>
      <c r="G2" t="s">
        <v>126</v>
      </c>
      <c r="H2" t="s">
        <v>128</v>
      </c>
      <c r="I2" t="s">
        <v>129</v>
      </c>
      <c r="J2" t="s">
        <v>130</v>
      </c>
      <c r="K2" t="s">
        <v>131</v>
      </c>
      <c r="L2" s="13" t="s">
        <v>127</v>
      </c>
      <c r="M2" t="s">
        <v>152</v>
      </c>
      <c r="N2" t="s">
        <v>166</v>
      </c>
      <c r="O2" t="s">
        <v>167</v>
      </c>
      <c r="P2" t="s">
        <v>163</v>
      </c>
      <c r="Q2" t="s">
        <v>160</v>
      </c>
      <c r="R2" t="s">
        <v>126</v>
      </c>
      <c r="S2" t="s">
        <v>128</v>
      </c>
      <c r="T2" t="s">
        <v>129</v>
      </c>
      <c r="U2" t="s">
        <v>130</v>
      </c>
      <c r="V2" t="s">
        <v>131</v>
      </c>
      <c r="W2" s="13" t="s">
        <v>127</v>
      </c>
      <c r="X2" t="s">
        <v>152</v>
      </c>
      <c r="Y2" t="s">
        <v>166</v>
      </c>
      <c r="Z2" t="s">
        <v>167</v>
      </c>
      <c r="AA2" t="s">
        <v>163</v>
      </c>
      <c r="AB2" t="s">
        <v>160</v>
      </c>
      <c r="AC2" t="s">
        <v>126</v>
      </c>
      <c r="AD2" t="s">
        <v>128</v>
      </c>
      <c r="AE2" t="s">
        <v>129</v>
      </c>
      <c r="AF2" t="s">
        <v>130</v>
      </c>
      <c r="AG2" t="s">
        <v>131</v>
      </c>
      <c r="AH2" s="13" t="s">
        <v>127</v>
      </c>
      <c r="AI2" t="s">
        <v>152</v>
      </c>
      <c r="AJ2" t="s">
        <v>166</v>
      </c>
      <c r="AK2" t="s">
        <v>167</v>
      </c>
      <c r="AL2" t="s">
        <v>163</v>
      </c>
      <c r="AM2" t="s">
        <v>160</v>
      </c>
      <c r="AN2" t="s">
        <v>126</v>
      </c>
      <c r="AO2" t="s">
        <v>128</v>
      </c>
      <c r="AP2" t="s">
        <v>129</v>
      </c>
      <c r="AQ2" t="s">
        <v>130</v>
      </c>
      <c r="AR2" t="s">
        <v>131</v>
      </c>
      <c r="AS2" s="13" t="s">
        <v>127</v>
      </c>
      <c r="AT2" t="s">
        <v>152</v>
      </c>
      <c r="AU2" t="s">
        <v>166</v>
      </c>
      <c r="AV2" t="s">
        <v>167</v>
      </c>
      <c r="AW2" t="s">
        <v>163</v>
      </c>
      <c r="AX2" t="s">
        <v>160</v>
      </c>
      <c r="AY2" t="s">
        <v>126</v>
      </c>
      <c r="AZ2" t="s">
        <v>128</v>
      </c>
      <c r="BA2" t="s">
        <v>129</v>
      </c>
      <c r="BB2" t="s">
        <v>130</v>
      </c>
      <c r="BC2" t="s">
        <v>131</v>
      </c>
      <c r="BD2" s="13" t="s">
        <v>127</v>
      </c>
      <c r="BE2" t="s">
        <v>152</v>
      </c>
      <c r="BF2" t="s">
        <v>166</v>
      </c>
      <c r="BG2" t="s">
        <v>167</v>
      </c>
      <c r="BH2" t="s">
        <v>163</v>
      </c>
      <c r="BI2" t="s">
        <v>160</v>
      </c>
      <c r="BJ2" t="s">
        <v>126</v>
      </c>
      <c r="BK2" t="s">
        <v>128</v>
      </c>
      <c r="BL2" t="s">
        <v>129</v>
      </c>
      <c r="BM2" t="s">
        <v>130</v>
      </c>
      <c r="BN2" t="s">
        <v>131</v>
      </c>
      <c r="BO2" s="13" t="s">
        <v>127</v>
      </c>
      <c r="BP2" t="s">
        <v>152</v>
      </c>
      <c r="BQ2" t="s">
        <v>166</v>
      </c>
      <c r="BR2" t="s">
        <v>167</v>
      </c>
      <c r="BS2" t="s">
        <v>163</v>
      </c>
      <c r="BT2" t="s">
        <v>160</v>
      </c>
      <c r="BU2" t="s">
        <v>126</v>
      </c>
      <c r="BV2" t="s">
        <v>128</v>
      </c>
      <c r="BW2" t="s">
        <v>129</v>
      </c>
      <c r="BX2" t="s">
        <v>130</v>
      </c>
      <c r="BY2" t="s">
        <v>131</v>
      </c>
      <c r="BZ2" t="s">
        <v>127</v>
      </c>
    </row>
    <row r="3" spans="1:79" x14ac:dyDescent="0.35">
      <c r="A3" t="s">
        <v>217</v>
      </c>
      <c r="B3" s="1">
        <v>136.43849356660581</v>
      </c>
      <c r="C3" s="1">
        <v>137.02135091300229</v>
      </c>
      <c r="D3" s="1">
        <v>136.3721183056237</v>
      </c>
      <c r="E3" s="1">
        <v>137.12198326493359</v>
      </c>
      <c r="F3" s="1">
        <v>138.09052083542991</v>
      </c>
      <c r="G3" s="1">
        <v>136.8013556580203</v>
      </c>
      <c r="H3" s="1">
        <v>136.83702494495719</v>
      </c>
      <c r="I3" s="1">
        <v>138.0338190269168</v>
      </c>
      <c r="J3" s="1">
        <v>138.55808093396249</v>
      </c>
      <c r="K3" s="1">
        <v>139.3761012547063</v>
      </c>
      <c r="L3" s="14">
        <v>140.321638457934</v>
      </c>
      <c r="M3" s="1">
        <v>140.72102580751559</v>
      </c>
      <c r="N3" s="1">
        <v>139.02514228651111</v>
      </c>
      <c r="O3" s="1">
        <v>138.13163482086091</v>
      </c>
      <c r="P3" s="1">
        <v>140.1735622972094</v>
      </c>
      <c r="Q3" s="1">
        <v>141.55375224123719</v>
      </c>
      <c r="R3" s="1">
        <v>139.97097369283409</v>
      </c>
      <c r="S3" s="1">
        <v>139.83315040104489</v>
      </c>
      <c r="T3" s="1">
        <v>140.6343356036856</v>
      </c>
      <c r="U3" s="1">
        <v>140.9638839291236</v>
      </c>
      <c r="V3" s="1">
        <v>141.85748818430829</v>
      </c>
      <c r="W3" s="14">
        <v>142.87186728002069</v>
      </c>
      <c r="X3" s="1">
        <v>138.53983622019501</v>
      </c>
      <c r="Y3" s="1">
        <v>137.48747271961969</v>
      </c>
      <c r="Z3" s="1">
        <v>136.76023284432631</v>
      </c>
      <c r="AA3" s="1">
        <v>137.47802427838079</v>
      </c>
      <c r="AB3" s="1">
        <v>138.54353569478641</v>
      </c>
      <c r="AC3" s="1">
        <v>137.20904828299791</v>
      </c>
      <c r="AD3" s="1">
        <v>136.66839841462689</v>
      </c>
      <c r="AE3" s="1">
        <v>137.94719223853701</v>
      </c>
      <c r="AF3" s="1">
        <v>138.66054717924419</v>
      </c>
      <c r="AG3" s="1">
        <v>140.03751697543669</v>
      </c>
      <c r="AH3" s="14">
        <v>141.49332933938911</v>
      </c>
      <c r="AI3" s="1">
        <v>137.9566586474825</v>
      </c>
      <c r="AJ3" s="1">
        <v>139.56619914782399</v>
      </c>
      <c r="AK3" s="1">
        <v>138.52439991139249</v>
      </c>
      <c r="AL3" s="1">
        <v>138.4097814248108</v>
      </c>
      <c r="AM3" s="1">
        <v>140.36330737362081</v>
      </c>
      <c r="AN3" s="1">
        <v>138.38768592238731</v>
      </c>
      <c r="AO3" s="1">
        <v>136.70742932031769</v>
      </c>
      <c r="AP3" s="1">
        <v>138.34779673954839</v>
      </c>
      <c r="AQ3" s="1">
        <v>138.10209621539431</v>
      </c>
      <c r="AR3" s="1">
        <v>138.94555151202141</v>
      </c>
      <c r="AS3" s="14">
        <v>140.98772853763569</v>
      </c>
      <c r="AT3" s="1">
        <v>133.76755452848761</v>
      </c>
      <c r="AU3" s="1">
        <v>135.31366592578499</v>
      </c>
      <c r="AV3" s="1">
        <v>136.17456495376311</v>
      </c>
      <c r="AW3" s="1">
        <v>136.81709999339159</v>
      </c>
      <c r="AX3" s="1">
        <v>136.69241262670499</v>
      </c>
      <c r="AY3" s="1">
        <v>134.948750294055</v>
      </c>
      <c r="AZ3" s="1">
        <v>134.57147996843619</v>
      </c>
      <c r="BA3" s="1">
        <v>136.4179223286813</v>
      </c>
      <c r="BB3" s="1">
        <v>137.00629562165429</v>
      </c>
      <c r="BC3" s="1">
        <v>137.20721483911191</v>
      </c>
      <c r="BD3" s="14">
        <v>139.53493407424921</v>
      </c>
      <c r="BE3" s="1">
        <v>140.50459471793889</v>
      </c>
      <c r="BF3" s="1">
        <v>140.56078051519651</v>
      </c>
      <c r="BG3" s="1">
        <v>139.56825037479661</v>
      </c>
      <c r="BH3" s="1">
        <v>140.43211833884561</v>
      </c>
      <c r="BI3" s="1">
        <v>139.88511483115639</v>
      </c>
      <c r="BJ3" s="1">
        <v>139.76781802522791</v>
      </c>
      <c r="BK3" s="1">
        <v>139.70876763492191</v>
      </c>
      <c r="BL3" s="1">
        <v>139.8667228088469</v>
      </c>
      <c r="BM3" s="1">
        <v>139.91790875779989</v>
      </c>
      <c r="BN3" s="1">
        <v>140.94205426095121</v>
      </c>
      <c r="BO3" s="14">
        <v>141.86952503622649</v>
      </c>
      <c r="BP3" s="1">
        <v>139.0741242161609</v>
      </c>
      <c r="BQ3" s="1">
        <v>138.94609919008701</v>
      </c>
      <c r="BR3" s="1">
        <v>138.3496798172151</v>
      </c>
      <c r="BS3" s="1">
        <v>139.22435957276809</v>
      </c>
      <c r="BT3" s="1">
        <v>139.53563273517111</v>
      </c>
      <c r="BU3" s="1">
        <v>138.60919585111591</v>
      </c>
      <c r="BV3" s="1">
        <v>138.29935729461579</v>
      </c>
      <c r="BW3" s="1">
        <v>139.1018874982006</v>
      </c>
      <c r="BX3" s="1">
        <v>139.41595540863571</v>
      </c>
      <c r="BY3" s="1">
        <v>140.31999546557549</v>
      </c>
      <c r="BZ3" s="1">
        <v>141.62420028079859</v>
      </c>
      <c r="CA3" s="1"/>
    </row>
    <row r="4" spans="1:79" x14ac:dyDescent="0.35">
      <c r="A4" t="s">
        <v>218</v>
      </c>
      <c r="B4" s="1">
        <v>0.69471129569458867</v>
      </c>
      <c r="C4" s="1">
        <v>0.8300334187881333</v>
      </c>
      <c r="D4" s="1">
        <v>0.65750358682390697</v>
      </c>
      <c r="E4" s="1">
        <v>1.1812862492913041</v>
      </c>
      <c r="F4" s="1">
        <v>0.97222552672658935</v>
      </c>
      <c r="G4" s="1">
        <v>1.180283999142574</v>
      </c>
      <c r="H4" s="1">
        <v>1.458290139851925</v>
      </c>
      <c r="I4" s="1">
        <v>2.472301478249761</v>
      </c>
      <c r="J4" s="1">
        <v>2.9310682514337998</v>
      </c>
      <c r="K4" s="1">
        <v>3.3295966493000151</v>
      </c>
      <c r="L4" s="14">
        <v>2.1031238851691678</v>
      </c>
      <c r="M4" s="1">
        <v>1.624588212934043</v>
      </c>
      <c r="N4" s="1">
        <v>0.89105376201663944</v>
      </c>
      <c r="O4" s="1">
        <v>-0.1925314270617946</v>
      </c>
      <c r="P4" s="1">
        <v>0.30849241627720397</v>
      </c>
      <c r="Q4" s="1">
        <v>0.75767442896398052</v>
      </c>
      <c r="R4" s="1">
        <v>0.5284461459404497</v>
      </c>
      <c r="S4" s="1">
        <v>0.66878041807478894</v>
      </c>
      <c r="T4" s="1">
        <v>1.27304614539662</v>
      </c>
      <c r="U4" s="1">
        <v>1.7966555450034889</v>
      </c>
      <c r="V4" s="1">
        <v>2.7856639183449659</v>
      </c>
      <c r="W4" s="14">
        <v>2.4440368355942041</v>
      </c>
      <c r="X4" s="1">
        <v>1.4591709056517741</v>
      </c>
      <c r="Y4" s="1">
        <v>1.275130197528028</v>
      </c>
      <c r="Z4" s="1">
        <v>1.0228540806536439</v>
      </c>
      <c r="AA4" s="1">
        <v>2.0236415549944131</v>
      </c>
      <c r="AB4" s="1">
        <v>2.2713522346569159</v>
      </c>
      <c r="AC4" s="1">
        <v>2.0658578567039569</v>
      </c>
      <c r="AD4" s="1">
        <v>1.8397213794967511</v>
      </c>
      <c r="AE4" s="1">
        <v>2.0295688249440502</v>
      </c>
      <c r="AF4" s="1">
        <v>2.2461462781388382</v>
      </c>
      <c r="AG4" s="1">
        <v>2.9427504336396741</v>
      </c>
      <c r="AH4" s="14">
        <v>2.3362459373364</v>
      </c>
      <c r="AI4" s="1">
        <v>1.0312224517753921</v>
      </c>
      <c r="AJ4" s="1">
        <v>1.513970301110618</v>
      </c>
      <c r="AK4" s="1">
        <v>1.551222502359451</v>
      </c>
      <c r="AL4" s="1">
        <v>2.438601143496697</v>
      </c>
      <c r="AM4" s="1">
        <v>3.2825891938814489</v>
      </c>
      <c r="AN4" s="1">
        <v>2.9662031125584751</v>
      </c>
      <c r="AO4" s="1">
        <v>2.4076494891832279</v>
      </c>
      <c r="AP4" s="1">
        <v>2.4907612555774681</v>
      </c>
      <c r="AQ4" s="1">
        <v>3.009578920406597</v>
      </c>
      <c r="AR4" s="1">
        <v>1.620438206134992</v>
      </c>
      <c r="AS4" s="14">
        <v>1.182202450955032</v>
      </c>
      <c r="AT4" s="1">
        <v>-0.72060842385036494</v>
      </c>
      <c r="AU4" s="1">
        <v>0.45542589957730678</v>
      </c>
      <c r="AV4" s="1">
        <v>-0.58479913466192102</v>
      </c>
      <c r="AW4" s="1">
        <v>-0.32981375653986328</v>
      </c>
      <c r="AX4" s="1">
        <v>-0.47903772684074403</v>
      </c>
      <c r="AY4" s="1">
        <v>-0.28282435637271419</v>
      </c>
      <c r="AZ4" s="1">
        <v>-0.97520671691259508</v>
      </c>
      <c r="BA4" s="1">
        <v>0.20726925219369721</v>
      </c>
      <c r="BB4" s="1">
        <v>0.17758706070313221</v>
      </c>
      <c r="BC4" s="1">
        <v>1.4255253484085699</v>
      </c>
      <c r="BD4" s="14">
        <v>1.6538159725228641</v>
      </c>
      <c r="BE4" s="1">
        <v>1.5001869575874309</v>
      </c>
      <c r="BF4" s="1">
        <v>1.7611724405662981</v>
      </c>
      <c r="BG4" s="1">
        <v>1.3266459899973599</v>
      </c>
      <c r="BH4" s="1">
        <v>2.2203144511825879</v>
      </c>
      <c r="BI4" s="1">
        <v>1.9527826553908481</v>
      </c>
      <c r="BJ4" s="1">
        <v>0.8836291908923215</v>
      </c>
      <c r="BK4" s="1">
        <v>-0.34039322521121562</v>
      </c>
      <c r="BL4" s="1">
        <v>1.3978450923279411</v>
      </c>
      <c r="BM4" s="1">
        <v>1.319868434605155</v>
      </c>
      <c r="BN4" s="1">
        <v>1.489744982764222</v>
      </c>
      <c r="BO4" s="14">
        <v>2.0379889124234301</v>
      </c>
      <c r="BP4" s="1">
        <v>0.93343131935540669</v>
      </c>
      <c r="BQ4" s="1">
        <v>1.1629460271077221</v>
      </c>
      <c r="BR4" s="1">
        <v>0.72949409761747575</v>
      </c>
      <c r="BS4" s="1">
        <v>1.423840198924154</v>
      </c>
      <c r="BT4" s="1">
        <v>1.453811646099922</v>
      </c>
      <c r="BU4" s="1">
        <v>0.86334078508053835</v>
      </c>
      <c r="BV4" s="1">
        <v>0.21131624994714571</v>
      </c>
      <c r="BW4" s="1">
        <v>1.402325721041791</v>
      </c>
      <c r="BX4" s="1">
        <v>1.548302933279444</v>
      </c>
      <c r="BY4" s="1">
        <v>1.9565456161171539</v>
      </c>
      <c r="BZ4" s="1">
        <v>2.0460009046815339</v>
      </c>
      <c r="CA4" s="1"/>
    </row>
    <row r="5" spans="1:79" x14ac:dyDescent="0.35">
      <c r="A5" t="s">
        <v>219</v>
      </c>
      <c r="B5" s="1">
        <v>-0.53250650327211702</v>
      </c>
      <c r="C5" s="1">
        <v>-0.25281508418234472</v>
      </c>
      <c r="D5" s="1">
        <v>-0.51081513958368419</v>
      </c>
      <c r="E5" s="1">
        <v>-6.4465549980297965E-2</v>
      </c>
      <c r="F5" s="1">
        <v>0.40869613021840218</v>
      </c>
      <c r="G5" s="1">
        <v>1.256531226042654</v>
      </c>
      <c r="H5" s="1">
        <v>1.26811843683285</v>
      </c>
      <c r="I5" s="1">
        <v>1.9615166739455669</v>
      </c>
      <c r="J5" s="1">
        <v>1.950471109844869</v>
      </c>
      <c r="K5" s="1">
        <v>2.9249528550634518</v>
      </c>
      <c r="L5" s="14">
        <v>2.6126789315991061</v>
      </c>
      <c r="M5" s="1">
        <v>-0.53513029218538577</v>
      </c>
      <c r="N5" s="1">
        <v>-0.29126157869040981</v>
      </c>
      <c r="O5" s="1">
        <v>-0.43501302380337847</v>
      </c>
      <c r="P5" s="1">
        <v>0.12781074520819399</v>
      </c>
      <c r="Q5" s="1">
        <v>0.68635612831403137</v>
      </c>
      <c r="R5" s="1">
        <v>1.445034280734433</v>
      </c>
      <c r="S5" s="1">
        <v>1.4081363919405869</v>
      </c>
      <c r="T5" s="1">
        <v>1.7577979018098231</v>
      </c>
      <c r="U5" s="1">
        <v>2.306247499514825</v>
      </c>
      <c r="V5" s="1">
        <v>2.8824873987355768</v>
      </c>
      <c r="W5" s="14">
        <v>2.5987195353981178</v>
      </c>
      <c r="X5" s="1">
        <v>-0.26484568129637859</v>
      </c>
      <c r="Y5" s="1">
        <v>-9.0781414118339399E-2</v>
      </c>
      <c r="Z5" s="1">
        <v>-0.31181896491838762</v>
      </c>
      <c r="AA5" s="1">
        <v>-0.1117201054380814</v>
      </c>
      <c r="AB5" s="1">
        <v>0.44366114370350829</v>
      </c>
      <c r="AC5" s="1">
        <v>1.5712763617984249</v>
      </c>
      <c r="AD5" s="1">
        <v>1.500571778355607</v>
      </c>
      <c r="AE5" s="1">
        <v>1.58961402073831</v>
      </c>
      <c r="AF5" s="1">
        <v>2.067322703792883</v>
      </c>
      <c r="AG5" s="1">
        <v>2.8088478737873288</v>
      </c>
      <c r="AH5" s="14">
        <v>2.317910934499281</v>
      </c>
      <c r="AI5" s="1">
        <v>7.7495248962634378E-2</v>
      </c>
      <c r="AJ5" s="1">
        <v>8.3209397273634522E-2</v>
      </c>
      <c r="AK5" s="1">
        <v>-0.28108863209610041</v>
      </c>
      <c r="AL5" s="1">
        <v>0.27026879160641221</v>
      </c>
      <c r="AM5" s="1">
        <v>0.72383375516804449</v>
      </c>
      <c r="AN5" s="1">
        <v>1.8740136985915969</v>
      </c>
      <c r="AO5" s="1">
        <v>1.704818843990495</v>
      </c>
      <c r="AP5" s="1">
        <v>1.7517112838907849</v>
      </c>
      <c r="AQ5" s="1">
        <v>2.314609780183758</v>
      </c>
      <c r="AR5" s="1">
        <v>2.9958083797451991</v>
      </c>
      <c r="AS5" s="14">
        <v>2.0638714060271179</v>
      </c>
      <c r="AT5" s="1">
        <v>-1.6322343155785859</v>
      </c>
      <c r="AU5" s="1">
        <v>-0.95299059084501891</v>
      </c>
      <c r="AV5" s="1">
        <v>-1.6105460100706921</v>
      </c>
      <c r="AW5" s="1">
        <v>-1.1654003024293329</v>
      </c>
      <c r="AX5" s="1">
        <v>-0.243954317405354</v>
      </c>
      <c r="AY5" s="1">
        <v>2.4662444124798242</v>
      </c>
      <c r="AZ5" s="1">
        <v>3.674039297415391</v>
      </c>
      <c r="BA5" s="1">
        <v>2.5640408977170921</v>
      </c>
      <c r="BB5" s="1">
        <v>2.8515548153813199</v>
      </c>
      <c r="BC5" s="1">
        <v>3.8490643220173411</v>
      </c>
      <c r="BD5" s="14">
        <v>3.2315253932401049</v>
      </c>
      <c r="BE5" s="1">
        <v>-1.1552306819467331</v>
      </c>
      <c r="BF5" s="1">
        <v>-0.26620532462061419</v>
      </c>
      <c r="BG5" s="1">
        <v>-0.55823831496286402</v>
      </c>
      <c r="BH5" s="1">
        <v>-0.246053744524346</v>
      </c>
      <c r="BI5" s="1">
        <v>-0.88286084718316715</v>
      </c>
      <c r="BJ5" s="1">
        <v>-1.0127231420570131</v>
      </c>
      <c r="BK5" s="1">
        <v>-1.3841085929259409</v>
      </c>
      <c r="BL5" s="1">
        <v>-0.66998587571404755</v>
      </c>
      <c r="BM5" s="1">
        <v>-0.18604373728774701</v>
      </c>
      <c r="BN5" s="1">
        <v>0.28406996944485741</v>
      </c>
      <c r="BO5" s="87">
        <v>0.2038883904409374</v>
      </c>
      <c r="BP5" s="87">
        <v>-1.001397387088161</v>
      </c>
      <c r="BQ5" s="1">
        <v>-0.38134585529141418</v>
      </c>
      <c r="BR5" s="1">
        <v>-0.6591581945120879</v>
      </c>
      <c r="BS5" s="1">
        <v>-0.24549331132024579</v>
      </c>
      <c r="BT5" s="1">
        <v>-0.24816512874255639</v>
      </c>
      <c r="BU5" s="1">
        <v>0.47763897392053423</v>
      </c>
      <c r="BV5" s="1">
        <v>0.50879879163588271</v>
      </c>
      <c r="BW5" s="1">
        <v>0.83371984427921575</v>
      </c>
      <c r="BX5" s="1">
        <v>1.183247102153729</v>
      </c>
      <c r="BY5" s="1">
        <v>1.749071335033477</v>
      </c>
      <c r="BZ5" s="1">
        <v>1.2862663138462269</v>
      </c>
      <c r="CA5" s="1"/>
    </row>
    <row r="6" spans="1:79" x14ac:dyDescent="0.35">
      <c r="A6" t="s">
        <v>220</v>
      </c>
      <c r="B6" s="1">
        <v>2.707214768640378</v>
      </c>
      <c r="C6" s="1">
        <v>2.2880394682777583</v>
      </c>
      <c r="D6" s="1">
        <v>2.0027206956794088</v>
      </c>
      <c r="E6" s="1">
        <v>2.5931536524031129</v>
      </c>
      <c r="F6" s="1">
        <v>3.7446501775596488</v>
      </c>
      <c r="G6" s="1">
        <v>3.3881857425250139</v>
      </c>
      <c r="H6" s="1">
        <v>3.5073792754688773</v>
      </c>
      <c r="I6" s="1">
        <v>4.0402815976930837</v>
      </c>
      <c r="J6" s="1">
        <v>3.9702313423319389</v>
      </c>
      <c r="K6" s="1">
        <v>4.2537913348033802</v>
      </c>
      <c r="L6" s="14">
        <v>3.9510615232922128</v>
      </c>
      <c r="M6" s="1">
        <v>5.0332926220815501</v>
      </c>
      <c r="N6" s="1">
        <v>5.567832149584941</v>
      </c>
      <c r="O6" s="1">
        <v>5.235130974919084</v>
      </c>
      <c r="P6" s="1">
        <v>5.328628903686397</v>
      </c>
      <c r="Q6" s="1">
        <v>5.1245756487105352</v>
      </c>
      <c r="R6" s="1">
        <v>5.2098344148380225</v>
      </c>
      <c r="S6" s="1">
        <v>5.1666469020677797</v>
      </c>
      <c r="T6" s="1">
        <v>6.0848515660240219</v>
      </c>
      <c r="U6" s="1">
        <v>6.1510730999353918</v>
      </c>
      <c r="V6" s="1">
        <v>6.2080978319684919</v>
      </c>
      <c r="W6" s="14">
        <v>5.3992753026222093</v>
      </c>
      <c r="X6" s="1">
        <v>6.1354790625042446</v>
      </c>
      <c r="Y6" s="1">
        <v>6.0717535469953345</v>
      </c>
      <c r="Z6" s="1">
        <v>4.5804623728311995</v>
      </c>
      <c r="AA6" s="1">
        <v>5.137836553915891</v>
      </c>
      <c r="AB6" s="1">
        <v>5.7066458856648099</v>
      </c>
      <c r="AC6" s="1">
        <v>5.5483695451773931</v>
      </c>
      <c r="AD6" s="1">
        <v>5.2166812565387151</v>
      </c>
      <c r="AE6" s="1">
        <v>6.1403636923522242</v>
      </c>
      <c r="AF6" s="1">
        <v>6.0382608264494451</v>
      </c>
      <c r="AG6" s="1">
        <v>6.2534722946385761</v>
      </c>
      <c r="AH6" s="14">
        <v>5.4380796107290861</v>
      </c>
      <c r="AI6" s="1">
        <v>2.4767311998545218</v>
      </c>
      <c r="AJ6" s="1">
        <v>2.156631681762911</v>
      </c>
      <c r="AK6" s="1">
        <v>0.82751226950812695</v>
      </c>
      <c r="AL6" s="1">
        <v>1.0685351494916295</v>
      </c>
      <c r="AM6" s="1">
        <v>1.3239600171902748</v>
      </c>
      <c r="AN6" s="1">
        <v>1.3976667268150658</v>
      </c>
      <c r="AO6" s="1">
        <v>0.8663164569306705</v>
      </c>
      <c r="AP6" s="1">
        <v>0.4739865492493105</v>
      </c>
      <c r="AQ6" s="1">
        <v>0.45527757409375336</v>
      </c>
      <c r="AR6" s="1">
        <v>0.48685779217732339</v>
      </c>
      <c r="AS6" s="14">
        <v>-0.34927164882031625</v>
      </c>
      <c r="AT6" s="1">
        <v>2.6273818982727986</v>
      </c>
      <c r="AU6" s="1">
        <v>1.8482391078753926</v>
      </c>
      <c r="AV6" s="1">
        <v>1.7170447605410009</v>
      </c>
      <c r="AW6" s="1">
        <v>1.9627113056735983</v>
      </c>
      <c r="AX6" s="1">
        <v>1.7519385388946547</v>
      </c>
      <c r="AY6" s="1">
        <v>1.3235352056190524</v>
      </c>
      <c r="AZ6" s="1">
        <v>1.5176980264090763</v>
      </c>
      <c r="BA6" s="1">
        <v>1.9215073095841706</v>
      </c>
      <c r="BB6" s="1">
        <v>1.8477536230552478</v>
      </c>
      <c r="BC6" s="1">
        <v>1.6963272774335023</v>
      </c>
      <c r="BD6" s="14">
        <v>1.2281393569055403</v>
      </c>
      <c r="BE6" s="1">
        <v>-3.6348155203410673</v>
      </c>
      <c r="BF6" s="1">
        <v>-4.8715328774611431</v>
      </c>
      <c r="BG6" s="1">
        <v>-4.1022630301616312</v>
      </c>
      <c r="BH6" s="1">
        <v>-0.95598475255187942</v>
      </c>
      <c r="BI6" s="1">
        <v>-1.5608471127860948</v>
      </c>
      <c r="BJ6" s="1">
        <v>-1.5029131915825447</v>
      </c>
      <c r="BK6" s="1">
        <v>-0.72557977561132248</v>
      </c>
      <c r="BL6" s="1">
        <v>-0.32987472346966068</v>
      </c>
      <c r="BM6" s="1">
        <v>-0.51543799816335323</v>
      </c>
      <c r="BN6" s="1">
        <v>-0.24231637373345924</v>
      </c>
      <c r="BO6" s="87">
        <v>0.42277832053332282</v>
      </c>
      <c r="BP6" s="1">
        <f>BP7-BP5</f>
        <v>0.50648983828099481</v>
      </c>
      <c r="BQ6" s="1">
        <v>-0.12326584738974589</v>
      </c>
      <c r="BR6" s="1">
        <v>-0.36969667679511531</v>
      </c>
      <c r="BS6" s="1">
        <v>1.7502492056215999</v>
      </c>
      <c r="BT6" s="1">
        <v>1.2521386986628329</v>
      </c>
      <c r="BU6" s="1">
        <v>1.340871454449541</v>
      </c>
      <c r="BV6" s="1">
        <v>1.6509753147592221</v>
      </c>
      <c r="BW6" s="1">
        <v>2.3823475555614664</v>
      </c>
      <c r="BX6" s="1">
        <v>2.0616616168670419</v>
      </c>
      <c r="BY6" s="1">
        <v>2.0327364901466467</v>
      </c>
      <c r="BZ6" s="1">
        <v>1.8643971347716786</v>
      </c>
      <c r="CA6" s="1"/>
    </row>
    <row r="7" spans="1:79" x14ac:dyDescent="0.35">
      <c r="A7" t="s">
        <v>221</v>
      </c>
      <c r="B7" s="1">
        <v>2.174708265368261</v>
      </c>
      <c r="C7" s="1">
        <v>2.0352243840954136</v>
      </c>
      <c r="D7" s="1">
        <v>1.4919055560957246</v>
      </c>
      <c r="E7" s="1">
        <v>2.5286881024228149</v>
      </c>
      <c r="F7" s="1">
        <v>4.153346307778051</v>
      </c>
      <c r="G7" s="1">
        <v>4.6447169685676677</v>
      </c>
      <c r="H7" s="1">
        <v>4.7754977123017275</v>
      </c>
      <c r="I7" s="1">
        <v>6.0017982716386502</v>
      </c>
      <c r="J7" s="1">
        <v>5.9207024521768084</v>
      </c>
      <c r="K7" s="1">
        <v>7.1787441898668316</v>
      </c>
      <c r="L7" s="14">
        <v>6.5637404548913185</v>
      </c>
      <c r="M7" s="1">
        <v>4.4981623298961644</v>
      </c>
      <c r="N7" s="1">
        <v>5.2765705708945312</v>
      </c>
      <c r="O7" s="1">
        <v>4.8001179511157055</v>
      </c>
      <c r="P7" s="1">
        <v>5.456439648894591</v>
      </c>
      <c r="Q7" s="1">
        <v>5.8109317770245665</v>
      </c>
      <c r="R7" s="1">
        <v>6.6548686955724552</v>
      </c>
      <c r="S7" s="1">
        <v>6.5747832940083661</v>
      </c>
      <c r="T7" s="1">
        <v>7.8426494678338452</v>
      </c>
      <c r="U7" s="1">
        <v>8.4573205994502167</v>
      </c>
      <c r="V7" s="1">
        <v>9.0905852307040682</v>
      </c>
      <c r="W7" s="14">
        <v>7.9979948380203272</v>
      </c>
      <c r="X7" s="1">
        <v>5.8706333812078659</v>
      </c>
      <c r="Y7" s="1">
        <v>5.9809721328769951</v>
      </c>
      <c r="Z7" s="1">
        <v>4.2686434079128119</v>
      </c>
      <c r="AA7" s="1">
        <v>5.0261164484778096</v>
      </c>
      <c r="AB7" s="1">
        <v>6.1503070293683182</v>
      </c>
      <c r="AC7" s="1">
        <v>7.1196459069758182</v>
      </c>
      <c r="AD7" s="1">
        <v>6.7172530348943216</v>
      </c>
      <c r="AE7" s="1">
        <v>7.7299777130905341</v>
      </c>
      <c r="AF7" s="1">
        <v>8.1055835302423276</v>
      </c>
      <c r="AG7" s="1">
        <v>9.0623201684259058</v>
      </c>
      <c r="AH7" s="14">
        <v>7.7559905452283671</v>
      </c>
      <c r="AI7" s="1">
        <v>2.5542264488171562</v>
      </c>
      <c r="AJ7" s="1">
        <v>2.2398410790365455</v>
      </c>
      <c r="AK7" s="1">
        <v>0.5464236374120266</v>
      </c>
      <c r="AL7" s="1">
        <v>1.3388039410980417</v>
      </c>
      <c r="AM7" s="1">
        <v>2.0477937723583191</v>
      </c>
      <c r="AN7" s="1">
        <v>3.2716804254066627</v>
      </c>
      <c r="AO7" s="1">
        <v>2.5711353009211653</v>
      </c>
      <c r="AP7" s="1">
        <v>2.2256978331400954</v>
      </c>
      <c r="AQ7" s="1">
        <v>2.7698873542775111</v>
      </c>
      <c r="AR7" s="1">
        <v>3.4826661719225225</v>
      </c>
      <c r="AS7" s="14">
        <v>1.7145997572068017</v>
      </c>
      <c r="AT7" s="1">
        <v>0.99514758269421266</v>
      </c>
      <c r="AU7" s="1">
        <v>0.89524851703037367</v>
      </c>
      <c r="AV7" s="1">
        <v>0.10649875047030877</v>
      </c>
      <c r="AW7" s="1">
        <v>0.7973110032442654</v>
      </c>
      <c r="AX7" s="1">
        <v>1.5079842214893007</v>
      </c>
      <c r="AY7" s="1">
        <v>3.7897796180988763</v>
      </c>
      <c r="AZ7" s="1">
        <v>5.1917373238244675</v>
      </c>
      <c r="BA7" s="1">
        <v>4.4855482073012629</v>
      </c>
      <c r="BB7" s="1">
        <v>4.6993084384365673</v>
      </c>
      <c r="BC7" s="1">
        <v>5.5453915994508431</v>
      </c>
      <c r="BD7" s="14">
        <v>4.4596647501456452</v>
      </c>
      <c r="BE7" s="1">
        <v>-4.7900462022878001</v>
      </c>
      <c r="BF7" s="1">
        <v>-5.1377382020817572</v>
      </c>
      <c r="BG7" s="1">
        <v>-4.6605013451244952</v>
      </c>
      <c r="BH7" s="1">
        <v>-1.2020384970762255</v>
      </c>
      <c r="BI7" s="1">
        <v>-2.4437079599692622</v>
      </c>
      <c r="BJ7" s="1">
        <v>-2.5156363336395575</v>
      </c>
      <c r="BK7" s="1">
        <v>-2.1096883685372632</v>
      </c>
      <c r="BL7" s="1">
        <v>-0.99986059918370818</v>
      </c>
      <c r="BM7" s="1">
        <v>-0.70148173545110026</v>
      </c>
      <c r="BN7" s="1">
        <v>4.1753595711398167E-2</v>
      </c>
      <c r="BO7" s="87">
        <v>0.62666671097426019</v>
      </c>
      <c r="BP7" s="87">
        <v>-0.49490754880716614</v>
      </c>
      <c r="BQ7" s="1">
        <v>0.50673925876580905</v>
      </c>
      <c r="BR7" s="1">
        <v>-1.0288548713072001</v>
      </c>
      <c r="BS7" s="1">
        <v>1.5047558943013541</v>
      </c>
      <c r="BT7" s="1">
        <v>1.0039735699202765</v>
      </c>
      <c r="BU7" s="1">
        <v>1.8185104283700753</v>
      </c>
      <c r="BV7" s="1">
        <v>2.1597741063951048</v>
      </c>
      <c r="BW7" s="1">
        <v>3.2160673998406821</v>
      </c>
      <c r="BX7" s="1">
        <v>3.2449087190207706</v>
      </c>
      <c r="BY7" s="1">
        <v>3.7818078251801239</v>
      </c>
      <c r="BZ7" s="1">
        <v>3.1506634486179053</v>
      </c>
      <c r="CA7" s="1"/>
    </row>
    <row r="8" spans="1:79" x14ac:dyDescent="0.35">
      <c r="A8" t="s">
        <v>211</v>
      </c>
      <c r="B8" s="1">
        <v>139.30791312766866</v>
      </c>
      <c r="C8" s="1">
        <v>139.88660871588584</v>
      </c>
      <c r="D8" s="1">
        <v>138.52152744854334</v>
      </c>
      <c r="E8" s="1">
        <v>140.83195761664771</v>
      </c>
      <c r="F8" s="1">
        <v>143.21609266993454</v>
      </c>
      <c r="G8" s="1">
        <v>142.62635662573055</v>
      </c>
      <c r="H8" s="1">
        <v>143.07081279711085</v>
      </c>
      <c r="I8" s="1">
        <v>146.50791877680521</v>
      </c>
      <c r="J8" s="1">
        <v>147.4098516375731</v>
      </c>
      <c r="K8" s="1">
        <v>149.88444209387313</v>
      </c>
      <c r="L8" s="14">
        <v>148.9885027979945</v>
      </c>
      <c r="M8" s="1">
        <v>146.84377635034579</v>
      </c>
      <c r="N8" s="1">
        <v>145.19276661942229</v>
      </c>
      <c r="O8" s="1">
        <v>142.73922134491482</v>
      </c>
      <c r="P8" s="1">
        <v>145.93849436238119</v>
      </c>
      <c r="Q8" s="1">
        <v>148.12235844722574</v>
      </c>
      <c r="R8" s="1">
        <v>147.15428853434699</v>
      </c>
      <c r="S8" s="1">
        <v>147.07671411312805</v>
      </c>
      <c r="T8" s="1">
        <v>149.75003121691606</v>
      </c>
      <c r="U8" s="1">
        <v>151.2178600735773</v>
      </c>
      <c r="V8" s="1">
        <v>153.73373733335734</v>
      </c>
      <c r="W8" s="14">
        <v>153.31389895363523</v>
      </c>
      <c r="X8" s="1">
        <v>145.86964050705464</v>
      </c>
      <c r="Y8" s="1">
        <v>144.7435750500247</v>
      </c>
      <c r="Z8" s="1">
        <v>142.05173033289276</v>
      </c>
      <c r="AA8" s="1">
        <v>144.52778228185301</v>
      </c>
      <c r="AB8" s="1">
        <v>146.96519495881165</v>
      </c>
      <c r="AC8" s="1">
        <v>146.39455204667769</v>
      </c>
      <c r="AD8" s="1">
        <v>145.22537282901797</v>
      </c>
      <c r="AE8" s="1">
        <v>147.7067387765716</v>
      </c>
      <c r="AF8" s="1">
        <v>149.01227698762534</v>
      </c>
      <c r="AG8" s="1">
        <v>152.04258757750227</v>
      </c>
      <c r="AH8" s="14">
        <v>151.58556582195388</v>
      </c>
      <c r="AI8" s="1">
        <v>141.54210754807505</v>
      </c>
      <c r="AJ8" s="1">
        <v>143.32001052797116</v>
      </c>
      <c r="AK8" s="1">
        <v>140.62204605116398</v>
      </c>
      <c r="AL8" s="1">
        <v>142.18718650940554</v>
      </c>
      <c r="AM8" s="1">
        <v>145.69369033986058</v>
      </c>
      <c r="AN8" s="1">
        <v>144.62556946035244</v>
      </c>
      <c r="AO8" s="1">
        <v>141.68621411042207</v>
      </c>
      <c r="AP8" s="1">
        <v>143.06425582826594</v>
      </c>
      <c r="AQ8" s="1">
        <v>143.88156249007841</v>
      </c>
      <c r="AR8" s="1">
        <v>144.04865589007892</v>
      </c>
      <c r="AS8" s="14">
        <v>143.88453074579752</v>
      </c>
      <c r="AT8" s="1">
        <v>134.04209368733146</v>
      </c>
      <c r="AU8" s="1">
        <v>136.66434034239268</v>
      </c>
      <c r="AV8" s="1">
        <v>135.6962645695715</v>
      </c>
      <c r="AW8" s="1">
        <v>137.28459724009599</v>
      </c>
      <c r="AX8" s="1">
        <v>137.72135912135354</v>
      </c>
      <c r="AY8" s="1">
        <v>138.45570555578118</v>
      </c>
      <c r="AZ8" s="1">
        <v>138.78801057534807</v>
      </c>
      <c r="BA8" s="1">
        <v>141.11073978817626</v>
      </c>
      <c r="BB8" s="1">
        <v>141.88319112079398</v>
      </c>
      <c r="BC8" s="1">
        <v>144.17813178697133</v>
      </c>
      <c r="BD8" s="14">
        <v>145.64841479691771</v>
      </c>
      <c r="BE8" s="1">
        <v>137.21473547323851</v>
      </c>
      <c r="BF8" s="1">
        <v>137.18421475368106</v>
      </c>
      <c r="BG8" s="1">
        <v>136.23439501966948</v>
      </c>
      <c r="BH8" s="1">
        <v>141.45039429295198</v>
      </c>
      <c r="BI8" s="1">
        <v>139.39418952657797</v>
      </c>
      <c r="BJ8" s="1">
        <v>138.13581088248068</v>
      </c>
      <c r="BK8" s="1">
        <v>137.25868604117343</v>
      </c>
      <c r="BL8" s="1">
        <v>140.26470730199114</v>
      </c>
      <c r="BM8" s="1">
        <v>140.53629545695395</v>
      </c>
      <c r="BN8" s="1">
        <v>142.47355283942682</v>
      </c>
      <c r="BO8" s="14">
        <v>144.53418065962418</v>
      </c>
      <c r="BP8" s="1">
        <f>SUM(BP3:BP6)</f>
        <v>139.51264798670914</v>
      </c>
      <c r="BQ8" s="1">
        <f>SUM(BQ3:BQ6)</f>
        <v>139.60443351451357</v>
      </c>
      <c r="BR8" s="1">
        <v>138.05031904352501</v>
      </c>
      <c r="BS8" s="1">
        <v>142.1529556659936</v>
      </c>
      <c r="BT8" s="1">
        <v>141.9934179511913</v>
      </c>
      <c r="BU8" s="1">
        <v>141.29104706456653</v>
      </c>
      <c r="BV8" s="1">
        <v>140.67044765095804</v>
      </c>
      <c r="BW8" s="1">
        <v>143.72028061908307</v>
      </c>
      <c r="BX8" s="1">
        <v>144.20916706093593</v>
      </c>
      <c r="BY8" s="1">
        <v>146.05834890687277</v>
      </c>
      <c r="BZ8" s="1">
        <v>146.82086463409803</v>
      </c>
      <c r="CA8" s="1"/>
    </row>
    <row r="9" spans="1:79" x14ac:dyDescent="0.3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BR9" s="1"/>
      <c r="BS9" s="1"/>
      <c r="BT9" s="1"/>
      <c r="BU9" s="1"/>
    </row>
    <row r="10" spans="1:79" x14ac:dyDescent="0.35">
      <c r="BP10" s="172"/>
      <c r="BQ10" s="172"/>
      <c r="BR10" s="173"/>
      <c r="BS10" s="173"/>
      <c r="BW10" s="167"/>
      <c r="BX10" s="167"/>
      <c r="BY10" s="167"/>
      <c r="BZ10" s="167"/>
    </row>
    <row r="11" spans="1:79" x14ac:dyDescent="0.35">
      <c r="A11" t="s">
        <v>151</v>
      </c>
      <c r="B11" t="s">
        <v>152</v>
      </c>
      <c r="C11" t="s">
        <v>166</v>
      </c>
      <c r="D11" t="s">
        <v>167</v>
      </c>
      <c r="E11" t="s">
        <v>163</v>
      </c>
      <c r="F11" t="s">
        <v>160</v>
      </c>
      <c r="G11" t="s">
        <v>126</v>
      </c>
      <c r="H11" t="s">
        <v>128</v>
      </c>
      <c r="I11" t="s">
        <v>129</v>
      </c>
      <c r="J11" t="s">
        <v>130</v>
      </c>
      <c r="K11" t="s">
        <v>131</v>
      </c>
      <c r="L11" t="s">
        <v>127</v>
      </c>
      <c r="BP11" s="174"/>
      <c r="BS11" s="173"/>
      <c r="BT11" s="173"/>
      <c r="BU11" s="173"/>
      <c r="BV11" s="173"/>
    </row>
    <row r="12" spans="1:79" x14ac:dyDescent="0.35">
      <c r="A12" t="s">
        <v>212</v>
      </c>
      <c r="B12">
        <v>140.72102580751559</v>
      </c>
      <c r="C12">
        <v>139.02514228651111</v>
      </c>
      <c r="D12">
        <v>138.13163482086091</v>
      </c>
      <c r="E12">
        <v>140.1735622972094</v>
      </c>
      <c r="F12">
        <v>141.55375224123719</v>
      </c>
      <c r="G12">
        <v>139.97097369283409</v>
      </c>
      <c r="H12">
        <v>139.83315040104489</v>
      </c>
      <c r="I12">
        <v>140.6343356036856</v>
      </c>
      <c r="J12">
        <v>140.9638839291236</v>
      </c>
      <c r="K12">
        <v>141.85748818430829</v>
      </c>
      <c r="L12">
        <v>142.87186728002069</v>
      </c>
      <c r="BP12" s="174"/>
      <c r="BS12" s="174"/>
      <c r="BV12" s="173"/>
      <c r="BW12" s="173"/>
      <c r="BX12" s="173"/>
      <c r="BY12" s="167"/>
    </row>
    <row r="13" spans="1:79" x14ac:dyDescent="0.35">
      <c r="A13" t="s">
        <v>213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BP13" s="174"/>
      <c r="BS13" s="174"/>
      <c r="BV13" s="174"/>
      <c r="BX13" s="173"/>
      <c r="BY13" s="173"/>
      <c r="BZ13" s="173"/>
    </row>
    <row r="14" spans="1:79" x14ac:dyDescent="0.35">
      <c r="A14" t="s">
        <v>214</v>
      </c>
      <c r="B14">
        <v>1.624588212934043</v>
      </c>
      <c r="C14">
        <v>0.89105376201663944</v>
      </c>
      <c r="D14">
        <v>-0.1925314270617946</v>
      </c>
      <c r="E14">
        <v>0.30849241627720397</v>
      </c>
      <c r="F14">
        <v>0.75767442896398052</v>
      </c>
      <c r="G14">
        <v>0.5284461459404497</v>
      </c>
      <c r="H14">
        <v>0.66878041807478894</v>
      </c>
      <c r="I14">
        <v>1.27304614539662</v>
      </c>
      <c r="J14">
        <v>1.7966555450034889</v>
      </c>
      <c r="K14">
        <v>2.7856639183449659</v>
      </c>
      <c r="L14">
        <v>2.4440368355942041</v>
      </c>
      <c r="BP14" s="174"/>
      <c r="BS14" s="174"/>
      <c r="BV14" s="174"/>
      <c r="BX14" s="174"/>
      <c r="BZ14" s="174"/>
    </row>
    <row r="15" spans="1:79" x14ac:dyDescent="0.35">
      <c r="A15" t="s">
        <v>215</v>
      </c>
      <c r="B15">
        <v>-0.53513029218538577</v>
      </c>
      <c r="C15">
        <v>-0.29126157869040981</v>
      </c>
      <c r="D15">
        <v>-0.43501302380337847</v>
      </c>
      <c r="E15">
        <v>0.12781074520819399</v>
      </c>
      <c r="F15">
        <v>0.68635612831403137</v>
      </c>
      <c r="G15">
        <v>1.445034280734433</v>
      </c>
      <c r="H15">
        <v>1.4081363919405869</v>
      </c>
      <c r="I15">
        <v>1.7577979018098231</v>
      </c>
      <c r="J15">
        <v>2.306247499514825</v>
      </c>
      <c r="K15">
        <v>2.8824873987355768</v>
      </c>
      <c r="L15">
        <v>2.5987195353981178</v>
      </c>
      <c r="BP15" s="174"/>
      <c r="BS15" s="174"/>
      <c r="BV15" s="174"/>
      <c r="BX15" s="174"/>
      <c r="BZ15" s="174"/>
    </row>
    <row r="16" spans="1:79" x14ac:dyDescent="0.35">
      <c r="A16" t="s">
        <v>216</v>
      </c>
      <c r="B16">
        <v>5.0332926220815501</v>
      </c>
      <c r="C16">
        <v>5.567832149584941</v>
      </c>
      <c r="D16">
        <v>5.235130974919084</v>
      </c>
      <c r="E16">
        <v>5.328628903686397</v>
      </c>
      <c r="F16">
        <v>5.1245756487105352</v>
      </c>
      <c r="G16">
        <v>5.2098344148380225</v>
      </c>
      <c r="H16">
        <v>5.1666469020677797</v>
      </c>
      <c r="I16">
        <v>6.0848515660240219</v>
      </c>
      <c r="J16">
        <v>6.1510730999353918</v>
      </c>
      <c r="K16">
        <v>6.2080978319684919</v>
      </c>
      <c r="L16">
        <v>5.3992753026222093</v>
      </c>
      <c r="BP16" s="174"/>
      <c r="BS16" s="174"/>
      <c r="BV16" s="174"/>
      <c r="BX16" s="174"/>
      <c r="BZ16" s="174"/>
    </row>
    <row r="17" spans="1:78" x14ac:dyDescent="0.35">
      <c r="A17" t="s">
        <v>211</v>
      </c>
      <c r="B17">
        <v>146.84377635034579</v>
      </c>
      <c r="C17">
        <v>145.19276661942229</v>
      </c>
      <c r="D17">
        <v>142.73922134491482</v>
      </c>
      <c r="E17">
        <v>145.93849436238119</v>
      </c>
      <c r="F17">
        <v>148.12235844722574</v>
      </c>
      <c r="G17">
        <v>147.15428853434699</v>
      </c>
      <c r="H17">
        <v>147.07671411312805</v>
      </c>
      <c r="I17">
        <v>149.75003121691606</v>
      </c>
      <c r="J17">
        <v>151.2178600735773</v>
      </c>
      <c r="K17">
        <v>153.73373733335734</v>
      </c>
      <c r="L17">
        <v>153.31389895363523</v>
      </c>
      <c r="BP17" s="174"/>
      <c r="BS17" s="174"/>
      <c r="BV17" s="174"/>
      <c r="BX17" s="174"/>
      <c r="BZ17" s="174"/>
    </row>
    <row r="18" spans="1:78" x14ac:dyDescent="0.35">
      <c r="B18" s="1">
        <v>142.34561402044963</v>
      </c>
      <c r="C18" s="1">
        <v>139.91619604852775</v>
      </c>
      <c r="D18" s="1">
        <v>137.93910339379912</v>
      </c>
      <c r="E18" s="1">
        <v>140.4820547134866</v>
      </c>
      <c r="F18" s="1">
        <v>142.31142667020117</v>
      </c>
      <c r="G18" s="1">
        <v>140.49941983877454</v>
      </c>
      <c r="H18" s="1">
        <v>140.50193081911968</v>
      </c>
      <c r="I18" s="1">
        <v>141.90738174908222</v>
      </c>
      <c r="J18" s="1">
        <v>142.76053947412709</v>
      </c>
      <c r="K18" s="1">
        <v>144.64315210265326</v>
      </c>
      <c r="L18" s="1">
        <v>145.3159041156149</v>
      </c>
      <c r="BP18" s="174"/>
      <c r="BS18" s="174"/>
      <c r="BV18" s="174"/>
      <c r="BX18" s="174"/>
      <c r="BZ18" s="174"/>
    </row>
    <row r="19" spans="1:78" x14ac:dyDescent="0.3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1" spans="1:78" x14ac:dyDescent="0.35">
      <c r="A21" t="s">
        <v>153</v>
      </c>
    </row>
    <row r="22" spans="1:78" x14ac:dyDescent="0.35">
      <c r="A22" t="s">
        <v>212</v>
      </c>
    </row>
    <row r="23" spans="1:78" x14ac:dyDescent="0.35">
      <c r="A23" t="s">
        <v>213</v>
      </c>
    </row>
    <row r="24" spans="1:78" x14ac:dyDescent="0.35">
      <c r="A24" t="s">
        <v>214</v>
      </c>
    </row>
    <row r="25" spans="1:78" x14ac:dyDescent="0.35">
      <c r="A25" t="s">
        <v>215</v>
      </c>
    </row>
    <row r="26" spans="1:78" x14ac:dyDescent="0.35">
      <c r="A26" t="s">
        <v>216</v>
      </c>
    </row>
    <row r="27" spans="1:78" x14ac:dyDescent="0.35">
      <c r="A27" t="s">
        <v>211</v>
      </c>
    </row>
    <row r="28" spans="1:78" x14ac:dyDescent="0.3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30" spans="1:78" x14ac:dyDescent="0.35">
      <c r="A30" t="s">
        <v>155</v>
      </c>
    </row>
    <row r="31" spans="1:78" x14ac:dyDescent="0.35">
      <c r="A31" t="s">
        <v>212</v>
      </c>
    </row>
    <row r="32" spans="1:78" x14ac:dyDescent="0.35">
      <c r="A32" t="s">
        <v>213</v>
      </c>
    </row>
    <row r="33" spans="1:12" x14ac:dyDescent="0.35">
      <c r="A33" t="s">
        <v>214</v>
      </c>
    </row>
    <row r="34" spans="1:12" x14ac:dyDescent="0.35">
      <c r="A34" t="s">
        <v>215</v>
      </c>
    </row>
    <row r="35" spans="1:12" x14ac:dyDescent="0.35">
      <c r="A35" t="s">
        <v>216</v>
      </c>
    </row>
    <row r="36" spans="1:12" x14ac:dyDescent="0.35">
      <c r="A36" t="s">
        <v>211</v>
      </c>
    </row>
    <row r="37" spans="1:12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1" spans="1:12" x14ac:dyDescent="0.35">
      <c r="A41" t="s">
        <v>122</v>
      </c>
    </row>
    <row r="42" spans="1:12" x14ac:dyDescent="0.35">
      <c r="A42" t="s">
        <v>212</v>
      </c>
    </row>
    <row r="43" spans="1:12" x14ac:dyDescent="0.35">
      <c r="A43" t="s">
        <v>213</v>
      </c>
    </row>
    <row r="44" spans="1:12" x14ac:dyDescent="0.35">
      <c r="A44" t="s">
        <v>214</v>
      </c>
    </row>
    <row r="45" spans="1:12" x14ac:dyDescent="0.35">
      <c r="A45" t="s">
        <v>215</v>
      </c>
    </row>
    <row r="46" spans="1:12" x14ac:dyDescent="0.35">
      <c r="A46" t="s">
        <v>216</v>
      </c>
    </row>
    <row r="47" spans="1:12" x14ac:dyDescent="0.35">
      <c r="A47" t="s">
        <v>211</v>
      </c>
    </row>
    <row r="51" spans="1:12" x14ac:dyDescent="0.35">
      <c r="A51" t="s">
        <v>234</v>
      </c>
      <c r="B51" s="78" t="s">
        <v>152</v>
      </c>
      <c r="C51" s="78" t="s">
        <v>166</v>
      </c>
      <c r="D51" s="78" t="s">
        <v>167</v>
      </c>
      <c r="E51" s="78" t="s">
        <v>163</v>
      </c>
      <c r="F51" s="78" t="s">
        <v>160</v>
      </c>
      <c r="G51" s="78" t="s">
        <v>126</v>
      </c>
      <c r="H51" s="79" t="s">
        <v>128</v>
      </c>
      <c r="I51" s="79" t="s">
        <v>129</v>
      </c>
      <c r="J51" s="79" t="s">
        <v>130</v>
      </c>
      <c r="K51" s="79" t="s">
        <v>131</v>
      </c>
      <c r="L51" s="79" t="s">
        <v>127</v>
      </c>
    </row>
    <row r="52" spans="1:12" x14ac:dyDescent="0.35">
      <c r="A52" t="s">
        <v>235</v>
      </c>
      <c r="B52">
        <v>139.0741242161609</v>
      </c>
      <c r="C52">
        <v>138.9460991900871</v>
      </c>
      <c r="D52">
        <v>138.3496798172151</v>
      </c>
      <c r="E52">
        <v>139.22435957276809</v>
      </c>
      <c r="F52">
        <v>139.53563273517111</v>
      </c>
      <c r="G52">
        <v>138.60919585111591</v>
      </c>
      <c r="H52">
        <v>138.29935729461579</v>
      </c>
      <c r="I52">
        <v>139.1018874982006</v>
      </c>
      <c r="J52">
        <v>139.4159554086358</v>
      </c>
      <c r="K52" s="2">
        <v>140.31999546557549</v>
      </c>
      <c r="L52">
        <v>141.62087522505081</v>
      </c>
    </row>
    <row r="53" spans="1:12" x14ac:dyDescent="0.35">
      <c r="A53" t="s">
        <v>193</v>
      </c>
      <c r="B53">
        <v>-0.63837415122463881</v>
      </c>
      <c r="C53">
        <v>-0.50461170268121691</v>
      </c>
      <c r="D53">
        <v>4.0064066696174896E-3</v>
      </c>
      <c r="E53">
        <v>1.942319146166938E-3</v>
      </c>
      <c r="F53">
        <v>-1.1499062556765689E-3</v>
      </c>
      <c r="G53">
        <v>-3.2891709162186089E-3</v>
      </c>
      <c r="H53">
        <v>-1.086627136345442E-3</v>
      </c>
      <c r="I53">
        <v>-1.1151166987332321E-2</v>
      </c>
      <c r="J53">
        <v>-9.1706183814892483E-3</v>
      </c>
      <c r="K53">
        <v>-9.5421664075558965E-3</v>
      </c>
      <c r="L53">
        <v>-3.0232510198402451E-5</v>
      </c>
    </row>
    <row r="54" spans="1:12" x14ac:dyDescent="0.35">
      <c r="A54" t="s">
        <v>236</v>
      </c>
      <c r="B54">
        <v>0.93343131935540669</v>
      </c>
      <c r="C54">
        <v>1.1629460271077221</v>
      </c>
      <c r="D54">
        <v>0.7294940976174189</v>
      </c>
      <c r="E54">
        <v>1.423840198924154</v>
      </c>
      <c r="F54">
        <v>1.453811646099979</v>
      </c>
      <c r="G54">
        <v>0.86334078508050993</v>
      </c>
      <c r="H54">
        <v>0.2113162499471741</v>
      </c>
      <c r="I54">
        <v>1.402325721041791</v>
      </c>
      <c r="J54">
        <v>1.548302933279444</v>
      </c>
      <c r="K54">
        <v>1.9565456161171819</v>
      </c>
      <c r="L54">
        <v>2.0743527280351941</v>
      </c>
    </row>
    <row r="55" spans="1:12" x14ac:dyDescent="0.35">
      <c r="A55" t="s">
        <v>237</v>
      </c>
      <c r="B55">
        <v>-3.0640586521140278</v>
      </c>
      <c r="C55">
        <v>-2.3321053084908949</v>
      </c>
      <c r="D55">
        <v>-2.8143853796180172</v>
      </c>
      <c r="E55">
        <v>-2.314409115212527</v>
      </c>
      <c r="F55">
        <v>-2.3932678800449878</v>
      </c>
      <c r="G55">
        <v>-1.6793889395463</v>
      </c>
      <c r="H55">
        <v>-1.59871193549705</v>
      </c>
      <c r="I55">
        <v>-1.2958987880010111</v>
      </c>
      <c r="J55">
        <v>-1.072918578319644</v>
      </c>
      <c r="K55">
        <v>-0.59155056963581387</v>
      </c>
      <c r="L55">
        <v>-1.113224645334014</v>
      </c>
    </row>
    <row r="56" spans="1:12" x14ac:dyDescent="0.35">
      <c r="A56" t="s">
        <v>238</v>
      </c>
      <c r="B56">
        <v>3.0640586521140278</v>
      </c>
      <c r="C56">
        <v>2.3321053084908949</v>
      </c>
      <c r="D56">
        <v>2.8143853796180172</v>
      </c>
      <c r="E56">
        <v>2.314409115212527</v>
      </c>
      <c r="F56">
        <v>2.3932678800449878</v>
      </c>
      <c r="G56">
        <v>1.6793889395463</v>
      </c>
      <c r="H56">
        <v>1.59871193549705</v>
      </c>
      <c r="I56">
        <v>1.2958987880010111</v>
      </c>
      <c r="J56">
        <v>1.072918578319644</v>
      </c>
      <c r="K56">
        <v>0.59155056963581387</v>
      </c>
      <c r="L56">
        <v>1.113224645334014</v>
      </c>
    </row>
    <row r="57" spans="1:12" x14ac:dyDescent="0.35">
      <c r="A57" t="s">
        <v>211</v>
      </c>
      <c r="B57">
        <v>139.36918138429169</v>
      </c>
      <c r="C57">
        <v>139.6044335145136</v>
      </c>
      <c r="D57">
        <v>139.08318032150211</v>
      </c>
      <c r="E57">
        <v>140.65014209083839</v>
      </c>
      <c r="F57">
        <v>140.98829447501541</v>
      </c>
      <c r="G57">
        <v>139.46924746528009</v>
      </c>
      <c r="H57">
        <v>138.50958691742659</v>
      </c>
      <c r="I57">
        <v>140.49306205225511</v>
      </c>
      <c r="J57">
        <v>140.95508772353381</v>
      </c>
      <c r="K57">
        <v>142.26699891528509</v>
      </c>
      <c r="L57">
        <v>143.69519772057581</v>
      </c>
    </row>
    <row r="58" spans="1:12" x14ac:dyDescent="0.35">
      <c r="A58" t="s">
        <v>239</v>
      </c>
    </row>
    <row r="65" spans="1:12" x14ac:dyDescent="0.35">
      <c r="A65" t="s">
        <v>199</v>
      </c>
      <c r="B65" t="s">
        <v>152</v>
      </c>
      <c r="C65" t="s">
        <v>166</v>
      </c>
      <c r="D65" t="s">
        <v>167</v>
      </c>
      <c r="E65" t="s">
        <v>163</v>
      </c>
      <c r="F65" t="s">
        <v>160</v>
      </c>
      <c r="G65" t="s">
        <v>126</v>
      </c>
      <c r="H65" t="s">
        <v>128</v>
      </c>
      <c r="I65" t="s">
        <v>129</v>
      </c>
      <c r="J65" t="s">
        <v>130</v>
      </c>
      <c r="K65" t="s">
        <v>131</v>
      </c>
      <c r="L65" t="s">
        <v>127</v>
      </c>
    </row>
    <row r="66" spans="1:12" x14ac:dyDescent="0.35">
      <c r="A66" t="s">
        <v>296</v>
      </c>
      <c r="B66">
        <v>140.50459471793889</v>
      </c>
      <c r="C66">
        <v>140.5607805151966</v>
      </c>
      <c r="D66">
        <v>139.56825037479661</v>
      </c>
      <c r="E66">
        <v>140.43211833884561</v>
      </c>
      <c r="F66">
        <v>139.88511483115639</v>
      </c>
      <c r="G66">
        <v>139.76781802522791</v>
      </c>
      <c r="H66">
        <v>139.70876763492191</v>
      </c>
      <c r="I66">
        <v>139.86672280884679</v>
      </c>
      <c r="J66">
        <v>139.91790875779989</v>
      </c>
      <c r="K66">
        <v>140.94205426095121</v>
      </c>
      <c r="L66">
        <v>141.88010144614779</v>
      </c>
    </row>
    <row r="67" spans="1:12" x14ac:dyDescent="0.35">
      <c r="A67" t="s">
        <v>297</v>
      </c>
      <c r="B67">
        <v>0</v>
      </c>
      <c r="C67">
        <v>0</v>
      </c>
      <c r="F67">
        <v>0</v>
      </c>
      <c r="G67">
        <v>0</v>
      </c>
      <c r="H67">
        <v>0</v>
      </c>
    </row>
    <row r="68" spans="1:12" x14ac:dyDescent="0.35">
      <c r="A68" t="s">
        <v>298</v>
      </c>
      <c r="B68">
        <v>1.5001869575874309</v>
      </c>
      <c r="C68">
        <v>1.7611724405662981</v>
      </c>
      <c r="D68">
        <v>1.3266459899973599</v>
      </c>
      <c r="E68">
        <v>2.2203144511825879</v>
      </c>
      <c r="F68">
        <v>1.9527826553908769</v>
      </c>
      <c r="G68">
        <v>0.8836291908923215</v>
      </c>
      <c r="H68">
        <v>-0.34039322521121562</v>
      </c>
      <c r="I68">
        <v>1.3978450923279411</v>
      </c>
      <c r="J68">
        <v>1.319868434605155</v>
      </c>
      <c r="K68">
        <v>1.489744982764222</v>
      </c>
      <c r="L68">
        <v>2.081079420824949</v>
      </c>
    </row>
    <row r="70" spans="1:12" x14ac:dyDescent="0.35">
      <c r="A70" t="s">
        <v>299</v>
      </c>
      <c r="B70">
        <v>-3.6345132077500981</v>
      </c>
      <c r="C70">
        <v>-4.8715328774611431</v>
      </c>
      <c r="D70">
        <v>-4.1022630301616312</v>
      </c>
      <c r="E70">
        <v>-0.95598475255187942</v>
      </c>
      <c r="F70">
        <v>-1.5608471127860803</v>
      </c>
      <c r="G70">
        <v>-1.5029131915825447</v>
      </c>
      <c r="H70">
        <v>-0.72557977561130504</v>
      </c>
      <c r="I70">
        <v>-0.32987472346966068</v>
      </c>
      <c r="J70">
        <v>-0.51543799816335323</v>
      </c>
      <c r="K70">
        <v>-0.24231637373345924</v>
      </c>
      <c r="L70">
        <v>0.42686356744984133</v>
      </c>
    </row>
    <row r="71" spans="1:12" x14ac:dyDescent="0.35">
      <c r="A71" t="s">
        <v>211</v>
      </c>
      <c r="B71">
        <v>138.37026846777621</v>
      </c>
      <c r="C71">
        <v>137.45042007830176</v>
      </c>
      <c r="D71">
        <v>136.79263333463234</v>
      </c>
      <c r="E71">
        <v>141.69644803747633</v>
      </c>
      <c r="F71">
        <v>140.27705037376117</v>
      </c>
      <c r="G71">
        <v>139.1485340245377</v>
      </c>
      <c r="H71">
        <v>138.6427946340994</v>
      </c>
      <c r="I71">
        <v>140.93469317770507</v>
      </c>
      <c r="J71">
        <v>140.7223391942417</v>
      </c>
      <c r="K71">
        <v>142.18948286998196</v>
      </c>
      <c r="L71">
        <v>144.38804443442257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7AFAC-62A2-483A-941D-B8296E681CAF}">
  <dimension ref="A1:AY78"/>
  <sheetViews>
    <sheetView zoomScale="115" zoomScaleNormal="115" workbookViewId="0">
      <selection activeCell="J23" sqref="J23"/>
    </sheetView>
  </sheetViews>
  <sheetFormatPr defaultRowHeight="14.5" x14ac:dyDescent="0.35"/>
  <cols>
    <col min="1" max="1" width="11.81640625" bestFit="1" customWidth="1"/>
  </cols>
  <sheetData>
    <row r="1" spans="1:51" x14ac:dyDescent="0.35">
      <c r="A1" t="s">
        <v>189</v>
      </c>
      <c r="B1" t="s">
        <v>195</v>
      </c>
      <c r="C1" t="s">
        <v>218</v>
      </c>
      <c r="D1" t="s">
        <v>221</v>
      </c>
      <c r="E1" t="s">
        <v>211</v>
      </c>
      <c r="AN1" t="s">
        <v>240</v>
      </c>
      <c r="AO1" t="s">
        <v>241</v>
      </c>
      <c r="AP1" t="s">
        <v>242</v>
      </c>
      <c r="AQ1" t="s">
        <v>243</v>
      </c>
      <c r="AR1" t="s">
        <v>244</v>
      </c>
      <c r="AS1" t="s">
        <v>245</v>
      </c>
      <c r="AT1" t="s">
        <v>246</v>
      </c>
      <c r="AU1" t="s">
        <v>247</v>
      </c>
      <c r="AV1" t="s">
        <v>248</v>
      </c>
      <c r="AW1" t="s">
        <v>249</v>
      </c>
      <c r="AX1" t="s">
        <v>250</v>
      </c>
      <c r="AY1" s="13" t="s">
        <v>251</v>
      </c>
    </row>
    <row r="2" spans="1:51" x14ac:dyDescent="0.35">
      <c r="A2" t="s">
        <v>241</v>
      </c>
      <c r="B2" t="s">
        <v>152</v>
      </c>
      <c r="C2" s="1">
        <v>0.69471129569458867</v>
      </c>
      <c r="D2" s="1">
        <v>2.174708265368261</v>
      </c>
      <c r="E2" s="1">
        <v>139.30791312766866</v>
      </c>
      <c r="I2" t="s">
        <v>152</v>
      </c>
      <c r="J2" t="s">
        <v>166</v>
      </c>
      <c r="K2" t="s">
        <v>167</v>
      </c>
      <c r="L2" t="s">
        <v>163</v>
      </c>
      <c r="M2" t="s">
        <v>160</v>
      </c>
      <c r="N2" t="s">
        <v>126</v>
      </c>
      <c r="O2" t="s">
        <v>128</v>
      </c>
      <c r="P2" t="s">
        <v>129</v>
      </c>
      <c r="Q2" t="s">
        <v>130</v>
      </c>
      <c r="R2" t="s">
        <v>131</v>
      </c>
      <c r="S2" s="13" t="s">
        <v>127</v>
      </c>
      <c r="AB2" t="s">
        <v>152</v>
      </c>
      <c r="AC2" t="s">
        <v>166</v>
      </c>
      <c r="AD2" t="s">
        <v>167</v>
      </c>
      <c r="AE2" t="s">
        <v>163</v>
      </c>
      <c r="AF2" t="s">
        <v>160</v>
      </c>
      <c r="AG2" t="s">
        <v>126</v>
      </c>
      <c r="AH2" t="s">
        <v>128</v>
      </c>
      <c r="AI2" t="s">
        <v>129</v>
      </c>
      <c r="AJ2" t="s">
        <v>130</v>
      </c>
      <c r="AK2" t="s">
        <v>131</v>
      </c>
      <c r="AL2" s="13" t="s">
        <v>127</v>
      </c>
      <c r="AO2" t="s">
        <v>152</v>
      </c>
      <c r="AP2" t="s">
        <v>166</v>
      </c>
      <c r="AQ2" t="s">
        <v>167</v>
      </c>
      <c r="AR2" t="s">
        <v>163</v>
      </c>
      <c r="AS2" t="s">
        <v>160</v>
      </c>
      <c r="AT2" t="s">
        <v>126</v>
      </c>
      <c r="AU2" t="s">
        <v>128</v>
      </c>
      <c r="AV2" t="s">
        <v>129</v>
      </c>
      <c r="AW2" t="s">
        <v>130</v>
      </c>
      <c r="AX2" t="s">
        <v>131</v>
      </c>
      <c r="AY2" s="13" t="s">
        <v>127</v>
      </c>
    </row>
    <row r="3" spans="1:51" x14ac:dyDescent="0.35">
      <c r="A3" t="s">
        <v>242</v>
      </c>
      <c r="B3" t="s">
        <v>166</v>
      </c>
      <c r="C3" s="1">
        <v>0.8300334187881333</v>
      </c>
      <c r="D3" s="1">
        <v>2.0352243840954136</v>
      </c>
      <c r="E3" s="1">
        <v>139.88660871588584</v>
      </c>
      <c r="H3" t="s">
        <v>149</v>
      </c>
      <c r="I3" s="1">
        <v>2.174708265368261</v>
      </c>
      <c r="J3" s="1">
        <v>2.0352243840954136</v>
      </c>
      <c r="K3" s="1">
        <v>1.4919055560957246</v>
      </c>
      <c r="L3" s="1">
        <v>2.5286881024228149</v>
      </c>
      <c r="M3" s="1">
        <v>4.153346307778051</v>
      </c>
      <c r="N3" s="1">
        <v>4.6447169685676677</v>
      </c>
      <c r="O3" s="1">
        <v>4.7754977123017275</v>
      </c>
      <c r="P3" s="1">
        <v>6.0017982716386502</v>
      </c>
      <c r="Q3" s="1">
        <v>5.9207024521768084</v>
      </c>
      <c r="R3" s="1">
        <v>7.1787441898668316</v>
      </c>
      <c r="S3" s="14">
        <v>6.5637404548913185</v>
      </c>
      <c r="AA3" t="s">
        <v>149</v>
      </c>
      <c r="AB3" s="1">
        <v>0.69471129569458867</v>
      </c>
      <c r="AC3" s="1">
        <v>0.8300334187881333</v>
      </c>
      <c r="AD3" s="1">
        <v>0.65750358682390697</v>
      </c>
      <c r="AE3" s="1">
        <v>1.1812862492913041</v>
      </c>
      <c r="AF3" s="1">
        <v>0.97222552672658935</v>
      </c>
      <c r="AG3" s="1">
        <v>1.180283999142574</v>
      </c>
      <c r="AH3" s="1">
        <v>1.458290139851925</v>
      </c>
      <c r="AI3" s="1">
        <v>2.472301478249761</v>
      </c>
      <c r="AJ3" s="1">
        <v>2.9310682514337998</v>
      </c>
      <c r="AK3" s="1">
        <v>3.3295966493000151</v>
      </c>
      <c r="AL3" s="14">
        <v>2.1031238851691678</v>
      </c>
      <c r="AN3" t="s">
        <v>149</v>
      </c>
      <c r="AO3" s="1">
        <v>136.43849356660581</v>
      </c>
      <c r="AP3" s="1">
        <v>137.02135091300229</v>
      </c>
      <c r="AQ3" s="1">
        <v>136.3721183056237</v>
      </c>
      <c r="AR3" s="1">
        <v>137.12198326493359</v>
      </c>
      <c r="AS3" s="1">
        <v>138.09052083542991</v>
      </c>
      <c r="AT3" s="1">
        <v>136.8013556580203</v>
      </c>
      <c r="AU3" s="1">
        <v>136.83702494495719</v>
      </c>
      <c r="AV3" s="1">
        <v>138.0338190269168</v>
      </c>
      <c r="AW3" s="1">
        <v>138.55808093396249</v>
      </c>
      <c r="AX3" s="1">
        <v>139.3761012547063</v>
      </c>
      <c r="AY3" s="14">
        <v>140.321638457934</v>
      </c>
    </row>
    <row r="4" spans="1:51" x14ac:dyDescent="0.35">
      <c r="A4" t="s">
        <v>243</v>
      </c>
      <c r="B4" t="s">
        <v>167</v>
      </c>
      <c r="C4" s="1">
        <v>0.65750358682390697</v>
      </c>
      <c r="D4" s="1">
        <v>1.4919055560957246</v>
      </c>
      <c r="E4" s="1">
        <v>138.52152744854334</v>
      </c>
      <c r="H4" t="s">
        <v>151</v>
      </c>
      <c r="I4" s="1">
        <v>4.4981623298961644</v>
      </c>
      <c r="J4" s="1">
        <v>5.2765705708945312</v>
      </c>
      <c r="K4" s="1">
        <v>4.8001179511157055</v>
      </c>
      <c r="L4" s="1">
        <v>5.456439648894591</v>
      </c>
      <c r="M4" s="1">
        <v>5.8109317770245665</v>
      </c>
      <c r="N4" s="1">
        <v>6.6548686955724552</v>
      </c>
      <c r="O4" s="1">
        <v>6.5747832940083661</v>
      </c>
      <c r="P4" s="1">
        <v>7.8426494678338452</v>
      </c>
      <c r="Q4" s="1">
        <v>8.4573205994502167</v>
      </c>
      <c r="R4" s="1">
        <v>9.0905852307040682</v>
      </c>
      <c r="S4" s="14">
        <v>7.9979948380203272</v>
      </c>
      <c r="AA4" t="s">
        <v>151</v>
      </c>
      <c r="AB4" s="1">
        <v>1.624588212934043</v>
      </c>
      <c r="AC4" s="1">
        <v>0.89105376201663944</v>
      </c>
      <c r="AD4" s="1">
        <v>-0.1925314270617946</v>
      </c>
      <c r="AE4" s="1">
        <v>0.30849241627720397</v>
      </c>
      <c r="AF4" s="1">
        <v>0.75767442896398052</v>
      </c>
      <c r="AG4" s="1">
        <v>0.5284461459404497</v>
      </c>
      <c r="AH4" s="1">
        <v>0.66878041807478894</v>
      </c>
      <c r="AI4" s="1">
        <v>1.27304614539662</v>
      </c>
      <c r="AJ4" s="1">
        <v>1.7966555450034889</v>
      </c>
      <c r="AK4" s="1">
        <v>2.7856639183449659</v>
      </c>
      <c r="AL4" s="14">
        <v>2.4440368355942041</v>
      </c>
      <c r="AN4" t="s">
        <v>252</v>
      </c>
      <c r="AO4" s="1">
        <v>140.72102580751559</v>
      </c>
      <c r="AP4" s="1">
        <v>139.02514228651111</v>
      </c>
      <c r="AQ4" s="1">
        <v>138.13163482086091</v>
      </c>
      <c r="AR4" s="1">
        <v>140.1735622972094</v>
      </c>
      <c r="AS4" s="1">
        <v>141.55375224123719</v>
      </c>
      <c r="AT4" s="1">
        <v>139.97097369283409</v>
      </c>
      <c r="AU4" s="1">
        <v>139.83315040104489</v>
      </c>
      <c r="AV4" s="1">
        <v>140.6343356036856</v>
      </c>
      <c r="AW4" s="1">
        <v>140.9638839291236</v>
      </c>
      <c r="AX4" s="1">
        <v>141.85748818430829</v>
      </c>
      <c r="AY4" s="14">
        <v>142.87186728002069</v>
      </c>
    </row>
    <row r="5" spans="1:51" x14ac:dyDescent="0.35">
      <c r="A5" t="s">
        <v>244</v>
      </c>
      <c r="B5" t="s">
        <v>163</v>
      </c>
      <c r="C5" s="1">
        <v>1.1812862492913041</v>
      </c>
      <c r="D5" s="1">
        <v>2.5286881024228149</v>
      </c>
      <c r="E5" s="1">
        <v>140.83195761664771</v>
      </c>
      <c r="H5" t="s">
        <v>153</v>
      </c>
      <c r="I5" s="1">
        <v>5.8706333812078659</v>
      </c>
      <c r="J5" s="1">
        <v>5.9809721328769951</v>
      </c>
      <c r="K5" s="1">
        <v>4.2686434079128119</v>
      </c>
      <c r="L5" s="1">
        <v>5.0261164484778096</v>
      </c>
      <c r="M5" s="1">
        <v>6.1503070293683182</v>
      </c>
      <c r="N5" s="1">
        <v>7.1196459069758182</v>
      </c>
      <c r="O5" s="1">
        <v>6.7172530348943216</v>
      </c>
      <c r="P5" s="1">
        <v>7.7299777130905341</v>
      </c>
      <c r="Q5" s="1">
        <v>8.1055835302423276</v>
      </c>
      <c r="R5" s="1">
        <v>9.0623201684259058</v>
      </c>
      <c r="S5" s="14">
        <v>7.7559905452283671</v>
      </c>
      <c r="AA5" t="s">
        <v>153</v>
      </c>
      <c r="AB5" s="1">
        <v>1.4591709056517741</v>
      </c>
      <c r="AC5" s="1">
        <v>1.275130197528028</v>
      </c>
      <c r="AD5" s="1">
        <v>1.0228540806536439</v>
      </c>
      <c r="AE5" s="1">
        <v>2.0236415549944131</v>
      </c>
      <c r="AF5" s="1">
        <v>2.2713522346569159</v>
      </c>
      <c r="AG5" s="1">
        <v>2.0658578567039569</v>
      </c>
      <c r="AH5" s="1">
        <v>1.8397213794967511</v>
      </c>
      <c r="AI5" s="1">
        <v>2.0295688249440502</v>
      </c>
      <c r="AJ5" s="1">
        <v>2.2461462781388382</v>
      </c>
      <c r="AK5" s="1">
        <v>2.9427504336396741</v>
      </c>
      <c r="AL5" s="14">
        <v>2.3362459373364</v>
      </c>
      <c r="AN5" t="s">
        <v>263</v>
      </c>
      <c r="AO5" s="1">
        <v>138.53983622019501</v>
      </c>
      <c r="AP5" s="1">
        <v>137.48747271961969</v>
      </c>
      <c r="AQ5" s="1">
        <v>136.76023284432631</v>
      </c>
      <c r="AR5" s="1">
        <v>137.47802427838079</v>
      </c>
      <c r="AS5" s="1">
        <v>138.54353569478641</v>
      </c>
      <c r="AT5" s="1">
        <v>137.20904828299791</v>
      </c>
      <c r="AU5" s="1">
        <v>136.66839841462689</v>
      </c>
      <c r="AV5" s="1">
        <v>137.94719223853701</v>
      </c>
      <c r="AW5" s="1">
        <v>138.66054717924419</v>
      </c>
      <c r="AX5" s="1">
        <v>140.03751697543669</v>
      </c>
      <c r="AY5" s="14">
        <v>141.49332933938911</v>
      </c>
    </row>
    <row r="6" spans="1:51" x14ac:dyDescent="0.35">
      <c r="A6" t="s">
        <v>245</v>
      </c>
      <c r="B6" t="s">
        <v>160</v>
      </c>
      <c r="C6" s="1">
        <v>0.97222552672658935</v>
      </c>
      <c r="D6" s="1">
        <v>4.153346307778051</v>
      </c>
      <c r="E6" s="1">
        <v>143.21609266993454</v>
      </c>
      <c r="H6" t="s">
        <v>155</v>
      </c>
      <c r="I6" s="1">
        <v>2.5542264488171602</v>
      </c>
      <c r="J6" s="1">
        <v>2.2398410790365455</v>
      </c>
      <c r="K6" s="1">
        <v>0.5464236374120266</v>
      </c>
      <c r="L6" s="1">
        <v>1.3388039410980417</v>
      </c>
      <c r="M6" s="1">
        <v>2.0477937723583191</v>
      </c>
      <c r="N6" s="1">
        <v>3.2716804254066627</v>
      </c>
      <c r="O6" s="1">
        <v>2.5711353009211653</v>
      </c>
      <c r="P6" s="1">
        <v>2.2256978331400954</v>
      </c>
      <c r="Q6" s="1">
        <v>2.7698873542775111</v>
      </c>
      <c r="R6" s="1">
        <v>3.4826661719225225</v>
      </c>
      <c r="S6" s="14">
        <v>1.7145997572068017</v>
      </c>
      <c r="U6" s="1"/>
      <c r="AA6" t="s">
        <v>155</v>
      </c>
      <c r="AB6" s="1">
        <v>1.0312224517753921</v>
      </c>
      <c r="AC6" s="1">
        <v>1.513970301110618</v>
      </c>
      <c r="AD6" s="1">
        <v>1.551222502359451</v>
      </c>
      <c r="AE6" s="1">
        <v>2.438601143496697</v>
      </c>
      <c r="AF6" s="1">
        <v>3.2825891938814489</v>
      </c>
      <c r="AG6" s="1">
        <v>2.9662031125584751</v>
      </c>
      <c r="AH6" s="1">
        <v>2.4076494891832279</v>
      </c>
      <c r="AI6" s="1">
        <v>2.4907612555774681</v>
      </c>
      <c r="AJ6" s="1">
        <v>3.009578920406597</v>
      </c>
      <c r="AK6" s="1">
        <v>1.620438206134992</v>
      </c>
      <c r="AL6" s="14">
        <v>1.182202450955032</v>
      </c>
      <c r="AN6" t="s">
        <v>274</v>
      </c>
      <c r="AO6" s="1">
        <v>137.9566586474825</v>
      </c>
      <c r="AP6" s="1">
        <v>139.56619914782399</v>
      </c>
      <c r="AQ6" s="1">
        <v>138.52439991139249</v>
      </c>
      <c r="AR6" s="1">
        <v>138.4097814248108</v>
      </c>
      <c r="AS6" s="1">
        <v>140.36330737362081</v>
      </c>
      <c r="AT6" s="1">
        <v>138.38768592238731</v>
      </c>
      <c r="AU6" s="1">
        <v>136.70742932031769</v>
      </c>
      <c r="AV6" s="1">
        <v>138.34779673954839</v>
      </c>
      <c r="AW6" s="1">
        <v>138.10209621539431</v>
      </c>
      <c r="AX6" s="1">
        <v>138.94555151202141</v>
      </c>
      <c r="AY6" s="14">
        <v>140.98772853763569</v>
      </c>
    </row>
    <row r="7" spans="1:51" x14ac:dyDescent="0.35">
      <c r="A7" t="s">
        <v>246</v>
      </c>
      <c r="B7" t="s">
        <v>126</v>
      </c>
      <c r="C7" s="1">
        <v>1.180283999142574</v>
      </c>
      <c r="D7" s="1">
        <v>4.6447169685676677</v>
      </c>
      <c r="E7" s="1">
        <v>142.62635662573055</v>
      </c>
      <c r="H7" t="s">
        <v>122</v>
      </c>
      <c r="I7" s="1">
        <v>0.99514758269421266</v>
      </c>
      <c r="J7" s="1">
        <v>0.89524851703037367</v>
      </c>
      <c r="K7" s="1">
        <v>0.10649875047030877</v>
      </c>
      <c r="L7" s="1">
        <v>0.7973110032442654</v>
      </c>
      <c r="M7" s="1">
        <v>1.5079842214893007</v>
      </c>
      <c r="N7" s="1">
        <v>3.7897796180988763</v>
      </c>
      <c r="O7" s="1">
        <v>5.1917373238244675</v>
      </c>
      <c r="P7" s="1">
        <v>4.4855482073012629</v>
      </c>
      <c r="Q7" s="1">
        <v>4.6993084384365673</v>
      </c>
      <c r="R7" s="1">
        <v>5.5453915994508431</v>
      </c>
      <c r="S7" s="14">
        <v>4.4596647501456452</v>
      </c>
      <c r="AA7" t="s">
        <v>122</v>
      </c>
      <c r="AB7" s="1">
        <v>-0.72060842385036494</v>
      </c>
      <c r="AC7" s="1">
        <v>0.45542589957730678</v>
      </c>
      <c r="AD7" s="1">
        <v>-0.58479913466192102</v>
      </c>
      <c r="AE7" s="1">
        <v>-0.32981375653986328</v>
      </c>
      <c r="AF7" s="1">
        <v>-0.47903772684074403</v>
      </c>
      <c r="AG7" s="1">
        <v>-0.28282435637271419</v>
      </c>
      <c r="AH7" s="1">
        <v>-0.97520671691259508</v>
      </c>
      <c r="AI7" s="1">
        <v>0.20726925219369721</v>
      </c>
      <c r="AJ7" s="1">
        <v>0.17758706070313221</v>
      </c>
      <c r="AK7" s="1">
        <v>1.4255253484085699</v>
      </c>
      <c r="AL7" s="14">
        <v>1.6538159725228641</v>
      </c>
      <c r="AN7" t="s">
        <v>285</v>
      </c>
      <c r="AO7" s="1">
        <v>133.76755452848761</v>
      </c>
      <c r="AP7" s="1">
        <v>135.31366592578499</v>
      </c>
      <c r="AQ7" s="1">
        <v>136.17456495376311</v>
      </c>
      <c r="AR7" s="1">
        <v>136.81709999339159</v>
      </c>
      <c r="AS7" s="1">
        <v>136.69241262670499</v>
      </c>
      <c r="AT7" s="1">
        <v>134.948750294055</v>
      </c>
      <c r="AU7" s="1">
        <v>134.57147996843619</v>
      </c>
      <c r="AV7" s="1">
        <v>136.4179223286813</v>
      </c>
      <c r="AW7" s="1">
        <v>137.00629562165429</v>
      </c>
      <c r="AX7" s="1">
        <v>137.20721483911191</v>
      </c>
      <c r="AY7" s="14">
        <v>139.53493407424921</v>
      </c>
    </row>
    <row r="8" spans="1:51" x14ac:dyDescent="0.35">
      <c r="A8" t="s">
        <v>247</v>
      </c>
      <c r="B8" t="s">
        <v>128</v>
      </c>
      <c r="C8" s="1">
        <v>1.458290139851925</v>
      </c>
      <c r="D8" s="1">
        <v>4.7754977123017275</v>
      </c>
      <c r="E8" s="1">
        <v>143.07081279711085</v>
      </c>
      <c r="H8" t="s">
        <v>199</v>
      </c>
      <c r="I8" s="1">
        <v>-4.7900462022878001</v>
      </c>
      <c r="J8" s="1">
        <v>-5.1377382020817572</v>
      </c>
      <c r="K8" s="1">
        <v>-4.6605013451244952</v>
      </c>
      <c r="L8" s="1">
        <v>-1.2020384970762255</v>
      </c>
      <c r="M8" s="1">
        <v>-2.4437079599692622</v>
      </c>
      <c r="N8" s="1">
        <v>-2.5156363336395575</v>
      </c>
      <c r="O8" s="1">
        <v>-2.1096883685372632</v>
      </c>
      <c r="P8" s="1">
        <v>-0.99986059918370818</v>
      </c>
      <c r="Q8" s="1">
        <v>-0.70148173545110026</v>
      </c>
      <c r="R8" s="1">
        <v>4.1753595711398167E-2</v>
      </c>
      <c r="S8" s="14">
        <v>0.62666671097426019</v>
      </c>
      <c r="AA8" t="s">
        <v>199</v>
      </c>
      <c r="AB8" s="1">
        <v>1.5001869575874309</v>
      </c>
      <c r="AC8" s="1">
        <v>1.7611724405662981</v>
      </c>
      <c r="AD8" s="1">
        <v>1.3266459899973599</v>
      </c>
      <c r="AE8" s="1">
        <v>2.2203144511825879</v>
      </c>
      <c r="AF8" s="1">
        <v>1.9527826553908481</v>
      </c>
      <c r="AG8" s="1">
        <v>0.8836291908923215</v>
      </c>
      <c r="AH8" s="1">
        <v>-0.34039322521121562</v>
      </c>
      <c r="AI8" s="1">
        <v>1.3978450923279411</v>
      </c>
      <c r="AJ8" s="1">
        <v>1.319868434605155</v>
      </c>
      <c r="AK8" s="1">
        <v>1.489744982764222</v>
      </c>
      <c r="AL8" s="14">
        <v>2.0379889124234301</v>
      </c>
      <c r="AN8" t="s">
        <v>389</v>
      </c>
      <c r="AO8" s="1">
        <v>140.50459471793889</v>
      </c>
      <c r="AP8" s="1">
        <v>140.56078051519651</v>
      </c>
      <c r="AQ8" s="1">
        <v>139.56825037479661</v>
      </c>
      <c r="AR8" s="1">
        <v>140.43211833884561</v>
      </c>
      <c r="AS8" s="1">
        <v>139.88511483115639</v>
      </c>
      <c r="AT8" s="1">
        <v>139.76781802522791</v>
      </c>
      <c r="AU8" s="1">
        <v>139.70876763492191</v>
      </c>
      <c r="AV8" s="1">
        <v>139.8667228088469</v>
      </c>
      <c r="AW8" s="1">
        <v>139.91790875779989</v>
      </c>
      <c r="AX8" s="1">
        <v>140.94205426095121</v>
      </c>
      <c r="AY8" s="14">
        <v>141.86952503622649</v>
      </c>
    </row>
    <row r="9" spans="1:51" x14ac:dyDescent="0.35">
      <c r="A9" t="s">
        <v>248</v>
      </c>
      <c r="B9" t="s">
        <v>129</v>
      </c>
      <c r="C9" s="1">
        <v>2.472301478249761</v>
      </c>
      <c r="D9" s="1">
        <v>6.0017982716386502</v>
      </c>
      <c r="E9" s="1">
        <v>146.50791877680521</v>
      </c>
      <c r="H9" s="84" t="s">
        <v>234</v>
      </c>
      <c r="I9" s="1">
        <v>-0.49490754880716614</v>
      </c>
      <c r="J9" s="1">
        <v>0.50673925876580861</v>
      </c>
      <c r="K9" s="1">
        <v>-1.0288548713072032</v>
      </c>
      <c r="L9" s="1">
        <v>1.5047558943013541</v>
      </c>
      <c r="M9" s="1">
        <v>1.0039735699202765</v>
      </c>
      <c r="N9" s="1">
        <v>1.8185104283700753</v>
      </c>
      <c r="O9" s="1">
        <v>2.1597741063951048</v>
      </c>
      <c r="P9" s="1">
        <v>3.2160673998406821</v>
      </c>
      <c r="Q9" s="1">
        <v>3.2449087190207706</v>
      </c>
      <c r="R9" s="1">
        <v>3.7818078251801239</v>
      </c>
      <c r="S9" s="1">
        <v>3.1506634486179053</v>
      </c>
      <c r="AA9" s="84" t="s">
        <v>234</v>
      </c>
      <c r="AB9" s="85">
        <v>0.93343131935540669</v>
      </c>
      <c r="AC9" s="85">
        <v>1.1629460271077221</v>
      </c>
      <c r="AD9" s="85">
        <v>0.72949409761747575</v>
      </c>
      <c r="AE9" s="85">
        <v>1.423840198924154</v>
      </c>
      <c r="AF9" s="85">
        <v>1.453811646099922</v>
      </c>
      <c r="AG9" s="85">
        <v>0.86334078508053835</v>
      </c>
      <c r="AH9" s="85">
        <v>0.21131624994714571</v>
      </c>
      <c r="AI9" s="85">
        <v>1.402325721041791</v>
      </c>
      <c r="AJ9" s="85">
        <v>1.548302933279444</v>
      </c>
      <c r="AK9" s="85">
        <v>1.9565456161171539</v>
      </c>
      <c r="AL9" s="85">
        <v>2.0460009046815339</v>
      </c>
      <c r="AN9" t="s">
        <v>378</v>
      </c>
      <c r="AO9" s="1">
        <v>139.0741242161609</v>
      </c>
      <c r="AP9" s="1">
        <v>138.94609919008701</v>
      </c>
      <c r="AQ9" s="1">
        <v>138.3496798172151</v>
      </c>
      <c r="AR9" s="1">
        <v>139.22435957276809</v>
      </c>
      <c r="AS9" s="1">
        <v>139.53563273517111</v>
      </c>
      <c r="AT9" s="1">
        <v>138.60919585111591</v>
      </c>
      <c r="AU9" s="1">
        <v>138.29935729461579</v>
      </c>
      <c r="AV9" s="1">
        <v>139.1018874982006</v>
      </c>
      <c r="AW9" s="1">
        <v>139.41595540863571</v>
      </c>
      <c r="AX9" s="1">
        <v>140.31999546557549</v>
      </c>
      <c r="AY9" s="1">
        <v>141.62420028079859</v>
      </c>
    </row>
    <row r="10" spans="1:51" x14ac:dyDescent="0.35">
      <c r="A10" t="s">
        <v>249</v>
      </c>
      <c r="B10" t="s">
        <v>130</v>
      </c>
      <c r="C10" s="1">
        <v>2.9310682514337998</v>
      </c>
      <c r="D10" s="1">
        <v>5.9207024521768084</v>
      </c>
      <c r="E10" s="1">
        <v>147.4098516375731</v>
      </c>
      <c r="J10" s="1"/>
      <c r="AY10" s="13"/>
    </row>
    <row r="11" spans="1:51" x14ac:dyDescent="0.35">
      <c r="A11" t="s">
        <v>250</v>
      </c>
      <c r="B11" t="s">
        <v>131</v>
      </c>
      <c r="C11" s="1">
        <v>3.3295966493000151</v>
      </c>
      <c r="D11" s="1">
        <v>7.1787441898668316</v>
      </c>
      <c r="E11" s="1">
        <v>149.88444209387313</v>
      </c>
      <c r="I11" t="s">
        <v>152</v>
      </c>
      <c r="J11" t="s">
        <v>166</v>
      </c>
      <c r="K11" t="s">
        <v>167</v>
      </c>
      <c r="L11" t="s">
        <v>163</v>
      </c>
      <c r="M11" t="s">
        <v>160</v>
      </c>
      <c r="N11" t="s">
        <v>126</v>
      </c>
      <c r="O11" t="s">
        <v>128</v>
      </c>
      <c r="P11" t="s">
        <v>129</v>
      </c>
      <c r="Q11" t="s">
        <v>130</v>
      </c>
      <c r="R11" t="s">
        <v>131</v>
      </c>
      <c r="S11" s="13" t="s">
        <v>127</v>
      </c>
      <c r="AB11" t="s">
        <v>152</v>
      </c>
      <c r="AC11" t="s">
        <v>166</v>
      </c>
      <c r="AD11" t="s">
        <v>167</v>
      </c>
      <c r="AE11" t="s">
        <v>163</v>
      </c>
      <c r="AF11" t="s">
        <v>160</v>
      </c>
      <c r="AG11" t="s">
        <v>126</v>
      </c>
      <c r="AH11" t="s">
        <v>128</v>
      </c>
      <c r="AI11" t="s">
        <v>129</v>
      </c>
      <c r="AJ11" t="s">
        <v>130</v>
      </c>
      <c r="AK11" t="s">
        <v>131</v>
      </c>
      <c r="AL11" s="13" t="s">
        <v>127</v>
      </c>
      <c r="AO11" t="s">
        <v>152</v>
      </c>
      <c r="AP11" t="s">
        <v>166</v>
      </c>
      <c r="AQ11" t="s">
        <v>167</v>
      </c>
      <c r="AR11" t="s">
        <v>163</v>
      </c>
      <c r="AS11" t="s">
        <v>160</v>
      </c>
      <c r="AT11" t="s">
        <v>126</v>
      </c>
      <c r="AU11" t="s">
        <v>128</v>
      </c>
      <c r="AV11" t="s">
        <v>129</v>
      </c>
      <c r="AW11" t="s">
        <v>130</v>
      </c>
      <c r="AX11" t="s">
        <v>131</v>
      </c>
      <c r="AY11" s="13" t="s">
        <v>127</v>
      </c>
    </row>
    <row r="12" spans="1:51" x14ac:dyDescent="0.35">
      <c r="A12" s="13" t="s">
        <v>251</v>
      </c>
      <c r="B12" s="13" t="s">
        <v>127</v>
      </c>
      <c r="C12" s="14">
        <v>2.1031238851691678</v>
      </c>
      <c r="D12" s="14">
        <v>6.5637404548913185</v>
      </c>
      <c r="E12" s="14">
        <v>148.9885027979945</v>
      </c>
      <c r="H12" t="s">
        <v>149</v>
      </c>
      <c r="I12">
        <v>7.0929096082523402E-2</v>
      </c>
      <c r="J12">
        <v>7.4291945018262306E-2</v>
      </c>
      <c r="K12">
        <v>5.8184072063265209E-2</v>
      </c>
      <c r="L12">
        <v>5.8338772293575931E-2</v>
      </c>
      <c r="M12">
        <v>5.0205911118965107E-2</v>
      </c>
      <c r="N12">
        <v>5.1413163167684267E-2</v>
      </c>
      <c r="O12">
        <v>5.7133573729529832E-2</v>
      </c>
      <c r="P12">
        <v>6.3714886358649164E-2</v>
      </c>
      <c r="Q12">
        <v>6.230898939773824E-2</v>
      </c>
      <c r="R12">
        <v>5.5795476351844051E-2</v>
      </c>
      <c r="S12">
        <v>5.0346189241560743E-2</v>
      </c>
      <c r="AA12" t="s">
        <v>149</v>
      </c>
      <c r="AB12">
        <v>7.0929096082523402E-2</v>
      </c>
      <c r="AC12">
        <v>7.4291945018262306E-2</v>
      </c>
      <c r="AD12">
        <v>5.8184072063265209E-2</v>
      </c>
      <c r="AE12">
        <v>5.8338772293575931E-2</v>
      </c>
      <c r="AF12">
        <v>5.0205911118965107E-2</v>
      </c>
      <c r="AG12">
        <v>5.1413163167684267E-2</v>
      </c>
      <c r="AH12">
        <v>5.7133573729529832E-2</v>
      </c>
      <c r="AI12">
        <v>6.3714886358649164E-2</v>
      </c>
      <c r="AJ12">
        <v>6.230898939773824E-2</v>
      </c>
      <c r="AK12">
        <v>5.5795476351844051E-2</v>
      </c>
      <c r="AL12">
        <v>5.0346189241560743E-2</v>
      </c>
      <c r="AN12" t="s">
        <v>149</v>
      </c>
      <c r="AO12">
        <v>7.0929096082523402E-2</v>
      </c>
      <c r="AP12">
        <v>7.4291945018262306E-2</v>
      </c>
      <c r="AQ12">
        <v>5.8184072063265209E-2</v>
      </c>
      <c r="AR12">
        <v>5.8338772293575931E-2</v>
      </c>
      <c r="AS12">
        <v>5.0205911118965107E-2</v>
      </c>
      <c r="AT12">
        <v>5.1413163167684267E-2</v>
      </c>
      <c r="AU12">
        <v>5.7133573729529832E-2</v>
      </c>
      <c r="AV12">
        <v>6.3714886358649164E-2</v>
      </c>
      <c r="AW12">
        <v>6.230898939773824E-2</v>
      </c>
      <c r="AX12">
        <v>5.5795476351844051E-2</v>
      </c>
      <c r="AY12">
        <v>5.0346189241560743E-2</v>
      </c>
    </row>
    <row r="13" spans="1:51" x14ac:dyDescent="0.35">
      <c r="A13" t="s">
        <v>252</v>
      </c>
      <c r="B13" t="s">
        <v>152</v>
      </c>
      <c r="C13" s="1">
        <v>1.624588212934043</v>
      </c>
      <c r="D13" s="1">
        <v>4.4981623298961644</v>
      </c>
      <c r="E13" s="1">
        <v>146.84377635034579</v>
      </c>
      <c r="H13" t="s">
        <v>151</v>
      </c>
      <c r="I13">
        <v>0.1317305498686332</v>
      </c>
      <c r="J13">
        <v>0.2073668582733707</v>
      </c>
      <c r="K13">
        <v>0.16866511162666251</v>
      </c>
      <c r="L13">
        <v>0.19601918938864771</v>
      </c>
      <c r="M13">
        <v>0.17732092153655021</v>
      </c>
      <c r="N13">
        <v>0.19095899226360921</v>
      </c>
      <c r="O13">
        <v>0.17853916488824051</v>
      </c>
      <c r="P13">
        <v>0.1950319601457646</v>
      </c>
      <c r="Q13">
        <v>0.1828477355565602</v>
      </c>
      <c r="R13">
        <v>0.1668126137121313</v>
      </c>
      <c r="S13">
        <v>0.14858860745563171</v>
      </c>
      <c r="AA13" t="s">
        <v>151</v>
      </c>
      <c r="AB13">
        <v>0.1317305498686332</v>
      </c>
      <c r="AC13">
        <v>0.2073668582733707</v>
      </c>
      <c r="AD13">
        <v>0.16866511162666251</v>
      </c>
      <c r="AE13">
        <v>0.19601918938864771</v>
      </c>
      <c r="AF13">
        <v>0.17732092153655021</v>
      </c>
      <c r="AG13">
        <v>0.19095899226360921</v>
      </c>
      <c r="AH13">
        <v>0.17853916488824051</v>
      </c>
      <c r="AI13">
        <v>0.1950319601457646</v>
      </c>
      <c r="AJ13">
        <v>0.1828477355565602</v>
      </c>
      <c r="AK13">
        <v>0.1668126137121313</v>
      </c>
      <c r="AL13">
        <v>0.14858860745563171</v>
      </c>
      <c r="AN13" t="s">
        <v>151</v>
      </c>
      <c r="AO13">
        <v>0.1317305498686332</v>
      </c>
      <c r="AP13">
        <v>0.2073668582733707</v>
      </c>
      <c r="AQ13">
        <v>0.16866511162666251</v>
      </c>
      <c r="AR13">
        <v>0.19601918938864771</v>
      </c>
      <c r="AS13">
        <v>0.17732092153655021</v>
      </c>
      <c r="AT13">
        <v>0.19095899226360921</v>
      </c>
      <c r="AU13">
        <v>0.17853916488824051</v>
      </c>
      <c r="AV13">
        <v>0.1950319601457646</v>
      </c>
      <c r="AW13">
        <v>0.1828477355565602</v>
      </c>
      <c r="AX13">
        <v>0.1668126137121313</v>
      </c>
      <c r="AY13">
        <v>0.14858860745563171</v>
      </c>
    </row>
    <row r="14" spans="1:51" x14ac:dyDescent="0.35">
      <c r="A14" t="s">
        <v>253</v>
      </c>
      <c r="B14" t="s">
        <v>166</v>
      </c>
      <c r="C14" s="1">
        <v>0.89105376201663944</v>
      </c>
      <c r="D14" s="1">
        <v>5.2765705708945312</v>
      </c>
      <c r="E14" s="1">
        <v>145.19276661942229</v>
      </c>
      <c r="H14" t="s">
        <v>153</v>
      </c>
      <c r="I14">
        <v>8.7174269311795435E-2</v>
      </c>
      <c r="J14">
        <v>0.12225414446894881</v>
      </c>
      <c r="K14">
        <v>8.808145134958266E-2</v>
      </c>
      <c r="L14">
        <v>0.12671234431625741</v>
      </c>
      <c r="M14">
        <v>0.1131325524517437</v>
      </c>
      <c r="N14">
        <v>0.11311045405246239</v>
      </c>
      <c r="O14">
        <v>0.11209916269303249</v>
      </c>
      <c r="P14">
        <v>0.12922527589808519</v>
      </c>
      <c r="Q14">
        <v>0.11076504667552969</v>
      </c>
      <c r="R14">
        <v>0.10202235989070831</v>
      </c>
      <c r="S14">
        <v>9.685136044002278E-2</v>
      </c>
      <c r="AA14" t="s">
        <v>153</v>
      </c>
      <c r="AB14">
        <v>8.7174269311795435E-2</v>
      </c>
      <c r="AC14">
        <v>0.12225414446894881</v>
      </c>
      <c r="AD14">
        <v>8.808145134958266E-2</v>
      </c>
      <c r="AE14">
        <v>0.12671234431625741</v>
      </c>
      <c r="AF14">
        <v>0.1131325524517437</v>
      </c>
      <c r="AG14">
        <v>0.11311045405246239</v>
      </c>
      <c r="AH14">
        <v>0.11209916269303249</v>
      </c>
      <c r="AI14">
        <v>0.12922527589808519</v>
      </c>
      <c r="AJ14">
        <v>0.11076504667552969</v>
      </c>
      <c r="AK14">
        <v>0.10202235989070831</v>
      </c>
      <c r="AL14">
        <v>9.685136044002278E-2</v>
      </c>
      <c r="AN14" t="s">
        <v>153</v>
      </c>
      <c r="AO14">
        <v>8.7174269311795435E-2</v>
      </c>
      <c r="AP14">
        <v>0.12225414446894881</v>
      </c>
      <c r="AQ14">
        <v>8.808145134958266E-2</v>
      </c>
      <c r="AR14">
        <v>0.12671234431625741</v>
      </c>
      <c r="AS14">
        <v>0.1131325524517437</v>
      </c>
      <c r="AT14">
        <v>0.11311045405246239</v>
      </c>
      <c r="AU14">
        <v>0.11209916269303249</v>
      </c>
      <c r="AV14">
        <v>0.12922527589808519</v>
      </c>
      <c r="AW14">
        <v>0.11076504667552969</v>
      </c>
      <c r="AX14">
        <v>0.10202235989070831</v>
      </c>
      <c r="AY14">
        <v>9.685136044002278E-2</v>
      </c>
    </row>
    <row r="15" spans="1:51" x14ac:dyDescent="0.35">
      <c r="A15" t="s">
        <v>254</v>
      </c>
      <c r="B15" t="s">
        <v>167</v>
      </c>
      <c r="C15" s="1">
        <v>-0.1925314270617946</v>
      </c>
      <c r="D15" s="1">
        <v>4.8001179511157055</v>
      </c>
      <c r="E15" s="1">
        <v>142.73922134491482</v>
      </c>
      <c r="H15" t="s">
        <v>155</v>
      </c>
      <c r="I15">
        <v>4.6925459706192968E-2</v>
      </c>
      <c r="J15">
        <v>4.1137795296558387E-2</v>
      </c>
      <c r="K15">
        <v>3.487117737274846E-2</v>
      </c>
      <c r="L15">
        <v>4.7661721904924577E-2</v>
      </c>
      <c r="M15">
        <v>3.5567416804721502E-2</v>
      </c>
      <c r="N15">
        <v>3.4023292576800791E-2</v>
      </c>
      <c r="O15">
        <v>4.4575499491699422E-2</v>
      </c>
      <c r="P15">
        <v>4.473212832309427E-2</v>
      </c>
      <c r="Q15">
        <v>5.24293847965282E-2</v>
      </c>
      <c r="R15">
        <v>6.1369674952610337E-2</v>
      </c>
      <c r="S15">
        <v>5.4321767450083068E-2</v>
      </c>
      <c r="AA15" t="s">
        <v>155</v>
      </c>
      <c r="AB15">
        <v>4.6925459706192968E-2</v>
      </c>
      <c r="AC15">
        <v>4.1137795296558387E-2</v>
      </c>
      <c r="AD15">
        <v>3.487117737274846E-2</v>
      </c>
      <c r="AE15">
        <v>4.7661721904924577E-2</v>
      </c>
      <c r="AF15">
        <v>3.5567416804721502E-2</v>
      </c>
      <c r="AG15">
        <v>3.4023292576800791E-2</v>
      </c>
      <c r="AH15">
        <v>4.4575499491699422E-2</v>
      </c>
      <c r="AI15">
        <v>4.473212832309427E-2</v>
      </c>
      <c r="AJ15">
        <v>5.24293847965282E-2</v>
      </c>
      <c r="AK15">
        <v>6.1369674952610337E-2</v>
      </c>
      <c r="AL15">
        <v>5.4321767450083068E-2</v>
      </c>
      <c r="AN15" t="s">
        <v>155</v>
      </c>
      <c r="AO15">
        <v>4.6925459706192968E-2</v>
      </c>
      <c r="AP15">
        <v>4.1137795296558387E-2</v>
      </c>
      <c r="AQ15">
        <v>3.487117737274846E-2</v>
      </c>
      <c r="AR15">
        <v>4.7661721904924577E-2</v>
      </c>
      <c r="AS15">
        <v>3.5567416804721502E-2</v>
      </c>
      <c r="AT15">
        <v>3.4023292576800791E-2</v>
      </c>
      <c r="AU15">
        <v>4.4575499491699422E-2</v>
      </c>
      <c r="AV15">
        <v>4.473212832309427E-2</v>
      </c>
      <c r="AW15">
        <v>5.24293847965282E-2</v>
      </c>
      <c r="AX15">
        <v>6.1369674952610337E-2</v>
      </c>
      <c r="AY15">
        <v>5.4321767450083068E-2</v>
      </c>
    </row>
    <row r="16" spans="1:51" x14ac:dyDescent="0.35">
      <c r="A16" t="s">
        <v>255</v>
      </c>
      <c r="B16" t="s">
        <v>163</v>
      </c>
      <c r="C16" s="1">
        <v>0.30849241627720397</v>
      </c>
      <c r="D16" s="1">
        <v>5.456439648894591</v>
      </c>
      <c r="E16" s="1">
        <v>145.93849436238119</v>
      </c>
      <c r="H16" t="s">
        <v>122</v>
      </c>
      <c r="I16">
        <v>0.22533796143163601</v>
      </c>
      <c r="J16">
        <v>0.21369114861516841</v>
      </c>
      <c r="K16">
        <v>0.14808641137821399</v>
      </c>
      <c r="L16">
        <v>0.13590997185151679</v>
      </c>
      <c r="M16">
        <v>0.13206646699845589</v>
      </c>
      <c r="N16">
        <v>0.14770705183858349</v>
      </c>
      <c r="O16">
        <v>0.15456059560638671</v>
      </c>
      <c r="P16">
        <v>0.14292377564851819</v>
      </c>
      <c r="Q16">
        <v>0.13160230952889199</v>
      </c>
      <c r="R16">
        <v>0.129088827019124</v>
      </c>
      <c r="S16">
        <v>9.8914219093214961E-2</v>
      </c>
      <c r="AA16" t="s">
        <v>122</v>
      </c>
      <c r="AB16">
        <v>0.22533796143163601</v>
      </c>
      <c r="AC16">
        <v>0.21369114861516841</v>
      </c>
      <c r="AD16">
        <v>0.14808641137821399</v>
      </c>
      <c r="AE16">
        <v>0.13590997185151679</v>
      </c>
      <c r="AF16">
        <v>0.13206646699845589</v>
      </c>
      <c r="AG16">
        <v>0.14770705183858349</v>
      </c>
      <c r="AH16">
        <v>0.15456059560638671</v>
      </c>
      <c r="AI16">
        <v>0.14292377564851819</v>
      </c>
      <c r="AJ16">
        <v>0.13160230952889199</v>
      </c>
      <c r="AK16">
        <v>0.129088827019124</v>
      </c>
      <c r="AL16">
        <v>9.8914219093214961E-2</v>
      </c>
      <c r="AN16" t="s">
        <v>122</v>
      </c>
      <c r="AO16">
        <v>0.22533796143163601</v>
      </c>
      <c r="AP16">
        <v>0.21369114861516841</v>
      </c>
      <c r="AQ16">
        <v>0.14808641137821399</v>
      </c>
      <c r="AR16">
        <v>0.13590997185151679</v>
      </c>
      <c r="AS16">
        <v>0.13206646699845589</v>
      </c>
      <c r="AT16">
        <v>0.14770705183858349</v>
      </c>
      <c r="AU16">
        <v>0.15456059560638671</v>
      </c>
      <c r="AV16">
        <v>0.14292377564851819</v>
      </c>
      <c r="AW16">
        <v>0.13160230952889199</v>
      </c>
      <c r="AX16">
        <v>0.129088827019124</v>
      </c>
      <c r="AY16">
        <v>9.8914219093214961E-2</v>
      </c>
    </row>
    <row r="17" spans="1:51" x14ac:dyDescent="0.35">
      <c r="A17" t="s">
        <v>256</v>
      </c>
      <c r="B17" t="s">
        <v>160</v>
      </c>
      <c r="C17" s="1">
        <v>0.75767442896398052</v>
      </c>
      <c r="D17" s="1">
        <v>5.8109317770245665</v>
      </c>
      <c r="E17" s="1">
        <v>148.12235844722574</v>
      </c>
      <c r="H17" t="s">
        <v>199</v>
      </c>
      <c r="I17">
        <v>0.43790266359921892</v>
      </c>
      <c r="J17">
        <v>0.34125810832769149</v>
      </c>
      <c r="K17">
        <v>0.50211177620952718</v>
      </c>
      <c r="L17">
        <v>0.4353580002450777</v>
      </c>
      <c r="M17">
        <v>0.4917067310895637</v>
      </c>
      <c r="N17">
        <v>0.46278704610086002</v>
      </c>
      <c r="O17">
        <v>0.45309200359111113</v>
      </c>
      <c r="P17">
        <v>0.42437197362588869</v>
      </c>
      <c r="Q17">
        <v>0.4600465340447516</v>
      </c>
      <c r="R17">
        <v>0.48491104807358187</v>
      </c>
      <c r="S17">
        <v>0.55097785631948659</v>
      </c>
      <c r="AA17" t="s">
        <v>199</v>
      </c>
      <c r="AB17">
        <v>0.43790266359921892</v>
      </c>
      <c r="AC17">
        <v>0.34125810832769149</v>
      </c>
      <c r="AD17">
        <v>0.50211177620952718</v>
      </c>
      <c r="AE17">
        <v>0.4353580002450777</v>
      </c>
      <c r="AF17">
        <v>0.4917067310895637</v>
      </c>
      <c r="AG17">
        <v>0.46278704610086002</v>
      </c>
      <c r="AH17">
        <v>0.45309200359111113</v>
      </c>
      <c r="AI17">
        <v>0.42437197362588869</v>
      </c>
      <c r="AJ17">
        <v>0.4600465340447516</v>
      </c>
      <c r="AK17">
        <v>0.48491104807358187</v>
      </c>
      <c r="AL17">
        <v>0.55097785631948659</v>
      </c>
      <c r="AN17" t="s">
        <v>199</v>
      </c>
      <c r="AO17">
        <v>0.43790266359921892</v>
      </c>
      <c r="AP17">
        <v>0.34125810832769149</v>
      </c>
      <c r="AQ17">
        <v>0.50211177620952718</v>
      </c>
      <c r="AR17">
        <v>0.4353580002450777</v>
      </c>
      <c r="AS17">
        <v>0.4917067310895637</v>
      </c>
      <c r="AT17">
        <v>0.46278704610086002</v>
      </c>
      <c r="AU17">
        <v>0.45309200359111113</v>
      </c>
      <c r="AV17">
        <v>0.42437197362588869</v>
      </c>
      <c r="AW17">
        <v>0.4600465340447516</v>
      </c>
      <c r="AX17">
        <v>0.48491104807358187</v>
      </c>
      <c r="AY17">
        <v>0.55097785631948659</v>
      </c>
    </row>
    <row r="18" spans="1:51" x14ac:dyDescent="0.35">
      <c r="A18" t="s">
        <v>257</v>
      </c>
      <c r="B18" t="s">
        <v>126</v>
      </c>
      <c r="C18" s="1">
        <v>0.5284461459404497</v>
      </c>
      <c r="D18" s="1">
        <v>6.6548686955724552</v>
      </c>
      <c r="E18" s="1">
        <v>147.15428853434699</v>
      </c>
    </row>
    <row r="19" spans="1:51" x14ac:dyDescent="0.35">
      <c r="A19" t="s">
        <v>258</v>
      </c>
      <c r="B19" t="s">
        <v>128</v>
      </c>
      <c r="C19" s="1">
        <v>0.66878041807478894</v>
      </c>
      <c r="D19" s="1">
        <v>6.5747832940083661</v>
      </c>
      <c r="E19" s="1">
        <v>147.07671411312805</v>
      </c>
    </row>
    <row r="20" spans="1:51" x14ac:dyDescent="0.35">
      <c r="A20" t="s">
        <v>259</v>
      </c>
      <c r="B20" t="s">
        <v>129</v>
      </c>
      <c r="C20" s="1">
        <v>1.27304614539662</v>
      </c>
      <c r="D20" s="1">
        <v>7.8426494678338452</v>
      </c>
      <c r="E20" s="1">
        <v>149.75003121691606</v>
      </c>
      <c r="H20" s="88" t="s">
        <v>401</v>
      </c>
      <c r="I20" t="s">
        <v>152</v>
      </c>
      <c r="J20" t="s">
        <v>166</v>
      </c>
      <c r="K20" t="s">
        <v>167</v>
      </c>
      <c r="L20" t="s">
        <v>163</v>
      </c>
      <c r="M20" t="s">
        <v>160</v>
      </c>
      <c r="N20" t="s">
        <v>126</v>
      </c>
      <c r="O20" t="s">
        <v>128</v>
      </c>
      <c r="P20" t="s">
        <v>129</v>
      </c>
      <c r="Q20" t="s">
        <v>130</v>
      </c>
      <c r="R20" t="s">
        <v>131</v>
      </c>
      <c r="S20" s="13" t="s">
        <v>127</v>
      </c>
      <c r="AA20" s="88" t="s">
        <v>402</v>
      </c>
      <c r="AB20" t="s">
        <v>152</v>
      </c>
      <c r="AC20" t="s">
        <v>166</v>
      </c>
      <c r="AD20" t="s">
        <v>167</v>
      </c>
      <c r="AE20" t="s">
        <v>163</v>
      </c>
      <c r="AF20" t="s">
        <v>160</v>
      </c>
      <c r="AG20" t="s">
        <v>126</v>
      </c>
      <c r="AH20" t="s">
        <v>128</v>
      </c>
      <c r="AI20" t="s">
        <v>129</v>
      </c>
      <c r="AJ20" t="s">
        <v>130</v>
      </c>
      <c r="AK20" t="s">
        <v>131</v>
      </c>
      <c r="AL20" s="13" t="s">
        <v>127</v>
      </c>
      <c r="AN20" s="88" t="s">
        <v>402</v>
      </c>
      <c r="AO20" t="s">
        <v>152</v>
      </c>
      <c r="AP20" t="s">
        <v>166</v>
      </c>
      <c r="AQ20" t="s">
        <v>167</v>
      </c>
      <c r="AR20" t="s">
        <v>163</v>
      </c>
      <c r="AS20" t="s">
        <v>160</v>
      </c>
      <c r="AT20" t="s">
        <v>126</v>
      </c>
      <c r="AU20" t="s">
        <v>128</v>
      </c>
      <c r="AV20" t="s">
        <v>129</v>
      </c>
      <c r="AW20" t="s">
        <v>130</v>
      </c>
      <c r="AX20" t="s">
        <v>131</v>
      </c>
      <c r="AY20" s="13" t="s">
        <v>127</v>
      </c>
    </row>
    <row r="21" spans="1:51" x14ac:dyDescent="0.35">
      <c r="A21" t="s">
        <v>260</v>
      </c>
      <c r="B21" t="s">
        <v>130</v>
      </c>
      <c r="C21" s="1">
        <v>1.7966555450034889</v>
      </c>
      <c r="D21" s="1">
        <v>8.4573205994502167</v>
      </c>
      <c r="E21" s="1">
        <v>151.2178600735773</v>
      </c>
      <c r="H21" t="s">
        <v>199</v>
      </c>
      <c r="I21" s="86">
        <f>I8*I17</f>
        <v>-2.0975739907451505</v>
      </c>
      <c r="J21" s="86">
        <f t="shared" ref="J21:S21" si="0">J8*J17</f>
        <v>-1.7532948199253353</v>
      </c>
      <c r="K21" s="86">
        <f t="shared" si="0"/>
        <v>-2.340092608427351</v>
      </c>
      <c r="L21" s="86">
        <f t="shared" si="0"/>
        <v>-0.52331707630470414</v>
      </c>
      <c r="M21" s="86">
        <f t="shared" si="0"/>
        <v>-1.2015876527340323</v>
      </c>
      <c r="N21" s="86">
        <f t="shared" si="0"/>
        <v>-1.1642039079090485</v>
      </c>
      <c r="O21" s="86">
        <f t="shared" si="0"/>
        <v>-0.95588292985341106</v>
      </c>
      <c r="P21" s="86">
        <f t="shared" si="0"/>
        <v>-0.42431281582635388</v>
      </c>
      <c r="Q21" s="86">
        <f t="shared" si="0"/>
        <v>-0.32271424108997604</v>
      </c>
      <c r="R21" s="86">
        <f t="shared" si="0"/>
        <v>2.0246779857254697E-2</v>
      </c>
      <c r="S21" s="86">
        <f t="shared" si="0"/>
        <v>0.34527948103938116</v>
      </c>
      <c r="AA21" t="s">
        <v>199</v>
      </c>
      <c r="AB21" s="86">
        <f t="shared" ref="AB21:AL21" si="1">AB8*AB17</f>
        <v>0.6569358646243445</v>
      </c>
      <c r="AC21" s="86">
        <f t="shared" si="1"/>
        <v>0.60101437550651859</v>
      </c>
      <c r="AD21" s="86">
        <f t="shared" si="1"/>
        <v>0.666124574438821</v>
      </c>
      <c r="AE21" s="86">
        <f t="shared" si="1"/>
        <v>0.96663165938209861</v>
      </c>
      <c r="AF21" s="86">
        <f t="shared" si="1"/>
        <v>0.9601963760106319</v>
      </c>
      <c r="AG21" s="86">
        <f t="shared" si="1"/>
        <v>0.4089321431015504</v>
      </c>
      <c r="AH21" s="86">
        <f t="shared" si="1"/>
        <v>-0.15422944841979</v>
      </c>
      <c r="AI21" s="86">
        <f t="shared" si="1"/>
        <v>0.5932062806544709</v>
      </c>
      <c r="AJ21" s="86">
        <f t="shared" si="1"/>
        <v>0.60720089873517347</v>
      </c>
      <c r="AK21" s="86">
        <f t="shared" si="1"/>
        <v>0.72239380095455907</v>
      </c>
      <c r="AL21" s="86">
        <f t="shared" si="1"/>
        <v>1.1228867621699434</v>
      </c>
      <c r="AN21" t="s">
        <v>199</v>
      </c>
      <c r="AO21" s="86">
        <f t="shared" ref="AO21:AY21" si="2">AO8*AO17</f>
        <v>61.527336274914184</v>
      </c>
      <c r="AP21" s="86">
        <f>AP8*AP17</f>
        <v>47.967506063679799</v>
      </c>
      <c r="AQ21" s="86">
        <f t="shared" si="2"/>
        <v>70.078862098145137</v>
      </c>
      <c r="AR21" s="86">
        <f t="shared" si="2"/>
        <v>61.138246210179929</v>
      </c>
      <c r="AS21" s="86">
        <f t="shared" si="2"/>
        <v>68.782452541716154</v>
      </c>
      <c r="AT21" s="86">
        <f t="shared" si="2"/>
        <v>64.682735643857768</v>
      </c>
      <c r="AU21" s="86">
        <f t="shared" si="2"/>
        <v>63.300925446951751</v>
      </c>
      <c r="AV21" s="86">
        <f t="shared" si="2"/>
        <v>59.355517202975463</v>
      </c>
      <c r="AW21" s="86">
        <f t="shared" si="2"/>
        <v>64.368748974815631</v>
      </c>
      <c r="AX21" s="86">
        <f t="shared" si="2"/>
        <v>68.344359249321499</v>
      </c>
      <c r="AY21" s="86">
        <f t="shared" si="2"/>
        <v>78.166966781523811</v>
      </c>
    </row>
    <row r="22" spans="1:51" x14ac:dyDescent="0.35">
      <c r="A22" t="s">
        <v>261</v>
      </c>
      <c r="B22" t="s">
        <v>131</v>
      </c>
      <c r="C22" s="1">
        <v>2.7856639183449659</v>
      </c>
      <c r="D22" s="1">
        <v>9.0905852307040682</v>
      </c>
      <c r="E22" s="1">
        <v>153.73373733335734</v>
      </c>
      <c r="H22" t="s">
        <v>149</v>
      </c>
      <c r="I22" s="86">
        <f t="shared" ref="I22:S22" si="3">I3*I12</f>
        <v>0.15425009150576319</v>
      </c>
      <c r="J22" s="86">
        <f t="shared" si="3"/>
        <v>0.15120077804304324</v>
      </c>
      <c r="K22" s="86">
        <f t="shared" si="3"/>
        <v>8.6805140387459401E-2</v>
      </c>
      <c r="L22" s="86">
        <f t="shared" si="3"/>
        <v>0.14752055940871922</v>
      </c>
      <c r="M22" s="86">
        <f t="shared" si="3"/>
        <v>0.20852253557458672</v>
      </c>
      <c r="N22" s="86">
        <f t="shared" si="3"/>
        <v>0.23879959137268134</v>
      </c>
      <c r="O22" s="86">
        <f t="shared" si="3"/>
        <v>0.27284125064099179</v>
      </c>
      <c r="P22" s="86">
        <f t="shared" si="3"/>
        <v>0.38240389482499354</v>
      </c>
      <c r="Q22" s="86">
        <f t="shared" si="3"/>
        <v>0.36891298631984754</v>
      </c>
      <c r="R22" s="86">
        <f t="shared" si="3"/>
        <v>0.40054145168165267</v>
      </c>
      <c r="S22" s="86">
        <f t="shared" si="3"/>
        <v>0.33045931907444631</v>
      </c>
      <c r="AA22" t="s">
        <v>149</v>
      </c>
      <c r="AB22" s="86">
        <f t="shared" ref="AB22:AL22" si="4">AB3*AB12</f>
        <v>4.9275244241935807E-2</v>
      </c>
      <c r="AC22" s="86">
        <f t="shared" si="4"/>
        <v>6.1664797111928293E-2</v>
      </c>
      <c r="AD22" s="86">
        <f t="shared" si="4"/>
        <v>3.8256236077617557E-2</v>
      </c>
      <c r="AE22" s="86">
        <f t="shared" si="4"/>
        <v>6.8914789510937768E-2</v>
      </c>
      <c r="AF22" s="86">
        <f t="shared" si="4"/>
        <v>4.8811468382424179E-2</v>
      </c>
      <c r="AG22" s="86">
        <f t="shared" si="4"/>
        <v>6.068213383212407E-2</v>
      </c>
      <c r="AH22" s="86">
        <f t="shared" si="4"/>
        <v>8.331732722427633E-2</v>
      </c>
      <c r="AI22" s="86">
        <f t="shared" si="4"/>
        <v>0.15752240773100387</v>
      </c>
      <c r="AJ22" s="86">
        <f t="shared" si="4"/>
        <v>0.18263190060263579</v>
      </c>
      <c r="AK22" s="86">
        <f t="shared" si="4"/>
        <v>0.18577643110719819</v>
      </c>
      <c r="AL22" s="86">
        <f t="shared" si="4"/>
        <v>0.10588427312117339</v>
      </c>
      <c r="AN22" t="s">
        <v>149</v>
      </c>
      <c r="AO22" s="86">
        <f t="shared" ref="AO22:AY22" si="5">AO3*AO12</f>
        <v>9.6774590195405352</v>
      </c>
      <c r="AP22" s="86">
        <f t="shared" si="5"/>
        <v>10.179582668356792</v>
      </c>
      <c r="AQ22" s="86">
        <f t="shared" si="5"/>
        <v>7.9346851589145384</v>
      </c>
      <c r="AR22" s="86">
        <f t="shared" si="5"/>
        <v>7.9995281581364903</v>
      </c>
      <c r="AS22" s="86">
        <f t="shared" si="5"/>
        <v>6.9329604154351934</v>
      </c>
      <c r="AT22" s="86">
        <f t="shared" si="5"/>
        <v>7.0333904200062047</v>
      </c>
      <c r="AU22" s="86">
        <f t="shared" si="5"/>
        <v>7.8179882536222243</v>
      </c>
      <c r="AV22" s="86">
        <f t="shared" si="5"/>
        <v>8.7948090929503486</v>
      </c>
      <c r="AW22" s="86">
        <f t="shared" si="5"/>
        <v>8.6334139958852258</v>
      </c>
      <c r="AX22" s="86">
        <f t="shared" si="5"/>
        <v>7.776555961569187</v>
      </c>
      <c r="AY22" s="86">
        <f t="shared" si="5"/>
        <v>7.0646597644890132</v>
      </c>
    </row>
    <row r="23" spans="1:51" x14ac:dyDescent="0.35">
      <c r="A23" s="13" t="s">
        <v>262</v>
      </c>
      <c r="B23" s="13" t="s">
        <v>127</v>
      </c>
      <c r="C23" s="14">
        <v>2.4440368355942041</v>
      </c>
      <c r="D23" s="14">
        <v>7.9979948380203272</v>
      </c>
      <c r="E23" s="14">
        <v>153.31389895363523</v>
      </c>
      <c r="H23" t="s">
        <v>151</v>
      </c>
      <c r="I23" s="86">
        <f t="shared" ref="I23:S23" si="6">I4*I13</f>
        <v>0.59254539711559395</v>
      </c>
      <c r="J23" s="86">
        <f t="shared" si="6"/>
        <v>1.0941858617441249</v>
      </c>
      <c r="K23" s="86">
        <f t="shared" si="6"/>
        <v>0.80961243004607697</v>
      </c>
      <c r="L23" s="86">
        <f t="shared" si="6"/>
        <v>1.0695668769243953</v>
      </c>
      <c r="M23" s="86">
        <f t="shared" si="6"/>
        <v>1.0303997776880194</v>
      </c>
      <c r="N23" s="86">
        <f t="shared" si="6"/>
        <v>1.2708070197531556</v>
      </c>
      <c r="O23" s="86">
        <f t="shared" si="6"/>
        <v>1.1738563186334088</v>
      </c>
      <c r="P23" s="86">
        <f t="shared" si="6"/>
        <v>1.5295672984477724</v>
      </c>
      <c r="Q23" s="86">
        <f t="shared" si="6"/>
        <v>1.5464019204853223</v>
      </c>
      <c r="R23" s="86">
        <f t="shared" si="6"/>
        <v>1.5164242825066436</v>
      </c>
      <c r="S23" s="86">
        <f t="shared" si="6"/>
        <v>1.1884109154187712</v>
      </c>
      <c r="AA23" t="s">
        <v>151</v>
      </c>
      <c r="AB23" s="86">
        <f t="shared" ref="AB23:AL23" si="7">AB4*AB13</f>
        <v>0.21400789859990163</v>
      </c>
      <c r="AC23" s="86">
        <f t="shared" si="7"/>
        <v>0.18477501918205827</v>
      </c>
      <c r="AD23" s="86">
        <f t="shared" si="7"/>
        <v>-3.2473334637018215E-2</v>
      </c>
      <c r="AE23" s="86">
        <f t="shared" si="7"/>
        <v>6.0470433371202795E-2</v>
      </c>
      <c r="AF23" s="86">
        <f t="shared" si="7"/>
        <v>0.13435152796857247</v>
      </c>
      <c r="AG23" s="86">
        <f t="shared" si="7"/>
        <v>0.10091154349437644</v>
      </c>
      <c r="AH23" s="86">
        <f t="shared" si="7"/>
        <v>0.11940349733668117</v>
      </c>
      <c r="AI23" s="86">
        <f t="shared" si="7"/>
        <v>0.24828468509271284</v>
      </c>
      <c r="AJ23" s="86">
        <f t="shared" si="7"/>
        <v>0.32851439797902549</v>
      </c>
      <c r="AK23" s="86">
        <f t="shared" si="7"/>
        <v>0.46468387914270087</v>
      </c>
      <c r="AL23" s="86">
        <f t="shared" si="7"/>
        <v>0.36315602997121149</v>
      </c>
      <c r="AN23" t="s">
        <v>151</v>
      </c>
      <c r="AO23" s="86">
        <f t="shared" ref="AO23:AY23" si="8">AO4*AO13</f>
        <v>18.537258107702151</v>
      </c>
      <c r="AP23" s="86">
        <f t="shared" si="8"/>
        <v>28.829206976962144</v>
      </c>
      <c r="AQ23" s="86">
        <f t="shared" si="8"/>
        <v>23.297987606233885</v>
      </c>
      <c r="AR23" s="86">
        <f t="shared" si="8"/>
        <v>27.476708055218097</v>
      </c>
      <c r="AS23" s="86">
        <f t="shared" si="8"/>
        <v>25.100441794372689</v>
      </c>
      <c r="AT23" s="86">
        <f t="shared" si="8"/>
        <v>26.728716082539755</v>
      </c>
      <c r="AU23" s="86">
        <f t="shared" si="8"/>
        <v>24.965693896294287</v>
      </c>
      <c r="AV23" s="86">
        <f t="shared" si="8"/>
        <v>27.428190136584092</v>
      </c>
      <c r="AW23" s="86">
        <f t="shared" si="8"/>
        <v>25.774926971698036</v>
      </c>
      <c r="AX23" s="86">
        <f t="shared" si="8"/>
        <v>23.66361837866225</v>
      </c>
      <c r="AY23" s="86">
        <f t="shared" si="8"/>
        <v>21.229131803724108</v>
      </c>
    </row>
    <row r="24" spans="1:51" x14ac:dyDescent="0.35">
      <c r="A24" t="s">
        <v>263</v>
      </c>
      <c r="B24" t="s">
        <v>152</v>
      </c>
      <c r="C24" s="1">
        <v>1.4591709056517741</v>
      </c>
      <c r="D24" s="1">
        <v>5.8706333812078659</v>
      </c>
      <c r="E24" s="1">
        <v>145.86964050705464</v>
      </c>
      <c r="H24" t="s">
        <v>153</v>
      </c>
      <c r="I24" s="86">
        <f t="shared" ref="I24:S24" si="9">I5*I14</f>
        <v>0.5117681754042307</v>
      </c>
      <c r="J24" s="86">
        <f t="shared" si="9"/>
        <v>0.73119863119750106</v>
      </c>
      <c r="K24" s="86">
        <f t="shared" si="9"/>
        <v>0.3759883066627891</v>
      </c>
      <c r="L24" s="86">
        <f t="shared" si="9"/>
        <v>0.63687099799312508</v>
      </c>
      <c r="M24" s="86">
        <f t="shared" si="9"/>
        <v>0.69579993259433925</v>
      </c>
      <c r="N24" s="86">
        <f t="shared" si="9"/>
        <v>0.80530638123079024</v>
      </c>
      <c r="O24" s="86">
        <f t="shared" si="9"/>
        <v>0.75299844080888478</v>
      </c>
      <c r="P24" s="86">
        <f t="shared" si="9"/>
        <v>0.99890850266017384</v>
      </c>
      <c r="Q24" s="86">
        <f t="shared" si="9"/>
        <v>0.89781533805969616</v>
      </c>
      <c r="R24" s="86">
        <f t="shared" si="9"/>
        <v>0.92455928966797207</v>
      </c>
      <c r="S24" s="86">
        <f t="shared" si="9"/>
        <v>0.7511782358653214</v>
      </c>
      <c r="AA24" t="s">
        <v>153</v>
      </c>
      <c r="AB24" s="86">
        <f t="shared" ref="AB24:AL24" si="10">AB5*AB14</f>
        <v>0.12720215750122421</v>
      </c>
      <c r="AC24" s="86">
        <f t="shared" si="10"/>
        <v>0.15588995138531075</v>
      </c>
      <c r="AD24" s="86">
        <f t="shared" si="10"/>
        <v>9.0094471942816029E-2</v>
      </c>
      <c r="AE24" s="86">
        <f t="shared" si="10"/>
        <v>0.25642036548913866</v>
      </c>
      <c r="AF24" s="86">
        <f t="shared" si="10"/>
        <v>0.25696387582370878</v>
      </c>
      <c r="AG24" s="86">
        <f t="shared" si="10"/>
        <v>0.23367012017963137</v>
      </c>
      <c r="AH24" s="86">
        <f t="shared" si="10"/>
        <v>0.20623122623005646</v>
      </c>
      <c r="AI24" s="86">
        <f t="shared" si="10"/>
        <v>0.26227159135754746</v>
      </c>
      <c r="AJ24" s="86">
        <f t="shared" si="10"/>
        <v>0.24879449733811571</v>
      </c>
      <c r="AK24" s="86">
        <f t="shared" si="10"/>
        <v>0.30022634380932478</v>
      </c>
      <c r="AL24" s="86">
        <f t="shared" si="10"/>
        <v>0.22626859735350655</v>
      </c>
      <c r="AN24" t="s">
        <v>153</v>
      </c>
      <c r="AO24" s="86">
        <f t="shared" ref="AO24:AY24" si="11">AO5*AO14</f>
        <v>12.077108993071311</v>
      </c>
      <c r="AP24" s="86">
        <f t="shared" si="11"/>
        <v>16.808413352535045</v>
      </c>
      <c r="AQ24" s="86">
        <f t="shared" si="11"/>
        <v>12.046039795835124</v>
      </c>
      <c r="AR24" s="86">
        <f t="shared" si="11"/>
        <v>17.420162748280983</v>
      </c>
      <c r="AS24" s="86">
        <f t="shared" si="11"/>
        <v>15.673783818840448</v>
      </c>
      <c r="AT24" s="86">
        <f t="shared" si="11"/>
        <v>15.519777751396129</v>
      </c>
      <c r="AU24" s="86">
        <f t="shared" si="11"/>
        <v>15.320413028877445</v>
      </c>
      <c r="AV24" s="86">
        <f t="shared" si="11"/>
        <v>17.826263976391143</v>
      </c>
      <c r="AW24" s="86">
        <f t="shared" si="11"/>
        <v>15.358741980363471</v>
      </c>
      <c r="AX24" s="86">
        <f t="shared" si="11"/>
        <v>14.286957955069175</v>
      </c>
      <c r="AY24" s="86">
        <f t="shared" si="11"/>
        <v>13.703821439708024</v>
      </c>
    </row>
    <row r="25" spans="1:51" x14ac:dyDescent="0.35">
      <c r="A25" t="s">
        <v>264</v>
      </c>
      <c r="B25" t="s">
        <v>166</v>
      </c>
      <c r="C25" s="1">
        <v>1.275130197528028</v>
      </c>
      <c r="D25" s="1">
        <v>5.9809721328769951</v>
      </c>
      <c r="E25" s="1">
        <v>144.7435750500247</v>
      </c>
      <c r="H25" t="s">
        <v>155</v>
      </c>
      <c r="I25" s="86">
        <f t="shared" ref="I25:S25" si="12">I6*I15</f>
        <v>0.11985825030446201</v>
      </c>
      <c r="J25" s="86">
        <f t="shared" si="12"/>
        <v>9.2142123806227869E-2</v>
      </c>
      <c r="K25" s="86">
        <f t="shared" si="12"/>
        <v>1.9054435580857169E-2</v>
      </c>
      <c r="L25" s="86">
        <f t="shared" si="12"/>
        <v>6.3809701125831883E-2</v>
      </c>
      <c r="M25" s="86">
        <f t="shared" si="12"/>
        <v>7.2834734631581313E-2</v>
      </c>
      <c r="N25" s="86">
        <f t="shared" si="12"/>
        <v>0.11131334033140296</v>
      </c>
      <c r="O25" s="86">
        <f t="shared" si="12"/>
        <v>0.11460964029930185</v>
      </c>
      <c r="P25" s="86">
        <f t="shared" si="12"/>
        <v>9.9560201080455601E-2</v>
      </c>
      <c r="Q25" s="86">
        <f t="shared" si="12"/>
        <v>0.14522348994045306</v>
      </c>
      <c r="R25" s="86">
        <f t="shared" si="12"/>
        <v>0.21373009093933695</v>
      </c>
      <c r="S25" s="86">
        <f t="shared" si="12"/>
        <v>9.3140089280956767E-2</v>
      </c>
      <c r="AA25" t="s">
        <v>155</v>
      </c>
      <c r="AB25" s="86">
        <f t="shared" ref="AB25:AL25" si="13">AB6*AB15</f>
        <v>4.839058760890768E-2</v>
      </c>
      <c r="AC25" s="86">
        <f t="shared" si="13"/>
        <v>6.2281400332157469E-2</v>
      </c>
      <c r="AD25" s="86">
        <f t="shared" si="13"/>
        <v>5.4092955024375132E-2</v>
      </c>
      <c r="AE25" s="86">
        <f t="shared" si="13"/>
        <v>0.11622792953837065</v>
      </c>
      <c r="AF25" s="86">
        <f t="shared" si="13"/>
        <v>0.11675321805745625</v>
      </c>
      <c r="AG25" s="86">
        <f t="shared" si="13"/>
        <v>0.10091999634079417</v>
      </c>
      <c r="AH25" s="86">
        <f t="shared" si="13"/>
        <v>0.10732217858127735</v>
      </c>
      <c r="AI25" s="86">
        <f t="shared" si="13"/>
        <v>0.11141705210668271</v>
      </c>
      <c r="AJ25" s="86">
        <f t="shared" si="13"/>
        <v>0.15779037129351739</v>
      </c>
      <c r="AK25" s="86">
        <f t="shared" si="13"/>
        <v>9.944576599129544E-2</v>
      </c>
      <c r="AL25" s="86">
        <f t="shared" si="13"/>
        <v>6.4219326619697481E-2</v>
      </c>
      <c r="AN25" t="s">
        <v>155</v>
      </c>
      <c r="AO25" s="86">
        <f t="shared" ref="AO25:AY25" si="14">AO6*AO15</f>
        <v>6.4736796265634577</v>
      </c>
      <c r="AP25" s="86">
        <f t="shared" si="14"/>
        <v>5.7414457308618854</v>
      </c>
      <c r="AQ25" s="86">
        <f t="shared" si="14"/>
        <v>4.8305089197637088</v>
      </c>
      <c r="AR25" s="86">
        <f t="shared" si="14"/>
        <v>6.5968485111907276</v>
      </c>
      <c r="AS25" s="86">
        <f t="shared" si="14"/>
        <v>4.9923602574468102</v>
      </c>
      <c r="AT25" s="86">
        <f t="shared" si="14"/>
        <v>4.7084047271637992</v>
      </c>
      <c r="AU25" s="86">
        <f t="shared" si="14"/>
        <v>6.0938019461793553</v>
      </c>
      <c r="AV25" s="86">
        <f t="shared" si="14"/>
        <v>6.1885913969708417</v>
      </c>
      <c r="AW25" s="86">
        <f t="shared" si="14"/>
        <v>7.2406079436840693</v>
      </c>
      <c r="AX25" s="86">
        <f t="shared" si="14"/>
        <v>8.5270433324039292</v>
      </c>
      <c r="AY25" s="86">
        <f t="shared" si="14"/>
        <v>7.6587026029368861</v>
      </c>
    </row>
    <row r="26" spans="1:51" x14ac:dyDescent="0.35">
      <c r="A26" t="s">
        <v>265</v>
      </c>
      <c r="B26" t="s">
        <v>167</v>
      </c>
      <c r="C26" s="1">
        <v>1.0228540806536439</v>
      </c>
      <c r="D26" s="1">
        <v>4.2686434079128119</v>
      </c>
      <c r="E26" s="1">
        <v>142.05173033289276</v>
      </c>
      <c r="H26" t="s">
        <v>122</v>
      </c>
      <c r="I26" s="86">
        <f t="shared" ref="I26:S26" si="15">I7*I16</f>
        <v>0.22424452760793429</v>
      </c>
      <c r="J26" s="86">
        <f t="shared" si="15"/>
        <v>0.19130668390024672</v>
      </c>
      <c r="K26" s="86">
        <f t="shared" si="15"/>
        <v>1.5771017773411906E-2</v>
      </c>
      <c r="L26" s="86">
        <f t="shared" si="15"/>
        <v>0.10836251600783273</v>
      </c>
      <c r="M26" s="86">
        <f t="shared" si="15"/>
        <v>0.19915414842150894</v>
      </c>
      <c r="N26" s="86">
        <f t="shared" si="15"/>
        <v>0.55977717450733788</v>
      </c>
      <c r="O26" s="86">
        <f t="shared" si="15"/>
        <v>0.80243801300221795</v>
      </c>
      <c r="P26" s="86">
        <f t="shared" si="15"/>
        <v>0.64109148564093865</v>
      </c>
      <c r="Q26" s="86">
        <f t="shared" si="15"/>
        <v>0.61843984368686322</v>
      </c>
      <c r="R26" s="86">
        <f t="shared" si="15"/>
        <v>0.71584809693481322</v>
      </c>
      <c r="S26" s="86">
        <f t="shared" si="15"/>
        <v>0.44112425617819412</v>
      </c>
      <c r="AA26" t="s">
        <v>122</v>
      </c>
      <c r="AB26" s="86">
        <f t="shared" ref="AB26:AL26" si="16">AB7*AB16</f>
        <v>-0.16238043322090556</v>
      </c>
      <c r="AC26" s="86">
        <f t="shared" si="16"/>
        <v>9.7320483589771023E-2</v>
      </c>
      <c r="AD26" s="86">
        <f t="shared" si="16"/>
        <v>-8.6600805229168798E-2</v>
      </c>
      <c r="AE26" s="86">
        <f t="shared" si="16"/>
        <v>-4.4824978367575832E-2</v>
      </c>
      <c r="AF26" s="86">
        <f t="shared" si="16"/>
        <v>-6.3264820142828457E-2</v>
      </c>
      <c r="AG26" s="86">
        <f t="shared" si="16"/>
        <v>-4.1775151867958507E-2</v>
      </c>
      <c r="AH26" s="86">
        <f t="shared" si="16"/>
        <v>-0.15072853100535966</v>
      </c>
      <c r="AI26" s="86">
        <f t="shared" si="16"/>
        <v>2.9623704099368115E-2</v>
      </c>
      <c r="AJ26" s="86">
        <f t="shared" si="16"/>
        <v>2.3370867330979737E-2</v>
      </c>
      <c r="AK26" s="86">
        <f t="shared" si="16"/>
        <v>0.18401939511209034</v>
      </c>
      <c r="AL26" s="86">
        <f t="shared" si="16"/>
        <v>0.16358591544598494</v>
      </c>
      <c r="AN26" t="s">
        <v>122</v>
      </c>
      <c r="AO26" s="86">
        <f t="shared" ref="AO26:AY26" si="17">AO7*AO16</f>
        <v>30.142908043144608</v>
      </c>
      <c r="AP26" s="86">
        <f t="shared" si="17"/>
        <v>28.915332695010171</v>
      </c>
      <c r="AQ26" s="86">
        <f t="shared" si="17"/>
        <v>20.165602644992287</v>
      </c>
      <c r="AR26" s="86">
        <f t="shared" si="17"/>
        <v>18.59480820890801</v>
      </c>
      <c r="AS26" s="86">
        <f t="shared" si="17"/>
        <v>18.052484001104052</v>
      </c>
      <c r="AT26" s="86">
        <f t="shared" si="17"/>
        <v>19.932882055236039</v>
      </c>
      <c r="AU26" s="86">
        <f t="shared" si="17"/>
        <v>20.799448095554435</v>
      </c>
      <c r="AV26" s="86">
        <f t="shared" si="17"/>
        <v>19.497364525341425</v>
      </c>
      <c r="AW26" s="86">
        <f t="shared" si="17"/>
        <v>18.030344923807828</v>
      </c>
      <c r="AX26" s="86">
        <f t="shared" si="17"/>
        <v>17.711918422141903</v>
      </c>
      <c r="AY26" s="86">
        <f t="shared" si="17"/>
        <v>13.801989040177592</v>
      </c>
    </row>
    <row r="27" spans="1:51" x14ac:dyDescent="0.35">
      <c r="A27" t="s">
        <v>266</v>
      </c>
      <c r="B27" t="s">
        <v>163</v>
      </c>
      <c r="C27" s="1">
        <v>2.0236415549944131</v>
      </c>
      <c r="D27" s="1">
        <v>5.0261164484778096</v>
      </c>
      <c r="E27" s="1">
        <v>144.52778228185301</v>
      </c>
    </row>
    <row r="28" spans="1:51" x14ac:dyDescent="0.35">
      <c r="A28" t="s">
        <v>267</v>
      </c>
      <c r="B28" t="s">
        <v>160</v>
      </c>
      <c r="C28" s="1">
        <v>2.2713522346569159</v>
      </c>
      <c r="D28" s="1">
        <v>6.1503070293683182</v>
      </c>
      <c r="E28" s="1">
        <v>146.96519495881165</v>
      </c>
    </row>
    <row r="29" spans="1:51" x14ac:dyDescent="0.35">
      <c r="A29" t="s">
        <v>268</v>
      </c>
      <c r="B29" t="s">
        <v>126</v>
      </c>
      <c r="C29" s="1">
        <v>2.0658578567039569</v>
      </c>
      <c r="D29" s="1">
        <v>7.1196459069758182</v>
      </c>
      <c r="E29" s="1">
        <v>146.39455204667769</v>
      </c>
      <c r="H29" t="s">
        <v>400</v>
      </c>
      <c r="I29" s="85">
        <f>SUM(I21:I26)</f>
        <v>-0.4949075488071662</v>
      </c>
      <c r="J29" s="85">
        <f t="shared" ref="J29:S29" si="18">SUM(J21:J26)</f>
        <v>0.50673925876580861</v>
      </c>
      <c r="K29" s="85">
        <f t="shared" si="18"/>
        <v>-1.0328612779767565</v>
      </c>
      <c r="L29" s="85">
        <f t="shared" si="18"/>
        <v>1.5028135751552001</v>
      </c>
      <c r="M29" s="85">
        <f t="shared" si="18"/>
        <v>1.0051234761760033</v>
      </c>
      <c r="N29" s="85">
        <f t="shared" si="18"/>
        <v>1.8217995992863196</v>
      </c>
      <c r="O29" s="85">
        <f t="shared" si="18"/>
        <v>2.1608607335313943</v>
      </c>
      <c r="P29" s="85">
        <f t="shared" si="18"/>
        <v>3.2272185668279798</v>
      </c>
      <c r="Q29" s="85">
        <f t="shared" si="18"/>
        <v>3.2540793374022066</v>
      </c>
      <c r="R29" s="85">
        <f t="shared" si="18"/>
        <v>3.7913499915876732</v>
      </c>
      <c r="S29" s="85">
        <f t="shared" si="18"/>
        <v>3.1495922968570711</v>
      </c>
      <c r="AA29" t="s">
        <v>400</v>
      </c>
      <c r="AB29" s="85">
        <f>SUM(AB21:AB26)</f>
        <v>0.93343131935540846</v>
      </c>
      <c r="AC29" s="85">
        <f t="shared" ref="AC29:AL29" si="19">SUM(AC21:AC26)</f>
        <v>1.1629460271077443</v>
      </c>
      <c r="AD29" s="85">
        <f t="shared" si="19"/>
        <v>0.72949409761744277</v>
      </c>
      <c r="AE29" s="85">
        <f t="shared" si="19"/>
        <v>1.4238401989241725</v>
      </c>
      <c r="AF29" s="85">
        <f t="shared" si="19"/>
        <v>1.453811646099965</v>
      </c>
      <c r="AG29" s="85">
        <f t="shared" si="19"/>
        <v>0.86334078508051793</v>
      </c>
      <c r="AH29" s="85">
        <f t="shared" si="19"/>
        <v>0.21131624994714165</v>
      </c>
      <c r="AI29" s="85">
        <f t="shared" si="19"/>
        <v>1.4023257210417859</v>
      </c>
      <c r="AJ29" s="85">
        <f t="shared" si="19"/>
        <v>1.5483029332794478</v>
      </c>
      <c r="AK29" s="85">
        <f t="shared" si="19"/>
        <v>1.9565456161171686</v>
      </c>
      <c r="AL29" s="85">
        <f t="shared" si="19"/>
        <v>2.0460009046815175</v>
      </c>
      <c r="AN29" t="s">
        <v>400</v>
      </c>
      <c r="AO29" s="208">
        <f>SUM(AO21:AO26)</f>
        <v>138.43575006493623</v>
      </c>
      <c r="AP29" s="85">
        <f t="shared" ref="AP29:AY29" si="20">SUM(AP21:AP26)</f>
        <v>138.44148748740582</v>
      </c>
      <c r="AQ29" s="85">
        <f t="shared" si="20"/>
        <v>138.35368622388467</v>
      </c>
      <c r="AR29" s="208">
        <f t="shared" si="20"/>
        <v>139.22630189191423</v>
      </c>
      <c r="AS29" s="85">
        <f t="shared" si="20"/>
        <v>139.53448282891534</v>
      </c>
      <c r="AT29" s="85">
        <f t="shared" si="20"/>
        <v>138.60590668019969</v>
      </c>
      <c r="AU29" s="85">
        <f t="shared" si="20"/>
        <v>138.29827066747947</v>
      </c>
      <c r="AV29" s="85">
        <f t="shared" si="20"/>
        <v>139.09073633121329</v>
      </c>
      <c r="AW29" s="85">
        <f t="shared" si="20"/>
        <v>139.40678479025425</v>
      </c>
      <c r="AX29" s="85">
        <f t="shared" si="20"/>
        <v>140.31045329916793</v>
      </c>
      <c r="AY29" s="85">
        <f t="shared" si="20"/>
        <v>141.62527143255943</v>
      </c>
    </row>
    <row r="30" spans="1:51" x14ac:dyDescent="0.35">
      <c r="A30" t="s">
        <v>269</v>
      </c>
      <c r="B30" t="s">
        <v>128</v>
      </c>
      <c r="C30" s="1">
        <v>1.8397213794967511</v>
      </c>
      <c r="D30" s="1">
        <v>6.7172530348943216</v>
      </c>
      <c r="E30" s="1">
        <v>145.22537282901797</v>
      </c>
      <c r="I30">
        <f t="shared" ref="I30:S30" si="21">SUMPRODUCT(I3:I8,I12:I17)</f>
        <v>-0.49490754880716614</v>
      </c>
      <c r="J30">
        <f t="shared" si="21"/>
        <v>0.50673925876580861</v>
      </c>
      <c r="K30">
        <f t="shared" si="21"/>
        <v>-1.0328612779767565</v>
      </c>
      <c r="L30">
        <f t="shared" si="21"/>
        <v>1.5028135751551999</v>
      </c>
      <c r="M30">
        <f t="shared" si="21"/>
        <v>1.0051234761760031</v>
      </c>
      <c r="N30">
        <f t="shared" si="21"/>
        <v>1.8217995992863196</v>
      </c>
      <c r="O30">
        <f t="shared" si="21"/>
        <v>2.1608607335313943</v>
      </c>
      <c r="P30">
        <f t="shared" si="21"/>
        <v>3.2272185668279803</v>
      </c>
      <c r="Q30">
        <f t="shared" si="21"/>
        <v>3.2540793374022066</v>
      </c>
      <c r="R30">
        <f t="shared" si="21"/>
        <v>3.7913499915876732</v>
      </c>
      <c r="S30">
        <f t="shared" si="21"/>
        <v>3.1495922968570711</v>
      </c>
    </row>
    <row r="31" spans="1:51" x14ac:dyDescent="0.35">
      <c r="A31" t="s">
        <v>270</v>
      </c>
      <c r="B31" t="s">
        <v>129</v>
      </c>
      <c r="C31" s="1">
        <v>2.0295688249440502</v>
      </c>
      <c r="D31" s="1">
        <v>7.7299777130905341</v>
      </c>
      <c r="E31" s="1">
        <v>147.7067387765716</v>
      </c>
      <c r="AN31" t="s">
        <v>449</v>
      </c>
      <c r="AO31">
        <v>140.50459471793889</v>
      </c>
      <c r="AR31">
        <v>140.43211833884561</v>
      </c>
      <c r="AU31">
        <v>139.70876763492191</v>
      </c>
      <c r="AW31">
        <v>139.91790875779989</v>
      </c>
      <c r="AY31">
        <v>141.86952503622649</v>
      </c>
    </row>
    <row r="32" spans="1:51" x14ac:dyDescent="0.35">
      <c r="A32" t="s">
        <v>271</v>
      </c>
      <c r="B32" t="s">
        <v>130</v>
      </c>
      <c r="C32" s="1">
        <v>2.2461462781388382</v>
      </c>
      <c r="D32" s="1">
        <v>8.1055835302423276</v>
      </c>
      <c r="E32" s="1">
        <v>149.01227698762534</v>
      </c>
      <c r="H32" t="s">
        <v>446</v>
      </c>
      <c r="I32" s="1">
        <f>SUM(I22:I26)</f>
        <v>1.6026664419379844</v>
      </c>
      <c r="J32" s="1">
        <f t="shared" ref="J32:S32" si="22">SUM(J22:J26)</f>
        <v>2.2600340786911439</v>
      </c>
      <c r="K32" s="1">
        <f t="shared" si="22"/>
        <v>1.3072313304505945</v>
      </c>
      <c r="L32" s="1">
        <f t="shared" si="22"/>
        <v>2.026130651459904</v>
      </c>
      <c r="M32" s="1">
        <f t="shared" si="22"/>
        <v>2.2067111289100354</v>
      </c>
      <c r="N32" s="1">
        <f t="shared" si="22"/>
        <v>2.9860035071953681</v>
      </c>
      <c r="O32" s="1">
        <f t="shared" si="22"/>
        <v>3.1167436633848054</v>
      </c>
      <c r="P32" s="1">
        <f t="shared" si="22"/>
        <v>3.6515313826543343</v>
      </c>
      <c r="Q32" s="1">
        <f t="shared" si="22"/>
        <v>3.5767935784921825</v>
      </c>
      <c r="R32" s="1">
        <f t="shared" si="22"/>
        <v>3.7711032117304186</v>
      </c>
      <c r="S32" s="1">
        <f t="shared" si="22"/>
        <v>2.8043128158176898</v>
      </c>
      <c r="AA32" t="s">
        <v>446</v>
      </c>
      <c r="AB32" s="1">
        <f>SUM(AB22:AB26)</f>
        <v>0.27649545473106379</v>
      </c>
      <c r="AC32" s="1">
        <f t="shared" ref="AC32:AL32" si="23">SUM(AC22:AC26)</f>
        <v>0.56193165160122582</v>
      </c>
      <c r="AD32" s="1">
        <f t="shared" si="23"/>
        <v>6.3369523178621712E-2</v>
      </c>
      <c r="AE32" s="1">
        <f t="shared" si="23"/>
        <v>0.45720853954207408</v>
      </c>
      <c r="AF32" s="1">
        <f t="shared" si="23"/>
        <v>0.4936152700893332</v>
      </c>
      <c r="AG32" s="1">
        <f t="shared" si="23"/>
        <v>0.45440864197896758</v>
      </c>
      <c r="AH32" s="1">
        <f t="shared" si="23"/>
        <v>0.36554569836693163</v>
      </c>
      <c r="AI32" s="1">
        <f t="shared" si="23"/>
        <v>0.80911944038731509</v>
      </c>
      <c r="AJ32" s="1">
        <f t="shared" si="23"/>
        <v>0.9411020345442741</v>
      </c>
      <c r="AK32" s="1">
        <f t="shared" si="23"/>
        <v>1.2341518151626096</v>
      </c>
      <c r="AL32" s="1">
        <f t="shared" si="23"/>
        <v>0.92311414251157387</v>
      </c>
      <c r="AN32" t="s">
        <v>446</v>
      </c>
      <c r="AO32">
        <f>(AO29-AO31*AO17)/(1-AO17)</f>
        <v>136.82401393766003</v>
      </c>
      <c r="AR32">
        <f t="shared" ref="AR32:AY32" si="24">(AR29-AR31*AR17)/(1-AR17)</f>
        <v>138.29657679667417</v>
      </c>
      <c r="AU32">
        <f t="shared" si="24"/>
        <v>137.12972878980707</v>
      </c>
      <c r="AW32">
        <f t="shared" si="24"/>
        <v>138.97130131887664</v>
      </c>
      <c r="AY32">
        <f t="shared" si="24"/>
        <v>141.32555720055365</v>
      </c>
    </row>
    <row r="33" spans="1:45" x14ac:dyDescent="0.35">
      <c r="A33" t="s">
        <v>272</v>
      </c>
      <c r="B33" t="s">
        <v>131</v>
      </c>
      <c r="C33" s="1">
        <v>2.9427504336396741</v>
      </c>
      <c r="D33" s="1">
        <v>9.0623201684259058</v>
      </c>
      <c r="E33" s="1">
        <v>152.04258757750227</v>
      </c>
    </row>
    <row r="34" spans="1:45" x14ac:dyDescent="0.35">
      <c r="A34" s="13" t="s">
        <v>273</v>
      </c>
      <c r="B34" s="13" t="s">
        <v>127</v>
      </c>
      <c r="C34" s="14">
        <v>2.3362459373364</v>
      </c>
      <c r="D34" s="14">
        <v>7.7559905452283671</v>
      </c>
      <c r="E34" s="14">
        <v>151.58556582195388</v>
      </c>
      <c r="AN34" t="s">
        <v>449</v>
      </c>
      <c r="AO34">
        <v>140.50459471793889</v>
      </c>
      <c r="AP34">
        <v>140.43211833884561</v>
      </c>
      <c r="AQ34">
        <v>139.70876763492191</v>
      </c>
      <c r="AR34">
        <v>139.91790875779989</v>
      </c>
      <c r="AS34">
        <v>141.86952503622649</v>
      </c>
    </row>
    <row r="35" spans="1:45" x14ac:dyDescent="0.35">
      <c r="A35" t="s">
        <v>274</v>
      </c>
      <c r="B35" t="s">
        <v>152</v>
      </c>
      <c r="C35" s="1">
        <v>1.0312224517753921</v>
      </c>
      <c r="D35" s="1">
        <v>2.5542264488171562</v>
      </c>
      <c r="E35" s="1">
        <v>141.54210754807505</v>
      </c>
      <c r="AN35" t="s">
        <v>446</v>
      </c>
      <c r="AO35">
        <v>136.82401393766003</v>
      </c>
      <c r="AP35">
        <v>138.29657679667417</v>
      </c>
      <c r="AQ35">
        <v>137.12972878980707</v>
      </c>
      <c r="AR35">
        <v>138.97130131887664</v>
      </c>
      <c r="AS35">
        <v>141.32555720055365</v>
      </c>
    </row>
    <row r="36" spans="1:45" x14ac:dyDescent="0.35">
      <c r="A36" t="s">
        <v>275</v>
      </c>
      <c r="B36" t="s">
        <v>166</v>
      </c>
      <c r="C36" s="1">
        <v>1.513970301110618</v>
      </c>
      <c r="D36" s="1">
        <v>2.2398410790365455</v>
      </c>
      <c r="E36" s="1">
        <v>143.32001052797116</v>
      </c>
    </row>
    <row r="37" spans="1:45" x14ac:dyDescent="0.35">
      <c r="A37" t="s">
        <v>276</v>
      </c>
      <c r="B37" t="s">
        <v>167</v>
      </c>
      <c r="C37" s="1">
        <v>1.551222502359451</v>
      </c>
      <c r="D37" s="1">
        <v>0.5464236374120266</v>
      </c>
      <c r="E37" s="1">
        <v>140.62204605116398</v>
      </c>
    </row>
    <row r="38" spans="1:45" x14ac:dyDescent="0.35">
      <c r="A38" t="s">
        <v>277</v>
      </c>
      <c r="B38" t="s">
        <v>163</v>
      </c>
      <c r="C38" s="1">
        <v>2.438601143496697</v>
      </c>
      <c r="D38" s="1">
        <v>1.3388039410980417</v>
      </c>
      <c r="E38" s="1">
        <v>142.18718650940554</v>
      </c>
    </row>
    <row r="39" spans="1:45" x14ac:dyDescent="0.35">
      <c r="A39" t="s">
        <v>278</v>
      </c>
      <c r="B39" t="s">
        <v>160</v>
      </c>
      <c r="C39" s="1">
        <v>3.2825891938814489</v>
      </c>
      <c r="D39" s="1">
        <v>2.0477937723583191</v>
      </c>
      <c r="E39" s="1">
        <v>145.69369033986058</v>
      </c>
    </row>
    <row r="40" spans="1:45" x14ac:dyDescent="0.35">
      <c r="A40" t="s">
        <v>279</v>
      </c>
      <c r="B40" t="s">
        <v>126</v>
      </c>
      <c r="C40" s="1">
        <v>2.9662031125584751</v>
      </c>
      <c r="D40" s="1">
        <v>3.2716804254066627</v>
      </c>
      <c r="E40" s="1">
        <v>144.62556946035244</v>
      </c>
    </row>
    <row r="41" spans="1:45" x14ac:dyDescent="0.35">
      <c r="A41" t="s">
        <v>280</v>
      </c>
      <c r="B41" t="s">
        <v>128</v>
      </c>
      <c r="C41" s="1">
        <v>2.4076494891832279</v>
      </c>
      <c r="D41" s="1">
        <v>2.5711353009211653</v>
      </c>
      <c r="E41" s="1">
        <v>141.68621411042207</v>
      </c>
    </row>
    <row r="42" spans="1:45" x14ac:dyDescent="0.35">
      <c r="A42" t="s">
        <v>281</v>
      </c>
      <c r="B42" t="s">
        <v>129</v>
      </c>
      <c r="C42" s="1">
        <v>2.4907612555774681</v>
      </c>
      <c r="D42" s="1">
        <v>2.2256978331400954</v>
      </c>
      <c r="E42" s="1">
        <v>143.06425582826594</v>
      </c>
    </row>
    <row r="43" spans="1:45" x14ac:dyDescent="0.35">
      <c r="A43" t="s">
        <v>282</v>
      </c>
      <c r="B43" t="s">
        <v>130</v>
      </c>
      <c r="C43" s="1">
        <v>3.009578920406597</v>
      </c>
      <c r="D43" s="1">
        <v>2.7698873542775111</v>
      </c>
      <c r="E43" s="1">
        <v>143.88156249007841</v>
      </c>
    </row>
    <row r="44" spans="1:45" x14ac:dyDescent="0.35">
      <c r="A44" t="s">
        <v>283</v>
      </c>
      <c r="B44" t="s">
        <v>131</v>
      </c>
      <c r="C44" s="1">
        <v>1.620438206134992</v>
      </c>
      <c r="D44" s="1">
        <v>3.4826661719225225</v>
      </c>
      <c r="E44" s="1">
        <v>144.04865589007892</v>
      </c>
    </row>
    <row r="45" spans="1:45" x14ac:dyDescent="0.35">
      <c r="A45" s="13" t="s">
        <v>284</v>
      </c>
      <c r="B45" s="13" t="s">
        <v>127</v>
      </c>
      <c r="C45" s="14">
        <v>1.182202450955032</v>
      </c>
      <c r="D45" s="14">
        <v>1.7145997572068017</v>
      </c>
      <c r="E45" s="14">
        <v>143.88453074579752</v>
      </c>
    </row>
    <row r="46" spans="1:45" x14ac:dyDescent="0.35">
      <c r="A46" t="s">
        <v>285</v>
      </c>
      <c r="B46" t="s">
        <v>152</v>
      </c>
      <c r="C46" s="1">
        <v>-0.72060842385036494</v>
      </c>
      <c r="D46" s="1">
        <v>0.99514758269421266</v>
      </c>
      <c r="E46" s="1">
        <v>134.04209368733146</v>
      </c>
    </row>
    <row r="47" spans="1:45" x14ac:dyDescent="0.35">
      <c r="A47" t="s">
        <v>286</v>
      </c>
      <c r="B47" t="s">
        <v>166</v>
      </c>
      <c r="C47" s="1">
        <v>0.45542589957730678</v>
      </c>
      <c r="D47" s="1">
        <v>0.89524851703037367</v>
      </c>
      <c r="E47" s="1">
        <v>136.66434034239268</v>
      </c>
    </row>
    <row r="48" spans="1:45" x14ac:dyDescent="0.35">
      <c r="A48" t="s">
        <v>287</v>
      </c>
      <c r="B48" t="s">
        <v>167</v>
      </c>
      <c r="C48" s="1">
        <v>-0.58479913466192102</v>
      </c>
      <c r="D48" s="1">
        <v>0.10649875047030877</v>
      </c>
      <c r="E48" s="1">
        <v>135.6962645695715</v>
      </c>
    </row>
    <row r="49" spans="1:5" x14ac:dyDescent="0.35">
      <c r="A49" t="s">
        <v>288</v>
      </c>
      <c r="B49" t="s">
        <v>163</v>
      </c>
      <c r="C49" s="1">
        <v>-0.32981375653986328</v>
      </c>
      <c r="D49" s="1">
        <v>0.7973110032442654</v>
      </c>
      <c r="E49" s="1">
        <v>137.28459724009599</v>
      </c>
    </row>
    <row r="50" spans="1:5" x14ac:dyDescent="0.35">
      <c r="A50" t="s">
        <v>289</v>
      </c>
      <c r="B50" t="s">
        <v>160</v>
      </c>
      <c r="C50" s="1">
        <v>-0.47903772684074403</v>
      </c>
      <c r="D50" s="1">
        <v>1.5079842214893007</v>
      </c>
      <c r="E50" s="1">
        <v>137.72135912135354</v>
      </c>
    </row>
    <row r="51" spans="1:5" x14ac:dyDescent="0.35">
      <c r="A51" t="s">
        <v>290</v>
      </c>
      <c r="B51" t="s">
        <v>126</v>
      </c>
      <c r="C51" s="1">
        <v>-0.28282435637271419</v>
      </c>
      <c r="D51" s="1">
        <v>3.7897796180988763</v>
      </c>
      <c r="E51" s="1">
        <v>138.45570555578118</v>
      </c>
    </row>
    <row r="52" spans="1:5" x14ac:dyDescent="0.35">
      <c r="A52" t="s">
        <v>291</v>
      </c>
      <c r="B52" t="s">
        <v>128</v>
      </c>
      <c r="C52" s="1">
        <v>-0.97520671691259508</v>
      </c>
      <c r="D52" s="1">
        <v>5.1917373238244675</v>
      </c>
      <c r="E52" s="1">
        <v>138.78801057534807</v>
      </c>
    </row>
    <row r="53" spans="1:5" x14ac:dyDescent="0.35">
      <c r="A53" t="s">
        <v>292</v>
      </c>
      <c r="B53" t="s">
        <v>129</v>
      </c>
      <c r="C53" s="1">
        <v>0.20726925219369721</v>
      </c>
      <c r="D53" s="1">
        <v>4.4855482073012629</v>
      </c>
      <c r="E53" s="1">
        <v>141.11073978817626</v>
      </c>
    </row>
    <row r="54" spans="1:5" x14ac:dyDescent="0.35">
      <c r="A54" t="s">
        <v>293</v>
      </c>
      <c r="B54" t="s">
        <v>130</v>
      </c>
      <c r="C54" s="1">
        <v>0.17758706070313221</v>
      </c>
      <c r="D54" s="1">
        <v>4.6993084384365673</v>
      </c>
      <c r="E54" s="1">
        <v>141.88319112079398</v>
      </c>
    </row>
    <row r="55" spans="1:5" x14ac:dyDescent="0.35">
      <c r="A55" t="s">
        <v>294</v>
      </c>
      <c r="B55" t="s">
        <v>131</v>
      </c>
      <c r="C55" s="1">
        <v>1.4255253484085699</v>
      </c>
      <c r="D55" s="1">
        <v>5.5453915994508431</v>
      </c>
      <c r="E55" s="1">
        <v>144.17813178697133</v>
      </c>
    </row>
    <row r="56" spans="1:5" x14ac:dyDescent="0.35">
      <c r="A56" s="13" t="s">
        <v>295</v>
      </c>
      <c r="B56" s="13" t="s">
        <v>127</v>
      </c>
      <c r="C56" s="14">
        <v>1.6538159725228641</v>
      </c>
      <c r="D56" s="14">
        <v>4.4596647501456452</v>
      </c>
      <c r="E56" s="14">
        <v>145.64841479691771</v>
      </c>
    </row>
    <row r="57" spans="1:5" x14ac:dyDescent="0.35">
      <c r="A57" t="s">
        <v>389</v>
      </c>
      <c r="B57" t="s">
        <v>152</v>
      </c>
      <c r="C57" s="1">
        <v>1.5001869575874309</v>
      </c>
      <c r="D57" s="1">
        <v>-4.7900462022878001</v>
      </c>
      <c r="E57" s="1">
        <v>137.21473547323851</v>
      </c>
    </row>
    <row r="58" spans="1:5" x14ac:dyDescent="0.35">
      <c r="A58" t="s">
        <v>390</v>
      </c>
      <c r="B58" t="s">
        <v>166</v>
      </c>
      <c r="C58" s="1">
        <v>1.7611724405662981</v>
      </c>
      <c r="D58" s="1">
        <v>-5.1377382020817572</v>
      </c>
      <c r="E58" s="1">
        <v>137.18421475368106</v>
      </c>
    </row>
    <row r="59" spans="1:5" x14ac:dyDescent="0.35">
      <c r="A59" t="s">
        <v>391</v>
      </c>
      <c r="B59" t="s">
        <v>167</v>
      </c>
      <c r="C59" s="1">
        <v>1.3266459899973599</v>
      </c>
      <c r="D59" s="1">
        <v>-4.6605013451244952</v>
      </c>
      <c r="E59" s="1">
        <v>136.23439501966948</v>
      </c>
    </row>
    <row r="60" spans="1:5" x14ac:dyDescent="0.35">
      <c r="A60" t="s">
        <v>392</v>
      </c>
      <c r="B60" t="s">
        <v>163</v>
      </c>
      <c r="C60" s="1">
        <v>2.2203144511825879</v>
      </c>
      <c r="D60" s="1">
        <v>-1.2020384970762255</v>
      </c>
      <c r="E60" s="1">
        <v>141.45039429295198</v>
      </c>
    </row>
    <row r="61" spans="1:5" x14ac:dyDescent="0.35">
      <c r="A61" t="s">
        <v>393</v>
      </c>
      <c r="B61" t="s">
        <v>160</v>
      </c>
      <c r="C61" s="1">
        <v>1.9527826553908481</v>
      </c>
      <c r="D61" s="1">
        <v>-2.4437079599692622</v>
      </c>
      <c r="E61" s="1">
        <v>139.39418952657797</v>
      </c>
    </row>
    <row r="62" spans="1:5" x14ac:dyDescent="0.35">
      <c r="A62" t="s">
        <v>394</v>
      </c>
      <c r="B62" t="s">
        <v>126</v>
      </c>
      <c r="C62" s="1">
        <v>0.8836291908923215</v>
      </c>
      <c r="D62" s="1">
        <v>-2.5156363336395575</v>
      </c>
      <c r="E62" s="1">
        <v>138.13581088248068</v>
      </c>
    </row>
    <row r="63" spans="1:5" x14ac:dyDescent="0.35">
      <c r="A63" t="s">
        <v>395</v>
      </c>
      <c r="B63" t="s">
        <v>128</v>
      </c>
      <c r="C63" s="1">
        <v>-0.34039322521121562</v>
      </c>
      <c r="D63" s="1">
        <v>-2.1096883685372632</v>
      </c>
      <c r="E63" s="1">
        <v>137.25868604117343</v>
      </c>
    </row>
    <row r="64" spans="1:5" x14ac:dyDescent="0.35">
      <c r="A64" t="s">
        <v>396</v>
      </c>
      <c r="B64" t="s">
        <v>129</v>
      </c>
      <c r="C64" s="1">
        <v>1.3978450923279411</v>
      </c>
      <c r="D64" s="1">
        <v>-0.99986059918370818</v>
      </c>
      <c r="E64" s="1">
        <v>140.26470730199114</v>
      </c>
    </row>
    <row r="65" spans="1:7" x14ac:dyDescent="0.35">
      <c r="A65" t="s">
        <v>397</v>
      </c>
      <c r="B65" t="s">
        <v>130</v>
      </c>
      <c r="C65" s="1">
        <v>1.319868434605155</v>
      </c>
      <c r="D65" s="1">
        <v>-0.70148173545110026</v>
      </c>
      <c r="E65" s="1">
        <v>140.53629545695395</v>
      </c>
    </row>
    <row r="66" spans="1:7" x14ac:dyDescent="0.35">
      <c r="A66" t="s">
        <v>398</v>
      </c>
      <c r="B66" t="s">
        <v>131</v>
      </c>
      <c r="C66" s="1">
        <v>1.489744982764222</v>
      </c>
      <c r="D66" s="1">
        <v>4.1753595711398167E-2</v>
      </c>
      <c r="E66" s="1">
        <v>142.47355283942682</v>
      </c>
    </row>
    <row r="67" spans="1:7" x14ac:dyDescent="0.35">
      <c r="A67" t="s">
        <v>399</v>
      </c>
      <c r="B67" s="13" t="s">
        <v>127</v>
      </c>
      <c r="C67" s="14">
        <v>2.0379889124234301</v>
      </c>
      <c r="D67" s="14">
        <v>0.62666671097426019</v>
      </c>
      <c r="E67" s="14">
        <v>144.53418065962418</v>
      </c>
    </row>
    <row r="68" spans="1:7" x14ac:dyDescent="0.35">
      <c r="A68" t="s">
        <v>378</v>
      </c>
      <c r="B68" t="s">
        <v>152</v>
      </c>
      <c r="C68" s="1">
        <v>0.93343131935540669</v>
      </c>
      <c r="D68" s="87">
        <v>-0.49490754880716614</v>
      </c>
      <c r="E68" s="1">
        <v>138.8742738354845</v>
      </c>
      <c r="G68" s="87"/>
    </row>
    <row r="69" spans="1:7" x14ac:dyDescent="0.35">
      <c r="A69" t="s">
        <v>379</v>
      </c>
      <c r="B69" t="s">
        <v>166</v>
      </c>
      <c r="C69" s="1">
        <v>1.1629460271077221</v>
      </c>
      <c r="D69" s="1">
        <v>0.50673925876580905</v>
      </c>
      <c r="E69" s="1">
        <v>140.11117277327938</v>
      </c>
      <c r="G69" s="1"/>
    </row>
    <row r="70" spans="1:7" x14ac:dyDescent="0.35">
      <c r="A70" t="s">
        <v>380</v>
      </c>
      <c r="B70" t="s">
        <v>167</v>
      </c>
      <c r="C70" s="1">
        <v>0.72949409761747575</v>
      </c>
      <c r="D70" s="1">
        <v>-1.0288548713072032</v>
      </c>
      <c r="E70" s="1">
        <v>138.05031904352538</v>
      </c>
    </row>
    <row r="71" spans="1:7" x14ac:dyDescent="0.35">
      <c r="A71" t="s">
        <v>381</v>
      </c>
      <c r="B71" t="s">
        <v>163</v>
      </c>
      <c r="C71" s="1">
        <v>1.423840198924154</v>
      </c>
      <c r="D71" s="1">
        <v>1.5047558943013541</v>
      </c>
      <c r="E71" s="1">
        <v>142.1529556659936</v>
      </c>
    </row>
    <row r="72" spans="1:7" x14ac:dyDescent="0.35">
      <c r="A72" t="s">
        <v>382</v>
      </c>
      <c r="B72" t="s">
        <v>160</v>
      </c>
      <c r="C72" s="1">
        <v>1.453811646099922</v>
      </c>
      <c r="D72" s="1">
        <v>1.0039735699202765</v>
      </c>
      <c r="E72" s="1">
        <v>141.9934179511913</v>
      </c>
    </row>
    <row r="73" spans="1:7" x14ac:dyDescent="0.35">
      <c r="A73" t="s">
        <v>383</v>
      </c>
      <c r="B73" t="s">
        <v>126</v>
      </c>
      <c r="C73" s="1">
        <v>0.86334078508053835</v>
      </c>
      <c r="D73" s="1">
        <v>1.8185104283700753</v>
      </c>
      <c r="E73" s="1">
        <v>141.29104706456653</v>
      </c>
    </row>
    <row r="74" spans="1:7" x14ac:dyDescent="0.35">
      <c r="A74" t="s">
        <v>384</v>
      </c>
      <c r="B74" t="s">
        <v>128</v>
      </c>
      <c r="C74" s="1">
        <v>0.21131624994714571</v>
      </c>
      <c r="D74" s="1">
        <v>2.1597741063951048</v>
      </c>
      <c r="E74" s="1">
        <v>140.67044765095804</v>
      </c>
    </row>
    <row r="75" spans="1:7" x14ac:dyDescent="0.35">
      <c r="A75" t="s">
        <v>385</v>
      </c>
      <c r="B75" t="s">
        <v>129</v>
      </c>
      <c r="C75" s="1">
        <v>1.402325721041791</v>
      </c>
      <c r="D75" s="1">
        <v>3.2160673998406821</v>
      </c>
      <c r="E75" s="1">
        <v>143.72028061908307</v>
      </c>
    </row>
    <row r="76" spans="1:7" x14ac:dyDescent="0.35">
      <c r="A76" t="s">
        <v>386</v>
      </c>
      <c r="B76" t="s">
        <v>130</v>
      </c>
      <c r="C76" s="1">
        <v>1.548302933279444</v>
      </c>
      <c r="D76" s="1">
        <v>3.2449087190207706</v>
      </c>
      <c r="E76" s="1">
        <v>144.20916706093593</v>
      </c>
    </row>
    <row r="77" spans="1:7" x14ac:dyDescent="0.35">
      <c r="A77" t="s">
        <v>387</v>
      </c>
      <c r="B77" t="s">
        <v>131</v>
      </c>
      <c r="C77" s="1">
        <v>1.9565456161171539</v>
      </c>
      <c r="D77" s="1">
        <v>3.7818078251801239</v>
      </c>
      <c r="E77" s="1">
        <v>146.05834890687277</v>
      </c>
    </row>
    <row r="78" spans="1:7" x14ac:dyDescent="0.35">
      <c r="A78" t="s">
        <v>388</v>
      </c>
      <c r="B78" t="s">
        <v>127</v>
      </c>
      <c r="C78" s="1">
        <v>2.0460009046815339</v>
      </c>
      <c r="D78" s="1">
        <v>3.1506634486179053</v>
      </c>
      <c r="E78" s="1">
        <v>146.82086463409803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20D5F-210F-4F41-A1D4-401EBE3544D3}">
  <dimension ref="A1:W161"/>
  <sheetViews>
    <sheetView tabSelected="1" topLeftCell="B92" zoomScale="160" zoomScaleNormal="160" workbookViewId="0">
      <selection activeCell="G102" sqref="G102"/>
    </sheetView>
  </sheetViews>
  <sheetFormatPr defaultRowHeight="14.5" x14ac:dyDescent="0.35"/>
  <cols>
    <col min="3" max="3" width="21.90625" bestFit="1" customWidth="1"/>
    <col min="4" max="4" width="20.7265625" bestFit="1" customWidth="1"/>
    <col min="5" max="5" width="13.90625" bestFit="1" customWidth="1"/>
    <col min="6" max="6" width="13.453125" customWidth="1"/>
    <col min="7" max="7" width="20.6328125" bestFit="1" customWidth="1"/>
    <col min="8" max="8" width="26" bestFit="1" customWidth="1"/>
    <col min="9" max="9" width="12.54296875" bestFit="1" customWidth="1"/>
    <col min="10" max="10" width="20.7265625" bestFit="1" customWidth="1"/>
    <col min="12" max="12" width="13.26953125" bestFit="1" customWidth="1"/>
    <col min="17" max="17" width="13.26953125" bestFit="1" customWidth="1"/>
    <col min="19" max="19" width="21" bestFit="1" customWidth="1"/>
    <col min="21" max="21" width="13.6328125" bestFit="1" customWidth="1"/>
    <col min="22" max="22" width="9.6328125" bestFit="1" customWidth="1"/>
  </cols>
  <sheetData>
    <row r="1" spans="1:14" x14ac:dyDescent="0.35">
      <c r="A1" t="s">
        <v>123</v>
      </c>
      <c r="B1" t="str">
        <f>Main!B1</f>
        <v>FLD</v>
      </c>
    </row>
    <row r="2" spans="1:14" x14ac:dyDescent="0.35">
      <c r="A2" t="s">
        <v>124</v>
      </c>
      <c r="B2" t="str">
        <f>Main!B2</f>
        <v>2025 Q1</v>
      </c>
    </row>
    <row r="3" spans="1:14" x14ac:dyDescent="0.35">
      <c r="A3" t="s">
        <v>125</v>
      </c>
      <c r="B3" t="str">
        <f>Main!B3</f>
        <v>2025 Q4</v>
      </c>
    </row>
    <row r="5" spans="1:14" x14ac:dyDescent="0.35">
      <c r="B5" t="s">
        <v>101</v>
      </c>
      <c r="C5" t="str">
        <f>B1</f>
        <v>FLD</v>
      </c>
      <c r="H5" t="str">
        <f>B1</f>
        <v>FLD</v>
      </c>
    </row>
    <row r="6" spans="1:14" x14ac:dyDescent="0.35">
      <c r="C6" s="13" t="s">
        <v>300</v>
      </c>
      <c r="D6" t="str">
        <f>B2</f>
        <v>2025 Q1</v>
      </c>
      <c r="E6" t="str">
        <f>B3</f>
        <v>2025 Q4</v>
      </c>
      <c r="H6" s="13" t="s">
        <v>222</v>
      </c>
      <c r="I6" t="str">
        <f>B2</f>
        <v>2025 Q1</v>
      </c>
      <c r="J6" t="str">
        <f>B3</f>
        <v>2025 Q4</v>
      </c>
      <c r="L6" s="13" t="str">
        <f>B1</f>
        <v>FLD</v>
      </c>
      <c r="M6" t="str">
        <f>B2</f>
        <v>2025 Q1</v>
      </c>
      <c r="N6" t="str">
        <f>B3</f>
        <v>2025 Q4</v>
      </c>
    </row>
    <row r="7" spans="1:14" x14ac:dyDescent="0.35">
      <c r="C7" s="11" t="s">
        <v>102</v>
      </c>
      <c r="D7" s="2">
        <f>INDEX(multipliers!$A3:$BD3,MATCH($B$1&amp;" | "&amp;D$6,Mult[#Headers], 0))</f>
        <v>1.0005480817140009</v>
      </c>
      <c r="E7" s="2">
        <f>INDEX(multipliers!$A3:$BD3,MATCH($B$1&amp;" | "&amp;E$6,Mult[#Headers], 0))</f>
        <v>1.0002115282919091</v>
      </c>
      <c r="H7" t="str">
        <f>populations!A2</f>
        <v>prev_co_flag</v>
      </c>
      <c r="I7" s="9">
        <f>INDEX(populations!$A2:$BD2,MATCH($B$1&amp;" | "&amp;I$6,flag[#Headers], 0))</f>
        <v>5.4808171400099652E-3</v>
      </c>
      <c r="J7" s="9">
        <f>INDEX(populations!$A2:$BD2,MATCH($B$1&amp;" | "&amp;J$6,flag[#Headers], 0))</f>
        <v>2.1152829190904279E-3</v>
      </c>
      <c r="L7" t="s">
        <v>187</v>
      </c>
      <c r="M7" s="9">
        <f>INDEX(dll[good_dealer],MATCH($B$1&amp;" "&amp;M$6,dll[lookup], 0))</f>
        <v>0.48391282051281997</v>
      </c>
      <c r="N7" s="9">
        <f>INDEX(dll[good_dealer],MATCH($B$1&amp;" "&amp;N$6,dll[lookup], 0))</f>
        <v>0.5343</v>
      </c>
    </row>
    <row r="8" spans="1:14" x14ac:dyDescent="0.35">
      <c r="C8" s="11" t="s">
        <v>103</v>
      </c>
      <c r="D8" s="2">
        <f>INDEX(multipliers!$A4:$BD4,MATCH($B$1&amp;" | "&amp;D$6,Mult[#Headers], 0))</f>
        <v>1.0005480817140009</v>
      </c>
      <c r="E8" s="2">
        <f>INDEX(multipliers!$A4:$BD4,MATCH($B$1&amp;" | "&amp;E$6,Mult[#Headers], 0))</f>
        <v>1.0002115282919091</v>
      </c>
      <c r="H8" t="str">
        <f>populations!A3</f>
        <v>small_amt_financed_flag</v>
      </c>
      <c r="I8" s="9">
        <f>INDEX(populations!$A3:$BD3,MATCH($B$1&amp;" | "&amp;I$6,flag[#Headers], 0))</f>
        <v>4.9825610363726954E-4</v>
      </c>
      <c r="J8" s="9">
        <f>INDEX(populations!$A3:$BD3,MATCH($B$1&amp;" | "&amp;J$6,flag[#Headers], 0))</f>
        <v>5.2882072977260709E-4</v>
      </c>
      <c r="L8" t="s">
        <v>188</v>
      </c>
      <c r="M8" s="9">
        <f>INDEX(dll[bad_dealer],MATCH($B$1&amp;" "&amp;M$6,dll[lookup], 0))</f>
        <v>5.1282051282051197E-2</v>
      </c>
      <c r="N8" s="9">
        <f>INDEX(dll[bad_dealer],MATCH($B$1&amp;" "&amp;N$6,dll[lookup], 0))</f>
        <v>5.9374999999999997E-2</v>
      </c>
    </row>
    <row r="9" spans="1:14" x14ac:dyDescent="0.35">
      <c r="C9" s="11" t="s">
        <v>104</v>
      </c>
      <c r="D9" s="2">
        <f>INDEX(multipliers!$A5:$BD5,MATCH($B$1&amp;" | "&amp;D$6,Mult[#Headers], 0))</f>
        <v>1.0005480817140009</v>
      </c>
      <c r="E9" s="2">
        <f>INDEX(multipliers!$A5:$BD5,MATCH($B$1&amp;" | "&amp;E$6,Mult[#Headers], 0))</f>
        <v>1.0002115282919091</v>
      </c>
      <c r="H9" t="str">
        <f>populations!A4</f>
        <v>pricing_change_flag</v>
      </c>
      <c r="I9" s="9">
        <f>INDEX(populations!$A4:$BD4,MATCH($B$1&amp;" | "&amp;I$6,flag[#Headers], 0))</f>
        <v>1</v>
      </c>
      <c r="J9" s="9">
        <f>INDEX(populations!$A4:$BD4,MATCH($B$1&amp;" | "&amp;J$6,flag[#Headers], 0))</f>
        <v>1</v>
      </c>
    </row>
    <row r="10" spans="1:14" x14ac:dyDescent="0.35">
      <c r="C10" s="11" t="s">
        <v>105</v>
      </c>
      <c r="D10" s="2">
        <f>INDEX(multipliers!$A6:$BD6,MATCH($B$1&amp;" | "&amp;D$6,Mult[#Headers], 0))</f>
        <v>1.0012954658694571</v>
      </c>
      <c r="E10" s="2">
        <f>INDEX(multipliers!$A6:$BD6,MATCH($B$1&amp;" | "&amp;E$6,Mult[#Headers], 0))</f>
        <v>1.0002115282919091</v>
      </c>
      <c r="H10" t="str">
        <f>populations!A5</f>
        <v>zero_cash_down_flag</v>
      </c>
      <c r="I10" s="9">
        <f>INDEX(populations!$A5:$BD5,MATCH($B$1&amp;" | "&amp;I$6,flag[#Headers], 0))</f>
        <v>6.9755854509217743E-2</v>
      </c>
      <c r="J10" s="9">
        <f>INDEX(populations!$A5:$BD5,MATCH($B$1&amp;" | "&amp;J$6,flag[#Headers], 0))</f>
        <v>0.133262823902697</v>
      </c>
    </row>
    <row r="11" spans="1:14" ht="15" thickBot="1" x14ac:dyDescent="0.4">
      <c r="C11" s="11" t="s">
        <v>106</v>
      </c>
      <c r="D11" s="2">
        <f>INDEX(multipliers!$A7:$BD7,MATCH($B$1&amp;" | "&amp;D$6,Mult[#Headers], 0))</f>
        <v>1.0012954658694571</v>
      </c>
      <c r="E11" s="2">
        <f>INDEX(multipliers!$A7:$BD7,MATCH($B$1&amp;" | "&amp;E$6,Mult[#Headers], 0))</f>
        <v>1.0002115282919091</v>
      </c>
      <c r="H11" t="str">
        <f>populations!A6</f>
        <v>high_mileage_vehicle_flag</v>
      </c>
      <c r="I11" s="9">
        <f>INDEX(populations!$A6:$BD6,MATCH($B$1&amp;" | "&amp;I$6,flag[#Headers], 0))</f>
        <v>7.4738415545590429E-3</v>
      </c>
      <c r="J11" s="9">
        <f>INDEX(populations!$A6:$BD6,MATCH($B$1&amp;" | "&amp;J$6,flag[#Headers], 0))</f>
        <v>0</v>
      </c>
    </row>
    <row r="12" spans="1:14" x14ac:dyDescent="0.35">
      <c r="C12" s="11" t="s">
        <v>107</v>
      </c>
      <c r="D12" s="2">
        <f>INDEX(multipliers!$A8:$BD8,MATCH($B$1&amp;" | "&amp;D$6,Mult[#Headers], 0))</f>
        <v>0.96003986048829104</v>
      </c>
      <c r="E12" s="2">
        <f>INDEX(multipliers!$A8:$BD8,MATCH($B$1&amp;" | "&amp;E$6,Mult[#Headers], 0))</f>
        <v>0.9498677948175569</v>
      </c>
      <c r="H12" t="str">
        <f>populations!A7</f>
        <v>high_pti_flag</v>
      </c>
      <c r="I12" s="9">
        <f>INDEX(populations!$A7:$BD7,MATCH($B$1&amp;" | "&amp;I$6,flag[#Headers], 0))</f>
        <v>9.9651220727453912E-3</v>
      </c>
      <c r="J12" s="9">
        <f>INDEX(populations!$A7:$BD7,MATCH($B$1&amp;" | "&amp;J$6,flag[#Headers], 0))</f>
        <v>1.322051824431518E-2</v>
      </c>
      <c r="L12" s="71" t="str">
        <f>B1</f>
        <v>FLD</v>
      </c>
      <c r="M12" s="23" t="str">
        <f>B2</f>
        <v>2025 Q1</v>
      </c>
      <c r="N12" s="24" t="str">
        <f>B3</f>
        <v>2025 Q4</v>
      </c>
    </row>
    <row r="13" spans="1:14" x14ac:dyDescent="0.35">
      <c r="C13" s="11" t="s">
        <v>108</v>
      </c>
      <c r="D13" s="2">
        <f>INDEX(multipliers!$A9:$BD9,MATCH($B$1&amp;" | "&amp;D$6,Mult[#Headers], 0))</f>
        <v>0.96003986048829104</v>
      </c>
      <c r="E13" s="2">
        <f>INDEX(multipliers!$A9:$BD9,MATCH($B$1&amp;" | "&amp;E$6,Mult[#Headers], 0))</f>
        <v>0.9498677948175569</v>
      </c>
      <c r="H13" t="str">
        <f>populations!A8</f>
        <v>car_make_penalty_flag</v>
      </c>
      <c r="I13" s="9">
        <f>INDEX(populations!$A8:$BD8,MATCH($B$1&amp;" | "&amp;I$6,flag[#Headers], 0))</f>
        <v>0</v>
      </c>
      <c r="J13" s="9">
        <f>INDEX(populations!$A8:$BD8,MATCH($B$1&amp;" | "&amp;J$6,flag[#Headers], 0))</f>
        <v>0</v>
      </c>
      <c r="L13" s="25" t="s">
        <v>201</v>
      </c>
      <c r="M13" s="21">
        <f>INDEX(fraud[pos_fraud],MATCH($B$1&amp;" "&amp;M$12,fraud[lookup], 0))</f>
        <v>0.2137</v>
      </c>
      <c r="N13" s="26">
        <f>INDEX(fraud[pos_fraud],MATCH($B$1&amp;" "&amp;N$12,fraud[lookup], 0))</f>
        <v>0.16589999999999999</v>
      </c>
    </row>
    <row r="14" spans="1:14" ht="15" thickBot="1" x14ac:dyDescent="0.4">
      <c r="C14" s="12" t="s">
        <v>63</v>
      </c>
      <c r="D14" s="2">
        <f>INDEX(multipliers!$A10:$BD10,MATCH($B$1&amp;" | "&amp;D$6,Mult[#Headers], 0))</f>
        <v>0.96003986048829104</v>
      </c>
      <c r="E14" s="2">
        <f>INDEX(multipliers!$A10:$BD10,MATCH($B$1&amp;" | "&amp;E$6,Mult[#Headers], 0))</f>
        <v>0.9498677948175569</v>
      </c>
      <c r="H14" t="str">
        <f>populations!A9</f>
        <v>car_make_benefit_flag</v>
      </c>
      <c r="I14" s="9">
        <f>INDEX(populations!$A9:$BD9,MATCH($B$1&amp;" | "&amp;I$6,flag[#Headers], 0))</f>
        <v>0.20627802690582961</v>
      </c>
      <c r="J14" s="9">
        <f>INDEX(populations!$A9:$BD9,MATCH($B$1&amp;" | "&amp;J$6,flag[#Headers], 0))</f>
        <v>0.25171866737176102</v>
      </c>
      <c r="L14" s="27" t="s">
        <v>202</v>
      </c>
      <c r="M14" s="28">
        <f>INDEX(fraud[neg_fraud],MATCH($B$1&amp;" "&amp;M$12,fraud[lookup], 0))</f>
        <v>3.2000000000000001E-2</v>
      </c>
      <c r="N14" s="29">
        <f>INDEX(fraud[neg_fraud],MATCH($B$1&amp;" "&amp;N$12,fraud[lookup], 0))</f>
        <v>7.3899999999999993E-2</v>
      </c>
    </row>
    <row r="15" spans="1:14" x14ac:dyDescent="0.35">
      <c r="C15" s="11" t="s">
        <v>109</v>
      </c>
      <c r="D15" s="2">
        <f>INDEX(multipliers!$A11:$BD11,MATCH($B$1&amp;" | "&amp;D$6,Mult[#Headers], 0))</f>
        <v>0.95886497259591408</v>
      </c>
      <c r="E15" s="2">
        <f>INDEX(multipliers!$A11:$BD11,MATCH($B$1&amp;" | "&amp;E$6,Mult[#Headers], 0))</f>
        <v>0.94915335801163392</v>
      </c>
      <c r="H15" t="str">
        <f>populations!A10</f>
        <v>theft_risk_flag</v>
      </c>
      <c r="I15" s="9">
        <f>INDEX(populations!$A10:$BD10,MATCH($B$1&amp;" | "&amp;I$6,flag[#Headers], 0))</f>
        <v>6.4275037369207769E-2</v>
      </c>
      <c r="J15" s="9">
        <f>INDEX(populations!$A10:$BD10,MATCH($B$1&amp;" | "&amp;J$6,flag[#Headers], 0))</f>
        <v>3.6488630354309888E-2</v>
      </c>
    </row>
    <row r="16" spans="1:14" x14ac:dyDescent="0.35">
      <c r="C16" s="11" t="s">
        <v>110</v>
      </c>
      <c r="D16" s="2">
        <f>INDEX(multipliers!$A12:$BD12,MATCH($B$1&amp;" | "&amp;D$6,Mult[#Headers], 0))</f>
        <v>0.9678751390134529</v>
      </c>
      <c r="E16" s="2">
        <f>INDEX(multipliers!$A12:$BD12,MATCH($B$1&amp;" | "&amp;E$6,Mult[#Headers], 0))</f>
        <v>0.94908279746166047</v>
      </c>
      <c r="H16" t="str">
        <f>populations!A11</f>
        <v>mcy_low_mileage_flag</v>
      </c>
      <c r="I16" s="9">
        <f>INDEX(populations!$A11:$BD11,MATCH($B$1&amp;" | "&amp;I$6,flag[#Headers], 0))</f>
        <v>0</v>
      </c>
      <c r="J16" s="9">
        <f>INDEX(populations!$A11:$BD11,MATCH($B$1&amp;" | "&amp;J$6,flag[#Headers], 0))</f>
        <v>0</v>
      </c>
    </row>
    <row r="17" spans="3:23" x14ac:dyDescent="0.35">
      <c r="C17" s="11" t="s">
        <v>111</v>
      </c>
      <c r="D17" s="2">
        <f>INDEX(multipliers!$A13:$BD13,MATCH($B$1&amp;" | "&amp;D$6,Mult[#Headers], 0))</f>
        <v>0.96172352502242153</v>
      </c>
      <c r="E17" s="2">
        <f>INDEX(multipliers!$A13:$BD13,MATCH($B$1&amp;" | "&amp;E$6,Mult[#Headers], 0))</f>
        <v>0.94256778709677413</v>
      </c>
      <c r="H17" t="str">
        <f>populations!A12</f>
        <v>weekend_flag</v>
      </c>
      <c r="I17" s="9">
        <f>INDEX(populations!$A12:$BD12,MATCH($B$1&amp;" | "&amp;I$6,flag[#Headers], 0))</f>
        <v>0.30293971101145989</v>
      </c>
      <c r="J17" s="9">
        <f>INDEX(populations!$A12:$BD12,MATCH($B$1&amp;" | "&amp;J$6,flag[#Headers], 0))</f>
        <v>0.29613960867265998</v>
      </c>
    </row>
    <row r="18" spans="3:23" ht="15" thickBot="1" x14ac:dyDescent="0.4">
      <c r="C18" s="11" t="s">
        <v>112</v>
      </c>
      <c r="D18" s="2">
        <f>INDEX(multipliers!$A14:$BD14,MATCH($B$1&amp;" | "&amp;D$6,Mult[#Headers], 0))</f>
        <v>0.9900613604221824</v>
      </c>
      <c r="E18" s="2">
        <f>INDEX(multipliers!$A14:$BD14,MATCH($B$1&amp;" | "&amp;E$6,Mult[#Headers], 0))</f>
        <v>0.95590667516573247</v>
      </c>
      <c r="H18" t="str">
        <f>populations!A13</f>
        <v>weekday_flag</v>
      </c>
      <c r="I18" s="9">
        <f>INDEX(populations!$A13:$BD13,MATCH($B$1&amp;" | "&amp;I$6,flag[#Headers], 0))</f>
        <v>0.69706028898854011</v>
      </c>
      <c r="J18" s="9">
        <f>INDEX(populations!$A13:$BD13,MATCH($B$1&amp;" | "&amp;J$6,flag[#Headers], 0))</f>
        <v>0.70386039132734002</v>
      </c>
    </row>
    <row r="19" spans="3:23" x14ac:dyDescent="0.35">
      <c r="C19" s="11" t="s">
        <v>113</v>
      </c>
      <c r="D19" s="2">
        <f>INDEX(multipliers!$A15:$BD15,MATCH($B$1&amp;" | "&amp;D$6,Mult[#Headers], 0))</f>
        <v>0.98939698911321383</v>
      </c>
      <c r="E19" s="2">
        <f>INDEX(multipliers!$A15:$BD15,MATCH($B$1&amp;" | "&amp;E$6,Mult[#Headers], 0))</f>
        <v>0.95515158858910632</v>
      </c>
      <c r="H19" t="str">
        <f>populations!A14</f>
        <v>student_loan_flag</v>
      </c>
      <c r="I19" s="9">
        <f>INDEX(populations!$A14:$BD14,MATCH($B$1&amp;" | "&amp;I$6,flag[#Headers], 0))</f>
        <v>0.26208271051320381</v>
      </c>
      <c r="J19" s="9">
        <f>INDEX(populations!$A14:$BD14,MATCH($B$1&amp;" | "&amp;J$6,flag[#Headers], 0))</f>
        <v>0.20306716023268109</v>
      </c>
      <c r="L19" s="72" t="str">
        <f>B1</f>
        <v>FLD</v>
      </c>
      <c r="M19" s="22" t="str">
        <f>B2</f>
        <v>2025 Q1</v>
      </c>
      <c r="N19" s="17" t="str">
        <f>B3</f>
        <v>2025 Q4</v>
      </c>
    </row>
    <row r="20" spans="3:23" x14ac:dyDescent="0.35">
      <c r="C20" s="11" t="s">
        <v>114</v>
      </c>
      <c r="D20" s="2">
        <f>INDEX(multipliers!$A16:$BD16,MATCH($B$1&amp;" | "&amp;D$6,Mult[#Headers], 0))</f>
        <v>0.99114741449222721</v>
      </c>
      <c r="E20" s="2">
        <f>INDEX(multipliers!$A16:$BD16,MATCH($B$1&amp;" | "&amp;E$6,Mult[#Headers], 0))</f>
        <v>0.95716709538561606</v>
      </c>
      <c r="H20" t="str">
        <f>populations!A15</f>
        <v>student_loans_cutoff_date</v>
      </c>
      <c r="I20" s="9">
        <f>INDEX(populations!$A15:$BD15,MATCH($B$1&amp;" | "&amp;I$6,flag[#Headers], 0))</f>
        <v>1</v>
      </c>
      <c r="J20" s="9">
        <f>INDEX(populations!$A15:$BD15,MATCH($B$1&amp;" | "&amp;J$6,flag[#Headers], 0))</f>
        <v>1</v>
      </c>
      <c r="L20" s="30" t="s">
        <v>190</v>
      </c>
      <c r="M20" s="21">
        <f>INDEX(dq[dq_3],MATCH($B$1&amp;" "&amp;M$19,dq[lookup], 0))</f>
        <v>0.186</v>
      </c>
      <c r="N20" s="26" t="e">
        <f>INDEX(dq[dq_3],MATCH($B$1&amp;" "&amp;N$19,dq[lookup], 0))</f>
        <v>#N/A</v>
      </c>
    </row>
    <row r="21" spans="3:23" x14ac:dyDescent="0.35">
      <c r="C21" s="11" t="s">
        <v>115</v>
      </c>
      <c r="D21" s="2">
        <f>INDEX(multipliers!$A17:$BD17,MATCH($B$1&amp;" | "&amp;D$6,Mult[#Headers], 0))</f>
        <v>0.98255730724668755</v>
      </c>
      <c r="E21" s="2">
        <f>INDEX(multipliers!$A17:$BD17,MATCH($B$1&amp;" | "&amp;E$6,Mult[#Headers], 0))</f>
        <v>0.94990050029365725</v>
      </c>
      <c r="H21" t="str">
        <f>populations!A16</f>
        <v>low_pti_flag</v>
      </c>
      <c r="I21" s="9">
        <f>INDEX(populations!$A16:$BD16,MATCH($B$1&amp;" | "&amp;I$6,flag[#Headers], 0))</f>
        <v>4.5341305430991533E-2</v>
      </c>
      <c r="J21" s="9">
        <f>INDEX(populations!$A16:$BD16,MATCH($B$1&amp;" | "&amp;J$6,flag[#Headers], 0))</f>
        <v>4.4949762030671601E-2</v>
      </c>
      <c r="L21" s="30" t="s">
        <v>191</v>
      </c>
      <c r="M21" s="21">
        <f>INDEX(dq[dq_6],MATCH($B$1&amp;" "&amp;M$19,dq[lookup], 0))</f>
        <v>0.20910000000000001</v>
      </c>
      <c r="N21" s="26" t="e">
        <f>INDEX(dq[dq_6],MATCH($B$1&amp;" "&amp;N$19,dq[lookup], 0))</f>
        <v>#N/A</v>
      </c>
    </row>
    <row r="22" spans="3:23" x14ac:dyDescent="0.35">
      <c r="C22" s="11" t="s">
        <v>116</v>
      </c>
      <c r="D22" s="2">
        <f>INDEX(multipliers!$A18:$BD18,MATCH($B$1&amp;" | "&amp;D$6,Mult[#Headers], 0))</f>
        <v>0.98521820654767411</v>
      </c>
      <c r="E22" s="2">
        <f>INDEX(multipliers!$A18:$BD18,MATCH($B$1&amp;" | "&amp;E$6,Mult[#Headers], 0))</f>
        <v>0.95366538311653049</v>
      </c>
      <c r="H22" t="str">
        <f>populations!A17</f>
        <v>nonkmx_chime_flag</v>
      </c>
      <c r="I22" s="9">
        <f>INDEX(populations!$A17:$BD17,MATCH($B$1&amp;" | "&amp;I$6,flag[#Headers], 0))</f>
        <v>0.22720478325859489</v>
      </c>
      <c r="J22" s="9">
        <f>INDEX(populations!$A17:$BD17,MATCH($B$1&amp;" | "&amp;J$6,flag[#Headers], 0))</f>
        <v>0.18085668958223161</v>
      </c>
      <c r="L22" s="30" t="s">
        <v>192</v>
      </c>
      <c r="M22" s="21">
        <f>INDEX(dq[co_6],MATCH($B$1&amp;" "&amp;M$19,dq[lookup], 0))</f>
        <v>3.56E-2</v>
      </c>
      <c r="N22" s="26" t="e">
        <f>INDEX(dq[co_6],MATCH($B$1&amp;" "&amp;N$19,dq[lookup], 0))</f>
        <v>#N/A</v>
      </c>
    </row>
    <row r="23" spans="3:23" ht="15" thickBot="1" x14ac:dyDescent="0.4">
      <c r="C23" s="11" t="s">
        <v>117</v>
      </c>
      <c r="D23" s="2">
        <f>INDEX(multipliers!$A19:$BD19,MATCH($B$1&amp;" | "&amp;D$6,Mult[#Headers], 0))</f>
        <v>0.90094692194351289</v>
      </c>
      <c r="E23" s="2">
        <f>INDEX(multipliers!$A19:$BD19,MATCH($B$1&amp;" | "&amp;E$6,Mult[#Headers], 0))</f>
        <v>0.93240952524248377</v>
      </c>
      <c r="H23" t="str">
        <f>populations!A18</f>
        <v>seasonal_employment_pct</v>
      </c>
      <c r="I23" s="9">
        <f>INDEX(populations!$A18:$BD18,MATCH($B$1&amp;" | "&amp;I$6,flag[#Headers], 0))</f>
        <v>6.9755854509217742E-3</v>
      </c>
      <c r="J23" s="9">
        <f>INDEX(populations!$A18:$BD18,MATCH($B$1&amp;" | "&amp;J$6,flag[#Headers], 0))</f>
        <v>1.1634056054997359E-2</v>
      </c>
      <c r="L23" s="31" t="s">
        <v>194</v>
      </c>
      <c r="M23" s="28">
        <f>INDEX(dq[co_12],MATCH($B$1&amp;" "&amp;M$19,dq[lookup], 0))</f>
        <v>0.1288</v>
      </c>
      <c r="N23" s="32" t="e">
        <f>INDEX(dq[co_12],MATCH($B$1&amp;" "&amp;N$19,dq[lookup], 0))</f>
        <v>#N/A</v>
      </c>
    </row>
    <row r="24" spans="3:23" x14ac:dyDescent="0.35">
      <c r="C24" s="11" t="s">
        <v>118</v>
      </c>
      <c r="D24" s="2">
        <f>INDEX(multipliers!$A20:$BD20,MATCH($B$1&amp;" | "&amp;D$6,Mult[#Headers], 0))</f>
        <v>0.90433307764106485</v>
      </c>
      <c r="E24" s="2">
        <f>INDEX(multipliers!$A20:$BD20,MATCH($B$1&amp;" | "&amp;E$6,Mult[#Headers], 0))</f>
        <v>0.93068818307631618</v>
      </c>
      <c r="H24" t="str">
        <f>populations!A19</f>
        <v>waiter_employment_pct</v>
      </c>
      <c r="I24" s="9">
        <f>INDEX(populations!$A19:$BD19,MATCH($B$1&amp;" | "&amp;I$6,flag[#Headers], 0))</f>
        <v>1.444942700548082E-2</v>
      </c>
      <c r="J24" s="9">
        <f>INDEX(populations!$A19:$BD19,MATCH($B$1&amp;" | "&amp;J$6,flag[#Headers], 0))</f>
        <v>1.8508725542041249E-2</v>
      </c>
    </row>
    <row r="25" spans="3:23" ht="15" thickBot="1" x14ac:dyDescent="0.4">
      <c r="C25" s="11" t="s">
        <v>121</v>
      </c>
      <c r="D25" s="2">
        <f>INDEX(multipliers!$A21:$BD21,MATCH($B$1&amp;" | "&amp;D$6,Mult[#Headers], 0))</f>
        <v>0.90433307764106485</v>
      </c>
      <c r="E25" s="2">
        <f>INDEX(multipliers!$A21:$BD21,MATCH($B$1&amp;" | "&amp;E$6,Mult[#Headers], 0))</f>
        <v>0.93068818307631618</v>
      </c>
      <c r="H25" t="str">
        <f>populations!A20</f>
        <v>other_employment_pct</v>
      </c>
      <c r="I25" s="9">
        <f>INDEX(populations!$A20:$BD20,MATCH($B$1&amp;" | "&amp;I$6,flag[#Headers], 0))</f>
        <v>0.9785749875435974</v>
      </c>
      <c r="J25" s="9">
        <f>INDEX(populations!$A20:$BD20,MATCH($B$1&amp;" | "&amp;J$6,flag[#Headers], 0))</f>
        <v>0.96985721840296146</v>
      </c>
    </row>
    <row r="26" spans="3:23" x14ac:dyDescent="0.35">
      <c r="C26" s="11" t="s">
        <v>119</v>
      </c>
      <c r="D26" s="2">
        <f>INDEX(multipliers!$A22:$BD22,MATCH($B$1&amp;" | "&amp;D$6,Mult[#Headers], 0))</f>
        <v>0.903694020432671</v>
      </c>
      <c r="E26" s="2">
        <f>INDEX(multipliers!$A22:$BD22,MATCH($B$1&amp;" | "&amp;E$6,Mult[#Headers], 0))</f>
        <v>0.93518247175460067</v>
      </c>
      <c r="H26" t="str">
        <f>populations!A21</f>
        <v>nonkmx_auth_tradelines_flag</v>
      </c>
      <c r="I26" s="9">
        <f>INDEX(populations!$A21:$BD21,MATCH($B$1&amp;" | "&amp;I$6,flag[#Headers], 0))</f>
        <v>1.893373193821624E-2</v>
      </c>
      <c r="J26" s="9">
        <f>INDEX(populations!$A21:$BD21,MATCH($B$1&amp;" | "&amp;J$6,flag[#Headers], 0))</f>
        <v>2.2210470650449499E-2</v>
      </c>
      <c r="L26" s="71" t="str">
        <f>B1</f>
        <v>FLD</v>
      </c>
      <c r="M26" s="23" t="str">
        <f>B2</f>
        <v>2025 Q1</v>
      </c>
      <c r="N26" s="24" t="str">
        <f>B3</f>
        <v>2025 Q4</v>
      </c>
      <c r="Q26" s="71" t="s">
        <v>199</v>
      </c>
      <c r="R26" s="23" t="str">
        <f>B2</f>
        <v>2025 Q1</v>
      </c>
      <c r="S26" s="24" t="str">
        <f>B3</f>
        <v>2025 Q4</v>
      </c>
      <c r="U26" s="71" t="s">
        <v>234</v>
      </c>
      <c r="V26" s="23" t="str">
        <f>B2</f>
        <v>2025 Q1</v>
      </c>
      <c r="W26" s="24" t="str">
        <f>B3</f>
        <v>2025 Q4</v>
      </c>
    </row>
    <row r="27" spans="3:23" x14ac:dyDescent="0.35">
      <c r="C27" s="11" t="s">
        <v>120</v>
      </c>
      <c r="D27" s="2">
        <f>INDEX(multipliers!$A23:$BD23,MATCH($B$1&amp;" | "&amp;D$6,Mult[#Headers], 0))</f>
        <v>2.4076494891832252</v>
      </c>
      <c r="E27" s="2">
        <f>INDEX(multipliers!$A23:$BD23,MATCH($B$1&amp;" | "&amp;E$6,Mult[#Headers], 0))</f>
        <v>1.6204382061349829</v>
      </c>
      <c r="H27" t="str">
        <f>populations!A22</f>
        <v>fraud_adjustment_mean</v>
      </c>
      <c r="I27" s="9">
        <f>INDEX(populations!$A22:$BD22,MATCH($B$1&amp;" | "&amp;I$6,flag[#Headers], 0))</f>
        <v>0.99033881415047342</v>
      </c>
      <c r="J27" s="9">
        <f>INDEX(populations!$A22:$BD22,MATCH($B$1&amp;" | "&amp;J$6,flag[#Headers], 0))</f>
        <v>0.99207826546800637</v>
      </c>
      <c r="L27" s="25" t="s">
        <v>193</v>
      </c>
      <c r="M27" s="33">
        <f>INDEX(ragu!$B3:$BZ3,MATCH($L$26&amp;" "&amp;M$26,ragu!$B$1:$BZ$1, 0))</f>
        <v>136.70742932031769</v>
      </c>
      <c r="N27" s="33">
        <f>INDEX(ragu!$B3:$BZ3,MATCH($L$26&amp;" "&amp;N$26,ragu!$B$1:$BZ$1, 0))</f>
        <v>138.94555151202141</v>
      </c>
      <c r="Q27" s="25" t="s">
        <v>193</v>
      </c>
      <c r="R27" s="33">
        <f>INDEX(ragu!$B3:$BZ3,MATCH($Q$26&amp;" "&amp;R$26,ragu!$B$1:$BZ$1, 0))</f>
        <v>139.70876763492191</v>
      </c>
      <c r="S27" s="33">
        <f>INDEX(ragu!$B3:$BZ3,MATCH($Q$26&amp;" "&amp;S$26,ragu!$B$1:$BZ$1, 0))</f>
        <v>140.94205426095121</v>
      </c>
      <c r="U27" s="25" t="s">
        <v>193</v>
      </c>
      <c r="V27" s="33">
        <f>INDEX(ragu!$B3:$BZ3,MATCH($U$26&amp;" "&amp;V$26,ragu!$B$1:$BZ$1, 0))</f>
        <v>138.29935729461579</v>
      </c>
      <c r="W27" s="33">
        <f>INDEX(ragu!$B3:$BZ3,MATCH($U$26&amp;" "&amp;W$26,ragu!$B$1:$BZ$1, 0))</f>
        <v>140.31999546557549</v>
      </c>
    </row>
    <row r="28" spans="3:23" x14ac:dyDescent="0.35">
      <c r="C28" s="18"/>
      <c r="H28" t="str">
        <f>populations!A23</f>
        <v>driver_flag</v>
      </c>
      <c r="I28" s="9">
        <f>INDEX(populations!$A23:$BD23,MATCH($B$1&amp;" | "&amp;I$6,flag[#Headers], 0))</f>
        <v>1.9431988041853511E-2</v>
      </c>
      <c r="J28" s="9">
        <f>INDEX(populations!$A23:$BD23,MATCH($B$1&amp;" | "&amp;J$6,flag[#Headers], 0))</f>
        <v>2.6969857218402959E-2</v>
      </c>
      <c r="L28" s="25" t="s">
        <v>209</v>
      </c>
      <c r="M28" s="33">
        <f>INDEX(ragu!$B4:$BZ4,MATCH($L$26&amp;" "&amp;M$26,ragu!$B$1:$BZ$1, 0))</f>
        <v>2.4076494891832279</v>
      </c>
      <c r="N28" s="33">
        <f>INDEX(ragu!$B4:$BZ4,MATCH($L$26&amp;" "&amp;N$26,ragu!$B$1:$BZ$1, 0))</f>
        <v>1.620438206134992</v>
      </c>
      <c r="Q28" s="25" t="s">
        <v>209</v>
      </c>
      <c r="R28" s="33">
        <f>INDEX(ragu!$B4:$BZ4,MATCH($Q$26&amp;" "&amp;R$26,ragu!$B$1:$BZ$1, 0))</f>
        <v>-0.34039322521121562</v>
      </c>
      <c r="S28" s="33">
        <f>INDEX(ragu!$B4:$BZ4,MATCH($Q$26&amp;" "&amp;S$26,ragu!$B$1:$BZ$1, 0))</f>
        <v>1.489744982764222</v>
      </c>
      <c r="U28" s="25" t="s">
        <v>209</v>
      </c>
      <c r="V28" s="33">
        <f>INDEX(ragu!$B4:$BZ4,MATCH($U$26&amp;" "&amp;V$26,ragu!$B$1:$BZ$1, 0))</f>
        <v>0.21131624994714571</v>
      </c>
      <c r="W28" s="33">
        <f>INDEX(ragu!$B4:$BZ4,MATCH($U$26&amp;" "&amp;W$26,ragu!$B$1:$BZ$1, 0))</f>
        <v>1.9565456161171539</v>
      </c>
    </row>
    <row r="29" spans="3:23" x14ac:dyDescent="0.35">
      <c r="I29" s="9"/>
      <c r="J29" s="9"/>
      <c r="L29" s="25" t="s">
        <v>210</v>
      </c>
      <c r="M29" s="33">
        <f>INDEX(ragu!$B7:$BZ7,MATCH($L$26&amp;" "&amp;M$26,ragu!$B$1:$BZ$1, 0))</f>
        <v>2.5711353009211653</v>
      </c>
      <c r="N29" s="33">
        <f>INDEX(ragu!$B7:$BZ7,MATCH($L$26&amp;" "&amp;N$26,ragu!$B$1:$BZ$1, 0))</f>
        <v>3.4826661719225225</v>
      </c>
      <c r="Q29" s="25" t="s">
        <v>210</v>
      </c>
      <c r="R29" s="33">
        <f>INDEX(ragu!$B7:$BZ7,MATCH($Q$26&amp;" "&amp;R$26,ragu!$B$1:$BZ$1, 0))</f>
        <v>-2.1096883685372632</v>
      </c>
      <c r="S29" s="33">
        <f>INDEX(ragu!$B7:$BZ7,MATCH($Q$26&amp;" "&amp;S$26,ragu!$B$1:$BZ$1, 0))</f>
        <v>4.1753595711398167E-2</v>
      </c>
      <c r="U29" s="25" t="s">
        <v>210</v>
      </c>
      <c r="V29" s="33">
        <f>INDEX(ragu!$B7:$BZ7,MATCH($U$26&amp;" "&amp;V$26,ragu!$B$1:$BZ$1, 0))</f>
        <v>2.1597741063951048</v>
      </c>
      <c r="W29" s="33">
        <f>INDEX(ragu!$B7:$BZ7,MATCH($U$26&amp;" "&amp;W$26,ragu!$B$1:$BZ$1, 0))</f>
        <v>3.7818078251801239</v>
      </c>
    </row>
    <row r="30" spans="3:23" ht="15" thickBot="1" x14ac:dyDescent="0.4">
      <c r="L30" s="27" t="s">
        <v>211</v>
      </c>
      <c r="M30" s="33">
        <f>INDEX(ragu!$B8:$BZ8,MATCH($L$26&amp;" "&amp;M$26,ragu!$B$1:$BZ$1, 0))</f>
        <v>141.68621411042207</v>
      </c>
      <c r="N30" s="33">
        <f>INDEX(ragu!$B8:$BZ8,MATCH($L$26&amp;" "&amp;N$26,ragu!$B$1:$BZ$1, 0))</f>
        <v>144.04865589007892</v>
      </c>
      <c r="Q30" s="27" t="s">
        <v>211</v>
      </c>
      <c r="R30" s="33">
        <f>INDEX(ragu!$B8:$BZ8,MATCH($Q$26&amp;" "&amp;R$26,ragu!$B$1:$BZ$1, 0))</f>
        <v>137.25868604117343</v>
      </c>
      <c r="S30" s="33">
        <f>INDEX(ragu!$B8:$BZ8,MATCH($Q$26&amp;" "&amp;S$26,ragu!$B$1:$BZ$1, 0))</f>
        <v>142.47355283942682</v>
      </c>
      <c r="U30" s="27" t="s">
        <v>211</v>
      </c>
      <c r="V30" s="33">
        <f>INDEX(ragu!$B8:$BZ8,MATCH($U$26&amp;" "&amp;V$26,ragu!$B$1:$BZ$1, 0))</f>
        <v>140.67044765095804</v>
      </c>
      <c r="W30" s="33">
        <f>INDEX(ragu!$B8:$BZ8,MATCH($U$26&amp;" "&amp;W$26,ragu!$B$1:$BZ$1, 0))</f>
        <v>146.05834890687277</v>
      </c>
    </row>
    <row r="36" spans="3:23" x14ac:dyDescent="0.35">
      <c r="C36" t="str">
        <f>B1</f>
        <v>FLD</v>
      </c>
      <c r="J36" t="str">
        <f>B1</f>
        <v>FLD</v>
      </c>
    </row>
    <row r="37" spans="3:23" x14ac:dyDescent="0.35">
      <c r="C37" s="13" t="str">
        <f>B2</f>
        <v>2025 Q1</v>
      </c>
      <c r="D37" t="s">
        <v>225</v>
      </c>
      <c r="E37" t="s">
        <v>133</v>
      </c>
      <c r="F37" t="s">
        <v>134</v>
      </c>
      <c r="G37" t="s">
        <v>135</v>
      </c>
      <c r="H37" t="s">
        <v>136</v>
      </c>
      <c r="J37" s="13" t="str">
        <f>B3</f>
        <v>2025 Q4</v>
      </c>
      <c r="K37" t="s">
        <v>225</v>
      </c>
      <c r="L37" t="s">
        <v>133</v>
      </c>
      <c r="M37" t="s">
        <v>134</v>
      </c>
      <c r="N37" t="s">
        <v>135</v>
      </c>
      <c r="O37" t="s">
        <v>136</v>
      </c>
      <c r="T37" t="s">
        <v>137</v>
      </c>
    </row>
    <row r="38" spans="3:23" x14ac:dyDescent="0.35">
      <c r="C38" s="11" t="s">
        <v>102</v>
      </c>
      <c r="D38" s="5">
        <f>$D$26/D7</f>
        <v>0.90319899358018574</v>
      </c>
      <c r="E38" s="5">
        <f>D7/1</f>
        <v>1.0005480817140009</v>
      </c>
      <c r="F38" s="5">
        <f>LN(E38)</f>
        <v>5.4793157207580511E-4</v>
      </c>
      <c r="G38">
        <f>F38/SUM($F$38:$F$57)</f>
        <v>-5.4108976867730954E-3</v>
      </c>
      <c r="H38" s="1">
        <f>25*G38*(1-$D$26)</f>
        <v>-1.3027545051581936E-2</v>
      </c>
      <c r="J38" s="11" t="s">
        <v>102</v>
      </c>
      <c r="K38" s="5">
        <f t="shared" ref="K38:K57" si="0">$E$26/E7</f>
        <v>0.93498469603888645</v>
      </c>
      <c r="L38" s="5">
        <f>E7/1</f>
        <v>1.0002115282919091</v>
      </c>
      <c r="M38" s="5">
        <f>LN(L38)</f>
        <v>2.1150592295431881E-4</v>
      </c>
      <c r="N38">
        <f t="shared" ref="N38:N57" si="1">M38/SUM($M$38:$M$57)</f>
        <v>-3.1561636113152198E-3</v>
      </c>
      <c r="O38" s="1">
        <f>25*N38*(1-$E$26)</f>
        <v>-5.1143681005881448E-3</v>
      </c>
      <c r="S38" s="11" t="s">
        <v>102</v>
      </c>
      <c r="T38" s="1">
        <f t="shared" ref="T38:T57" si="2">O38-H38</f>
        <v>7.9131769509937916E-3</v>
      </c>
      <c r="U38">
        <f>-ABS(T38)</f>
        <v>-7.9131769509937916E-3</v>
      </c>
      <c r="V38" s="7" cm="1">
        <f t="array" ref="V38:V57">_xlfn._xlws.SORT(U38:U57)</f>
        <v>-1.5809099519006451</v>
      </c>
      <c r="W38" t="str" cm="1">
        <f t="array" ref="W38:W57">_xlfn.XLOOKUP(_xlfn.ANCHORARRAY(V38),U38:U57,S38:S57)</f>
        <v>Dealer Level Loss</v>
      </c>
    </row>
    <row r="39" spans="3:23" x14ac:dyDescent="0.35">
      <c r="C39" s="11" t="s">
        <v>103</v>
      </c>
      <c r="D39" s="5">
        <f>$D$26/D8</f>
        <v>0.90319899358018574</v>
      </c>
      <c r="E39" s="5">
        <f>D8/D7</f>
        <v>1</v>
      </c>
      <c r="F39" s="5">
        <f>LN(E39)</f>
        <v>0</v>
      </c>
      <c r="G39">
        <f t="shared" ref="G39:G56" si="3">F39/SUM($F$38:$F$57)</f>
        <v>0</v>
      </c>
      <c r="H39" s="1">
        <f t="shared" ref="H39:H57" si="4">25*G39*(1-$D$26)</f>
        <v>0</v>
      </c>
      <c r="J39" s="11" t="s">
        <v>103</v>
      </c>
      <c r="K39" s="5">
        <f t="shared" si="0"/>
        <v>0.93498469603888645</v>
      </c>
      <c r="L39" s="5">
        <f t="shared" ref="L39:L57" si="5">E8/E7</f>
        <v>1</v>
      </c>
      <c r="M39" s="5">
        <f t="shared" ref="M39:M57" si="6">LN(L39)</f>
        <v>0</v>
      </c>
      <c r="N39">
        <f t="shared" si="1"/>
        <v>0</v>
      </c>
      <c r="O39" s="1">
        <f t="shared" ref="O39:O57" si="7">25*N39*(1-$E$26)</f>
        <v>0</v>
      </c>
      <c r="S39" s="11" t="s">
        <v>103</v>
      </c>
      <c r="T39" s="1">
        <f t="shared" si="2"/>
        <v>0</v>
      </c>
      <c r="U39">
        <f t="shared" ref="U39:U57" si="8">-ABS(T39)</f>
        <v>0</v>
      </c>
      <c r="V39" s="7">
        <v>-0.35065032471012197</v>
      </c>
      <c r="W39" t="str">
        <v>Chime</v>
      </c>
    </row>
    <row r="40" spans="3:23" x14ac:dyDescent="0.35">
      <c r="C40" s="11" t="s">
        <v>104</v>
      </c>
      <c r="D40" s="5">
        <f>$D$26/D9</f>
        <v>0.90319899358018574</v>
      </c>
      <c r="E40" s="5">
        <f>D9/D8</f>
        <v>1</v>
      </c>
      <c r="F40" s="5">
        <f t="shared" ref="F40:F57" si="9">LN(E40)</f>
        <v>0</v>
      </c>
      <c r="G40">
        <f>F40/SUM($F$38:$F$57)</f>
        <v>0</v>
      </c>
      <c r="H40" s="1">
        <f>25*G40*(1-$D$26)</f>
        <v>0</v>
      </c>
      <c r="J40" s="11" t="s">
        <v>104</v>
      </c>
      <c r="K40" s="5">
        <f t="shared" si="0"/>
        <v>0.93498469603888645</v>
      </c>
      <c r="L40" s="5">
        <f t="shared" si="5"/>
        <v>1</v>
      </c>
      <c r="M40" s="5">
        <f t="shared" si="6"/>
        <v>0</v>
      </c>
      <c r="N40">
        <f t="shared" si="1"/>
        <v>0</v>
      </c>
      <c r="O40" s="1">
        <f t="shared" si="7"/>
        <v>0</v>
      </c>
      <c r="S40" s="11" t="s">
        <v>104</v>
      </c>
      <c r="T40" s="1">
        <f t="shared" si="2"/>
        <v>0</v>
      </c>
      <c r="U40">
        <f t="shared" si="8"/>
        <v>0</v>
      </c>
      <c r="V40" s="7">
        <v>-0.24841731654962795</v>
      </c>
      <c r="W40" t="str">
        <v>Toyota/Honda</v>
      </c>
    </row>
    <row r="41" spans="3:23" x14ac:dyDescent="0.35">
      <c r="C41" s="11" t="s">
        <v>105</v>
      </c>
      <c r="D41" s="5">
        <f t="shared" ref="D41:D53" si="10">$D$26/D10</f>
        <v>0.9025248303186556</v>
      </c>
      <c r="E41" s="5">
        <f>D10/D9</f>
        <v>1.0007469747522537</v>
      </c>
      <c r="F41" s="5">
        <f t="shared" si="9"/>
        <v>7.466959054658294E-4</v>
      </c>
      <c r="G41">
        <f t="shared" si="3"/>
        <v>-7.3737221096816675E-3</v>
      </c>
      <c r="H41" s="1">
        <f t="shared" si="4"/>
        <v>-1.7753338270754121E-2</v>
      </c>
      <c r="J41" s="11" t="s">
        <v>105</v>
      </c>
      <c r="K41" s="5">
        <f t="shared" si="0"/>
        <v>0.93498469603888645</v>
      </c>
      <c r="L41" s="5">
        <f t="shared" si="5"/>
        <v>1</v>
      </c>
      <c r="M41" s="5">
        <f t="shared" si="6"/>
        <v>0</v>
      </c>
      <c r="N41">
        <f t="shared" si="1"/>
        <v>0</v>
      </c>
      <c r="O41" s="1">
        <f t="shared" si="7"/>
        <v>0</v>
      </c>
      <c r="S41" s="11" t="s">
        <v>105</v>
      </c>
      <c r="T41" s="1">
        <f t="shared" si="2"/>
        <v>1.7753338270754121E-2</v>
      </c>
      <c r="U41">
        <f>-ABS(T41)</f>
        <v>-1.7753338270754121E-2</v>
      </c>
      <c r="V41" s="7">
        <v>-0.22416915847168628</v>
      </c>
      <c r="W41" t="str">
        <v>Student Loans</v>
      </c>
    </row>
    <row r="42" spans="3:23" x14ac:dyDescent="0.35">
      <c r="C42" s="11" t="s">
        <v>106</v>
      </c>
      <c r="D42" s="5">
        <f t="shared" si="10"/>
        <v>0.9025248303186556</v>
      </c>
      <c r="E42" s="5">
        <f t="shared" ref="E42:E57" si="11">D11/D10</f>
        <v>1</v>
      </c>
      <c r="F42" s="5">
        <f t="shared" si="9"/>
        <v>0</v>
      </c>
      <c r="G42">
        <f>F42/SUM($F$38:$F$57)</f>
        <v>0</v>
      </c>
      <c r="H42" s="1">
        <f t="shared" si="4"/>
        <v>0</v>
      </c>
      <c r="J42" s="11" t="s">
        <v>106</v>
      </c>
      <c r="K42" s="5">
        <f t="shared" si="0"/>
        <v>0.93498469603888645</v>
      </c>
      <c r="L42" s="5">
        <f t="shared" si="5"/>
        <v>1</v>
      </c>
      <c r="M42" s="5">
        <f t="shared" si="6"/>
        <v>0</v>
      </c>
      <c r="N42">
        <f t="shared" si="1"/>
        <v>0</v>
      </c>
      <c r="O42" s="1">
        <f t="shared" si="7"/>
        <v>0</v>
      </c>
      <c r="S42" s="11" t="s">
        <v>106</v>
      </c>
      <c r="T42" s="1">
        <f>O42-H42</f>
        <v>0</v>
      </c>
      <c r="U42">
        <f t="shared" si="8"/>
        <v>0</v>
      </c>
      <c r="V42" s="7">
        <v>-0.13387450972117571</v>
      </c>
      <c r="W42" t="str">
        <v>Clip</v>
      </c>
    </row>
    <row r="43" spans="3:23" x14ac:dyDescent="0.35">
      <c r="C43" s="16" t="s">
        <v>107</v>
      </c>
      <c r="D43" s="5">
        <f t="shared" si="10"/>
        <v>0.94130885354389171</v>
      </c>
      <c r="E43" s="5">
        <f>D12/D11</f>
        <v>0.95879777070063688</v>
      </c>
      <c r="F43" s="5">
        <f t="shared" si="9"/>
        <v>-4.2075101517813886E-2</v>
      </c>
      <c r="G43">
        <f t="shared" si="3"/>
        <v>0.41549726476061777</v>
      </c>
      <c r="H43" s="1">
        <f t="shared" si="4"/>
        <v>1.0003717772579286</v>
      </c>
      <c r="J43" s="16" t="s">
        <v>107</v>
      </c>
      <c r="K43" s="5">
        <f t="shared" si="0"/>
        <v>0.98453961367773624</v>
      </c>
      <c r="L43" s="5">
        <f t="shared" si="5"/>
        <v>0.94966691339748333</v>
      </c>
      <c r="M43" s="5">
        <f t="shared" si="6"/>
        <v>-5.1643973344562451E-2</v>
      </c>
      <c r="N43">
        <f t="shared" si="1"/>
        <v>0.77064900659564672</v>
      </c>
      <c r="O43" s="1">
        <f t="shared" si="7"/>
        <v>1.2487890938075565</v>
      </c>
      <c r="S43" s="16" t="s">
        <v>107</v>
      </c>
      <c r="T43" s="1">
        <f t="shared" si="2"/>
        <v>0.24841731654962795</v>
      </c>
      <c r="U43">
        <f t="shared" si="8"/>
        <v>-0.24841731654962795</v>
      </c>
      <c r="V43" s="7">
        <v>-0.13329502544284161</v>
      </c>
      <c r="W43" t="str">
        <v>Weighted Multiplier</v>
      </c>
    </row>
    <row r="44" spans="3:23" x14ac:dyDescent="0.35">
      <c r="C44" s="11" t="s">
        <v>108</v>
      </c>
      <c r="D44" s="5">
        <f>$D$26/D13</f>
        <v>0.94130885354389171</v>
      </c>
      <c r="E44" s="5">
        <f t="shared" si="11"/>
        <v>1</v>
      </c>
      <c r="F44" s="5">
        <f t="shared" si="9"/>
        <v>0</v>
      </c>
      <c r="G44">
        <f t="shared" si="3"/>
        <v>0</v>
      </c>
      <c r="H44" s="1">
        <f t="shared" si="4"/>
        <v>0</v>
      </c>
      <c r="J44" s="11" t="s">
        <v>108</v>
      </c>
      <c r="K44" s="5">
        <f t="shared" si="0"/>
        <v>0.98453961367773624</v>
      </c>
      <c r="L44" s="5">
        <f t="shared" si="5"/>
        <v>1</v>
      </c>
      <c r="M44" s="5">
        <f>LN(L44)</f>
        <v>0</v>
      </c>
      <c r="N44">
        <f t="shared" si="1"/>
        <v>0</v>
      </c>
      <c r="O44" s="1">
        <f t="shared" si="7"/>
        <v>0</v>
      </c>
      <c r="S44" s="11" t="s">
        <v>108</v>
      </c>
      <c r="T44" s="1">
        <f t="shared" si="2"/>
        <v>0</v>
      </c>
      <c r="U44">
        <f t="shared" si="8"/>
        <v>0</v>
      </c>
      <c r="V44" s="7">
        <v>-3.1348440389948704E-2</v>
      </c>
      <c r="W44" t="str">
        <v>Driver</v>
      </c>
    </row>
    <row r="45" spans="3:23" x14ac:dyDescent="0.35">
      <c r="C45" s="12" t="s">
        <v>63</v>
      </c>
      <c r="D45" s="5">
        <f t="shared" si="10"/>
        <v>0.94130885354389171</v>
      </c>
      <c r="E45" s="5">
        <f t="shared" si="11"/>
        <v>1</v>
      </c>
      <c r="F45" s="5">
        <f t="shared" si="9"/>
        <v>0</v>
      </c>
      <c r="G45">
        <f t="shared" si="3"/>
        <v>0</v>
      </c>
      <c r="H45" s="1">
        <f t="shared" si="4"/>
        <v>0</v>
      </c>
      <c r="J45" s="12" t="s">
        <v>63</v>
      </c>
      <c r="K45" s="5">
        <f t="shared" si="0"/>
        <v>0.98453961367773624</v>
      </c>
      <c r="L45" s="5">
        <f t="shared" si="5"/>
        <v>1</v>
      </c>
      <c r="M45" s="5">
        <f t="shared" si="6"/>
        <v>0</v>
      </c>
      <c r="N45">
        <f t="shared" si="1"/>
        <v>0</v>
      </c>
      <c r="O45" s="1">
        <f t="shared" si="7"/>
        <v>0</v>
      </c>
      <c r="S45" s="12" t="s">
        <v>63</v>
      </c>
      <c r="T45" s="1">
        <f t="shared" si="2"/>
        <v>0</v>
      </c>
      <c r="U45">
        <f t="shared" si="8"/>
        <v>0</v>
      </c>
      <c r="V45" s="7">
        <v>-2.2684516555009027E-2</v>
      </c>
      <c r="W45" t="str">
        <v>Fraud</v>
      </c>
    </row>
    <row r="46" spans="3:23" x14ac:dyDescent="0.35">
      <c r="C46" s="11" t="s">
        <v>109</v>
      </c>
      <c r="D46" s="5">
        <f t="shared" si="10"/>
        <v>0.94246223009494234</v>
      </c>
      <c r="E46" s="5">
        <f>D15/D14</f>
        <v>0.99877620925887456</v>
      </c>
      <c r="F46" s="5">
        <f t="shared" si="9"/>
        <v>-1.224540184518127E-3</v>
      </c>
      <c r="G46">
        <f t="shared" si="3"/>
        <v>1.2092498387468646E-2</v>
      </c>
      <c r="H46" s="1">
        <f t="shared" si="4"/>
        <v>2.9114497565537859E-2</v>
      </c>
      <c r="J46" s="18" t="s">
        <v>109</v>
      </c>
      <c r="K46" s="5">
        <f t="shared" si="0"/>
        <v>0.98528068605657082</v>
      </c>
      <c r="L46" s="5">
        <f t="shared" si="5"/>
        <v>0.99924785658612603</v>
      </c>
      <c r="M46" s="5">
        <f t="shared" si="6"/>
        <v>-7.5242641564566767E-4</v>
      </c>
      <c r="N46">
        <f t="shared" si="1"/>
        <v>1.122796392688305E-2</v>
      </c>
      <c r="O46" s="1">
        <f t="shared" si="7"/>
        <v>1.8194221724226672E-2</v>
      </c>
      <c r="S46" s="18" t="s">
        <v>109</v>
      </c>
      <c r="T46" s="1">
        <f t="shared" si="2"/>
        <v>-1.0920275841311188E-2</v>
      </c>
      <c r="U46">
        <f t="shared" si="8"/>
        <v>-1.0920275841311188E-2</v>
      </c>
      <c r="V46" s="7">
        <v>-1.7753338270754121E-2</v>
      </c>
      <c r="W46" t="str">
        <v>High Mileage</v>
      </c>
    </row>
    <row r="47" spans="3:23" x14ac:dyDescent="0.35">
      <c r="C47" s="16" t="s">
        <v>110</v>
      </c>
      <c r="D47" s="5">
        <f t="shared" si="10"/>
        <v>0.93368863813755854</v>
      </c>
      <c r="E47" s="5">
        <f t="shared" si="11"/>
        <v>1.0093966999265245</v>
      </c>
      <c r="F47" s="5">
        <f t="shared" si="9"/>
        <v>9.3528255770167629E-3</v>
      </c>
      <c r="G47">
        <f t="shared" si="3"/>
        <v>-9.2360405675748963E-2</v>
      </c>
      <c r="H47" s="1">
        <f t="shared" si="4"/>
        <v>-0.22237148354597244</v>
      </c>
      <c r="J47" s="16" t="s">
        <v>110</v>
      </c>
      <c r="K47" s="5">
        <f t="shared" si="0"/>
        <v>0.98535393777630731</v>
      </c>
      <c r="L47" s="5">
        <f t="shared" si="5"/>
        <v>0.999925659484447</v>
      </c>
      <c r="M47" s="5">
        <f t="shared" si="6"/>
        <v>-7.4343278946077164E-5</v>
      </c>
      <c r="N47">
        <f t="shared" si="1"/>
        <v>1.1093757965640672E-3</v>
      </c>
      <c r="O47" s="1">
        <f t="shared" si="7"/>
        <v>1.797674925713845E-3</v>
      </c>
      <c r="S47" s="16" t="s">
        <v>110</v>
      </c>
      <c r="T47" s="1">
        <f t="shared" si="2"/>
        <v>0.22416915847168628</v>
      </c>
      <c r="U47">
        <f t="shared" si="8"/>
        <v>-0.22416915847168628</v>
      </c>
      <c r="V47" s="7">
        <v>-1.4965057817634519E-2</v>
      </c>
      <c r="W47" t="str">
        <v>Low PTI</v>
      </c>
    </row>
    <row r="48" spans="3:23" x14ac:dyDescent="0.35">
      <c r="C48" s="11" t="s">
        <v>111</v>
      </c>
      <c r="D48" s="5">
        <f t="shared" si="10"/>
        <v>0.93966092844781179</v>
      </c>
      <c r="E48" s="5">
        <f t="shared" si="11"/>
        <v>0.99364420704379119</v>
      </c>
      <c r="F48" s="5">
        <f t="shared" si="9"/>
        <v>-6.3760770013978939E-3</v>
      </c>
      <c r="G48">
        <f t="shared" si="3"/>
        <v>6.2964614663193669E-2</v>
      </c>
      <c r="H48" s="1">
        <f t="shared" si="4"/>
        <v>0.15159672233045685</v>
      </c>
      <c r="J48" s="11" t="s">
        <v>111</v>
      </c>
      <c r="K48" s="5">
        <f t="shared" si="0"/>
        <v>0.99216468518946399</v>
      </c>
      <c r="L48" s="5">
        <f t="shared" si="5"/>
        <v>0.99313546680825859</v>
      </c>
      <c r="M48" s="5">
        <f t="shared" si="6"/>
        <v>-6.888202480983944E-3</v>
      </c>
      <c r="N48">
        <f t="shared" si="1"/>
        <v>0.1027881097332117</v>
      </c>
      <c r="O48" s="1">
        <f t="shared" si="7"/>
        <v>0.16656178014809137</v>
      </c>
      <c r="S48" s="11" t="s">
        <v>111</v>
      </c>
      <c r="T48" s="1">
        <f t="shared" si="2"/>
        <v>1.4965057817634519E-2</v>
      </c>
      <c r="U48">
        <f t="shared" si="8"/>
        <v>-1.4965057817634519E-2</v>
      </c>
      <c r="V48" s="7">
        <v>-1.0920275841311188E-2</v>
      </c>
      <c r="W48" t="str">
        <v>Weekday/Weekend</v>
      </c>
    </row>
    <row r="49" spans="3:23" x14ac:dyDescent="0.35">
      <c r="C49" s="16" t="s">
        <v>112</v>
      </c>
      <c r="D49" s="5">
        <f t="shared" si="10"/>
        <v>0.91276566944024295</v>
      </c>
      <c r="E49" s="5">
        <f t="shared" si="11"/>
        <v>1.029465677673945</v>
      </c>
      <c r="F49" s="5">
        <f t="shared" si="9"/>
        <v>2.9039908099402292E-2</v>
      </c>
      <c r="G49">
        <f t="shared" si="3"/>
        <v>-0.28677298328306638</v>
      </c>
      <c r="H49" s="1">
        <f t="shared" si="4"/>
        <v>-0.69044882671302432</v>
      </c>
      <c r="J49" s="16" t="s">
        <v>112</v>
      </c>
      <c r="K49" s="5">
        <f t="shared" si="0"/>
        <v>0.97831984653989501</v>
      </c>
      <c r="L49" s="5">
        <f t="shared" si="5"/>
        <v>1.0141516485621089</v>
      </c>
      <c r="M49" s="5">
        <f t="shared" si="6"/>
        <v>1.4052448781767181E-2</v>
      </c>
      <c r="N49">
        <f t="shared" si="1"/>
        <v>-0.20969543961406512</v>
      </c>
      <c r="O49" s="1">
        <f t="shared" si="7"/>
        <v>-0.33979850200290235</v>
      </c>
      <c r="S49" s="16" t="s">
        <v>112</v>
      </c>
      <c r="T49" s="1">
        <f t="shared" si="2"/>
        <v>0.35065032471012197</v>
      </c>
      <c r="U49">
        <f t="shared" si="8"/>
        <v>-0.35065032471012197</v>
      </c>
      <c r="V49" s="7">
        <v>-8.9443436309810526E-3</v>
      </c>
      <c r="W49" t="str">
        <v>Authorized Tradelines</v>
      </c>
    </row>
    <row r="50" spans="3:23" x14ac:dyDescent="0.35">
      <c r="C50" s="11" t="s">
        <v>113</v>
      </c>
      <c r="D50" s="5">
        <f t="shared" si="10"/>
        <v>0.91337858349724965</v>
      </c>
      <c r="E50" s="5">
        <f t="shared" si="11"/>
        <v>0.99932895946097189</v>
      </c>
      <c r="F50" s="5">
        <f t="shared" si="9"/>
        <v>-6.7126578750349697E-4</v>
      </c>
      <c r="G50">
        <f t="shared" si="3"/>
        <v>6.6288395885866058E-3</v>
      </c>
      <c r="H50" s="1">
        <f t="shared" si="4"/>
        <v>1.5959922249338083E-2</v>
      </c>
      <c r="J50" s="11" t="s">
        <v>113</v>
      </c>
      <c r="K50" s="5">
        <f t="shared" si="0"/>
        <v>0.97909324857638269</v>
      </c>
      <c r="L50" s="5">
        <f t="shared" si="5"/>
        <v>0.99921008337294515</v>
      </c>
      <c r="M50" s="5">
        <f t="shared" si="6"/>
        <v>-7.9022877558540441E-4</v>
      </c>
      <c r="N50">
        <f t="shared" si="1"/>
        <v>1.1792063651359352E-2</v>
      </c>
      <c r="O50" s="1">
        <f t="shared" si="7"/>
        <v>1.910831046983829E-2</v>
      </c>
      <c r="S50" s="11" t="s">
        <v>113</v>
      </c>
      <c r="T50" s="1">
        <f t="shared" si="2"/>
        <v>3.1483882205002069E-3</v>
      </c>
      <c r="U50">
        <f t="shared" si="8"/>
        <v>-3.1483882205002069E-3</v>
      </c>
      <c r="V50" s="7">
        <v>-7.9131769509937916E-3</v>
      </c>
      <c r="W50" t="str">
        <v>Previous ACA Chargeoff</v>
      </c>
    </row>
    <row r="51" spans="3:23" x14ac:dyDescent="0.35">
      <c r="C51" s="11" t="s">
        <v>114</v>
      </c>
      <c r="D51" s="5">
        <f t="shared" si="10"/>
        <v>0.91176550250664856</v>
      </c>
      <c r="E51" s="5">
        <f t="shared" si="11"/>
        <v>1.0017691840568286</v>
      </c>
      <c r="F51" s="5">
        <f t="shared" si="9"/>
        <v>1.7676208941252356E-3</v>
      </c>
      <c r="G51">
        <f t="shared" si="3"/>
        <v>-1.7455493157439033E-2</v>
      </c>
      <c r="H51" s="1">
        <f t="shared" si="4"/>
        <v>-4.2026709183949365E-2</v>
      </c>
      <c r="J51" s="11" t="s">
        <v>114</v>
      </c>
      <c r="K51" s="5">
        <f t="shared" si="0"/>
        <v>0.97703157187809675</v>
      </c>
      <c r="L51" s="5">
        <f t="shared" si="5"/>
        <v>1.0021101433747148</v>
      </c>
      <c r="M51" s="5">
        <f t="shared" si="6"/>
        <v>2.1079201491842996E-3</v>
      </c>
      <c r="N51">
        <f t="shared" si="1"/>
        <v>-3.1455104318050438E-2</v>
      </c>
      <c r="O51" s="1">
        <f t="shared" si="7"/>
        <v>-5.0971052814930418E-2</v>
      </c>
      <c r="S51" s="11" t="s">
        <v>114</v>
      </c>
      <c r="T51" s="1">
        <f t="shared" si="2"/>
        <v>-8.9443436309810526E-3</v>
      </c>
      <c r="U51">
        <f t="shared" si="8"/>
        <v>-8.9443436309810526E-3</v>
      </c>
      <c r="V51" s="7">
        <v>-3.1483882205002069E-3</v>
      </c>
      <c r="W51" t="str">
        <v>Waiter/Seasonal</v>
      </c>
    </row>
    <row r="52" spans="3:23" x14ac:dyDescent="0.35">
      <c r="C52" s="16" t="s">
        <v>115</v>
      </c>
      <c r="D52" s="5">
        <f t="shared" si="10"/>
        <v>0.91973670519533712</v>
      </c>
      <c r="E52" s="5">
        <f t="shared" si="11"/>
        <v>0.99133316889098633</v>
      </c>
      <c r="F52" s="5">
        <f t="shared" si="9"/>
        <v>-8.7046065101335623E-3</v>
      </c>
      <c r="G52">
        <f t="shared" si="3"/>
        <v>8.5959155541114857E-2</v>
      </c>
      <c r="H52" s="1">
        <f t="shared" si="4"/>
        <v>0.20695951692918657</v>
      </c>
      <c r="J52" s="16" t="s">
        <v>115</v>
      </c>
      <c r="K52" s="5">
        <f t="shared" si="0"/>
        <v>0.98450571556230726</v>
      </c>
      <c r="L52" s="5">
        <f t="shared" si="5"/>
        <v>0.99240822722909072</v>
      </c>
      <c r="M52" s="5">
        <f t="shared" si="6"/>
        <v>-7.6207369639791399E-3</v>
      </c>
      <c r="N52">
        <f t="shared" si="1"/>
        <v>0.11371923944801592</v>
      </c>
      <c r="O52" s="1">
        <f t="shared" si="7"/>
        <v>0.18427500037417754</v>
      </c>
      <c r="S52" s="16" t="s">
        <v>115</v>
      </c>
      <c r="T52" s="1">
        <f t="shared" si="2"/>
        <v>-2.2684516555009027E-2</v>
      </c>
      <c r="U52">
        <f t="shared" si="8"/>
        <v>-2.2684516555009027E-2</v>
      </c>
      <c r="V52" s="7">
        <v>0</v>
      </c>
      <c r="W52" t="str">
        <v>Small Amount Financed</v>
      </c>
    </row>
    <row r="53" spans="3:23" x14ac:dyDescent="0.35">
      <c r="C53" s="11" t="s">
        <v>116</v>
      </c>
      <c r="D53" s="5">
        <f t="shared" si="10"/>
        <v>0.91725265979333259</v>
      </c>
      <c r="E53" s="5">
        <f t="shared" si="11"/>
        <v>1.0027081364937815</v>
      </c>
      <c r="F53" s="5">
        <f t="shared" si="9"/>
        <v>2.7044760992231999E-3</v>
      </c>
      <c r="G53">
        <f t="shared" si="3"/>
        <v>-2.6707063828757444E-2</v>
      </c>
      <c r="H53" s="1">
        <f t="shared" si="4"/>
        <v>-6.4301248584891654E-2</v>
      </c>
      <c r="J53" s="11" t="s">
        <v>116</v>
      </c>
      <c r="K53" s="5">
        <f t="shared" si="0"/>
        <v>0.98061908119016694</v>
      </c>
      <c r="L53" s="5">
        <f t="shared" si="5"/>
        <v>1.0039634496683698</v>
      </c>
      <c r="M53" s="5">
        <f t="shared" si="6"/>
        <v>3.9556158940907415E-3</v>
      </c>
      <c r="N53">
        <f t="shared" si="1"/>
        <v>-5.9027051209179345E-2</v>
      </c>
      <c r="O53" s="1">
        <f t="shared" si="7"/>
        <v>-9.5649688974840358E-2</v>
      </c>
      <c r="S53" s="11" t="s">
        <v>116</v>
      </c>
      <c r="T53" s="1">
        <f t="shared" si="2"/>
        <v>-3.1348440389948704E-2</v>
      </c>
      <c r="U53">
        <f t="shared" si="8"/>
        <v>-3.1348440389948704E-2</v>
      </c>
      <c r="V53" s="7">
        <v>0</v>
      </c>
      <c r="W53" t="str">
        <v>Small Amount Financed</v>
      </c>
    </row>
    <row r="54" spans="3:23" x14ac:dyDescent="0.35">
      <c r="C54" s="16" t="s">
        <v>117</v>
      </c>
      <c r="D54" s="5">
        <f>$D$26/D23</f>
        <v>1.0030491235634971</v>
      </c>
      <c r="E54" s="5">
        <f t="shared" si="11"/>
        <v>0.91446434501098173</v>
      </c>
      <c r="F54" s="5">
        <f t="shared" si="9"/>
        <v>-8.941680041759581E-2</v>
      </c>
      <c r="G54">
        <f t="shared" si="3"/>
        <v>0.88300288429315876</v>
      </c>
      <c r="H54" s="1">
        <f t="shared" si="4"/>
        <v>2.1259614433157381</v>
      </c>
      <c r="J54" s="16" t="s">
        <v>117</v>
      </c>
      <c r="K54" s="5">
        <f t="shared" si="0"/>
        <v>1.0029739577267787</v>
      </c>
      <c r="L54" s="5">
        <f t="shared" si="5"/>
        <v>0.97771140879143204</v>
      </c>
      <c r="M54" s="5">
        <f t="shared" si="6"/>
        <v>-2.2540735528230743E-2</v>
      </c>
      <c r="N54">
        <f t="shared" si="1"/>
        <v>0.33636055318340835</v>
      </c>
      <c r="O54" s="1">
        <f t="shared" si="7"/>
        <v>0.5450514914150929</v>
      </c>
      <c r="S54" s="16" t="s">
        <v>117</v>
      </c>
      <c r="T54" s="1">
        <f t="shared" si="2"/>
        <v>-1.5809099519006451</v>
      </c>
      <c r="U54">
        <f t="shared" si="8"/>
        <v>-1.5809099519006451</v>
      </c>
      <c r="V54" s="7">
        <v>0</v>
      </c>
      <c r="W54" t="str">
        <v>Small Amount Financed</v>
      </c>
    </row>
    <row r="55" spans="3:23" x14ac:dyDescent="0.35">
      <c r="C55" s="11" t="s">
        <v>118</v>
      </c>
      <c r="D55" s="5">
        <f t="shared" ref="D55:D57" si="12">$D$26/D24</f>
        <v>0.99929333867775705</v>
      </c>
      <c r="E55" s="5">
        <f t="shared" si="11"/>
        <v>1.0037584408305069</v>
      </c>
      <c r="F55" s="5">
        <f t="shared" si="9"/>
        <v>3.7513955391246826E-3</v>
      </c>
      <c r="G55">
        <f t="shared" si="3"/>
        <v>-3.7045533565297849E-2</v>
      </c>
      <c r="H55" s="1">
        <f t="shared" si="4"/>
        <v>-8.9192659965009385E-2</v>
      </c>
      <c r="J55" s="11" t="s">
        <v>118</v>
      </c>
      <c r="K55" s="5">
        <f t="shared" si="0"/>
        <v>1.0048289951027733</v>
      </c>
      <c r="L55" s="5">
        <f t="shared" si="5"/>
        <v>0.99815387754032225</v>
      </c>
      <c r="M55" s="5">
        <f t="shared" si="6"/>
        <v>-1.847828643952588E-3</v>
      </c>
      <c r="N55">
        <f t="shared" si="1"/>
        <v>2.7573930056080349E-2</v>
      </c>
      <c r="O55" s="1">
        <f t="shared" si="7"/>
        <v>4.4681849756166334E-2</v>
      </c>
      <c r="S55" s="11" t="s">
        <v>118</v>
      </c>
      <c r="T55" s="1">
        <f t="shared" si="2"/>
        <v>0.13387450972117571</v>
      </c>
      <c r="U55">
        <f t="shared" si="8"/>
        <v>-0.13387450972117571</v>
      </c>
      <c r="V55" s="7">
        <v>0</v>
      </c>
      <c r="W55" t="str">
        <v>Small Amount Financed</v>
      </c>
    </row>
    <row r="56" spans="3:23" x14ac:dyDescent="0.35">
      <c r="C56" s="11" t="s">
        <v>121</v>
      </c>
      <c r="D56" s="5">
        <f t="shared" si="12"/>
        <v>0.99929333867775705</v>
      </c>
      <c r="E56" s="5">
        <f t="shared" si="11"/>
        <v>1</v>
      </c>
      <c r="F56" s="5">
        <f t="shared" si="9"/>
        <v>0</v>
      </c>
      <c r="G56">
        <f t="shared" si="3"/>
        <v>0</v>
      </c>
      <c r="H56" s="1">
        <f t="shared" si="4"/>
        <v>0</v>
      </c>
      <c r="J56" s="11" t="s">
        <v>121</v>
      </c>
      <c r="K56" s="5">
        <f t="shared" si="0"/>
        <v>1.0048289951027733</v>
      </c>
      <c r="L56" s="5">
        <f t="shared" si="5"/>
        <v>1</v>
      </c>
      <c r="M56" s="5">
        <f t="shared" si="6"/>
        <v>0</v>
      </c>
      <c r="N56">
        <f t="shared" si="1"/>
        <v>0</v>
      </c>
      <c r="O56" s="1">
        <f t="shared" si="7"/>
        <v>0</v>
      </c>
      <c r="S56" s="11" t="s">
        <v>121</v>
      </c>
      <c r="T56" s="1">
        <f t="shared" si="2"/>
        <v>0</v>
      </c>
      <c r="U56">
        <f t="shared" si="8"/>
        <v>0</v>
      </c>
      <c r="V56" s="7">
        <v>0</v>
      </c>
      <c r="W56" t="str">
        <v>Small Amount Financed</v>
      </c>
    </row>
    <row r="57" spans="3:23" x14ac:dyDescent="0.35">
      <c r="C57" s="11" t="s">
        <v>119</v>
      </c>
      <c r="D57" s="5">
        <f t="shared" si="12"/>
        <v>1</v>
      </c>
      <c r="E57" s="5">
        <f t="shared" si="11"/>
        <v>0.99929333867775705</v>
      </c>
      <c r="F57" s="5">
        <f t="shared" si="9"/>
        <v>-7.0691112504604791E-4</v>
      </c>
      <c r="G57">
        <f>F57/SUM($F$38:$F$57)</f>
        <v>6.9808420726240675E-3</v>
      </c>
      <c r="H57" s="1">
        <f t="shared" si="4"/>
        <v>1.6807420850222101E-2</v>
      </c>
      <c r="J57" s="11" t="s">
        <v>119</v>
      </c>
      <c r="K57" s="5">
        <f t="shared" si="0"/>
        <v>1</v>
      </c>
      <c r="L57" s="5">
        <f t="shared" si="5"/>
        <v>1.0048289951027733</v>
      </c>
      <c r="M57" s="5">
        <f t="shared" si="6"/>
        <v>4.817372906589657E-3</v>
      </c>
      <c r="N57">
        <f t="shared" si="1"/>
        <v>-7.1886483638559706E-2</v>
      </c>
      <c r="O57" s="1">
        <f t="shared" si="7"/>
        <v>-0.1164876045926195</v>
      </c>
      <c r="S57" s="11" t="s">
        <v>119</v>
      </c>
      <c r="T57" s="1">
        <f t="shared" si="2"/>
        <v>-0.13329502544284161</v>
      </c>
      <c r="U57">
        <f t="shared" si="8"/>
        <v>-0.13329502544284161</v>
      </c>
      <c r="V57" s="7">
        <v>0</v>
      </c>
      <c r="W57" t="str">
        <v>Small Amount Financed</v>
      </c>
    </row>
    <row r="58" spans="3:23" x14ac:dyDescent="0.35">
      <c r="G58" s="8">
        <f>SUM(G38:G57)</f>
        <v>0.99999999999999989</v>
      </c>
      <c r="H58" s="14">
        <f>SUM(H38:H57)</f>
        <v>2.4076494891832247</v>
      </c>
      <c r="O58" s="14">
        <f>SUM(O38:O57)</f>
        <v>1.6204382061349825</v>
      </c>
    </row>
    <row r="62" spans="3:23" x14ac:dyDescent="0.35">
      <c r="C62" s="13" t="s">
        <v>376</v>
      </c>
      <c r="D62" t="str">
        <f>B2</f>
        <v>2025 Q1</v>
      </c>
      <c r="E62" t="str">
        <f>B3</f>
        <v>2025 Q4</v>
      </c>
    </row>
    <row r="63" spans="3:23" x14ac:dyDescent="0.35">
      <c r="C63" s="11" t="s">
        <v>55</v>
      </c>
      <c r="D63" s="2">
        <f>INDEX('KMX Multipliers'!$B2:$L2,MATCH("KMX | "&amp;D$6,'KMX Multipliers'!$B$1:$L$1, 0))</f>
        <v>1</v>
      </c>
      <c r="E63" s="2">
        <f>INDEX('KMX Multipliers'!$B2:$L2,MATCH("KMX | "&amp;E$6,'KMX Multipliers'!$B$1:$L$1, 0))</f>
        <v>1</v>
      </c>
    </row>
    <row r="64" spans="3:23" x14ac:dyDescent="0.35">
      <c r="C64" s="11" t="s">
        <v>318</v>
      </c>
      <c r="D64" s="2">
        <f>INDEX('KMX Multipliers'!$B3:$L3,MATCH("KMX | "&amp;D$6,'KMX Multipliers'!$B$1:$L$1, 0))</f>
        <v>1.0001231202508101</v>
      </c>
      <c r="E64" s="2">
        <f>INDEX('KMX Multipliers'!$B3:$L3,MATCH("KMX | "&amp;E$6,'KMX Multipliers'!$B$1:$L$1, 0))</f>
        <v>1</v>
      </c>
    </row>
    <row r="65" spans="3:5" x14ac:dyDescent="0.35">
      <c r="C65" s="11" t="s">
        <v>319</v>
      </c>
      <c r="D65" s="2">
        <f>INDEX('KMX Multipliers'!$B4:$L4,MATCH("KMX | "&amp;D$6,'KMX Multipliers'!$B$1:$L$1, 0))</f>
        <v>1.00089058929805</v>
      </c>
      <c r="E65" s="2">
        <f>INDEX('KMX Multipliers'!$B4:$L4,MATCH("KMX | "&amp;E$6,'KMX Multipliers'!$B$1:$L$1, 0))</f>
        <v>1.000631227529533</v>
      </c>
    </row>
    <row r="66" spans="3:5" x14ac:dyDescent="0.35">
      <c r="C66" s="11" t="s">
        <v>320</v>
      </c>
      <c r="D66" s="2">
        <f>INDEX('KMX Multipliers'!$B5:$L5,MATCH("KMX | "&amp;D$6,'KMX Multipliers'!$B$1:$L$1, 0))</f>
        <v>1.006058711940061</v>
      </c>
      <c r="E66" s="2">
        <f>INDEX('KMX Multipliers'!$B5:$L5,MATCH("KMX | "&amp;E$6,'KMX Multipliers'!$B$1:$L$1, 0))</f>
        <v>1.004374253430186</v>
      </c>
    </row>
    <row r="67" spans="3:5" x14ac:dyDescent="0.35">
      <c r="C67" s="11" t="s">
        <v>321</v>
      </c>
      <c r="D67" s="2">
        <f>INDEX('KMX Multipliers'!$B6:$L6,MATCH("KMX | "&amp;D$6,'KMX Multipliers'!$B$1:$L$1, 0))</f>
        <v>0.97622210558801847</v>
      </c>
      <c r="E67" s="2">
        <f>INDEX('KMX Multipliers'!$B6:$L6,MATCH("KMX | "&amp;E$6,'KMX Multipliers'!$B$1:$L$1, 0))</f>
        <v>0.98199376116711268</v>
      </c>
    </row>
    <row r="68" spans="3:5" x14ac:dyDescent="0.35">
      <c r="C68" s="11" t="s">
        <v>322</v>
      </c>
      <c r="D68" s="2">
        <f>INDEX('KMX Multipliers'!$B7:$L7,MATCH("KMX | "&amp;D$6,'KMX Multipliers'!$B$1:$L$1, 0))</f>
        <v>0.98507398054758633</v>
      </c>
      <c r="E68" s="2">
        <f>INDEX('KMX Multipliers'!$B7:$L7,MATCH("KMX | "&amp;E$6,'KMX Multipliers'!$B$1:$L$1, 0))</f>
        <v>0.99320663116845997</v>
      </c>
    </row>
    <row r="69" spans="3:5" x14ac:dyDescent="0.35">
      <c r="C69" s="11" t="s">
        <v>323</v>
      </c>
      <c r="D69" s="2">
        <f>INDEX('KMX Multipliers'!$B8:$L8,MATCH("KMX | "&amp;D$6,'KMX Multipliers'!$B$1:$L$1, 0))</f>
        <v>0.98313573508408159</v>
      </c>
      <c r="E69" s="2">
        <f>INDEX('KMX Multipliers'!$B8:$L8,MATCH("KMX | "&amp;E$6,'KMX Multipliers'!$B$1:$L$1, 0))</f>
        <v>0.99234644576318654</v>
      </c>
    </row>
    <row r="70" spans="3:5" x14ac:dyDescent="0.35">
      <c r="C70" s="18" t="s">
        <v>324</v>
      </c>
      <c r="D70" s="2">
        <f>INDEX('KMX Multipliers'!$B9:$L9,MATCH("KMX | "&amp;D$6,'KMX Multipliers'!$B$1:$L$1, 0))</f>
        <v>0.972448000641285</v>
      </c>
      <c r="E70" s="2">
        <f>INDEX('KMX Multipliers'!$B9:$L9,MATCH("KMX | "&amp;E$6,'KMX Multipliers'!$B$1:$L$1, 0))</f>
        <v>0.98545446707123918</v>
      </c>
    </row>
    <row r="71" spans="3:5" x14ac:dyDescent="0.35">
      <c r="C71" s="11" t="s">
        <v>325</v>
      </c>
      <c r="D71" s="2">
        <f>INDEX('KMX Multipliers'!$B10:$L10,MATCH("KMX | "&amp;D$6,'KMX Multipliers'!$B$1:$L$1, 0))</f>
        <v>0.96777865330642543</v>
      </c>
      <c r="E71" s="2">
        <f>INDEX('KMX Multipliers'!$B10:$L10,MATCH("KMX | "&amp;E$6,'KMX Multipliers'!$B$1:$L$1, 0))</f>
        <v>0.9850480553163059</v>
      </c>
    </row>
    <row r="72" spans="3:5" x14ac:dyDescent="0.35">
      <c r="C72" s="11" t="s">
        <v>326</v>
      </c>
      <c r="D72" s="2">
        <f>INDEX('KMX Multipliers'!$B11:$L11,MATCH("KMX | "&amp;D$6,'KMX Multipliers'!$B$1:$L$1, 0))</f>
        <v>0.96702610521222176</v>
      </c>
      <c r="E72" s="2">
        <f>INDEX('KMX Multipliers'!$B11:$L11,MATCH("KMX | "&amp;E$6,'KMX Multipliers'!$B$1:$L$1, 0))</f>
        <v>0.98432425932110768</v>
      </c>
    </row>
    <row r="73" spans="3:5" x14ac:dyDescent="0.35">
      <c r="C73" s="11" t="s">
        <v>327</v>
      </c>
      <c r="D73" s="2">
        <f>INDEX('KMX Multipliers'!$B12:$L12,MATCH("KMX | "&amp;D$6,'KMX Multipliers'!$B$1:$L$1, 0))</f>
        <v>0.95121574100453132</v>
      </c>
      <c r="E73" s="2">
        <f>INDEX('KMX Multipliers'!$B12:$L12,MATCH("KMX | "&amp;E$6,'KMX Multipliers'!$B$1:$L$1, 0))</f>
        <v>0.97524712774840672</v>
      </c>
    </row>
    <row r="74" spans="3:5" x14ac:dyDescent="0.35">
      <c r="C74" s="11" t="s">
        <v>328</v>
      </c>
      <c r="D74" s="2">
        <f>INDEX('KMX Multipliers'!$B13:$L13,MATCH("KMX | "&amp;D$6,'KMX Multipliers'!$B$1:$L$1, 0))</f>
        <v>0.9553787273781944</v>
      </c>
      <c r="E74" s="2">
        <f>INDEX('KMX Multipliers'!$B13:$L13,MATCH("KMX | "&amp;E$6,'KMX Multipliers'!$B$1:$L$1, 0))</f>
        <v>0.9774159389806828</v>
      </c>
    </row>
    <row r="75" spans="3:5" x14ac:dyDescent="0.35">
      <c r="C75" s="11" t="s">
        <v>329</v>
      </c>
      <c r="D75" s="2">
        <f>INDEX('KMX Multipliers'!$B14:$L14,MATCH("KMX | "&amp;D$6,'KMX Multipliers'!$B$1:$L$1, 0))</f>
        <v>0.9599528030586123</v>
      </c>
      <c r="E75" s="2">
        <f>INDEX('KMX Multipliers'!$B14:$L14,MATCH("KMX | "&amp;E$6,'KMX Multipliers'!$B$1:$L$1, 0))</f>
        <v>0.9658625145802926</v>
      </c>
    </row>
    <row r="76" spans="3:5" x14ac:dyDescent="0.35">
      <c r="C76" s="11" t="s">
        <v>330</v>
      </c>
      <c r="D76" s="2">
        <f>INDEX('KMX Multipliers'!$B15:$L15,MATCH("KMX | "&amp;D$6,'KMX Multipliers'!$B$1:$L$1, 0))</f>
        <v>0.9599528030586123</v>
      </c>
      <c r="E76" s="2">
        <f>INDEX('KMX Multipliers'!$B15:$L15,MATCH("KMX | "&amp;E$6,'KMX Multipliers'!$B$1:$L$1, 0))</f>
        <v>0.96585958453186649</v>
      </c>
    </row>
    <row r="77" spans="3:5" x14ac:dyDescent="0.35">
      <c r="C77" s="11" t="s">
        <v>331</v>
      </c>
      <c r="D77" s="2">
        <f>INDEX('KMX Multipliers'!$B16:$L16,MATCH("KMX | "&amp;D$6,'KMX Multipliers'!$B$1:$L$1, 0))</f>
        <v>0.96031608572862881</v>
      </c>
      <c r="E77" s="2">
        <f>INDEX('KMX Multipliers'!$B16:$L16,MATCH("KMX | "&amp;E$6,'KMX Multipliers'!$B$1:$L$1, 0))</f>
        <v>0.96609500763243406</v>
      </c>
    </row>
    <row r="78" spans="3:5" x14ac:dyDescent="0.35">
      <c r="C78" s="11" t="s">
        <v>332</v>
      </c>
      <c r="D78" s="2">
        <f>INDEX('KMX Multipliers'!$B17:$L17,MATCH("KMX | "&amp;D$6,'KMX Multipliers'!$B$1:$L$1, 0))</f>
        <v>0.96209616937109399</v>
      </c>
      <c r="E78" s="2">
        <f>INDEX('KMX Multipliers'!$B17:$L17,MATCH("KMX | "&amp;E$6,'KMX Multipliers'!$B$1:$L$1, 0))</f>
        <v>0.96832221231544768</v>
      </c>
    </row>
    <row r="79" spans="3:5" x14ac:dyDescent="0.35">
      <c r="C79" s="11" t="s">
        <v>333</v>
      </c>
      <c r="D79" s="2">
        <f>INDEX('KMX Multipliers'!$B18:$L18,MATCH("KMX | "&amp;D$6,'KMX Multipliers'!$B$1:$L$1, 0))</f>
        <v>0.97335854623040707</v>
      </c>
      <c r="E79" s="2">
        <f>INDEX('KMX Multipliers'!$B18:$L18,MATCH("KMX | "&amp;E$6,'KMX Multipliers'!$B$1:$L$1, 0))</f>
        <v>0.97615795574126962</v>
      </c>
    </row>
    <row r="80" spans="3:5" x14ac:dyDescent="0.35">
      <c r="C80" s="11" t="s">
        <v>334</v>
      </c>
      <c r="D80" s="2">
        <f>INDEX('KMX Multipliers'!$B19:$L19,MATCH("KMX | "&amp;D$6,'KMX Multipliers'!$B$1:$L$1, 0))</f>
        <v>0.95732975057559044</v>
      </c>
      <c r="E80" s="2">
        <f>INDEX('KMX Multipliers'!$B19:$L19,MATCH("KMX | "&amp;E$6,'KMX Multipliers'!$B$1:$L$1, 0))</f>
        <v>0.95568854634015155</v>
      </c>
    </row>
    <row r="81" spans="3:5" x14ac:dyDescent="0.35">
      <c r="C81" s="11" t="s">
        <v>335</v>
      </c>
      <c r="D81" s="2">
        <f>INDEX('KMX Multipliers'!$B20:$L20,MATCH("KMX | "&amp;D$6,'KMX Multipliers'!$B$1:$L$1, 0))</f>
        <v>0.96372160211430957</v>
      </c>
      <c r="E81" s="2">
        <f>INDEX('KMX Multipliers'!$B20:$L20,MATCH("KMX | "&amp;E$6,'KMX Multipliers'!$B$1:$L$1, 0))</f>
        <v>0.96166735779098533</v>
      </c>
    </row>
    <row r="82" spans="3:5" x14ac:dyDescent="0.35">
      <c r="C82" s="11" t="s">
        <v>336</v>
      </c>
      <c r="D82" s="2">
        <f>INDEX('KMX Multipliers'!$B21:$L21,MATCH("KMX | "&amp;D$6,'KMX Multipliers'!$B$1:$L$1, 0))</f>
        <v>1.0053758650077389</v>
      </c>
      <c r="E82" s="2">
        <f>INDEX('KMX Multipliers'!$B21:$L21,MATCH("KMX | "&amp;E$6,'KMX Multipliers'!$B$1:$L$1, 0))</f>
        <v>0.99614195249606929</v>
      </c>
    </row>
    <row r="83" spans="3:5" x14ac:dyDescent="0.35">
      <c r="C83" s="11" t="s">
        <v>337</v>
      </c>
      <c r="D83" s="2">
        <f>INDEX('KMX Multipliers'!$B22:$L22,MATCH("KMX | "&amp;D$6,'KMX Multipliers'!$B$1:$L$1, 0))</f>
        <v>1.0309728834281371</v>
      </c>
      <c r="E83" s="2">
        <f>INDEX('KMX Multipliers'!$B22:$L22,MATCH("KMX | "&amp;E$6,'KMX Multipliers'!$B$1:$L$1, 0))</f>
        <v>1.0165429690787451</v>
      </c>
    </row>
    <row r="84" spans="3:5" x14ac:dyDescent="0.35">
      <c r="C84" t="s">
        <v>338</v>
      </c>
      <c r="D84" s="2">
        <f>INDEX('KMX Multipliers'!$B23:$L23,MATCH("KMX | "&amp;D$6,'KMX Multipliers'!$B$1:$L$1, 0))</f>
        <v>1.0352464002052391</v>
      </c>
      <c r="E84" s="2">
        <f>INDEX('KMX Multipliers'!$B23:$L23,MATCH("KMX | "&amp;E$6,'KMX Multipliers'!$B$1:$L$1, 0))</f>
        <v>1.018592239140242</v>
      </c>
    </row>
    <row r="85" spans="3:5" x14ac:dyDescent="0.35">
      <c r="C85" t="s">
        <v>339</v>
      </c>
      <c r="D85" s="2">
        <f>INDEX('KMX Multipliers'!$B24:$L24,MATCH("KMX | "&amp;D$6,'KMX Multipliers'!$B$1:$L$1, 0))</f>
        <v>1.0360859846773971</v>
      </c>
      <c r="E85" s="2">
        <f>INDEX('KMX Multipliers'!$B24:$L24,MATCH("KMX | "&amp;E$6,'KMX Multipliers'!$B$1:$L$1, 0))</f>
        <v>1.0193797841849641</v>
      </c>
    </row>
    <row r="86" spans="3:5" x14ac:dyDescent="0.35">
      <c r="C86" t="s">
        <v>340</v>
      </c>
      <c r="D86" s="2">
        <f>INDEX('KMX Multipliers'!$B25:$L25,MATCH("KMX | "&amp;D$6,'KMX Multipliers'!$B$1:$L$1, 0))</f>
        <v>1.0317381417316711</v>
      </c>
      <c r="E86" s="2">
        <f>INDEX('KMX Multipliers'!$B25:$L25,MATCH("KMX | "&amp;E$6,'KMX Multipliers'!$B$1:$L$1, 0))</f>
        <v>1.0143630396516039</v>
      </c>
    </row>
    <row r="87" spans="3:5" x14ac:dyDescent="0.35">
      <c r="C87" t="s">
        <v>341</v>
      </c>
      <c r="D87" s="2">
        <f>INDEX('KMX Multipliers'!$B26:$L26,MATCH("KMX | "&amp;D$6,'KMX Multipliers'!$B$1:$L$1, 0))</f>
        <v>1.041135362918445</v>
      </c>
      <c r="E87" s="2">
        <f>INDEX('KMX Multipliers'!$B26:$L26,MATCH("KMX | "&amp;E$6,'KMX Multipliers'!$B$1:$L$1, 0))</f>
        <v>0.96938876046609257</v>
      </c>
    </row>
    <row r="88" spans="3:5" x14ac:dyDescent="0.35">
      <c r="C88" t="s">
        <v>342</v>
      </c>
      <c r="D88" s="2">
        <f>INDEX('KMX Multipliers'!$B27:$L27,MATCH("KMX | "&amp;D$6,'KMX Multipliers'!$B$1:$L$1, 0))</f>
        <v>1.0306195063300541</v>
      </c>
      <c r="E88" s="2">
        <f>INDEX('KMX Multipliers'!$B27:$L27,MATCH("KMX | "&amp;E$6,'KMX Multipliers'!$B$1:$L$1, 0))</f>
        <v>0.96447695935358269</v>
      </c>
    </row>
    <row r="89" spans="3:5" x14ac:dyDescent="0.35">
      <c r="C89" t="s">
        <v>74</v>
      </c>
      <c r="D89" s="2">
        <f>INDEX('KMX Multipliers'!$B28:$L28,MATCH("KMX | "&amp;D$6,'KMX Multipliers'!$B$1:$L$1, 0))</f>
        <v>1.0306195063300541</v>
      </c>
      <c r="E89" s="2">
        <f>INDEX('KMX Multipliers'!$B28:$L28,MATCH("KMX | "&amp;E$6,'KMX Multipliers'!$B$1:$L$1, 0))</f>
        <v>0.96447695935358269</v>
      </c>
    </row>
    <row r="90" spans="3:5" x14ac:dyDescent="0.35">
      <c r="C90" t="s">
        <v>75</v>
      </c>
      <c r="D90" s="2">
        <f>INDEX('KMX Multipliers'!$B29:$L29,MATCH("KMX | "&amp;D$6,'KMX Multipliers'!$B$1:$L$1, 0))</f>
        <v>1.0136157290084491</v>
      </c>
      <c r="E90" s="2">
        <f>INDEX('KMX Multipliers'!$B29:$L29,MATCH("KMX | "&amp;E$6,'KMX Multipliers'!$B$1:$L$1, 0))</f>
        <v>0.94041020068943137</v>
      </c>
    </row>
    <row r="91" spans="3:5" x14ac:dyDescent="0.35">
      <c r="C91" t="s">
        <v>76</v>
      </c>
      <c r="D91" s="2">
        <f>INDEX('KMX Multipliers'!$B30:$L30,MATCH("KMX | "&amp;D$6,'KMX Multipliers'!$B$1:$L$1, 0))</f>
        <v>-0.34039322521122739</v>
      </c>
      <c r="E91" s="2">
        <f>INDEX('KMX Multipliers'!$B30:$L30,MATCH("KMX | "&amp;E$6,'KMX Multipliers'!$B$1:$L$1, 0))</f>
        <v>1.489744982764216</v>
      </c>
    </row>
    <row r="92" spans="3:5" x14ac:dyDescent="0.35">
      <c r="C92" t="s">
        <v>77</v>
      </c>
      <c r="D92" s="2">
        <f>INDEX('KMX Multipliers'!$B31:$L31,MATCH("KMX | "&amp;D$6,'KMX Multipliers'!$B$1:$L$1, 0))</f>
        <v>18819</v>
      </c>
      <c r="E92" s="2">
        <f>INDEX('KMX Multipliers'!$B31:$L31,MATCH("KMX | "&amp;E$6,'KMX Multipliers'!$B$1:$L$1, 0))</f>
        <v>13629</v>
      </c>
    </row>
    <row r="93" spans="3:5" x14ac:dyDescent="0.35">
      <c r="D93" s="2"/>
      <c r="E93" s="2"/>
    </row>
    <row r="94" spans="3:5" x14ac:dyDescent="0.35">
      <c r="D94" s="2"/>
      <c r="E94" s="2"/>
    </row>
    <row r="95" spans="3:5" x14ac:dyDescent="0.35">
      <c r="D95" s="2"/>
      <c r="E95" s="2"/>
    </row>
    <row r="96" spans="3:5" x14ac:dyDescent="0.35">
      <c r="C96" s="13" t="str">
        <f>B2</f>
        <v>2025 Q1</v>
      </c>
      <c r="D96" s="2"/>
      <c r="E96" s="2"/>
    </row>
    <row r="97" spans="3:9" x14ac:dyDescent="0.35">
      <c r="C97" s="11" t="s">
        <v>199</v>
      </c>
      <c r="D97" s="2" t="s">
        <v>133</v>
      </c>
      <c r="E97" s="2" t="s">
        <v>134</v>
      </c>
      <c r="F97" t="s">
        <v>135</v>
      </c>
      <c r="G97" t="str">
        <f>C96</f>
        <v>2025 Q1</v>
      </c>
      <c r="H97" t="str">
        <f>C131</f>
        <v>2025 Q4</v>
      </c>
    </row>
    <row r="98" spans="3:9" x14ac:dyDescent="0.35">
      <c r="C98" s="11" t="s">
        <v>422</v>
      </c>
      <c r="D98" s="2">
        <f>D64/D63</f>
        <v>1.0001231202508101</v>
      </c>
      <c r="E98" s="2">
        <f>LN(D98)</f>
        <v>1.2311267213404434E-4</v>
      </c>
      <c r="F98">
        <f>E98/SUM($E$98:$E$124)</f>
        <v>9.1033625388012261E-3</v>
      </c>
      <c r="G98" s="1">
        <f>25*F98*(1-$D$90)</f>
        <v>-3.0987229348496165E-3</v>
      </c>
      <c r="H98" s="1">
        <f>G133</f>
        <v>0</v>
      </c>
    </row>
    <row r="99" spans="3:9" x14ac:dyDescent="0.35">
      <c r="C99" s="11" t="s">
        <v>423</v>
      </c>
      <c r="D99" s="2">
        <f t="shared" ref="D99:D124" si="13">D65/D64</f>
        <v>1.0007673745678907</v>
      </c>
      <c r="E99" s="2">
        <f t="shared" ref="E99:E124" si="14">LN(D99)</f>
        <v>7.670802865666561E-4</v>
      </c>
      <c r="F99">
        <f>E99/SUM($E$98:$E$124)</f>
        <v>5.672048071039143E-2</v>
      </c>
      <c r="G99" s="1">
        <f t="shared" ref="G99:G124" si="15">25*F99*(1-$D$90)</f>
        <v>-1.9307267364541348E-2</v>
      </c>
      <c r="H99" s="1">
        <f t="shared" ref="H99:H124" si="16">G134</f>
        <v>-1.5300861249060006E-2</v>
      </c>
    </row>
    <row r="100" spans="3:9" x14ac:dyDescent="0.35">
      <c r="C100" s="11" t="s">
        <v>424</v>
      </c>
      <c r="D100" s="2">
        <f t="shared" si="13"/>
        <v>1.0051635240627406</v>
      </c>
      <c r="E100" s="2">
        <f>LN(D100)</f>
        <v>5.1502387853093572E-3</v>
      </c>
      <c r="F100">
        <f t="shared" ref="F99:F124" si="17">E100/SUM($E$98:$E$124)</f>
        <v>0.38082587284775021</v>
      </c>
      <c r="G100" s="1">
        <f t="shared" si="15"/>
        <v>-0.1296305471025265</v>
      </c>
      <c r="H100" s="1">
        <f t="shared" si="16"/>
        <v>-9.0532548747062E-2</v>
      </c>
    </row>
    <row r="101" spans="3:9" x14ac:dyDescent="0.35">
      <c r="C101" s="11" t="s">
        <v>425</v>
      </c>
      <c r="D101" s="2">
        <f t="shared" si="13"/>
        <v>0.97034307640504769</v>
      </c>
      <c r="E101" s="2">
        <f t="shared" si="14"/>
        <v>-3.0105583001703747E-2</v>
      </c>
      <c r="F101">
        <f t="shared" si="17"/>
        <v>-2.226107449021038</v>
      </c>
      <c r="G101" s="1">
        <f t="shared" si="15"/>
        <v>0.75775189423900902</v>
      </c>
      <c r="H101" s="1">
        <f t="shared" si="16"/>
        <v>0.5464183482363264</v>
      </c>
    </row>
    <row r="102" spans="3:9" x14ac:dyDescent="0.35">
      <c r="C102" s="81" t="s">
        <v>426</v>
      </c>
      <c r="D102" s="2">
        <f t="shared" si="13"/>
        <v>1.0090674805547821</v>
      </c>
      <c r="E102" s="2">
        <f>LN(D102)</f>
        <v>9.0266177821543905E-3</v>
      </c>
      <c r="F102">
        <f t="shared" si="17"/>
        <v>0.66745829446925076</v>
      </c>
      <c r="G102" s="1">
        <f>25*F102*(1-$D$90)</f>
        <v>-0.22719828154837338</v>
      </c>
      <c r="H102" s="1">
        <f t="shared" si="16"/>
        <v>-0.275300667064107</v>
      </c>
    </row>
    <row r="103" spans="3:9" x14ac:dyDescent="0.35">
      <c r="C103" s="11" t="s">
        <v>427</v>
      </c>
      <c r="D103" s="2">
        <f t="shared" si="13"/>
        <v>0.99803238589001475</v>
      </c>
      <c r="E103" s="2">
        <f t="shared" si="14"/>
        <v>-1.9695524055906781E-3</v>
      </c>
      <c r="F103">
        <f t="shared" si="17"/>
        <v>-0.14563528901182837</v>
      </c>
      <c r="G103" s="1">
        <f t="shared" si="15"/>
        <v>4.957326573130548E-2</v>
      </c>
      <c r="H103" s="1">
        <f t="shared" si="16"/>
        <v>2.1009105907124927E-2</v>
      </c>
    </row>
    <row r="104" spans="3:9" x14ac:dyDescent="0.35">
      <c r="C104" s="82" t="s">
        <v>428</v>
      </c>
      <c r="D104" s="2">
        <f t="shared" si="13"/>
        <v>0.98912893300345495</v>
      </c>
      <c r="E104" s="2">
        <f t="shared" si="14"/>
        <v>-1.0930588815564232E-2</v>
      </c>
      <c r="F104">
        <f t="shared" si="17"/>
        <v>-0.80824427758587292</v>
      </c>
      <c r="G104" s="1">
        <f t="shared" si="15"/>
        <v>0.27512087640597382</v>
      </c>
      <c r="H104" s="1">
        <f t="shared" si="16"/>
        <v>0.16898964180838216</v>
      </c>
    </row>
    <row r="105" spans="3:9" x14ac:dyDescent="0.35">
      <c r="C105" s="11" t="s">
        <v>115</v>
      </c>
      <c r="D105" s="2">
        <f t="shared" si="13"/>
        <v>0.99519835782295774</v>
      </c>
      <c r="E105" s="2">
        <f t="shared" si="14"/>
        <v>-4.8132070960937813E-3</v>
      </c>
      <c r="F105">
        <f t="shared" si="17"/>
        <v>-0.35590462306240384</v>
      </c>
      <c r="G105" s="1">
        <f t="shared" si="15"/>
        <v>0.12114752251179782</v>
      </c>
      <c r="H105" s="1">
        <f t="shared" si="16"/>
        <v>1.0001986093369717E-2</v>
      </c>
    </row>
    <row r="106" spans="3:9" x14ac:dyDescent="0.35">
      <c r="C106" s="11" t="s">
        <v>118</v>
      </c>
      <c r="D106" s="2">
        <f t="shared" si="13"/>
        <v>0.99922239647296152</v>
      </c>
      <c r="E106" s="2">
        <f t="shared" si="14"/>
        <v>-7.7790601748303875E-4</v>
      </c>
      <c r="F106">
        <f t="shared" si="17"/>
        <v>-5.7520971444375651E-2</v>
      </c>
      <c r="G106" s="1">
        <f t="shared" si="15"/>
        <v>1.9579748987233941E-2</v>
      </c>
      <c r="H106" s="1">
        <f t="shared" si="16"/>
        <v>1.7823186088763966E-2</v>
      </c>
    </row>
    <row r="107" spans="3:9" x14ac:dyDescent="0.35">
      <c r="C107" s="16" t="s">
        <v>301</v>
      </c>
      <c r="D107" s="2">
        <f t="shared" si="13"/>
        <v>0.98365053009171788</v>
      </c>
      <c r="E107" s="2">
        <f t="shared" si="14"/>
        <v>-1.6484597357229305E-2</v>
      </c>
      <c r="F107">
        <f t="shared" si="17"/>
        <v>-1.218926236006256</v>
      </c>
      <c r="G107" s="1">
        <f t="shared" si="15"/>
        <v>0.41491423276875122</v>
      </c>
      <c r="H107" s="1">
        <f t="shared" si="16"/>
        <v>0.22464027490758418</v>
      </c>
    </row>
    <row r="108" spans="3:9" x14ac:dyDescent="0.35">
      <c r="C108" s="11" t="s">
        <v>429</v>
      </c>
      <c r="D108" s="2">
        <f t="shared" si="13"/>
        <v>1.0043764902053312</v>
      </c>
      <c r="E108" s="2">
        <f t="shared" si="14"/>
        <v>4.3669412226213207E-3</v>
      </c>
      <c r="F108">
        <f t="shared" si="17"/>
        <v>0.32290623252717643</v>
      </c>
      <c r="G108" s="1">
        <f t="shared" si="15"/>
        <v>-0.10991509393073214</v>
      </c>
      <c r="H108" s="1">
        <f t="shared" si="16"/>
        <v>-5.3863131008693443E-2</v>
      </c>
    </row>
    <row r="109" spans="3:9" x14ac:dyDescent="0.35">
      <c r="C109" s="11" t="s">
        <v>110</v>
      </c>
      <c r="D109" s="2">
        <f t="shared" si="13"/>
        <v>1.0047877093652382</v>
      </c>
      <c r="E109" s="2">
        <f t="shared" si="14"/>
        <v>4.7762847354482019E-3</v>
      </c>
      <c r="F109">
        <f t="shared" si="17"/>
        <v>0.35317446028615357</v>
      </c>
      <c r="G109" s="1">
        <f t="shared" si="15"/>
        <v>-0.12021819359903836</v>
      </c>
      <c r="H109" s="1">
        <f t="shared" si="16"/>
        <v>0.28832200078844711</v>
      </c>
    </row>
    <row r="110" spans="3:9" x14ac:dyDescent="0.35">
      <c r="C110" s="11" t="s">
        <v>430</v>
      </c>
      <c r="D110" s="2">
        <f t="shared" si="13"/>
        <v>1</v>
      </c>
      <c r="E110" s="2">
        <f t="shared" si="14"/>
        <v>0</v>
      </c>
      <c r="F110">
        <f t="shared" si="17"/>
        <v>0</v>
      </c>
      <c r="G110" s="1">
        <f t="shared" si="15"/>
        <v>0</v>
      </c>
      <c r="H110" s="1">
        <f t="shared" si="16"/>
        <v>7.3557527778583641E-5</v>
      </c>
      <c r="I110" s="167"/>
    </row>
    <row r="111" spans="3:9" x14ac:dyDescent="0.35">
      <c r="C111" s="11" t="s">
        <v>306</v>
      </c>
      <c r="D111" s="2">
        <f t="shared" si="13"/>
        <v>1.0003784380532657</v>
      </c>
      <c r="E111" s="2">
        <f t="shared" si="14"/>
        <v>3.7836646364649212E-4</v>
      </c>
      <c r="F111">
        <f t="shared" si="17"/>
        <v>2.7977681187424171E-2</v>
      </c>
      <c r="G111" s="1">
        <f t="shared" si="15"/>
        <v>-9.5234131333187966E-3</v>
      </c>
      <c r="H111" s="1">
        <f t="shared" si="16"/>
        <v>-5.9094782295668171E-3</v>
      </c>
      <c r="I111" s="167"/>
    </row>
    <row r="112" spans="3:9" x14ac:dyDescent="0.35">
      <c r="C112" s="80" t="s">
        <v>431</v>
      </c>
      <c r="D112" s="2">
        <f t="shared" si="13"/>
        <v>1.0018536434710605</v>
      </c>
      <c r="E112" s="2">
        <f t="shared" si="14"/>
        <v>1.8519275940905144E-3</v>
      </c>
      <c r="F112">
        <f t="shared" si="17"/>
        <v>0.1369377172340159</v>
      </c>
      <c r="G112" s="1">
        <f t="shared" si="15"/>
        <v>-4.6612671222349751E-2</v>
      </c>
      <c r="H112" s="1">
        <f t="shared" si="16"/>
        <v>-5.5835080666876473E-2</v>
      </c>
      <c r="I112" s="167"/>
    </row>
    <row r="113" spans="3:9" x14ac:dyDescent="0.35">
      <c r="C113" s="80" t="s">
        <v>432</v>
      </c>
      <c r="D113" s="2">
        <f t="shared" si="13"/>
        <v>1.0117060822169941</v>
      </c>
      <c r="E113" s="2">
        <f t="shared" si="14"/>
        <v>1.1638096089657634E-2</v>
      </c>
      <c r="F113">
        <f t="shared" si="17"/>
        <v>0.86055973060356605</v>
      </c>
      <c r="G113" s="1">
        <f t="shared" si="15"/>
        <v>-0.29292870218705286</v>
      </c>
      <c r="H113" s="1">
        <f t="shared" si="16"/>
        <v>-0.19542315218455489</v>
      </c>
      <c r="I113" s="167"/>
    </row>
    <row r="114" spans="3:9" x14ac:dyDescent="0.35">
      <c r="C114" s="80" t="s">
        <v>433</v>
      </c>
      <c r="D114" s="2">
        <f t="shared" si="13"/>
        <v>0.98353248582766084</v>
      </c>
      <c r="E114" s="2">
        <f t="shared" si="14"/>
        <v>-1.6604610862066885E-2</v>
      </c>
      <c r="F114">
        <f t="shared" si="17"/>
        <v>-1.2278004357547525</v>
      </c>
      <c r="G114" s="1">
        <f t="shared" si="15"/>
        <v>0.41793495024231059</v>
      </c>
      <c r="H114" s="1">
        <f t="shared" si="16"/>
        <v>0.51386131558893533</v>
      </c>
      <c r="I114" s="167"/>
    </row>
    <row r="115" spans="3:9" x14ac:dyDescent="0.35">
      <c r="C115" s="80" t="s">
        <v>434</v>
      </c>
      <c r="D115" s="2">
        <f t="shared" si="13"/>
        <v>1.0066767501322047</v>
      </c>
      <c r="E115" s="2">
        <f t="shared" si="14"/>
        <v>6.6545593561224622E-3</v>
      </c>
      <c r="F115">
        <f t="shared" si="17"/>
        <v>0.49206036474292852</v>
      </c>
      <c r="G115" s="1">
        <f t="shared" si="15"/>
        <v>-0.16749401455345836</v>
      </c>
      <c r="H115" s="1">
        <f t="shared" si="16"/>
        <v>-0.1512204425200091</v>
      </c>
      <c r="I115" s="167"/>
    </row>
    <row r="116" spans="3:9" x14ac:dyDescent="0.35">
      <c r="C116" s="81" t="s">
        <v>112</v>
      </c>
      <c r="D116" s="2">
        <f t="shared" si="13"/>
        <v>1.043222298641064</v>
      </c>
      <c r="E116" s="2">
        <f t="shared" si="14"/>
        <v>4.231428719288572E-2</v>
      </c>
      <c r="F116">
        <f t="shared" si="17"/>
        <v>3.1288598501735581</v>
      </c>
      <c r="G116" s="1">
        <f t="shared" si="15"/>
        <v>-1.0650426956344949</v>
      </c>
      <c r="H116" s="1">
        <f t="shared" si="16"/>
        <v>-0.85402512427685884</v>
      </c>
      <c r="I116" s="167"/>
    </row>
    <row r="117" spans="3:9" x14ac:dyDescent="0.35">
      <c r="C117" s="89" t="s">
        <v>403</v>
      </c>
      <c r="D117" s="2">
        <f t="shared" si="13"/>
        <v>1.0254601481011294</v>
      </c>
      <c r="E117" s="2">
        <f t="shared" si="14"/>
        <v>2.5141436830413429E-2</v>
      </c>
      <c r="F117">
        <f t="shared" si="17"/>
        <v>1.8590418861547331</v>
      </c>
      <c r="G117" s="1">
        <f t="shared" si="15"/>
        <v>-0.63280526343097299</v>
      </c>
      <c r="H117" s="1">
        <f t="shared" si="16"/>
        <v>-0.49157282301077787</v>
      </c>
      <c r="I117" s="167"/>
    </row>
    <row r="118" spans="3:9" x14ac:dyDescent="0.35">
      <c r="C118" t="s">
        <v>435</v>
      </c>
      <c r="D118" s="2">
        <f t="shared" si="13"/>
        <v>1.0041451301443467</v>
      </c>
      <c r="E118" s="2">
        <f t="shared" si="14"/>
        <v>4.1365627595132699E-3</v>
      </c>
      <c r="F118">
        <f t="shared" si="17"/>
        <v>0.30587127881809772</v>
      </c>
      <c r="G118" s="1">
        <f t="shared" si="15"/>
        <v>-0.10411651109637486</v>
      </c>
      <c r="H118" s="1">
        <f t="shared" si="16"/>
        <v>-4.8831835494050735E-2</v>
      </c>
      <c r="I118" s="167"/>
    </row>
    <row r="119" spans="3:9" x14ac:dyDescent="0.35">
      <c r="C119" t="s">
        <v>436</v>
      </c>
      <c r="D119" s="2">
        <f t="shared" si="13"/>
        <v>1.0008109996537942</v>
      </c>
      <c r="E119" s="2">
        <f t="shared" si="14"/>
        <v>8.1067097127054098E-4</v>
      </c>
      <c r="F119">
        <f t="shared" si="17"/>
        <v>5.9943721659478977E-2</v>
      </c>
      <c r="G119" s="1">
        <f t="shared" si="15"/>
        <v>-2.0404436746834155E-2</v>
      </c>
      <c r="H119" s="1">
        <f t="shared" si="16"/>
        <v>-1.8740198275094377E-2</v>
      </c>
    </row>
    <row r="120" spans="3:9" x14ac:dyDescent="0.35">
      <c r="C120" t="s">
        <v>427</v>
      </c>
      <c r="D120" s="2">
        <f t="shared" si="13"/>
        <v>0.99580358868855878</v>
      </c>
      <c r="E120" s="2">
        <f t="shared" si="14"/>
        <v>-4.2052409559262651E-3</v>
      </c>
      <c r="F120">
        <f t="shared" si="17"/>
        <v>-0.31094957424960112</v>
      </c>
      <c r="G120" s="1">
        <f t="shared" si="15"/>
        <v>0.10584512845687975</v>
      </c>
      <c r="H120" s="1">
        <f t="shared" si="16"/>
        <v>0.11962551155086004</v>
      </c>
    </row>
    <row r="121" spans="3:9" x14ac:dyDescent="0.35">
      <c r="C121" s="90" t="s">
        <v>428</v>
      </c>
      <c r="D121" s="2">
        <f t="shared" si="13"/>
        <v>1.0091081455717064</v>
      </c>
      <c r="E121" s="2">
        <f t="shared" si="14"/>
        <v>9.066916571222404E-3</v>
      </c>
      <c r="F121">
        <f t="shared" si="17"/>
        <v>0.6704381216503339</v>
      </c>
      <c r="G121" s="1">
        <f t="shared" si="15"/>
        <v>-0.22821259453311435</v>
      </c>
      <c r="H121" s="1">
        <f t="shared" si="16"/>
        <v>1.0996342956171519</v>
      </c>
    </row>
    <row r="122" spans="3:9" x14ac:dyDescent="0.35">
      <c r="C122" t="s">
        <v>342</v>
      </c>
      <c r="D122" s="2">
        <f t="shared" si="13"/>
        <v>0.98989962596322389</v>
      </c>
      <c r="E122" s="2">
        <f t="shared" si="14"/>
        <v>-1.0151728909539082E-2</v>
      </c>
      <c r="F122">
        <f t="shared" si="17"/>
        <v>-0.75065277243387862</v>
      </c>
      <c r="G122" s="1">
        <f t="shared" si="15"/>
        <v>0.25551711822251749</v>
      </c>
      <c r="H122" s="1">
        <f t="shared" si="16"/>
        <v>0.12317210582510239</v>
      </c>
    </row>
    <row r="123" spans="3:9" x14ac:dyDescent="0.35">
      <c r="C123" t="s">
        <v>74</v>
      </c>
      <c r="D123" s="2">
        <f t="shared" si="13"/>
        <v>1</v>
      </c>
      <c r="E123" s="2">
        <f t="shared" si="14"/>
        <v>0</v>
      </c>
      <c r="F123">
        <f t="shared" si="17"/>
        <v>0</v>
      </c>
      <c r="G123" s="1">
        <f t="shared" si="15"/>
        <v>0</v>
      </c>
      <c r="H123" s="1">
        <f t="shared" si="16"/>
        <v>0</v>
      </c>
    </row>
    <row r="124" spans="3:9" x14ac:dyDescent="0.35">
      <c r="C124" t="s">
        <v>75</v>
      </c>
      <c r="D124" s="2">
        <f t="shared" si="13"/>
        <v>0.98350140161604949</v>
      </c>
      <c r="E124" s="2">
        <f t="shared" si="14"/>
        <v>-1.6636216023332651E-2</v>
      </c>
      <c r="F124">
        <f t="shared" si="17"/>
        <v>-1.2301374270336543</v>
      </c>
      <c r="G124" s="1">
        <f t="shared" si="15"/>
        <v>0.41873044624102645</v>
      </c>
      <c r="H124" s="1">
        <f t="shared" si="16"/>
        <v>0.61272899555110039</v>
      </c>
    </row>
    <row r="126" spans="3:9" x14ac:dyDescent="0.35">
      <c r="G126" s="13">
        <f>SUM(G98:G124)</f>
        <v>-0.34039322521122667</v>
      </c>
      <c r="H126" s="14">
        <f>SUM(H98:H124)</f>
        <v>1.4897449827642157</v>
      </c>
    </row>
    <row r="131" spans="3:7" x14ac:dyDescent="0.35">
      <c r="C131" s="13" t="str">
        <f>B3</f>
        <v>2025 Q4</v>
      </c>
    </row>
    <row r="132" spans="3:7" x14ac:dyDescent="0.35">
      <c r="C132" s="11" t="s">
        <v>199</v>
      </c>
      <c r="D132" s="2" t="s">
        <v>133</v>
      </c>
      <c r="E132" s="2" t="s">
        <v>134</v>
      </c>
      <c r="F132" t="s">
        <v>135</v>
      </c>
      <c r="G132" t="s">
        <v>375</v>
      </c>
    </row>
    <row r="133" spans="3:7" x14ac:dyDescent="0.35">
      <c r="C133" s="11" t="s">
        <v>318</v>
      </c>
      <c r="D133" s="2">
        <f>E64/E63</f>
        <v>1</v>
      </c>
      <c r="E133" s="2">
        <f>LN(D133)</f>
        <v>0</v>
      </c>
      <c r="F133">
        <f>E133/SUM($E$133:$E$159)</f>
        <v>0</v>
      </c>
      <c r="G133" s="1">
        <f>25*F133*(1-$E$90)</f>
        <v>0</v>
      </c>
    </row>
    <row r="134" spans="3:7" x14ac:dyDescent="0.35">
      <c r="C134" s="11" t="s">
        <v>319</v>
      </c>
      <c r="D134" s="2">
        <f t="shared" ref="D134:D159" si="18">E65/E64</f>
        <v>1.000631227529533</v>
      </c>
      <c r="E134" s="2">
        <f t="shared" ref="E134:E159" si="19">LN(D134)</f>
        <v>6.3102838923350649E-4</v>
      </c>
      <c r="F134">
        <f t="shared" ref="F134:F159" si="20">E134/SUM($E$133:$E$159)</f>
        <v>-1.0270792267190134E-2</v>
      </c>
      <c r="G134" s="1">
        <f t="shared" ref="G134:G159" si="21">25*F134*(1-$E$90)</f>
        <v>-1.5300861249060006E-2</v>
      </c>
    </row>
    <row r="135" spans="3:7" x14ac:dyDescent="0.35">
      <c r="C135" s="11" t="s">
        <v>320</v>
      </c>
      <c r="D135" s="2">
        <f t="shared" si="18"/>
        <v>1.0037406646901219</v>
      </c>
      <c r="E135" s="2">
        <f>LN(D135)</f>
        <v>3.7336858023316881E-3</v>
      </c>
      <c r="F135">
        <f t="shared" si="20"/>
        <v>-6.0770500853830185E-2</v>
      </c>
      <c r="G135" s="1">
        <f t="shared" si="21"/>
        <v>-9.0532548747062E-2</v>
      </c>
    </row>
    <row r="136" spans="3:7" x14ac:dyDescent="0.35">
      <c r="C136" s="11" t="s">
        <v>321</v>
      </c>
      <c r="D136" s="2">
        <f t="shared" si="18"/>
        <v>0.97771697931658597</v>
      </c>
      <c r="E136" s="2">
        <f t="shared" si="19"/>
        <v>-2.253503802973085E-2</v>
      </c>
      <c r="F136">
        <f t="shared" si="20"/>
        <v>0.36678650007765051</v>
      </c>
      <c r="G136" s="1">
        <f t="shared" si="21"/>
        <v>0.5464183482363264</v>
      </c>
    </row>
    <row r="137" spans="3:7" x14ac:dyDescent="0.35">
      <c r="C137" s="11" t="s">
        <v>322</v>
      </c>
      <c r="D137" s="2">
        <f t="shared" si="18"/>
        <v>1.0114184737671048</v>
      </c>
      <c r="E137" s="2">
        <f t="shared" si="19"/>
        <v>1.1353775036882044E-2</v>
      </c>
      <c r="F137">
        <f t="shared" si="20"/>
        <v>-0.18479717686532346</v>
      </c>
      <c r="G137" s="1">
        <f t="shared" si="21"/>
        <v>-0.275300667064107</v>
      </c>
    </row>
    <row r="138" spans="3:7" x14ac:dyDescent="0.35">
      <c r="C138" s="11" t="s">
        <v>323</v>
      </c>
      <c r="D138" s="2">
        <f t="shared" si="18"/>
        <v>0.99913393106904502</v>
      </c>
      <c r="E138" s="2">
        <f t="shared" si="19"/>
        <v>-8.6644418533130885E-4</v>
      </c>
      <c r="F138">
        <f t="shared" si="20"/>
        <v>1.4102484754231303E-2</v>
      </c>
      <c r="G138" s="1">
        <f t="shared" si="21"/>
        <v>2.1009105907124927E-2</v>
      </c>
    </row>
    <row r="139" spans="3:7" x14ac:dyDescent="0.35">
      <c r="C139" s="18" t="s">
        <v>324</v>
      </c>
      <c r="D139" s="2">
        <f t="shared" si="18"/>
        <v>0.99305486635098805</v>
      </c>
      <c r="E139" s="2">
        <f t="shared" si="19"/>
        <v>-6.9693633405140381E-3</v>
      </c>
      <c r="F139">
        <f t="shared" si="20"/>
        <v>0.11343528171836673</v>
      </c>
      <c r="G139" s="1">
        <f t="shared" si="21"/>
        <v>0.16898964180838216</v>
      </c>
    </row>
    <row r="140" spans="3:7" x14ac:dyDescent="0.35">
      <c r="C140" s="11" t="s">
        <v>325</v>
      </c>
      <c r="D140" s="2">
        <f t="shared" si="18"/>
        <v>0.99958758951477367</v>
      </c>
      <c r="E140" s="2">
        <f t="shared" si="19"/>
        <v>-4.1249554981898616E-4</v>
      </c>
      <c r="F140">
        <f t="shared" si="20"/>
        <v>6.7138914438973811E-3</v>
      </c>
      <c r="G140" s="1">
        <f t="shared" si="21"/>
        <v>1.0001986093369717E-2</v>
      </c>
    </row>
    <row r="141" spans="3:7" x14ac:dyDescent="0.35">
      <c r="C141" s="11" t="s">
        <v>326</v>
      </c>
      <c r="D141" s="2">
        <f t="shared" si="18"/>
        <v>0.9992652175786837</v>
      </c>
      <c r="E141" s="2">
        <f t="shared" si="19"/>
        <v>-7.3505250623017793E-4</v>
      </c>
      <c r="F141">
        <f t="shared" si="20"/>
        <v>1.1963917512709537E-2</v>
      </c>
      <c r="G141" s="1">
        <f t="shared" si="21"/>
        <v>1.7823186088763966E-2</v>
      </c>
    </row>
    <row r="142" spans="3:7" x14ac:dyDescent="0.35">
      <c r="C142" s="11" t="s">
        <v>327</v>
      </c>
      <c r="D142" s="2">
        <f t="shared" si="18"/>
        <v>0.99077831163181784</v>
      </c>
      <c r="E142" s="2">
        <f t="shared" si="19"/>
        <v>-9.264471360434923E-3</v>
      </c>
      <c r="F142">
        <f t="shared" si="20"/>
        <v>0.15079109344658781</v>
      </c>
      <c r="G142" s="1">
        <f t="shared" si="21"/>
        <v>0.22464027490758418</v>
      </c>
    </row>
    <row r="143" spans="3:7" x14ac:dyDescent="0.35">
      <c r="C143" s="11" t="s">
        <v>328</v>
      </c>
      <c r="D143" s="2">
        <f t="shared" si="18"/>
        <v>1.0022238581079272</v>
      </c>
      <c r="E143" s="2">
        <f t="shared" si="19"/>
        <v>2.2213889954447665E-3</v>
      </c>
      <c r="F143">
        <f t="shared" si="20"/>
        <v>-3.6155940534701871E-2</v>
      </c>
      <c r="G143" s="1">
        <f t="shared" si="21"/>
        <v>-5.3863131008693443E-2</v>
      </c>
    </row>
    <row r="144" spans="3:7" x14ac:dyDescent="0.35">
      <c r="C144" s="11" t="s">
        <v>329</v>
      </c>
      <c r="D144" s="2">
        <f t="shared" si="18"/>
        <v>0.98817962349535771</v>
      </c>
      <c r="E144" s="2">
        <f t="shared" si="19"/>
        <v>-1.1890792601579393E-2</v>
      </c>
      <c r="F144">
        <f t="shared" si="20"/>
        <v>0.19353782299938799</v>
      </c>
      <c r="G144" s="1">
        <f t="shared" si="21"/>
        <v>0.28832200078844711</v>
      </c>
    </row>
    <row r="145" spans="3:7" x14ac:dyDescent="0.35">
      <c r="C145" s="11" t="s">
        <v>330</v>
      </c>
      <c r="D145" s="2">
        <f t="shared" si="18"/>
        <v>0.99999696639181879</v>
      </c>
      <c r="E145" s="2">
        <f t="shared" si="19"/>
        <v>-3.0336127826118365E-6</v>
      </c>
      <c r="F145">
        <f t="shared" si="20"/>
        <v>4.9375919120128836E-5</v>
      </c>
      <c r="G145" s="1">
        <f t="shared" si="21"/>
        <v>7.3557527778583641E-5</v>
      </c>
    </row>
    <row r="146" spans="3:7" x14ac:dyDescent="0.35">
      <c r="C146" s="11" t="s">
        <v>331</v>
      </c>
      <c r="D146" s="2">
        <f t="shared" si="18"/>
        <v>1.0002437446439811</v>
      </c>
      <c r="E146" s="2">
        <f t="shared" si="19"/>
        <v>2.4371494308159374E-4</v>
      </c>
      <c r="F146">
        <f t="shared" si="20"/>
        <v>-3.9667716944424974E-3</v>
      </c>
      <c r="G146" s="1">
        <f t="shared" si="21"/>
        <v>-5.9094782295668171E-3</v>
      </c>
    </row>
    <row r="147" spans="3:7" x14ac:dyDescent="0.35">
      <c r="C147" s="11" t="s">
        <v>332</v>
      </c>
      <c r="D147" s="2">
        <f t="shared" si="18"/>
        <v>1.0023053681733349</v>
      </c>
      <c r="E147" s="2">
        <f t="shared" si="19"/>
        <v>2.3027148892096842E-3</v>
      </c>
      <c r="F147">
        <f t="shared" si="20"/>
        <v>-3.7479623232745993E-2</v>
      </c>
      <c r="G147" s="1">
        <f t="shared" si="21"/>
        <v>-5.5835080666876473E-2</v>
      </c>
    </row>
    <row r="148" spans="3:7" x14ac:dyDescent="0.35">
      <c r="C148" s="11" t="s">
        <v>333</v>
      </c>
      <c r="D148" s="2">
        <f t="shared" si="18"/>
        <v>1.0080920827036335</v>
      </c>
      <c r="E148" s="2">
        <f t="shared" si="19"/>
        <v>8.0595173653724862E-3</v>
      </c>
      <c r="F148">
        <f t="shared" si="20"/>
        <v>-0.13117892957890553</v>
      </c>
      <c r="G148" s="1">
        <f t="shared" si="21"/>
        <v>-0.19542315218455489</v>
      </c>
    </row>
    <row r="149" spans="3:7" x14ac:dyDescent="0.35">
      <c r="C149" s="11" t="s">
        <v>334</v>
      </c>
      <c r="D149" s="2">
        <f t="shared" si="18"/>
        <v>0.97903063814546887</v>
      </c>
      <c r="E149" s="2">
        <f t="shared" si="19"/>
        <v>-2.1192341593543766E-2</v>
      </c>
      <c r="F149">
        <f t="shared" si="20"/>
        <v>0.3449324022125369</v>
      </c>
      <c r="G149" s="1">
        <f t="shared" si="21"/>
        <v>0.51386131558893533</v>
      </c>
    </row>
    <row r="150" spans="3:7" x14ac:dyDescent="0.35">
      <c r="C150" s="11" t="s">
        <v>335</v>
      </c>
      <c r="D150" s="2">
        <f t="shared" si="18"/>
        <v>1.0062560250133057</v>
      </c>
      <c r="E150" s="2">
        <f t="shared" si="19"/>
        <v>6.2365373235733195E-3</v>
      </c>
      <c r="F150">
        <f t="shared" si="20"/>
        <v>-0.10150760315998528</v>
      </c>
      <c r="G150" s="1">
        <f t="shared" si="21"/>
        <v>-0.1512204425200091</v>
      </c>
    </row>
    <row r="151" spans="3:7" x14ac:dyDescent="0.35">
      <c r="C151" s="11" t="s">
        <v>336</v>
      </c>
      <c r="D151" s="2">
        <f t="shared" si="18"/>
        <v>1.0358487728899048</v>
      </c>
      <c r="E151" s="2">
        <f t="shared" si="19"/>
        <v>3.5221161068333923E-2</v>
      </c>
      <c r="F151">
        <f t="shared" si="20"/>
        <v>-0.57326934083189107</v>
      </c>
      <c r="G151" s="1">
        <f t="shared" si="21"/>
        <v>-0.85402512427685884</v>
      </c>
    </row>
    <row r="152" spans="3:7" x14ac:dyDescent="0.35">
      <c r="C152" s="11" t="s">
        <v>337</v>
      </c>
      <c r="D152" s="2">
        <f t="shared" si="18"/>
        <v>1.020480029509405</v>
      </c>
      <c r="E152" s="2">
        <f t="shared" si="19"/>
        <v>2.0273133756736433E-2</v>
      </c>
      <c r="F152">
        <f t="shared" si="20"/>
        <v>-0.32997112170075349</v>
      </c>
      <c r="G152" s="1">
        <f t="shared" si="21"/>
        <v>-0.49157282301077787</v>
      </c>
    </row>
    <row r="153" spans="3:7" x14ac:dyDescent="0.35">
      <c r="C153" t="s">
        <v>338</v>
      </c>
      <c r="D153" s="2">
        <f t="shared" si="18"/>
        <v>1.0020159207469155</v>
      </c>
      <c r="E153" s="2">
        <f t="shared" si="19"/>
        <v>2.0138915054222486E-3</v>
      </c>
      <c r="F153">
        <f t="shared" si="20"/>
        <v>-3.2778654104572626E-2</v>
      </c>
      <c r="G153" s="1">
        <f t="shared" si="21"/>
        <v>-4.8831835494050735E-2</v>
      </c>
    </row>
    <row r="154" spans="3:7" x14ac:dyDescent="0.35">
      <c r="C154" t="s">
        <v>339</v>
      </c>
      <c r="D154" s="2">
        <f t="shared" si="18"/>
        <v>1.0007731700816678</v>
      </c>
      <c r="E154" s="2">
        <f t="shared" si="19"/>
        <v>7.7287133965585342E-4</v>
      </c>
      <c r="F154">
        <f t="shared" si="20"/>
        <v>-1.2579467285952536E-2</v>
      </c>
      <c r="G154" s="1">
        <f t="shared" si="21"/>
        <v>-1.8740198275094377E-2</v>
      </c>
    </row>
    <row r="155" spans="3:7" x14ac:dyDescent="0.35">
      <c r="C155" t="s">
        <v>340</v>
      </c>
      <c r="D155" s="2">
        <f t="shared" si="18"/>
        <v>0.99507863054458034</v>
      </c>
      <c r="E155" s="2">
        <f t="shared" si="19"/>
        <v>-4.9335192729632075E-3</v>
      </c>
      <c r="F155">
        <f t="shared" si="20"/>
        <v>8.0299321652283998E-2</v>
      </c>
      <c r="G155" s="1">
        <f t="shared" si="21"/>
        <v>0.11962551155086004</v>
      </c>
    </row>
    <row r="156" spans="3:7" x14ac:dyDescent="0.35">
      <c r="C156" t="s">
        <v>341</v>
      </c>
      <c r="D156" s="2">
        <f t="shared" si="18"/>
        <v>0.95566254148913166</v>
      </c>
      <c r="E156" s="2">
        <f t="shared" si="19"/>
        <v>-4.5350418320527025E-2</v>
      </c>
      <c r="F156">
        <f t="shared" si="20"/>
        <v>0.73813592818871931</v>
      </c>
      <c r="G156" s="1">
        <f t="shared" si="21"/>
        <v>1.0996342956171519</v>
      </c>
    </row>
    <row r="157" spans="3:7" x14ac:dyDescent="0.35">
      <c r="C157" t="s">
        <v>342</v>
      </c>
      <c r="D157" s="2">
        <f t="shared" si="18"/>
        <v>0.99493309463362434</v>
      </c>
      <c r="E157" s="2">
        <f t="shared" si="19"/>
        <v>-5.0797856586071808E-3</v>
      </c>
      <c r="F157">
        <f t="shared" si="20"/>
        <v>8.2679993723863435E-2</v>
      </c>
      <c r="G157" s="1">
        <f t="shared" si="21"/>
        <v>0.12317210582510239</v>
      </c>
    </row>
    <row r="158" spans="3:7" x14ac:dyDescent="0.35">
      <c r="C158" t="s">
        <v>74</v>
      </c>
      <c r="D158" s="2">
        <f t="shared" si="18"/>
        <v>1</v>
      </c>
      <c r="E158" s="2">
        <f t="shared" si="19"/>
        <v>0</v>
      </c>
      <c r="F158">
        <f t="shared" si="20"/>
        <v>0</v>
      </c>
      <c r="G158" s="1">
        <f t="shared" si="21"/>
        <v>0</v>
      </c>
    </row>
    <row r="159" spans="3:7" x14ac:dyDescent="0.35">
      <c r="C159" t="s">
        <v>75</v>
      </c>
      <c r="D159" s="2">
        <f t="shared" si="18"/>
        <v>0.97504682882182958</v>
      </c>
      <c r="E159" s="2">
        <f t="shared" si="19"/>
        <v>-2.5269779576821451E-2</v>
      </c>
      <c r="F159">
        <f t="shared" si="20"/>
        <v>0.41129790846093961</v>
      </c>
      <c r="G159" s="1">
        <f t="shared" si="21"/>
        <v>0.61272899555110039</v>
      </c>
    </row>
    <row r="161" spans="7:7" x14ac:dyDescent="0.35">
      <c r="G161" s="13">
        <f>SUM(G133:G159)</f>
        <v>1.4897449827642157</v>
      </c>
    </row>
  </sheetData>
  <conditionalFormatting sqref="G98:G12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33:G15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8:H5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8:H1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8:O5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ED02A-CE64-4930-8424-8CBFB2F38839}">
  <dimension ref="A1:I79"/>
  <sheetViews>
    <sheetView topLeftCell="A31" zoomScale="115" zoomScaleNormal="115" workbookViewId="0">
      <selection activeCell="F66" sqref="F66"/>
    </sheetView>
  </sheetViews>
  <sheetFormatPr defaultRowHeight="14.5" x14ac:dyDescent="0.35"/>
  <cols>
    <col min="8" max="8" width="11.54296875" customWidth="1"/>
    <col min="9" max="9" width="12.26953125" bestFit="1" customWidth="1"/>
  </cols>
  <sheetData>
    <row r="1" spans="1:9" x14ac:dyDescent="0.35">
      <c r="A1" t="s">
        <v>195</v>
      </c>
      <c r="B1" t="s">
        <v>139</v>
      </c>
      <c r="C1" t="s">
        <v>220</v>
      </c>
      <c r="D1" t="s">
        <v>231</v>
      </c>
      <c r="E1" t="s">
        <v>232</v>
      </c>
      <c r="F1" t="s">
        <v>305</v>
      </c>
      <c r="G1" t="s">
        <v>306</v>
      </c>
      <c r="H1" t="s">
        <v>233</v>
      </c>
      <c r="I1" t="s">
        <v>189</v>
      </c>
    </row>
    <row r="2" spans="1:9" x14ac:dyDescent="0.35">
      <c r="A2" t="s">
        <v>172</v>
      </c>
      <c r="B2" t="s">
        <v>149</v>
      </c>
      <c r="C2" s="8">
        <v>1.8297840033363679</v>
      </c>
      <c r="D2">
        <v>9.4471088435374106</v>
      </c>
      <c r="E2">
        <v>109832</v>
      </c>
      <c r="F2" s="9">
        <v>0.27959183673469301</v>
      </c>
      <c r="G2" s="9">
        <v>2.75510204081632E-2</v>
      </c>
      <c r="H2" s="9">
        <v>8.9795918367346905E-2</v>
      </c>
      <c r="I2" t="str">
        <f>_xlfn.CONCAT(rec[[#This Row],[lob]], " ",rec[[#This Row],[time]])</f>
        <v>AN 2023 Q1</v>
      </c>
    </row>
    <row r="3" spans="1:9" x14ac:dyDescent="0.35">
      <c r="A3" t="s">
        <v>165</v>
      </c>
      <c r="B3" t="s">
        <v>149</v>
      </c>
      <c r="C3" s="8">
        <v>1.742359164930317</v>
      </c>
      <c r="D3">
        <v>9.3572723975335794</v>
      </c>
      <c r="E3">
        <v>105401</v>
      </c>
      <c r="F3" s="9">
        <v>0.23177366702937899</v>
      </c>
      <c r="G3" s="9">
        <v>3.1556039173014097E-2</v>
      </c>
      <c r="H3" s="9">
        <v>9.68443960826985E-2</v>
      </c>
      <c r="I3" t="str">
        <f>_xlfn.CONCAT(rec[[#This Row],[lob]], " ",rec[[#This Row],[time]])</f>
        <v>AN 2023 Q2</v>
      </c>
    </row>
    <row r="4" spans="1:9" x14ac:dyDescent="0.35">
      <c r="A4" t="s">
        <v>152</v>
      </c>
      <c r="B4" t="s">
        <v>149</v>
      </c>
      <c r="C4" s="8">
        <v>1.7141356490993609</v>
      </c>
      <c r="D4">
        <v>9.3047582104991005</v>
      </c>
      <c r="E4">
        <v>104992</v>
      </c>
      <c r="F4" s="9">
        <v>0.231962761830876</v>
      </c>
      <c r="G4" s="9">
        <v>2.56012412723041E-2</v>
      </c>
      <c r="H4" s="9">
        <v>0.113266097750193</v>
      </c>
      <c r="I4" t="str">
        <f>_xlfn.CONCAT(rec[[#This Row],[lob]], " ",rec[[#This Row],[time]])</f>
        <v>AN 2023 Q3</v>
      </c>
    </row>
    <row r="5" spans="1:9" x14ac:dyDescent="0.35">
      <c r="A5" t="s">
        <v>166</v>
      </c>
      <c r="B5" t="s">
        <v>149</v>
      </c>
      <c r="C5" s="8">
        <v>1.7553391982297399</v>
      </c>
      <c r="D5">
        <v>9.3594377510040196</v>
      </c>
      <c r="E5">
        <v>105760</v>
      </c>
      <c r="F5" s="9">
        <v>0.24984147114774799</v>
      </c>
      <c r="G5" s="9">
        <v>2.9169308814204101E-2</v>
      </c>
      <c r="H5" s="9">
        <v>9.7653772986683499E-2</v>
      </c>
      <c r="I5" t="str">
        <f>_xlfn.CONCAT(rec[[#This Row],[lob]], " ",rec[[#This Row],[time]])</f>
        <v>AN 2023 Q4</v>
      </c>
    </row>
    <row r="6" spans="1:9" x14ac:dyDescent="0.35">
      <c r="A6" t="s">
        <v>167</v>
      </c>
      <c r="B6" t="s">
        <v>149</v>
      </c>
      <c r="C6" s="8">
        <v>1.7314752366355031</v>
      </c>
      <c r="D6">
        <v>8.8026367571822099</v>
      </c>
      <c r="E6">
        <v>97273</v>
      </c>
      <c r="F6" s="9">
        <v>0.252656434474616</v>
      </c>
      <c r="G6" s="9">
        <v>2.43998425816607E-2</v>
      </c>
      <c r="H6" s="9">
        <v>7.9496261314443095E-2</v>
      </c>
      <c r="I6" t="str">
        <f>_xlfn.CONCAT(rec[[#This Row],[lob]], " ",rec[[#This Row],[time]])</f>
        <v>AN 2024 Q1</v>
      </c>
    </row>
    <row r="7" spans="1:9" x14ac:dyDescent="0.35">
      <c r="A7" t="s">
        <v>163</v>
      </c>
      <c r="B7" t="s">
        <v>149</v>
      </c>
      <c r="C7" s="8">
        <v>1.671296540957216</v>
      </c>
      <c r="D7">
        <v>8.5337543554006903</v>
      </c>
      <c r="E7">
        <v>94439</v>
      </c>
      <c r="F7" s="9">
        <v>0.26306620209059201</v>
      </c>
      <c r="G7" s="9">
        <v>2.5696864111498199E-2</v>
      </c>
      <c r="H7" s="9">
        <v>9.7996515679442495E-2</v>
      </c>
      <c r="I7" t="str">
        <f>_xlfn.CONCAT(rec[[#This Row],[lob]], " ",rec[[#This Row],[time]])</f>
        <v>AN 2024 Q2</v>
      </c>
    </row>
    <row r="8" spans="1:9" x14ac:dyDescent="0.35">
      <c r="A8" t="s">
        <v>160</v>
      </c>
      <c r="B8" t="s">
        <v>149</v>
      </c>
      <c r="C8" s="8">
        <v>1.6602220114234161</v>
      </c>
      <c r="D8">
        <v>8.5916104639280508</v>
      </c>
      <c r="E8">
        <v>92777</v>
      </c>
      <c r="F8" s="9">
        <v>0.28203556100551802</v>
      </c>
      <c r="G8" s="9">
        <v>2.88166768853464E-2</v>
      </c>
      <c r="H8" s="9">
        <v>0.120171673819742</v>
      </c>
      <c r="I8" t="str">
        <f>_xlfn.CONCAT(rec[[#This Row],[lob]], " ",rec[[#This Row],[time]])</f>
        <v>AN 2024 Q3</v>
      </c>
    </row>
    <row r="9" spans="1:9" x14ac:dyDescent="0.35">
      <c r="A9" t="s">
        <v>126</v>
      </c>
      <c r="B9" t="s">
        <v>149</v>
      </c>
      <c r="C9" s="8">
        <v>1.641228454604436</v>
      </c>
      <c r="D9">
        <v>8.2111042055106598</v>
      </c>
      <c r="E9">
        <v>90398</v>
      </c>
      <c r="F9" s="9">
        <v>0.379117464263517</v>
      </c>
      <c r="G9" s="9">
        <v>2.7346177750155298E-2</v>
      </c>
      <c r="H9" s="9">
        <v>9.6954630205096301E-2</v>
      </c>
      <c r="I9" t="str">
        <f>_xlfn.CONCAT(rec[[#This Row],[lob]], " ",rec[[#This Row],[time]])</f>
        <v>AN 2024 Q4</v>
      </c>
    </row>
    <row r="10" spans="1:9" x14ac:dyDescent="0.35">
      <c r="A10" t="s">
        <v>128</v>
      </c>
      <c r="B10" t="s">
        <v>149</v>
      </c>
      <c r="C10" s="8">
        <v>1.617895241103861</v>
      </c>
      <c r="D10">
        <v>8.1085768591114302</v>
      </c>
      <c r="E10">
        <v>88830</v>
      </c>
      <c r="F10" s="9">
        <v>0.36279401282965001</v>
      </c>
      <c r="G10" s="9">
        <v>3.24305060584461E-2</v>
      </c>
      <c r="H10" s="9">
        <v>8.7312900926585807E-2</v>
      </c>
      <c r="I10" t="str">
        <f>_xlfn.CONCAT(rec[[#This Row],[lob]], " ",rec[[#This Row],[time]])</f>
        <v>AN 2025 Q1</v>
      </c>
    </row>
    <row r="11" spans="1:9" x14ac:dyDescent="0.35">
      <c r="A11" t="s">
        <v>129</v>
      </c>
      <c r="B11" t="s">
        <v>149</v>
      </c>
      <c r="C11" s="8">
        <v>1.577855583534405</v>
      </c>
      <c r="D11">
        <v>7.8671303074670504</v>
      </c>
      <c r="E11">
        <v>86477</v>
      </c>
      <c r="F11" s="9">
        <v>0.337847730600292</v>
      </c>
      <c r="G11" s="9">
        <v>3.7701317715958998E-2</v>
      </c>
      <c r="H11" s="9">
        <v>0.122620790629575</v>
      </c>
      <c r="I11" t="str">
        <f>_xlfn.CONCAT(rec[[#This Row],[lob]], " ",rec[[#This Row],[time]])</f>
        <v>AN 2025 Q2</v>
      </c>
    </row>
    <row r="12" spans="1:9" x14ac:dyDescent="0.35">
      <c r="A12" t="s">
        <v>130</v>
      </c>
      <c r="B12" t="s">
        <v>149</v>
      </c>
      <c r="C12" s="8">
        <v>1.5875164008545339</v>
      </c>
      <c r="D12">
        <v>7.6328671328671298</v>
      </c>
      <c r="E12">
        <v>83214</v>
      </c>
      <c r="F12" s="9">
        <v>0.36625874125874103</v>
      </c>
      <c r="G12" s="9">
        <v>3.8461538461538401E-2</v>
      </c>
      <c r="H12" s="9">
        <v>0.12805944055943999</v>
      </c>
      <c r="I12" t="str">
        <f>_xlfn.CONCAT(rec[[#This Row],[lob]], " ",rec[[#This Row],[time]])</f>
        <v>AN 2025 Q3</v>
      </c>
    </row>
    <row r="13" spans="1:9" x14ac:dyDescent="0.35">
      <c r="A13" t="s">
        <v>131</v>
      </c>
      <c r="B13" t="s">
        <v>149</v>
      </c>
      <c r="C13" s="8">
        <v>1.560187994316119</v>
      </c>
      <c r="D13">
        <v>7.1423650975889696</v>
      </c>
      <c r="E13">
        <v>78693</v>
      </c>
      <c r="F13" s="9">
        <v>0.37887485648679597</v>
      </c>
      <c r="G13" s="9">
        <v>3.8461538461538401E-2</v>
      </c>
      <c r="H13" s="9">
        <v>0.11366245694603901</v>
      </c>
      <c r="I13" t="str">
        <f>_xlfn.CONCAT(rec[[#This Row],[lob]], " ",rec[[#This Row],[time]])</f>
        <v>AN 2025 Q4</v>
      </c>
    </row>
    <row r="14" spans="1:9" x14ac:dyDescent="0.35">
      <c r="A14" t="s">
        <v>127</v>
      </c>
      <c r="B14" t="s">
        <v>149</v>
      </c>
      <c r="C14" s="8">
        <v>1.5847246204172181</v>
      </c>
      <c r="D14">
        <v>6.9883390216154497</v>
      </c>
      <c r="E14">
        <v>76667</v>
      </c>
      <c r="F14" s="9">
        <v>0.37542662116040898</v>
      </c>
      <c r="G14" s="9">
        <v>2.8441410693970399E-2</v>
      </c>
      <c r="H14" s="9">
        <v>0.117178612059158</v>
      </c>
      <c r="I14" t="str">
        <f>_xlfn.CONCAT(rec[[#This Row],[lob]], " ",rec[[#This Row],[time]])</f>
        <v>AN 2026 Q1</v>
      </c>
    </row>
    <row r="15" spans="1:9" x14ac:dyDescent="0.35">
      <c r="A15" t="s">
        <v>172</v>
      </c>
      <c r="B15" t="s">
        <v>122</v>
      </c>
      <c r="C15" s="8">
        <v>1.3930295066632989</v>
      </c>
      <c r="D15">
        <v>3.6162920210611502</v>
      </c>
      <c r="E15">
        <v>62944</v>
      </c>
      <c r="F15" s="9">
        <v>5.9842041312272103E-2</v>
      </c>
      <c r="G15" s="9">
        <v>3.7667071688942802E-2</v>
      </c>
      <c r="H15" s="9">
        <v>1.4277035236937999E-2</v>
      </c>
      <c r="I15" t="str">
        <f>_xlfn.CONCAT(rec[[#This Row],[lob]], " ",rec[[#This Row],[time]])</f>
        <v>ENT 2023 Q1</v>
      </c>
    </row>
    <row r="16" spans="1:9" x14ac:dyDescent="0.35">
      <c r="A16" t="s">
        <v>165</v>
      </c>
      <c r="B16" t="s">
        <v>122</v>
      </c>
      <c r="C16" s="8">
        <v>1.304033314799111</v>
      </c>
      <c r="D16">
        <v>3.6378964401294702</v>
      </c>
      <c r="E16">
        <v>62250</v>
      </c>
      <c r="F16" s="9">
        <v>7.1067961165048502E-2</v>
      </c>
      <c r="G16" s="9">
        <v>3.88349514563106E-2</v>
      </c>
      <c r="H16" s="9">
        <v>2.4077669902912598E-2</v>
      </c>
      <c r="I16" t="str">
        <f>_xlfn.CONCAT(rec[[#This Row],[lob]], " ",rec[[#This Row],[time]])</f>
        <v>ENT 2023 Q2</v>
      </c>
    </row>
    <row r="17" spans="1:9" x14ac:dyDescent="0.35">
      <c r="A17" t="s">
        <v>152</v>
      </c>
      <c r="B17" t="s">
        <v>122</v>
      </c>
      <c r="C17" s="8">
        <v>1.283543309643675</v>
      </c>
      <c r="D17">
        <v>3.5628209000302</v>
      </c>
      <c r="E17">
        <v>62451</v>
      </c>
      <c r="F17" s="9">
        <v>7.2485653881002698E-2</v>
      </c>
      <c r="G17" s="9">
        <v>3.8659015403201401E-2</v>
      </c>
      <c r="H17" s="9">
        <v>1.8121413470250598E-2</v>
      </c>
      <c r="I17" t="str">
        <f>_xlfn.CONCAT(rec[[#This Row],[lob]], " ",rec[[#This Row],[time]])</f>
        <v>ENT 2023 Q3</v>
      </c>
    </row>
    <row r="18" spans="1:9" x14ac:dyDescent="0.35">
      <c r="A18" t="s">
        <v>166</v>
      </c>
      <c r="B18" t="s">
        <v>122</v>
      </c>
      <c r="C18" s="8">
        <v>1.3318630386453529</v>
      </c>
      <c r="D18">
        <v>3.6685633001422402</v>
      </c>
      <c r="E18">
        <v>62200</v>
      </c>
      <c r="F18" s="9">
        <v>0.128022759601706</v>
      </c>
      <c r="G18" s="9">
        <v>3.3285917496443801E-2</v>
      </c>
      <c r="H18" s="9">
        <v>2.3613086770981499E-2</v>
      </c>
      <c r="I18" t="str">
        <f>_xlfn.CONCAT(rec[[#This Row],[lob]], " ",rec[[#This Row],[time]])</f>
        <v>ENT 2023 Q4</v>
      </c>
    </row>
    <row r="19" spans="1:9" x14ac:dyDescent="0.35">
      <c r="A19" t="s">
        <v>167</v>
      </c>
      <c r="B19" t="s">
        <v>122</v>
      </c>
      <c r="C19" s="8">
        <v>1.325037790084491</v>
      </c>
      <c r="D19">
        <v>3.70963193826061</v>
      </c>
      <c r="E19">
        <v>61377</v>
      </c>
      <c r="F19" s="9">
        <v>7.6936776491540501E-2</v>
      </c>
      <c r="G19" s="9">
        <v>3.3659839715048899E-2</v>
      </c>
      <c r="H19" s="9">
        <v>1.4959928762243901E-2</v>
      </c>
      <c r="I19" t="str">
        <f>_xlfn.CONCAT(rec[[#This Row],[lob]], " ",rec[[#This Row],[time]])</f>
        <v>ENT 2024 Q1</v>
      </c>
    </row>
    <row r="20" spans="1:9" x14ac:dyDescent="0.35">
      <c r="A20" t="s">
        <v>163</v>
      </c>
      <c r="B20" t="s">
        <v>122</v>
      </c>
      <c r="C20" s="8">
        <v>1.3131008835327489</v>
      </c>
      <c r="D20">
        <v>3.7710930347207401</v>
      </c>
      <c r="E20">
        <v>59181</v>
      </c>
      <c r="F20" s="9">
        <v>9.4865835622226904E-2</v>
      </c>
      <c r="G20" s="9">
        <v>3.59180223959433E-2</v>
      </c>
      <c r="H20" s="9">
        <v>2.1550813437565999E-2</v>
      </c>
      <c r="I20" t="str">
        <f>_xlfn.CONCAT(rec[[#This Row],[lob]], " ",rec[[#This Row],[time]])</f>
        <v>ENT 2024 Q2</v>
      </c>
    </row>
    <row r="21" spans="1:9" x14ac:dyDescent="0.35">
      <c r="A21" t="s">
        <v>160</v>
      </c>
      <c r="B21" t="s">
        <v>122</v>
      </c>
      <c r="C21" s="8">
        <v>1.3293962298633311</v>
      </c>
      <c r="D21">
        <v>3.7097945205479399</v>
      </c>
      <c r="E21">
        <v>57661</v>
      </c>
      <c r="F21" s="9">
        <v>0.16493150684931501</v>
      </c>
      <c r="G21" s="9">
        <v>3.6438356164383498E-2</v>
      </c>
      <c r="H21" s="9">
        <v>3.0958904109589E-2</v>
      </c>
      <c r="I21" t="str">
        <f>_xlfn.CONCAT(rec[[#This Row],[lob]], " ",rec[[#This Row],[time]])</f>
        <v>ENT 2024 Q3</v>
      </c>
    </row>
    <row r="22" spans="1:9" x14ac:dyDescent="0.35">
      <c r="A22" t="s">
        <v>126</v>
      </c>
      <c r="B22" t="s">
        <v>122</v>
      </c>
      <c r="C22" s="8">
        <v>1.3582344876133881</v>
      </c>
      <c r="D22">
        <v>3.6850870552611599</v>
      </c>
      <c r="E22">
        <v>57856</v>
      </c>
      <c r="F22" s="9">
        <v>0.40297754226596</v>
      </c>
      <c r="G22" s="9">
        <v>3.4569770375977797E-2</v>
      </c>
      <c r="H22" s="9">
        <v>2.2962402220539899E-2</v>
      </c>
      <c r="I22" t="str">
        <f>_xlfn.CONCAT(rec[[#This Row],[lob]], " ",rec[[#This Row],[time]])</f>
        <v>ENT 2024 Q4</v>
      </c>
    </row>
    <row r="23" spans="1:9" x14ac:dyDescent="0.35">
      <c r="A23" t="s">
        <v>128</v>
      </c>
      <c r="B23" t="s">
        <v>122</v>
      </c>
      <c r="C23" s="8">
        <v>1.3350419816854779</v>
      </c>
      <c r="D23">
        <v>3.6308855397951101</v>
      </c>
      <c r="E23">
        <v>56856</v>
      </c>
      <c r="F23" s="9">
        <v>0.51034278959810797</v>
      </c>
      <c r="G23" s="9">
        <v>3.6347517730496402E-2</v>
      </c>
      <c r="H23" s="9">
        <v>1.50709219858156E-2</v>
      </c>
      <c r="I23" t="str">
        <f>_xlfn.CONCAT(rec[[#This Row],[lob]], " ",rec[[#This Row],[time]])</f>
        <v>ENT 2025 Q1</v>
      </c>
    </row>
    <row r="24" spans="1:9" x14ac:dyDescent="0.35">
      <c r="A24" t="s">
        <v>129</v>
      </c>
      <c r="B24" t="s">
        <v>122</v>
      </c>
      <c r="C24" s="8">
        <v>1.309122722965276</v>
      </c>
      <c r="D24">
        <v>3.5583981383291898</v>
      </c>
      <c r="E24">
        <v>55286</v>
      </c>
      <c r="F24" s="9">
        <v>0.41763874160480702</v>
      </c>
      <c r="G24" s="9">
        <v>4.3478260869565202E-2</v>
      </c>
      <c r="H24" s="9">
        <v>2.0855425945563801E-2</v>
      </c>
      <c r="I24" t="str">
        <f>_xlfn.CONCAT(rec[[#This Row],[lob]], " ",rec[[#This Row],[time]])</f>
        <v>ENT 2025 Q2</v>
      </c>
    </row>
    <row r="25" spans="1:9" x14ac:dyDescent="0.35">
      <c r="A25" t="s">
        <v>130</v>
      </c>
      <c r="B25" t="s">
        <v>122</v>
      </c>
      <c r="C25" s="8">
        <v>1.3192333087921619</v>
      </c>
      <c r="D25">
        <v>3.3599310498220598</v>
      </c>
      <c r="E25">
        <v>54302</v>
      </c>
      <c r="F25" s="9">
        <v>0.41614768683274</v>
      </c>
      <c r="G25" s="9">
        <v>4.5596085409252599E-2</v>
      </c>
      <c r="H25" s="9">
        <v>3.1583629893238402E-2</v>
      </c>
      <c r="I25" t="str">
        <f>_xlfn.CONCAT(rec[[#This Row],[lob]], " ",rec[[#This Row],[time]])</f>
        <v>ENT 2025 Q3</v>
      </c>
    </row>
    <row r="26" spans="1:9" x14ac:dyDescent="0.35">
      <c r="A26" t="s">
        <v>131</v>
      </c>
      <c r="B26" t="s">
        <v>122</v>
      </c>
      <c r="C26" s="8">
        <v>1.3324990469810289</v>
      </c>
      <c r="D26">
        <v>3.1723389169547</v>
      </c>
      <c r="E26">
        <v>53438</v>
      </c>
      <c r="F26" s="9">
        <v>0.48019143844722101</v>
      </c>
      <c r="G26" s="9">
        <v>4.5732517947354397E-2</v>
      </c>
      <c r="H26" s="9">
        <v>3.1906407870247198E-2</v>
      </c>
      <c r="I26" t="str">
        <f>_xlfn.CONCAT(rec[[#This Row],[lob]], " ",rec[[#This Row],[time]])</f>
        <v>ENT 2025 Q4</v>
      </c>
    </row>
    <row r="27" spans="1:9" x14ac:dyDescent="0.35">
      <c r="A27" t="s">
        <v>127</v>
      </c>
      <c r="B27" t="s">
        <v>122</v>
      </c>
      <c r="C27" s="8">
        <v>1.361299514894946</v>
      </c>
      <c r="D27">
        <v>3.0596434200157301</v>
      </c>
      <c r="E27">
        <v>52149</v>
      </c>
      <c r="F27" s="9">
        <v>0.41134751773049599</v>
      </c>
      <c r="G27" s="9">
        <v>4.55082742316784E-2</v>
      </c>
      <c r="H27" s="9">
        <v>2.77777777777777E-2</v>
      </c>
      <c r="I27" t="str">
        <f>_xlfn.CONCAT(rec[[#This Row],[lob]], " ",rec[[#This Row],[time]])</f>
        <v>ENT 2026 Q1</v>
      </c>
    </row>
    <row r="28" spans="1:9" x14ac:dyDescent="0.35">
      <c r="A28" t="s">
        <v>172</v>
      </c>
      <c r="B28" t="s">
        <v>155</v>
      </c>
      <c r="C28" s="8">
        <v>1.426895977423144</v>
      </c>
      <c r="D28">
        <v>7.1135382955771203</v>
      </c>
      <c r="E28">
        <v>77373</v>
      </c>
      <c r="F28" s="9">
        <v>0.17152103559870499</v>
      </c>
      <c r="G28" s="9">
        <v>5.5016181229773399E-2</v>
      </c>
      <c r="H28" s="9">
        <v>0.122977346278317</v>
      </c>
      <c r="I28" t="str">
        <f>_xlfn.CONCAT(rec[[#This Row],[lob]], " ",rec[[#This Row],[time]])</f>
        <v>FLD 2023 Q1</v>
      </c>
    </row>
    <row r="29" spans="1:9" x14ac:dyDescent="0.35">
      <c r="A29" t="s">
        <v>165</v>
      </c>
      <c r="B29" t="s">
        <v>155</v>
      </c>
      <c r="C29" s="8">
        <v>1.380518431266865</v>
      </c>
      <c r="D29">
        <v>6.6728701406121003</v>
      </c>
      <c r="E29">
        <v>72459</v>
      </c>
      <c r="F29" s="9">
        <v>0.20099255583126499</v>
      </c>
      <c r="G29" s="9">
        <v>6.6997518610421802E-2</v>
      </c>
      <c r="H29" s="9">
        <v>7.9404466501240695E-2</v>
      </c>
      <c r="I29" t="str">
        <f>_xlfn.CONCAT(rec[[#This Row],[lob]], " ",rec[[#This Row],[time]])</f>
        <v>FLD 2023 Q2</v>
      </c>
    </row>
    <row r="30" spans="1:9" x14ac:dyDescent="0.35">
      <c r="A30" t="s">
        <v>152</v>
      </c>
      <c r="B30" t="s">
        <v>155</v>
      </c>
      <c r="C30" s="8">
        <v>1.376260233298652</v>
      </c>
      <c r="D30">
        <v>6.1576884167931203</v>
      </c>
      <c r="E30">
        <v>69848</v>
      </c>
      <c r="F30" s="9">
        <v>0.20485584218512801</v>
      </c>
      <c r="G30" s="9">
        <v>3.9453717754172897E-2</v>
      </c>
      <c r="H30" s="9">
        <v>6.9802731411229099E-2</v>
      </c>
      <c r="I30" t="str">
        <f>_xlfn.CONCAT(rec[[#This Row],[lob]], " ",rec[[#This Row],[time]])</f>
        <v>FLD 2023 Q3</v>
      </c>
    </row>
    <row r="31" spans="1:9" x14ac:dyDescent="0.35">
      <c r="A31" t="s">
        <v>166</v>
      </c>
      <c r="B31" t="s">
        <v>155</v>
      </c>
      <c r="C31" s="8">
        <v>1.379855061623926</v>
      </c>
      <c r="D31">
        <v>5.9655555555555599</v>
      </c>
      <c r="E31">
        <v>66217</v>
      </c>
      <c r="F31" s="9">
        <v>0.161481481481481</v>
      </c>
      <c r="G31" s="9">
        <v>2.8148148148148099E-2</v>
      </c>
      <c r="H31" s="9">
        <v>9.92592592592592E-2</v>
      </c>
      <c r="I31" t="str">
        <f>_xlfn.CONCAT(rec[[#This Row],[lob]], " ",rec[[#This Row],[time]])</f>
        <v>FLD 2023 Q4</v>
      </c>
    </row>
    <row r="32" spans="1:9" x14ac:dyDescent="0.35">
      <c r="A32" t="s">
        <v>167</v>
      </c>
      <c r="B32" t="s">
        <v>155</v>
      </c>
      <c r="C32" s="8">
        <v>1.430873405956661</v>
      </c>
      <c r="D32">
        <v>6.2023987074322697</v>
      </c>
      <c r="E32">
        <v>68736</v>
      </c>
      <c r="F32" s="9">
        <v>0.14988814317673299</v>
      </c>
      <c r="G32" s="9">
        <v>2.2371364653243801E-2</v>
      </c>
      <c r="H32" s="9">
        <v>7.23340790454884E-2</v>
      </c>
      <c r="I32" t="str">
        <f>_xlfn.CONCAT(rec[[#This Row],[lob]], " ",rec[[#This Row],[time]])</f>
        <v>FLD 2024 Q1</v>
      </c>
    </row>
    <row r="33" spans="1:9" x14ac:dyDescent="0.35">
      <c r="A33" t="s">
        <v>163</v>
      </c>
      <c r="B33" t="s">
        <v>155</v>
      </c>
      <c r="C33" s="8">
        <v>1.4057317083602749</v>
      </c>
      <c r="D33">
        <v>6.0981908227208299</v>
      </c>
      <c r="E33">
        <v>65618</v>
      </c>
      <c r="F33" s="9">
        <v>0.15949060036385601</v>
      </c>
      <c r="G33" s="9">
        <v>2.48635536688902E-2</v>
      </c>
      <c r="H33" s="9">
        <v>6.9739235900545704E-2</v>
      </c>
      <c r="I33" t="str">
        <f>_xlfn.CONCAT(rec[[#This Row],[lob]], " ",rec[[#This Row],[time]])</f>
        <v>FLD 2024 Q2</v>
      </c>
    </row>
    <row r="34" spans="1:9" x14ac:dyDescent="0.35">
      <c r="A34" t="s">
        <v>160</v>
      </c>
      <c r="B34" t="s">
        <v>155</v>
      </c>
      <c r="C34" s="8">
        <v>1.43033296905383</v>
      </c>
      <c r="D34">
        <v>6.5353654694391796</v>
      </c>
      <c r="E34">
        <v>70945</v>
      </c>
      <c r="F34" s="9">
        <v>0.19281663516068001</v>
      </c>
      <c r="G34" s="9">
        <v>2.83553875236294E-2</v>
      </c>
      <c r="H34" s="9">
        <v>7.0888468809073693E-2</v>
      </c>
      <c r="I34" t="str">
        <f>_xlfn.CONCAT(rec[[#This Row],[lob]], " ",rec[[#This Row],[time]])</f>
        <v>FLD 2024 Q3</v>
      </c>
    </row>
    <row r="35" spans="1:9" x14ac:dyDescent="0.35">
      <c r="A35" t="s">
        <v>126</v>
      </c>
      <c r="B35" t="s">
        <v>155</v>
      </c>
      <c r="C35" s="8">
        <v>1.3922523183227531</v>
      </c>
      <c r="D35">
        <v>6.2460034013605403</v>
      </c>
      <c r="E35">
        <v>70937</v>
      </c>
      <c r="F35" s="9">
        <v>0.35</v>
      </c>
      <c r="G35" s="9">
        <v>3.3673469387755103E-2</v>
      </c>
      <c r="H35" s="9">
        <v>6.8367346938775497E-2</v>
      </c>
      <c r="I35" t="str">
        <f>_xlfn.CONCAT(rec[[#This Row],[lob]], " ",rec[[#This Row],[time]])</f>
        <v>FLD 2024 Q4</v>
      </c>
    </row>
    <row r="36" spans="1:9" x14ac:dyDescent="0.35">
      <c r="A36" t="s">
        <v>128</v>
      </c>
      <c r="B36" t="s">
        <v>155</v>
      </c>
      <c r="C36" s="8">
        <v>1.405198512022616</v>
      </c>
      <c r="D36">
        <v>5.6023905048478797</v>
      </c>
      <c r="E36">
        <v>63746</v>
      </c>
      <c r="F36" s="9">
        <v>0.39769307923771302</v>
      </c>
      <c r="G36" s="9">
        <v>3.2597793380140398E-2</v>
      </c>
      <c r="H36" s="9">
        <v>4.6138415245737197E-2</v>
      </c>
      <c r="I36" t="str">
        <f>_xlfn.CONCAT(rec[[#This Row],[lob]], " ",rec[[#This Row],[time]])</f>
        <v>FLD 2025 Q1</v>
      </c>
    </row>
    <row r="37" spans="1:9" x14ac:dyDescent="0.35">
      <c r="A37" t="s">
        <v>129</v>
      </c>
      <c r="B37" t="s">
        <v>155</v>
      </c>
      <c r="C37" s="8">
        <v>1.4510185054898039</v>
      </c>
      <c r="D37">
        <v>6.0874382062146797</v>
      </c>
      <c r="E37">
        <v>70485</v>
      </c>
      <c r="F37" s="9">
        <v>0.33368644067796599</v>
      </c>
      <c r="G37" s="9">
        <v>3.8665254237288102E-2</v>
      </c>
      <c r="H37" s="9">
        <v>6.3559322033898302E-2</v>
      </c>
      <c r="I37" t="str">
        <f>_xlfn.CONCAT(rec[[#This Row],[lob]], " ",rec[[#This Row],[time]])</f>
        <v>FLD 2025 Q2</v>
      </c>
    </row>
    <row r="38" spans="1:9" x14ac:dyDescent="0.35">
      <c r="A38" t="s">
        <v>130</v>
      </c>
      <c r="B38" t="s">
        <v>155</v>
      </c>
      <c r="C38" s="8">
        <v>1.428626924937348</v>
      </c>
      <c r="D38">
        <v>5.6198361823361802</v>
      </c>
      <c r="E38">
        <v>62515</v>
      </c>
      <c r="F38" s="9">
        <v>0.33493589743589702</v>
      </c>
      <c r="G38" s="9">
        <v>4.9145299145299103E-2</v>
      </c>
      <c r="H38" s="9">
        <v>6.3568376068375995E-2</v>
      </c>
      <c r="I38" t="str">
        <f>_xlfn.CONCAT(rec[[#This Row],[lob]], " ",rec[[#This Row],[time]])</f>
        <v>FLD 2025 Q3</v>
      </c>
    </row>
    <row r="39" spans="1:9" x14ac:dyDescent="0.35">
      <c r="A39" t="s">
        <v>131</v>
      </c>
      <c r="B39" t="s">
        <v>155</v>
      </c>
      <c r="C39" s="8">
        <v>1.434086716457567</v>
      </c>
      <c r="D39">
        <v>4.9316693220038896</v>
      </c>
      <c r="E39">
        <v>57653</v>
      </c>
      <c r="F39" s="9">
        <v>0.33935209771641001</v>
      </c>
      <c r="G39" s="9">
        <v>3.9830058417418997E-2</v>
      </c>
      <c r="H39" s="9">
        <v>5.4168879447689798E-2</v>
      </c>
      <c r="I39" t="str">
        <f>_xlfn.CONCAT(rec[[#This Row],[lob]], " ",rec[[#This Row],[time]])</f>
        <v>FLD 2025 Q4</v>
      </c>
    </row>
    <row r="40" spans="1:9" x14ac:dyDescent="0.35">
      <c r="A40" t="s">
        <v>127</v>
      </c>
      <c r="B40" t="s">
        <v>155</v>
      </c>
      <c r="C40" s="8">
        <v>1.5005700909562409</v>
      </c>
      <c r="D40">
        <v>5.19123166154895</v>
      </c>
      <c r="E40">
        <v>58862</v>
      </c>
      <c r="F40" s="9">
        <v>0.24564994882292701</v>
      </c>
      <c r="G40" s="9">
        <v>5.6294779938587503E-2</v>
      </c>
      <c r="H40" s="9">
        <v>5.3224155578300902E-2</v>
      </c>
      <c r="I40" t="str">
        <f>_xlfn.CONCAT(rec[[#This Row],[lob]], " ",rec[[#This Row],[time]])</f>
        <v>FLD 2026 Q1</v>
      </c>
    </row>
    <row r="41" spans="1:9" x14ac:dyDescent="0.35">
      <c r="A41" t="s">
        <v>172</v>
      </c>
      <c r="B41" t="s">
        <v>151</v>
      </c>
      <c r="C41" s="8">
        <v>1.7504875970162239</v>
      </c>
      <c r="D41">
        <v>9.3496264811952496</v>
      </c>
      <c r="E41">
        <v>116048</v>
      </c>
      <c r="F41" s="9">
        <v>0.14528593508500701</v>
      </c>
      <c r="G41" s="9">
        <v>5.2550231839258103E-2</v>
      </c>
      <c r="H41" s="9">
        <v>0.14605873261205499</v>
      </c>
      <c r="I41" t="str">
        <f>_xlfn.CONCAT(rec[[#This Row],[lob]], " ",rec[[#This Row],[time]])</f>
        <v>FRN 2023 Q1</v>
      </c>
    </row>
    <row r="42" spans="1:9" x14ac:dyDescent="0.35">
      <c r="A42" t="s">
        <v>165</v>
      </c>
      <c r="B42" t="s">
        <v>151</v>
      </c>
      <c r="C42" s="8">
        <v>1.5934119669265381</v>
      </c>
      <c r="D42">
        <v>8.8522330774598892</v>
      </c>
      <c r="E42">
        <v>110497</v>
      </c>
      <c r="F42" s="9">
        <v>0.14445219818562399</v>
      </c>
      <c r="G42" s="9">
        <v>4.7452896022330701E-2</v>
      </c>
      <c r="H42" s="9">
        <v>0.16538729937194599</v>
      </c>
      <c r="I42" t="str">
        <f>_xlfn.CONCAT(rec[[#This Row],[lob]], " ",rec[[#This Row],[time]])</f>
        <v>FRN 2023 Q2</v>
      </c>
    </row>
    <row r="43" spans="1:9" x14ac:dyDescent="0.35">
      <c r="A43" t="s">
        <v>152</v>
      </c>
      <c r="B43" t="s">
        <v>151</v>
      </c>
      <c r="C43" s="8">
        <v>1.5914134061263541</v>
      </c>
      <c r="D43">
        <v>8.6302526973310698</v>
      </c>
      <c r="E43">
        <v>106793</v>
      </c>
      <c r="F43" s="9">
        <v>0.14608177172061301</v>
      </c>
      <c r="G43" s="9">
        <v>3.3219761499148202E-2</v>
      </c>
      <c r="H43" s="9">
        <v>0.151618398637138</v>
      </c>
      <c r="I43" t="str">
        <f>_xlfn.CONCAT(rec[[#This Row],[lob]], " ",rec[[#This Row],[time]])</f>
        <v>FRN 2023 Q3</v>
      </c>
    </row>
    <row r="44" spans="1:9" x14ac:dyDescent="0.35">
      <c r="A44" t="s">
        <v>166</v>
      </c>
      <c r="B44" t="s">
        <v>151</v>
      </c>
      <c r="C44" s="8">
        <v>1.5105157702633569</v>
      </c>
      <c r="D44">
        <v>7.9093574929972004</v>
      </c>
      <c r="E44">
        <v>97523</v>
      </c>
      <c r="F44" s="9">
        <v>0.13314075630252101</v>
      </c>
      <c r="G44" s="9">
        <v>2.6523109243697399E-2</v>
      </c>
      <c r="H44" s="9">
        <v>0.13918067226890701</v>
      </c>
      <c r="I44" t="str">
        <f>_xlfn.CONCAT(rec[[#This Row],[lob]], " ",rec[[#This Row],[time]])</f>
        <v>FRN 2023 Q4</v>
      </c>
    </row>
    <row r="45" spans="1:9" x14ac:dyDescent="0.35">
      <c r="A45" t="s">
        <v>167</v>
      </c>
      <c r="B45" t="s">
        <v>151</v>
      </c>
      <c r="C45" s="8">
        <v>1.514375329851225</v>
      </c>
      <c r="D45">
        <v>7.3754238109076802</v>
      </c>
      <c r="E45">
        <v>90875</v>
      </c>
      <c r="F45" s="9">
        <v>0.12409183376925299</v>
      </c>
      <c r="G45" s="9">
        <v>2.7317640220866E-2</v>
      </c>
      <c r="H45" s="9">
        <v>0.10868933449578599</v>
      </c>
      <c r="I45" t="str">
        <f>_xlfn.CONCAT(rec[[#This Row],[lob]], " ",rec[[#This Row],[time]])</f>
        <v>FRN 2024 Q1</v>
      </c>
    </row>
    <row r="46" spans="1:9" x14ac:dyDescent="0.35">
      <c r="A46" t="s">
        <v>163</v>
      </c>
      <c r="B46" t="s">
        <v>151</v>
      </c>
      <c r="C46" s="8">
        <v>1.5179803406594741</v>
      </c>
      <c r="D46">
        <v>7.42898068570371</v>
      </c>
      <c r="E46">
        <v>90188</v>
      </c>
      <c r="F46" s="9">
        <v>0.14430274466315399</v>
      </c>
      <c r="G46" s="9">
        <v>4.0476850568339301E-2</v>
      </c>
      <c r="H46" s="9">
        <v>0.128638757970612</v>
      </c>
      <c r="I46" t="str">
        <f>_xlfn.CONCAT(rec[[#This Row],[lob]], " ",rec[[#This Row],[time]])</f>
        <v>FRN 2024 Q2</v>
      </c>
    </row>
    <row r="47" spans="1:9" x14ac:dyDescent="0.35">
      <c r="A47" t="s">
        <v>160</v>
      </c>
      <c r="B47" t="s">
        <v>151</v>
      </c>
      <c r="C47" s="8">
        <v>1.5501312645471139</v>
      </c>
      <c r="D47">
        <v>7.8099528099527902</v>
      </c>
      <c r="E47">
        <v>90695</v>
      </c>
      <c r="F47" s="9">
        <v>0.17080345651774201</v>
      </c>
      <c r="G47" s="9">
        <v>5.8282772568486803E-2</v>
      </c>
      <c r="H47" s="9">
        <v>0.14874057731200499</v>
      </c>
      <c r="I47" t="str">
        <f>_xlfn.CONCAT(rec[[#This Row],[lob]], " ",rec[[#This Row],[time]])</f>
        <v>FRN 2024 Q3</v>
      </c>
    </row>
    <row r="48" spans="1:9" x14ac:dyDescent="0.35">
      <c r="A48" t="s">
        <v>126</v>
      </c>
      <c r="B48" t="s">
        <v>151</v>
      </c>
      <c r="C48" s="8">
        <v>1.5267813430836481</v>
      </c>
      <c r="D48">
        <v>7.6079492954492798</v>
      </c>
      <c r="E48">
        <v>88087</v>
      </c>
      <c r="F48" s="9">
        <v>0.29158004158004103</v>
      </c>
      <c r="G48" s="9">
        <v>7.1898821898821894E-2</v>
      </c>
      <c r="H48" s="9">
        <v>0.13496188496188399</v>
      </c>
      <c r="I48" t="str">
        <f>_xlfn.CONCAT(rec[[#This Row],[lob]], " ",rec[[#This Row],[time]])</f>
        <v>FRN 2024 Q4</v>
      </c>
    </row>
    <row r="49" spans="1:9" x14ac:dyDescent="0.35">
      <c r="A49" t="s">
        <v>128</v>
      </c>
      <c r="B49" t="s">
        <v>151</v>
      </c>
      <c r="C49" s="8">
        <v>1.522134832831775</v>
      </c>
      <c r="D49">
        <v>7.1483690171437404</v>
      </c>
      <c r="E49">
        <v>84696</v>
      </c>
      <c r="F49" s="9">
        <v>0.31428903886432302</v>
      </c>
      <c r="G49" s="9">
        <v>5.6085641144984801E-2</v>
      </c>
      <c r="H49" s="9">
        <v>0.10507330695834299</v>
      </c>
      <c r="I49" t="str">
        <f>_xlfn.CONCAT(rec[[#This Row],[lob]], " ",rec[[#This Row],[time]])</f>
        <v>FRN 2025 Q1</v>
      </c>
    </row>
    <row r="50" spans="1:9" x14ac:dyDescent="0.35">
      <c r="A50" t="s">
        <v>129</v>
      </c>
      <c r="B50" t="s">
        <v>151</v>
      </c>
      <c r="C50" s="8">
        <v>1.476743554195614</v>
      </c>
      <c r="D50">
        <v>6.8735708003517999</v>
      </c>
      <c r="E50">
        <v>81972</v>
      </c>
      <c r="F50" s="9">
        <v>0.29576579972358302</v>
      </c>
      <c r="G50" s="9">
        <v>6.4832265359969804E-2</v>
      </c>
      <c r="H50" s="9">
        <v>0.153536876492021</v>
      </c>
      <c r="I50" t="str">
        <f>_xlfn.CONCAT(rec[[#This Row],[lob]], " ",rec[[#This Row],[time]])</f>
        <v>FRN 2025 Q2</v>
      </c>
    </row>
    <row r="51" spans="1:9" x14ac:dyDescent="0.35">
      <c r="A51" t="s">
        <v>130</v>
      </c>
      <c r="B51" t="s">
        <v>151</v>
      </c>
      <c r="C51" s="8">
        <v>1.4662331148645531</v>
      </c>
      <c r="D51">
        <v>6.6701976305033801</v>
      </c>
      <c r="E51">
        <v>78802</v>
      </c>
      <c r="F51" s="9">
        <v>0.30218842154275899</v>
      </c>
      <c r="G51" s="9">
        <v>6.1462051839205299E-2</v>
      </c>
      <c r="H51" s="9">
        <v>0.161105075275492</v>
      </c>
      <c r="I51" t="str">
        <f>_xlfn.CONCAT(rec[[#This Row],[lob]], " ",rec[[#This Row],[time]])</f>
        <v>FRN 2025 Q3</v>
      </c>
    </row>
    <row r="52" spans="1:9" x14ac:dyDescent="0.35">
      <c r="A52" t="s">
        <v>131</v>
      </c>
      <c r="B52" t="s">
        <v>151</v>
      </c>
      <c r="C52" s="8">
        <v>1.4814778376067379</v>
      </c>
      <c r="D52">
        <v>6.2974672698608396</v>
      </c>
      <c r="E52">
        <v>75449</v>
      </c>
      <c r="F52" s="9">
        <v>0.35615874974295703</v>
      </c>
      <c r="G52" s="9">
        <v>6.3541024059222698E-2</v>
      </c>
      <c r="H52" s="9">
        <v>0.163479333744602</v>
      </c>
      <c r="I52" t="str">
        <f>_xlfn.CONCAT(rec[[#This Row],[lob]], " ",rec[[#This Row],[time]])</f>
        <v>FRN 2025 Q4</v>
      </c>
    </row>
    <row r="53" spans="1:9" x14ac:dyDescent="0.35">
      <c r="A53" t="s">
        <v>127</v>
      </c>
      <c r="B53" t="s">
        <v>151</v>
      </c>
      <c r="C53" s="8">
        <v>1.523846228776754</v>
      </c>
      <c r="D53">
        <v>6.35989010989009</v>
      </c>
      <c r="E53">
        <v>74326</v>
      </c>
      <c r="F53" s="9">
        <v>0.33555729984301402</v>
      </c>
      <c r="G53" s="9">
        <v>6.4756671899528995E-2</v>
      </c>
      <c r="H53" s="9">
        <v>0.13736263736263701</v>
      </c>
      <c r="I53" t="str">
        <f>_xlfn.CONCAT(rec[[#This Row],[lob]], " ",rec[[#This Row],[time]])</f>
        <v>FRN 2026 Q1</v>
      </c>
    </row>
    <row r="54" spans="1:9" x14ac:dyDescent="0.35">
      <c r="A54" t="s">
        <v>172</v>
      </c>
      <c r="B54" t="s">
        <v>199</v>
      </c>
      <c r="C54" s="8">
        <v>1.7506671510617331</v>
      </c>
      <c r="D54">
        <v>7.5643294622971897</v>
      </c>
      <c r="E54">
        <v>73923</v>
      </c>
      <c r="F54" s="9">
        <v>0.14039134584791599</v>
      </c>
      <c r="G54" s="9">
        <v>1.04995227489659E-2</v>
      </c>
      <c r="H54" s="9">
        <v>3.34075723830735E-2</v>
      </c>
      <c r="I54" t="str">
        <f>_xlfn.CONCAT(rec[[#This Row],[lob]], " ",rec[[#This Row],[time]])</f>
        <v>KMX 2023 Q1</v>
      </c>
    </row>
    <row r="55" spans="1:9" x14ac:dyDescent="0.35">
      <c r="A55" t="s">
        <v>165</v>
      </c>
      <c r="B55" t="s">
        <v>199</v>
      </c>
      <c r="C55" s="8">
        <v>1.6917421787701621</v>
      </c>
      <c r="D55">
        <v>7.52311693176578</v>
      </c>
      <c r="E55">
        <v>68718</v>
      </c>
      <c r="F55" s="9">
        <v>0.15274896265560101</v>
      </c>
      <c r="G55" s="9">
        <v>1.2621023513139601E-2</v>
      </c>
      <c r="H55" s="9">
        <v>4.4432918395573999E-2</v>
      </c>
      <c r="I55" t="str">
        <f>_xlfn.CONCAT(rec[[#This Row],[lob]], " ",rec[[#This Row],[time]])</f>
        <v>KMX 2023 Q2</v>
      </c>
    </row>
    <row r="56" spans="1:9" x14ac:dyDescent="0.35">
      <c r="A56" t="s">
        <v>152</v>
      </c>
      <c r="B56" t="s">
        <v>199</v>
      </c>
      <c r="C56" s="8">
        <v>1.7691352620700269</v>
      </c>
      <c r="D56">
        <v>7.5045499973699501</v>
      </c>
      <c r="E56">
        <v>68051</v>
      </c>
      <c r="F56" s="9">
        <v>0.152122455420546</v>
      </c>
      <c r="G56" s="9">
        <v>1.3255483667350401E-2</v>
      </c>
      <c r="H56" s="9">
        <v>4.5131765819788498E-2</v>
      </c>
      <c r="I56" t="str">
        <f>_xlfn.CONCAT(rec[[#This Row],[lob]], " ",rec[[#This Row],[time]])</f>
        <v>KMX 2023 Q3</v>
      </c>
    </row>
    <row r="57" spans="1:9" x14ac:dyDescent="0.35">
      <c r="A57" t="s">
        <v>166</v>
      </c>
      <c r="B57" t="s">
        <v>199</v>
      </c>
      <c r="C57" s="8">
        <v>1.834049536564486</v>
      </c>
      <c r="D57">
        <v>7.1678586909405704</v>
      </c>
      <c r="E57">
        <v>63210</v>
      </c>
      <c r="F57" s="9">
        <v>0.158833364295002</v>
      </c>
      <c r="G57" s="9">
        <v>1.15177410365966E-2</v>
      </c>
      <c r="H57" s="9">
        <v>4.7185584246702501E-2</v>
      </c>
      <c r="I57" t="str">
        <f>_xlfn.CONCAT(rec[[#This Row],[lob]], " ",rec[[#This Row],[time]])</f>
        <v>KMX 2023 Q4</v>
      </c>
    </row>
    <row r="58" spans="1:9" x14ac:dyDescent="0.35">
      <c r="A58" t="s">
        <v>167</v>
      </c>
      <c r="B58" t="s">
        <v>199</v>
      </c>
      <c r="C58" s="8">
        <v>1.7938740562186251</v>
      </c>
      <c r="D58">
        <v>7.1323172748319097</v>
      </c>
      <c r="E58">
        <v>67413</v>
      </c>
      <c r="F58" s="9">
        <v>0.15648770808069601</v>
      </c>
      <c r="G58" s="9">
        <v>1.00870907286958E-2</v>
      </c>
      <c r="H58" s="9">
        <v>4.20019843457171E-2</v>
      </c>
      <c r="I58" t="str">
        <f>_xlfn.CONCAT(rec[[#This Row],[lob]], " ",rec[[#This Row],[time]])</f>
        <v>KMX 2024 Q1</v>
      </c>
    </row>
    <row r="59" spans="1:9" x14ac:dyDescent="0.35">
      <c r="A59" t="s">
        <v>163</v>
      </c>
      <c r="B59" t="s">
        <v>199</v>
      </c>
      <c r="C59" s="8">
        <v>1.630388300861366</v>
      </c>
      <c r="D59">
        <v>6.25772017233494</v>
      </c>
      <c r="E59">
        <v>62054</v>
      </c>
      <c r="F59" s="9">
        <v>0.15777312441331501</v>
      </c>
      <c r="G59" s="9">
        <v>1.04700700411582E-2</v>
      </c>
      <c r="H59" s="9">
        <v>5.5238645389558798E-2</v>
      </c>
      <c r="I59" t="str">
        <f>_xlfn.CONCAT(rec[[#This Row],[lob]], " ",rec[[#This Row],[time]])</f>
        <v>KMX 2024 Q2</v>
      </c>
    </row>
    <row r="60" spans="1:9" x14ac:dyDescent="0.35">
      <c r="A60" t="s">
        <v>160</v>
      </c>
      <c r="B60" t="s">
        <v>199</v>
      </c>
      <c r="C60" s="8">
        <v>1.6612080287869639</v>
      </c>
      <c r="D60">
        <v>6.4510139027575102</v>
      </c>
      <c r="E60">
        <v>64823</v>
      </c>
      <c r="F60" s="9">
        <v>0.13964206160227299</v>
      </c>
      <c r="G60" s="9">
        <v>1.1521622244412E-2</v>
      </c>
      <c r="H60" s="9">
        <v>5.2538597434518698E-2</v>
      </c>
      <c r="I60" t="str">
        <f>_xlfn.CONCAT(rec[[#This Row],[lob]], " ",rec[[#This Row],[time]])</f>
        <v>KMX 2024 Q3</v>
      </c>
    </row>
    <row r="61" spans="1:9" x14ac:dyDescent="0.35">
      <c r="A61" t="s">
        <v>126</v>
      </c>
      <c r="B61" t="s">
        <v>199</v>
      </c>
      <c r="C61" s="8">
        <v>1.6524163070383371</v>
      </c>
      <c r="D61">
        <v>6.2300417284357197</v>
      </c>
      <c r="E61">
        <v>63403</v>
      </c>
      <c r="F61" s="9">
        <v>0.14198649316422299</v>
      </c>
      <c r="G61" s="9">
        <v>1.04595618514248E-2</v>
      </c>
      <c r="H61" s="9">
        <v>5.6827540767583597E-2</v>
      </c>
      <c r="I61" t="str">
        <f>_xlfn.CONCAT(rec[[#This Row],[lob]], " ",rec[[#This Row],[time]])</f>
        <v>KMX 2024 Q4</v>
      </c>
    </row>
    <row r="62" spans="1:9" x14ac:dyDescent="0.35">
      <c r="A62" t="s">
        <v>128</v>
      </c>
      <c r="B62" t="s">
        <v>199</v>
      </c>
      <c r="C62" s="8">
        <v>1.604727867366883</v>
      </c>
      <c r="D62">
        <v>5.9169485458613202</v>
      </c>
      <c r="E62">
        <v>60448</v>
      </c>
      <c r="F62" s="9">
        <v>0.13852348993288499</v>
      </c>
      <c r="G62" s="9">
        <v>9.9865771812080503E-3</v>
      </c>
      <c r="H62" s="9">
        <v>5.3208053691275098E-2</v>
      </c>
      <c r="I62" t="str">
        <f>_xlfn.CONCAT(rec[[#This Row],[lob]], " ",rec[[#This Row],[time]])</f>
        <v>KMX 2025 Q1</v>
      </c>
    </row>
    <row r="63" spans="1:9" x14ac:dyDescent="0.35">
      <c r="A63" t="s">
        <v>129</v>
      </c>
      <c r="B63" t="s">
        <v>199</v>
      </c>
      <c r="C63" s="8">
        <v>1.574252222054634</v>
      </c>
      <c r="D63">
        <v>6.1173470495040903</v>
      </c>
      <c r="E63">
        <v>61549</v>
      </c>
      <c r="F63" s="9">
        <v>0.193632397942574</v>
      </c>
      <c r="G63" s="9">
        <v>1.2240380233088001E-2</v>
      </c>
      <c r="H63" s="9">
        <v>6.1527443192916198E-2</v>
      </c>
      <c r="I63" t="str">
        <f>_xlfn.CONCAT(rec[[#This Row],[lob]], " ",rec[[#This Row],[time]])</f>
        <v>KMX 2025 Q2</v>
      </c>
    </row>
    <row r="64" spans="1:9" x14ac:dyDescent="0.35">
      <c r="A64" t="s">
        <v>130</v>
      </c>
      <c r="B64" t="s">
        <v>199</v>
      </c>
      <c r="C64" s="8">
        <v>1.593156693265364</v>
      </c>
      <c r="D64">
        <v>6.3305224867724998</v>
      </c>
      <c r="E64">
        <v>62472</v>
      </c>
      <c r="F64" s="9">
        <v>0.22632275132275101</v>
      </c>
      <c r="G64" s="9">
        <v>1.05820105820105E-2</v>
      </c>
      <c r="H64" s="9">
        <v>6.34259259259259E-2</v>
      </c>
      <c r="I64" t="str">
        <f>_xlfn.CONCAT(rec[[#This Row],[lob]], " ",rec[[#This Row],[time]])</f>
        <v>KMX 2025 Q3</v>
      </c>
    </row>
    <row r="65" spans="1:9" x14ac:dyDescent="0.35">
      <c r="A65" t="s">
        <v>131</v>
      </c>
      <c r="B65" t="s">
        <v>199</v>
      </c>
      <c r="C65" s="8">
        <v>1.5761077725041781</v>
      </c>
      <c r="D65">
        <v>6.1398487192710798</v>
      </c>
      <c r="E65">
        <v>60705</v>
      </c>
      <c r="F65" s="9">
        <v>0.23679363442127699</v>
      </c>
      <c r="G65" s="9">
        <v>8.7674058793192292E-3</v>
      </c>
      <c r="H65" s="9">
        <v>6.8150003683783905E-2</v>
      </c>
      <c r="I65" t="str">
        <f>_xlfn.CONCAT(rec[[#This Row],[lob]], " ",rec[[#This Row],[time]])</f>
        <v>KMX 2025 Q4</v>
      </c>
    </row>
    <row r="66" spans="1:9" x14ac:dyDescent="0.35">
      <c r="A66" t="s">
        <v>127</v>
      </c>
      <c r="B66" t="s">
        <v>199</v>
      </c>
      <c r="C66" s="8">
        <v>1.547745545382337</v>
      </c>
      <c r="D66">
        <v>5.6914326647564097</v>
      </c>
      <c r="E66">
        <v>55849</v>
      </c>
      <c r="F66" s="9">
        <v>0.200343839541547</v>
      </c>
      <c r="G66" s="9">
        <v>1.02005730659025E-2</v>
      </c>
      <c r="H66" s="9">
        <v>7.0945558739254996E-2</v>
      </c>
      <c r="I66" t="str">
        <f>_xlfn.CONCAT(rec[[#This Row],[lob]], " ",rec[[#This Row],[time]])</f>
        <v>KMX 2026 Q1</v>
      </c>
    </row>
    <row r="67" spans="1:9" x14ac:dyDescent="0.35">
      <c r="A67" t="s">
        <v>172</v>
      </c>
      <c r="B67" t="s">
        <v>153</v>
      </c>
      <c r="C67" s="8">
        <v>1.578570274247254</v>
      </c>
      <c r="D67">
        <v>8.3223589001447102</v>
      </c>
      <c r="E67">
        <v>99953</v>
      </c>
      <c r="F67" s="9">
        <v>0.18958031837916001</v>
      </c>
      <c r="G67" s="9">
        <v>4.0520984081041898E-2</v>
      </c>
      <c r="H67" s="9">
        <v>0.14471780028943501</v>
      </c>
      <c r="I67" t="str">
        <f>_xlfn.CONCAT(rec[[#This Row],[lob]], " ",rec[[#This Row],[time]])</f>
        <v>STG 2023 Q1</v>
      </c>
    </row>
    <row r="68" spans="1:9" x14ac:dyDescent="0.35">
      <c r="A68" t="s">
        <v>165</v>
      </c>
      <c r="B68" t="s">
        <v>153</v>
      </c>
      <c r="C68" s="8">
        <v>1.555157767063382</v>
      </c>
      <c r="D68">
        <v>8.1928341384863295</v>
      </c>
      <c r="E68">
        <v>97901</v>
      </c>
      <c r="F68" s="9">
        <v>0.22705314009661801</v>
      </c>
      <c r="G68" s="9">
        <v>5.4347826086956499E-2</v>
      </c>
      <c r="H68" s="9">
        <v>0.115942028985507</v>
      </c>
      <c r="I68" t="str">
        <f>_xlfn.CONCAT(rec[[#This Row],[lob]], " ",rec[[#This Row],[time]])</f>
        <v>STG 2023 Q2</v>
      </c>
    </row>
    <row r="69" spans="1:9" x14ac:dyDescent="0.35">
      <c r="A69" t="s">
        <v>152</v>
      </c>
      <c r="B69" t="s">
        <v>153</v>
      </c>
      <c r="C69" s="8">
        <v>1.5434656576121619</v>
      </c>
      <c r="D69">
        <v>7.7404693828925497</v>
      </c>
      <c r="E69">
        <v>94252</v>
      </c>
      <c r="F69" s="9">
        <v>0.20157255182273001</v>
      </c>
      <c r="G69" s="9">
        <v>3.2880629020729003E-2</v>
      </c>
      <c r="H69" s="9">
        <v>0.12437455325232299</v>
      </c>
      <c r="I69" t="str">
        <f>_xlfn.CONCAT(rec[[#This Row],[lob]], " ",rec[[#This Row],[time]])</f>
        <v>STG 2023 Q3</v>
      </c>
    </row>
    <row r="70" spans="1:9" x14ac:dyDescent="0.35">
      <c r="A70" t="s">
        <v>166</v>
      </c>
      <c r="B70" t="s">
        <v>153</v>
      </c>
      <c r="C70" s="8">
        <v>1.5100296310641219</v>
      </c>
      <c r="D70">
        <v>7.5448172652804004</v>
      </c>
      <c r="E70">
        <v>88197</v>
      </c>
      <c r="F70" s="9">
        <v>0.224007561436672</v>
      </c>
      <c r="G70" s="9">
        <v>3.9224952741020697E-2</v>
      </c>
      <c r="H70" s="9">
        <v>0.13752362948960301</v>
      </c>
      <c r="I70" t="str">
        <f>_xlfn.CONCAT(rec[[#This Row],[lob]], " ",rec[[#This Row],[time]])</f>
        <v>STG 2023 Q4</v>
      </c>
    </row>
    <row r="71" spans="1:9" x14ac:dyDescent="0.35">
      <c r="A71" t="s">
        <v>167</v>
      </c>
      <c r="B71" t="s">
        <v>153</v>
      </c>
      <c r="C71" s="8">
        <v>1.5624804229057609</v>
      </c>
      <c r="D71">
        <v>7.5681431005110698</v>
      </c>
      <c r="E71">
        <v>88957</v>
      </c>
      <c r="F71" s="9">
        <v>0.24673480976717699</v>
      </c>
      <c r="G71" s="9">
        <v>2.5269733106189601E-2</v>
      </c>
      <c r="H71" s="9">
        <v>9.1709256104486006E-2</v>
      </c>
      <c r="I71" t="str">
        <f>_xlfn.CONCAT(rec[[#This Row],[lob]], " ",rec[[#This Row],[time]])</f>
        <v>STG 2024 Q1</v>
      </c>
    </row>
    <row r="72" spans="1:9" x14ac:dyDescent="0.35">
      <c r="A72" t="s">
        <v>163</v>
      </c>
      <c r="B72" t="s">
        <v>153</v>
      </c>
      <c r="C72" s="8">
        <v>1.5178962060977399</v>
      </c>
      <c r="D72">
        <v>7.0777725747287903</v>
      </c>
      <c r="E72">
        <v>80987</v>
      </c>
      <c r="F72" s="9">
        <v>0.26270194333879598</v>
      </c>
      <c r="G72" s="9">
        <v>2.9501287754624201E-2</v>
      </c>
      <c r="H72" s="9">
        <v>0.12315616951533501</v>
      </c>
      <c r="I72" t="str">
        <f>_xlfn.CONCAT(rec[[#This Row],[lob]], " ",rec[[#This Row],[time]])</f>
        <v>STG 2024 Q2</v>
      </c>
    </row>
    <row r="73" spans="1:9" x14ac:dyDescent="0.35">
      <c r="A73" t="s">
        <v>160</v>
      </c>
      <c r="B73" t="s">
        <v>153</v>
      </c>
      <c r="C73" s="8">
        <v>1.5233217597973949</v>
      </c>
      <c r="D73">
        <v>7.4590517241379199</v>
      </c>
      <c r="E73">
        <v>83091</v>
      </c>
      <c r="F73" s="9">
        <v>0.29278416347381803</v>
      </c>
      <c r="G73" s="9">
        <v>2.90549169859514E-2</v>
      </c>
      <c r="H73" s="9">
        <v>0.158045977011494</v>
      </c>
      <c r="I73" t="str">
        <f>_xlfn.CONCAT(rec[[#This Row],[lob]], " ",rec[[#This Row],[time]])</f>
        <v>STG 2024 Q3</v>
      </c>
    </row>
    <row r="74" spans="1:9" x14ac:dyDescent="0.35">
      <c r="A74" t="s">
        <v>126</v>
      </c>
      <c r="B74" t="s">
        <v>153</v>
      </c>
      <c r="C74" s="8">
        <v>1.506803766582762</v>
      </c>
      <c r="D74">
        <v>7.0752266666666603</v>
      </c>
      <c r="E74">
        <v>80351</v>
      </c>
      <c r="F74" s="9">
        <v>0.40383999999999998</v>
      </c>
      <c r="G74" s="9">
        <v>3.168E-2</v>
      </c>
      <c r="H74" s="9">
        <v>0.13375999999999999</v>
      </c>
      <c r="I74" t="str">
        <f>_xlfn.CONCAT(rec[[#This Row],[lob]], " ",rec[[#This Row],[time]])</f>
        <v>STG 2024 Q4</v>
      </c>
    </row>
    <row r="75" spans="1:9" x14ac:dyDescent="0.35">
      <c r="A75" t="s">
        <v>128</v>
      </c>
      <c r="B75" t="s">
        <v>153</v>
      </c>
      <c r="C75" s="8">
        <v>1.5150439789979659</v>
      </c>
      <c r="D75">
        <v>6.9403361060390898</v>
      </c>
      <c r="E75">
        <v>79158</v>
      </c>
      <c r="F75" s="9">
        <v>0.40068979509028202</v>
      </c>
      <c r="G75" s="9">
        <v>3.2663826333941902E-2</v>
      </c>
      <c r="H75" s="9">
        <v>0.114221951714343</v>
      </c>
      <c r="I75" t="str">
        <f>_xlfn.CONCAT(rec[[#This Row],[lob]], " ",rec[[#This Row],[time]])</f>
        <v>STG 2025 Q1</v>
      </c>
    </row>
    <row r="76" spans="1:9" x14ac:dyDescent="0.35">
      <c r="A76" t="s">
        <v>129</v>
      </c>
      <c r="B76" t="s">
        <v>153</v>
      </c>
      <c r="C76" s="8">
        <v>1.4648467504541689</v>
      </c>
      <c r="D76">
        <v>6.5360332508930901</v>
      </c>
      <c r="E76">
        <v>73964</v>
      </c>
      <c r="F76" s="9">
        <v>0.37489694971145898</v>
      </c>
      <c r="G76" s="9">
        <v>3.7098103874690799E-2</v>
      </c>
      <c r="H76" s="9">
        <v>0.13829348722176399</v>
      </c>
      <c r="I76" t="str">
        <f>_xlfn.CONCAT(rec[[#This Row],[lob]], " ",rec[[#This Row],[time]])</f>
        <v>STG 2025 Q2</v>
      </c>
    </row>
    <row r="77" spans="1:9" x14ac:dyDescent="0.35">
      <c r="A77" t="s">
        <v>130</v>
      </c>
      <c r="B77" t="s">
        <v>153</v>
      </c>
      <c r="C77" s="8">
        <v>1.463622105476474</v>
      </c>
      <c r="D77">
        <v>6.49106982588403</v>
      </c>
      <c r="E77">
        <v>73251</v>
      </c>
      <c r="F77" s="9">
        <v>0.37587506731287001</v>
      </c>
      <c r="G77" s="9">
        <v>4.5503500269251401E-2</v>
      </c>
      <c r="H77" s="9">
        <v>0.137318255250403</v>
      </c>
      <c r="I77" t="str">
        <f>_xlfn.CONCAT(rec[[#This Row],[lob]], " ",rec[[#This Row],[time]])</f>
        <v>STG 2025 Q3</v>
      </c>
    </row>
    <row r="78" spans="1:9" x14ac:dyDescent="0.35">
      <c r="A78" t="s">
        <v>131</v>
      </c>
      <c r="B78" t="s">
        <v>153</v>
      </c>
      <c r="C78" s="8">
        <v>1.464134582379915</v>
      </c>
      <c r="D78">
        <v>6.2059511282590796</v>
      </c>
      <c r="E78">
        <v>70217</v>
      </c>
      <c r="F78" s="9">
        <v>0.42546474921080302</v>
      </c>
      <c r="G78" s="9">
        <v>4.7351806383724999E-2</v>
      </c>
      <c r="H78" s="9">
        <v>0.148368993335671</v>
      </c>
      <c r="I78" t="str">
        <f>_xlfn.CONCAT(rec[[#This Row],[lob]], " ",rec[[#This Row],[time]])</f>
        <v>STG 2025 Q4</v>
      </c>
    </row>
    <row r="79" spans="1:9" x14ac:dyDescent="0.35">
      <c r="A79" t="s">
        <v>127</v>
      </c>
      <c r="B79" t="s">
        <v>153</v>
      </c>
      <c r="C79" s="8">
        <v>1.502466049196119</v>
      </c>
      <c r="D79">
        <v>6.1592462096946203</v>
      </c>
      <c r="E79">
        <v>69524</v>
      </c>
      <c r="F79" s="9">
        <v>0.41127482383087699</v>
      </c>
      <c r="G79" s="9">
        <v>5.50928891736066E-2</v>
      </c>
      <c r="H79" s="9">
        <v>0.13645099295323501</v>
      </c>
      <c r="I79" t="str">
        <f>_xlfn.CONCAT(rec[[#This Row],[lob]], " ",rec[[#This Row],[time]])</f>
        <v>STG 2026 Q1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4"/>
  <sheetViews>
    <sheetView zoomScale="130" zoomScaleNormal="130" workbookViewId="0">
      <pane xSplit="1" topLeftCell="AP1" activePane="topRight" state="frozen"/>
      <selection pane="topRight" activeCell="A28" sqref="A28"/>
    </sheetView>
  </sheetViews>
  <sheetFormatPr defaultRowHeight="14.5" x14ac:dyDescent="0.35"/>
  <cols>
    <col min="1" max="1" width="22.1796875" bestFit="1" customWidth="1"/>
    <col min="2" max="2" width="14.453125" customWidth="1"/>
    <col min="3" max="3" width="13.54296875" customWidth="1"/>
    <col min="4" max="4" width="14.26953125" customWidth="1"/>
    <col min="5" max="5" width="14.08984375" customWidth="1"/>
    <col min="6" max="6" width="14.36328125" customWidth="1"/>
    <col min="7" max="7" width="14.453125" customWidth="1"/>
    <col min="8" max="8" width="13.54296875" customWidth="1"/>
    <col min="9" max="9" width="14.26953125" customWidth="1"/>
    <col min="10" max="10" width="14.08984375" customWidth="1"/>
    <col min="11" max="11" width="14.36328125" customWidth="1"/>
    <col min="12" max="12" width="14.453125" customWidth="1"/>
    <col min="13" max="13" width="13.54296875" customWidth="1"/>
    <col min="14" max="14" width="14.26953125" customWidth="1"/>
    <col min="15" max="15" width="14.08984375" customWidth="1"/>
    <col min="16" max="16" width="14.36328125" customWidth="1"/>
    <col min="17" max="17" width="14.453125" customWidth="1"/>
    <col min="18" max="18" width="13.54296875" customWidth="1"/>
    <col min="19" max="19" width="14.26953125" customWidth="1"/>
    <col min="20" max="20" width="14.08984375" customWidth="1"/>
    <col min="21" max="21" width="14.36328125" customWidth="1"/>
    <col min="22" max="22" width="14.453125" customWidth="1"/>
    <col min="23" max="23" width="13.54296875" customWidth="1"/>
    <col min="24" max="24" width="14.26953125" customWidth="1"/>
    <col min="25" max="25" width="14.08984375" customWidth="1"/>
    <col min="26" max="26" width="14.36328125" customWidth="1"/>
    <col min="27" max="27" width="14.453125" customWidth="1"/>
    <col min="28" max="28" width="13.54296875" customWidth="1"/>
    <col min="29" max="29" width="14.26953125" customWidth="1"/>
    <col min="30" max="30" width="14.08984375" customWidth="1"/>
    <col min="31" max="31" width="14.36328125" customWidth="1"/>
    <col min="32" max="32" width="14.453125" customWidth="1"/>
    <col min="33" max="33" width="13.54296875" customWidth="1"/>
    <col min="34" max="34" width="14.26953125" customWidth="1"/>
    <col min="35" max="35" width="14.08984375" customWidth="1"/>
    <col min="36" max="36" width="14.36328125" customWidth="1"/>
    <col min="37" max="37" width="14.453125" customWidth="1"/>
    <col min="38" max="38" width="13.54296875" customWidth="1"/>
    <col min="39" max="39" width="14.26953125" customWidth="1"/>
    <col min="40" max="40" width="14.08984375" customWidth="1"/>
    <col min="41" max="41" width="14.36328125" customWidth="1"/>
    <col min="42" max="42" width="14.453125" customWidth="1"/>
    <col min="43" max="43" width="13.54296875" customWidth="1"/>
    <col min="44" max="44" width="14.26953125" customWidth="1"/>
    <col min="45" max="45" width="14.08984375" customWidth="1"/>
    <col min="46" max="46" width="14.36328125" customWidth="1"/>
    <col min="47" max="47" width="14.453125" customWidth="1"/>
    <col min="48" max="48" width="13.54296875" customWidth="1"/>
    <col min="49" max="49" width="14.26953125" customWidth="1"/>
    <col min="50" max="50" width="17" bestFit="1" customWidth="1"/>
    <col min="51" max="52" width="17.26953125" bestFit="1" customWidth="1"/>
    <col min="53" max="53" width="16.453125" bestFit="1" customWidth="1"/>
    <col min="54" max="54" width="17.1796875" bestFit="1" customWidth="1"/>
    <col min="55" max="55" width="17" bestFit="1" customWidth="1"/>
    <col min="56" max="56" width="17.26953125" bestFit="1" customWidth="1"/>
  </cols>
  <sheetData>
    <row r="1" spans="1:61" x14ac:dyDescent="0.35">
      <c r="A1" t="s">
        <v>132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</row>
    <row r="2" spans="1:61" x14ac:dyDescent="0.35">
      <c r="A2" s="6" t="s">
        <v>55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F2">
        <f>AVERAGE(B2:BD2)</f>
        <v>1</v>
      </c>
    </row>
    <row r="3" spans="1:61" x14ac:dyDescent="0.35">
      <c r="A3" s="6" t="s">
        <v>56</v>
      </c>
      <c r="B3">
        <v>1.0001703577512779</v>
      </c>
      <c r="C3">
        <v>1.0002327385570211</v>
      </c>
      <c r="D3">
        <v>1.000142857142857</v>
      </c>
      <c r="E3">
        <v>1.0001517450682851</v>
      </c>
      <c r="F3">
        <v>1.0001511030522821</v>
      </c>
      <c r="G3">
        <v>1.000236282488842</v>
      </c>
      <c r="H3">
        <v>1.000190114068441</v>
      </c>
      <c r="I3">
        <v>1.0002359603586599</v>
      </c>
      <c r="J3">
        <v>1.000148148148148</v>
      </c>
      <c r="K3">
        <v>1.000056866647711</v>
      </c>
      <c r="L3">
        <v>1.000203311065931</v>
      </c>
      <c r="M3">
        <v>1.0003148366784731</v>
      </c>
      <c r="N3">
        <v>1.000085154697701</v>
      </c>
      <c r="O3">
        <v>1.0002240477968629</v>
      </c>
      <c r="P3">
        <v>1.0001960085531001</v>
      </c>
      <c r="Q3">
        <v>1.000180280127583</v>
      </c>
      <c r="R3">
        <v>1.00030487804878</v>
      </c>
      <c r="S3">
        <v>1.0002341372044019</v>
      </c>
      <c r="T3">
        <v>1.0001212856276529</v>
      </c>
      <c r="U3">
        <v>1.000147897739277</v>
      </c>
      <c r="V3">
        <v>1.0002942258183161</v>
      </c>
      <c r="W3">
        <v>1.0003678724708771</v>
      </c>
      <c r="X3">
        <v>1.000159642401022</v>
      </c>
      <c r="Y3">
        <v>1.0006616257088849</v>
      </c>
      <c r="Z3">
        <v>1.00013698630137</v>
      </c>
      <c r="AA3">
        <v>1.0003471017007981</v>
      </c>
      <c r="AB3">
        <v>1.000248756218906</v>
      </c>
      <c r="AC3">
        <v>1.0001916932907351</v>
      </c>
      <c r="AD3">
        <v>1.0004085801838609</v>
      </c>
      <c r="AE3">
        <v>1.0001513622603431</v>
      </c>
      <c r="AF3">
        <v>1.0003382318637739</v>
      </c>
      <c r="AG3">
        <v>1.0003201707577369</v>
      </c>
      <c r="AH3">
        <v>1.000342811050615</v>
      </c>
      <c r="AI3">
        <v>1.0005480817140009</v>
      </c>
      <c r="AJ3">
        <v>1.0001764446404939</v>
      </c>
      <c r="AK3">
        <v>1.000569476082005</v>
      </c>
      <c r="AL3">
        <v>1.000474279460051</v>
      </c>
      <c r="AM3">
        <v>1.000368625844767</v>
      </c>
      <c r="AN3">
        <v>1.0004226096143689</v>
      </c>
      <c r="AO3">
        <v>1.000140523449851</v>
      </c>
      <c r="AP3">
        <v>1.00029752583777</v>
      </c>
      <c r="AQ3">
        <v>1.0003931847968539</v>
      </c>
      <c r="AR3">
        <v>1.000240706071142</v>
      </c>
      <c r="AS3">
        <v>1.0001595744680849</v>
      </c>
      <c r="AT3">
        <v>1.0002213858755811</v>
      </c>
      <c r="AU3">
        <v>1.000270551508845</v>
      </c>
      <c r="AV3">
        <v>1.000286697247706</v>
      </c>
      <c r="AW3">
        <v>1.000278164116829</v>
      </c>
      <c r="AX3">
        <v>1.0002115282919091</v>
      </c>
      <c r="AY3">
        <v>1.000344736144259</v>
      </c>
      <c r="AZ3">
        <v>1.000396825396825</v>
      </c>
      <c r="BA3">
        <v>1.000227531285552</v>
      </c>
      <c r="BB3">
        <v>1.0001908396946571</v>
      </c>
      <c r="BC3">
        <v>1.0004085801838609</v>
      </c>
      <c r="BD3">
        <v>1.0002362669816891</v>
      </c>
      <c r="BF3">
        <f t="shared" ref="BF3:BF20" si="0">AVERAGE(B3:BD3)</f>
        <v>1.0002647492646843</v>
      </c>
      <c r="BG3">
        <f>BF3/BF2</f>
        <v>1.0002647492646843</v>
      </c>
      <c r="BH3" s="2">
        <f>1-BG3</f>
        <v>-2.6474926468433857E-4</v>
      </c>
      <c r="BI3" t="str">
        <f>A3</f>
        <v>01_prev_aca_chargeoff</v>
      </c>
    </row>
    <row r="4" spans="1:61" x14ac:dyDescent="0.35">
      <c r="A4" s="6" t="s">
        <v>57</v>
      </c>
      <c r="B4">
        <v>1.002172061328791</v>
      </c>
      <c r="C4">
        <v>1.0006982156710631</v>
      </c>
      <c r="D4">
        <v>1.0007857142857139</v>
      </c>
      <c r="E4">
        <v>1.000303490136571</v>
      </c>
      <c r="F4">
        <v>1.0001511030522821</v>
      </c>
      <c r="G4">
        <v>1.001286426883697</v>
      </c>
      <c r="H4">
        <v>1.0003802281368821</v>
      </c>
      <c r="I4">
        <v>1.001038225578103</v>
      </c>
      <c r="J4">
        <v>1.0005925925925929</v>
      </c>
      <c r="K4">
        <v>1.000056866647711</v>
      </c>
      <c r="L4">
        <v>1.001045599767644</v>
      </c>
      <c r="M4">
        <v>1.000590318772137</v>
      </c>
      <c r="N4">
        <v>1.000794777178541</v>
      </c>
      <c r="O4">
        <v>1.000746825989544</v>
      </c>
      <c r="P4">
        <v>1.0001960085531001</v>
      </c>
      <c r="Q4">
        <v>1.0009984745527669</v>
      </c>
      <c r="R4">
        <v>1.0005662020905921</v>
      </c>
      <c r="S4">
        <v>1.000655584172325</v>
      </c>
      <c r="T4">
        <v>1.000485142510612</v>
      </c>
      <c r="U4">
        <v>1.000147897739277</v>
      </c>
      <c r="V4">
        <v>1.0011217359323279</v>
      </c>
      <c r="W4">
        <v>1.000858369098713</v>
      </c>
      <c r="X4">
        <v>1.0008939974457221</v>
      </c>
      <c r="Y4">
        <v>1.0008506616257089</v>
      </c>
      <c r="Z4">
        <v>1.00013698630137</v>
      </c>
      <c r="AA4">
        <v>1.0003471017007981</v>
      </c>
      <c r="AB4">
        <v>1.000248756218906</v>
      </c>
      <c r="AC4">
        <v>1.0001916932907351</v>
      </c>
      <c r="AD4">
        <v>1.0004085801838609</v>
      </c>
      <c r="AE4">
        <v>1.0001513622603431</v>
      </c>
      <c r="AF4">
        <v>1.0003382318637739</v>
      </c>
      <c r="AG4">
        <v>1.0003201707577369</v>
      </c>
      <c r="AH4">
        <v>1.000342811050615</v>
      </c>
      <c r="AI4">
        <v>1.0005480817140009</v>
      </c>
      <c r="AJ4">
        <v>1.0001764446404939</v>
      </c>
      <c r="AK4">
        <v>1.000569476082005</v>
      </c>
      <c r="AL4">
        <v>1.000474279460051</v>
      </c>
      <c r="AM4">
        <v>1.000368625844767</v>
      </c>
      <c r="AN4">
        <v>1.0004226096143689</v>
      </c>
      <c r="AO4">
        <v>1.000140523449851</v>
      </c>
      <c r="AP4">
        <v>1.00029752583777</v>
      </c>
      <c r="AQ4">
        <v>1.0003931847968539</v>
      </c>
      <c r="AR4">
        <v>1.000240706071142</v>
      </c>
      <c r="AS4">
        <v>1.0001595744680849</v>
      </c>
      <c r="AT4">
        <v>1.0002213858755811</v>
      </c>
      <c r="AU4">
        <v>1.000270551508845</v>
      </c>
      <c r="AV4">
        <v>1.000286697247706</v>
      </c>
      <c r="AW4">
        <v>1.000278164116829</v>
      </c>
      <c r="AX4">
        <v>1.0002115282919091</v>
      </c>
      <c r="AY4">
        <v>1.000344736144259</v>
      </c>
      <c r="AZ4">
        <v>1.000396825396825</v>
      </c>
      <c r="BA4">
        <v>1.000227531285552</v>
      </c>
      <c r="BB4">
        <v>1.0001908396946571</v>
      </c>
      <c r="BC4">
        <v>1.0004085801838609</v>
      </c>
      <c r="BD4">
        <v>1.0002362669816891</v>
      </c>
      <c r="BF4">
        <f t="shared" si="0"/>
        <v>1.0004866609468666</v>
      </c>
      <c r="BG4">
        <f t="shared" ref="BG4:BG20" si="1">BF4/BF3</f>
        <v>1.0002218529467777</v>
      </c>
      <c r="BH4" s="2">
        <f t="shared" ref="BH4:BH20" si="2">1-BG4</f>
        <v>-2.2185294677767864E-4</v>
      </c>
      <c r="BI4" t="str">
        <f t="shared" ref="BI4:BI20" si="3">A4</f>
        <v>02_small_amt_financed</v>
      </c>
    </row>
    <row r="5" spans="1:61" x14ac:dyDescent="0.35">
      <c r="A5" s="6" t="s">
        <v>58</v>
      </c>
      <c r="B5">
        <v>1.002947189097104</v>
      </c>
      <c r="C5">
        <v>1.0022498060512031</v>
      </c>
      <c r="D5">
        <v>1.00315</v>
      </c>
      <c r="E5">
        <v>1.0022761760242791</v>
      </c>
      <c r="F5">
        <v>1.006829857963131</v>
      </c>
      <c r="G5">
        <v>1.002231556839065</v>
      </c>
      <c r="H5">
        <v>1.0035487959442331</v>
      </c>
      <c r="I5">
        <v>1.0036904200094381</v>
      </c>
      <c r="J5">
        <v>1.0040148148148149</v>
      </c>
      <c r="K5">
        <v>1.0070230309923229</v>
      </c>
      <c r="L5">
        <v>1.0014260819053149</v>
      </c>
      <c r="M5">
        <v>1.0032664305391581</v>
      </c>
      <c r="N5">
        <v>1.00281294351405</v>
      </c>
      <c r="O5">
        <v>1.0028379387602691</v>
      </c>
      <c r="P5">
        <v>1.004330007127584</v>
      </c>
      <c r="Q5">
        <v>1.001651643322701</v>
      </c>
      <c r="R5">
        <v>1.002482578397212</v>
      </c>
      <c r="S5">
        <v>1.0029805666120351</v>
      </c>
      <c r="T5">
        <v>1.0046088538508191</v>
      </c>
      <c r="U5">
        <v>1.0036763152334669</v>
      </c>
      <c r="V5">
        <v>1.0018609783008461</v>
      </c>
      <c r="W5">
        <v>1.003004291845494</v>
      </c>
      <c r="X5">
        <v>1.0031002554278421</v>
      </c>
      <c r="Y5">
        <v>1.0035066162570889</v>
      </c>
      <c r="Z5">
        <v>1.0061369863013701</v>
      </c>
      <c r="AA5">
        <v>1.0003471017007981</v>
      </c>
      <c r="AB5">
        <v>1.000248756218906</v>
      </c>
      <c r="AC5">
        <v>1.0001916932907351</v>
      </c>
      <c r="AD5">
        <v>1.0004085801838609</v>
      </c>
      <c r="AE5">
        <v>1.0001513622603431</v>
      </c>
      <c r="AF5">
        <v>1.0003382318637739</v>
      </c>
      <c r="AG5">
        <v>1.0003201707577369</v>
      </c>
      <c r="AH5">
        <v>1.000342811050615</v>
      </c>
      <c r="AI5">
        <v>1.0005480817140009</v>
      </c>
      <c r="AJ5">
        <v>1.0001764446404939</v>
      </c>
      <c r="AK5">
        <v>1.000569476082005</v>
      </c>
      <c r="AL5">
        <v>1.000474279460051</v>
      </c>
      <c r="AM5">
        <v>1.000368625844767</v>
      </c>
      <c r="AN5">
        <v>1.0004226096143689</v>
      </c>
      <c r="AO5">
        <v>1.000140523449851</v>
      </c>
      <c r="AP5">
        <v>1.00029752583777</v>
      </c>
      <c r="AQ5">
        <v>1.0003931847968539</v>
      </c>
      <c r="AR5">
        <v>1.000240706071142</v>
      </c>
      <c r="AS5">
        <v>1.0001595744680849</v>
      </c>
      <c r="AT5">
        <v>1.0002213858755811</v>
      </c>
      <c r="AU5">
        <v>1.000270551508845</v>
      </c>
      <c r="AV5">
        <v>1.000286697247706</v>
      </c>
      <c r="AW5">
        <v>1.000278164116829</v>
      </c>
      <c r="AX5">
        <v>1.0002115282919091</v>
      </c>
      <c r="AY5">
        <v>1.000344736144259</v>
      </c>
      <c r="AZ5">
        <v>1.000396825396825</v>
      </c>
      <c r="BA5">
        <v>1.000227531285552</v>
      </c>
      <c r="BB5">
        <v>1.0001908396946571</v>
      </c>
      <c r="BC5">
        <v>1.0004085801838609</v>
      </c>
      <c r="BD5">
        <v>1.0002362669816891</v>
      </c>
      <c r="BF5">
        <f t="shared" si="0"/>
        <v>1.001724672384813</v>
      </c>
      <c r="BG5">
        <f t="shared" si="1"/>
        <v>1.0012374092391945</v>
      </c>
      <c r="BH5" s="2">
        <f t="shared" si="2"/>
        <v>-1.2374092391944647E-3</v>
      </c>
      <c r="BI5" t="str">
        <f t="shared" si="3"/>
        <v>03_zero_cash_down</v>
      </c>
    </row>
    <row r="6" spans="1:61" x14ac:dyDescent="0.35">
      <c r="A6" s="6" t="s">
        <v>59</v>
      </c>
      <c r="B6">
        <v>1.004701873935264</v>
      </c>
      <c r="C6">
        <v>1.0068269976726141</v>
      </c>
      <c r="D6">
        <v>1.0064007142857141</v>
      </c>
      <c r="E6">
        <v>1.002731411229135</v>
      </c>
      <c r="F6">
        <v>1.006829857963131</v>
      </c>
      <c r="G6">
        <v>1.0034392228931479</v>
      </c>
      <c r="H6">
        <v>1.0079277566539919</v>
      </c>
      <c r="I6">
        <v>1.006616328456819</v>
      </c>
      <c r="J6">
        <v>1.0043259259259261</v>
      </c>
      <c r="K6">
        <v>1.0070230309923229</v>
      </c>
      <c r="L6">
        <v>1.0030685448736569</v>
      </c>
      <c r="M6">
        <v>1.0066627312081859</v>
      </c>
      <c r="N6">
        <v>1.005603462957706</v>
      </c>
      <c r="O6">
        <v>1.0032113517550409</v>
      </c>
      <c r="P6">
        <v>1.004330007127584</v>
      </c>
      <c r="Q6">
        <v>1.002457356815976</v>
      </c>
      <c r="R6">
        <v>1.004320557491289</v>
      </c>
      <c r="S6">
        <v>1.0046387262936081</v>
      </c>
      <c r="T6">
        <v>1.004972710733778</v>
      </c>
      <c r="U6">
        <v>1.0036763152334669</v>
      </c>
      <c r="V6">
        <v>1.0022140492828251</v>
      </c>
      <c r="W6">
        <v>1.0046045370938079</v>
      </c>
      <c r="X6">
        <v>1.004294380587484</v>
      </c>
      <c r="Y6">
        <v>1.0036956521739131</v>
      </c>
      <c r="Z6">
        <v>1.0061369863013701</v>
      </c>
      <c r="AA6">
        <v>1.0010933703575149</v>
      </c>
      <c r="AB6">
        <v>1.003109452736318</v>
      </c>
      <c r="AC6">
        <v>1.002268370607029</v>
      </c>
      <c r="AD6">
        <v>1.000715015321757</v>
      </c>
      <c r="AE6">
        <v>1.0001513622603431</v>
      </c>
      <c r="AF6">
        <v>1.0007347795661301</v>
      </c>
      <c r="AG6">
        <v>1.0017075773746</v>
      </c>
      <c r="AH6">
        <v>1.001835047388586</v>
      </c>
      <c r="AI6">
        <v>1.0012954658694571</v>
      </c>
      <c r="AJ6">
        <v>1.0001764446404939</v>
      </c>
      <c r="AK6">
        <v>1.0008099215388511</v>
      </c>
      <c r="AL6">
        <v>1.0011674571324329</v>
      </c>
      <c r="AM6">
        <v>1.0009215646119189</v>
      </c>
      <c r="AN6">
        <v>1.000581088219757</v>
      </c>
      <c r="AO6">
        <v>1.000140523449851</v>
      </c>
      <c r="AP6">
        <v>1.0005637331663011</v>
      </c>
      <c r="AQ6">
        <v>1.0011795543905631</v>
      </c>
      <c r="AR6">
        <v>1.000909334046536</v>
      </c>
      <c r="AS6">
        <v>1.0002127659574469</v>
      </c>
      <c r="AT6">
        <v>1.0002213858755811</v>
      </c>
      <c r="AU6">
        <v>1.0005827263267431</v>
      </c>
      <c r="AV6">
        <v>1.0009747706422021</v>
      </c>
      <c r="AW6">
        <v>1.00076495132128</v>
      </c>
      <c r="AX6">
        <v>1.0002115282919091</v>
      </c>
      <c r="AY6">
        <v>1.000344736144259</v>
      </c>
      <c r="AZ6">
        <v>1.0008730158730159</v>
      </c>
      <c r="BA6">
        <v>1.000682593856655</v>
      </c>
      <c r="BB6">
        <v>1.00057251908397</v>
      </c>
      <c r="BC6">
        <v>1.000510725229826</v>
      </c>
      <c r="BD6">
        <v>1.0002362669816891</v>
      </c>
      <c r="BF6">
        <f t="shared" si="0"/>
        <v>1.0026592461491048</v>
      </c>
      <c r="BG6">
        <f t="shared" si="1"/>
        <v>1.0009329647058276</v>
      </c>
      <c r="BH6" s="2">
        <f t="shared" si="2"/>
        <v>-9.3296470582759916E-4</v>
      </c>
      <c r="BI6" t="str">
        <f t="shared" si="3"/>
        <v>04_high_mileage</v>
      </c>
    </row>
    <row r="7" spans="1:61" x14ac:dyDescent="0.35">
      <c r="A7" s="6" t="s">
        <v>60</v>
      </c>
      <c r="B7">
        <v>1.0049999999999999</v>
      </c>
      <c r="C7">
        <v>1.007455391776571</v>
      </c>
      <c r="D7">
        <v>1.006686428571429</v>
      </c>
      <c r="E7">
        <v>1.0047040971168439</v>
      </c>
      <c r="F7">
        <v>1.008890903596253</v>
      </c>
      <c r="G7">
        <v>1.0036755053819899</v>
      </c>
      <c r="H7">
        <v>1.008117870722433</v>
      </c>
      <c r="I7">
        <v>1.006757904672015</v>
      </c>
      <c r="J7">
        <v>1.005066666666667</v>
      </c>
      <c r="K7">
        <v>1.0085641171452939</v>
      </c>
      <c r="L7">
        <v>1.003228289282603</v>
      </c>
      <c r="M7">
        <v>1.0070995670995671</v>
      </c>
      <c r="N7">
        <v>1.005745387453874</v>
      </c>
      <c r="O7">
        <v>1.0036594473487681</v>
      </c>
      <c r="P7">
        <v>1.005258374910905</v>
      </c>
      <c r="Q7">
        <v>1.002623769241437</v>
      </c>
      <c r="R7">
        <v>1.0045818815331009</v>
      </c>
      <c r="S7">
        <v>1.005060173261531</v>
      </c>
      <c r="T7">
        <v>1.0055184960582171</v>
      </c>
      <c r="U7">
        <v>1.004944010141559</v>
      </c>
      <c r="V7">
        <v>1.0024531077602059</v>
      </c>
      <c r="W7">
        <v>1.005229920294298</v>
      </c>
      <c r="X7">
        <v>1.004805236270754</v>
      </c>
      <c r="Y7">
        <v>1.0042627599243861</v>
      </c>
      <c r="Z7">
        <v>1.0073726027397261</v>
      </c>
      <c r="AA7">
        <v>1.0010933703575149</v>
      </c>
      <c r="AB7">
        <v>1.003109452736318</v>
      </c>
      <c r="AC7">
        <v>1.002268370607029</v>
      </c>
      <c r="AD7">
        <v>1.000715015321757</v>
      </c>
      <c r="AE7">
        <v>1.0001513622603431</v>
      </c>
      <c r="AF7">
        <v>1.0007347795661301</v>
      </c>
      <c r="AG7">
        <v>1.0017075773746</v>
      </c>
      <c r="AH7">
        <v>1.001835047388586</v>
      </c>
      <c r="AI7">
        <v>1.0012954658694571</v>
      </c>
      <c r="AJ7">
        <v>1.0001764446404939</v>
      </c>
      <c r="AK7">
        <v>1.0008099215388511</v>
      </c>
      <c r="AL7">
        <v>1.0011674571324329</v>
      </c>
      <c r="AM7">
        <v>1.0009215646119189</v>
      </c>
      <c r="AN7">
        <v>1.000581088219757</v>
      </c>
      <c r="AO7">
        <v>1.000140523449851</v>
      </c>
      <c r="AP7">
        <v>1.0005637331663011</v>
      </c>
      <c r="AQ7">
        <v>1.0011795543905631</v>
      </c>
      <c r="AR7">
        <v>1.000909334046536</v>
      </c>
      <c r="AS7">
        <v>1.0002127659574469</v>
      </c>
      <c r="AT7">
        <v>1.0002213858755811</v>
      </c>
      <c r="AU7">
        <v>1.0005827263267431</v>
      </c>
      <c r="AV7">
        <v>1.0009747706422021</v>
      </c>
      <c r="AW7">
        <v>1.00076495132128</v>
      </c>
      <c r="AX7">
        <v>1.0002115282919091</v>
      </c>
      <c r="AY7">
        <v>1.000344736144259</v>
      </c>
      <c r="AZ7">
        <v>1.0008730158730159</v>
      </c>
      <c r="BA7">
        <v>1.000682593856655</v>
      </c>
      <c r="BB7">
        <v>1.00057251908397</v>
      </c>
      <c r="BC7">
        <v>1.000510725229826</v>
      </c>
      <c r="BD7">
        <v>1.0002362669816891</v>
      </c>
      <c r="BF7">
        <f t="shared" si="0"/>
        <v>1.0029510901315173</v>
      </c>
      <c r="BG7">
        <f t="shared" si="1"/>
        <v>1.0002910699557535</v>
      </c>
      <c r="BH7" s="2">
        <f t="shared" si="2"/>
        <v>-2.9106995575345351E-4</v>
      </c>
      <c r="BI7" t="str">
        <f t="shared" si="3"/>
        <v>05_high_pti</v>
      </c>
    </row>
    <row r="8" spans="1:61" x14ac:dyDescent="0.35">
      <c r="A8" s="6" t="s">
        <v>61</v>
      </c>
      <c r="B8">
        <v>0.99313841567291317</v>
      </c>
      <c r="C8">
        <v>0.9927618308766486</v>
      </c>
      <c r="D8">
        <v>0.99315142857142857</v>
      </c>
      <c r="E8">
        <v>0.9888922610015175</v>
      </c>
      <c r="F8">
        <v>1.005581746751284</v>
      </c>
      <c r="G8">
        <v>0.99313993174061432</v>
      </c>
      <c r="H8">
        <v>0.99085551330798494</v>
      </c>
      <c r="I8">
        <v>0.99152855120339778</v>
      </c>
      <c r="J8">
        <v>0.99149629629629632</v>
      </c>
      <c r="K8">
        <v>1.001703156098948</v>
      </c>
      <c r="L8">
        <v>0.99376706360731915</v>
      </c>
      <c r="M8">
        <v>0.99028335301062576</v>
      </c>
      <c r="N8">
        <v>0.98902756173715589</v>
      </c>
      <c r="O8">
        <v>0.99066467513069456</v>
      </c>
      <c r="P8">
        <v>0.9999821810406273</v>
      </c>
      <c r="Q8">
        <v>0.9901288309527112</v>
      </c>
      <c r="R8">
        <v>0.98488240418118467</v>
      </c>
      <c r="S8">
        <v>0.98679747131819229</v>
      </c>
      <c r="T8">
        <v>0.99226804123711343</v>
      </c>
      <c r="U8">
        <v>0.99738854848933034</v>
      </c>
      <c r="V8">
        <v>0.98722692166237602</v>
      </c>
      <c r="W8">
        <v>0.98341446965052115</v>
      </c>
      <c r="X8">
        <v>0.98321519795657741</v>
      </c>
      <c r="Y8">
        <v>0.98811909262759934</v>
      </c>
      <c r="Z8">
        <v>0.99749041095890412</v>
      </c>
      <c r="AA8">
        <v>0.95653592502603257</v>
      </c>
      <c r="AB8">
        <v>0.95429726368159218</v>
      </c>
      <c r="AC8">
        <v>0.95338019169329069</v>
      </c>
      <c r="AD8">
        <v>0.95903983656792657</v>
      </c>
      <c r="AE8">
        <v>0.97126639757820388</v>
      </c>
      <c r="AF8">
        <v>0.95198973641240969</v>
      </c>
      <c r="AG8">
        <v>0.95488794023479195</v>
      </c>
      <c r="AH8">
        <v>0.95291389393022785</v>
      </c>
      <c r="AI8">
        <v>0.96003986048829104</v>
      </c>
      <c r="AJ8">
        <v>0.96465813850904281</v>
      </c>
      <c r="AK8">
        <v>0.94916983042267777</v>
      </c>
      <c r="AL8">
        <v>0.94931047063115648</v>
      </c>
      <c r="AM8">
        <v>0.94437845586729463</v>
      </c>
      <c r="AN8">
        <v>0.95186476492340211</v>
      </c>
      <c r="AO8">
        <v>0.94753205691199727</v>
      </c>
      <c r="AP8">
        <v>0.9455934857500784</v>
      </c>
      <c r="AQ8">
        <v>0.94131935342944506</v>
      </c>
      <c r="AR8">
        <v>0.94292859053222788</v>
      </c>
      <c r="AS8">
        <v>0.95110638297872341</v>
      </c>
      <c r="AT8">
        <v>0.94359973433694921</v>
      </c>
      <c r="AU8">
        <v>0.93593756503642023</v>
      </c>
      <c r="AV8">
        <v>0.93788417431192661</v>
      </c>
      <c r="AW8">
        <v>0.93069888734353268</v>
      </c>
      <c r="AX8">
        <v>0.9498677948175569</v>
      </c>
      <c r="AY8">
        <v>0.93300981172102893</v>
      </c>
      <c r="AZ8">
        <v>0.93813492063492077</v>
      </c>
      <c r="BA8">
        <v>0.93492605233219561</v>
      </c>
      <c r="BB8">
        <v>0.92536895674300268</v>
      </c>
      <c r="BC8">
        <v>0.95597548518896847</v>
      </c>
      <c r="BD8">
        <v>0.93313644418192565</v>
      </c>
      <c r="BF8">
        <f t="shared" si="0"/>
        <v>0.96759377740543973</v>
      </c>
      <c r="BG8">
        <f t="shared" si="1"/>
        <v>0.96474672287215801</v>
      </c>
      <c r="BH8" s="2">
        <f t="shared" si="2"/>
        <v>3.5253277127841987E-2</v>
      </c>
      <c r="BI8" s="3" t="str">
        <f t="shared" si="3"/>
        <v>06_car_make</v>
      </c>
    </row>
    <row r="9" spans="1:61" x14ac:dyDescent="0.35">
      <c r="A9" s="6" t="s">
        <v>62</v>
      </c>
      <c r="B9">
        <v>0.98567514608177165</v>
      </c>
      <c r="C9">
        <v>0.98457167571761051</v>
      </c>
      <c r="D9">
        <v>0.98585517428571423</v>
      </c>
      <c r="E9">
        <v>0.98309735963581169</v>
      </c>
      <c r="F9">
        <v>1.010535321849501</v>
      </c>
      <c r="G9">
        <v>0.98598353636124958</v>
      </c>
      <c r="H9">
        <v>0.98301849809885933</v>
      </c>
      <c r="I9">
        <v>0.98345552760736188</v>
      </c>
      <c r="J9">
        <v>0.985221511111111</v>
      </c>
      <c r="K9">
        <v>0.99970415979528005</v>
      </c>
      <c r="L9">
        <v>0.98820336334591929</v>
      </c>
      <c r="M9">
        <v>0.9831525265643446</v>
      </c>
      <c r="N9">
        <v>0.98249293973885887</v>
      </c>
      <c r="O9">
        <v>0.9863921583271098</v>
      </c>
      <c r="P9">
        <v>0.99572694226657177</v>
      </c>
      <c r="Q9">
        <v>0.98351484579115234</v>
      </c>
      <c r="R9">
        <v>0.97718415940766545</v>
      </c>
      <c r="S9">
        <v>0.97895039662842409</v>
      </c>
      <c r="T9">
        <v>0.98816388720436632</v>
      </c>
      <c r="U9">
        <v>0.99142968096344808</v>
      </c>
      <c r="V9">
        <v>0.98038066936373669</v>
      </c>
      <c r="W9">
        <v>0.97453909442060083</v>
      </c>
      <c r="X9">
        <v>0.97363541187739455</v>
      </c>
      <c r="Y9">
        <v>0.98117798676748569</v>
      </c>
      <c r="Z9">
        <v>0.98851015890410965</v>
      </c>
      <c r="AA9">
        <v>0.95653592502603257</v>
      </c>
      <c r="AB9">
        <v>0.95429726368159218</v>
      </c>
      <c r="AC9">
        <v>0.95338019169329069</v>
      </c>
      <c r="AD9">
        <v>0.95903983656792657</v>
      </c>
      <c r="AE9">
        <v>0.97126639757820388</v>
      </c>
      <c r="AF9">
        <v>0.95198973641240969</v>
      </c>
      <c r="AG9">
        <v>0.95488794023479195</v>
      </c>
      <c r="AH9">
        <v>0.95291389393022785</v>
      </c>
      <c r="AI9">
        <v>0.96003986048829104</v>
      </c>
      <c r="AJ9">
        <v>0.96465813850904281</v>
      </c>
      <c r="AK9">
        <v>0.94916983042267777</v>
      </c>
      <c r="AL9">
        <v>0.94931047063115648</v>
      </c>
      <c r="AM9">
        <v>0.94437845586729463</v>
      </c>
      <c r="AN9">
        <v>0.95186476492340211</v>
      </c>
      <c r="AO9">
        <v>0.94753205691199727</v>
      </c>
      <c r="AP9">
        <v>0.9455934857500784</v>
      </c>
      <c r="AQ9">
        <v>0.94131935342944506</v>
      </c>
      <c r="AR9">
        <v>0.94292859053222788</v>
      </c>
      <c r="AS9">
        <v>0.95110638297872341</v>
      </c>
      <c r="AT9">
        <v>0.94359973433694921</v>
      </c>
      <c r="AU9">
        <v>0.93593756503642023</v>
      </c>
      <c r="AV9">
        <v>0.93788417431192661</v>
      </c>
      <c r="AW9">
        <v>0.93069888734353268</v>
      </c>
      <c r="AX9">
        <v>0.9498677948175569</v>
      </c>
      <c r="AY9">
        <v>0.93300981172102893</v>
      </c>
      <c r="AZ9">
        <v>0.93813492063492077</v>
      </c>
      <c r="BA9">
        <v>0.93492605233219561</v>
      </c>
      <c r="BB9">
        <v>0.92536895674300268</v>
      </c>
      <c r="BC9">
        <v>0.95597548518896847</v>
      </c>
      <c r="BD9">
        <v>0.93313644418192565</v>
      </c>
      <c r="BF9">
        <f t="shared" si="0"/>
        <v>0.96475135516968513</v>
      </c>
      <c r="BG9">
        <f t="shared" si="1"/>
        <v>0.99706238061660912</v>
      </c>
      <c r="BH9" s="2">
        <f t="shared" si="2"/>
        <v>2.937619383390877E-3</v>
      </c>
      <c r="BI9" s="3" t="str">
        <f t="shared" si="3"/>
        <v>07_theft_risk</v>
      </c>
    </row>
    <row r="10" spans="1:61" x14ac:dyDescent="0.35">
      <c r="A10" s="6" t="s">
        <v>63</v>
      </c>
      <c r="B10">
        <v>0.98567514608177165</v>
      </c>
      <c r="C10">
        <v>0.98457167571761051</v>
      </c>
      <c r="D10">
        <v>0.98585517428571423</v>
      </c>
      <c r="E10">
        <v>0.98309735963581169</v>
      </c>
      <c r="F10">
        <v>1.010535321849501</v>
      </c>
      <c r="G10">
        <v>0.98598353636124958</v>
      </c>
      <c r="H10">
        <v>0.98301849809885933</v>
      </c>
      <c r="I10">
        <v>0.98345552760736188</v>
      </c>
      <c r="J10">
        <v>0.985221511111111</v>
      </c>
      <c r="K10">
        <v>0.99970415979528005</v>
      </c>
      <c r="L10">
        <v>0.98820336334591929</v>
      </c>
      <c r="M10">
        <v>0.9831525265643446</v>
      </c>
      <c r="N10">
        <v>0.98249293973885887</v>
      </c>
      <c r="O10">
        <v>0.9863921583271098</v>
      </c>
      <c r="P10">
        <v>0.99572694226657177</v>
      </c>
      <c r="Q10">
        <v>0.98351484579115234</v>
      </c>
      <c r="R10">
        <v>0.97718415940766545</v>
      </c>
      <c r="S10">
        <v>0.97895039662842409</v>
      </c>
      <c r="T10">
        <v>0.98816388720436632</v>
      </c>
      <c r="U10">
        <v>0.99142968096344808</v>
      </c>
      <c r="V10">
        <v>0.98038066936373669</v>
      </c>
      <c r="W10">
        <v>0.97453909442060083</v>
      </c>
      <c r="X10">
        <v>0.97363541187739455</v>
      </c>
      <c r="Y10">
        <v>0.98117798676748569</v>
      </c>
      <c r="Z10">
        <v>0.98851015890410965</v>
      </c>
      <c r="AA10">
        <v>0.95653592502603257</v>
      </c>
      <c r="AB10">
        <v>0.95429726368159218</v>
      </c>
      <c r="AC10">
        <v>0.95338019169329069</v>
      </c>
      <c r="AD10">
        <v>0.95903983656792657</v>
      </c>
      <c r="AE10">
        <v>0.97126639757820388</v>
      </c>
      <c r="AF10">
        <v>0.95198973641240969</v>
      </c>
      <c r="AG10">
        <v>0.95488794023479195</v>
      </c>
      <c r="AH10">
        <v>0.95291389393022785</v>
      </c>
      <c r="AI10">
        <v>0.96003986048829104</v>
      </c>
      <c r="AJ10">
        <v>0.96465813850904281</v>
      </c>
      <c r="AK10">
        <v>0.94916983042267777</v>
      </c>
      <c r="AL10">
        <v>0.94931047063115648</v>
      </c>
      <c r="AM10">
        <v>0.94437845586729463</v>
      </c>
      <c r="AN10">
        <v>0.95186476492340211</v>
      </c>
      <c r="AO10">
        <v>0.94753205691199727</v>
      </c>
      <c r="AP10">
        <v>0.9455934857500784</v>
      </c>
      <c r="AQ10">
        <v>0.94131935342944506</v>
      </c>
      <c r="AR10">
        <v>0.94292859053222788</v>
      </c>
      <c r="AS10">
        <v>0.95110638297872341</v>
      </c>
      <c r="AT10">
        <v>0.94359973433694921</v>
      </c>
      <c r="AU10">
        <v>0.93593756503642023</v>
      </c>
      <c r="AV10">
        <v>0.93788417431192661</v>
      </c>
      <c r="AW10">
        <v>0.93069888734353268</v>
      </c>
      <c r="AX10">
        <v>0.9498677948175569</v>
      </c>
      <c r="AY10">
        <v>0.93300981172102893</v>
      </c>
      <c r="AZ10">
        <v>0.93813492063492077</v>
      </c>
      <c r="BA10">
        <v>0.93492605233219561</v>
      </c>
      <c r="BB10">
        <v>0.92536895674300268</v>
      </c>
      <c r="BC10">
        <v>0.95597548518896847</v>
      </c>
      <c r="BD10">
        <v>0.93313644418192565</v>
      </c>
      <c r="BF10">
        <f t="shared" si="0"/>
        <v>0.96475135516968513</v>
      </c>
      <c r="BG10">
        <f t="shared" si="1"/>
        <v>1</v>
      </c>
      <c r="BH10" s="2">
        <f t="shared" si="2"/>
        <v>0</v>
      </c>
      <c r="BI10" t="str">
        <f t="shared" si="3"/>
        <v>08_mcy_low_mileage</v>
      </c>
    </row>
    <row r="11" spans="1:61" x14ac:dyDescent="0.35">
      <c r="A11" s="6" t="s">
        <v>64</v>
      </c>
      <c r="B11">
        <v>0.98992933077086886</v>
      </c>
      <c r="C11">
        <v>0.98466665213343685</v>
      </c>
      <c r="D11">
        <v>0.98884726277142854</v>
      </c>
      <c r="E11">
        <v>0.98143538103186634</v>
      </c>
      <c r="F11">
        <v>1.018941965729828</v>
      </c>
      <c r="G11">
        <v>0.99078407658178025</v>
      </c>
      <c r="H11">
        <v>0.98369106996197719</v>
      </c>
      <c r="I11">
        <v>0.9852327709579991</v>
      </c>
      <c r="J11">
        <v>0.98307150577777769</v>
      </c>
      <c r="K11">
        <v>1.0046721220073931</v>
      </c>
      <c r="L11">
        <v>0.99221672248039516</v>
      </c>
      <c r="M11">
        <v>0.98378183164108635</v>
      </c>
      <c r="N11">
        <v>0.98432433310644363</v>
      </c>
      <c r="O11">
        <v>0.98769016624346528</v>
      </c>
      <c r="P11">
        <v>1.0005353163399859</v>
      </c>
      <c r="Q11">
        <v>0.9872308023103592</v>
      </c>
      <c r="R11">
        <v>0.97725955570557488</v>
      </c>
      <c r="S11">
        <v>0.98063285010302026</v>
      </c>
      <c r="T11">
        <v>0.98930004523953918</v>
      </c>
      <c r="U11">
        <v>0.99800376630044374</v>
      </c>
      <c r="V11">
        <v>0.98304946495034939</v>
      </c>
      <c r="W11">
        <v>0.97511320892703868</v>
      </c>
      <c r="X11">
        <v>0.97529166781609211</v>
      </c>
      <c r="Y11">
        <v>0.98519393960302448</v>
      </c>
      <c r="Z11">
        <v>0.99366322347945213</v>
      </c>
      <c r="AA11">
        <v>0.95864068031933347</v>
      </c>
      <c r="AB11">
        <v>0.95385024875621882</v>
      </c>
      <c r="AC11">
        <v>0.95451169329073482</v>
      </c>
      <c r="AD11">
        <v>0.95922267620020429</v>
      </c>
      <c r="AE11">
        <v>0.976167255297679</v>
      </c>
      <c r="AF11">
        <v>0.9521905994868205</v>
      </c>
      <c r="AG11">
        <v>0.95201999288509431</v>
      </c>
      <c r="AH11">
        <v>0.9524795926598103</v>
      </c>
      <c r="AI11">
        <v>0.95886497259591408</v>
      </c>
      <c r="AJ11">
        <v>0.96746069695632986</v>
      </c>
      <c r="AK11">
        <v>0.9502351050366995</v>
      </c>
      <c r="AL11">
        <v>0.94754210142283823</v>
      </c>
      <c r="AM11">
        <v>0.94430294900675804</v>
      </c>
      <c r="AN11">
        <v>0.95162525092445838</v>
      </c>
      <c r="AO11">
        <v>0.95143632531178646</v>
      </c>
      <c r="AP11">
        <v>0.94641255872220476</v>
      </c>
      <c r="AQ11">
        <v>0.94097754477937978</v>
      </c>
      <c r="AR11">
        <v>0.94326384059909052</v>
      </c>
      <c r="AS11">
        <v>0.95100510638297864</v>
      </c>
      <c r="AT11">
        <v>0.94806105822448516</v>
      </c>
      <c r="AU11">
        <v>0.93569877211238284</v>
      </c>
      <c r="AV11">
        <v>0.93547769495412825</v>
      </c>
      <c r="AW11">
        <v>0.92964641863699571</v>
      </c>
      <c r="AX11">
        <v>0.94915335801163392</v>
      </c>
      <c r="AY11">
        <v>0.93691821797931574</v>
      </c>
      <c r="AZ11">
        <v>0.93755595238095224</v>
      </c>
      <c r="BA11">
        <v>0.931207053469852</v>
      </c>
      <c r="BB11">
        <v>0.92438142493638664</v>
      </c>
      <c r="BC11">
        <v>0.95474565883554641</v>
      </c>
      <c r="BD11">
        <v>0.93562433549911384</v>
      </c>
      <c r="BF11">
        <f t="shared" si="0"/>
        <v>0.96609523941174091</v>
      </c>
      <c r="BG11">
        <f t="shared" si="1"/>
        <v>1.0013929850783361</v>
      </c>
      <c r="BH11" s="2">
        <f t="shared" si="2"/>
        <v>-1.3929850783360731E-3</v>
      </c>
      <c r="BI11" t="str">
        <f t="shared" si="3"/>
        <v>09_weekend_weekday</v>
      </c>
    </row>
    <row r="12" spans="1:61" x14ac:dyDescent="0.35">
      <c r="A12" s="6" t="s">
        <v>65</v>
      </c>
      <c r="B12">
        <v>0.96515484358965054</v>
      </c>
      <c r="C12">
        <v>0.96651065319519003</v>
      </c>
      <c r="D12">
        <v>0.96740342284414282</v>
      </c>
      <c r="E12">
        <v>0.95970558012291352</v>
      </c>
      <c r="F12">
        <v>0.99825249262883031</v>
      </c>
      <c r="G12">
        <v>0.96841231975573616</v>
      </c>
      <c r="H12">
        <v>0.96467859534334577</v>
      </c>
      <c r="I12">
        <v>0.96481361676220845</v>
      </c>
      <c r="J12">
        <v>0.95978424834755549</v>
      </c>
      <c r="K12">
        <v>0.98194632811287996</v>
      </c>
      <c r="L12">
        <v>0.99221984608492564</v>
      </c>
      <c r="M12">
        <v>0.98767741498842976</v>
      </c>
      <c r="N12">
        <v>0.98330863434260563</v>
      </c>
      <c r="O12">
        <v>0.98841711198506332</v>
      </c>
      <c r="P12">
        <v>1.00545517252067</v>
      </c>
      <c r="Q12">
        <v>0.98057670986426271</v>
      </c>
      <c r="R12">
        <v>0.97759935699381539</v>
      </c>
      <c r="S12">
        <v>0.97688803097026455</v>
      </c>
      <c r="T12">
        <v>0.9898139483123104</v>
      </c>
      <c r="U12">
        <v>1.002307848815762</v>
      </c>
      <c r="V12">
        <v>0.97548076527660899</v>
      </c>
      <c r="W12">
        <v>0.9724313528622931</v>
      </c>
      <c r="X12">
        <v>0.9707441670381225</v>
      </c>
      <c r="Y12">
        <v>0.98606400098109648</v>
      </c>
      <c r="Z12">
        <v>0.99900875317150672</v>
      </c>
      <c r="AA12">
        <v>0.95485280909406456</v>
      </c>
      <c r="AB12">
        <v>0.9552870062189055</v>
      </c>
      <c r="AC12">
        <v>0.95613224434504784</v>
      </c>
      <c r="AD12">
        <v>0.96369359346271699</v>
      </c>
      <c r="AE12">
        <v>0.98614759535822394</v>
      </c>
      <c r="AF12">
        <v>0.94972861534872866</v>
      </c>
      <c r="AG12">
        <v>0.95530995233013161</v>
      </c>
      <c r="AH12">
        <v>0.95520387094172221</v>
      </c>
      <c r="AI12">
        <v>0.9678751390134529</v>
      </c>
      <c r="AJ12">
        <v>0.97914136421114539</v>
      </c>
      <c r="AK12">
        <v>0.94096934674765886</v>
      </c>
      <c r="AL12">
        <v>0.94282844874133531</v>
      </c>
      <c r="AM12">
        <v>0.93958531599426565</v>
      </c>
      <c r="AN12">
        <v>0.9549152361331219</v>
      </c>
      <c r="AO12">
        <v>0.95486369119971903</v>
      </c>
      <c r="AP12">
        <v>0.93793325837770125</v>
      </c>
      <c r="AQ12">
        <v>0.93728421843599807</v>
      </c>
      <c r="AR12">
        <v>0.93901750788981009</v>
      </c>
      <c r="AS12">
        <v>0.95132207340425534</v>
      </c>
      <c r="AT12">
        <v>0.95018726234226247</v>
      </c>
      <c r="AU12">
        <v>0.92267481207075941</v>
      </c>
      <c r="AV12">
        <v>0.92680134518348634</v>
      </c>
      <c r="AW12">
        <v>0.92111982892906819</v>
      </c>
      <c r="AX12">
        <v>0.94908279746166047</v>
      </c>
      <c r="AY12">
        <v>0.93315859771943777</v>
      </c>
      <c r="AZ12">
        <v>0.92345244841269847</v>
      </c>
      <c r="BA12">
        <v>0.92210023208191116</v>
      </c>
      <c r="BB12">
        <v>0.9141572328244274</v>
      </c>
      <c r="BC12">
        <v>0.95087967313585275</v>
      </c>
      <c r="BD12">
        <v>0.92940771411695211</v>
      </c>
      <c r="BF12">
        <f t="shared" si="0"/>
        <v>0.96090488084430381</v>
      </c>
      <c r="BG12">
        <f t="shared" si="1"/>
        <v>0.99462748768889753</v>
      </c>
      <c r="BH12" s="2">
        <f t="shared" si="2"/>
        <v>5.3725123111024731E-3</v>
      </c>
      <c r="BI12" s="3" t="str">
        <f t="shared" si="3"/>
        <v>10_student_loans</v>
      </c>
    </row>
    <row r="13" spans="1:61" x14ac:dyDescent="0.35">
      <c r="A13" s="6" t="s">
        <v>66</v>
      </c>
      <c r="B13">
        <v>0.95788013675884998</v>
      </c>
      <c r="C13">
        <v>0.95971232893033354</v>
      </c>
      <c r="D13">
        <v>0.96168473805578547</v>
      </c>
      <c r="E13">
        <v>0.95596693516415776</v>
      </c>
      <c r="F13">
        <v>0.99825249262883031</v>
      </c>
      <c r="G13">
        <v>0.96217672201464144</v>
      </c>
      <c r="H13">
        <v>0.95965808530794672</v>
      </c>
      <c r="I13">
        <v>0.96061196172227137</v>
      </c>
      <c r="J13">
        <v>0.95723029354755551</v>
      </c>
      <c r="K13">
        <v>0.98194632811287996</v>
      </c>
      <c r="L13">
        <v>0.98612845077499256</v>
      </c>
      <c r="M13">
        <v>0.98070255911232562</v>
      </c>
      <c r="N13">
        <v>0.97837788857621899</v>
      </c>
      <c r="O13">
        <v>0.98232101372598946</v>
      </c>
      <c r="P13">
        <v>1.00545517252067</v>
      </c>
      <c r="Q13">
        <v>0.97329214339937842</v>
      </c>
      <c r="R13">
        <v>0.96932879159491725</v>
      </c>
      <c r="S13">
        <v>0.97102494194229427</v>
      </c>
      <c r="T13">
        <v>0.98178510273911446</v>
      </c>
      <c r="U13">
        <v>1.002307848815762</v>
      </c>
      <c r="V13">
        <v>0.96766323299646917</v>
      </c>
      <c r="W13">
        <v>0.96506597190055166</v>
      </c>
      <c r="X13">
        <v>0.9647800047117433</v>
      </c>
      <c r="Y13">
        <v>0.97818641236758019</v>
      </c>
      <c r="Z13">
        <v>0.99900875317150672</v>
      </c>
      <c r="AA13">
        <v>0.94750583210690731</v>
      </c>
      <c r="AB13">
        <v>0.94749252300995002</v>
      </c>
      <c r="AC13">
        <v>0.95048088256869001</v>
      </c>
      <c r="AD13">
        <v>0.95657966435137898</v>
      </c>
      <c r="AE13">
        <v>0.98614759535822394</v>
      </c>
      <c r="AF13">
        <v>0.94187346955446694</v>
      </c>
      <c r="AG13">
        <v>0.94780773077196712</v>
      </c>
      <c r="AH13">
        <v>0.94888060214559389</v>
      </c>
      <c r="AI13">
        <v>0.96172352502242153</v>
      </c>
      <c r="AJ13">
        <v>0.97914136421114539</v>
      </c>
      <c r="AK13">
        <v>0.93451711182738539</v>
      </c>
      <c r="AL13">
        <v>0.93453802294782917</v>
      </c>
      <c r="AM13">
        <v>0.93435879807495381</v>
      </c>
      <c r="AN13">
        <v>0.94714501356576863</v>
      </c>
      <c r="AO13">
        <v>0.95486369119971903</v>
      </c>
      <c r="AP13">
        <v>0.93198996316943306</v>
      </c>
      <c r="AQ13">
        <v>0.93041535072957626</v>
      </c>
      <c r="AR13">
        <v>0.93331355193367194</v>
      </c>
      <c r="AS13">
        <v>0.94428412025531905</v>
      </c>
      <c r="AT13">
        <v>0.95018726234226247</v>
      </c>
      <c r="AU13">
        <v>0.91739379153381895</v>
      </c>
      <c r="AV13">
        <v>0.92078034724770641</v>
      </c>
      <c r="AW13">
        <v>0.91531061724617535</v>
      </c>
      <c r="AX13">
        <v>0.94256778709677413</v>
      </c>
      <c r="AY13">
        <v>0.93315859771943777</v>
      </c>
      <c r="AZ13">
        <v>0.91745584550793635</v>
      </c>
      <c r="BA13">
        <v>0.91637853993174057</v>
      </c>
      <c r="BB13">
        <v>0.90823255167938932</v>
      </c>
      <c r="BC13">
        <v>0.94571838978549538</v>
      </c>
      <c r="BD13">
        <v>0.92940771411695211</v>
      </c>
      <c r="BF13">
        <f t="shared" si="0"/>
        <v>0.95582179213827023</v>
      </c>
      <c r="BG13">
        <f t="shared" si="1"/>
        <v>0.99471010210545785</v>
      </c>
      <c r="BH13" s="2">
        <f>1-BG13</f>
        <v>5.2898978945421504E-3</v>
      </c>
      <c r="BI13" s="3" t="str">
        <f t="shared" si="3"/>
        <v>11_low_pti</v>
      </c>
    </row>
    <row r="14" spans="1:61" x14ac:dyDescent="0.35">
      <c r="A14" s="6" t="s">
        <v>67</v>
      </c>
      <c r="B14">
        <v>0.95078565278570015</v>
      </c>
      <c r="C14">
        <v>0.94437273313212777</v>
      </c>
      <c r="D14">
        <v>0.94787305588041282</v>
      </c>
      <c r="E14">
        <v>0.94333685620486774</v>
      </c>
      <c r="F14">
        <v>0.99020090155314022</v>
      </c>
      <c r="G14">
        <v>0.95969379662518395</v>
      </c>
      <c r="H14">
        <v>0.94765636592047264</v>
      </c>
      <c r="I14">
        <v>0.94687730365560629</v>
      </c>
      <c r="J14">
        <v>0.94005289146843196</v>
      </c>
      <c r="K14">
        <v>0.97723509869766534</v>
      </c>
      <c r="L14">
        <v>0.99922051124172651</v>
      </c>
      <c r="M14">
        <v>0.97692729637524389</v>
      </c>
      <c r="N14">
        <v>0.98101573213991988</v>
      </c>
      <c r="O14">
        <v>0.97921582414975261</v>
      </c>
      <c r="P14">
        <v>1.0160442067242801</v>
      </c>
      <c r="Q14">
        <v>0.97500424792401408</v>
      </c>
      <c r="R14">
        <v>0.96259740412017791</v>
      </c>
      <c r="S14">
        <v>0.9655966148505688</v>
      </c>
      <c r="T14">
        <v>0.97393063657443879</v>
      </c>
      <c r="U14">
        <v>1.0055181122553141</v>
      </c>
      <c r="V14">
        <v>0.96404964612787591</v>
      </c>
      <c r="W14">
        <v>0.95813974207705732</v>
      </c>
      <c r="X14">
        <v>0.95850913197988019</v>
      </c>
      <c r="Y14">
        <v>0.96968518532810821</v>
      </c>
      <c r="Z14">
        <v>1.001874832305135</v>
      </c>
      <c r="AA14">
        <v>0.9486171161969803</v>
      </c>
      <c r="AB14">
        <v>0.94993654859328347</v>
      </c>
      <c r="AC14">
        <v>0.95040261824016603</v>
      </c>
      <c r="AD14">
        <v>0.96172111881756894</v>
      </c>
      <c r="AE14">
        <v>0.99913434877598384</v>
      </c>
      <c r="AF14">
        <v>0.96495738783291807</v>
      </c>
      <c r="AG14">
        <v>0.96092331782753482</v>
      </c>
      <c r="AH14">
        <v>0.96478321830422253</v>
      </c>
      <c r="AI14">
        <v>0.9900613604221824</v>
      </c>
      <c r="AJ14">
        <v>1.0150712641808559</v>
      </c>
      <c r="AK14">
        <v>0.94000840708447997</v>
      </c>
      <c r="AL14">
        <v>0.93257321374531188</v>
      </c>
      <c r="AM14">
        <v>0.93424762118270721</v>
      </c>
      <c r="AN14">
        <v>0.95654852782877975</v>
      </c>
      <c r="AO14">
        <v>0.9708508999023362</v>
      </c>
      <c r="AP14">
        <v>0.94056378358750381</v>
      </c>
      <c r="AQ14">
        <v>0.9320129733533945</v>
      </c>
      <c r="AR14">
        <v>0.93651552247089598</v>
      </c>
      <c r="AS14">
        <v>0.95936589591663823</v>
      </c>
      <c r="AT14">
        <v>0.96561498664157619</v>
      </c>
      <c r="AU14">
        <v>0.91878433656322145</v>
      </c>
      <c r="AV14">
        <v>0.92013637193841735</v>
      </c>
      <c r="AW14">
        <v>0.91390527602086236</v>
      </c>
      <c r="AX14">
        <v>0.95590667516573247</v>
      </c>
      <c r="AY14">
        <v>0.94198359838027046</v>
      </c>
      <c r="AZ14">
        <v>0.90844352114399984</v>
      </c>
      <c r="BA14">
        <v>0.90846272917815696</v>
      </c>
      <c r="BB14">
        <v>0.8988225760558779</v>
      </c>
      <c r="BC14">
        <v>0.94193598059816142</v>
      </c>
      <c r="BD14">
        <v>0.92667073410513878</v>
      </c>
      <c r="BF14">
        <f t="shared" si="0"/>
        <v>0.95717046745731393</v>
      </c>
      <c r="BG14">
        <f t="shared" si="1"/>
        <v>1.0014110112681429</v>
      </c>
      <c r="BH14" s="2">
        <f t="shared" si="2"/>
        <v>-1.4110112681429143E-3</v>
      </c>
      <c r="BI14" s="3" t="str">
        <f t="shared" si="3"/>
        <v>12_chime</v>
      </c>
    </row>
    <row r="15" spans="1:61" x14ac:dyDescent="0.35">
      <c r="A15" s="6" t="s">
        <v>68</v>
      </c>
      <c r="B15">
        <v>0.95078565278570015</v>
      </c>
      <c r="C15">
        <v>0.94437273313212777</v>
      </c>
      <c r="D15">
        <v>0.94787305588041282</v>
      </c>
      <c r="E15">
        <v>0.94333685620486774</v>
      </c>
      <c r="F15">
        <v>0.99020090155314022</v>
      </c>
      <c r="G15">
        <v>0.95969379662518395</v>
      </c>
      <c r="H15">
        <v>0.94765636592047264</v>
      </c>
      <c r="I15">
        <v>0.94687730365560629</v>
      </c>
      <c r="J15">
        <v>0.94005289146843196</v>
      </c>
      <c r="K15">
        <v>0.97723509869766534</v>
      </c>
      <c r="L15">
        <v>0.99922051124172651</v>
      </c>
      <c r="M15">
        <v>0.97692729637524389</v>
      </c>
      <c r="N15">
        <v>0.98101573213991988</v>
      </c>
      <c r="O15">
        <v>0.97921582414975261</v>
      </c>
      <c r="P15">
        <v>1.0160442067242801</v>
      </c>
      <c r="Q15">
        <v>0.97500424792401408</v>
      </c>
      <c r="R15">
        <v>0.96259740412017791</v>
      </c>
      <c r="S15">
        <v>0.9655966148505688</v>
      </c>
      <c r="T15">
        <v>0.97393063657443879</v>
      </c>
      <c r="U15">
        <v>1.0055181122553141</v>
      </c>
      <c r="V15">
        <v>0.96404964612787591</v>
      </c>
      <c r="W15">
        <v>0.95813974207705732</v>
      </c>
      <c r="X15">
        <v>0.95850913197988019</v>
      </c>
      <c r="Y15">
        <v>0.96968518532810821</v>
      </c>
      <c r="Z15">
        <v>1.001874832305135</v>
      </c>
      <c r="AA15">
        <v>0.9486171161969803</v>
      </c>
      <c r="AB15">
        <v>0.94993654859328347</v>
      </c>
      <c r="AC15">
        <v>0.95040261824016603</v>
      </c>
      <c r="AD15">
        <v>0.96172111881756894</v>
      </c>
      <c r="AE15">
        <v>0.99913434877598384</v>
      </c>
      <c r="AF15">
        <v>0.96448402469666883</v>
      </c>
      <c r="AG15">
        <v>0.9600395900613875</v>
      </c>
      <c r="AH15">
        <v>0.96395713798673932</v>
      </c>
      <c r="AI15">
        <v>0.98939698911321383</v>
      </c>
      <c r="AJ15">
        <v>1.0142808567816499</v>
      </c>
      <c r="AK15">
        <v>0.93980353325649957</v>
      </c>
      <c r="AL15">
        <v>0.93184311546555998</v>
      </c>
      <c r="AM15">
        <v>0.93379206820679084</v>
      </c>
      <c r="AN15">
        <v>0.9555007074823455</v>
      </c>
      <c r="AO15">
        <v>0.97007693454066413</v>
      </c>
      <c r="AP15">
        <v>0.94104758599007188</v>
      </c>
      <c r="AQ15">
        <v>0.93124638248733937</v>
      </c>
      <c r="AR15">
        <v>0.93616160367357049</v>
      </c>
      <c r="AS15">
        <v>0.95831858846514895</v>
      </c>
      <c r="AT15">
        <v>0.96516898438299747</v>
      </c>
      <c r="AU15">
        <v>0.91931968193110924</v>
      </c>
      <c r="AV15">
        <v>0.92016513074002293</v>
      </c>
      <c r="AW15">
        <v>0.91342511475588328</v>
      </c>
      <c r="AX15">
        <v>0.95515158858910632</v>
      </c>
      <c r="AY15">
        <v>0.94148611770246637</v>
      </c>
      <c r="AZ15">
        <v>0.90844679206899981</v>
      </c>
      <c r="BA15">
        <v>0.90824520581706492</v>
      </c>
      <c r="BB15">
        <v>0.89869338652725184</v>
      </c>
      <c r="BC15">
        <v>0.94194076840596519</v>
      </c>
      <c r="BD15">
        <v>0.92615292024808027</v>
      </c>
      <c r="BF15">
        <f t="shared" si="0"/>
        <v>0.95697036981995776</v>
      </c>
      <c r="BG15">
        <f t="shared" si="1"/>
        <v>0.99979094879735719</v>
      </c>
      <c r="BH15" s="2">
        <f t="shared" si="2"/>
        <v>2.0905120264280708E-4</v>
      </c>
      <c r="BI15" t="str">
        <f t="shared" si="3"/>
        <v>13_employment_type</v>
      </c>
    </row>
    <row r="16" spans="1:61" x14ac:dyDescent="0.35">
      <c r="A16" s="6" t="s">
        <v>69</v>
      </c>
      <c r="B16">
        <v>0.95275877011334498</v>
      </c>
      <c r="C16">
        <v>0.94674488309195792</v>
      </c>
      <c r="D16">
        <v>0.94903590264527693</v>
      </c>
      <c r="E16">
        <v>0.94468900962147828</v>
      </c>
      <c r="F16">
        <v>0.9922638041675379</v>
      </c>
      <c r="G16">
        <v>0.96146954712408716</v>
      </c>
      <c r="H16">
        <v>0.94909512274211483</v>
      </c>
      <c r="I16">
        <v>0.94879244253119854</v>
      </c>
      <c r="J16">
        <v>0.94148279749525865</v>
      </c>
      <c r="K16">
        <v>0.97911978729239335</v>
      </c>
      <c r="L16">
        <v>1.0009946444896449</v>
      </c>
      <c r="M16">
        <v>0.97908614285080253</v>
      </c>
      <c r="N16">
        <v>0.98272666199880987</v>
      </c>
      <c r="O16">
        <v>0.98136211635217363</v>
      </c>
      <c r="P16">
        <v>1.0175316676597559</v>
      </c>
      <c r="Q16">
        <v>0.97676870894296142</v>
      </c>
      <c r="R16">
        <v>0.9649491069178332</v>
      </c>
      <c r="S16">
        <v>0.96769576720904427</v>
      </c>
      <c r="T16">
        <v>0.97644621747508398</v>
      </c>
      <c r="U16">
        <v>1.007074589310492</v>
      </c>
      <c r="V16">
        <v>0.96601991213119398</v>
      </c>
      <c r="W16">
        <v>0.96104370926169258</v>
      </c>
      <c r="X16">
        <v>0.96063660288811048</v>
      </c>
      <c r="Y16">
        <v>0.9716199841180343</v>
      </c>
      <c r="Z16">
        <v>1.003732791450211</v>
      </c>
      <c r="AA16">
        <v>0.95036587130638661</v>
      </c>
      <c r="AB16">
        <v>0.95168922654514931</v>
      </c>
      <c r="AC16">
        <v>0.95231703127556555</v>
      </c>
      <c r="AD16">
        <v>0.96493934852543417</v>
      </c>
      <c r="AE16">
        <v>1.000832610151362</v>
      </c>
      <c r="AF16">
        <v>0.96641368736017497</v>
      </c>
      <c r="AG16">
        <v>0.96200745089105644</v>
      </c>
      <c r="AH16">
        <v>0.96589152688237134</v>
      </c>
      <c r="AI16">
        <v>0.99114741449222721</v>
      </c>
      <c r="AJ16">
        <v>1.0156856630749009</v>
      </c>
      <c r="AK16">
        <v>0.94162118875877743</v>
      </c>
      <c r="AL16">
        <v>0.93367048114290396</v>
      </c>
      <c r="AM16">
        <v>0.93556867135829613</v>
      </c>
      <c r="AN16">
        <v>0.9578444001874169</v>
      </c>
      <c r="AO16">
        <v>0.97179749372597923</v>
      </c>
      <c r="AP16">
        <v>0.94290534679336058</v>
      </c>
      <c r="AQ16">
        <v>0.933678007722202</v>
      </c>
      <c r="AR16">
        <v>0.93852981377632527</v>
      </c>
      <c r="AS16">
        <v>0.96046004750514902</v>
      </c>
      <c r="AT16">
        <v>0.96670113832056659</v>
      </c>
      <c r="AU16">
        <v>0.92166811629543788</v>
      </c>
      <c r="AV16">
        <v>0.92243635034827987</v>
      </c>
      <c r="AW16">
        <v>0.91506540393112656</v>
      </c>
      <c r="AX16">
        <v>0.95716709538561606</v>
      </c>
      <c r="AY16">
        <v>0.94317422264884643</v>
      </c>
      <c r="AZ16">
        <v>0.90945373578733324</v>
      </c>
      <c r="BA16">
        <v>0.90902075985119446</v>
      </c>
      <c r="BB16">
        <v>0.89984123205167943</v>
      </c>
      <c r="BC16">
        <v>0.94347468269319712</v>
      </c>
      <c r="BD16">
        <v>0.92730738876077967</v>
      </c>
      <c r="BF16">
        <f t="shared" si="0"/>
        <v>0.9588330199532652</v>
      </c>
      <c r="BG16">
        <f t="shared" si="1"/>
        <v>1.00194640314063</v>
      </c>
      <c r="BH16" s="2">
        <f t="shared" si="2"/>
        <v>-1.9464031406299931E-3</v>
      </c>
      <c r="BI16" t="str">
        <f t="shared" si="3"/>
        <v>14_auth_tradelines</v>
      </c>
    </row>
    <row r="17" spans="1:61" x14ac:dyDescent="0.35">
      <c r="A17" s="6" t="s">
        <v>70</v>
      </c>
      <c r="B17">
        <v>0.95976963495419843</v>
      </c>
      <c r="C17">
        <v>0.95815215311543867</v>
      </c>
      <c r="D17">
        <v>0.95774908682579474</v>
      </c>
      <c r="E17">
        <v>0.93991602223709225</v>
      </c>
      <c r="F17">
        <v>0.99643040033134056</v>
      </c>
      <c r="G17">
        <v>0.96579894815184619</v>
      </c>
      <c r="H17">
        <v>0.96426506344084262</v>
      </c>
      <c r="I17">
        <v>0.96582962577359721</v>
      </c>
      <c r="J17">
        <v>0.94651740199325107</v>
      </c>
      <c r="K17">
        <v>0.97269189314540561</v>
      </c>
      <c r="L17">
        <v>1.0000245972913899</v>
      </c>
      <c r="M17">
        <v>0.98089844573480311</v>
      </c>
      <c r="N17">
        <v>0.99262526771338611</v>
      </c>
      <c r="O17">
        <v>0.97946223962386225</v>
      </c>
      <c r="P17">
        <v>1.002818727336992</v>
      </c>
      <c r="Q17">
        <v>0.97026704834484012</v>
      </c>
      <c r="R17">
        <v>0.97173955438790627</v>
      </c>
      <c r="S17">
        <v>0.9795911488330783</v>
      </c>
      <c r="T17">
        <v>0.9672825220350757</v>
      </c>
      <c r="U17">
        <v>0.99279175073423931</v>
      </c>
      <c r="V17">
        <v>0.96243041116725414</v>
      </c>
      <c r="W17">
        <v>0.96418668141217101</v>
      </c>
      <c r="X17">
        <v>0.96654314933342422</v>
      </c>
      <c r="Y17">
        <v>0.96032844828820374</v>
      </c>
      <c r="Z17">
        <v>0.99074502112624152</v>
      </c>
      <c r="AA17">
        <v>0.94655018205997565</v>
      </c>
      <c r="AB17">
        <v>0.95138080470007458</v>
      </c>
      <c r="AC17">
        <v>0.95684997839327923</v>
      </c>
      <c r="AD17">
        <v>0.94874491497094993</v>
      </c>
      <c r="AE17">
        <v>0.99229276658794141</v>
      </c>
      <c r="AF17">
        <v>0.96913437549592885</v>
      </c>
      <c r="AG17">
        <v>0.95690139891016646</v>
      </c>
      <c r="AH17">
        <v>0.95836544450624073</v>
      </c>
      <c r="AI17">
        <v>0.98255730724668755</v>
      </c>
      <c r="AJ17">
        <v>1.015681524709299</v>
      </c>
      <c r="AK17">
        <v>0.94082043321557818</v>
      </c>
      <c r="AL17">
        <v>0.92188859176392868</v>
      </c>
      <c r="AM17">
        <v>0.92727924067628831</v>
      </c>
      <c r="AN17">
        <v>0.94953823696384154</v>
      </c>
      <c r="AO17">
        <v>0.96577109627599511</v>
      </c>
      <c r="AP17">
        <v>0.93397145560323547</v>
      </c>
      <c r="AQ17">
        <v>0.91679055980257629</v>
      </c>
      <c r="AR17">
        <v>0.92352548231503495</v>
      </c>
      <c r="AS17">
        <v>0.94974303354802003</v>
      </c>
      <c r="AT17">
        <v>0.96022565557890205</v>
      </c>
      <c r="AU17">
        <v>0.91565519930813943</v>
      </c>
      <c r="AV17">
        <v>0.91040918340246668</v>
      </c>
      <c r="AW17">
        <v>0.9031392771027078</v>
      </c>
      <c r="AX17">
        <v>0.94990050029365725</v>
      </c>
      <c r="AY17">
        <v>0.94151469507393781</v>
      </c>
      <c r="AZ17">
        <v>0.90677024522990002</v>
      </c>
      <c r="BA17">
        <v>0.89768671590492821</v>
      </c>
      <c r="BB17">
        <v>0.89103501948946551</v>
      </c>
      <c r="BC17">
        <v>0.938891400768049</v>
      </c>
      <c r="BD17">
        <v>0.92163722209098631</v>
      </c>
      <c r="BF17">
        <f t="shared" si="0"/>
        <v>0.95551831246036123</v>
      </c>
      <c r="BG17">
        <f t="shared" si="1"/>
        <v>0.99654297732355368</v>
      </c>
      <c r="BH17" s="2">
        <f t="shared" si="2"/>
        <v>3.4570226764463197E-3</v>
      </c>
      <c r="BI17" s="3" t="str">
        <f t="shared" si="3"/>
        <v>15_fraud</v>
      </c>
    </row>
    <row r="18" spans="1:61" x14ac:dyDescent="0.35">
      <c r="A18" s="6" t="s">
        <v>71</v>
      </c>
      <c r="B18">
        <v>0.96344677038402704</v>
      </c>
      <c r="C18">
        <v>0.96094326488985171</v>
      </c>
      <c r="D18">
        <v>0.96082564010121096</v>
      </c>
      <c r="E18">
        <v>0.94392937875467586</v>
      </c>
      <c r="F18">
        <v>0.99834777666688168</v>
      </c>
      <c r="G18">
        <v>0.96883770257516255</v>
      </c>
      <c r="H18">
        <v>0.96766620688054894</v>
      </c>
      <c r="I18">
        <v>0.97011499537834744</v>
      </c>
      <c r="J18">
        <v>0.94884091371986568</v>
      </c>
      <c r="K18">
        <v>0.9739427041201848</v>
      </c>
      <c r="L18">
        <v>1.0031874743595579</v>
      </c>
      <c r="M18">
        <v>0.98385255736236255</v>
      </c>
      <c r="N18">
        <v>0.99529707892502728</v>
      </c>
      <c r="O18">
        <v>0.98164303278975018</v>
      </c>
      <c r="P18">
        <v>1.004383819208601</v>
      </c>
      <c r="Q18">
        <v>0.9747528738013983</v>
      </c>
      <c r="R18">
        <v>0.97489553224849035</v>
      </c>
      <c r="S18">
        <v>0.98251578563585618</v>
      </c>
      <c r="T18">
        <v>0.9697371246025388</v>
      </c>
      <c r="U18">
        <v>0.99428407440534072</v>
      </c>
      <c r="V18">
        <v>0.96936958017214014</v>
      </c>
      <c r="W18">
        <v>0.96755306181114387</v>
      </c>
      <c r="X18">
        <v>0.96942895738553758</v>
      </c>
      <c r="Y18">
        <v>0.96197682951533559</v>
      </c>
      <c r="Z18">
        <v>0.99260115461200082</v>
      </c>
      <c r="AA18">
        <v>0.95486469028006737</v>
      </c>
      <c r="AB18">
        <v>0.95489538124384332</v>
      </c>
      <c r="AC18">
        <v>0.95964434191227599</v>
      </c>
      <c r="AD18">
        <v>0.95096804817922354</v>
      </c>
      <c r="AE18">
        <v>0.9939568282423108</v>
      </c>
      <c r="AF18">
        <v>0.9754420196671546</v>
      </c>
      <c r="AG18">
        <v>0.96086741329265302</v>
      </c>
      <c r="AH18">
        <v>0.96133866959900838</v>
      </c>
      <c r="AI18">
        <v>0.98521820654767411</v>
      </c>
      <c r="AJ18">
        <v>1.0174318361095569</v>
      </c>
      <c r="AK18">
        <v>0.94789664334506962</v>
      </c>
      <c r="AL18">
        <v>0.9263553638945845</v>
      </c>
      <c r="AM18">
        <v>0.93056826861818032</v>
      </c>
      <c r="AN18">
        <v>0.95259064848352459</v>
      </c>
      <c r="AO18">
        <v>0.96767267947613556</v>
      </c>
      <c r="AP18">
        <v>0.94001602853955468</v>
      </c>
      <c r="AQ18">
        <v>0.92113958675164043</v>
      </c>
      <c r="AR18">
        <v>0.92716616607671243</v>
      </c>
      <c r="AS18">
        <v>0.95399463372625848</v>
      </c>
      <c r="AT18">
        <v>0.96238600661065388</v>
      </c>
      <c r="AU18">
        <v>0.9220982948965567</v>
      </c>
      <c r="AV18">
        <v>0.91411933577966276</v>
      </c>
      <c r="AW18">
        <v>0.90672061751651589</v>
      </c>
      <c r="AX18">
        <v>0.95366538311653049</v>
      </c>
      <c r="AY18">
        <v>0.94357773269854894</v>
      </c>
      <c r="AZ18">
        <v>0.91316518796464996</v>
      </c>
      <c r="BA18">
        <v>0.90049464615666897</v>
      </c>
      <c r="BB18">
        <v>0.89531061842808402</v>
      </c>
      <c r="BC18">
        <v>0.94402750270424918</v>
      </c>
      <c r="BD18">
        <v>0.92446056938771404</v>
      </c>
      <c r="BF18">
        <f t="shared" si="0"/>
        <v>0.95898959344638368</v>
      </c>
      <c r="BG18">
        <f t="shared" si="1"/>
        <v>1.0036328775082126</v>
      </c>
      <c r="BH18" s="2">
        <f t="shared" si="2"/>
        <v>-3.6328775082126175E-3</v>
      </c>
      <c r="BI18" s="3" t="str">
        <f t="shared" si="3"/>
        <v>16_driver_flag</v>
      </c>
    </row>
    <row r="19" spans="1:61" x14ac:dyDescent="0.35">
      <c r="A19" s="6" t="s">
        <v>72</v>
      </c>
      <c r="B19">
        <v>0.95752255251938134</v>
      </c>
      <c r="C19">
        <v>0.97493889608444018</v>
      </c>
      <c r="D19">
        <v>0.94245392669889727</v>
      </c>
      <c r="E19">
        <v>0.92702399753234477</v>
      </c>
      <c r="F19">
        <v>1.0365465128981171</v>
      </c>
      <c r="G19">
        <v>0.9813044126854239</v>
      </c>
      <c r="H19">
        <v>0.97114138695286323</v>
      </c>
      <c r="I19">
        <v>0.95484940010031638</v>
      </c>
      <c r="J19">
        <v>0.92348475784927431</v>
      </c>
      <c r="K19">
        <v>0.98765450181342851</v>
      </c>
      <c r="L19">
        <v>1.0320717252461791</v>
      </c>
      <c r="M19">
        <v>0.97801753268217539</v>
      </c>
      <c r="N19">
        <v>0.97101577502175496</v>
      </c>
      <c r="O19">
        <v>0.93882841936467432</v>
      </c>
      <c r="P19">
        <v>1.03409377443753</v>
      </c>
      <c r="Q19">
        <v>1.0003538938616809</v>
      </c>
      <c r="R19">
        <v>0.95541699957407022</v>
      </c>
      <c r="S19">
        <v>0.927314742183734</v>
      </c>
      <c r="T19">
        <v>0.89035741029473858</v>
      </c>
      <c r="U19">
        <v>1.023821750461718</v>
      </c>
      <c r="V19">
        <v>0.98005821756255163</v>
      </c>
      <c r="W19">
        <v>0.96705831175244805</v>
      </c>
      <c r="X19">
        <v>0.92250435068710912</v>
      </c>
      <c r="Y19">
        <v>0.85996988611969449</v>
      </c>
      <c r="Z19">
        <v>1.0270274532432051</v>
      </c>
      <c r="AA19">
        <v>0.9844488244209918</v>
      </c>
      <c r="AB19">
        <v>0.96105982384108501</v>
      </c>
      <c r="AC19">
        <v>0.92431735948831451</v>
      </c>
      <c r="AD19">
        <v>0.87883964969457096</v>
      </c>
      <c r="AE19">
        <v>1.016517577849428</v>
      </c>
      <c r="AF19">
        <v>0.98404330121356343</v>
      </c>
      <c r="AG19">
        <v>0.94295244142996604</v>
      </c>
      <c r="AH19">
        <v>0.93353879440482301</v>
      </c>
      <c r="AI19">
        <v>0.90094692194351289</v>
      </c>
      <c r="AJ19">
        <v>1.050752054327839</v>
      </c>
      <c r="AK19">
        <v>0.95614826905923633</v>
      </c>
      <c r="AL19">
        <v>0.90049253906136539</v>
      </c>
      <c r="AM19">
        <v>0.92001193617941224</v>
      </c>
      <c r="AN19">
        <v>0.89655767888512516</v>
      </c>
      <c r="AO19">
        <v>0.99780958498355021</v>
      </c>
      <c r="AP19">
        <v>0.92624852214465236</v>
      </c>
      <c r="AQ19">
        <v>0.8810906793102693</v>
      </c>
      <c r="AR19">
        <v>0.9093125669893487</v>
      </c>
      <c r="AS19">
        <v>0.87068683715417949</v>
      </c>
      <c r="AT19">
        <v>1.000507066820052</v>
      </c>
      <c r="AU19">
        <v>0.88340582910840781</v>
      </c>
      <c r="AV19">
        <v>0.86829028835121524</v>
      </c>
      <c r="AW19">
        <v>0.88594296257120908</v>
      </c>
      <c r="AX19">
        <v>0.93240952524248377</v>
      </c>
      <c r="AY19">
        <v>0.94687359079576716</v>
      </c>
      <c r="AZ19">
        <v>0.90890092850584669</v>
      </c>
      <c r="BA19">
        <v>0.91897209678633907</v>
      </c>
      <c r="BB19">
        <v>0.9147217207453614</v>
      </c>
      <c r="BC19">
        <v>0.95376410851139937</v>
      </c>
      <c r="BD19">
        <v>0.93677031456087412</v>
      </c>
      <c r="BF19">
        <f t="shared" si="0"/>
        <v>0.94820298876378073</v>
      </c>
      <c r="BG19">
        <f t="shared" si="1"/>
        <v>0.98875211497985249</v>
      </c>
      <c r="BH19" s="2">
        <f t="shared" si="2"/>
        <v>1.1247885020147508E-2</v>
      </c>
      <c r="BI19" s="3" t="str">
        <f t="shared" si="3"/>
        <v>17_pricing_scalar</v>
      </c>
    </row>
    <row r="20" spans="1:61" x14ac:dyDescent="0.35">
      <c r="A20" s="6" t="s">
        <v>73</v>
      </c>
      <c r="B20">
        <v>0.95222964791291065</v>
      </c>
      <c r="C20">
        <v>0.96852051014298157</v>
      </c>
      <c r="D20">
        <v>0.94113459225715623</v>
      </c>
      <c r="E20">
        <v>0.92907713395154068</v>
      </c>
      <c r="F20">
        <v>1.0310876858726781</v>
      </c>
      <c r="G20">
        <v>0.97454999301846135</v>
      </c>
      <c r="H20">
        <v>0.96720009270821616</v>
      </c>
      <c r="I20">
        <v>0.95161412706528348</v>
      </c>
      <c r="J20">
        <v>0.92232324840936031</v>
      </c>
      <c r="K20">
        <v>0.98492163706813962</v>
      </c>
      <c r="L20">
        <v>1.0154433595455641</v>
      </c>
      <c r="M20">
        <v>0.97336273846705124</v>
      </c>
      <c r="N20">
        <v>0.96513307726032815</v>
      </c>
      <c r="O20">
        <v>0.93470428608494482</v>
      </c>
      <c r="P20">
        <v>1.027506486112723</v>
      </c>
      <c r="Q20">
        <v>0.99165615290062836</v>
      </c>
      <c r="R20">
        <v>0.95183081955523807</v>
      </c>
      <c r="S20">
        <v>0.92620137068106279</v>
      </c>
      <c r="T20">
        <v>0.89627674211532782</v>
      </c>
      <c r="U20">
        <v>1.0165921649598291</v>
      </c>
      <c r="V20">
        <v>0.97494225916243427</v>
      </c>
      <c r="W20">
        <v>0.96308429324509437</v>
      </c>
      <c r="X20">
        <v>0.92278715390770483</v>
      </c>
      <c r="Y20">
        <v>0.86813670080400696</v>
      </c>
      <c r="Z20">
        <v>1.021101252944306</v>
      </c>
      <c r="AA20">
        <v>0.97735700379714519</v>
      </c>
      <c r="AB20">
        <v>0.95871445054619453</v>
      </c>
      <c r="AC20">
        <v>0.92334897492195345</v>
      </c>
      <c r="AD20">
        <v>0.88190249800848297</v>
      </c>
      <c r="AE20">
        <v>1.011825895904555</v>
      </c>
      <c r="AF20">
        <v>0.97580053219624341</v>
      </c>
      <c r="AG20">
        <v>0.94063438805016819</v>
      </c>
      <c r="AH20">
        <v>0.93202412477688257</v>
      </c>
      <c r="AI20">
        <v>0.90433307764106485</v>
      </c>
      <c r="AJ20">
        <v>1.042426663887394</v>
      </c>
      <c r="AK20">
        <v>0.95138358993178163</v>
      </c>
      <c r="AL20">
        <v>0.9010137562203937</v>
      </c>
      <c r="AM20">
        <v>0.91926638852261555</v>
      </c>
      <c r="AN20">
        <v>0.90035264338996401</v>
      </c>
      <c r="AO20">
        <v>0.99308546961529054</v>
      </c>
      <c r="AP20">
        <v>0.92805938830556967</v>
      </c>
      <c r="AQ20">
        <v>0.8844975785290462</v>
      </c>
      <c r="AR20">
        <v>0.90893254713626526</v>
      </c>
      <c r="AS20">
        <v>0.88144536199764956</v>
      </c>
      <c r="AT20">
        <v>0.99547121694638696</v>
      </c>
      <c r="AU20">
        <v>0.89049587677603104</v>
      </c>
      <c r="AV20">
        <v>0.87329170382252497</v>
      </c>
      <c r="AW20">
        <v>0.88814741093537064</v>
      </c>
      <c r="AX20">
        <v>0.93068818307631618</v>
      </c>
      <c r="AY20">
        <v>0.94561228986889379</v>
      </c>
      <c r="AZ20">
        <v>0.9078589622143034</v>
      </c>
      <c r="BA20">
        <v>0.91874606527325597</v>
      </c>
      <c r="BB20">
        <v>0.91408870691263866</v>
      </c>
      <c r="BC20">
        <v>0.95345656601767104</v>
      </c>
      <c r="BD20">
        <v>0.93580668599598349</v>
      </c>
      <c r="BF20">
        <f t="shared" si="0"/>
        <v>0.94620882777038173</v>
      </c>
      <c r="BG20">
        <f t="shared" si="1"/>
        <v>0.99789690496968497</v>
      </c>
      <c r="BH20" s="2">
        <f t="shared" si="2"/>
        <v>2.1030950303150275E-3</v>
      </c>
      <c r="BI20" t="str">
        <f t="shared" si="3"/>
        <v>18_final</v>
      </c>
    </row>
    <row r="21" spans="1:61" x14ac:dyDescent="0.35">
      <c r="A21" s="6" t="s">
        <v>74</v>
      </c>
      <c r="B21">
        <v>0.95222964791291065</v>
      </c>
      <c r="C21">
        <v>0.96852051014298157</v>
      </c>
      <c r="D21">
        <v>0.94113459225715623</v>
      </c>
      <c r="E21">
        <v>0.92907713395154068</v>
      </c>
      <c r="F21">
        <v>1.0310876858726781</v>
      </c>
      <c r="G21">
        <v>0.97454999301846135</v>
      </c>
      <c r="H21">
        <v>0.96720009270821616</v>
      </c>
      <c r="I21">
        <v>0.95161412706528348</v>
      </c>
      <c r="J21">
        <v>0.92232324840936031</v>
      </c>
      <c r="K21">
        <v>0.98492163706813962</v>
      </c>
      <c r="L21">
        <v>1.0154433595455641</v>
      </c>
      <c r="M21">
        <v>0.97336273846705124</v>
      </c>
      <c r="N21">
        <v>0.96513307726032815</v>
      </c>
      <c r="O21">
        <v>0.93470428608494482</v>
      </c>
      <c r="P21">
        <v>1.027506486112723</v>
      </c>
      <c r="Q21">
        <v>0.99165615290062836</v>
      </c>
      <c r="R21">
        <v>0.95183081955523807</v>
      </c>
      <c r="S21">
        <v>0.92620137068106279</v>
      </c>
      <c r="T21">
        <v>0.89627674211532782</v>
      </c>
      <c r="U21">
        <v>1.0165921649598291</v>
      </c>
      <c r="V21">
        <v>0.97494225916243427</v>
      </c>
      <c r="W21">
        <v>0.96308429324509437</v>
      </c>
      <c r="X21">
        <v>0.92278715390770483</v>
      </c>
      <c r="Y21">
        <v>0.86813670080400696</v>
      </c>
      <c r="Z21">
        <v>1.021101252944306</v>
      </c>
      <c r="AA21">
        <v>0.97735700379714519</v>
      </c>
      <c r="AB21">
        <v>0.95871445054619453</v>
      </c>
      <c r="AC21">
        <v>0.92334897492195345</v>
      </c>
      <c r="AD21">
        <v>0.88190249800848297</v>
      </c>
      <c r="AE21">
        <v>1.011825895904555</v>
      </c>
      <c r="AF21">
        <v>0.97580053219624341</v>
      </c>
      <c r="AG21">
        <v>0.94063438805016819</v>
      </c>
      <c r="AH21">
        <v>0.93202412477688257</v>
      </c>
      <c r="AI21">
        <v>0.90433307764106485</v>
      </c>
      <c r="AJ21">
        <v>1.042426663887394</v>
      </c>
      <c r="AK21">
        <v>0.95138358993178163</v>
      </c>
      <c r="AL21">
        <v>0.9010137562203937</v>
      </c>
      <c r="AM21">
        <v>0.91926638852261555</v>
      </c>
      <c r="AN21">
        <v>0.90035264338996401</v>
      </c>
      <c r="AO21">
        <v>0.99308546961529054</v>
      </c>
      <c r="AP21">
        <v>0.92805938830556967</v>
      </c>
      <c r="AQ21">
        <v>0.8844975785290462</v>
      </c>
      <c r="AR21">
        <v>0.90893254713626526</v>
      </c>
      <c r="AS21">
        <v>0.88144536199764956</v>
      </c>
      <c r="AT21">
        <v>0.99547121694638696</v>
      </c>
      <c r="AU21">
        <v>0.89049587677603104</v>
      </c>
      <c r="AV21">
        <v>0.87329170382252497</v>
      </c>
      <c r="AW21">
        <v>0.88814741093537064</v>
      </c>
      <c r="AX21">
        <v>0.93068818307631618</v>
      </c>
      <c r="AY21">
        <v>0.94561228986889379</v>
      </c>
      <c r="AZ21">
        <v>0.9078589622143034</v>
      </c>
      <c r="BA21">
        <v>0.91874606527325597</v>
      </c>
      <c r="BB21">
        <v>0.91408870691263866</v>
      </c>
      <c r="BC21">
        <v>0.95345656601767104</v>
      </c>
      <c r="BD21">
        <v>0.93580668599598349</v>
      </c>
    </row>
    <row r="22" spans="1:61" x14ac:dyDescent="0.35">
      <c r="A22" s="6" t="s">
        <v>75</v>
      </c>
      <c r="B22">
        <v>0.93501647148263822</v>
      </c>
      <c r="C22">
        <v>0.97221154817221611</v>
      </c>
      <c r="D22">
        <v>0.94163316377392903</v>
      </c>
      <c r="E22">
        <v>0.95875110192898427</v>
      </c>
      <c r="F22">
        <v>1.028824336954014</v>
      </c>
      <c r="G22">
        <v>0.96435784951933445</v>
      </c>
      <c r="H22">
        <v>0.96679866324847519</v>
      </c>
      <c r="I22">
        <v>0.94899479209887916</v>
      </c>
      <c r="J22">
        <v>0.93944118795557474</v>
      </c>
      <c r="K22">
        <v>0.98178296401690812</v>
      </c>
      <c r="L22">
        <v>1.007701257082471</v>
      </c>
      <c r="M22">
        <v>0.97369985652704405</v>
      </c>
      <c r="N22">
        <v>0.95908583677385473</v>
      </c>
      <c r="O22">
        <v>0.93795109990562175</v>
      </c>
      <c r="P22">
        <v>1.0233919653864769</v>
      </c>
      <c r="Q22">
        <v>0.98766030334891231</v>
      </c>
      <c r="R22">
        <v>0.95274855002834813</v>
      </c>
      <c r="S22">
        <v>0.91905433780022294</v>
      </c>
      <c r="T22">
        <v>0.90245595426013214</v>
      </c>
      <c r="U22">
        <v>1.0131925502615939</v>
      </c>
      <c r="V22">
        <v>0.96969302284144021</v>
      </c>
      <c r="W22">
        <v>0.96111097893093678</v>
      </c>
      <c r="X22">
        <v>0.9091459106137233</v>
      </c>
      <c r="Y22">
        <v>0.86869643224474158</v>
      </c>
      <c r="Z22">
        <v>1.0191615090736299</v>
      </c>
      <c r="AA22">
        <v>0.97886215416238154</v>
      </c>
      <c r="AB22">
        <v>0.95278864003429664</v>
      </c>
      <c r="AC22">
        <v>0.91736568573184207</v>
      </c>
      <c r="AD22">
        <v>0.88135187549766059</v>
      </c>
      <c r="AE22">
        <v>1.0113129742549081</v>
      </c>
      <c r="AF22">
        <v>0.97324878327700826</v>
      </c>
      <c r="AG22">
        <v>0.94166839440592243</v>
      </c>
      <c r="AH22">
        <v>0.92641114482012965</v>
      </c>
      <c r="AI22">
        <v>0.903694020432671</v>
      </c>
      <c r="AJ22">
        <v>1.0390082686765041</v>
      </c>
      <c r="AK22">
        <v>0.94907815418413466</v>
      </c>
      <c r="AL22">
        <v>0.90110794087000956</v>
      </c>
      <c r="AM22">
        <v>0.91881724700223832</v>
      </c>
      <c r="AN22">
        <v>0.90036954977690142</v>
      </c>
      <c r="AO22">
        <v>0.99170922991225163</v>
      </c>
      <c r="AP22">
        <v>0.92813377819985998</v>
      </c>
      <c r="AQ22">
        <v>0.8827572699426478</v>
      </c>
      <c r="AR22">
        <v>0.9101541488744469</v>
      </c>
      <c r="AS22">
        <v>0.87961684318373623</v>
      </c>
      <c r="AT22">
        <v>0.99289651757187458</v>
      </c>
      <c r="AU22">
        <v>0.8885734432662018</v>
      </c>
      <c r="AV22">
        <v>0.86681613402799884</v>
      </c>
      <c r="AW22">
        <v>0.8822899826544125</v>
      </c>
      <c r="AX22">
        <v>0.93518247175460067</v>
      </c>
      <c r="AY22">
        <v>0.9429789860636576</v>
      </c>
      <c r="AZ22">
        <v>0.90223852657623238</v>
      </c>
      <c r="BA22">
        <v>0.91587504459323299</v>
      </c>
      <c r="BB22">
        <v>0.90655016250654408</v>
      </c>
      <c r="BC22">
        <v>0.95271190196179856</v>
      </c>
      <c r="BD22">
        <v>0.93384736109908528</v>
      </c>
    </row>
    <row r="23" spans="1:61" x14ac:dyDescent="0.35">
      <c r="A23" s="6" t="s">
        <v>76</v>
      </c>
      <c r="B23">
        <v>1.6245882129340441</v>
      </c>
      <c r="C23">
        <v>0.69471129569459722</v>
      </c>
      <c r="D23">
        <v>1.4591709056517741</v>
      </c>
      <c r="E23">
        <v>1.031222451775393</v>
      </c>
      <c r="F23">
        <v>-0.72060842385036072</v>
      </c>
      <c r="G23">
        <v>0.89105376201663866</v>
      </c>
      <c r="H23">
        <v>0.83003341878812031</v>
      </c>
      <c r="I23">
        <v>1.2751301975280209</v>
      </c>
      <c r="J23">
        <v>1.513970301110632</v>
      </c>
      <c r="K23">
        <v>0.45542589957729701</v>
      </c>
      <c r="L23">
        <v>-0.1925314270617873</v>
      </c>
      <c r="M23">
        <v>0.65750358682389876</v>
      </c>
      <c r="N23">
        <v>1.0228540806536319</v>
      </c>
      <c r="O23">
        <v>1.5512225023594559</v>
      </c>
      <c r="P23">
        <v>-0.58479913466191746</v>
      </c>
      <c r="Q23">
        <v>0.30849241627719243</v>
      </c>
      <c r="R23">
        <v>1.181286249291297</v>
      </c>
      <c r="S23">
        <v>2.023641554994426</v>
      </c>
      <c r="T23">
        <v>2.438601143496697</v>
      </c>
      <c r="U23">
        <v>-0.32981375653985401</v>
      </c>
      <c r="V23">
        <v>0.75767442896399473</v>
      </c>
      <c r="W23">
        <v>0.97222552672658058</v>
      </c>
      <c r="X23">
        <v>2.2713522346569182</v>
      </c>
      <c r="Y23">
        <v>3.28258919388146</v>
      </c>
      <c r="Z23">
        <v>-0.47903772684074752</v>
      </c>
      <c r="AA23">
        <v>0.52844614594046158</v>
      </c>
      <c r="AB23">
        <v>1.180283999142584</v>
      </c>
      <c r="AC23">
        <v>2.0658578567039481</v>
      </c>
      <c r="AD23">
        <v>2.9662031125584849</v>
      </c>
      <c r="AE23">
        <v>-0.28282435637270181</v>
      </c>
      <c r="AF23">
        <v>0.6687804180747936</v>
      </c>
      <c r="AG23">
        <v>1.458290139851939</v>
      </c>
      <c r="AH23">
        <v>1.8397213794967591</v>
      </c>
      <c r="AI23">
        <v>2.4076494891832252</v>
      </c>
      <c r="AJ23">
        <v>-0.97520671691259664</v>
      </c>
      <c r="AK23">
        <v>1.273046145396634</v>
      </c>
      <c r="AL23">
        <v>2.472301478249761</v>
      </c>
      <c r="AM23">
        <v>2.0295688249440418</v>
      </c>
      <c r="AN23">
        <v>2.490761255577465</v>
      </c>
      <c r="AO23">
        <v>0.2072692521937092</v>
      </c>
      <c r="AP23">
        <v>1.7966555450035</v>
      </c>
      <c r="AQ23">
        <v>2.9310682514338051</v>
      </c>
      <c r="AR23">
        <v>2.2461462781388279</v>
      </c>
      <c r="AS23">
        <v>3.0095789204065939</v>
      </c>
      <c r="AT23">
        <v>0.17758706070313551</v>
      </c>
      <c r="AU23">
        <v>2.7856639183449552</v>
      </c>
      <c r="AV23">
        <v>3.3295966493000289</v>
      </c>
      <c r="AW23">
        <v>2.942750433639687</v>
      </c>
      <c r="AX23">
        <v>1.6204382061349829</v>
      </c>
      <c r="AY23">
        <v>1.4255253484085599</v>
      </c>
      <c r="AZ23">
        <v>2.4440368355941899</v>
      </c>
      <c r="BA23">
        <v>2.1031238851691749</v>
      </c>
      <c r="BB23">
        <v>2.3362459373363982</v>
      </c>
      <c r="BC23">
        <v>1.182202450955036</v>
      </c>
      <c r="BD23">
        <v>1.653815972522868</v>
      </c>
    </row>
    <row r="24" spans="1:61" x14ac:dyDescent="0.35">
      <c r="A24" s="6" t="s">
        <v>77</v>
      </c>
      <c r="B24">
        <v>2348</v>
      </c>
      <c r="C24">
        <v>1289</v>
      </c>
      <c r="D24">
        <v>1400</v>
      </c>
      <c r="E24">
        <v>659</v>
      </c>
      <c r="F24">
        <v>3309</v>
      </c>
      <c r="G24">
        <v>3809</v>
      </c>
      <c r="H24">
        <v>1578</v>
      </c>
      <c r="I24">
        <v>2119</v>
      </c>
      <c r="J24">
        <v>675</v>
      </c>
      <c r="K24">
        <v>3517</v>
      </c>
      <c r="L24">
        <v>6886</v>
      </c>
      <c r="M24">
        <v>2541</v>
      </c>
      <c r="N24">
        <v>3523</v>
      </c>
      <c r="O24">
        <v>1339</v>
      </c>
      <c r="P24">
        <v>5612</v>
      </c>
      <c r="Q24">
        <v>7211</v>
      </c>
      <c r="R24">
        <v>2296</v>
      </c>
      <c r="S24">
        <v>4271</v>
      </c>
      <c r="T24">
        <v>1649</v>
      </c>
      <c r="U24">
        <v>4733</v>
      </c>
      <c r="V24">
        <v>5438</v>
      </c>
      <c r="W24">
        <v>1631</v>
      </c>
      <c r="X24">
        <v>3132</v>
      </c>
      <c r="Y24">
        <v>1058</v>
      </c>
      <c r="Z24">
        <v>3650</v>
      </c>
      <c r="AA24">
        <v>5762</v>
      </c>
      <c r="AB24">
        <v>1608</v>
      </c>
      <c r="AC24">
        <v>3130</v>
      </c>
      <c r="AD24">
        <v>979</v>
      </c>
      <c r="AE24">
        <v>3964</v>
      </c>
      <c r="AF24">
        <v>8574</v>
      </c>
      <c r="AG24">
        <v>2811</v>
      </c>
      <c r="AH24">
        <v>4959</v>
      </c>
      <c r="AI24">
        <v>2007</v>
      </c>
      <c r="AJ24">
        <v>6801</v>
      </c>
      <c r="AK24">
        <v>7902</v>
      </c>
      <c r="AL24">
        <v>2741</v>
      </c>
      <c r="AM24">
        <v>4883</v>
      </c>
      <c r="AN24">
        <v>1893</v>
      </c>
      <c r="AO24">
        <v>5693</v>
      </c>
      <c r="AP24">
        <v>6386</v>
      </c>
      <c r="AQ24">
        <v>2289</v>
      </c>
      <c r="AR24">
        <v>3739</v>
      </c>
      <c r="AS24">
        <v>1880</v>
      </c>
      <c r="AT24">
        <v>4517</v>
      </c>
      <c r="AU24">
        <v>4805</v>
      </c>
      <c r="AV24">
        <v>1744</v>
      </c>
      <c r="AW24">
        <v>2876</v>
      </c>
      <c r="AX24">
        <v>1891</v>
      </c>
      <c r="AY24">
        <v>3771</v>
      </c>
      <c r="AZ24">
        <v>2520</v>
      </c>
      <c r="BA24">
        <v>879</v>
      </c>
      <c r="BB24">
        <v>1572</v>
      </c>
      <c r="BC24">
        <v>979</v>
      </c>
      <c r="BD24">
        <v>1693</v>
      </c>
    </row>
  </sheetData>
  <conditionalFormatting sqref="BH3:BH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4F00-5456-45E9-907E-0F57E2F9545C}">
  <dimension ref="A1:L31"/>
  <sheetViews>
    <sheetView zoomScale="145" zoomScaleNormal="145" workbookViewId="0">
      <selection activeCell="C22" sqref="C22"/>
    </sheetView>
  </sheetViews>
  <sheetFormatPr defaultRowHeight="14.5" x14ac:dyDescent="0.35"/>
  <cols>
    <col min="1" max="1" width="21.90625" bestFit="1" customWidth="1"/>
  </cols>
  <sheetData>
    <row r="1" spans="1:12" x14ac:dyDescent="0.35">
      <c r="B1" s="11" t="s">
        <v>307</v>
      </c>
      <c r="C1" s="11" t="s">
        <v>308</v>
      </c>
      <c r="D1" s="11" t="s">
        <v>309</v>
      </c>
      <c r="E1" s="11" t="s">
        <v>310</v>
      </c>
      <c r="F1" s="11" t="s">
        <v>311</v>
      </c>
      <c r="G1" s="11" t="s">
        <v>312</v>
      </c>
      <c r="H1" s="11" t="s">
        <v>313</v>
      </c>
      <c r="I1" s="11" t="s">
        <v>314</v>
      </c>
      <c r="J1" s="11" t="s">
        <v>315</v>
      </c>
      <c r="K1" s="11" t="s">
        <v>316</v>
      </c>
      <c r="L1" s="11" t="s">
        <v>317</v>
      </c>
    </row>
    <row r="2" spans="1:12" x14ac:dyDescent="0.35">
      <c r="A2" s="11" t="s">
        <v>55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</row>
    <row r="3" spans="1:12" x14ac:dyDescent="0.35">
      <c r="A3" s="11" t="s">
        <v>318</v>
      </c>
      <c r="B3">
        <v>1.012467171717172</v>
      </c>
      <c r="C3">
        <v>1.01038677317481</v>
      </c>
      <c r="D3">
        <v>1.008469904089957</v>
      </c>
      <c r="E3">
        <v>1.006254025561413</v>
      </c>
      <c r="F3">
        <v>1.005926031185191</v>
      </c>
      <c r="G3">
        <v>1.0040447528329779</v>
      </c>
      <c r="H3">
        <v>1.0001231202508101</v>
      </c>
      <c r="I3">
        <v>1</v>
      </c>
      <c r="J3">
        <v>1</v>
      </c>
      <c r="K3">
        <v>1</v>
      </c>
      <c r="L3">
        <v>1</v>
      </c>
    </row>
    <row r="4" spans="1:12" x14ac:dyDescent="0.35">
      <c r="A4" s="11" t="s">
        <v>319</v>
      </c>
      <c r="B4">
        <v>1.012467171717172</v>
      </c>
      <c r="C4">
        <v>1.01038677317481</v>
      </c>
      <c r="D4">
        <v>1.008469904089957</v>
      </c>
      <c r="E4">
        <v>1.006254025561413</v>
      </c>
      <c r="F4">
        <v>1.005926031185191</v>
      </c>
      <c r="G4">
        <v>1.004050254557399</v>
      </c>
      <c r="H4">
        <v>1.00089058929805</v>
      </c>
      <c r="I4">
        <v>1.000986404639175</v>
      </c>
      <c r="J4">
        <v>1.000841669948799</v>
      </c>
      <c r="K4">
        <v>1.000631227529533</v>
      </c>
      <c r="L4">
        <v>1</v>
      </c>
    </row>
    <row r="5" spans="1:12" x14ac:dyDescent="0.35">
      <c r="A5" s="11" t="s">
        <v>320</v>
      </c>
      <c r="B5">
        <v>1.0254774936868689</v>
      </c>
      <c r="C5">
        <v>1.0249391788965261</v>
      </c>
      <c r="D5">
        <v>1.018914620769485</v>
      </c>
      <c r="E5">
        <v>1.018369528485811</v>
      </c>
      <c r="F5">
        <v>1.01790616022736</v>
      </c>
      <c r="G5">
        <v>1.012868459517162</v>
      </c>
      <c r="H5">
        <v>1.006058711940061</v>
      </c>
      <c r="I5">
        <v>1.0053989304123709</v>
      </c>
      <c r="J5">
        <v>1.005046140212682</v>
      </c>
      <c r="K5">
        <v>1.004374253430186</v>
      </c>
      <c r="L5">
        <v>1</v>
      </c>
    </row>
    <row r="6" spans="1:12" x14ac:dyDescent="0.35">
      <c r="A6" s="11" t="s">
        <v>321</v>
      </c>
      <c r="B6">
        <v>0.96108481132789958</v>
      </c>
      <c r="C6">
        <v>0.96058029887209584</v>
      </c>
      <c r="D6">
        <v>0.95493404008386606</v>
      </c>
      <c r="E6">
        <v>0.9544231757130377</v>
      </c>
      <c r="F6">
        <v>0.95398890368074973</v>
      </c>
      <c r="G6">
        <v>0.96593770812608903</v>
      </c>
      <c r="H6">
        <v>0.97622210558801847</v>
      </c>
      <c r="I6">
        <v>0.97507550797592246</v>
      </c>
      <c r="J6">
        <v>0.97524951893848644</v>
      </c>
      <c r="K6">
        <v>0.98199376116711268</v>
      </c>
      <c r="L6">
        <v>1</v>
      </c>
    </row>
    <row r="7" spans="1:12" x14ac:dyDescent="0.35">
      <c r="A7" s="11" t="s">
        <v>322</v>
      </c>
      <c r="B7">
        <v>0.96380974991243284</v>
      </c>
      <c r="C7">
        <v>0.96224629604706835</v>
      </c>
      <c r="D7">
        <v>0.95953336205775197</v>
      </c>
      <c r="E7">
        <v>0.95911012647254501</v>
      </c>
      <c r="F7">
        <v>0.95889284329809099</v>
      </c>
      <c r="G7">
        <v>0.96985682441165211</v>
      </c>
      <c r="H7">
        <v>0.98507398054758633</v>
      </c>
      <c r="I7">
        <v>0.98317472125334571</v>
      </c>
      <c r="J7">
        <v>0.98649506812746468</v>
      </c>
      <c r="K7">
        <v>0.99320663116845997</v>
      </c>
      <c r="L7">
        <v>1.004555644515613</v>
      </c>
    </row>
    <row r="8" spans="1:12" x14ac:dyDescent="0.35">
      <c r="A8" s="11" t="s">
        <v>323</v>
      </c>
      <c r="B8">
        <v>0.9630139718944366</v>
      </c>
      <c r="C8">
        <v>0.95964582780738628</v>
      </c>
      <c r="D8">
        <v>0.9556851056042116</v>
      </c>
      <c r="E8">
        <v>0.95634165991231046</v>
      </c>
      <c r="F8">
        <v>0.95624287405265174</v>
      </c>
      <c r="G8">
        <v>0.96713788287927771</v>
      </c>
      <c r="H8">
        <v>0.98313573508408159</v>
      </c>
      <c r="I8">
        <v>0.98137731746804324</v>
      </c>
      <c r="J8">
        <v>0.98467154008156932</v>
      </c>
      <c r="K8">
        <v>0.99234644576318654</v>
      </c>
      <c r="L8">
        <v>1.004555644515613</v>
      </c>
    </row>
    <row r="9" spans="1:12" x14ac:dyDescent="0.35">
      <c r="A9" s="11" t="s">
        <v>324</v>
      </c>
      <c r="B9">
        <v>0.94080108258536055</v>
      </c>
      <c r="C9">
        <v>0.93628711418805899</v>
      </c>
      <c r="D9">
        <v>0.93166417513258892</v>
      </c>
      <c r="E9">
        <v>0.93241737000331637</v>
      </c>
      <c r="F9">
        <v>0.93187697023177007</v>
      </c>
      <c r="G9">
        <v>0.94919036012481428</v>
      </c>
      <c r="H9">
        <v>0.972448000641285</v>
      </c>
      <c r="I9">
        <v>0.97074258928717683</v>
      </c>
      <c r="J9">
        <v>0.9751219774119334</v>
      </c>
      <c r="K9">
        <v>0.98545446707123918</v>
      </c>
      <c r="L9">
        <v>1.004555644515613</v>
      </c>
    </row>
    <row r="10" spans="1:12" x14ac:dyDescent="0.35">
      <c r="A10" s="11" t="s">
        <v>325</v>
      </c>
      <c r="B10">
        <v>0.9446976494698901</v>
      </c>
      <c r="C10">
        <v>0.93898938391052567</v>
      </c>
      <c r="D10">
        <v>0.92456782847668861</v>
      </c>
      <c r="E10">
        <v>0.92267122246797462</v>
      </c>
      <c r="F10">
        <v>0.92770254236317184</v>
      </c>
      <c r="G10">
        <v>0.94537074590599168</v>
      </c>
      <c r="H10">
        <v>0.96777865330642543</v>
      </c>
      <c r="I10">
        <v>0.96470872343031444</v>
      </c>
      <c r="J10">
        <v>0.97033433630942234</v>
      </c>
      <c r="K10">
        <v>0.9850480553163059</v>
      </c>
      <c r="L10">
        <v>1.001509321743109</v>
      </c>
    </row>
    <row r="11" spans="1:12" x14ac:dyDescent="0.35">
      <c r="A11" s="11" t="s">
        <v>326</v>
      </c>
      <c r="B11">
        <v>0.94275851228087981</v>
      </c>
      <c r="C11">
        <v>0.93760829157919734</v>
      </c>
      <c r="D11">
        <v>0.92414318470809953</v>
      </c>
      <c r="E11">
        <v>0.92161795493741783</v>
      </c>
      <c r="F11">
        <v>0.92646729770963143</v>
      </c>
      <c r="G11">
        <v>0.94378937067851632</v>
      </c>
      <c r="H11">
        <v>0.96702610521222176</v>
      </c>
      <c r="I11">
        <v>0.96417145135517979</v>
      </c>
      <c r="J11">
        <v>0.96957704020734004</v>
      </c>
      <c r="K11">
        <v>0.98432425932110768</v>
      </c>
      <c r="L11">
        <v>1.001509321743109</v>
      </c>
    </row>
    <row r="12" spans="1:12" x14ac:dyDescent="0.35">
      <c r="A12" s="11" t="s">
        <v>327</v>
      </c>
      <c r="B12">
        <v>0.93371690021340403</v>
      </c>
      <c r="C12">
        <v>0.92217226162262023</v>
      </c>
      <c r="D12">
        <v>0.90843351567693831</v>
      </c>
      <c r="E12">
        <v>0.88976271706867138</v>
      </c>
      <c r="F12">
        <v>0.89797249058159734</v>
      </c>
      <c r="G12">
        <v>0.9207352962505585</v>
      </c>
      <c r="H12">
        <v>0.95121574100453132</v>
      </c>
      <c r="I12">
        <v>0.9499730102366537</v>
      </c>
      <c r="J12">
        <v>0.95752912248826427</v>
      </c>
      <c r="K12">
        <v>0.97524712774840672</v>
      </c>
      <c r="L12">
        <v>1.001509321743109</v>
      </c>
    </row>
    <row r="13" spans="1:12" x14ac:dyDescent="0.35">
      <c r="A13" s="11" t="s">
        <v>328</v>
      </c>
      <c r="B13">
        <v>0.93888290590554058</v>
      </c>
      <c r="C13">
        <v>0.92584138945591643</v>
      </c>
      <c r="D13">
        <v>0.91120661118234036</v>
      </c>
      <c r="E13">
        <v>0.89321520498538709</v>
      </c>
      <c r="F13">
        <v>0.90078924685443018</v>
      </c>
      <c r="G13">
        <v>0.92402708497711794</v>
      </c>
      <c r="H13">
        <v>0.9553787273781944</v>
      </c>
      <c r="I13">
        <v>0.95283014991503445</v>
      </c>
      <c r="J13">
        <v>0.95991668898535931</v>
      </c>
      <c r="K13">
        <v>0.9774159389806828</v>
      </c>
      <c r="L13">
        <v>1.0020802715315109</v>
      </c>
    </row>
    <row r="14" spans="1:12" x14ac:dyDescent="0.35">
      <c r="A14" s="11" t="s">
        <v>329</v>
      </c>
      <c r="B14">
        <v>0.90446588668776262</v>
      </c>
      <c r="C14">
        <v>0.89764631577186382</v>
      </c>
      <c r="D14">
        <v>0.90875720016593664</v>
      </c>
      <c r="E14">
        <v>0.8887953436814745</v>
      </c>
      <c r="F14">
        <v>0.89523356920407848</v>
      </c>
      <c r="G14">
        <v>0.92550411412877276</v>
      </c>
      <c r="H14">
        <v>0.9599528030586123</v>
      </c>
      <c r="I14">
        <v>0.95024669053070432</v>
      </c>
      <c r="J14">
        <v>0.95752586056770184</v>
      </c>
      <c r="K14">
        <v>0.9658625145802926</v>
      </c>
      <c r="L14">
        <v>0.99296844779595106</v>
      </c>
    </row>
    <row r="15" spans="1:12" x14ac:dyDescent="0.35">
      <c r="A15" s="11" t="s">
        <v>330</v>
      </c>
      <c r="B15">
        <v>0.90446588668776262</v>
      </c>
      <c r="C15">
        <v>0.89764631577186382</v>
      </c>
      <c r="D15">
        <v>0.90875720016593664</v>
      </c>
      <c r="E15">
        <v>0.8887953436814745</v>
      </c>
      <c r="F15">
        <v>0.89523356920407848</v>
      </c>
      <c r="G15">
        <v>0.92550411412877276</v>
      </c>
      <c r="H15">
        <v>0.9599528030586123</v>
      </c>
      <c r="I15">
        <v>0.95024669053070432</v>
      </c>
      <c r="J15">
        <v>0.95752586056770184</v>
      </c>
      <c r="K15">
        <v>0.96585958453186649</v>
      </c>
      <c r="L15">
        <v>0.99426850177765091</v>
      </c>
    </row>
    <row r="16" spans="1:12" x14ac:dyDescent="0.35">
      <c r="A16" s="11" t="s">
        <v>331</v>
      </c>
      <c r="B16">
        <v>0.90600445988422873</v>
      </c>
      <c r="C16">
        <v>0.89880321186795031</v>
      </c>
      <c r="D16">
        <v>0.90954876867002787</v>
      </c>
      <c r="E16">
        <v>0.8894943604741995</v>
      </c>
      <c r="F16">
        <v>0.89590179818561877</v>
      </c>
      <c r="G16">
        <v>0.92592955944651001</v>
      </c>
      <c r="H16">
        <v>0.96031608572862881</v>
      </c>
      <c r="I16">
        <v>0.95055264506802228</v>
      </c>
      <c r="J16">
        <v>0.95771554748848631</v>
      </c>
      <c r="K16">
        <v>0.96609500763243406</v>
      </c>
      <c r="L16">
        <v>0.99448536093455353</v>
      </c>
    </row>
    <row r="17" spans="1:12" x14ac:dyDescent="0.35">
      <c r="A17" s="11" t="s">
        <v>332</v>
      </c>
      <c r="B17">
        <v>0.90854135185045004</v>
      </c>
      <c r="C17">
        <v>0.90145752910469301</v>
      </c>
      <c r="D17">
        <v>0.91229099574080907</v>
      </c>
      <c r="E17">
        <v>0.8923216058335518</v>
      </c>
      <c r="F17">
        <v>0.89801206765006791</v>
      </c>
      <c r="G17">
        <v>0.9279932085408249</v>
      </c>
      <c r="H17">
        <v>0.96209616937109399</v>
      </c>
      <c r="I17">
        <v>0.95230847785008843</v>
      </c>
      <c r="J17">
        <v>0.95961786538227234</v>
      </c>
      <c r="K17">
        <v>0.96832221231544768</v>
      </c>
      <c r="L17">
        <v>0.99611949482326456</v>
      </c>
    </row>
    <row r="18" spans="1:12" x14ac:dyDescent="0.35">
      <c r="A18" s="11" t="s">
        <v>333</v>
      </c>
      <c r="B18">
        <v>0.91791198993103962</v>
      </c>
      <c r="C18">
        <v>0.91064919077138573</v>
      </c>
      <c r="D18">
        <v>0.92139227339624596</v>
      </c>
      <c r="E18">
        <v>0.90111658436227371</v>
      </c>
      <c r="F18">
        <v>0.90726111533663123</v>
      </c>
      <c r="G18">
        <v>0.93830483512607032</v>
      </c>
      <c r="H18">
        <v>0.97335854623040707</v>
      </c>
      <c r="I18">
        <v>0.96217480178627668</v>
      </c>
      <c r="J18">
        <v>0.96933018919277525</v>
      </c>
      <c r="K18">
        <v>0.97615795574126962</v>
      </c>
      <c r="L18">
        <v>1.0038166520725289</v>
      </c>
    </row>
    <row r="19" spans="1:12" x14ac:dyDescent="0.35">
      <c r="A19" s="11" t="s">
        <v>334</v>
      </c>
      <c r="B19">
        <v>0.9026226766178751</v>
      </c>
      <c r="C19">
        <v>0.89524560746064075</v>
      </c>
      <c r="D19">
        <v>0.90641243170881636</v>
      </c>
      <c r="E19">
        <v>0.88442131362870346</v>
      </c>
      <c r="F19">
        <v>0.89081141116589868</v>
      </c>
      <c r="G19">
        <v>0.92275864510954542</v>
      </c>
      <c r="H19">
        <v>0.95732975057559044</v>
      </c>
      <c r="I19">
        <v>0.94507309282992602</v>
      </c>
      <c r="J19">
        <v>0.95223165647950625</v>
      </c>
      <c r="K19">
        <v>0.95568854634015155</v>
      </c>
      <c r="L19">
        <v>0.97986485307358584</v>
      </c>
    </row>
    <row r="20" spans="1:12" x14ac:dyDescent="0.35">
      <c r="A20" s="11" t="s">
        <v>335</v>
      </c>
      <c r="B20">
        <v>0.90857008274304696</v>
      </c>
      <c r="C20">
        <v>0.90111381250607414</v>
      </c>
      <c r="D20">
        <v>0.91257177397676414</v>
      </c>
      <c r="E20">
        <v>0.89024205070132822</v>
      </c>
      <c r="F20">
        <v>0.89664705422479685</v>
      </c>
      <c r="G20">
        <v>0.92885238129214609</v>
      </c>
      <c r="H20">
        <v>0.96372160211430957</v>
      </c>
      <c r="I20">
        <v>0.95112875096844107</v>
      </c>
      <c r="J20">
        <v>0.95838151410532113</v>
      </c>
      <c r="K20">
        <v>0.96166735779098533</v>
      </c>
      <c r="L20">
        <v>0.98584187977994653</v>
      </c>
    </row>
    <row r="21" spans="1:12" x14ac:dyDescent="0.35">
      <c r="A21" s="11" t="s">
        <v>336</v>
      </c>
      <c r="B21">
        <v>0.92491047315192665</v>
      </c>
      <c r="C21">
        <v>0.91470937832306298</v>
      </c>
      <c r="D21">
        <v>0.94152527942216913</v>
      </c>
      <c r="E21">
        <v>0.91229435863849706</v>
      </c>
      <c r="F21">
        <v>0.9213753451029707</v>
      </c>
      <c r="G21">
        <v>0.95129867485020858</v>
      </c>
      <c r="H21">
        <v>1.0053758650077389</v>
      </c>
      <c r="I21">
        <v>0.96663278472619674</v>
      </c>
      <c r="J21">
        <v>1.0005818559918349</v>
      </c>
      <c r="K21">
        <v>0.99614195249606929</v>
      </c>
      <c r="L21">
        <v>0.99821356077579748</v>
      </c>
    </row>
    <row r="22" spans="1:12" x14ac:dyDescent="0.35">
      <c r="A22" s="11" t="s">
        <v>337</v>
      </c>
      <c r="B22">
        <v>0.96402154132452877</v>
      </c>
      <c r="C22">
        <v>0.95124855670257846</v>
      </c>
      <c r="D22">
        <v>0.97114266250166825</v>
      </c>
      <c r="E22">
        <v>0.93681153715058685</v>
      </c>
      <c r="F22">
        <v>0.95032240113632704</v>
      </c>
      <c r="G22">
        <v>0.9793504701774346</v>
      </c>
      <c r="H22">
        <v>1.0309728834281371</v>
      </c>
      <c r="I22">
        <v>0.98117309335804381</v>
      </c>
      <c r="J22">
        <v>1.018061220041691</v>
      </c>
      <c r="K22">
        <v>1.0165429690787451</v>
      </c>
      <c r="L22">
        <v>1.0112195761880729</v>
      </c>
    </row>
    <row r="23" spans="1:12" x14ac:dyDescent="0.35">
      <c r="A23" s="11" t="s">
        <v>338</v>
      </c>
      <c r="B23">
        <v>0.96132146096915039</v>
      </c>
      <c r="C23">
        <v>0.94881031061259302</v>
      </c>
      <c r="D23">
        <v>0.96976321423165168</v>
      </c>
      <c r="E23">
        <v>0.93528372672160176</v>
      </c>
      <c r="F23">
        <v>0.94801702885304751</v>
      </c>
      <c r="G23">
        <v>0.97958794048586073</v>
      </c>
      <c r="H23">
        <v>1.0352464002052391</v>
      </c>
      <c r="I23">
        <v>0.98215399987174812</v>
      </c>
      <c r="J23">
        <v>1.0189828343529239</v>
      </c>
      <c r="K23">
        <v>1.018592239140242</v>
      </c>
      <c r="L23">
        <v>1.0109297653581431</v>
      </c>
    </row>
    <row r="24" spans="1:12" x14ac:dyDescent="0.35">
      <c r="A24" s="11" t="s">
        <v>339</v>
      </c>
      <c r="B24">
        <v>0.96132146096915039</v>
      </c>
      <c r="C24">
        <v>0.94881031061259302</v>
      </c>
      <c r="D24">
        <v>0.96976321423165168</v>
      </c>
      <c r="E24">
        <v>0.93528372672160176</v>
      </c>
      <c r="F24">
        <v>0.94801702885304751</v>
      </c>
      <c r="G24">
        <v>0.97958794048586073</v>
      </c>
      <c r="H24">
        <v>1.0360859846773971</v>
      </c>
      <c r="I24">
        <v>0.98281327870896795</v>
      </c>
      <c r="J24">
        <v>1.0197664197311589</v>
      </c>
      <c r="K24">
        <v>1.0193797841849641</v>
      </c>
      <c r="L24">
        <v>1.0113828907760949</v>
      </c>
    </row>
    <row r="25" spans="1:12" x14ac:dyDescent="0.35">
      <c r="A25" s="11" t="s">
        <v>340</v>
      </c>
      <c r="B25">
        <v>0.96132146096915039</v>
      </c>
      <c r="C25">
        <v>0.94881031061259302</v>
      </c>
      <c r="D25">
        <v>0.96976321423165168</v>
      </c>
      <c r="E25">
        <v>0.93528372672160176</v>
      </c>
      <c r="F25">
        <v>0.94801702885304751</v>
      </c>
      <c r="G25">
        <v>0.9777155638404138</v>
      </c>
      <c r="H25">
        <v>1.0317381417316711</v>
      </c>
      <c r="I25">
        <v>0.97895711482062453</v>
      </c>
      <c r="J25">
        <v>1.0155750075794161</v>
      </c>
      <c r="K25">
        <v>1.0143630396516039</v>
      </c>
      <c r="L25">
        <v>1.0028732025127089</v>
      </c>
    </row>
    <row r="26" spans="1:12" x14ac:dyDescent="0.35">
      <c r="A26" s="11" t="s">
        <v>341</v>
      </c>
      <c r="B26">
        <v>0.96132146096915039</v>
      </c>
      <c r="C26">
        <v>0.94881031061259302</v>
      </c>
      <c r="D26">
        <v>0.96976321423165168</v>
      </c>
      <c r="E26">
        <v>0.93528372672160176</v>
      </c>
      <c r="F26">
        <v>0.94801702885304751</v>
      </c>
      <c r="G26">
        <v>0.99014096709476551</v>
      </c>
      <c r="H26">
        <v>1.041135362918445</v>
      </c>
      <c r="I26">
        <v>0.96582415584655523</v>
      </c>
      <c r="J26">
        <v>0.97624865860238785</v>
      </c>
      <c r="K26">
        <v>0.96938876046609257</v>
      </c>
      <c r="L26">
        <v>0.93770403086560217</v>
      </c>
    </row>
    <row r="27" spans="1:12" x14ac:dyDescent="0.35">
      <c r="A27" s="11" t="s">
        <v>342</v>
      </c>
      <c r="B27">
        <v>0.96132146096915039</v>
      </c>
      <c r="C27">
        <v>0.94881031061259302</v>
      </c>
      <c r="D27">
        <v>0.96976321423165168</v>
      </c>
      <c r="E27">
        <v>0.93528372672160176</v>
      </c>
      <c r="F27">
        <v>0.94801702885304751</v>
      </c>
      <c r="G27">
        <v>0.9848719875813885</v>
      </c>
      <c r="H27">
        <v>1.0306195063300541</v>
      </c>
      <c r="I27">
        <v>0.9627351907582945</v>
      </c>
      <c r="J27">
        <v>0.96888212945304319</v>
      </c>
      <c r="K27">
        <v>0.96447695935358269</v>
      </c>
      <c r="L27">
        <v>0.93463337082382059</v>
      </c>
    </row>
    <row r="28" spans="1:12" x14ac:dyDescent="0.35">
      <c r="A28" s="11" t="s">
        <v>74</v>
      </c>
      <c r="B28">
        <v>0.96132146096915039</v>
      </c>
      <c r="C28">
        <v>0.94881031061259302</v>
      </c>
      <c r="D28">
        <v>0.96976321423165168</v>
      </c>
      <c r="E28">
        <v>0.93528372672160176</v>
      </c>
      <c r="F28">
        <v>0.94801702885304751</v>
      </c>
      <c r="G28">
        <v>0.9848719875813885</v>
      </c>
      <c r="H28">
        <v>1.0306195063300541</v>
      </c>
      <c r="I28">
        <v>0.9627351907582945</v>
      </c>
      <c r="J28">
        <v>0.96888212945304319</v>
      </c>
      <c r="K28">
        <v>0.96447695935358269</v>
      </c>
      <c r="L28">
        <v>0.93463337082382059</v>
      </c>
    </row>
    <row r="29" spans="1:12" x14ac:dyDescent="0.35">
      <c r="A29" s="11" t="s">
        <v>75</v>
      </c>
      <c r="B29">
        <v>0.93999252169650316</v>
      </c>
      <c r="C29">
        <v>0.92955310237734756</v>
      </c>
      <c r="D29">
        <v>0.94693416040010558</v>
      </c>
      <c r="E29">
        <v>0.91118742195269664</v>
      </c>
      <c r="F29">
        <v>0.92188869378436555</v>
      </c>
      <c r="G29">
        <v>0.96465483236430694</v>
      </c>
      <c r="H29">
        <v>1.0136157290084491</v>
      </c>
      <c r="I29">
        <v>0.94408619630688184</v>
      </c>
      <c r="J29">
        <v>0.94720526261579407</v>
      </c>
      <c r="K29">
        <v>0.94041020068943137</v>
      </c>
      <c r="L29">
        <v>0.91848044350306257</v>
      </c>
    </row>
    <row r="30" spans="1:12" x14ac:dyDescent="0.35">
      <c r="A30" s="11" t="s">
        <v>76</v>
      </c>
      <c r="B30">
        <v>1.5001869575874209</v>
      </c>
      <c r="C30">
        <v>1.7611724405663109</v>
      </c>
      <c r="D30">
        <v>1.3266459899973599</v>
      </c>
      <c r="E30">
        <v>2.2203144511825839</v>
      </c>
      <c r="F30">
        <v>1.9527826553908609</v>
      </c>
      <c r="G30">
        <v>0.88362919089232661</v>
      </c>
      <c r="H30">
        <v>-0.34039322521122739</v>
      </c>
      <c r="I30">
        <v>1.397845092327954</v>
      </c>
      <c r="J30">
        <v>1.3198684346051479</v>
      </c>
      <c r="K30">
        <v>1.489744982764216</v>
      </c>
      <c r="L30">
        <v>2.0379889124234358</v>
      </c>
    </row>
    <row r="31" spans="1:12" x14ac:dyDescent="0.35">
      <c r="A31" s="11" t="s">
        <v>77</v>
      </c>
      <c r="B31">
        <v>6336</v>
      </c>
      <c r="C31">
        <v>5383</v>
      </c>
      <c r="D31">
        <v>18142</v>
      </c>
      <c r="E31">
        <v>13849</v>
      </c>
      <c r="F31">
        <v>13019</v>
      </c>
      <c r="G31">
        <v>12178</v>
      </c>
      <c r="H31">
        <v>18819</v>
      </c>
      <c r="I31">
        <v>15520</v>
      </c>
      <c r="J31">
        <v>15234</v>
      </c>
      <c r="K31">
        <v>13629</v>
      </c>
      <c r="L31">
        <v>8743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51"/>
  <sheetViews>
    <sheetView topLeftCell="A24" zoomScale="130" zoomScaleNormal="130" workbookViewId="0">
      <selection activeCell="H51" sqref="H51:L51"/>
    </sheetView>
  </sheetViews>
  <sheetFormatPr defaultRowHeight="14.5" x14ac:dyDescent="0.35"/>
  <cols>
    <col min="1" max="1" width="27.453125" customWidth="1"/>
    <col min="2" max="4" width="13.453125" customWidth="1"/>
    <col min="5" max="5" width="12.6328125" customWidth="1"/>
    <col min="6" max="9" width="13.453125" customWidth="1"/>
    <col min="10" max="10" width="12.6328125" customWidth="1"/>
    <col min="11" max="21" width="13.453125" customWidth="1"/>
    <col min="22" max="22" width="15.36328125" customWidth="1"/>
    <col min="23" max="23" width="14.54296875" customWidth="1"/>
    <col min="24" max="24" width="15.08984375" customWidth="1"/>
    <col min="25" max="25" width="15" customWidth="1"/>
    <col min="26" max="26" width="15.1796875" customWidth="1"/>
    <col min="27" max="27" width="15.36328125" customWidth="1"/>
    <col min="28" max="28" width="14.54296875" customWidth="1"/>
    <col min="29" max="29" width="15.08984375" customWidth="1"/>
    <col min="30" max="30" width="15" customWidth="1"/>
    <col min="31" max="31" width="15.1796875" customWidth="1"/>
    <col min="32" max="32" width="15.36328125" customWidth="1"/>
    <col min="33" max="33" width="14.54296875" customWidth="1"/>
    <col min="34" max="34" width="15.08984375" customWidth="1"/>
    <col min="35" max="35" width="15" customWidth="1"/>
    <col min="36" max="36" width="15.1796875" customWidth="1"/>
    <col min="37" max="37" width="15.36328125" customWidth="1"/>
    <col min="38" max="38" width="14.54296875" customWidth="1"/>
    <col min="39" max="39" width="15.08984375" customWidth="1"/>
    <col min="40" max="40" width="15" customWidth="1"/>
    <col min="41" max="41" width="15.1796875" customWidth="1"/>
    <col min="42" max="42" width="15.36328125" customWidth="1"/>
    <col min="43" max="43" width="14.54296875" customWidth="1"/>
    <col min="44" max="44" width="15.08984375" customWidth="1"/>
    <col min="45" max="45" width="15" customWidth="1"/>
    <col min="46" max="46" width="15.1796875" customWidth="1"/>
    <col min="47" max="47" width="15.36328125" customWidth="1"/>
    <col min="48" max="48" width="14.54296875" customWidth="1"/>
    <col min="49" max="49" width="15.08984375" customWidth="1"/>
    <col min="50" max="50" width="15" customWidth="1"/>
    <col min="51" max="51" width="15.1796875" customWidth="1"/>
    <col min="52" max="52" width="15.36328125" customWidth="1"/>
    <col min="53" max="53" width="14.54296875" customWidth="1"/>
    <col min="54" max="54" width="15.08984375" customWidth="1"/>
    <col min="55" max="55" width="15" customWidth="1"/>
    <col min="56" max="56" width="15.1796875" customWidth="1"/>
  </cols>
  <sheetData>
    <row r="1" spans="1:56" x14ac:dyDescent="0.35">
      <c r="A1" t="s">
        <v>132</v>
      </c>
      <c r="B1" s="181" t="s">
        <v>0</v>
      </c>
      <c r="C1" s="181" t="s">
        <v>1</v>
      </c>
      <c r="D1" s="181" t="s">
        <v>2</v>
      </c>
      <c r="E1" s="181" t="s">
        <v>3</v>
      </c>
      <c r="F1" s="181" t="s">
        <v>4</v>
      </c>
      <c r="G1" s="181" t="s">
        <v>5</v>
      </c>
      <c r="H1" s="181" t="s">
        <v>6</v>
      </c>
      <c r="I1" s="181" t="s">
        <v>7</v>
      </c>
      <c r="J1" s="181" t="s">
        <v>8</v>
      </c>
      <c r="K1" s="181" t="s">
        <v>9</v>
      </c>
      <c r="L1" s="181" t="s">
        <v>10</v>
      </c>
      <c r="M1" s="181" t="s">
        <v>11</v>
      </c>
      <c r="N1" s="181" t="s">
        <v>12</v>
      </c>
      <c r="O1" s="181" t="s">
        <v>13</v>
      </c>
      <c r="P1" s="181" t="s">
        <v>14</v>
      </c>
      <c r="Q1" s="181" t="s">
        <v>15</v>
      </c>
      <c r="R1" s="181" t="s">
        <v>16</v>
      </c>
      <c r="S1" s="181" t="s">
        <v>17</v>
      </c>
      <c r="T1" s="181" t="s">
        <v>18</v>
      </c>
      <c r="U1" s="181" t="s">
        <v>19</v>
      </c>
      <c r="V1" s="181" t="s">
        <v>20</v>
      </c>
      <c r="W1" s="181" t="s">
        <v>21</v>
      </c>
      <c r="X1" s="181" t="s">
        <v>22</v>
      </c>
      <c r="Y1" s="181" t="s">
        <v>23</v>
      </c>
      <c r="Z1" s="181" t="s">
        <v>24</v>
      </c>
      <c r="AA1" s="181" t="s">
        <v>25</v>
      </c>
      <c r="AB1" s="181" t="s">
        <v>26</v>
      </c>
      <c r="AC1" s="181" t="s">
        <v>27</v>
      </c>
      <c r="AD1" s="181" t="s">
        <v>28</v>
      </c>
      <c r="AE1" s="181" t="s">
        <v>29</v>
      </c>
      <c r="AF1" s="181" t="s">
        <v>30</v>
      </c>
      <c r="AG1" s="181" t="s">
        <v>31</v>
      </c>
      <c r="AH1" s="181" t="s">
        <v>32</v>
      </c>
      <c r="AI1" s="181" t="s">
        <v>33</v>
      </c>
      <c r="AJ1" s="181" t="s">
        <v>34</v>
      </c>
      <c r="AK1" s="181" t="s">
        <v>35</v>
      </c>
      <c r="AL1" s="181" t="s">
        <v>36</v>
      </c>
      <c r="AM1" s="181" t="s">
        <v>37</v>
      </c>
      <c r="AN1" s="181" t="s">
        <v>38</v>
      </c>
      <c r="AO1" s="181" t="s">
        <v>39</v>
      </c>
      <c r="AP1" s="181" t="s">
        <v>40</v>
      </c>
      <c r="AQ1" s="181" t="s">
        <v>41</v>
      </c>
      <c r="AR1" s="181" t="s">
        <v>42</v>
      </c>
      <c r="AS1" s="181" t="s">
        <v>43</v>
      </c>
      <c r="AT1" s="181" t="s">
        <v>44</v>
      </c>
      <c r="AU1" s="181" t="s">
        <v>45</v>
      </c>
      <c r="AV1" s="181" t="s">
        <v>46</v>
      </c>
      <c r="AW1" s="181" t="s">
        <v>47</v>
      </c>
      <c r="AX1" s="181" t="s">
        <v>48</v>
      </c>
      <c r="AY1" s="181" t="s">
        <v>49</v>
      </c>
      <c r="AZ1" s="181" t="s">
        <v>50</v>
      </c>
      <c r="BA1" s="181" t="s">
        <v>51</v>
      </c>
      <c r="BB1" s="181" t="s">
        <v>52</v>
      </c>
      <c r="BC1" s="181" t="s">
        <v>53</v>
      </c>
      <c r="BD1" s="181" t="s">
        <v>54</v>
      </c>
    </row>
    <row r="2" spans="1:56" x14ac:dyDescent="0.35">
      <c r="A2" s="4" t="s">
        <v>78</v>
      </c>
      <c r="B2" s="1">
        <v>1.7035775127768309E-3</v>
      </c>
      <c r="C2" s="1">
        <v>2.3273855702094651E-3</v>
      </c>
      <c r="D2" s="1">
        <v>1.428571428571429E-3</v>
      </c>
      <c r="E2" s="1">
        <v>1.5174506828528069E-3</v>
      </c>
      <c r="F2" s="1">
        <v>1.5110305228165611E-3</v>
      </c>
      <c r="G2" s="1">
        <v>2.3628248884221578E-3</v>
      </c>
      <c r="H2" s="1">
        <v>1.9011406844106459E-3</v>
      </c>
      <c r="I2" s="1">
        <v>2.3596035865974521E-3</v>
      </c>
      <c r="J2" s="1">
        <v>1.481481481481481E-3</v>
      </c>
      <c r="K2" s="1">
        <v>5.6866647711117425E-4</v>
      </c>
      <c r="L2" s="1">
        <v>2.033110659308742E-3</v>
      </c>
      <c r="M2" s="1">
        <v>3.1483667847304209E-3</v>
      </c>
      <c r="N2" s="1">
        <v>8.515469770082316E-4</v>
      </c>
      <c r="O2" s="1">
        <v>2.2404779686333079E-3</v>
      </c>
      <c r="P2" s="1">
        <v>1.960085531004989E-3</v>
      </c>
      <c r="Q2" s="1">
        <v>1.8028012758285949E-3</v>
      </c>
      <c r="R2" s="1">
        <v>3.0487804878048782E-3</v>
      </c>
      <c r="S2" s="1">
        <v>2.341372044017795E-3</v>
      </c>
      <c r="T2" s="1">
        <v>1.2128562765312311E-3</v>
      </c>
      <c r="U2" s="1">
        <v>1.478977392774139E-3</v>
      </c>
      <c r="V2" s="10">
        <v>2.942258183155572E-3</v>
      </c>
      <c r="W2" s="10">
        <v>3.678724708767627E-3</v>
      </c>
      <c r="X2" s="10">
        <v>1.596424010217114E-3</v>
      </c>
      <c r="Y2" s="10">
        <v>6.6162570888468808E-3</v>
      </c>
      <c r="Z2" s="10">
        <v>1.3698630136986299E-3</v>
      </c>
      <c r="AA2" s="10">
        <v>3.4710170079833391E-3</v>
      </c>
      <c r="AB2" s="10">
        <v>2.4875621890547259E-3</v>
      </c>
      <c r="AC2" s="10">
        <v>1.9169329073482431E-3</v>
      </c>
      <c r="AD2" s="10">
        <v>4.0858018386108266E-3</v>
      </c>
      <c r="AE2" s="10">
        <v>1.513622603430878E-3</v>
      </c>
      <c r="AF2" s="10">
        <v>3.3823186377420112E-3</v>
      </c>
      <c r="AG2" s="10">
        <v>3.2017075773746002E-3</v>
      </c>
      <c r="AH2" s="10">
        <v>3.428110506150433E-3</v>
      </c>
      <c r="AI2" s="10">
        <v>5.4808171400099652E-3</v>
      </c>
      <c r="AJ2" s="10">
        <v>1.7644464049404499E-3</v>
      </c>
      <c r="AK2" s="10">
        <v>5.6947608200455576E-3</v>
      </c>
      <c r="AL2" s="10">
        <v>4.7427946005107616E-3</v>
      </c>
      <c r="AM2" s="10">
        <v>3.6862584476756088E-3</v>
      </c>
      <c r="AN2" s="10">
        <v>4.226096143687269E-3</v>
      </c>
      <c r="AO2" s="10">
        <v>1.405234498506938E-3</v>
      </c>
      <c r="AP2" s="10">
        <v>2.975258377701222E-3</v>
      </c>
      <c r="AQ2" s="10">
        <v>3.9318479685452159E-3</v>
      </c>
      <c r="AR2" s="10">
        <v>2.4070607114201662E-3</v>
      </c>
      <c r="AS2" s="10">
        <v>1.595744680851064E-3</v>
      </c>
      <c r="AT2" s="10">
        <v>2.2138587558113792E-3</v>
      </c>
      <c r="AU2" s="10">
        <v>2.7055150884495319E-3</v>
      </c>
      <c r="AV2" s="10">
        <v>2.8669724770642199E-3</v>
      </c>
      <c r="AW2" s="10">
        <v>2.781641168289291E-3</v>
      </c>
      <c r="AX2" s="10">
        <v>2.1152829190904279E-3</v>
      </c>
      <c r="AY2" s="10">
        <v>3.4473614425881731E-3</v>
      </c>
      <c r="AZ2" s="10">
        <v>3.968253968253968E-3</v>
      </c>
      <c r="BA2" s="10">
        <v>2.275312855517634E-3</v>
      </c>
      <c r="BB2" s="10">
        <v>1.908396946564885E-3</v>
      </c>
      <c r="BC2" s="10">
        <v>4.0858018386108266E-3</v>
      </c>
      <c r="BD2" s="10">
        <v>2.3626698168930892E-3</v>
      </c>
    </row>
    <row r="3" spans="1:56" x14ac:dyDescent="0.35">
      <c r="A3" s="4" t="s">
        <v>79</v>
      </c>
      <c r="B3" s="1">
        <v>2.001703577512777E-2</v>
      </c>
      <c r="C3" s="1">
        <v>4.6547711404189293E-3</v>
      </c>
      <c r="D3" s="1">
        <v>6.4285714285714276E-3</v>
      </c>
      <c r="E3" s="1">
        <v>1.5174506828528069E-3</v>
      </c>
      <c r="F3" s="1">
        <v>0</v>
      </c>
      <c r="G3" s="1">
        <v>1.050144394854292E-2</v>
      </c>
      <c r="H3" s="1">
        <v>1.9011406844106459E-3</v>
      </c>
      <c r="I3" s="1">
        <v>8.0226521944313355E-3</v>
      </c>
      <c r="J3" s="1">
        <v>4.4444444444444436E-3</v>
      </c>
      <c r="K3" s="1">
        <v>0</v>
      </c>
      <c r="L3" s="1">
        <v>8.4228870171362182E-3</v>
      </c>
      <c r="M3" s="1">
        <v>2.754820936639119E-3</v>
      </c>
      <c r="N3" s="1">
        <v>7.0962248084019304E-3</v>
      </c>
      <c r="O3" s="1">
        <v>5.2277819268110532E-3</v>
      </c>
      <c r="P3" s="1">
        <v>0</v>
      </c>
      <c r="Q3" s="1">
        <v>8.181944251837471E-3</v>
      </c>
      <c r="R3" s="1">
        <v>2.6132404181184671E-3</v>
      </c>
      <c r="S3" s="1">
        <v>4.2144696792320302E-3</v>
      </c>
      <c r="T3" s="1">
        <v>3.6385688295936928E-3</v>
      </c>
      <c r="U3" s="1">
        <v>0</v>
      </c>
      <c r="V3" s="10">
        <v>8.2751011401250452E-3</v>
      </c>
      <c r="W3" s="10">
        <v>4.904966278356836E-3</v>
      </c>
      <c r="X3" s="10">
        <v>7.3435504469987227E-3</v>
      </c>
      <c r="Y3" s="10">
        <v>1.890359168241966E-3</v>
      </c>
      <c r="Z3" s="10">
        <v>0</v>
      </c>
      <c r="AA3" s="10">
        <v>1.110725442554669E-2</v>
      </c>
      <c r="AB3" s="10">
        <v>1.865671641791045E-3</v>
      </c>
      <c r="AC3" s="10">
        <v>6.0702875399361034E-3</v>
      </c>
      <c r="AD3" s="10">
        <v>4.0858018386108266E-3</v>
      </c>
      <c r="AE3" s="10">
        <v>0</v>
      </c>
      <c r="AF3" s="10">
        <v>8.0475857242827149E-3</v>
      </c>
      <c r="AG3" s="10">
        <v>2.8459622909996441E-3</v>
      </c>
      <c r="AH3" s="10">
        <v>7.4611816898568261E-3</v>
      </c>
      <c r="AI3" s="10">
        <v>4.9825610363726954E-4</v>
      </c>
      <c r="AJ3" s="10">
        <v>0</v>
      </c>
      <c r="AK3" s="10">
        <v>8.2257656289546951E-3</v>
      </c>
      <c r="AL3" s="10">
        <v>4.3779642466253189E-3</v>
      </c>
      <c r="AM3" s="10">
        <v>5.5293876715134136E-3</v>
      </c>
      <c r="AN3" s="10">
        <v>1.5847860538827259E-3</v>
      </c>
      <c r="AO3" s="10">
        <v>0</v>
      </c>
      <c r="AP3" s="10">
        <v>7.5164422173504544E-3</v>
      </c>
      <c r="AQ3" s="10">
        <v>3.4949759720401918E-3</v>
      </c>
      <c r="AR3" s="10">
        <v>7.2211821342604973E-3</v>
      </c>
      <c r="AS3" s="10">
        <v>2.1276595744680851E-3</v>
      </c>
      <c r="AT3" s="10">
        <v>0</v>
      </c>
      <c r="AU3" s="10">
        <v>8.5327783558792926E-3</v>
      </c>
      <c r="AV3" s="10">
        <v>4.0137614678899076E-3</v>
      </c>
      <c r="AW3" s="10">
        <v>9.3880389429763563E-3</v>
      </c>
      <c r="AX3" s="10">
        <v>5.2882072977260709E-4</v>
      </c>
      <c r="AY3" s="10">
        <v>0</v>
      </c>
      <c r="AZ3" s="10">
        <v>9.1269841269841275E-3</v>
      </c>
      <c r="BA3" s="10">
        <v>5.6882821387940841E-3</v>
      </c>
      <c r="BB3" s="10">
        <v>8.2697201017811698E-3</v>
      </c>
      <c r="BC3" s="10">
        <v>4.0858018386108266E-3</v>
      </c>
      <c r="BD3" s="10">
        <v>0</v>
      </c>
    </row>
    <row r="4" spans="1:56" x14ac:dyDescent="0.35">
      <c r="A4" s="4" t="s">
        <v>80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1</v>
      </c>
      <c r="AB4" s="10">
        <v>1</v>
      </c>
      <c r="AC4" s="10">
        <v>1</v>
      </c>
      <c r="AD4" s="10">
        <v>1</v>
      </c>
      <c r="AE4" s="10">
        <v>1</v>
      </c>
      <c r="AF4" s="10">
        <v>1</v>
      </c>
      <c r="AG4" s="10">
        <v>1</v>
      </c>
      <c r="AH4" s="10">
        <v>1</v>
      </c>
      <c r="AI4" s="10">
        <v>1</v>
      </c>
      <c r="AJ4" s="10">
        <v>1</v>
      </c>
      <c r="AK4" s="10">
        <v>1</v>
      </c>
      <c r="AL4" s="10">
        <v>1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1</v>
      </c>
      <c r="AT4" s="10">
        <v>1</v>
      </c>
      <c r="AU4" s="10">
        <v>1</v>
      </c>
      <c r="AV4" s="10">
        <v>1</v>
      </c>
      <c r="AW4" s="10">
        <v>1</v>
      </c>
      <c r="AX4" s="10">
        <v>1</v>
      </c>
      <c r="AY4" s="10">
        <v>1</v>
      </c>
      <c r="AZ4" s="10">
        <v>1</v>
      </c>
      <c r="BA4" s="10">
        <v>1</v>
      </c>
      <c r="BB4" s="10">
        <v>1</v>
      </c>
      <c r="BC4" s="10">
        <v>1</v>
      </c>
      <c r="BD4" s="10">
        <v>1</v>
      </c>
    </row>
    <row r="5" spans="1:56" x14ac:dyDescent="0.35">
      <c r="A5" s="4" t="s">
        <v>81</v>
      </c>
      <c r="B5" s="1">
        <v>7.6660988074957409E-3</v>
      </c>
      <c r="C5" s="1">
        <v>1.5515903801396429E-2</v>
      </c>
      <c r="D5" s="1">
        <v>2.357142857142857E-2</v>
      </c>
      <c r="E5" s="1">
        <v>1.972685887708649E-2</v>
      </c>
      <c r="F5" s="1">
        <v>6.6787549108491995E-2</v>
      </c>
      <c r="G5" s="1">
        <v>9.4512995536886329E-3</v>
      </c>
      <c r="H5" s="1">
        <v>3.1685678073510783E-2</v>
      </c>
      <c r="I5" s="1">
        <v>2.6427560169891461E-2</v>
      </c>
      <c r="J5" s="1">
        <v>3.4074074074074083E-2</v>
      </c>
      <c r="K5" s="1">
        <v>6.9661643446118846E-2</v>
      </c>
      <c r="L5" s="1">
        <v>3.775776938716236E-3</v>
      </c>
      <c r="M5" s="1">
        <v>2.6761117670208581E-2</v>
      </c>
      <c r="N5" s="1">
        <v>2.0153278455861481E-2</v>
      </c>
      <c r="O5" s="1">
        <v>2.0911127707244209E-2</v>
      </c>
      <c r="P5" s="1">
        <v>4.1339985744832497E-2</v>
      </c>
      <c r="Q5" s="1">
        <v>6.5178199972264596E-3</v>
      </c>
      <c r="R5" s="1">
        <v>1.9163763066202089E-2</v>
      </c>
      <c r="S5" s="1">
        <v>2.317958323577617E-2</v>
      </c>
      <c r="T5" s="1">
        <v>4.1237113402061848E-2</v>
      </c>
      <c r="U5" s="1">
        <v>3.5284174941897319E-2</v>
      </c>
      <c r="V5" s="10">
        <v>7.35564545788893E-3</v>
      </c>
      <c r="W5" s="10">
        <v>2.1459227467811159E-2</v>
      </c>
      <c r="X5" s="10">
        <v>2.2030651340996171E-2</v>
      </c>
      <c r="Y5" s="10">
        <v>2.646502835538752E-2</v>
      </c>
      <c r="Z5" s="10">
        <v>0.06</v>
      </c>
      <c r="AA5" s="10">
        <v>2.1173203748698369E-2</v>
      </c>
      <c r="AB5" s="10">
        <v>5.2238805970149252E-2</v>
      </c>
      <c r="AC5" s="10">
        <v>4.9201277955271558E-2</v>
      </c>
      <c r="AD5" s="10">
        <v>6.2308478038815118E-2</v>
      </c>
      <c r="AE5" s="10">
        <v>0.12512613521695259</v>
      </c>
      <c r="AF5" s="10">
        <v>1.1663167716351759E-2</v>
      </c>
      <c r="AG5" s="10">
        <v>3.8776236214870162E-2</v>
      </c>
      <c r="AH5" s="10">
        <v>3.6902601330913491E-2</v>
      </c>
      <c r="AI5" s="10">
        <v>6.9755854509217743E-2</v>
      </c>
      <c r="AJ5" s="10">
        <v>0.1024849286869578</v>
      </c>
      <c r="AK5" s="10">
        <v>1.37939762085548E-2</v>
      </c>
      <c r="AL5" s="10">
        <v>4.5968624589565847E-2</v>
      </c>
      <c r="AM5" s="10">
        <v>4.5054269916035221E-2</v>
      </c>
      <c r="AN5" s="10">
        <v>6.8145800316957217E-2</v>
      </c>
      <c r="AO5" s="10">
        <v>0.12032320393465661</v>
      </c>
      <c r="AP5" s="10">
        <v>2.4898214844973381E-2</v>
      </c>
      <c r="AQ5" s="10">
        <v>8.1695063346439487E-2</v>
      </c>
      <c r="AR5" s="10">
        <v>5.5362396362663817E-2</v>
      </c>
      <c r="AS5" s="10">
        <v>0.1143617021276596</v>
      </c>
      <c r="AT5" s="10">
        <v>0.16980296657073279</v>
      </c>
      <c r="AU5" s="10">
        <v>2.601456815816857E-2</v>
      </c>
      <c r="AV5" s="10">
        <v>7.8555045871559634E-2</v>
      </c>
      <c r="AW5" s="10">
        <v>5.7371349095966619E-2</v>
      </c>
      <c r="AX5" s="10">
        <v>0.133262823902697</v>
      </c>
      <c r="AY5" s="10">
        <v>0.17104216388225929</v>
      </c>
      <c r="AZ5" s="10">
        <v>2.8968253968253969E-2</v>
      </c>
      <c r="BA5" s="10">
        <v>9.8976109215017066E-2</v>
      </c>
      <c r="BB5" s="10">
        <v>8.1424936386768454E-2</v>
      </c>
      <c r="BC5" s="10">
        <v>0.16343207354443309</v>
      </c>
      <c r="BD5" s="10">
        <v>0.1677495569994093</v>
      </c>
    </row>
    <row r="6" spans="1:56" x14ac:dyDescent="0.35">
      <c r="A6" s="4" t="s">
        <v>82</v>
      </c>
      <c r="B6" s="1">
        <v>1.7461669505962521E-2</v>
      </c>
      <c r="C6" s="1">
        <v>4.5771916214119468E-2</v>
      </c>
      <c r="D6" s="1">
        <v>3.214285714285714E-2</v>
      </c>
      <c r="E6" s="1">
        <v>4.552352048558422E-3</v>
      </c>
      <c r="F6" s="1">
        <v>0</v>
      </c>
      <c r="G6" s="1">
        <v>1.207666054082436E-2</v>
      </c>
      <c r="H6" s="1">
        <v>4.3726235741444873E-2</v>
      </c>
      <c r="I6" s="1">
        <v>2.92590844738084E-2</v>
      </c>
      <c r="J6" s="1">
        <v>2.9629629629629628E-3</v>
      </c>
      <c r="K6" s="1">
        <v>0</v>
      </c>
      <c r="L6" s="1">
        <v>1.6410107464420561E-2</v>
      </c>
      <c r="M6" s="1">
        <v>3.3844942935852017E-2</v>
      </c>
      <c r="N6" s="1">
        <v>2.781720124893557E-2</v>
      </c>
      <c r="O6" s="1">
        <v>3.7341299477221812E-3</v>
      </c>
      <c r="P6" s="1">
        <v>0</v>
      </c>
      <c r="Q6" s="1">
        <v>8.0432672306198858E-3</v>
      </c>
      <c r="R6" s="1">
        <v>1.8292682926829271E-2</v>
      </c>
      <c r="S6" s="1">
        <v>1.6389604308124559E-2</v>
      </c>
      <c r="T6" s="1">
        <v>3.6385688295936928E-3</v>
      </c>
      <c r="U6" s="1">
        <v>0</v>
      </c>
      <c r="V6" s="10">
        <v>3.4939315924972418E-3</v>
      </c>
      <c r="W6" s="10">
        <v>1.5941140404659718E-2</v>
      </c>
      <c r="X6" s="10">
        <v>1.1813537675606641E-2</v>
      </c>
      <c r="Y6" s="10">
        <v>1.890359168241966E-3</v>
      </c>
      <c r="Z6" s="10">
        <v>0</v>
      </c>
      <c r="AA6" s="10">
        <v>7.462686567164179E-3</v>
      </c>
      <c r="AB6" s="10">
        <v>2.8606965174129351E-2</v>
      </c>
      <c r="AC6" s="10">
        <v>2.07667731629393E-2</v>
      </c>
      <c r="AD6" s="10">
        <v>3.06435137895812E-3</v>
      </c>
      <c r="AE6" s="10">
        <v>0</v>
      </c>
      <c r="AF6" s="10">
        <v>3.965477023559599E-3</v>
      </c>
      <c r="AG6" s="10">
        <v>1.3874066168623271E-2</v>
      </c>
      <c r="AH6" s="10">
        <v>1.492236337971365E-2</v>
      </c>
      <c r="AI6" s="10">
        <v>7.4738415545590429E-3</v>
      </c>
      <c r="AJ6" s="10">
        <v>0</v>
      </c>
      <c r="AK6" s="10">
        <v>2.4044545684636801E-3</v>
      </c>
      <c r="AL6" s="10">
        <v>6.9317767238234219E-3</v>
      </c>
      <c r="AM6" s="10">
        <v>5.5293876715134136E-3</v>
      </c>
      <c r="AN6" s="10">
        <v>1.5847860538827259E-3</v>
      </c>
      <c r="AO6" s="10">
        <v>0</v>
      </c>
      <c r="AP6" s="10">
        <v>2.662073285311619E-3</v>
      </c>
      <c r="AQ6" s="10">
        <v>7.8636959370904317E-3</v>
      </c>
      <c r="AR6" s="10">
        <v>6.6862797539449046E-3</v>
      </c>
      <c r="AS6" s="10">
        <v>5.3191489361702129E-4</v>
      </c>
      <c r="AT6" s="10">
        <v>0</v>
      </c>
      <c r="AU6" s="10">
        <v>3.1217481789802288E-3</v>
      </c>
      <c r="AV6" s="10">
        <v>6.8807339449541288E-3</v>
      </c>
      <c r="AW6" s="10">
        <v>4.8678720445062586E-3</v>
      </c>
      <c r="AX6" s="10">
        <v>0</v>
      </c>
      <c r="AY6" s="10">
        <v>0</v>
      </c>
      <c r="AZ6" s="10">
        <v>4.7619047619047623E-3</v>
      </c>
      <c r="BA6" s="10">
        <v>4.5506257110352671E-3</v>
      </c>
      <c r="BB6" s="10">
        <v>3.8167938931297708E-3</v>
      </c>
      <c r="BC6" s="10">
        <v>1.0214504596527071E-3</v>
      </c>
      <c r="BD6" s="10">
        <v>0</v>
      </c>
    </row>
    <row r="7" spans="1:56" x14ac:dyDescent="0.35">
      <c r="A7" s="4" t="s">
        <v>83</v>
      </c>
      <c r="B7" s="1">
        <v>2.981260647359455E-3</v>
      </c>
      <c r="C7" s="1">
        <v>6.2063615205585716E-3</v>
      </c>
      <c r="D7" s="1">
        <v>2.8571428571428571E-3</v>
      </c>
      <c r="E7" s="1">
        <v>1.972685887708649E-2</v>
      </c>
      <c r="F7" s="1">
        <v>2.0550015110305232E-2</v>
      </c>
      <c r="G7" s="1">
        <v>2.3628248884221578E-3</v>
      </c>
      <c r="H7" s="1">
        <v>1.9011406844106459E-3</v>
      </c>
      <c r="I7" s="1">
        <v>1.4157621519584711E-3</v>
      </c>
      <c r="J7" s="1">
        <v>7.4074074074074077E-3</v>
      </c>
      <c r="K7" s="1">
        <v>1.5353994882001711E-2</v>
      </c>
      <c r="L7" s="1">
        <v>1.5974440894568689E-3</v>
      </c>
      <c r="M7" s="1">
        <v>4.329004329004329E-3</v>
      </c>
      <c r="N7" s="1">
        <v>1.419244961680386E-3</v>
      </c>
      <c r="O7" s="1">
        <v>4.4809559372666168E-3</v>
      </c>
      <c r="P7" s="1">
        <v>9.2658588738417681E-3</v>
      </c>
      <c r="Q7" s="1">
        <v>1.664124254611011E-3</v>
      </c>
      <c r="R7" s="1">
        <v>2.6132404181184671E-3</v>
      </c>
      <c r="S7" s="1">
        <v>4.2144696792320302E-3</v>
      </c>
      <c r="T7" s="1">
        <v>5.4578532443905394E-3</v>
      </c>
      <c r="U7" s="1">
        <v>1.267694908092119E-2</v>
      </c>
      <c r="V7" s="10">
        <v>2.3905847738139021E-3</v>
      </c>
      <c r="W7" s="10">
        <v>6.1312078479460446E-3</v>
      </c>
      <c r="X7" s="10">
        <v>5.108556832694764E-3</v>
      </c>
      <c r="Y7" s="10">
        <v>5.6710775047258983E-3</v>
      </c>
      <c r="Z7" s="10">
        <v>1.2328767123287669E-2</v>
      </c>
      <c r="AA7" s="10">
        <v>4.6858729607775077E-3</v>
      </c>
      <c r="AB7" s="10">
        <v>6.8407960199004976E-3</v>
      </c>
      <c r="AC7" s="10">
        <v>6.7092651757188499E-3</v>
      </c>
      <c r="AD7" s="10">
        <v>5.1072522982635342E-3</v>
      </c>
      <c r="AE7" s="10">
        <v>1.8668012108980829E-2</v>
      </c>
      <c r="AF7" s="10">
        <v>4.4320037322136694E-3</v>
      </c>
      <c r="AG7" s="10">
        <v>4.2689434364994666E-3</v>
      </c>
      <c r="AH7" s="10">
        <v>5.8479532163742687E-3</v>
      </c>
      <c r="AI7" s="10">
        <v>9.9651220727453912E-3</v>
      </c>
      <c r="AJ7" s="10">
        <v>1.5880017644464051E-2</v>
      </c>
      <c r="AK7" s="10">
        <v>5.821311060491015E-3</v>
      </c>
      <c r="AL7" s="10">
        <v>6.5669463699379784E-3</v>
      </c>
      <c r="AM7" s="10">
        <v>1.0034814663116939E-2</v>
      </c>
      <c r="AN7" s="10">
        <v>8.9804543053354467E-3</v>
      </c>
      <c r="AO7" s="10">
        <v>2.0551554540663972E-2</v>
      </c>
      <c r="AP7" s="10">
        <v>7.986219855934857E-3</v>
      </c>
      <c r="AQ7" s="10">
        <v>5.2424639580602884E-3</v>
      </c>
      <c r="AR7" s="10">
        <v>8.2909868948916818E-3</v>
      </c>
      <c r="AS7" s="10">
        <v>1.223404255319149E-2</v>
      </c>
      <c r="AT7" s="10">
        <v>1.815364179765331E-2</v>
      </c>
      <c r="AU7" s="10">
        <v>7.2840790842872011E-3</v>
      </c>
      <c r="AV7" s="10">
        <v>5.1605504587155966E-3</v>
      </c>
      <c r="AW7" s="10">
        <v>7.9972183588317113E-3</v>
      </c>
      <c r="AX7" s="10">
        <v>1.322051824431518E-2</v>
      </c>
      <c r="AY7" s="10">
        <v>1.4319809069212409E-2</v>
      </c>
      <c r="AZ7" s="10">
        <v>2.3809523809523812E-3</v>
      </c>
      <c r="BA7" s="10">
        <v>5.6882821387940841E-3</v>
      </c>
      <c r="BB7" s="10">
        <v>3.8167938931297708E-3</v>
      </c>
      <c r="BC7" s="10">
        <v>6.1287027579162408E-3</v>
      </c>
      <c r="BD7" s="10">
        <v>1.6538688718251621E-2</v>
      </c>
    </row>
    <row r="8" spans="1:56" x14ac:dyDescent="0.35">
      <c r="A8" s="4" t="s">
        <v>84</v>
      </c>
      <c r="B8" s="1">
        <v>2.5553662691652468E-3</v>
      </c>
      <c r="C8" s="1">
        <v>6.9821567106283936E-3</v>
      </c>
      <c r="D8" s="1">
        <v>1.428571428571429E-3</v>
      </c>
      <c r="E8" s="1">
        <v>1.5174506828528069E-3</v>
      </c>
      <c r="F8" s="1">
        <v>6.0441220912662444E-3</v>
      </c>
      <c r="G8" s="1">
        <v>2.3628248884221578E-3</v>
      </c>
      <c r="H8" s="1">
        <v>5.7034220532319393E-3</v>
      </c>
      <c r="I8" s="1">
        <v>5.6630486078338843E-3</v>
      </c>
      <c r="J8" s="1">
        <v>2.9629629629629628E-3</v>
      </c>
      <c r="K8" s="1">
        <v>1.1373329542223489E-3</v>
      </c>
      <c r="L8" s="1">
        <v>6.0993319779262273E-3</v>
      </c>
      <c r="M8" s="1">
        <v>7.4773711137347499E-3</v>
      </c>
      <c r="N8" s="1">
        <v>3.690036900369004E-3</v>
      </c>
      <c r="O8" s="1">
        <v>2.2404779686333079E-3</v>
      </c>
      <c r="P8" s="1">
        <v>1.7818959372772631E-3</v>
      </c>
      <c r="Q8" s="1">
        <v>1.9414782970461791E-3</v>
      </c>
      <c r="R8" s="1">
        <v>8.710801393728223E-4</v>
      </c>
      <c r="S8" s="1">
        <v>1.404823226410677E-3</v>
      </c>
      <c r="T8" s="1">
        <v>0</v>
      </c>
      <c r="U8" s="1">
        <v>1.478977392774139E-3</v>
      </c>
      <c r="V8" s="10">
        <v>0</v>
      </c>
      <c r="W8" s="10">
        <v>3.0656039239730232E-3</v>
      </c>
      <c r="X8" s="10">
        <v>6.3856960408684551E-4</v>
      </c>
      <c r="Y8" s="10">
        <v>9.4517958412098301E-4</v>
      </c>
      <c r="Z8" s="10">
        <v>2.7397260273972601E-4</v>
      </c>
      <c r="AA8" s="10">
        <v>1.7355085039916701E-4</v>
      </c>
      <c r="AB8" s="10">
        <v>1.865671641791045E-3</v>
      </c>
      <c r="AC8" s="10">
        <v>6.3897763578274762E-4</v>
      </c>
      <c r="AD8" s="10">
        <v>0</v>
      </c>
      <c r="AE8" s="10">
        <v>1.2613521695257321E-3</v>
      </c>
      <c r="AF8" s="10">
        <v>5.8315838581758802E-4</v>
      </c>
      <c r="AG8" s="10">
        <v>1.4229811454998221E-3</v>
      </c>
      <c r="AH8" s="10">
        <v>1.613228473482557E-3</v>
      </c>
      <c r="AI8" s="10">
        <v>0</v>
      </c>
      <c r="AJ8" s="10">
        <v>1.4703720041170419E-4</v>
      </c>
      <c r="AK8" s="10">
        <v>2.531004808909137E-4</v>
      </c>
      <c r="AL8" s="10">
        <v>1.8241517694272159E-3</v>
      </c>
      <c r="AM8" s="10">
        <v>1.0239606799098909E-3</v>
      </c>
      <c r="AN8" s="10">
        <v>0</v>
      </c>
      <c r="AO8" s="10">
        <v>5.2696293694010185E-4</v>
      </c>
      <c r="AP8" s="10">
        <v>0</v>
      </c>
      <c r="AQ8" s="10">
        <v>0</v>
      </c>
      <c r="AR8" s="10">
        <v>1.0698047606311849E-3</v>
      </c>
      <c r="AS8" s="10">
        <v>5.3191489361702129E-4</v>
      </c>
      <c r="AT8" s="10">
        <v>2.2138587558113789E-4</v>
      </c>
      <c r="AU8" s="10">
        <v>8.3246618106139442E-4</v>
      </c>
      <c r="AV8" s="10">
        <v>1.1467889908256879E-3</v>
      </c>
      <c r="AW8" s="10">
        <v>1.043115438108484E-3</v>
      </c>
      <c r="AX8" s="10">
        <v>0</v>
      </c>
      <c r="AY8" s="10">
        <v>2.6518164942985952E-4</v>
      </c>
      <c r="AZ8" s="10">
        <v>1.190476190476191E-3</v>
      </c>
      <c r="BA8" s="10">
        <v>0</v>
      </c>
      <c r="BB8" s="10">
        <v>0</v>
      </c>
      <c r="BC8" s="10">
        <v>0</v>
      </c>
      <c r="BD8" s="10">
        <v>0</v>
      </c>
    </row>
    <row r="9" spans="1:56" x14ac:dyDescent="0.35">
      <c r="A9" s="4" t="s">
        <v>85</v>
      </c>
      <c r="B9" s="1">
        <v>0.12095400340715499</v>
      </c>
      <c r="C9" s="1">
        <v>0.1536074476338247</v>
      </c>
      <c r="D9" s="1">
        <v>0.1364285714285714</v>
      </c>
      <c r="E9" s="1">
        <v>0.15933232169954481</v>
      </c>
      <c r="F9" s="1">
        <v>3.8984587488667267E-2</v>
      </c>
      <c r="G9" s="1">
        <v>0.10763980047256499</v>
      </c>
      <c r="H9" s="1">
        <v>0.17743979721166031</v>
      </c>
      <c r="I9" s="1">
        <v>0.1571495988673903</v>
      </c>
      <c r="J9" s="1">
        <v>0.1377777777777778</v>
      </c>
      <c r="K9" s="1">
        <v>6.880864373045209E-2</v>
      </c>
      <c r="L9" s="1">
        <v>0.1004937554458321</v>
      </c>
      <c r="M9" s="1">
        <v>0.1751279024006297</v>
      </c>
      <c r="N9" s="1">
        <v>0.17059324439398241</v>
      </c>
      <c r="O9" s="1">
        <v>0.1314413741598208</v>
      </c>
      <c r="P9" s="1">
        <v>5.3991446899501069E-2</v>
      </c>
      <c r="Q9" s="1">
        <v>0.1266121203716544</v>
      </c>
      <c r="R9" s="1">
        <v>0.1968641114982578</v>
      </c>
      <c r="S9" s="1">
        <v>0.1833294310465933</v>
      </c>
      <c r="T9" s="1">
        <v>0.1315949060036386</v>
      </c>
      <c r="U9" s="1">
        <v>7.6484259454891193E-2</v>
      </c>
      <c r="V9" s="10">
        <v>0.15189407870540639</v>
      </c>
      <c r="W9" s="10">
        <v>0.220110361741263</v>
      </c>
      <c r="X9" s="10">
        <v>0.2155172413793103</v>
      </c>
      <c r="Y9" s="10">
        <v>0.16162570888468811</v>
      </c>
      <c r="Z9" s="10">
        <v>9.808219178082192E-2</v>
      </c>
      <c r="AA9" s="10">
        <v>0.22283929191253041</v>
      </c>
      <c r="AB9" s="10">
        <v>0.24502487562189049</v>
      </c>
      <c r="AC9" s="10">
        <v>0.24472843450479231</v>
      </c>
      <c r="AD9" s="10">
        <v>0.20837589376915219</v>
      </c>
      <c r="AE9" s="10">
        <v>0.14505549949545909</v>
      </c>
      <c r="AF9" s="10">
        <v>0.24399346862607879</v>
      </c>
      <c r="AG9" s="10">
        <v>0.23479188900747061</v>
      </c>
      <c r="AH9" s="10">
        <v>0.24541238152853401</v>
      </c>
      <c r="AI9" s="10">
        <v>0.20627802690582961</v>
      </c>
      <c r="AJ9" s="10">
        <v>0.17762093809733859</v>
      </c>
      <c r="AK9" s="10">
        <v>0.25828904074917741</v>
      </c>
      <c r="AL9" s="10">
        <v>0.26012404232032099</v>
      </c>
      <c r="AM9" s="10">
        <v>0.283227524063076</v>
      </c>
      <c r="AN9" s="10">
        <v>0.2435287902799789</v>
      </c>
      <c r="AO9" s="10">
        <v>0.26330581415773763</v>
      </c>
      <c r="AP9" s="10">
        <v>0.27481991857187599</v>
      </c>
      <c r="AQ9" s="10">
        <v>0.29925731760594149</v>
      </c>
      <c r="AR9" s="10">
        <v>0.29045199251136672</v>
      </c>
      <c r="AS9" s="10">
        <v>0.2457446808510638</v>
      </c>
      <c r="AT9" s="10">
        <v>0.28315253486827541</v>
      </c>
      <c r="AU9" s="10">
        <v>0.32362122788761699</v>
      </c>
      <c r="AV9" s="10">
        <v>0.31594036697247713</v>
      </c>
      <c r="AW9" s="10">
        <v>0.3508344923504868</v>
      </c>
      <c r="AX9" s="10">
        <v>0.25171866737176102</v>
      </c>
      <c r="AY9" s="10">
        <v>0.33678069477592149</v>
      </c>
      <c r="AZ9" s="10">
        <v>0.31428571428571428</v>
      </c>
      <c r="BA9" s="10">
        <v>0.32878270762229811</v>
      </c>
      <c r="BB9" s="10">
        <v>0.37595419847328237</v>
      </c>
      <c r="BC9" s="10">
        <v>0.2226762002042901</v>
      </c>
      <c r="BD9" s="10">
        <v>0.33549911399881871</v>
      </c>
    </row>
    <row r="10" spans="1:56" x14ac:dyDescent="0.35">
      <c r="A10" s="4" t="s">
        <v>86</v>
      </c>
      <c r="B10" s="1">
        <v>5.4940374787052812E-2</v>
      </c>
      <c r="C10" s="1">
        <v>4.7323506594259122E-2</v>
      </c>
      <c r="D10" s="1">
        <v>5.6428571428571432E-2</v>
      </c>
      <c r="E10" s="1">
        <v>7.1320182094081946E-2</v>
      </c>
      <c r="F10" s="1">
        <v>0.1801148383197341</v>
      </c>
      <c r="G10" s="1">
        <v>5.8020477815699661E-2</v>
      </c>
      <c r="H10" s="1">
        <v>5.0697084917617243E-2</v>
      </c>
      <c r="I10" s="1">
        <v>4.8607833883907513E-2</v>
      </c>
      <c r="J10" s="1">
        <v>6.6666666666666666E-2</v>
      </c>
      <c r="K10" s="1">
        <v>0.11032129655956779</v>
      </c>
      <c r="L10" s="1">
        <v>7.4208539064769097E-2</v>
      </c>
      <c r="M10" s="1">
        <v>5.7851239669421489E-2</v>
      </c>
      <c r="N10" s="1">
        <v>6.3582174283281293E-2</v>
      </c>
      <c r="O10" s="1">
        <v>8.6631814787154593E-2</v>
      </c>
      <c r="P10" s="1">
        <v>8.7847469707769063E-2</v>
      </c>
      <c r="Q10" s="1">
        <v>6.3098044654000832E-2</v>
      </c>
      <c r="R10" s="1">
        <v>5.1393728222996517E-2</v>
      </c>
      <c r="S10" s="1">
        <v>5.0105361741980797E-2</v>
      </c>
      <c r="T10" s="1">
        <v>8.8538508186779871E-2</v>
      </c>
      <c r="U10" s="1">
        <v>7.0357067399112613E-2</v>
      </c>
      <c r="V10" s="10">
        <v>6.0316292754689221E-2</v>
      </c>
      <c r="W10" s="10">
        <v>3.9239730226854688E-2</v>
      </c>
      <c r="X10" s="10">
        <v>3.2247765006385702E-2</v>
      </c>
      <c r="Y10" s="10">
        <v>5.9546313799621928E-2</v>
      </c>
      <c r="Z10" s="10">
        <v>0.04</v>
      </c>
      <c r="AA10" s="10">
        <v>5.5536272127733433E-2</v>
      </c>
      <c r="AB10" s="10">
        <v>5.2860696517412938E-2</v>
      </c>
      <c r="AC10" s="10">
        <v>4.2811501597444089E-2</v>
      </c>
      <c r="AD10" s="10">
        <v>4.0858018386108273E-2</v>
      </c>
      <c r="AE10" s="10">
        <v>2.5731584258324929E-2</v>
      </c>
      <c r="AF10" s="10">
        <v>5.5749941684161419E-2</v>
      </c>
      <c r="AG10" s="10">
        <v>5.2650302383493421E-2</v>
      </c>
      <c r="AH10" s="10">
        <v>4.7590239967735433E-2</v>
      </c>
      <c r="AI10" s="10">
        <v>6.4275037369207769E-2</v>
      </c>
      <c r="AJ10" s="10">
        <v>9.263343625937363E-3</v>
      </c>
      <c r="AK10" s="10">
        <v>5.0366995697291833E-2</v>
      </c>
      <c r="AL10" s="10">
        <v>4.6333454943451292E-2</v>
      </c>
      <c r="AM10" s="10">
        <v>4.5668646323981162E-2</v>
      </c>
      <c r="AN10" s="10">
        <v>6.550449022715267E-2</v>
      </c>
      <c r="AO10" s="10">
        <v>7.5531354294747933E-3</v>
      </c>
      <c r="AP10" s="10">
        <v>3.8678358910115881E-2</v>
      </c>
      <c r="AQ10" s="10">
        <v>3.7134119702927043E-2</v>
      </c>
      <c r="AR10" s="10">
        <v>4.4396897566194173E-2</v>
      </c>
      <c r="AS10" s="10">
        <v>5.8510638297872342E-2</v>
      </c>
      <c r="AT10" s="10">
        <v>4.4277175116227583E-3</v>
      </c>
      <c r="AU10" s="10">
        <v>2.4765868886576479E-2</v>
      </c>
      <c r="AV10" s="10">
        <v>4.7591743119266047E-2</v>
      </c>
      <c r="AW10" s="10">
        <v>3.129346314325452E-2</v>
      </c>
      <c r="AX10" s="10">
        <v>3.6488630354309888E-2</v>
      </c>
      <c r="AY10" s="10">
        <v>2.6518164942985951E-3</v>
      </c>
      <c r="AZ10" s="10">
        <v>3.2539682539682542E-2</v>
      </c>
      <c r="BA10" s="10">
        <v>3.8680318543799767E-2</v>
      </c>
      <c r="BB10" s="10">
        <v>3.3078880407124679E-2</v>
      </c>
      <c r="BC10" s="10">
        <v>4.3922369765066388E-2</v>
      </c>
      <c r="BD10" s="10">
        <v>4.134672179562906E-3</v>
      </c>
    </row>
    <row r="11" spans="1:56" x14ac:dyDescent="0.35">
      <c r="A11" s="4" t="s">
        <v>87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</row>
    <row r="12" spans="1:56" x14ac:dyDescent="0.35">
      <c r="A12" s="4" t="s">
        <v>88</v>
      </c>
      <c r="B12" s="1">
        <v>0.22359454855195909</v>
      </c>
      <c r="C12" s="1">
        <v>0.28394103956555472</v>
      </c>
      <c r="D12" s="1">
        <v>0.2421428571428571</v>
      </c>
      <c r="E12" s="1">
        <v>0.30955993930197268</v>
      </c>
      <c r="F12" s="1">
        <v>0.16651556361438499</v>
      </c>
      <c r="G12" s="1">
        <v>0.21606720924127071</v>
      </c>
      <c r="H12" s="1">
        <v>0.27629911280101388</v>
      </c>
      <c r="I12" s="1">
        <v>0.25908447380840022</v>
      </c>
      <c r="J12" s="1">
        <v>0.31555555555555548</v>
      </c>
      <c r="K12" s="1">
        <v>0.2143872618709127</v>
      </c>
      <c r="L12" s="1">
        <v>0.2274179494626779</v>
      </c>
      <c r="M12" s="1">
        <v>0.27587563951200322</v>
      </c>
      <c r="N12" s="1">
        <v>0.25915413000283849</v>
      </c>
      <c r="O12" s="1">
        <v>0.26661687826736369</v>
      </c>
      <c r="P12" s="1">
        <v>0.21650035637918749</v>
      </c>
      <c r="Q12" s="1">
        <v>0.2318679794758009</v>
      </c>
      <c r="R12" s="1">
        <v>0.28397212543554012</v>
      </c>
      <c r="S12" s="1">
        <v>0.26106298290798408</v>
      </c>
      <c r="T12" s="1">
        <v>0.26986052152819889</v>
      </c>
      <c r="U12" s="1">
        <v>0.19099936615254601</v>
      </c>
      <c r="V12" s="10">
        <v>0.24696579624862081</v>
      </c>
      <c r="W12" s="10">
        <v>0.27835683629675051</v>
      </c>
      <c r="X12" s="10">
        <v>0.2614942528735632</v>
      </c>
      <c r="Y12" s="10">
        <v>0.22684310018903589</v>
      </c>
      <c r="Z12" s="10">
        <v>0.21095890410958901</v>
      </c>
      <c r="AA12" s="10">
        <v>0.25529330093717462</v>
      </c>
      <c r="AB12" s="10">
        <v>0.29166666666666669</v>
      </c>
      <c r="AC12" s="10">
        <v>0.26805111821086258</v>
      </c>
      <c r="AD12" s="10">
        <v>0.28396322778345251</v>
      </c>
      <c r="AE12" s="10">
        <v>0.21316851664984859</v>
      </c>
      <c r="AF12" s="10">
        <v>0.28283181712153022</v>
      </c>
      <c r="AG12" s="10">
        <v>0.32692991817858408</v>
      </c>
      <c r="AH12" s="10">
        <v>0.29118773946360149</v>
      </c>
      <c r="AI12" s="10">
        <v>0.30293971101145989</v>
      </c>
      <c r="AJ12" s="10">
        <v>0.2427584178797236</v>
      </c>
      <c r="AK12" s="10">
        <v>0.26955201214882307</v>
      </c>
      <c r="AL12" s="10">
        <v>0.31229478292593937</v>
      </c>
      <c r="AM12" s="10">
        <v>0.28507065328691378</v>
      </c>
      <c r="AN12" s="10">
        <v>0.28843106180665612</v>
      </c>
      <c r="AO12" s="10">
        <v>0.2255401370103636</v>
      </c>
      <c r="AP12" s="10">
        <v>0.27309740056373322</v>
      </c>
      <c r="AQ12" s="10">
        <v>0.29008300567933598</v>
      </c>
      <c r="AR12" s="10">
        <v>0.27895159133458142</v>
      </c>
      <c r="AS12" s="10">
        <v>0.28510638297872343</v>
      </c>
      <c r="AT12" s="10">
        <v>0.2165153863183529</v>
      </c>
      <c r="AU12" s="10">
        <v>0.28969823100936531</v>
      </c>
      <c r="AV12" s="10">
        <v>0.32224770642201828</v>
      </c>
      <c r="AW12" s="10">
        <v>0.30180806675938798</v>
      </c>
      <c r="AX12" s="10">
        <v>0.29613960867265998</v>
      </c>
      <c r="AY12" s="10">
        <v>0.22460885706709099</v>
      </c>
      <c r="AZ12" s="10">
        <v>0.29285714285714293</v>
      </c>
      <c r="BA12" s="10">
        <v>0.34357224118316271</v>
      </c>
      <c r="BB12" s="10">
        <v>0.30279898218829521</v>
      </c>
      <c r="BC12" s="10">
        <v>0.30337078651685401</v>
      </c>
      <c r="BD12" s="10">
        <v>0.24630832841110459</v>
      </c>
    </row>
    <row r="13" spans="1:56" x14ac:dyDescent="0.35">
      <c r="A13" s="4" t="s">
        <v>89</v>
      </c>
      <c r="B13" s="1">
        <v>0.77640545144804085</v>
      </c>
      <c r="C13" s="1">
        <v>0.71605896043444528</v>
      </c>
      <c r="D13" s="1">
        <v>0.7578571428571429</v>
      </c>
      <c r="E13" s="1">
        <v>0.69044006069802732</v>
      </c>
      <c r="F13" s="1">
        <v>0.83348443638561498</v>
      </c>
      <c r="G13" s="1">
        <v>0.78393279075872935</v>
      </c>
      <c r="H13" s="1">
        <v>0.72370088719898606</v>
      </c>
      <c r="I13" s="1">
        <v>0.74091552619159984</v>
      </c>
      <c r="J13" s="1">
        <v>0.68444444444444441</v>
      </c>
      <c r="K13" s="1">
        <v>0.78561273812908727</v>
      </c>
      <c r="L13" s="1">
        <v>0.7725820505373221</v>
      </c>
      <c r="M13" s="1">
        <v>0.72412436048799689</v>
      </c>
      <c r="N13" s="1">
        <v>0.74084586999716151</v>
      </c>
      <c r="O13" s="1">
        <v>0.73338312173263631</v>
      </c>
      <c r="P13" s="1">
        <v>0.78349964362081259</v>
      </c>
      <c r="Q13" s="1">
        <v>0.76813202052419915</v>
      </c>
      <c r="R13" s="1">
        <v>0.71602787456445993</v>
      </c>
      <c r="S13" s="1">
        <v>0.73893701709201587</v>
      </c>
      <c r="T13" s="1">
        <v>0.73013947847180105</v>
      </c>
      <c r="U13" s="1">
        <v>0.80900063384745402</v>
      </c>
      <c r="V13" s="10">
        <v>0.75303420375137919</v>
      </c>
      <c r="W13" s="10">
        <v>0.72164316370324955</v>
      </c>
      <c r="X13" s="10">
        <v>0.7385057471264368</v>
      </c>
      <c r="Y13" s="10">
        <v>0.77315689981096414</v>
      </c>
      <c r="Z13" s="10">
        <v>0.78904109589041094</v>
      </c>
      <c r="AA13" s="10">
        <v>0.74470669906282538</v>
      </c>
      <c r="AB13" s="10">
        <v>0.70833333333333337</v>
      </c>
      <c r="AC13" s="10">
        <v>0.73194888178913742</v>
      </c>
      <c r="AD13" s="10">
        <v>0.71603677221654749</v>
      </c>
      <c r="AE13" s="10">
        <v>0.78683148335015141</v>
      </c>
      <c r="AF13" s="10">
        <v>0.71716818287846984</v>
      </c>
      <c r="AG13" s="10">
        <v>0.67307008182141581</v>
      </c>
      <c r="AH13" s="10">
        <v>0.70881226053639845</v>
      </c>
      <c r="AI13" s="10">
        <v>0.69706028898854011</v>
      </c>
      <c r="AJ13" s="10">
        <v>0.75724158212027648</v>
      </c>
      <c r="AK13" s="10">
        <v>0.73044798785117693</v>
      </c>
      <c r="AL13" s="10">
        <v>0.68770521707406052</v>
      </c>
      <c r="AM13" s="10">
        <v>0.71492934671308617</v>
      </c>
      <c r="AN13" s="10">
        <v>0.71156893819334388</v>
      </c>
      <c r="AO13" s="10">
        <v>0.77445986298963643</v>
      </c>
      <c r="AP13" s="10">
        <v>0.72690259943626678</v>
      </c>
      <c r="AQ13" s="10">
        <v>0.70991699432066402</v>
      </c>
      <c r="AR13" s="10">
        <v>0.72104840866541853</v>
      </c>
      <c r="AS13" s="10">
        <v>0.71489361702127663</v>
      </c>
      <c r="AT13" s="10">
        <v>0.78348461368164712</v>
      </c>
      <c r="AU13" s="10">
        <v>0.7103017689906348</v>
      </c>
      <c r="AV13" s="10">
        <v>0.67775229357798161</v>
      </c>
      <c r="AW13" s="10">
        <v>0.69819193324061191</v>
      </c>
      <c r="AX13" s="10">
        <v>0.70386039132734002</v>
      </c>
      <c r="AY13" s="10">
        <v>0.77539114293290901</v>
      </c>
      <c r="AZ13" s="10">
        <v>0.70714285714285718</v>
      </c>
      <c r="BA13" s="10">
        <v>0.65642775881683735</v>
      </c>
      <c r="BB13" s="10">
        <v>0.69720101781170485</v>
      </c>
      <c r="BC13" s="10">
        <v>0.6966292134831461</v>
      </c>
      <c r="BD13" s="10">
        <v>0.7536916715888955</v>
      </c>
    </row>
    <row r="14" spans="1:56" x14ac:dyDescent="0.35">
      <c r="A14" s="4" t="s">
        <v>90</v>
      </c>
      <c r="B14" s="10">
        <v>1.61839863713799E-2</v>
      </c>
      <c r="C14" s="10">
        <v>2.7152831652443751E-2</v>
      </c>
      <c r="D14" s="10">
        <v>1.428571428571429E-2</v>
      </c>
      <c r="E14" s="10">
        <v>2.2761760242792108E-2</v>
      </c>
      <c r="F14" s="10">
        <v>2.9313992142641281E-2</v>
      </c>
      <c r="G14" s="10">
        <v>2.3628248884221579E-2</v>
      </c>
      <c r="H14" s="10">
        <v>2.2813688212927761E-2</v>
      </c>
      <c r="I14" s="10">
        <v>1.651722510618216E-2</v>
      </c>
      <c r="J14" s="10">
        <v>2.3703703703703699E-2</v>
      </c>
      <c r="K14" s="10">
        <v>2.87176570941143E-2</v>
      </c>
      <c r="L14" s="10">
        <v>0.19619517862329361</v>
      </c>
      <c r="M14" s="10">
        <v>0.21487603305785119</v>
      </c>
      <c r="N14" s="10">
        <v>0.17598637524836791</v>
      </c>
      <c r="O14" s="10">
        <v>0.21583271097834211</v>
      </c>
      <c r="P14" s="10">
        <v>0.25605844618674273</v>
      </c>
      <c r="Q14" s="10">
        <v>0.16197476078213841</v>
      </c>
      <c r="R14" s="10">
        <v>0.1964285714285714</v>
      </c>
      <c r="S14" s="10">
        <v>0.16319363146804031</v>
      </c>
      <c r="T14" s="10">
        <v>0.21346270466949671</v>
      </c>
      <c r="U14" s="10">
        <v>0.25480667652651601</v>
      </c>
      <c r="V14" s="10">
        <v>0.16072085325487309</v>
      </c>
      <c r="W14" s="10">
        <v>0.1784181483752299</v>
      </c>
      <c r="X14" s="10">
        <v>0.16666666666666671</v>
      </c>
      <c r="Y14" s="10">
        <v>0.22495274102079399</v>
      </c>
      <c r="Z14" s="10">
        <v>0.25917808219178079</v>
      </c>
      <c r="AA14" s="10">
        <v>0.1771954182575495</v>
      </c>
      <c r="AB14" s="10">
        <v>0.20087064676616909</v>
      </c>
      <c r="AC14" s="10">
        <v>0.2009584664536741</v>
      </c>
      <c r="AD14" s="10">
        <v>0.2359550561797753</v>
      </c>
      <c r="AE14" s="10">
        <v>0.27472250252270441</v>
      </c>
      <c r="AF14" s="10">
        <v>0.19045952880802419</v>
      </c>
      <c r="AG14" s="10">
        <v>0.2177161152614728</v>
      </c>
      <c r="AH14" s="10">
        <v>0.20810647307924979</v>
      </c>
      <c r="AI14" s="10">
        <v>0.26208271051320381</v>
      </c>
      <c r="AJ14" s="10">
        <v>0.28319364799294222</v>
      </c>
      <c r="AK14" s="10">
        <v>0.13920526449000251</v>
      </c>
      <c r="AL14" s="10">
        <v>0.1601605253557096</v>
      </c>
      <c r="AM14" s="10">
        <v>0.15809952897808721</v>
      </c>
      <c r="AN14" s="10">
        <v>0.23454833597464339</v>
      </c>
      <c r="AO14" s="10">
        <v>0.24047075355699979</v>
      </c>
      <c r="AP14" s="10">
        <v>0.14735358596930789</v>
      </c>
      <c r="AQ14" s="10">
        <v>0.17125382262996941</v>
      </c>
      <c r="AR14" s="10">
        <v>0.16581973789783361</v>
      </c>
      <c r="AS14" s="10">
        <v>0.20159574468085109</v>
      </c>
      <c r="AT14" s="10">
        <v>0.23378348461368159</v>
      </c>
      <c r="AU14" s="10">
        <v>0.11009365244536939</v>
      </c>
      <c r="AV14" s="10">
        <v>0.13016055045871561</v>
      </c>
      <c r="AW14" s="10">
        <v>0.1342141863699583</v>
      </c>
      <c r="AX14" s="10">
        <v>0.20306716023268109</v>
      </c>
      <c r="AY14" s="10">
        <v>0.18801378944577041</v>
      </c>
      <c r="AZ14" s="10">
        <v>0.1055555555555556</v>
      </c>
      <c r="BA14" s="10">
        <v>0.13538111490329921</v>
      </c>
      <c r="BB14" s="10">
        <v>0.13358778625954201</v>
      </c>
      <c r="BC14" s="10">
        <v>0.18794688457609809</v>
      </c>
      <c r="BD14" s="10">
        <v>0.17365623154164209</v>
      </c>
    </row>
    <row r="15" spans="1:56" x14ac:dyDescent="0.35">
      <c r="A15" s="4" t="s">
        <v>91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0">
        <v>1</v>
      </c>
      <c r="W15" s="10">
        <v>1</v>
      </c>
      <c r="X15" s="10">
        <v>1</v>
      </c>
      <c r="Y15" s="10">
        <v>1</v>
      </c>
      <c r="Z15" s="10">
        <v>1</v>
      </c>
      <c r="AA15" s="10">
        <v>1</v>
      </c>
      <c r="AB15" s="10">
        <v>1</v>
      </c>
      <c r="AC15" s="10">
        <v>1</v>
      </c>
      <c r="AD15" s="10">
        <v>1</v>
      </c>
      <c r="AE15" s="10">
        <v>1</v>
      </c>
      <c r="AF15" s="10">
        <v>1</v>
      </c>
      <c r="AG15" s="10">
        <v>1</v>
      </c>
      <c r="AH15" s="10">
        <v>1</v>
      </c>
      <c r="AI15" s="10">
        <v>1</v>
      </c>
      <c r="AJ15" s="10">
        <v>1</v>
      </c>
      <c r="AK15" s="10">
        <v>1</v>
      </c>
      <c r="AL15" s="10">
        <v>1</v>
      </c>
      <c r="AM15" s="10">
        <v>1</v>
      </c>
      <c r="AN15" s="10">
        <v>1</v>
      </c>
      <c r="AO15" s="10">
        <v>1</v>
      </c>
      <c r="AP15" s="10">
        <v>1</v>
      </c>
      <c r="AQ15" s="10">
        <v>1</v>
      </c>
      <c r="AR15" s="10">
        <v>1</v>
      </c>
      <c r="AS15" s="10">
        <v>1</v>
      </c>
      <c r="AT15" s="10">
        <v>1</v>
      </c>
      <c r="AU15" s="10">
        <v>1</v>
      </c>
      <c r="AV15" s="10">
        <v>1</v>
      </c>
      <c r="AW15" s="10">
        <v>1</v>
      </c>
      <c r="AX15" s="10">
        <v>1</v>
      </c>
      <c r="AY15" s="10">
        <v>1</v>
      </c>
      <c r="AZ15" s="10">
        <v>1</v>
      </c>
      <c r="BA15" s="10">
        <v>1</v>
      </c>
      <c r="BB15" s="10">
        <v>1</v>
      </c>
      <c r="BC15" s="10">
        <v>1</v>
      </c>
      <c r="BD15" s="10">
        <v>1</v>
      </c>
    </row>
    <row r="16" spans="1:56" x14ac:dyDescent="0.35">
      <c r="A16" s="4" t="s">
        <v>92</v>
      </c>
      <c r="B16" s="1">
        <v>5.2810902896081771E-2</v>
      </c>
      <c r="C16" s="1">
        <v>5.4305663304887508E-2</v>
      </c>
      <c r="D16" s="1">
        <v>4.4285714285714282E-2</v>
      </c>
      <c r="E16" s="1">
        <v>2.8831562974203341E-2</v>
      </c>
      <c r="F16" s="1">
        <v>0</v>
      </c>
      <c r="G16" s="1">
        <v>4.463113678130743E-2</v>
      </c>
      <c r="H16" s="1">
        <v>4.1191381495564013E-2</v>
      </c>
      <c r="I16" s="1">
        <v>3.303445021236432E-2</v>
      </c>
      <c r="J16" s="1">
        <v>1.7777777777777781E-2</v>
      </c>
      <c r="K16" s="1">
        <v>0</v>
      </c>
      <c r="L16" s="1">
        <v>4.3857101365088587E-2</v>
      </c>
      <c r="M16" s="1">
        <v>5.2735143644234553E-2</v>
      </c>
      <c r="N16" s="1">
        <v>3.9455009934714728E-2</v>
      </c>
      <c r="O16" s="1">
        <v>4.2569081404032857E-2</v>
      </c>
      <c r="P16" s="1">
        <v>0</v>
      </c>
      <c r="Q16" s="1">
        <v>5.1033143808071002E-2</v>
      </c>
      <c r="R16" s="1">
        <v>6.0540069686411152E-2</v>
      </c>
      <c r="S16" s="1">
        <v>4.1442285179114961E-2</v>
      </c>
      <c r="T16" s="1">
        <v>5.7004244996967858E-2</v>
      </c>
      <c r="U16" s="1">
        <v>0</v>
      </c>
      <c r="V16" s="10">
        <v>5.3512320706141973E-2</v>
      </c>
      <c r="W16" s="10">
        <v>5.2728387492335993E-2</v>
      </c>
      <c r="X16" s="10">
        <v>4.4699872286079183E-2</v>
      </c>
      <c r="Y16" s="10">
        <v>5.4820415879017023E-2</v>
      </c>
      <c r="Z16" s="10">
        <v>0</v>
      </c>
      <c r="AA16" s="10">
        <v>5.189170426935092E-2</v>
      </c>
      <c r="AB16" s="10">
        <v>5.6592039800995017E-2</v>
      </c>
      <c r="AC16" s="10">
        <v>4.3769968051118213E-2</v>
      </c>
      <c r="AD16" s="10">
        <v>4.8008171603677222E-2</v>
      </c>
      <c r="AE16" s="10">
        <v>0</v>
      </c>
      <c r="AF16" s="10">
        <v>5.5633310006997901E-2</v>
      </c>
      <c r="AG16" s="10">
        <v>5.4073283528993238E-2</v>
      </c>
      <c r="AH16" s="10">
        <v>4.7388586408550107E-2</v>
      </c>
      <c r="AI16" s="10">
        <v>4.5341305430991533E-2</v>
      </c>
      <c r="AJ16" s="10">
        <v>0</v>
      </c>
      <c r="AK16" s="10">
        <v>4.4672234877246267E-2</v>
      </c>
      <c r="AL16" s="10">
        <v>5.8372856621670917E-2</v>
      </c>
      <c r="AM16" s="10">
        <v>3.8091337292647957E-2</v>
      </c>
      <c r="AN16" s="10">
        <v>5.4410987849973592E-2</v>
      </c>
      <c r="AO16" s="10">
        <v>0</v>
      </c>
      <c r="AP16" s="10">
        <v>4.1340432195427497E-2</v>
      </c>
      <c r="AQ16" s="10">
        <v>5.0677151594582789E-2</v>
      </c>
      <c r="AR16" s="10">
        <v>4.0652580903985019E-2</v>
      </c>
      <c r="AS16" s="10">
        <v>5.0531914893617018E-2</v>
      </c>
      <c r="AT16" s="10">
        <v>0</v>
      </c>
      <c r="AU16" s="10">
        <v>3.7252861602497397E-2</v>
      </c>
      <c r="AV16" s="10">
        <v>4.3004587155963302E-2</v>
      </c>
      <c r="AW16" s="10">
        <v>4.1029207232267037E-2</v>
      </c>
      <c r="AX16" s="10">
        <v>4.4949762030671601E-2</v>
      </c>
      <c r="AY16" s="10">
        <v>0</v>
      </c>
      <c r="AZ16" s="10">
        <v>4.1666666666666657E-2</v>
      </c>
      <c r="BA16" s="10">
        <v>3.981797497155859E-2</v>
      </c>
      <c r="BB16" s="10">
        <v>4.1984732824427481E-2</v>
      </c>
      <c r="BC16" s="10">
        <v>3.5750766087844742E-2</v>
      </c>
      <c r="BD16" s="10">
        <v>0</v>
      </c>
    </row>
    <row r="17" spans="1:56" x14ac:dyDescent="0.35">
      <c r="A17" s="210" t="s">
        <v>93</v>
      </c>
      <c r="B17" s="211">
        <v>9.5826235093696796E-2</v>
      </c>
      <c r="C17" s="211">
        <v>6.5166795965865013E-2</v>
      </c>
      <c r="D17" s="211">
        <v>7.1428571428571425E-2</v>
      </c>
      <c r="E17" s="211">
        <v>7.5872534142640363E-2</v>
      </c>
      <c r="F17" s="211">
        <v>9.5194922937443333E-2</v>
      </c>
      <c r="G17" s="211">
        <v>0.1136781307429772</v>
      </c>
      <c r="H17" s="211">
        <v>7.731305449936629E-2</v>
      </c>
      <c r="I17" s="211">
        <v>7.1731949032562525E-2</v>
      </c>
      <c r="J17" s="211">
        <v>5.7777777777777782E-2</v>
      </c>
      <c r="K17" s="211">
        <v>0.1074779641740119</v>
      </c>
      <c r="L17" s="211">
        <v>0.16947429567237871</v>
      </c>
      <c r="M17" s="211">
        <v>0.1078315623770169</v>
      </c>
      <c r="N17" s="211">
        <v>0.1319897814362759</v>
      </c>
      <c r="O17" s="211">
        <v>0.1127707244212099</v>
      </c>
      <c r="P17" s="211">
        <v>0.16233071988595871</v>
      </c>
      <c r="Q17" s="211">
        <v>0.12910830675357091</v>
      </c>
      <c r="R17" s="211">
        <v>9.7125435540069679E-2</v>
      </c>
      <c r="S17" s="211">
        <v>0.1023179583235776</v>
      </c>
      <c r="T17" s="211">
        <v>9.4602789569436019E-2</v>
      </c>
      <c r="U17" s="211">
        <v>0.13564335516585671</v>
      </c>
      <c r="V17" s="212">
        <v>0.1083118793674145</v>
      </c>
      <c r="W17" s="212">
        <v>9.6873083997547516E-2</v>
      </c>
      <c r="X17" s="212">
        <v>9.8339719029374204E-2</v>
      </c>
      <c r="Y17" s="212">
        <v>8.9792060491493381E-2</v>
      </c>
      <c r="Z17" s="212">
        <v>0.13479452054794519</v>
      </c>
      <c r="AA17" s="212">
        <v>0.12582436653939599</v>
      </c>
      <c r="AB17" s="212">
        <v>0.12935323383084579</v>
      </c>
      <c r="AC17" s="212">
        <v>0.1217252396166134</v>
      </c>
      <c r="AD17" s="212">
        <v>0.14402451481103171</v>
      </c>
      <c r="AE17" s="212">
        <v>0.17230070635721489</v>
      </c>
      <c r="AF17" s="212">
        <v>0.21308607417774669</v>
      </c>
      <c r="AG17" s="212">
        <v>0.1725364638918534</v>
      </c>
      <c r="AH17" s="212">
        <v>0.18249647106271419</v>
      </c>
      <c r="AI17" s="212">
        <v>0.22720478325859489</v>
      </c>
      <c r="AJ17" s="212">
        <v>0.25922658432583451</v>
      </c>
      <c r="AK17" s="212">
        <v>0.14527967603138439</v>
      </c>
      <c r="AL17" s="212">
        <v>0.11492156147391459</v>
      </c>
      <c r="AM17" s="212">
        <v>0.12328486586115089</v>
      </c>
      <c r="AN17" s="212">
        <v>0.16481774960380349</v>
      </c>
      <c r="AO17" s="212">
        <v>0.1900579659230634</v>
      </c>
      <c r="AP17" s="212">
        <v>0.1554963983714375</v>
      </c>
      <c r="AQ17" s="212">
        <v>0.12975098296199211</v>
      </c>
      <c r="AR17" s="212">
        <v>0.1350628510296871</v>
      </c>
      <c r="AS17" s="212">
        <v>0.18191489361702129</v>
      </c>
      <c r="AT17" s="212">
        <v>0.18729245074164269</v>
      </c>
      <c r="AU17" s="212">
        <v>0.1317377731529657</v>
      </c>
      <c r="AV17" s="212">
        <v>0.12327981651376151</v>
      </c>
      <c r="AW17" s="212">
        <v>0.1182197496522949</v>
      </c>
      <c r="AX17" s="212">
        <v>0.18085668958223161</v>
      </c>
      <c r="AY17" s="212">
        <v>0.1646778042959427</v>
      </c>
      <c r="AZ17" s="212">
        <v>8.8888888888888892E-2</v>
      </c>
      <c r="BA17" s="212">
        <v>8.987485779294653E-2</v>
      </c>
      <c r="BB17" s="212">
        <v>8.5241730279898217E-2</v>
      </c>
      <c r="BC17" s="212">
        <v>0.1103166496424923</v>
      </c>
      <c r="BD17" s="212">
        <v>0.1157708210277614</v>
      </c>
    </row>
    <row r="18" spans="1:56" x14ac:dyDescent="0.35">
      <c r="A18" s="4" t="s">
        <v>94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1.049685094471658E-2</v>
      </c>
      <c r="AG18" s="10">
        <v>1.422981145499822E-2</v>
      </c>
      <c r="AH18" s="10">
        <v>1.0082677959265981E-2</v>
      </c>
      <c r="AI18" s="10">
        <v>6.9755854509217742E-3</v>
      </c>
      <c r="AJ18" s="10">
        <v>5.5874136156447594E-3</v>
      </c>
      <c r="AK18" s="10">
        <v>1.354087572766388E-2</v>
      </c>
      <c r="AL18" s="10">
        <v>1.4228383801532289E-2</v>
      </c>
      <c r="AM18" s="10">
        <v>1.4540241654720461E-2</v>
      </c>
      <c r="AN18" s="10">
        <v>9.5087163232963554E-3</v>
      </c>
      <c r="AO18" s="10">
        <v>8.4314069910416296E-3</v>
      </c>
      <c r="AP18" s="10">
        <v>1.6755402442843719E-2</v>
      </c>
      <c r="AQ18" s="10">
        <v>1.135867190913062E-2</v>
      </c>
      <c r="AR18" s="10">
        <v>1.3372559507889809E-2</v>
      </c>
      <c r="AS18" s="10">
        <v>7.4468085106382982E-3</v>
      </c>
      <c r="AT18" s="10">
        <v>9.9623644011512073E-3</v>
      </c>
      <c r="AU18" s="10">
        <v>1.727367325702393E-2</v>
      </c>
      <c r="AV18" s="10">
        <v>1.834862385321101E-2</v>
      </c>
      <c r="AW18" s="10">
        <v>9.7357440890125171E-3</v>
      </c>
      <c r="AX18" s="10">
        <v>1.1634056054997359E-2</v>
      </c>
      <c r="AY18" s="10">
        <v>1.060726597719438E-2</v>
      </c>
      <c r="AZ18" s="10">
        <v>4.7619047619047623E-3</v>
      </c>
      <c r="BA18" s="10">
        <v>1.251422070534699E-2</v>
      </c>
      <c r="BB18" s="10">
        <v>3.1806615776081419E-3</v>
      </c>
      <c r="BC18" s="10">
        <v>3.06435137895812E-3</v>
      </c>
      <c r="BD18" s="10">
        <v>3.5440047253396342E-3</v>
      </c>
    </row>
    <row r="19" spans="1:56" x14ac:dyDescent="0.35">
      <c r="A19" s="4" t="s">
        <v>95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1.481222299976674E-2</v>
      </c>
      <c r="AG19" s="10">
        <v>2.2056207755247241E-2</v>
      </c>
      <c r="AH19" s="10">
        <v>1.7745513208308129E-2</v>
      </c>
      <c r="AI19" s="10">
        <v>1.444942700548082E-2</v>
      </c>
      <c r="AJ19" s="10">
        <v>1.2939273636229969E-2</v>
      </c>
      <c r="AK19" s="10">
        <v>1.5439129334345729E-2</v>
      </c>
      <c r="AL19" s="10">
        <v>2.1524990879241149E-2</v>
      </c>
      <c r="AM19" s="10">
        <v>1.863608437436003E-2</v>
      </c>
      <c r="AN19" s="10">
        <v>2.1130480718436349E-2</v>
      </c>
      <c r="AO19" s="10">
        <v>1.5633233795889691E-2</v>
      </c>
      <c r="AP19" s="10">
        <v>1.1587848418415279E-2</v>
      </c>
      <c r="AQ19" s="10">
        <v>1.8785495849716029E-2</v>
      </c>
      <c r="AR19" s="10">
        <v>1.658197378978336E-2</v>
      </c>
      <c r="AS19" s="10">
        <v>1.861702127659574E-2</v>
      </c>
      <c r="AT19" s="10">
        <v>1.416869603719283E-2</v>
      </c>
      <c r="AU19" s="10">
        <v>1.1030176899063481E-2</v>
      </c>
      <c r="AV19" s="10">
        <v>1.548165137614679E-2</v>
      </c>
      <c r="AW19" s="10">
        <v>1.495132127955494E-2</v>
      </c>
      <c r="AX19" s="10">
        <v>1.8508725542041249E-2</v>
      </c>
      <c r="AY19" s="10">
        <v>1.5645717316361711E-2</v>
      </c>
      <c r="AZ19" s="10">
        <v>4.3650793650793652E-3</v>
      </c>
      <c r="BA19" s="10">
        <v>1.4789533560864619E-2</v>
      </c>
      <c r="BB19" s="10">
        <v>5.0890585241730284E-3</v>
      </c>
      <c r="BC19" s="10">
        <v>3.06435137895812E-3</v>
      </c>
      <c r="BD19" s="10">
        <v>8.8600118133490852E-3</v>
      </c>
    </row>
    <row r="20" spans="1:56" x14ac:dyDescent="0.35">
      <c r="A20" s="4" t="s">
        <v>96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0">
        <v>1</v>
      </c>
      <c r="W20" s="10">
        <v>1</v>
      </c>
      <c r="X20" s="10">
        <v>1</v>
      </c>
      <c r="Y20" s="10">
        <v>1</v>
      </c>
      <c r="Z20" s="10">
        <v>1</v>
      </c>
      <c r="AA20" s="10">
        <v>1</v>
      </c>
      <c r="AB20" s="10">
        <v>1</v>
      </c>
      <c r="AC20" s="10">
        <v>1</v>
      </c>
      <c r="AD20" s="10">
        <v>1</v>
      </c>
      <c r="AE20" s="10">
        <v>1</v>
      </c>
      <c r="AF20" s="10">
        <v>0.97469092605551677</v>
      </c>
      <c r="AG20" s="10">
        <v>0.96371398078975457</v>
      </c>
      <c r="AH20" s="10">
        <v>0.97217180883242593</v>
      </c>
      <c r="AI20" s="10">
        <v>0.9785749875435974</v>
      </c>
      <c r="AJ20" s="10">
        <v>0.98147331274812533</v>
      </c>
      <c r="AK20" s="10">
        <v>0.97101999493799029</v>
      </c>
      <c r="AL20" s="10">
        <v>0.96424662531922656</v>
      </c>
      <c r="AM20" s="10">
        <v>0.96682367397091951</v>
      </c>
      <c r="AN20" s="10">
        <v>0.96936080295826732</v>
      </c>
      <c r="AO20" s="10">
        <v>0.97593535921306873</v>
      </c>
      <c r="AP20" s="10">
        <v>0.971656749138741</v>
      </c>
      <c r="AQ20" s="10">
        <v>0.96985583224115335</v>
      </c>
      <c r="AR20" s="10">
        <v>0.97004546670232683</v>
      </c>
      <c r="AS20" s="10">
        <v>0.97393617021276602</v>
      </c>
      <c r="AT20" s="10">
        <v>0.97586893956165599</v>
      </c>
      <c r="AU20" s="10">
        <v>0.97169614984391262</v>
      </c>
      <c r="AV20" s="10">
        <v>0.96616972477064222</v>
      </c>
      <c r="AW20" s="10">
        <v>0.97531293463143254</v>
      </c>
      <c r="AX20" s="10">
        <v>0.96985721840296146</v>
      </c>
      <c r="AY20" s="10">
        <v>0.97374701670644392</v>
      </c>
      <c r="AZ20" s="10">
        <v>0.99087301587301591</v>
      </c>
      <c r="BA20" s="10">
        <v>0.97269624573378832</v>
      </c>
      <c r="BB20" s="10">
        <v>0.99173027989821882</v>
      </c>
      <c r="BC20" s="10">
        <v>0.99387129724208378</v>
      </c>
      <c r="BD20" s="10">
        <v>0.98759598346131128</v>
      </c>
    </row>
    <row r="21" spans="1:56" x14ac:dyDescent="0.35">
      <c r="A21" s="4" t="s">
        <v>97</v>
      </c>
      <c r="B21" s="1">
        <v>2.1294718909710391E-2</v>
      </c>
      <c r="C21" s="1">
        <v>2.482544608223429E-2</v>
      </c>
      <c r="D21" s="1">
        <v>1.2142857142857139E-2</v>
      </c>
      <c r="E21" s="1">
        <v>1.3657056145675269E-2</v>
      </c>
      <c r="F21" s="1">
        <v>2.1154427319431849E-2</v>
      </c>
      <c r="G21" s="1">
        <v>1.864006300866369E-2</v>
      </c>
      <c r="H21" s="1">
        <v>1.5842839036755391E-2</v>
      </c>
      <c r="I21" s="1">
        <v>2.076451156205757E-2</v>
      </c>
      <c r="J21" s="1">
        <v>1.4814814814814821E-2</v>
      </c>
      <c r="K21" s="1">
        <v>1.9618993460335511E-2</v>
      </c>
      <c r="L21" s="1">
        <v>1.8443218123729309E-2</v>
      </c>
      <c r="M21" s="1">
        <v>2.282565918929555E-2</v>
      </c>
      <c r="N21" s="1">
        <v>1.8450184501845018E-2</v>
      </c>
      <c r="O21" s="1">
        <v>2.1657953696788652E-2</v>
      </c>
      <c r="P21" s="1">
        <v>1.5680684248039919E-2</v>
      </c>
      <c r="Q21" s="1">
        <v>1.8860074885591459E-2</v>
      </c>
      <c r="R21" s="1">
        <v>2.482578397212544E-2</v>
      </c>
      <c r="S21" s="1">
        <v>2.2477171622570829E-2</v>
      </c>
      <c r="T21" s="1">
        <v>2.6682838083687078E-2</v>
      </c>
      <c r="U21" s="1">
        <v>1.5846186351151492E-2</v>
      </c>
      <c r="V21" s="10">
        <v>2.0963589554983449E-2</v>
      </c>
      <c r="W21" s="10">
        <v>3.0656039239730232E-2</v>
      </c>
      <c r="X21" s="10">
        <v>2.2669220945083019E-2</v>
      </c>
      <c r="Y21" s="10">
        <v>1.9848771266540641E-2</v>
      </c>
      <c r="Z21" s="10">
        <v>1.9178082191780819E-2</v>
      </c>
      <c r="AA21" s="10">
        <v>1.9090593543908369E-2</v>
      </c>
      <c r="AB21" s="10">
        <v>1.9278606965174128E-2</v>
      </c>
      <c r="AC21" s="10">
        <v>2.07667731629393E-2</v>
      </c>
      <c r="AD21" s="10">
        <v>3.472931562819203E-2</v>
      </c>
      <c r="AE21" s="10">
        <v>1.7911200807265389E-2</v>
      </c>
      <c r="AF21" s="10">
        <v>2.0877070212269651E-2</v>
      </c>
      <c r="AG21" s="10">
        <v>2.098897189612238E-2</v>
      </c>
      <c r="AH21" s="10">
        <v>2.0971970155273242E-2</v>
      </c>
      <c r="AI21" s="10">
        <v>1.893373193821624E-2</v>
      </c>
      <c r="AJ21" s="10">
        <v>1.5144831642405531E-2</v>
      </c>
      <c r="AK21" s="10">
        <v>1.999493799038218E-2</v>
      </c>
      <c r="AL21" s="10">
        <v>2.0430499817584821E-2</v>
      </c>
      <c r="AM21" s="10">
        <v>1.925046078230596E-2</v>
      </c>
      <c r="AN21" s="10">
        <v>2.5356576862123611E-2</v>
      </c>
      <c r="AO21" s="10">
        <v>1.8795011417530299E-2</v>
      </c>
      <c r="AP21" s="10">
        <v>2.0357031005324148E-2</v>
      </c>
      <c r="AQ21" s="10">
        <v>2.664919178680647E-2</v>
      </c>
      <c r="AR21" s="10">
        <v>2.5942765445306229E-2</v>
      </c>
      <c r="AS21" s="10">
        <v>2.3936170212765961E-2</v>
      </c>
      <c r="AT21" s="10">
        <v>1.6825326544166481E-2</v>
      </c>
      <c r="AU21" s="10">
        <v>2.601456815816857E-2</v>
      </c>
      <c r="AV21" s="10">
        <v>2.5229357798165139E-2</v>
      </c>
      <c r="AW21" s="10">
        <v>1.842837273991655E-2</v>
      </c>
      <c r="AX21" s="10">
        <v>2.2210470650449499E-2</v>
      </c>
      <c r="AY21" s="10">
        <v>1.8827897109520021E-2</v>
      </c>
      <c r="AZ21" s="10">
        <v>1.150793650793651E-2</v>
      </c>
      <c r="BA21" s="10">
        <v>9.1012514220705342E-3</v>
      </c>
      <c r="BB21" s="10">
        <v>1.33587786259542E-2</v>
      </c>
      <c r="BC21" s="10">
        <v>1.634320735444331E-2</v>
      </c>
      <c r="BD21" s="10">
        <v>1.2404016538688721E-2</v>
      </c>
    </row>
    <row r="22" spans="1:56" x14ac:dyDescent="0.35">
      <c r="A22" s="4" t="s">
        <v>98</v>
      </c>
      <c r="B22" s="1">
        <v>1.007478705281091</v>
      </c>
      <c r="C22" s="1">
        <v>1.011466252909232</v>
      </c>
      <c r="D22" s="1">
        <v>1.0089571428571431</v>
      </c>
      <c r="E22" s="1">
        <v>0.99509863429438539</v>
      </c>
      <c r="F22" s="1">
        <v>1.004170444242974</v>
      </c>
      <c r="G22" s="1">
        <v>1.0038934103439221</v>
      </c>
      <c r="H22" s="1">
        <v>1.0154752851711031</v>
      </c>
      <c r="I22" s="1">
        <v>1.017862199150543</v>
      </c>
      <c r="J22" s="1">
        <v>1.005125925925926</v>
      </c>
      <c r="K22" s="1">
        <v>0.99352573215808937</v>
      </c>
      <c r="L22" s="1">
        <v>0.99946267789718268</v>
      </c>
      <c r="M22" s="1">
        <v>1.0019165682802049</v>
      </c>
      <c r="N22" s="1">
        <v>1.010184501845018</v>
      </c>
      <c r="O22" s="1">
        <v>0.99893203883495163</v>
      </c>
      <c r="P22" s="1">
        <v>0.98619743406985028</v>
      </c>
      <c r="Q22" s="1">
        <v>0.99368742199417559</v>
      </c>
      <c r="R22" s="1">
        <v>1.0074608013937281</v>
      </c>
      <c r="S22" s="1">
        <v>1.0129665183797709</v>
      </c>
      <c r="T22" s="1">
        <v>0.99130988477865378</v>
      </c>
      <c r="U22" s="1">
        <v>0.98650327487851253</v>
      </c>
      <c r="V22" s="10">
        <v>0.99722140492828248</v>
      </c>
      <c r="W22" s="10">
        <v>1.004175352544451</v>
      </c>
      <c r="X22" s="10">
        <v>1.0066155810983399</v>
      </c>
      <c r="Y22" s="10">
        <v>0.98942344045368613</v>
      </c>
      <c r="Z22" s="10">
        <v>0.98801917808219175</v>
      </c>
      <c r="AA22" s="10">
        <v>0.99625997917389808</v>
      </c>
      <c r="AB22" s="10">
        <v>0.99943407960199016</v>
      </c>
      <c r="AC22" s="10">
        <v>1.004466453674121</v>
      </c>
      <c r="AD22" s="10">
        <v>0.98312563840653733</v>
      </c>
      <c r="AE22" s="10">
        <v>0.99189959636730585</v>
      </c>
      <c r="AF22" s="10">
        <v>1.0027315138791699</v>
      </c>
      <c r="AG22" s="10">
        <v>0.99371753824261833</v>
      </c>
      <c r="AH22" s="10">
        <v>0.99172615446662638</v>
      </c>
      <c r="AI22" s="10">
        <v>0.99033881415047342</v>
      </c>
      <c r="AJ22" s="10">
        <v>0.99982943684752246</v>
      </c>
      <c r="AK22" s="10">
        <v>0.99888635788407998</v>
      </c>
      <c r="AL22" s="10">
        <v>0.98674206493980299</v>
      </c>
      <c r="AM22" s="10">
        <v>0.99047306983411842</v>
      </c>
      <c r="AN22" s="10">
        <v>0.9912097200211305</v>
      </c>
      <c r="AO22" s="10">
        <v>0.99383102055155459</v>
      </c>
      <c r="AP22" s="10">
        <v>0.99015189476980903</v>
      </c>
      <c r="AQ22" s="10">
        <v>0.98099606815203144</v>
      </c>
      <c r="AR22" s="10">
        <v>0.98321476330569679</v>
      </c>
      <c r="AS22" s="10">
        <v>0.98831914893617023</v>
      </c>
      <c r="AT22" s="10">
        <v>0.99330086340491475</v>
      </c>
      <c r="AU22" s="10">
        <v>0.99287617065556721</v>
      </c>
      <c r="AV22" s="10">
        <v>0.98639334862385319</v>
      </c>
      <c r="AW22" s="10">
        <v>0.9861543810848401</v>
      </c>
      <c r="AX22" s="10">
        <v>0.99207826546800637</v>
      </c>
      <c r="AY22" s="10">
        <v>0.99865287722089624</v>
      </c>
      <c r="AZ22" s="10">
        <v>0.99707936507936523</v>
      </c>
      <c r="BA22" s="10">
        <v>0.9873720136518771</v>
      </c>
      <c r="BB22" s="10">
        <v>0.99031170483460562</v>
      </c>
      <c r="BC22" s="10">
        <v>0.99533197139938712</v>
      </c>
      <c r="BD22" s="10">
        <v>0.99417011222681639</v>
      </c>
    </row>
    <row r="23" spans="1:56" x14ac:dyDescent="0.35">
      <c r="A23" s="4" t="s">
        <v>99</v>
      </c>
      <c r="B23" s="1">
        <v>2.6405451448040889E-2</v>
      </c>
      <c r="C23" s="1">
        <v>1.9394879751745541E-2</v>
      </c>
      <c r="D23" s="1">
        <v>2.1428571428571429E-2</v>
      </c>
      <c r="E23" s="1">
        <v>2.7314112291350529E-2</v>
      </c>
      <c r="F23" s="1">
        <v>1.2390450287095799E-2</v>
      </c>
      <c r="G23" s="1">
        <v>2.1265423995799421E-2</v>
      </c>
      <c r="H23" s="1">
        <v>2.2813688212927761E-2</v>
      </c>
      <c r="I23" s="1">
        <v>2.7843322321849929E-2</v>
      </c>
      <c r="J23" s="1">
        <v>1.6296296296296291E-2</v>
      </c>
      <c r="K23" s="1">
        <v>8.8143303952232018E-3</v>
      </c>
      <c r="L23" s="1">
        <v>2.1783328492593668E-2</v>
      </c>
      <c r="M23" s="1">
        <v>1.967729240456513E-2</v>
      </c>
      <c r="N23" s="1">
        <v>1.8166335509508941E-2</v>
      </c>
      <c r="O23" s="1">
        <v>1.4189693801344289E-2</v>
      </c>
      <c r="P23" s="1">
        <v>1.051318602993585E-2</v>
      </c>
      <c r="Q23" s="1">
        <v>3.1618360837609209E-2</v>
      </c>
      <c r="R23" s="1">
        <v>2.221254355400697E-2</v>
      </c>
      <c r="S23" s="1">
        <v>1.9901662374151249E-2</v>
      </c>
      <c r="T23" s="1">
        <v>1.758641600970285E-2</v>
      </c>
      <c r="U23" s="1">
        <v>1.0141559264736951E-2</v>
      </c>
      <c r="V23" s="10">
        <v>4.7995586612725273E-2</v>
      </c>
      <c r="W23" s="10">
        <v>2.3911710606989579E-2</v>
      </c>
      <c r="X23" s="10">
        <v>2.043422733077906E-2</v>
      </c>
      <c r="Y23" s="10">
        <v>1.13421550094518E-2</v>
      </c>
      <c r="Z23" s="10">
        <v>1.315068493150685E-2</v>
      </c>
      <c r="AA23" s="10">
        <v>6.2998958694897605E-2</v>
      </c>
      <c r="AB23" s="10">
        <v>2.36318407960199E-2</v>
      </c>
      <c r="AC23" s="10">
        <v>1.94888178913738E-2</v>
      </c>
      <c r="AD23" s="10">
        <v>1.634320735444331E-2</v>
      </c>
      <c r="AE23" s="10">
        <v>1.1856710393541881E-2</v>
      </c>
      <c r="AF23" s="10">
        <v>4.5836249125262421E-2</v>
      </c>
      <c r="AG23" s="10">
        <v>2.845962290999644E-2</v>
      </c>
      <c r="AH23" s="10">
        <v>2.1576930832829199E-2</v>
      </c>
      <c r="AI23" s="10">
        <v>1.9431988041853511E-2</v>
      </c>
      <c r="AJ23" s="10">
        <v>1.205705043375974E-2</v>
      </c>
      <c r="AK23" s="10">
        <v>5.3151100987091873E-2</v>
      </c>
      <c r="AL23" s="10">
        <v>3.2469901495804449E-2</v>
      </c>
      <c r="AM23" s="10">
        <v>2.4165472045873441E-2</v>
      </c>
      <c r="AN23" s="10">
        <v>2.165874273639725E-2</v>
      </c>
      <c r="AO23" s="10">
        <v>1.3701036360442649E-2</v>
      </c>
      <c r="AP23" s="10">
        <v>4.713435640463514E-2</v>
      </c>
      <c r="AQ23" s="10">
        <v>3.1891655744866763E-2</v>
      </c>
      <c r="AR23" s="10">
        <v>2.728002139609521E-2</v>
      </c>
      <c r="AS23" s="10">
        <v>3.0319148936170211E-2</v>
      </c>
      <c r="AT23" s="10">
        <v>1.5497011290679661E-2</v>
      </c>
      <c r="AU23" s="10">
        <v>5.1404786680541097E-2</v>
      </c>
      <c r="AV23" s="10">
        <v>2.8096330275229359E-2</v>
      </c>
      <c r="AW23" s="10">
        <v>2.7468706536856749E-2</v>
      </c>
      <c r="AX23" s="10">
        <v>2.6969857218402959E-2</v>
      </c>
      <c r="AY23" s="10">
        <v>1.511535401750199E-2</v>
      </c>
      <c r="AZ23" s="10">
        <v>4.96031746031746E-2</v>
      </c>
      <c r="BA23" s="10">
        <v>2.1615472127417521E-2</v>
      </c>
      <c r="BB23" s="10">
        <v>3.3078880407124679E-2</v>
      </c>
      <c r="BC23" s="10">
        <v>3.7793667007150152E-2</v>
      </c>
      <c r="BD23" s="10">
        <v>2.0673360897814529E-2</v>
      </c>
    </row>
    <row r="24" spans="1:56" x14ac:dyDescent="0.35">
      <c r="A24" s="4" t="s">
        <v>100</v>
      </c>
      <c r="B24" s="1">
        <v>0.9888426320272572</v>
      </c>
      <c r="C24" s="1">
        <v>1.0106283941039571</v>
      </c>
      <c r="D24" s="1">
        <v>0.97814285714285709</v>
      </c>
      <c r="E24" s="1">
        <v>0.9789074355083458</v>
      </c>
      <c r="F24" s="1">
        <v>1.0386974916893319</v>
      </c>
      <c r="G24" s="1">
        <v>1.0088980047256499</v>
      </c>
      <c r="H24" s="1">
        <v>1.00063371356147</v>
      </c>
      <c r="I24" s="1">
        <v>0.98312883435582821</v>
      </c>
      <c r="J24" s="1">
        <v>0.96940740740740727</v>
      </c>
      <c r="K24" s="1">
        <v>1.014728461757179</v>
      </c>
      <c r="L24" s="1">
        <v>1.0255522073772869</v>
      </c>
      <c r="M24" s="1">
        <v>0.99114521841794567</v>
      </c>
      <c r="N24" s="1">
        <v>0.97319046267385745</v>
      </c>
      <c r="O24" s="1">
        <v>0.95552651232262864</v>
      </c>
      <c r="P24" s="1">
        <v>1.0296418389166071</v>
      </c>
      <c r="Q24" s="1">
        <v>1.0233015531826379</v>
      </c>
      <c r="R24" s="1">
        <v>0.97724303135888502</v>
      </c>
      <c r="S24" s="1">
        <v>0.94198080074923907</v>
      </c>
      <c r="T24" s="1">
        <v>0.91743480897513641</v>
      </c>
      <c r="U24" s="1">
        <v>1.030530319036552</v>
      </c>
      <c r="V24" s="10">
        <v>1.0078751379183519</v>
      </c>
      <c r="W24" s="10">
        <v>0.99595340282035572</v>
      </c>
      <c r="X24" s="10">
        <v>0.94749361430395918</v>
      </c>
      <c r="Y24" s="10">
        <v>0.89215500945179571</v>
      </c>
      <c r="Z24" s="10">
        <v>1.0360410958904109</v>
      </c>
      <c r="AA24" s="10">
        <v>1.018992971190559</v>
      </c>
      <c r="AB24" s="10">
        <v>0.99225746268656712</v>
      </c>
      <c r="AC24" s="10">
        <v>0.95231629392971251</v>
      </c>
      <c r="AD24" s="10">
        <v>0.91537282941777309</v>
      </c>
      <c r="AE24" s="10">
        <v>1.01813824419778</v>
      </c>
      <c r="AF24" s="10">
        <v>0.99765920223932825</v>
      </c>
      <c r="AG24" s="10">
        <v>0.96775168979011039</v>
      </c>
      <c r="AH24" s="10">
        <v>0.95596188747731392</v>
      </c>
      <c r="AI24" s="10">
        <v>0.9053064275037368</v>
      </c>
      <c r="AJ24" s="10">
        <v>1.0278047345978529</v>
      </c>
      <c r="AK24" s="10">
        <v>0.99360763097949878</v>
      </c>
      <c r="AL24" s="10">
        <v>0.95512586647209052</v>
      </c>
      <c r="AM24" s="10">
        <v>0.97015615400368627</v>
      </c>
      <c r="AN24" s="10">
        <v>0.93074484944532476</v>
      </c>
      <c r="AO24" s="10">
        <v>1.022501317407343</v>
      </c>
      <c r="AP24" s="10">
        <v>0.97141050735984968</v>
      </c>
      <c r="AQ24" s="10">
        <v>0.93853211009174298</v>
      </c>
      <c r="AR24" s="10">
        <v>0.96277881786573949</v>
      </c>
      <c r="AS24" s="10">
        <v>0.90031914893617015</v>
      </c>
      <c r="AT24" s="10">
        <v>1.029267212751827</v>
      </c>
      <c r="AU24" s="10">
        <v>0.94254370447450586</v>
      </c>
      <c r="AV24" s="10">
        <v>0.93107798165137601</v>
      </c>
      <c r="AW24" s="10">
        <v>0.95377520862308762</v>
      </c>
      <c r="AX24" s="10">
        <v>0.96488630354309879</v>
      </c>
      <c r="AY24" s="10">
        <v>0.99284009546539376</v>
      </c>
      <c r="AZ24" s="10">
        <v>0.97932539682539688</v>
      </c>
      <c r="BA24" s="10">
        <v>1</v>
      </c>
      <c r="BB24" s="10">
        <v>0.99974554707379126</v>
      </c>
      <c r="BC24" s="10">
        <v>1</v>
      </c>
      <c r="BD24" s="10">
        <v>1</v>
      </c>
    </row>
    <row r="25" spans="1:56" x14ac:dyDescent="0.35">
      <c r="A25" s="4" t="s">
        <v>77</v>
      </c>
      <c r="B25" s="1">
        <v>2348</v>
      </c>
      <c r="C25" s="1">
        <v>1289</v>
      </c>
      <c r="D25" s="1">
        <v>1400</v>
      </c>
      <c r="E25" s="1">
        <v>659</v>
      </c>
      <c r="F25" s="1">
        <v>3309</v>
      </c>
      <c r="G25" s="1">
        <v>3809</v>
      </c>
      <c r="H25" s="1">
        <v>1578</v>
      </c>
      <c r="I25" s="1">
        <v>2119</v>
      </c>
      <c r="J25" s="1">
        <v>675</v>
      </c>
      <c r="K25" s="1">
        <v>3517</v>
      </c>
      <c r="L25" s="1">
        <v>6886</v>
      </c>
      <c r="M25" s="1">
        <v>2541</v>
      </c>
      <c r="N25" s="1">
        <v>3523</v>
      </c>
      <c r="O25" s="1">
        <v>1339</v>
      </c>
      <c r="P25" s="1">
        <v>5612</v>
      </c>
      <c r="Q25" s="1">
        <v>7211</v>
      </c>
      <c r="R25" s="1">
        <v>2296</v>
      </c>
      <c r="S25" s="1">
        <v>4271</v>
      </c>
      <c r="T25" s="1">
        <v>1649</v>
      </c>
      <c r="U25" s="1">
        <v>4733</v>
      </c>
      <c r="V25" s="1">
        <v>5438</v>
      </c>
      <c r="W25" s="1">
        <v>1631</v>
      </c>
      <c r="X25" s="1">
        <v>3132</v>
      </c>
      <c r="Y25" s="1">
        <v>1058</v>
      </c>
      <c r="Z25" s="1">
        <v>3650</v>
      </c>
      <c r="AA25" s="1">
        <v>5762</v>
      </c>
      <c r="AB25" s="1">
        <v>1608</v>
      </c>
      <c r="AC25" s="1">
        <v>3130</v>
      </c>
      <c r="AD25" s="1">
        <v>979</v>
      </c>
      <c r="AE25" s="1">
        <v>3964</v>
      </c>
      <c r="AF25" s="1">
        <v>8574</v>
      </c>
      <c r="AG25" s="1">
        <v>2811</v>
      </c>
      <c r="AH25" s="1">
        <v>4959</v>
      </c>
      <c r="AI25" s="1">
        <v>2007</v>
      </c>
      <c r="AJ25" s="1">
        <v>6801</v>
      </c>
      <c r="AK25" s="1">
        <v>7902</v>
      </c>
      <c r="AL25" s="1">
        <v>2741</v>
      </c>
      <c r="AM25" s="1">
        <v>4883</v>
      </c>
      <c r="AN25" s="1">
        <v>1893</v>
      </c>
      <c r="AO25" s="1">
        <v>5693</v>
      </c>
      <c r="AP25" s="1">
        <v>6386</v>
      </c>
      <c r="AQ25" s="1">
        <v>2289</v>
      </c>
      <c r="AR25" s="1">
        <v>3739</v>
      </c>
      <c r="AS25" s="1">
        <v>1880</v>
      </c>
      <c r="AT25" s="1">
        <v>4517</v>
      </c>
      <c r="AU25" s="1">
        <v>4805</v>
      </c>
      <c r="AV25" s="1">
        <v>1744</v>
      </c>
      <c r="AW25" s="1">
        <v>2876</v>
      </c>
      <c r="AX25" s="1">
        <v>1891</v>
      </c>
      <c r="AY25" s="1">
        <v>3771</v>
      </c>
      <c r="AZ25" s="1">
        <v>2520</v>
      </c>
      <c r="BA25" s="1">
        <v>879</v>
      </c>
      <c r="BB25" s="1">
        <v>1572</v>
      </c>
      <c r="BC25" s="1">
        <v>979</v>
      </c>
      <c r="BD25" s="1">
        <v>1693</v>
      </c>
    </row>
    <row r="28" spans="1:56" x14ac:dyDescent="0.35">
      <c r="B28" t="s">
        <v>0</v>
      </c>
      <c r="C28" t="s">
        <v>1</v>
      </c>
      <c r="D28" t="s">
        <v>2</v>
      </c>
      <c r="E28" t="s">
        <v>3</v>
      </c>
      <c r="F28" t="s">
        <v>4</v>
      </c>
    </row>
    <row r="29" spans="1:56" x14ac:dyDescent="0.35">
      <c r="A29" t="s">
        <v>152</v>
      </c>
      <c r="B29" s="209">
        <v>9.5826235093696796E-2</v>
      </c>
      <c r="C29" s="209">
        <v>6.5166795965865013E-2</v>
      </c>
      <c r="D29" s="209">
        <v>7.1428571428571425E-2</v>
      </c>
      <c r="E29" s="209">
        <v>7.5872534142640363E-2</v>
      </c>
      <c r="F29" s="209">
        <v>9.5194922937443333E-2</v>
      </c>
    </row>
    <row r="30" spans="1:56" x14ac:dyDescent="0.35">
      <c r="A30" t="s">
        <v>163</v>
      </c>
      <c r="B30" s="8">
        <v>0.12910830675357091</v>
      </c>
      <c r="C30" s="8">
        <v>9.7125435540069679E-2</v>
      </c>
      <c r="D30" s="8">
        <v>0.1023179583235776</v>
      </c>
      <c r="E30" s="8">
        <v>9.4602789569436019E-2</v>
      </c>
      <c r="F30" s="8">
        <v>0.13564335516585671</v>
      </c>
    </row>
    <row r="31" spans="1:56" x14ac:dyDescent="0.35">
      <c r="A31" t="s">
        <v>128</v>
      </c>
      <c r="B31" s="8">
        <v>0.21308607417774669</v>
      </c>
      <c r="C31" s="8">
        <v>0.1725364638918534</v>
      </c>
      <c r="D31" s="8">
        <v>0.18249647106271419</v>
      </c>
      <c r="E31" s="8">
        <v>0.22720478325859489</v>
      </c>
      <c r="F31" s="8">
        <v>0.25922658432583451</v>
      </c>
    </row>
    <row r="32" spans="1:56" x14ac:dyDescent="0.35">
      <c r="A32" t="s">
        <v>130</v>
      </c>
      <c r="B32" s="8">
        <v>0.1554963983714375</v>
      </c>
      <c r="C32" s="8">
        <v>0.12975098296199211</v>
      </c>
      <c r="D32" s="8">
        <v>0.1350628510296871</v>
      </c>
      <c r="E32" s="8">
        <v>0.18191489361702129</v>
      </c>
      <c r="F32" s="8">
        <v>0.18729245074164269</v>
      </c>
    </row>
    <row r="33" spans="1:12" x14ac:dyDescent="0.35">
      <c r="A33" t="s">
        <v>127</v>
      </c>
      <c r="B33" s="8">
        <v>8.8888888888888892E-2</v>
      </c>
      <c r="C33" s="8">
        <v>8.987485779294653E-2</v>
      </c>
      <c r="D33" s="8">
        <v>8.5241730279898217E-2</v>
      </c>
      <c r="E33" s="8">
        <v>0.1103166496424923</v>
      </c>
      <c r="F33" s="8">
        <v>0.1157708210277614</v>
      </c>
    </row>
    <row r="35" spans="1:12" x14ac:dyDescent="0.35">
      <c r="B35" t="s">
        <v>152</v>
      </c>
      <c r="C35" t="s">
        <v>163</v>
      </c>
      <c r="D35" t="s">
        <v>128</v>
      </c>
      <c r="E35" t="s">
        <v>130</v>
      </c>
      <c r="F35" t="s">
        <v>127</v>
      </c>
      <c r="H35" t="s">
        <v>152</v>
      </c>
      <c r="I35" t="s">
        <v>163</v>
      </c>
      <c r="J35" t="s">
        <v>128</v>
      </c>
      <c r="K35" t="s">
        <v>130</v>
      </c>
      <c r="L35" t="s">
        <v>127</v>
      </c>
    </row>
    <row r="36" spans="1:12" x14ac:dyDescent="0.35">
      <c r="A36" t="s">
        <v>149</v>
      </c>
      <c r="B36">
        <v>7.0929096082523402E-2</v>
      </c>
      <c r="C36">
        <v>5.8338772293575931E-2</v>
      </c>
      <c r="D36">
        <v>5.7133573729529832E-2</v>
      </c>
      <c r="E36">
        <v>6.230898939773824E-2</v>
      </c>
      <c r="F36">
        <v>5.0346189241560743E-2</v>
      </c>
      <c r="G36" t="s">
        <v>149</v>
      </c>
      <c r="H36">
        <f>B36/SUM(B$36:B$40)</f>
        <v>0.1261865009656446</v>
      </c>
      <c r="I36">
        <f t="shared" ref="I36:L40" si="0">C36/SUM(C$36:C$40)</f>
        <v>0.10331993071520952</v>
      </c>
      <c r="J36">
        <f t="shared" si="0"/>
        <v>0.10446651741185116</v>
      </c>
      <c r="K36">
        <f t="shared" si="0"/>
        <v>0.11539696163910253</v>
      </c>
      <c r="L36">
        <f t="shared" si="0"/>
        <v>0.11212406771052899</v>
      </c>
    </row>
    <row r="37" spans="1:12" x14ac:dyDescent="0.35">
      <c r="A37" t="s">
        <v>151</v>
      </c>
      <c r="B37">
        <v>0.1317305498686332</v>
      </c>
      <c r="C37">
        <v>0.19601918938864771</v>
      </c>
      <c r="D37">
        <v>0.17853916488824051</v>
      </c>
      <c r="E37">
        <v>0.1828477355565602</v>
      </c>
      <c r="F37">
        <v>0.14858860745563171</v>
      </c>
      <c r="G37" t="s">
        <v>151</v>
      </c>
      <c r="H37">
        <f t="shared" ref="H37:H40" si="1">B37/SUM(B$36:B$40)</f>
        <v>0.23435540668477392</v>
      </c>
      <c r="I37">
        <f t="shared" si="0"/>
        <v>0.34715658678193978</v>
      </c>
      <c r="J37">
        <f t="shared" si="0"/>
        <v>0.32645191889781389</v>
      </c>
      <c r="K37">
        <f t="shared" si="0"/>
        <v>0.33863609937770961</v>
      </c>
      <c r="L37">
        <f t="shared" si="0"/>
        <v>0.33091599055158177</v>
      </c>
    </row>
    <row r="38" spans="1:12" x14ac:dyDescent="0.35">
      <c r="A38" t="s">
        <v>153</v>
      </c>
      <c r="B38">
        <v>8.7174269311795435E-2</v>
      </c>
      <c r="C38">
        <v>0.12671234431625741</v>
      </c>
      <c r="D38">
        <v>0.11209916269303249</v>
      </c>
      <c r="E38">
        <v>0.11076504667552969</v>
      </c>
      <c r="F38">
        <v>9.685136044002278E-2</v>
      </c>
      <c r="G38" t="s">
        <v>153</v>
      </c>
      <c r="H38">
        <f t="shared" si="1"/>
        <v>0.15508749760315413</v>
      </c>
      <c r="I38">
        <f t="shared" si="0"/>
        <v>0.224411829745672</v>
      </c>
      <c r="J38">
        <f t="shared" si="0"/>
        <v>0.2049689590005975</v>
      </c>
      <c r="K38">
        <f t="shared" si="0"/>
        <v>0.20513813441232726</v>
      </c>
      <c r="L38">
        <f t="shared" si="0"/>
        <v>0.21569395140773756</v>
      </c>
    </row>
    <row r="39" spans="1:12" x14ac:dyDescent="0.35">
      <c r="A39" t="s">
        <v>155</v>
      </c>
      <c r="B39">
        <v>4.6925459706192968E-2</v>
      </c>
      <c r="C39">
        <v>4.7661721904924577E-2</v>
      </c>
      <c r="D39">
        <v>4.4575499491699422E-2</v>
      </c>
      <c r="E39">
        <v>5.24293847965282E-2</v>
      </c>
      <c r="F39">
        <v>5.4321767450083068E-2</v>
      </c>
      <c r="G39" t="s">
        <v>155</v>
      </c>
      <c r="H39">
        <f t="shared" si="1"/>
        <v>8.348280033964553E-2</v>
      </c>
      <c r="I39">
        <f t="shared" si="0"/>
        <v>8.4410514849429741E-2</v>
      </c>
      <c r="J39">
        <f t="shared" si="0"/>
        <v>8.1504567101580827E-2</v>
      </c>
      <c r="K39">
        <f t="shared" si="0"/>
        <v>9.7099820822103181E-2</v>
      </c>
      <c r="L39">
        <f t="shared" si="0"/>
        <v>0.12097792550902325</v>
      </c>
    </row>
    <row r="40" spans="1:12" x14ac:dyDescent="0.35">
      <c r="A40" t="s">
        <v>122</v>
      </c>
      <c r="B40">
        <v>0.22533796143163601</v>
      </c>
      <c r="C40">
        <v>0.13590997185151679</v>
      </c>
      <c r="D40">
        <v>0.15456059560638671</v>
      </c>
      <c r="E40">
        <v>0.13160230952889199</v>
      </c>
      <c r="F40">
        <v>9.8914219093214961E-2</v>
      </c>
      <c r="G40" t="s">
        <v>122</v>
      </c>
      <c r="H40">
        <f t="shared" si="1"/>
        <v>0.40088779440678191</v>
      </c>
      <c r="I40">
        <f t="shared" si="0"/>
        <v>0.24070113790774908</v>
      </c>
      <c r="J40">
        <f t="shared" si="0"/>
        <v>0.28260803758815661</v>
      </c>
      <c r="K40">
        <f t="shared" si="0"/>
        <v>0.24372898374875748</v>
      </c>
      <c r="L40">
        <f t="shared" si="0"/>
        <v>0.22028806482112848</v>
      </c>
    </row>
    <row r="41" spans="1:12" x14ac:dyDescent="0.35">
      <c r="A41" t="s">
        <v>199</v>
      </c>
      <c r="B41">
        <v>0.43790266359921892</v>
      </c>
      <c r="C41">
        <v>0.4353580002450777</v>
      </c>
      <c r="D41">
        <v>0.45309200359111113</v>
      </c>
      <c r="E41">
        <v>0.4600465340447516</v>
      </c>
      <c r="F41">
        <v>0.55097785631948659</v>
      </c>
      <c r="H41">
        <f>SUM(H36:H40)</f>
        <v>1</v>
      </c>
      <c r="I41">
        <f t="shared" ref="I41:L41" si="2">SUM(I36:I40)</f>
        <v>1.0000000000000002</v>
      </c>
      <c r="J41">
        <f t="shared" si="2"/>
        <v>1</v>
      </c>
      <c r="K41">
        <f t="shared" si="2"/>
        <v>1</v>
      </c>
      <c r="L41">
        <f t="shared" si="2"/>
        <v>1.0000000000000002</v>
      </c>
    </row>
    <row r="43" spans="1:12" x14ac:dyDescent="0.35">
      <c r="H43" t="s">
        <v>152</v>
      </c>
      <c r="I43" t="s">
        <v>163</v>
      </c>
      <c r="J43" t="s">
        <v>128</v>
      </c>
      <c r="K43" t="s">
        <v>130</v>
      </c>
      <c r="L43" t="s">
        <v>127</v>
      </c>
    </row>
    <row r="44" spans="1:12" x14ac:dyDescent="0.35">
      <c r="G44" t="s">
        <v>1</v>
      </c>
      <c r="H44" s="209">
        <v>6.5166795965865013E-2</v>
      </c>
      <c r="I44" s="8">
        <v>9.7125435540069679E-2</v>
      </c>
      <c r="J44" s="8">
        <v>0.1725364638918534</v>
      </c>
      <c r="K44" s="8">
        <v>0.12975098296199211</v>
      </c>
      <c r="L44" s="8">
        <v>8.987485779294653E-2</v>
      </c>
    </row>
    <row r="45" spans="1:12" x14ac:dyDescent="0.35">
      <c r="G45" t="s">
        <v>0</v>
      </c>
      <c r="H45" s="209">
        <v>9.5826235093696796E-2</v>
      </c>
      <c r="I45" s="8">
        <v>0.12910830675357091</v>
      </c>
      <c r="J45" s="8">
        <v>0.21308607417774669</v>
      </c>
      <c r="K45" s="8">
        <v>0.1554963983714375</v>
      </c>
      <c r="L45" s="8">
        <v>8.8888888888888892E-2</v>
      </c>
    </row>
    <row r="46" spans="1:12" x14ac:dyDescent="0.35">
      <c r="G46" t="s">
        <v>2</v>
      </c>
      <c r="H46" s="209">
        <v>7.1428571428571425E-2</v>
      </c>
      <c r="I46" s="8">
        <v>0.1023179583235776</v>
      </c>
      <c r="J46" s="8">
        <v>0.18249647106271419</v>
      </c>
      <c r="K46" s="8">
        <v>0.1350628510296871</v>
      </c>
      <c r="L46" s="8">
        <v>8.5241730279898217E-2</v>
      </c>
    </row>
    <row r="47" spans="1:12" x14ac:dyDescent="0.35">
      <c r="G47" t="s">
        <v>3</v>
      </c>
      <c r="H47" s="209">
        <v>7.5872534142640363E-2</v>
      </c>
      <c r="I47" s="8">
        <v>9.4602789569436019E-2</v>
      </c>
      <c r="J47" s="8">
        <v>0.22720478325859489</v>
      </c>
      <c r="K47" s="8">
        <v>0.18191489361702129</v>
      </c>
      <c r="L47" s="8">
        <v>0.1103166496424923</v>
      </c>
    </row>
    <row r="48" spans="1:12" x14ac:dyDescent="0.35">
      <c r="G48" t="s">
        <v>4</v>
      </c>
      <c r="H48" s="209">
        <v>9.5194922937443333E-2</v>
      </c>
      <c r="I48" s="8">
        <v>0.13564335516585671</v>
      </c>
      <c r="J48" s="8">
        <v>0.25922658432583451</v>
      </c>
      <c r="K48" s="8">
        <v>0.18729245074164269</v>
      </c>
      <c r="L48" s="8">
        <v>0.1157708210277614</v>
      </c>
    </row>
    <row r="51" spans="7:12" x14ac:dyDescent="0.35">
      <c r="G51" t="s">
        <v>446</v>
      </c>
      <c r="H51">
        <f>SUMPRODUCT(H36:H40,H44:H48)</f>
        <v>8.6254778972962159E-2</v>
      </c>
      <c r="I51">
        <f t="shared" ref="I51:L51" si="3">SUMPRODUCT(I36:I40,I44:I48)</f>
        <v>0.11845213272348036</v>
      </c>
      <c r="J51">
        <f t="shared" si="3"/>
        <v>0.2167704967999772</v>
      </c>
      <c r="K51">
        <f t="shared" si="3"/>
        <v>0.15864860656208649</v>
      </c>
      <c r="L51">
        <f t="shared" si="3"/>
        <v>9.6726824535063718E-2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B7F8-5FEC-4C62-A185-B2352FA6CBF6}">
  <dimension ref="A1:F92"/>
  <sheetViews>
    <sheetView topLeftCell="A73" zoomScale="190" zoomScaleNormal="190" workbookViewId="0">
      <selection activeCell="B92" sqref="B92"/>
    </sheetView>
  </sheetViews>
  <sheetFormatPr defaultRowHeight="14.5" x14ac:dyDescent="0.35"/>
  <cols>
    <col min="1" max="5" width="16.08984375" customWidth="1"/>
    <col min="6" max="6" width="12" bestFit="1" customWidth="1"/>
  </cols>
  <sheetData>
    <row r="1" spans="1:6" x14ac:dyDescent="0.35">
      <c r="A1" t="s">
        <v>195</v>
      </c>
      <c r="B1" t="s">
        <v>139</v>
      </c>
      <c r="C1" t="s">
        <v>196</v>
      </c>
      <c r="D1" t="s">
        <v>197</v>
      </c>
      <c r="E1" t="s">
        <v>198</v>
      </c>
      <c r="F1" t="s">
        <v>189</v>
      </c>
    </row>
    <row r="2" spans="1:6" x14ac:dyDescent="0.35">
      <c r="A2" t="s">
        <v>152</v>
      </c>
      <c r="B2" t="s">
        <v>151</v>
      </c>
      <c r="C2">
        <v>8.9099999999999999E-2</v>
      </c>
      <c r="D2">
        <v>0.26779999999999998</v>
      </c>
      <c r="E2">
        <v>0.64300000000000002</v>
      </c>
      <c r="F2" t="str">
        <f>_xlfn.CONCAT(fraud[[#This Row],[lob]], " ",fraud[[#This Row],[time]])</f>
        <v>FRN 2023 Q3</v>
      </c>
    </row>
    <row r="3" spans="1:6" x14ac:dyDescent="0.35">
      <c r="A3" t="s">
        <v>152</v>
      </c>
      <c r="B3" t="s">
        <v>155</v>
      </c>
      <c r="C3">
        <v>6.3399999999999998E-2</v>
      </c>
      <c r="D3">
        <v>0.26979999999999998</v>
      </c>
      <c r="E3">
        <v>0.66659999999999997</v>
      </c>
      <c r="F3" t="str">
        <f>_xlfn.CONCAT(fraud[[#This Row],[lob]], " ",fraud[[#This Row],[time]])</f>
        <v>FLD 2023 Q3</v>
      </c>
    </row>
    <row r="4" spans="1:6" x14ac:dyDescent="0.35">
      <c r="A4" t="s">
        <v>152</v>
      </c>
      <c r="B4" t="s">
        <v>199</v>
      </c>
      <c r="C4">
        <v>8.4000000000000005E-2</v>
      </c>
      <c r="D4">
        <v>0.26</v>
      </c>
      <c r="E4">
        <v>0.65580000000000005</v>
      </c>
      <c r="F4" t="str">
        <f>_xlfn.CONCAT(fraud[[#This Row],[lob]], " ",fraud[[#This Row],[time]])</f>
        <v>KMX 2023 Q3</v>
      </c>
    </row>
    <row r="5" spans="1:6" x14ac:dyDescent="0.35">
      <c r="A5" t="s">
        <v>152</v>
      </c>
      <c r="B5" t="s">
        <v>122</v>
      </c>
      <c r="C5">
        <v>5.8500000000000003E-2</v>
      </c>
      <c r="D5">
        <v>0.17230000000000001</v>
      </c>
      <c r="E5">
        <v>0.76900000000000002</v>
      </c>
      <c r="F5" t="str">
        <f>_xlfn.CONCAT(fraud[[#This Row],[lob]], " ",fraud[[#This Row],[time]])</f>
        <v>ENT 2023 Q3</v>
      </c>
    </row>
    <row r="6" spans="1:6" x14ac:dyDescent="0.35">
      <c r="A6" t="s">
        <v>152</v>
      </c>
      <c r="B6" t="s">
        <v>149</v>
      </c>
      <c r="C6">
        <v>7.9799999999999996E-2</v>
      </c>
      <c r="D6">
        <v>0.1857</v>
      </c>
      <c r="E6">
        <v>0.73429999999999995</v>
      </c>
      <c r="F6" t="str">
        <f>_xlfn.CONCAT(fraud[[#This Row],[lob]], " ",fraud[[#This Row],[time]])</f>
        <v>AN 2023 Q3</v>
      </c>
    </row>
    <row r="7" spans="1:6" x14ac:dyDescent="0.35">
      <c r="A7" t="s">
        <v>152</v>
      </c>
      <c r="B7" t="s">
        <v>153</v>
      </c>
      <c r="C7">
        <v>8.8099999999999998E-2</v>
      </c>
      <c r="D7">
        <v>0.22</v>
      </c>
      <c r="E7">
        <v>0.69169999999999998</v>
      </c>
      <c r="F7" t="str">
        <f>_xlfn.CONCAT(fraud[[#This Row],[lob]], " ",fraud[[#This Row],[time]])</f>
        <v>STG 2023 Q3</v>
      </c>
    </row>
    <row r="8" spans="1:6" x14ac:dyDescent="0.35">
      <c r="A8" t="s">
        <v>166</v>
      </c>
      <c r="B8" t="s">
        <v>149</v>
      </c>
      <c r="C8">
        <v>9.0499999999999997E-2</v>
      </c>
      <c r="D8">
        <v>0.1865</v>
      </c>
      <c r="E8">
        <v>0.72289999999999999</v>
      </c>
      <c r="F8" t="str">
        <f>_xlfn.CONCAT(fraud[[#This Row],[lob]], " ",fraud[[#This Row],[time]])</f>
        <v>AN 2023 Q4</v>
      </c>
    </row>
    <row r="9" spans="1:6" x14ac:dyDescent="0.35">
      <c r="A9" t="s">
        <v>166</v>
      </c>
      <c r="B9" t="s">
        <v>151</v>
      </c>
      <c r="C9">
        <v>7.9399999999999998E-2</v>
      </c>
      <c r="D9">
        <v>0.2455</v>
      </c>
      <c r="E9">
        <v>0.67500000000000004</v>
      </c>
      <c r="F9" t="str">
        <f>_xlfn.CONCAT(fraud[[#This Row],[lob]], " ",fraud[[#This Row],[time]])</f>
        <v>FRN 2023 Q4</v>
      </c>
    </row>
    <row r="10" spans="1:6" x14ac:dyDescent="0.35">
      <c r="A10" t="s">
        <v>166</v>
      </c>
      <c r="B10" t="s">
        <v>155</v>
      </c>
      <c r="C10">
        <v>9.3700000000000006E-2</v>
      </c>
      <c r="D10">
        <v>0.27550000000000002</v>
      </c>
      <c r="E10">
        <v>0.63060000000000005</v>
      </c>
      <c r="F10" t="str">
        <f>_xlfn.CONCAT(fraud[[#This Row],[lob]], " ",fraud[[#This Row],[time]])</f>
        <v>FLD 2023 Q4</v>
      </c>
    </row>
    <row r="11" spans="1:6" x14ac:dyDescent="0.35">
      <c r="A11" t="s">
        <v>166</v>
      </c>
      <c r="B11" t="s">
        <v>199</v>
      </c>
      <c r="C11">
        <v>8.5599999999999996E-2</v>
      </c>
      <c r="D11">
        <v>0.27750000000000002</v>
      </c>
      <c r="E11">
        <v>0.63680000000000003</v>
      </c>
      <c r="F11" t="str">
        <f>_xlfn.CONCAT(fraud[[#This Row],[lob]], " ",fraud[[#This Row],[time]])</f>
        <v>KMX 2023 Q4</v>
      </c>
    </row>
    <row r="12" spans="1:6" x14ac:dyDescent="0.35">
      <c r="A12" t="s">
        <v>166</v>
      </c>
      <c r="B12" t="s">
        <v>122</v>
      </c>
      <c r="C12">
        <v>5.0299999999999997E-2</v>
      </c>
      <c r="D12">
        <v>0.26879999999999998</v>
      </c>
      <c r="E12">
        <v>0.68069999999999997</v>
      </c>
      <c r="F12" t="str">
        <f>_xlfn.CONCAT(fraud[[#This Row],[lob]], " ",fraud[[#This Row],[time]])</f>
        <v>ENT 2023 Q4</v>
      </c>
    </row>
    <row r="13" spans="1:6" x14ac:dyDescent="0.35">
      <c r="A13" t="s">
        <v>166</v>
      </c>
      <c r="B13" t="s">
        <v>153</v>
      </c>
      <c r="C13">
        <v>9.3600000000000003E-2</v>
      </c>
      <c r="D13">
        <v>0.17730000000000001</v>
      </c>
      <c r="E13">
        <v>0.72889999999999999</v>
      </c>
      <c r="F13" t="str">
        <f>_xlfn.CONCAT(fraud[[#This Row],[lob]], " ",fraud[[#This Row],[time]])</f>
        <v>STG 2023 Q4</v>
      </c>
    </row>
    <row r="14" spans="1:6" x14ac:dyDescent="0.35">
      <c r="A14" t="s">
        <v>167</v>
      </c>
      <c r="B14" t="s">
        <v>199</v>
      </c>
      <c r="C14">
        <v>6.1400000000000003E-2</v>
      </c>
      <c r="D14">
        <v>0.30470000000000003</v>
      </c>
      <c r="E14">
        <v>0.63370000000000004</v>
      </c>
      <c r="F14" t="str">
        <f>_xlfn.CONCAT(fraud[[#This Row],[lob]], " ",fraud[[#This Row],[time]])</f>
        <v>KMX 2024 Q1</v>
      </c>
    </row>
    <row r="15" spans="1:6" x14ac:dyDescent="0.35">
      <c r="A15" t="s">
        <v>167</v>
      </c>
      <c r="B15" t="s">
        <v>151</v>
      </c>
      <c r="C15">
        <v>6.5600000000000006E-2</v>
      </c>
      <c r="D15">
        <v>0.26800000000000002</v>
      </c>
      <c r="E15">
        <v>0.66620000000000001</v>
      </c>
      <c r="F15" t="str">
        <f>_xlfn.CONCAT(fraud[[#This Row],[lob]], " ",fraud[[#This Row],[time]])</f>
        <v>FRN 2024 Q1</v>
      </c>
    </row>
    <row r="16" spans="1:6" x14ac:dyDescent="0.35">
      <c r="A16" t="s">
        <v>167</v>
      </c>
      <c r="B16" t="s">
        <v>122</v>
      </c>
      <c r="C16">
        <v>4.1599999999999998E-2</v>
      </c>
      <c r="D16">
        <v>0.31019999999999998</v>
      </c>
      <c r="E16">
        <v>0.64810000000000001</v>
      </c>
      <c r="F16" t="str">
        <f>_xlfn.CONCAT(fraud[[#This Row],[lob]], " ",fraud[[#This Row],[time]])</f>
        <v>ENT 2024 Q1</v>
      </c>
    </row>
    <row r="17" spans="1:6" x14ac:dyDescent="0.35">
      <c r="A17" t="s">
        <v>167</v>
      </c>
      <c r="B17" t="s">
        <v>149</v>
      </c>
      <c r="C17">
        <v>6.1699999999999998E-2</v>
      </c>
      <c r="D17">
        <v>0.19789999999999999</v>
      </c>
      <c r="E17">
        <v>0.74019999999999997</v>
      </c>
      <c r="F17" t="str">
        <f>_xlfn.CONCAT(fraud[[#This Row],[lob]], " ",fraud[[#This Row],[time]])</f>
        <v>AN 2024 Q1</v>
      </c>
    </row>
    <row r="18" spans="1:6" x14ac:dyDescent="0.35">
      <c r="A18" t="s">
        <v>167</v>
      </c>
      <c r="B18" t="s">
        <v>155</v>
      </c>
      <c r="C18">
        <v>6.4500000000000002E-2</v>
      </c>
      <c r="D18">
        <v>0.28189999999999998</v>
      </c>
      <c r="E18">
        <v>0.65349999999999997</v>
      </c>
      <c r="F18" t="str">
        <f>_xlfn.CONCAT(fraud[[#This Row],[lob]], " ",fraud[[#This Row],[time]])</f>
        <v>FLD 2024 Q1</v>
      </c>
    </row>
    <row r="19" spans="1:6" x14ac:dyDescent="0.35">
      <c r="A19" t="s">
        <v>167</v>
      </c>
      <c r="B19" t="s">
        <v>153</v>
      </c>
      <c r="C19">
        <v>8.3900000000000002E-2</v>
      </c>
      <c r="D19">
        <v>0.19850000000000001</v>
      </c>
      <c r="E19">
        <v>0.71740000000000004</v>
      </c>
      <c r="F19" t="str">
        <f>_xlfn.CONCAT(fraud[[#This Row],[lob]], " ",fraud[[#This Row],[time]])</f>
        <v>STG 2024 Q1</v>
      </c>
    </row>
    <row r="20" spans="1:6" x14ac:dyDescent="0.35">
      <c r="A20" t="s">
        <v>163</v>
      </c>
      <c r="B20" t="s">
        <v>122</v>
      </c>
      <c r="C20">
        <v>4.5400000000000003E-2</v>
      </c>
      <c r="D20">
        <v>0.3407</v>
      </c>
      <c r="E20">
        <v>0.61370000000000002</v>
      </c>
      <c r="F20" t="str">
        <f>_xlfn.CONCAT(fraud[[#This Row],[lob]], " ",fraud[[#This Row],[time]])</f>
        <v>ENT 2024 Q2</v>
      </c>
    </row>
    <row r="21" spans="1:6" x14ac:dyDescent="0.35">
      <c r="A21" t="s">
        <v>163</v>
      </c>
      <c r="B21" t="s">
        <v>199</v>
      </c>
      <c r="C21">
        <v>5.8099999999999999E-2</v>
      </c>
      <c r="D21">
        <v>0.3306</v>
      </c>
      <c r="E21">
        <v>0.61109999999999998</v>
      </c>
      <c r="F21" t="str">
        <f>_xlfn.CONCAT(fraud[[#This Row],[lob]], " ",fraud[[#This Row],[time]])</f>
        <v>KMX 2024 Q2</v>
      </c>
    </row>
    <row r="22" spans="1:6" x14ac:dyDescent="0.35">
      <c r="A22" t="s">
        <v>163</v>
      </c>
      <c r="B22" t="s">
        <v>155</v>
      </c>
      <c r="C22">
        <v>5.9799999999999999E-2</v>
      </c>
      <c r="D22">
        <v>0.30620000000000003</v>
      </c>
      <c r="E22">
        <v>0.63390000000000002</v>
      </c>
      <c r="F22" t="str">
        <f>_xlfn.CONCAT(fraud[[#This Row],[lob]], " ",fraud[[#This Row],[time]])</f>
        <v>FLD 2024 Q2</v>
      </c>
    </row>
    <row r="23" spans="1:6" x14ac:dyDescent="0.35">
      <c r="A23" t="s">
        <v>163</v>
      </c>
      <c r="B23" t="s">
        <v>149</v>
      </c>
      <c r="C23">
        <v>8.0600000000000005E-2</v>
      </c>
      <c r="D23">
        <v>0.21299999999999999</v>
      </c>
      <c r="E23">
        <v>0.70620000000000005</v>
      </c>
      <c r="F23" t="str">
        <f>_xlfn.CONCAT(fraud[[#This Row],[lob]], " ",fraud[[#This Row],[time]])</f>
        <v>AN 2024 Q2</v>
      </c>
    </row>
    <row r="24" spans="1:6" x14ac:dyDescent="0.35">
      <c r="A24" t="s">
        <v>163</v>
      </c>
      <c r="B24" t="s">
        <v>153</v>
      </c>
      <c r="C24">
        <v>9.1700000000000004E-2</v>
      </c>
      <c r="D24">
        <v>0.21190000000000001</v>
      </c>
      <c r="E24">
        <v>0.69620000000000004</v>
      </c>
      <c r="F24" t="str">
        <f>_xlfn.CONCAT(fraud[[#This Row],[lob]], " ",fraud[[#This Row],[time]])</f>
        <v>STG 2024 Q2</v>
      </c>
    </row>
    <row r="25" spans="1:6" x14ac:dyDescent="0.35">
      <c r="A25" t="s">
        <v>163</v>
      </c>
      <c r="B25" t="s">
        <v>151</v>
      </c>
      <c r="C25">
        <v>6.3799999999999996E-2</v>
      </c>
      <c r="D25">
        <v>0.32490000000000002</v>
      </c>
      <c r="E25">
        <v>0.61109999999999998</v>
      </c>
      <c r="F25" t="str">
        <f>_xlfn.CONCAT(fraud[[#This Row],[lob]], " ",fraud[[#This Row],[time]])</f>
        <v>FRN 2024 Q2</v>
      </c>
    </row>
    <row r="26" spans="1:6" x14ac:dyDescent="0.35">
      <c r="A26" t="s">
        <v>160</v>
      </c>
      <c r="B26" t="s">
        <v>122</v>
      </c>
      <c r="C26">
        <v>4.3999999999999997E-2</v>
      </c>
      <c r="D26">
        <v>0.33460000000000001</v>
      </c>
      <c r="E26">
        <v>0.62119999999999997</v>
      </c>
      <c r="F26" t="str">
        <f>_xlfn.CONCAT(fraud[[#This Row],[lob]], " ",fraud[[#This Row],[time]])</f>
        <v>ENT 2024 Q3</v>
      </c>
    </row>
    <row r="27" spans="1:6" x14ac:dyDescent="0.35">
      <c r="A27" t="s">
        <v>160</v>
      </c>
      <c r="B27" t="s">
        <v>151</v>
      </c>
      <c r="C27">
        <v>7.9799999999999996E-2</v>
      </c>
      <c r="D27">
        <v>0.3503</v>
      </c>
      <c r="E27">
        <v>0.56969999999999998</v>
      </c>
      <c r="F27" t="str">
        <f>_xlfn.CONCAT(fraud[[#This Row],[lob]], " ",fraud[[#This Row],[time]])</f>
        <v>FRN 2024 Q3</v>
      </c>
    </row>
    <row r="28" spans="1:6" x14ac:dyDescent="0.35">
      <c r="A28" t="s">
        <v>160</v>
      </c>
      <c r="B28" t="s">
        <v>153</v>
      </c>
      <c r="C28">
        <v>8.6400000000000005E-2</v>
      </c>
      <c r="D28">
        <v>0.22919999999999999</v>
      </c>
      <c r="E28">
        <v>0.68420000000000003</v>
      </c>
      <c r="F28" t="str">
        <f>_xlfn.CONCAT(fraud[[#This Row],[lob]], " ",fraud[[#This Row],[time]])</f>
        <v>STG 2024 Q3</v>
      </c>
    </row>
    <row r="29" spans="1:6" x14ac:dyDescent="0.35">
      <c r="A29" t="s">
        <v>160</v>
      </c>
      <c r="B29" t="s">
        <v>149</v>
      </c>
      <c r="C29">
        <v>8.3799999999999999E-2</v>
      </c>
      <c r="D29">
        <v>0.25159999999999999</v>
      </c>
      <c r="E29">
        <v>0.66439999999999999</v>
      </c>
      <c r="F29" t="str">
        <f>_xlfn.CONCAT(fraud[[#This Row],[lob]], " ",fraud[[#This Row],[time]])</f>
        <v>AN 2024 Q3</v>
      </c>
    </row>
    <row r="30" spans="1:6" x14ac:dyDescent="0.35">
      <c r="A30" t="s">
        <v>160</v>
      </c>
      <c r="B30" t="s">
        <v>155</v>
      </c>
      <c r="C30">
        <v>5.6899999999999999E-2</v>
      </c>
      <c r="D30">
        <v>0.33160000000000001</v>
      </c>
      <c r="E30">
        <v>0.61129999999999995</v>
      </c>
      <c r="F30" t="str">
        <f>_xlfn.CONCAT(fraud[[#This Row],[lob]], " ",fraud[[#This Row],[time]])</f>
        <v>FLD 2024 Q3</v>
      </c>
    </row>
    <row r="31" spans="1:6" x14ac:dyDescent="0.35">
      <c r="A31" t="s">
        <v>160</v>
      </c>
      <c r="B31" t="s">
        <v>199</v>
      </c>
      <c r="C31">
        <v>6.7299999999999999E-2</v>
      </c>
      <c r="D31">
        <v>0.30020000000000002</v>
      </c>
      <c r="E31">
        <v>0.63239999999999996</v>
      </c>
      <c r="F31" t="str">
        <f>_xlfn.CONCAT(fraud[[#This Row],[lob]], " ",fraud[[#This Row],[time]])</f>
        <v>KMX 2024 Q3</v>
      </c>
    </row>
    <row r="32" spans="1:6" x14ac:dyDescent="0.35">
      <c r="A32" t="s">
        <v>126</v>
      </c>
      <c r="B32" t="s">
        <v>151</v>
      </c>
      <c r="C32">
        <v>6.9000000000000006E-2</v>
      </c>
      <c r="D32">
        <v>0.26919999999999999</v>
      </c>
      <c r="E32">
        <v>0.66169999999999995</v>
      </c>
      <c r="F32" t="str">
        <f>_xlfn.CONCAT(fraud[[#This Row],[lob]], " ",fraud[[#This Row],[time]])</f>
        <v>FRN 2024 Q4</v>
      </c>
    </row>
    <row r="33" spans="1:6" x14ac:dyDescent="0.35">
      <c r="A33" t="s">
        <v>126</v>
      </c>
      <c r="B33" t="s">
        <v>153</v>
      </c>
      <c r="C33">
        <v>6.2799999999999995E-2</v>
      </c>
      <c r="D33">
        <v>0.21210000000000001</v>
      </c>
      <c r="E33">
        <v>0.72499999999999998</v>
      </c>
      <c r="F33" t="str">
        <f>_xlfn.CONCAT(fraud[[#This Row],[lob]], " ",fraud[[#This Row],[time]])</f>
        <v>STG 2024 Q4</v>
      </c>
    </row>
    <row r="34" spans="1:6" x14ac:dyDescent="0.35">
      <c r="A34" t="s">
        <v>126</v>
      </c>
      <c r="B34" t="s">
        <v>199</v>
      </c>
      <c r="C34">
        <v>6.08E-2</v>
      </c>
      <c r="D34">
        <v>0.2379</v>
      </c>
      <c r="E34">
        <v>0.70120000000000005</v>
      </c>
      <c r="F34" t="str">
        <f>_xlfn.CONCAT(fraud[[#This Row],[lob]], " ",fraud[[#This Row],[time]])</f>
        <v>KMX 2024 Q4</v>
      </c>
    </row>
    <row r="35" spans="1:6" x14ac:dyDescent="0.35">
      <c r="A35" t="s">
        <v>126</v>
      </c>
      <c r="B35" t="s">
        <v>149</v>
      </c>
      <c r="C35">
        <v>5.2299999999999999E-2</v>
      </c>
      <c r="D35">
        <v>0.18540000000000001</v>
      </c>
      <c r="E35">
        <v>0.76219999999999999</v>
      </c>
      <c r="F35" t="str">
        <f>_xlfn.CONCAT(fraud[[#This Row],[lob]], " ",fraud[[#This Row],[time]])</f>
        <v>AN 2024 Q4</v>
      </c>
    </row>
    <row r="36" spans="1:6" x14ac:dyDescent="0.35">
      <c r="A36" t="s">
        <v>126</v>
      </c>
      <c r="B36" t="s">
        <v>155</v>
      </c>
      <c r="C36">
        <v>2.58E-2</v>
      </c>
      <c r="D36">
        <v>0.26540000000000002</v>
      </c>
      <c r="E36">
        <v>0.70860000000000001</v>
      </c>
      <c r="F36" t="str">
        <f>_xlfn.CONCAT(fraud[[#This Row],[lob]], " ",fraud[[#This Row],[time]])</f>
        <v>FLD 2024 Q4</v>
      </c>
    </row>
    <row r="37" spans="1:6" x14ac:dyDescent="0.35">
      <c r="A37" t="s">
        <v>126</v>
      </c>
      <c r="B37" t="s">
        <v>122</v>
      </c>
      <c r="C37">
        <v>3.7999999999999999E-2</v>
      </c>
      <c r="D37">
        <v>0.21199999999999999</v>
      </c>
      <c r="E37">
        <v>0.74990000000000001</v>
      </c>
      <c r="F37" t="str">
        <f>_xlfn.CONCAT(fraud[[#This Row],[lob]], " ",fraud[[#This Row],[time]])</f>
        <v>ENT 2024 Q4</v>
      </c>
    </row>
    <row r="38" spans="1:6" x14ac:dyDescent="0.35">
      <c r="A38" t="s">
        <v>128</v>
      </c>
      <c r="B38" t="s">
        <v>151</v>
      </c>
      <c r="C38">
        <v>8.1500000000000003E-2</v>
      </c>
      <c r="D38">
        <v>0.20230000000000001</v>
      </c>
      <c r="E38">
        <v>0.71599999999999997</v>
      </c>
      <c r="F38" t="str">
        <f>_xlfn.CONCAT(fraud[[#This Row],[lob]], " ",fraud[[#This Row],[time]])</f>
        <v>FRN 2025 Q1</v>
      </c>
    </row>
    <row r="39" spans="1:6" x14ac:dyDescent="0.35">
      <c r="A39" t="s">
        <v>128</v>
      </c>
      <c r="B39" t="s">
        <v>122</v>
      </c>
      <c r="C39">
        <v>4.65E-2</v>
      </c>
      <c r="D39">
        <v>0.11849999999999999</v>
      </c>
      <c r="E39">
        <v>0.83479999999999999</v>
      </c>
      <c r="F39" t="str">
        <f>_xlfn.CONCAT(fraud[[#This Row],[lob]], " ",fraud[[#This Row],[time]])</f>
        <v>ENT 2025 Q1</v>
      </c>
    </row>
    <row r="40" spans="1:6" x14ac:dyDescent="0.35">
      <c r="A40" t="s">
        <v>128</v>
      </c>
      <c r="B40" t="s">
        <v>155</v>
      </c>
      <c r="C40">
        <v>3.2000000000000001E-2</v>
      </c>
      <c r="D40">
        <v>0.2137</v>
      </c>
      <c r="E40">
        <v>0.75409999999999999</v>
      </c>
      <c r="F40" t="str">
        <f>_xlfn.CONCAT(fraud[[#This Row],[lob]], " ",fraud[[#This Row],[time]])</f>
        <v>FLD 2025 Q1</v>
      </c>
    </row>
    <row r="41" spans="1:6" x14ac:dyDescent="0.35">
      <c r="A41" t="s">
        <v>128</v>
      </c>
      <c r="B41" t="s">
        <v>153</v>
      </c>
      <c r="C41">
        <v>4.2000000000000003E-2</v>
      </c>
      <c r="D41">
        <v>0.20250000000000001</v>
      </c>
      <c r="E41">
        <v>0.75529999999999997</v>
      </c>
      <c r="F41" t="str">
        <f>_xlfn.CONCAT(fraud[[#This Row],[lob]], " ",fraud[[#This Row],[time]])</f>
        <v>STG 2025 Q1</v>
      </c>
    </row>
    <row r="42" spans="1:6" x14ac:dyDescent="0.35">
      <c r="A42" t="s">
        <v>128</v>
      </c>
      <c r="B42" t="s">
        <v>149</v>
      </c>
      <c r="C42">
        <v>5.3100000000000001E-2</v>
      </c>
      <c r="D42">
        <v>0.19</v>
      </c>
      <c r="E42">
        <v>0.75670000000000004</v>
      </c>
      <c r="F42" t="str">
        <f>_xlfn.CONCAT(fraud[[#This Row],[lob]], " ",fraud[[#This Row],[time]])</f>
        <v>AN 2025 Q1</v>
      </c>
    </row>
    <row r="43" spans="1:6" x14ac:dyDescent="0.35">
      <c r="A43" t="s">
        <v>128</v>
      </c>
      <c r="B43" t="s">
        <v>199</v>
      </c>
      <c r="C43">
        <v>5.3199999999999997E-2</v>
      </c>
      <c r="D43">
        <v>0.1857</v>
      </c>
      <c r="E43">
        <v>0.76100000000000001</v>
      </c>
      <c r="F43" t="str">
        <f>_xlfn.CONCAT(fraud[[#This Row],[lob]], " ",fraud[[#This Row],[time]])</f>
        <v>KMX 2025 Q1</v>
      </c>
    </row>
    <row r="44" spans="1:6" x14ac:dyDescent="0.35">
      <c r="A44" t="s">
        <v>129</v>
      </c>
      <c r="B44" t="s">
        <v>122</v>
      </c>
      <c r="C44">
        <v>5.2900000000000003E-2</v>
      </c>
      <c r="D44">
        <v>0.14749999999999999</v>
      </c>
      <c r="E44">
        <v>0.7994</v>
      </c>
      <c r="F44" t="str">
        <f>_xlfn.CONCAT(fraud[[#This Row],[lob]], " ",fraud[[#This Row],[time]])</f>
        <v>ENT 2025 Q2</v>
      </c>
    </row>
    <row r="45" spans="1:6" x14ac:dyDescent="0.35">
      <c r="A45" t="s">
        <v>129</v>
      </c>
      <c r="B45" t="s">
        <v>149</v>
      </c>
      <c r="C45">
        <v>4.1399999999999999E-2</v>
      </c>
      <c r="D45">
        <v>0.2215</v>
      </c>
      <c r="E45">
        <v>0.7369</v>
      </c>
      <c r="F45" t="str">
        <f>_xlfn.CONCAT(fraud[[#This Row],[lob]], " ",fraud[[#This Row],[time]])</f>
        <v>AN 2025 Q2</v>
      </c>
    </row>
    <row r="46" spans="1:6" x14ac:dyDescent="0.35">
      <c r="A46" t="s">
        <v>129</v>
      </c>
      <c r="B46" t="s">
        <v>155</v>
      </c>
      <c r="C46">
        <v>5.3400000000000003E-2</v>
      </c>
      <c r="D46">
        <v>0.1971</v>
      </c>
      <c r="E46">
        <v>0.74929999999999997</v>
      </c>
      <c r="F46" t="str">
        <f>_xlfn.CONCAT(fraud[[#This Row],[lob]], " ",fraud[[#This Row],[time]])</f>
        <v>FLD 2025 Q2</v>
      </c>
    </row>
    <row r="47" spans="1:6" x14ac:dyDescent="0.35">
      <c r="A47" t="s">
        <v>129</v>
      </c>
      <c r="B47" t="s">
        <v>151</v>
      </c>
      <c r="C47">
        <v>8.6900000000000005E-2</v>
      </c>
      <c r="D47">
        <v>0.2228</v>
      </c>
      <c r="E47">
        <v>0.69010000000000005</v>
      </c>
      <c r="F47" t="str">
        <f>_xlfn.CONCAT(fraud[[#This Row],[lob]], " ",fraud[[#This Row],[time]])</f>
        <v>FRN 2025 Q2</v>
      </c>
    </row>
    <row r="48" spans="1:6" x14ac:dyDescent="0.35">
      <c r="A48" t="s">
        <v>129</v>
      </c>
      <c r="B48" t="s">
        <v>153</v>
      </c>
      <c r="C48">
        <v>5.8900000000000001E-2</v>
      </c>
      <c r="D48">
        <v>0.21879999999999999</v>
      </c>
      <c r="E48">
        <v>0.72209999999999996</v>
      </c>
      <c r="F48" t="str">
        <f>_xlfn.CONCAT(fraud[[#This Row],[lob]], " ",fraud[[#This Row],[time]])</f>
        <v>STG 2025 Q2</v>
      </c>
    </row>
    <row r="49" spans="1:6" x14ac:dyDescent="0.35">
      <c r="A49" t="s">
        <v>129</v>
      </c>
      <c r="B49" t="s">
        <v>199</v>
      </c>
      <c r="C49">
        <v>6.59E-2</v>
      </c>
      <c r="D49">
        <v>0.1875</v>
      </c>
      <c r="E49">
        <v>0.74650000000000005</v>
      </c>
      <c r="F49" t="str">
        <f>_xlfn.CONCAT(fraud[[#This Row],[lob]], " ",fraud[[#This Row],[time]])</f>
        <v>KMX 2025 Q2</v>
      </c>
    </row>
    <row r="50" spans="1:6" x14ac:dyDescent="0.35">
      <c r="A50" t="s">
        <v>130</v>
      </c>
      <c r="B50" t="s">
        <v>199</v>
      </c>
      <c r="C50">
        <v>0.1047</v>
      </c>
      <c r="D50">
        <v>0.16059999999999999</v>
      </c>
      <c r="E50">
        <v>0.73450000000000004</v>
      </c>
      <c r="F50" t="str">
        <f>_xlfn.CONCAT(fraud[[#This Row],[lob]], " ",fraud[[#This Row],[time]])</f>
        <v>KMX 2025 Q3</v>
      </c>
    </row>
    <row r="51" spans="1:6" x14ac:dyDescent="0.35">
      <c r="A51" t="s">
        <v>130</v>
      </c>
      <c r="B51" t="s">
        <v>155</v>
      </c>
      <c r="C51">
        <v>6.7699999999999996E-2</v>
      </c>
      <c r="D51">
        <v>0.16209999999999999</v>
      </c>
      <c r="E51">
        <v>0.77</v>
      </c>
      <c r="F51" t="str">
        <f>_xlfn.CONCAT(fraud[[#This Row],[lob]], " ",fraud[[#This Row],[time]])</f>
        <v>FLD 2025 Q3</v>
      </c>
    </row>
    <row r="52" spans="1:6" x14ac:dyDescent="0.35">
      <c r="A52" t="s">
        <v>130</v>
      </c>
      <c r="B52" t="s">
        <v>153</v>
      </c>
      <c r="C52">
        <v>4.9500000000000002E-2</v>
      </c>
      <c r="D52">
        <v>0.22170000000000001</v>
      </c>
      <c r="E52">
        <v>0.72870000000000001</v>
      </c>
      <c r="F52" t="str">
        <f>_xlfn.CONCAT(fraud[[#This Row],[lob]], " ",fraud[[#This Row],[time]])</f>
        <v>STG 2025 Q3</v>
      </c>
    </row>
    <row r="53" spans="1:6" x14ac:dyDescent="0.35">
      <c r="A53" t="s">
        <v>130</v>
      </c>
      <c r="B53" t="s">
        <v>122</v>
      </c>
      <c r="C53">
        <v>6.5799999999999997E-2</v>
      </c>
      <c r="D53">
        <v>0.13930000000000001</v>
      </c>
      <c r="E53">
        <v>0.79479999999999995</v>
      </c>
      <c r="F53" t="str">
        <f>_xlfn.CONCAT(fraud[[#This Row],[lob]], " ",fraud[[#This Row],[time]])</f>
        <v>ENT 2025 Q3</v>
      </c>
    </row>
    <row r="54" spans="1:6" x14ac:dyDescent="0.35">
      <c r="A54" t="s">
        <v>130</v>
      </c>
      <c r="B54" t="s">
        <v>151</v>
      </c>
      <c r="C54">
        <v>6.4699999999999994E-2</v>
      </c>
      <c r="D54">
        <v>0.2203</v>
      </c>
      <c r="E54">
        <v>0.71479999999999999</v>
      </c>
      <c r="F54" t="str">
        <f>_xlfn.CONCAT(fraud[[#This Row],[lob]], " ",fraud[[#This Row],[time]])</f>
        <v>FRN 2025 Q3</v>
      </c>
    </row>
    <row r="55" spans="1:6" x14ac:dyDescent="0.35">
      <c r="A55" t="s">
        <v>130</v>
      </c>
      <c r="B55" t="s">
        <v>149</v>
      </c>
      <c r="C55">
        <v>5.1900000000000002E-2</v>
      </c>
      <c r="D55">
        <v>0.23250000000000001</v>
      </c>
      <c r="E55">
        <v>0.71550000000000002</v>
      </c>
      <c r="F55" t="str">
        <f>_xlfn.CONCAT(fraud[[#This Row],[lob]], " ",fraud[[#This Row],[time]])</f>
        <v>AN 2025 Q3</v>
      </c>
    </row>
    <row r="56" spans="1:6" x14ac:dyDescent="0.35">
      <c r="A56" t="s">
        <v>131</v>
      </c>
      <c r="B56" t="s">
        <v>155</v>
      </c>
      <c r="C56">
        <v>7.3899999999999993E-2</v>
      </c>
      <c r="D56">
        <v>0.16589999999999999</v>
      </c>
      <c r="E56">
        <v>0.76</v>
      </c>
      <c r="F56" t="str">
        <f>_xlfn.CONCAT(fraud[[#This Row],[lob]], " ",fraud[[#This Row],[time]])</f>
        <v>FLD 2025 Q4</v>
      </c>
    </row>
    <row r="57" spans="1:6" x14ac:dyDescent="0.35">
      <c r="A57" t="s">
        <v>131</v>
      </c>
      <c r="B57" t="s">
        <v>149</v>
      </c>
      <c r="C57">
        <v>6.9400000000000003E-2</v>
      </c>
      <c r="D57">
        <v>0.2162</v>
      </c>
      <c r="E57">
        <v>0.71430000000000005</v>
      </c>
      <c r="F57" t="str">
        <f>_xlfn.CONCAT(fraud[[#This Row],[lob]], " ",fraud[[#This Row],[time]])</f>
        <v>AN 2025 Q4</v>
      </c>
    </row>
    <row r="58" spans="1:6" x14ac:dyDescent="0.35">
      <c r="A58" t="s">
        <v>131</v>
      </c>
      <c r="B58" t="s">
        <v>151</v>
      </c>
      <c r="C58">
        <v>8.2000000000000003E-2</v>
      </c>
      <c r="D58">
        <v>0.22040000000000001</v>
      </c>
      <c r="E58">
        <v>0.69750000000000001</v>
      </c>
      <c r="F58" t="str">
        <f>_xlfn.CONCAT(fraud[[#This Row],[lob]], " ",fraud[[#This Row],[time]])</f>
        <v>FRN 2025 Q4</v>
      </c>
    </row>
    <row r="59" spans="1:6" x14ac:dyDescent="0.35">
      <c r="A59" t="s">
        <v>131</v>
      </c>
      <c r="B59" t="s">
        <v>122</v>
      </c>
      <c r="C59">
        <v>7.8700000000000006E-2</v>
      </c>
      <c r="D59">
        <v>0.11509999999999999</v>
      </c>
      <c r="E59">
        <v>0.80600000000000005</v>
      </c>
      <c r="F59" t="str">
        <f>_xlfn.CONCAT(fraud[[#This Row],[lob]], " ",fraud[[#This Row],[time]])</f>
        <v>ENT 2025 Q4</v>
      </c>
    </row>
    <row r="60" spans="1:6" x14ac:dyDescent="0.35">
      <c r="A60" t="s">
        <v>131</v>
      </c>
      <c r="B60" t="s">
        <v>199</v>
      </c>
      <c r="C60">
        <v>0.11169999999999999</v>
      </c>
      <c r="D60">
        <v>0.13189999999999999</v>
      </c>
      <c r="E60">
        <v>0.75629999999999997</v>
      </c>
      <c r="F60" t="str">
        <f>_xlfn.CONCAT(fraud[[#This Row],[lob]], " ",fraud[[#This Row],[time]])</f>
        <v>KMX 2025 Q4</v>
      </c>
    </row>
    <row r="61" spans="1:6" x14ac:dyDescent="0.35">
      <c r="A61" t="s">
        <v>131</v>
      </c>
      <c r="B61" t="s">
        <v>153</v>
      </c>
      <c r="C61">
        <v>6.1600000000000002E-2</v>
      </c>
      <c r="D61">
        <v>0.2253</v>
      </c>
      <c r="E61">
        <v>0.71299999999999997</v>
      </c>
      <c r="F61" t="str">
        <f>_xlfn.CONCAT(fraud[[#This Row],[lob]], " ",fraud[[#This Row],[time]])</f>
        <v>STG 2025 Q4</v>
      </c>
    </row>
    <row r="62" spans="1:6" x14ac:dyDescent="0.35">
      <c r="A62" t="s">
        <v>127</v>
      </c>
      <c r="B62" t="s">
        <v>149</v>
      </c>
      <c r="C62">
        <v>4.24E-2</v>
      </c>
      <c r="D62">
        <v>0.19420000000000001</v>
      </c>
      <c r="E62">
        <v>0.76329999999999998</v>
      </c>
      <c r="F62" t="str">
        <f>_xlfn.CONCAT(fraud[[#This Row],[lob]], " ",fraud[[#This Row],[time]])</f>
        <v>AN 2026 Q1</v>
      </c>
    </row>
    <row r="63" spans="1:6" x14ac:dyDescent="0.35">
      <c r="A63" t="s">
        <v>127</v>
      </c>
      <c r="B63" t="s">
        <v>199</v>
      </c>
      <c r="C63">
        <v>6.7400000000000002E-2</v>
      </c>
      <c r="D63">
        <v>0.1211</v>
      </c>
      <c r="E63">
        <v>0.81140000000000001</v>
      </c>
      <c r="F63" t="str">
        <f>_xlfn.CONCAT(fraud[[#This Row],[lob]], " ",fraud[[#This Row],[time]])</f>
        <v>KMX 2026 Q1</v>
      </c>
    </row>
    <row r="64" spans="1:6" x14ac:dyDescent="0.35">
      <c r="A64" t="s">
        <v>127</v>
      </c>
      <c r="B64" t="s">
        <v>122</v>
      </c>
      <c r="C64">
        <v>6.8000000000000005E-2</v>
      </c>
      <c r="D64">
        <v>0.14169999999999999</v>
      </c>
      <c r="E64">
        <v>0.79010000000000002</v>
      </c>
      <c r="F64" t="str">
        <f>_xlfn.CONCAT(fraud[[#This Row],[lob]], " ",fraud[[#This Row],[time]])</f>
        <v>ENT 2026 Q1</v>
      </c>
    </row>
    <row r="65" spans="1:6" x14ac:dyDescent="0.35">
      <c r="A65" t="s">
        <v>127</v>
      </c>
      <c r="B65" t="s">
        <v>151</v>
      </c>
      <c r="C65">
        <v>0.10249999999999999</v>
      </c>
      <c r="D65">
        <v>0.21110000000000001</v>
      </c>
      <c r="E65">
        <v>0.68620000000000003</v>
      </c>
      <c r="F65" t="str">
        <f>_xlfn.CONCAT(fraud[[#This Row],[lob]], " ",fraud[[#This Row],[time]])</f>
        <v>FRN 2026 Q1</v>
      </c>
    </row>
    <row r="66" spans="1:6" x14ac:dyDescent="0.35">
      <c r="A66" t="s">
        <v>127</v>
      </c>
      <c r="B66" t="s">
        <v>153</v>
      </c>
      <c r="C66">
        <v>4.3900000000000002E-2</v>
      </c>
      <c r="D66">
        <v>0.2273</v>
      </c>
      <c r="E66">
        <v>0.72860000000000003</v>
      </c>
      <c r="F66" t="str">
        <f>_xlfn.CONCAT(fraud[[#This Row],[lob]], " ",fraud[[#This Row],[time]])</f>
        <v>STG 2026 Q1</v>
      </c>
    </row>
    <row r="67" spans="1:6" x14ac:dyDescent="0.35">
      <c r="A67" t="s">
        <v>127</v>
      </c>
      <c r="B67" t="s">
        <v>155</v>
      </c>
      <c r="C67">
        <v>5.6300000000000003E-2</v>
      </c>
      <c r="D67">
        <v>0.14369999999999999</v>
      </c>
      <c r="E67">
        <v>0.79979999999999996</v>
      </c>
      <c r="F67" t="str">
        <f>_xlfn.CONCAT(fraud[[#This Row],[lob]], " ",fraud[[#This Row],[time]])</f>
        <v>FLD 2026 Q1</v>
      </c>
    </row>
    <row r="68" spans="1:6" x14ac:dyDescent="0.35">
      <c r="A68" t="s">
        <v>127</v>
      </c>
      <c r="B68" t="s">
        <v>200</v>
      </c>
      <c r="C68">
        <v>0</v>
      </c>
      <c r="D68">
        <v>0</v>
      </c>
      <c r="E68">
        <v>1</v>
      </c>
      <c r="F68" t="str">
        <f>_xlfn.CONCAT(fraud[[#This Row],[lob]], " ",fraud[[#This Row],[time]])</f>
        <v>ORL 2026 Q1</v>
      </c>
    </row>
    <row r="69" spans="1:6" x14ac:dyDescent="0.35">
      <c r="A69" t="s">
        <v>152</v>
      </c>
      <c r="B69" t="s">
        <v>446</v>
      </c>
      <c r="C69">
        <v>7.3700000000000002E-2</v>
      </c>
      <c r="D69">
        <v>0.21429999999999999</v>
      </c>
      <c r="F69" s="15" t="str">
        <f>_xlfn.CONCAT(fraud[[#This Row],[lob]], " ",fraud[[#This Row],[time]])</f>
        <v>nonkmx 2023 Q3</v>
      </c>
    </row>
    <row r="70" spans="1:6" x14ac:dyDescent="0.35">
      <c r="A70" t="s">
        <v>166</v>
      </c>
      <c r="B70" t="s">
        <v>446</v>
      </c>
      <c r="C70">
        <v>7.5700000000000003E-2</v>
      </c>
      <c r="D70">
        <v>0.2324</v>
      </c>
      <c r="F70" s="15" t="str">
        <f>_xlfn.CONCAT(fraud[[#This Row],[lob]], " ",fraud[[#This Row],[time]])</f>
        <v>nonkmx 2023 Q4</v>
      </c>
    </row>
    <row r="71" spans="1:6" x14ac:dyDescent="0.35">
      <c r="A71" t="s">
        <v>167</v>
      </c>
      <c r="B71" t="s">
        <v>446</v>
      </c>
      <c r="C71">
        <v>6.0400000000000002E-2</v>
      </c>
      <c r="D71">
        <v>0.26040000000000002</v>
      </c>
      <c r="F71" s="15" t="str">
        <f>_xlfn.CONCAT(fraud[[#This Row],[lob]], " ",fraud[[#This Row],[time]])</f>
        <v>nonkmx 2024 Q1</v>
      </c>
    </row>
    <row r="72" spans="1:6" x14ac:dyDescent="0.35">
      <c r="A72" t="s">
        <v>163</v>
      </c>
      <c r="B72" t="s">
        <v>446</v>
      </c>
      <c r="C72">
        <v>6.6400000000000001E-2</v>
      </c>
      <c r="D72">
        <v>0.28989999999999999</v>
      </c>
      <c r="F72" s="15" t="str">
        <f>_xlfn.CONCAT(fraud[[#This Row],[lob]], " ",fraud[[#This Row],[time]])</f>
        <v>nonkmx 2024 Q2</v>
      </c>
    </row>
    <row r="73" spans="1:6" x14ac:dyDescent="0.35">
      <c r="A73" t="s">
        <v>160</v>
      </c>
      <c r="B73" t="s">
        <v>446</v>
      </c>
      <c r="C73">
        <v>6.9900000000000004E-2</v>
      </c>
      <c r="D73">
        <v>0.3075</v>
      </c>
      <c r="F73" s="15" t="str">
        <f>_xlfn.CONCAT(fraud[[#This Row],[lob]], " ",fraud[[#This Row],[time]])</f>
        <v>nonkmx 2024 Q3</v>
      </c>
    </row>
    <row r="74" spans="1:6" x14ac:dyDescent="0.35">
      <c r="A74" t="s">
        <v>126</v>
      </c>
      <c r="B74" t="s">
        <v>446</v>
      </c>
      <c r="C74">
        <v>5.57E-2</v>
      </c>
      <c r="D74">
        <v>0.23280000000000001</v>
      </c>
      <c r="F74" s="15" t="str">
        <f>_xlfn.CONCAT(fraud[[#This Row],[lob]], " ",fraud[[#This Row],[time]])</f>
        <v>nonkmx 2024 Q4</v>
      </c>
    </row>
    <row r="75" spans="1:6" x14ac:dyDescent="0.35">
      <c r="A75" t="s">
        <v>128</v>
      </c>
      <c r="B75" t="s">
        <v>446</v>
      </c>
      <c r="C75">
        <v>5.8099999999999999E-2</v>
      </c>
      <c r="D75">
        <v>0.17369999999999999</v>
      </c>
      <c r="F75" s="15" t="str">
        <f>_xlfn.CONCAT(fraud[[#This Row],[lob]], " ",fraud[[#This Row],[time]])</f>
        <v>nonkmx 2025 Q1</v>
      </c>
    </row>
    <row r="76" spans="1:6" x14ac:dyDescent="0.35">
      <c r="A76" t="s">
        <v>129</v>
      </c>
      <c r="B76" t="s">
        <v>446</v>
      </c>
      <c r="C76">
        <v>6.59E-2</v>
      </c>
      <c r="D76">
        <v>0.2</v>
      </c>
      <c r="F76" s="15" t="str">
        <f>_xlfn.CONCAT(fraud[[#This Row],[lob]], " ",fraud[[#This Row],[time]])</f>
        <v>nonkmx 2025 Q2</v>
      </c>
    </row>
    <row r="77" spans="1:6" x14ac:dyDescent="0.35">
      <c r="A77" t="s">
        <v>130</v>
      </c>
      <c r="B77" t="s">
        <v>446</v>
      </c>
      <c r="C77">
        <v>6.0900000000000003E-2</v>
      </c>
      <c r="D77">
        <v>0.19320000000000001</v>
      </c>
      <c r="F77" s="15" t="str">
        <f>_xlfn.CONCAT(fraud[[#This Row],[lob]], " ",fraud[[#This Row],[time]])</f>
        <v>nonkmx 2025 Q3</v>
      </c>
    </row>
    <row r="78" spans="1:6" x14ac:dyDescent="0.35">
      <c r="A78" t="s">
        <v>131</v>
      </c>
      <c r="B78" t="s">
        <v>446</v>
      </c>
      <c r="C78">
        <v>7.6100000000000001E-2</v>
      </c>
      <c r="D78">
        <v>0.18260000000000001</v>
      </c>
      <c r="F78" s="15" t="str">
        <f>_xlfn.CONCAT(fraud[[#This Row],[lob]], " ",fraud[[#This Row],[time]])</f>
        <v>nonkmx 2025 Q4</v>
      </c>
    </row>
    <row r="79" spans="1:6" x14ac:dyDescent="0.35">
      <c r="A79" t="s">
        <v>127</v>
      </c>
      <c r="B79" t="s">
        <v>446</v>
      </c>
      <c r="C79">
        <v>6.4399999999999999E-2</v>
      </c>
      <c r="D79">
        <v>0.19689999999999999</v>
      </c>
      <c r="F79" s="15" t="str">
        <f>_xlfn.CONCAT(fraud[[#This Row],[lob]], " ",fraud[[#This Row],[time]])</f>
        <v>nonkmx 2026 Q1</v>
      </c>
    </row>
    <row r="84" spans="1:6" x14ac:dyDescent="0.35">
      <c r="A84" s="175" t="s">
        <v>152</v>
      </c>
      <c r="B84" s="176">
        <v>7.3700000000000002E-2</v>
      </c>
      <c r="C84" s="176">
        <v>0.21429999999999999</v>
      </c>
    </row>
    <row r="85" spans="1:6" x14ac:dyDescent="0.35">
      <c r="A85" s="177" t="s">
        <v>163</v>
      </c>
      <c r="B85" s="178">
        <v>6.6400000000000001E-2</v>
      </c>
      <c r="C85" s="178">
        <v>0.28989999999999999</v>
      </c>
    </row>
    <row r="86" spans="1:6" x14ac:dyDescent="0.35">
      <c r="A86" s="175" t="s">
        <v>128</v>
      </c>
      <c r="B86" s="176">
        <v>5.8099999999999999E-2</v>
      </c>
      <c r="C86" s="176">
        <v>0.17369999999999999</v>
      </c>
    </row>
    <row r="87" spans="1:6" x14ac:dyDescent="0.35">
      <c r="A87" s="175" t="s">
        <v>130</v>
      </c>
      <c r="B87" s="176">
        <v>6.0900000000000003E-2</v>
      </c>
      <c r="C87" s="176">
        <v>0.19320000000000001</v>
      </c>
    </row>
    <row r="88" spans="1:6" x14ac:dyDescent="0.35">
      <c r="A88" s="179" t="s">
        <v>127</v>
      </c>
      <c r="B88" s="180">
        <v>6.4399999999999999E-2</v>
      </c>
      <c r="C88" s="180">
        <v>0.19689999999999999</v>
      </c>
    </row>
    <row r="90" spans="1:6" x14ac:dyDescent="0.35">
      <c r="A90" s="175" t="s">
        <v>152</v>
      </c>
      <c r="B90" s="177" t="s">
        <v>163</v>
      </c>
      <c r="C90" s="175" t="s">
        <v>128</v>
      </c>
      <c r="D90" s="175" t="s">
        <v>130</v>
      </c>
      <c r="E90" s="179" t="s">
        <v>127</v>
      </c>
    </row>
    <row r="91" spans="1:6" x14ac:dyDescent="0.35">
      <c r="A91" s="176">
        <v>7.3700000000000002E-2</v>
      </c>
      <c r="B91" s="178">
        <v>6.6400000000000001E-2</v>
      </c>
      <c r="C91" s="176">
        <v>5.8099999999999999E-2</v>
      </c>
      <c r="D91" s="176">
        <v>6.0900000000000003E-2</v>
      </c>
      <c r="E91" s="180">
        <v>6.4399999999999999E-2</v>
      </c>
      <c r="F91" t="s">
        <v>448</v>
      </c>
    </row>
    <row r="92" spans="1:6" x14ac:dyDescent="0.35">
      <c r="A92" s="176">
        <v>0.21429999999999999</v>
      </c>
      <c r="B92" s="178">
        <v>0.28989999999999999</v>
      </c>
      <c r="C92" s="176">
        <v>0.17369999999999999</v>
      </c>
      <c r="D92" s="176">
        <v>0.19320000000000001</v>
      </c>
      <c r="E92" s="180">
        <v>0.19689999999999999</v>
      </c>
      <c r="F92" t="s">
        <v>447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85B8E-7280-4E24-A85D-F7827AC21E6D}">
  <dimension ref="A1:K247"/>
  <sheetViews>
    <sheetView zoomScale="130" zoomScaleNormal="130" workbookViewId="0">
      <pane ySplit="1" topLeftCell="A218" activePane="bottomLeft" state="frozen"/>
      <selection pane="bottomLeft" activeCell="A247" sqref="A247"/>
    </sheetView>
  </sheetViews>
  <sheetFormatPr defaultRowHeight="14.5" x14ac:dyDescent="0.35"/>
  <cols>
    <col min="1" max="5" width="16.1796875" bestFit="1" customWidth="1"/>
    <col min="6" max="7" width="11.1796875" customWidth="1"/>
    <col min="8" max="8" width="10.81640625" customWidth="1"/>
    <col min="9" max="9" width="13.54296875" customWidth="1"/>
    <col min="10" max="10" width="12.453125" customWidth="1"/>
    <col min="11" max="11" width="26.453125" customWidth="1"/>
  </cols>
  <sheetData>
    <row r="1" spans="1:11" x14ac:dyDescent="0.35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189</v>
      </c>
    </row>
    <row r="2" spans="1:11" x14ac:dyDescent="0.35">
      <c r="A2" t="s">
        <v>127</v>
      </c>
      <c r="B2" t="s">
        <v>122</v>
      </c>
      <c r="C2" s="19">
        <v>1.7000000000000001E-2</v>
      </c>
      <c r="D2" s="19">
        <v>0.17613636363636301</v>
      </c>
      <c r="E2" s="19">
        <v>0.68181818181818099</v>
      </c>
      <c r="F2" s="19">
        <v>0.125</v>
      </c>
      <c r="G2" s="19">
        <v>0</v>
      </c>
      <c r="H2" s="19">
        <v>0</v>
      </c>
      <c r="I2" s="19">
        <v>0.193136363636363</v>
      </c>
      <c r="J2" s="19" t="s">
        <v>101</v>
      </c>
      <c r="K2" s="20" t="str">
        <f>_xlfn.CONCAT(dll[[#This Row],[lob]], " ", dll[[#This Row],[valid_vintage]])</f>
        <v>ENT 2026 Q1</v>
      </c>
    </row>
    <row r="3" spans="1:11" x14ac:dyDescent="0.35">
      <c r="A3" t="s">
        <v>127</v>
      </c>
      <c r="B3" t="s">
        <v>153</v>
      </c>
      <c r="C3" s="19">
        <v>2.64E-2</v>
      </c>
      <c r="D3" s="19">
        <v>0.235894357743097</v>
      </c>
      <c r="E3" s="19">
        <v>0.59903961584633802</v>
      </c>
      <c r="F3" s="19">
        <v>8.5234093637454905E-2</v>
      </c>
      <c r="G3" s="19">
        <v>4.4417767106842698E-2</v>
      </c>
      <c r="H3" s="19">
        <v>9.00360144057623E-3</v>
      </c>
      <c r="I3" s="19">
        <v>0.26229435774309701</v>
      </c>
      <c r="J3" s="19">
        <v>0.13865546218487301</v>
      </c>
      <c r="K3" s="20" t="str">
        <f>_xlfn.CONCAT(dll[[#This Row],[lob]], " ", dll[[#This Row],[valid_vintage]])</f>
        <v>STG 2026 Q1</v>
      </c>
    </row>
    <row r="4" spans="1:11" x14ac:dyDescent="0.35">
      <c r="A4" t="s">
        <v>127</v>
      </c>
      <c r="B4" t="s">
        <v>151</v>
      </c>
      <c r="C4" s="19">
        <v>1.2E-2</v>
      </c>
      <c r="D4" s="19">
        <v>0.167465111435117</v>
      </c>
      <c r="E4" s="19">
        <v>0.75275984169964505</v>
      </c>
      <c r="F4" s="19">
        <v>4.0824828160799798E-2</v>
      </c>
      <c r="G4" s="19">
        <v>2.6036242449489599E-2</v>
      </c>
      <c r="H4" s="19">
        <v>8.3315975838366997E-4</v>
      </c>
      <c r="I4" s="19">
        <v>0.17946511143511701</v>
      </c>
      <c r="J4" s="19">
        <v>6.76942303686731E-2</v>
      </c>
      <c r="K4" s="20" t="str">
        <f>_xlfn.CONCAT(dll[[#This Row],[lob]], " ", dll[[#This Row],[valid_vintage]])</f>
        <v>FRN 2026 Q1</v>
      </c>
    </row>
    <row r="5" spans="1:11" x14ac:dyDescent="0.35">
      <c r="A5" t="s">
        <v>127</v>
      </c>
      <c r="B5" t="s">
        <v>149</v>
      </c>
      <c r="C5" s="19">
        <v>6.4299999999999996E-2</v>
      </c>
      <c r="D5" s="19">
        <v>0.251461988304093</v>
      </c>
      <c r="E5" s="19">
        <v>0.56725146198830401</v>
      </c>
      <c r="F5" s="19">
        <v>8.1871345029239706E-2</v>
      </c>
      <c r="G5" s="19">
        <v>3.5087719298245598E-2</v>
      </c>
      <c r="H5" s="19">
        <v>0</v>
      </c>
      <c r="I5" s="19">
        <v>0.31576198830409302</v>
      </c>
      <c r="J5" s="19">
        <v>0.116959064327485</v>
      </c>
      <c r="K5" s="20" t="str">
        <f>_xlfn.CONCAT(dll[[#This Row],[lob]], " ", dll[[#This Row],[valid_vintage]])</f>
        <v>AN 2026 Q1</v>
      </c>
    </row>
    <row r="6" spans="1:11" x14ac:dyDescent="0.35">
      <c r="A6" t="s">
        <v>127</v>
      </c>
      <c r="B6" t="s">
        <v>155</v>
      </c>
      <c r="C6" s="19">
        <v>0.11559999999999999</v>
      </c>
      <c r="D6" s="19">
        <v>0.34687499999999999</v>
      </c>
      <c r="E6" s="19">
        <v>0.47499999999999998</v>
      </c>
      <c r="F6" s="19">
        <v>3.7499999999999999E-2</v>
      </c>
      <c r="G6" s="19">
        <v>2.5000000000000001E-2</v>
      </c>
      <c r="H6" s="19">
        <v>0</v>
      </c>
      <c r="I6" s="19">
        <v>0.46247500000000002</v>
      </c>
      <c r="J6" s="19">
        <v>6.25E-2</v>
      </c>
      <c r="K6" s="20" t="str">
        <f>_xlfn.CONCAT(dll[[#This Row],[lob]], " ", dll[[#This Row],[valid_vintage]])</f>
        <v>FLD 2026 Q1</v>
      </c>
    </row>
    <row r="7" spans="1:11" x14ac:dyDescent="0.35">
      <c r="A7" t="s">
        <v>131</v>
      </c>
      <c r="B7" t="s">
        <v>153</v>
      </c>
      <c r="C7" s="19">
        <v>2.64E-2</v>
      </c>
      <c r="D7" s="19">
        <v>0.21248499399759899</v>
      </c>
      <c r="E7" s="19">
        <v>0.626050420168067</v>
      </c>
      <c r="F7" s="19">
        <v>8.3433373349339701E-2</v>
      </c>
      <c r="G7" s="19">
        <v>4.2617046818727397E-2</v>
      </c>
      <c r="H7" s="19">
        <v>9.00360144057623E-3</v>
      </c>
      <c r="I7" s="19">
        <v>0.23888499399759899</v>
      </c>
      <c r="J7" s="19">
        <v>0.13505402160864299</v>
      </c>
      <c r="K7" s="20" t="str">
        <f>_xlfn.CONCAT(dll[[#This Row],[lob]], " ", dll[[#This Row],[valid_vintage]])</f>
        <v>STG 2025 Q4</v>
      </c>
    </row>
    <row r="8" spans="1:11" x14ac:dyDescent="0.35">
      <c r="A8" t="s">
        <v>131</v>
      </c>
      <c r="B8" t="s">
        <v>151</v>
      </c>
      <c r="C8" s="19">
        <v>9.2999999999999992E-3</v>
      </c>
      <c r="D8" s="19">
        <v>0.17142262028743999</v>
      </c>
      <c r="E8" s="19">
        <v>0.757967090189543</v>
      </c>
      <c r="F8" s="19">
        <v>3.4784419912518197E-2</v>
      </c>
      <c r="G8" s="19">
        <v>2.6036242449489599E-2</v>
      </c>
      <c r="H8" s="19">
        <v>4.1657987919183E-4</v>
      </c>
      <c r="I8" s="19">
        <v>0.18072262028743999</v>
      </c>
      <c r="J8" s="19">
        <v>6.1237242241199703E-2</v>
      </c>
      <c r="K8" s="20" t="str">
        <f>_xlfn.CONCAT(dll[[#This Row],[lob]], " ", dll[[#This Row],[valid_vintage]])</f>
        <v>FRN 2025 Q4</v>
      </c>
    </row>
    <row r="9" spans="1:11" x14ac:dyDescent="0.35">
      <c r="A9" t="s">
        <v>131</v>
      </c>
      <c r="B9" t="s">
        <v>149</v>
      </c>
      <c r="C9" s="19">
        <v>6.7199999999999996E-2</v>
      </c>
      <c r="D9" s="19">
        <v>0.251461988304093</v>
      </c>
      <c r="E9" s="19">
        <v>0.54678362573099404</v>
      </c>
      <c r="F9" s="19">
        <v>9.9415204678362498E-2</v>
      </c>
      <c r="G9" s="19">
        <v>3.5087719298245598E-2</v>
      </c>
      <c r="H9" s="19">
        <v>0</v>
      </c>
      <c r="I9" s="19">
        <v>0.31866198830409298</v>
      </c>
      <c r="J9" s="19">
        <v>0.13450292397660801</v>
      </c>
      <c r="K9" s="20" t="str">
        <f>_xlfn.CONCAT(dll[[#This Row],[lob]], " ", dll[[#This Row],[valid_vintage]])</f>
        <v>AN 2025 Q4</v>
      </c>
    </row>
    <row r="10" spans="1:11" x14ac:dyDescent="0.35">
      <c r="A10" t="s">
        <v>131</v>
      </c>
      <c r="B10" t="s">
        <v>155</v>
      </c>
      <c r="C10" s="19">
        <v>0.10929999999999999</v>
      </c>
      <c r="D10" s="19">
        <v>0.42499999999999999</v>
      </c>
      <c r="E10" s="19">
        <v>0.40625</v>
      </c>
      <c r="F10" s="19">
        <v>3.7499999999999999E-2</v>
      </c>
      <c r="G10" s="19">
        <v>1.8749999999999999E-2</v>
      </c>
      <c r="H10" s="19">
        <v>3.1250000000000002E-3</v>
      </c>
      <c r="I10" s="19">
        <v>0.5343</v>
      </c>
      <c r="J10" s="19">
        <v>5.9374999999999997E-2</v>
      </c>
      <c r="K10" s="20" t="str">
        <f>_xlfn.CONCAT(dll[[#This Row],[lob]], " ", dll[[#This Row],[valid_vintage]])</f>
        <v>FLD 2025 Q4</v>
      </c>
    </row>
    <row r="11" spans="1:11" x14ac:dyDescent="0.35">
      <c r="A11" t="s">
        <v>131</v>
      </c>
      <c r="B11" t="s">
        <v>122</v>
      </c>
      <c r="C11" s="19">
        <v>0</v>
      </c>
      <c r="D11" s="19">
        <v>0.17613636363636301</v>
      </c>
      <c r="E11" s="19">
        <v>0.69318181818181801</v>
      </c>
      <c r="F11" s="19">
        <v>0.13068181818181801</v>
      </c>
      <c r="G11" s="19">
        <v>0</v>
      </c>
      <c r="H11" s="19">
        <v>0</v>
      </c>
      <c r="I11" s="19">
        <v>0.17613636363636301</v>
      </c>
      <c r="J11" s="19">
        <v>0.13068181818181801</v>
      </c>
      <c r="K11" s="20" t="str">
        <f>_xlfn.CONCAT(dll[[#This Row],[lob]], " ", dll[[#This Row],[valid_vintage]])</f>
        <v>ENT 2025 Q4</v>
      </c>
    </row>
    <row r="12" spans="1:11" x14ac:dyDescent="0.35">
      <c r="A12" t="s">
        <v>130</v>
      </c>
      <c r="B12" t="s">
        <v>149</v>
      </c>
      <c r="C12" s="19">
        <v>3.5099999999999999E-2</v>
      </c>
      <c r="D12" s="19">
        <v>0.28445747800586502</v>
      </c>
      <c r="E12" s="19">
        <v>0.56304985337243396</v>
      </c>
      <c r="F12" s="19">
        <v>9.0909090909090898E-2</v>
      </c>
      <c r="G12" s="19">
        <v>2.63929618768328E-2</v>
      </c>
      <c r="H12" s="19">
        <v>0</v>
      </c>
      <c r="I12" s="19">
        <v>0.31955747800586498</v>
      </c>
      <c r="J12" s="19">
        <v>0.117302052785923</v>
      </c>
      <c r="K12" s="20" t="str">
        <f>_xlfn.CONCAT(dll[[#This Row],[lob]], " ", dll[[#This Row],[valid_vintage]])</f>
        <v>AN 2025 Q3</v>
      </c>
    </row>
    <row r="13" spans="1:11" x14ac:dyDescent="0.35">
      <c r="A13" t="s">
        <v>130</v>
      </c>
      <c r="B13" t="s">
        <v>151</v>
      </c>
      <c r="C13" s="19">
        <v>9.9000000000000008E-3</v>
      </c>
      <c r="D13" s="19">
        <v>0.16060093101988901</v>
      </c>
      <c r="E13" s="19">
        <v>0.75243334743969503</v>
      </c>
      <c r="F13" s="19">
        <v>5.2475666525603003E-2</v>
      </c>
      <c r="G13" s="19">
        <v>2.4121878967414301E-2</v>
      </c>
      <c r="H13" s="19">
        <v>4.2319085907743998E-4</v>
      </c>
      <c r="I13" s="19">
        <v>0.170500931019889</v>
      </c>
      <c r="J13" s="19">
        <v>7.7020736352094707E-2</v>
      </c>
      <c r="K13" s="20" t="str">
        <f>_xlfn.CONCAT(dll[[#This Row],[lob]], " ", dll[[#This Row],[valid_vintage]])</f>
        <v>FRN 2025 Q3</v>
      </c>
    </row>
    <row r="14" spans="1:11" x14ac:dyDescent="0.35">
      <c r="A14" t="s">
        <v>130</v>
      </c>
      <c r="B14" t="s">
        <v>122</v>
      </c>
      <c r="C14" s="19">
        <v>0</v>
      </c>
      <c r="D14" s="19">
        <v>0.21590909090909</v>
      </c>
      <c r="E14" s="19">
        <v>0.51136363636363602</v>
      </c>
      <c r="F14" s="19">
        <v>0.24431818181818099</v>
      </c>
      <c r="G14" s="19">
        <v>2.8409090909090901E-2</v>
      </c>
      <c r="H14" s="19">
        <v>0</v>
      </c>
      <c r="I14" s="19">
        <v>0.21590909090909</v>
      </c>
      <c r="J14" s="19">
        <v>0.27272727272727199</v>
      </c>
      <c r="K14" s="20" t="str">
        <f>_xlfn.CONCAT(dll[[#This Row],[lob]], " ", dll[[#This Row],[valid_vintage]])</f>
        <v>ENT 2025 Q3</v>
      </c>
    </row>
    <row r="15" spans="1:11" x14ac:dyDescent="0.35">
      <c r="A15" t="s">
        <v>130</v>
      </c>
      <c r="B15" t="s">
        <v>155</v>
      </c>
      <c r="C15" s="19">
        <v>0.1163</v>
      </c>
      <c r="D15" s="19">
        <v>0.48113207547169801</v>
      </c>
      <c r="E15" s="19">
        <v>0.36792452830188599</v>
      </c>
      <c r="F15" s="19">
        <v>2.83018867924528E-2</v>
      </c>
      <c r="G15" s="19">
        <v>3.1446540880503099E-3</v>
      </c>
      <c r="H15" s="19">
        <v>3.1446540880503099E-3</v>
      </c>
      <c r="I15" s="19">
        <v>0.59743207547169797</v>
      </c>
      <c r="J15" s="19">
        <v>3.4591194968553403E-2</v>
      </c>
      <c r="K15" s="20" t="str">
        <f>_xlfn.CONCAT(dll[[#This Row],[lob]], " ", dll[[#This Row],[valid_vintage]])</f>
        <v>FLD 2025 Q3</v>
      </c>
    </row>
    <row r="16" spans="1:11" x14ac:dyDescent="0.35">
      <c r="A16" t="s">
        <v>130</v>
      </c>
      <c r="B16" t="s">
        <v>153</v>
      </c>
      <c r="C16" s="19">
        <v>1.3899999999999999E-2</v>
      </c>
      <c r="D16" s="19">
        <v>0.287530266343825</v>
      </c>
      <c r="E16" s="19">
        <v>0.59140435835351002</v>
      </c>
      <c r="F16" s="19">
        <v>8.1719128329297799E-2</v>
      </c>
      <c r="G16" s="19">
        <v>1.6343825665859499E-2</v>
      </c>
      <c r="H16" s="19">
        <v>9.0799031476997503E-3</v>
      </c>
      <c r="I16" s="19">
        <v>0.30143026634382503</v>
      </c>
      <c r="J16" s="19">
        <v>0.107142857142857</v>
      </c>
      <c r="K16" s="20" t="str">
        <f>_xlfn.CONCAT(dll[[#This Row],[lob]], " ", dll[[#This Row],[valid_vintage]])</f>
        <v>STG 2025 Q3</v>
      </c>
    </row>
    <row r="17" spans="1:11" x14ac:dyDescent="0.35">
      <c r="A17" t="s">
        <v>129</v>
      </c>
      <c r="B17" t="s">
        <v>151</v>
      </c>
      <c r="C17" s="19">
        <v>9.7999999999999997E-3</v>
      </c>
      <c r="D17" s="19">
        <v>0.17233856893542701</v>
      </c>
      <c r="E17" s="19">
        <v>0.73211169284467703</v>
      </c>
      <c r="F17" s="19">
        <v>4.9083769633507801E-2</v>
      </c>
      <c r="G17" s="19">
        <v>3.6212914485165698E-2</v>
      </c>
      <c r="H17" s="19">
        <v>4.3630017452006E-4</v>
      </c>
      <c r="I17" s="19">
        <v>0.18213856893542699</v>
      </c>
      <c r="J17" s="19">
        <v>8.5732984293193704E-2</v>
      </c>
      <c r="K17" s="20" t="str">
        <f>_xlfn.CONCAT(dll[[#This Row],[lob]], " ", dll[[#This Row],[valid_vintage]])</f>
        <v>FRN 2025 Q2</v>
      </c>
    </row>
    <row r="18" spans="1:11" x14ac:dyDescent="0.35">
      <c r="A18" t="s">
        <v>129</v>
      </c>
      <c r="B18" t="s">
        <v>149</v>
      </c>
      <c r="C18" s="19">
        <v>3.8199999999999998E-2</v>
      </c>
      <c r="D18" s="19">
        <v>0.27352941176470502</v>
      </c>
      <c r="E18" s="19">
        <v>0.52647058823529402</v>
      </c>
      <c r="F18" s="19">
        <v>0.15</v>
      </c>
      <c r="G18" s="19">
        <v>1.1764705882352899E-2</v>
      </c>
      <c r="H18" s="19">
        <v>0</v>
      </c>
      <c r="I18" s="19">
        <v>0.31172941176470498</v>
      </c>
      <c r="J18" s="19">
        <v>0.16176470588235201</v>
      </c>
      <c r="K18" s="20" t="str">
        <f>_xlfn.CONCAT(dll[[#This Row],[lob]], " ", dll[[#This Row],[valid_vintage]])</f>
        <v>AN 2025 Q2</v>
      </c>
    </row>
    <row r="19" spans="1:11" x14ac:dyDescent="0.35">
      <c r="A19" t="s">
        <v>129</v>
      </c>
      <c r="B19" t="s">
        <v>122</v>
      </c>
      <c r="C19" s="19">
        <v>0</v>
      </c>
      <c r="D19" s="19">
        <v>0.17142857142857101</v>
      </c>
      <c r="E19" s="19">
        <v>0.58285714285714196</v>
      </c>
      <c r="F19" s="19">
        <v>0.21142857142857099</v>
      </c>
      <c r="G19" s="19">
        <v>3.4285714285714197E-2</v>
      </c>
      <c r="H19" s="19">
        <v>0</v>
      </c>
      <c r="I19" s="19">
        <v>0.17142857142857101</v>
      </c>
      <c r="J19" s="19">
        <v>0.245714285714285</v>
      </c>
      <c r="K19" s="20" t="str">
        <f>_xlfn.CONCAT(dll[[#This Row],[lob]], " ", dll[[#This Row],[valid_vintage]])</f>
        <v>ENT 2025 Q2</v>
      </c>
    </row>
    <row r="20" spans="1:11" x14ac:dyDescent="0.35">
      <c r="A20" t="s">
        <v>129</v>
      </c>
      <c r="B20" t="s">
        <v>155</v>
      </c>
      <c r="C20" s="19">
        <v>3.7900000000000003E-2</v>
      </c>
      <c r="D20" s="19">
        <v>0.518987341772151</v>
      </c>
      <c r="E20" s="19">
        <v>0.341772151898734</v>
      </c>
      <c r="F20" s="19">
        <v>3.1645569620253097E-2</v>
      </c>
      <c r="G20" s="19">
        <v>6.6455696202531597E-2</v>
      </c>
      <c r="H20" s="19">
        <v>3.1645569620253099E-3</v>
      </c>
      <c r="I20" s="19">
        <v>0.55688734177215105</v>
      </c>
      <c r="J20" s="19">
        <v>0.10126582278481</v>
      </c>
      <c r="K20" s="20" t="str">
        <f>_xlfn.CONCAT(dll[[#This Row],[lob]], " ", dll[[#This Row],[valid_vintage]])</f>
        <v>FLD 2025 Q2</v>
      </c>
    </row>
    <row r="21" spans="1:11" x14ac:dyDescent="0.35">
      <c r="A21" t="s">
        <v>129</v>
      </c>
      <c r="B21" t="s">
        <v>153</v>
      </c>
      <c r="C21" s="19">
        <v>1.6E-2</v>
      </c>
      <c r="D21" s="19">
        <v>0.26946847960444897</v>
      </c>
      <c r="E21" s="19">
        <v>0.61928306551297796</v>
      </c>
      <c r="F21" s="19">
        <v>6.7367119901112396E-2</v>
      </c>
      <c r="G21" s="19">
        <v>2.10135970333745E-2</v>
      </c>
      <c r="H21" s="19">
        <v>6.7985166872682303E-3</v>
      </c>
      <c r="I21" s="19">
        <v>0.28546847960444899</v>
      </c>
      <c r="J21" s="19">
        <v>9.5179233621755205E-2</v>
      </c>
      <c r="K21" s="20" t="str">
        <f>_xlfn.CONCAT(dll[[#This Row],[lob]], " ", dll[[#This Row],[valid_vintage]])</f>
        <v>STG 2025 Q2</v>
      </c>
    </row>
    <row r="22" spans="1:11" x14ac:dyDescent="0.35">
      <c r="A22" t="s">
        <v>128</v>
      </c>
      <c r="B22" t="s">
        <v>149</v>
      </c>
      <c r="C22" s="19">
        <v>1.47E-2</v>
      </c>
      <c r="D22" s="19">
        <v>0.28994082840236601</v>
      </c>
      <c r="E22" s="19">
        <v>0.60059171597633099</v>
      </c>
      <c r="F22" s="19">
        <v>7.69230769230769E-2</v>
      </c>
      <c r="G22" s="19">
        <v>1.7751479289940801E-2</v>
      </c>
      <c r="H22" s="19">
        <v>0</v>
      </c>
      <c r="I22" s="19">
        <v>0.304640828402366</v>
      </c>
      <c r="J22" s="19">
        <v>9.4674556213017694E-2</v>
      </c>
      <c r="K22" s="20" t="str">
        <f>_xlfn.CONCAT(dll[[#This Row],[lob]], " ", dll[[#This Row],[valid_vintage]])</f>
        <v>AN 2025 Q1</v>
      </c>
    </row>
    <row r="23" spans="1:11" x14ac:dyDescent="0.35">
      <c r="A23" t="s">
        <v>128</v>
      </c>
      <c r="B23" t="s">
        <v>122</v>
      </c>
      <c r="C23" s="19">
        <v>0</v>
      </c>
      <c r="D23" s="19">
        <v>0.178160919540229</v>
      </c>
      <c r="E23" s="19">
        <v>0.52298850574712596</v>
      </c>
      <c r="F23" s="19">
        <v>0.29310344827586199</v>
      </c>
      <c r="G23" s="19">
        <v>5.7471264367815996E-3</v>
      </c>
      <c r="H23" s="19">
        <v>0</v>
      </c>
      <c r="I23" s="19">
        <v>0.178160919540229</v>
      </c>
      <c r="J23" s="19">
        <v>0.29885057471264298</v>
      </c>
      <c r="K23" s="20" t="str">
        <f>_xlfn.CONCAT(dll[[#This Row],[lob]], " ", dll[[#This Row],[valid_vintage]])</f>
        <v>ENT 2025 Q1</v>
      </c>
    </row>
    <row r="24" spans="1:11" x14ac:dyDescent="0.35">
      <c r="A24" t="s">
        <v>128</v>
      </c>
      <c r="B24" t="s">
        <v>151</v>
      </c>
      <c r="C24" s="19">
        <v>9.7000000000000003E-3</v>
      </c>
      <c r="D24" s="19">
        <v>0.16440217391304299</v>
      </c>
      <c r="E24" s="19">
        <v>0.74615036231884002</v>
      </c>
      <c r="F24" s="19">
        <v>4.4610507246376802E-2</v>
      </c>
      <c r="G24" s="19">
        <v>3.4420289855072402E-2</v>
      </c>
      <c r="H24" s="19">
        <v>6.7934782608695E-4</v>
      </c>
      <c r="I24" s="19">
        <v>0.174102173913043</v>
      </c>
      <c r="J24" s="19">
        <v>7.9710144927536197E-2</v>
      </c>
      <c r="K24" s="20" t="str">
        <f>_xlfn.CONCAT(dll[[#This Row],[lob]], " ", dll[[#This Row],[valid_vintage]])</f>
        <v>FRN 2025 Q1</v>
      </c>
    </row>
    <row r="25" spans="1:11" x14ac:dyDescent="0.35">
      <c r="A25" t="s">
        <v>128</v>
      </c>
      <c r="B25" t="s">
        <v>153</v>
      </c>
      <c r="C25" s="19">
        <v>2.3E-2</v>
      </c>
      <c r="D25" s="19">
        <v>0.30798004987531102</v>
      </c>
      <c r="E25" s="19">
        <v>0.56795511221945105</v>
      </c>
      <c r="F25" s="19">
        <v>7.6683291770573495E-2</v>
      </c>
      <c r="G25" s="19">
        <v>1.7456359102244301E-2</v>
      </c>
      <c r="H25" s="19">
        <v>6.857855361596E-3</v>
      </c>
      <c r="I25" s="19">
        <v>0.33098004987531099</v>
      </c>
      <c r="J25" s="19">
        <v>0.100997506234413</v>
      </c>
      <c r="K25" s="20" t="str">
        <f>_xlfn.CONCAT(dll[[#This Row],[lob]], " ", dll[[#This Row],[valid_vintage]])</f>
        <v>STG 2025 Q1</v>
      </c>
    </row>
    <row r="26" spans="1:11" x14ac:dyDescent="0.35">
      <c r="A26" t="s">
        <v>128</v>
      </c>
      <c r="B26" t="s">
        <v>155</v>
      </c>
      <c r="C26" s="19">
        <v>3.8399999999999997E-2</v>
      </c>
      <c r="D26" s="19">
        <v>0.44551282051281998</v>
      </c>
      <c r="E26" s="19">
        <v>0.46474358974358898</v>
      </c>
      <c r="F26" s="19">
        <v>4.1666666666666602E-2</v>
      </c>
      <c r="G26" s="19">
        <v>6.41025641025641E-3</v>
      </c>
      <c r="H26" s="19">
        <v>3.2051282051281998E-3</v>
      </c>
      <c r="I26" s="19">
        <v>0.48391282051281997</v>
      </c>
      <c r="J26" s="19">
        <v>5.1282051282051197E-2</v>
      </c>
      <c r="K26" s="20" t="str">
        <f>_xlfn.CONCAT(dll[[#This Row],[lob]], " ", dll[[#This Row],[valid_vintage]])</f>
        <v>FLD 2025 Q1</v>
      </c>
    </row>
    <row r="27" spans="1:11" x14ac:dyDescent="0.35">
      <c r="A27" t="s">
        <v>126</v>
      </c>
      <c r="B27" t="s">
        <v>149</v>
      </c>
      <c r="C27" s="19">
        <v>8.8999999999999999E-3</v>
      </c>
      <c r="D27" s="19">
        <v>0.27678571428571402</v>
      </c>
      <c r="E27" s="19">
        <v>0.53273809523809501</v>
      </c>
      <c r="F27" s="19">
        <v>0.16666666666666599</v>
      </c>
      <c r="G27" s="19">
        <v>1.48809523809523E-2</v>
      </c>
      <c r="H27" s="19">
        <v>0</v>
      </c>
      <c r="I27" s="19">
        <v>0.28568571428571399</v>
      </c>
      <c r="J27" s="19">
        <v>0.18154761904761901</v>
      </c>
      <c r="K27" s="20" t="str">
        <f>_xlfn.CONCAT(dll[[#This Row],[lob]], " ", dll[[#This Row],[valid_vintage]])</f>
        <v>AN 2024 Q4</v>
      </c>
    </row>
    <row r="28" spans="1:11" x14ac:dyDescent="0.35">
      <c r="A28" t="s">
        <v>126</v>
      </c>
      <c r="B28" t="s">
        <v>155</v>
      </c>
      <c r="C28" s="19">
        <v>1.29E-2</v>
      </c>
      <c r="D28" s="19">
        <v>0.44480519480519398</v>
      </c>
      <c r="E28" s="19">
        <v>0.48051948051948001</v>
      </c>
      <c r="F28" s="19">
        <v>4.8701298701298697E-2</v>
      </c>
      <c r="G28" s="19">
        <v>1.2987012987012899E-2</v>
      </c>
      <c r="H28" s="19">
        <v>0</v>
      </c>
      <c r="I28" s="19">
        <v>0.457705194805194</v>
      </c>
      <c r="J28" s="19">
        <v>6.1688311688311598E-2</v>
      </c>
      <c r="K28" s="20" t="str">
        <f>_xlfn.CONCAT(dll[[#This Row],[lob]], " ", dll[[#This Row],[valid_vintage]])</f>
        <v>FLD 2024 Q4</v>
      </c>
    </row>
    <row r="29" spans="1:11" x14ac:dyDescent="0.35">
      <c r="A29" t="s">
        <v>126</v>
      </c>
      <c r="B29" t="s">
        <v>122</v>
      </c>
      <c r="C29" s="19">
        <v>0</v>
      </c>
      <c r="D29" s="19">
        <v>0.27167630057803399</v>
      </c>
      <c r="E29" s="19">
        <v>0.51445086705202303</v>
      </c>
      <c r="F29" s="19">
        <v>0.17919075144508601</v>
      </c>
      <c r="G29" s="19">
        <v>3.4682080924855398E-2</v>
      </c>
      <c r="H29" s="19">
        <v>0</v>
      </c>
      <c r="I29" s="19">
        <v>0.27167630057803399</v>
      </c>
      <c r="J29" s="19">
        <v>0.21387283236994201</v>
      </c>
      <c r="K29" s="20" t="str">
        <f>_xlfn.CONCAT(dll[[#This Row],[lob]], " ", dll[[#This Row],[valid_vintage]])</f>
        <v>ENT 2024 Q4</v>
      </c>
    </row>
    <row r="30" spans="1:11" x14ac:dyDescent="0.35">
      <c r="A30" t="s">
        <v>126</v>
      </c>
      <c r="B30" t="s">
        <v>153</v>
      </c>
      <c r="C30" s="19">
        <v>2.1399999999999999E-2</v>
      </c>
      <c r="D30" s="19">
        <v>0.339848675914249</v>
      </c>
      <c r="E30" s="19">
        <v>0.52269861286254704</v>
      </c>
      <c r="F30" s="19">
        <v>6.6204287515762905E-2</v>
      </c>
      <c r="G30" s="19">
        <v>4.2875157629255901E-2</v>
      </c>
      <c r="H30" s="19">
        <v>6.9356872635561104E-3</v>
      </c>
      <c r="I30" s="19">
        <v>0.36124867591424897</v>
      </c>
      <c r="J30" s="19">
        <v>0.116015132408575</v>
      </c>
      <c r="K30" s="20" t="str">
        <f>_xlfn.CONCAT(dll[[#This Row],[lob]], " ", dll[[#This Row],[valid_vintage]])</f>
        <v>STG 2024 Q4</v>
      </c>
    </row>
    <row r="31" spans="1:11" x14ac:dyDescent="0.35">
      <c r="A31" t="s">
        <v>126</v>
      </c>
      <c r="B31" t="s">
        <v>151</v>
      </c>
      <c r="C31" s="19">
        <v>7.7000000000000002E-3</v>
      </c>
      <c r="D31" s="19">
        <v>0.14602500589761699</v>
      </c>
      <c r="E31" s="19">
        <v>0.77707006369426701</v>
      </c>
      <c r="F31" s="19">
        <v>2.3354564755838601E-2</v>
      </c>
      <c r="G31" s="19">
        <v>4.5293701344656698E-2</v>
      </c>
      <c r="H31" s="19">
        <v>4.7180938900683999E-4</v>
      </c>
      <c r="I31" s="19">
        <v>0.15372500589761701</v>
      </c>
      <c r="J31" s="19">
        <v>6.9120075489502206E-2</v>
      </c>
      <c r="K31" s="20" t="str">
        <f>_xlfn.CONCAT(dll[[#This Row],[lob]], " ", dll[[#This Row],[valid_vintage]])</f>
        <v>FRN 2024 Q4</v>
      </c>
    </row>
    <row r="32" spans="1:11" x14ac:dyDescent="0.35">
      <c r="A32" t="s">
        <v>160</v>
      </c>
      <c r="B32" t="s">
        <v>149</v>
      </c>
      <c r="C32" s="19">
        <v>8.8999999999999999E-3</v>
      </c>
      <c r="D32" s="19">
        <v>0.17365269461077801</v>
      </c>
      <c r="E32" s="19">
        <v>0.63473053892215503</v>
      </c>
      <c r="F32" s="19">
        <v>0.13173652694610699</v>
      </c>
      <c r="G32" s="19">
        <v>5.0898203592814301E-2</v>
      </c>
      <c r="H32" s="19">
        <v>0</v>
      </c>
      <c r="I32" s="19">
        <v>0.182552694610778</v>
      </c>
      <c r="J32" s="19">
        <v>0.18263473053892201</v>
      </c>
      <c r="K32" s="20" t="str">
        <f>_xlfn.CONCAT(dll[[#This Row],[lob]], " ", dll[[#This Row],[valid_vintage]])</f>
        <v>AN 2024 Q3</v>
      </c>
    </row>
    <row r="33" spans="1:11" x14ac:dyDescent="0.35">
      <c r="A33" t="s">
        <v>160</v>
      </c>
      <c r="B33" t="s">
        <v>155</v>
      </c>
      <c r="C33" s="19">
        <v>2.98E-2</v>
      </c>
      <c r="D33" s="19">
        <v>0.51986754966887405</v>
      </c>
      <c r="E33" s="19">
        <v>0.36754966887417201</v>
      </c>
      <c r="F33" s="19">
        <v>6.29139072847682E-2</v>
      </c>
      <c r="G33" s="19">
        <v>1.98675496688741E-2</v>
      </c>
      <c r="H33" s="19">
        <v>0</v>
      </c>
      <c r="I33" s="19">
        <v>0.54966754966887399</v>
      </c>
      <c r="J33" s="19">
        <v>8.2781456953642293E-2</v>
      </c>
      <c r="K33" s="20" t="str">
        <f>_xlfn.CONCAT(dll[[#This Row],[lob]], " ", dll[[#This Row],[valid_vintage]])</f>
        <v>FLD 2024 Q3</v>
      </c>
    </row>
    <row r="34" spans="1:11" x14ac:dyDescent="0.35">
      <c r="A34" t="s">
        <v>160</v>
      </c>
      <c r="B34" t="s">
        <v>122</v>
      </c>
      <c r="C34" s="19">
        <v>0</v>
      </c>
      <c r="D34" s="19">
        <v>0.21052631578947301</v>
      </c>
      <c r="E34" s="19">
        <v>0.502923976608187</v>
      </c>
      <c r="F34" s="19">
        <v>0.25730994152046699</v>
      </c>
      <c r="G34" s="19">
        <v>2.9239766081871298E-2</v>
      </c>
      <c r="H34" s="19">
        <v>0</v>
      </c>
      <c r="I34" s="19">
        <v>0.21052631578947301</v>
      </c>
      <c r="J34" s="19">
        <v>0.286549707602339</v>
      </c>
      <c r="K34" s="20" t="str">
        <f>_xlfn.CONCAT(dll[[#This Row],[lob]], " ", dll[[#This Row],[valid_vintage]])</f>
        <v>ENT 2024 Q3</v>
      </c>
    </row>
    <row r="35" spans="1:11" x14ac:dyDescent="0.35">
      <c r="A35" t="s">
        <v>160</v>
      </c>
      <c r="B35" t="s">
        <v>153</v>
      </c>
      <c r="C35" s="19">
        <v>2.46E-2</v>
      </c>
      <c r="D35" s="19">
        <v>0.27612412919569301</v>
      </c>
      <c r="E35" s="19">
        <v>0.59531348955034802</v>
      </c>
      <c r="F35" s="19">
        <v>7.0297656744775103E-2</v>
      </c>
      <c r="G35" s="19">
        <v>2.6599113362887901E-2</v>
      </c>
      <c r="H35" s="19">
        <v>6.9664344521849202E-3</v>
      </c>
      <c r="I35" s="19">
        <v>0.30072412919569302</v>
      </c>
      <c r="J35" s="19">
        <v>0.103863204559847</v>
      </c>
      <c r="K35" s="20" t="str">
        <f>_xlfn.CONCAT(dll[[#This Row],[lob]], " ", dll[[#This Row],[valid_vintage]])</f>
        <v>STG 2024 Q3</v>
      </c>
    </row>
    <row r="36" spans="1:11" x14ac:dyDescent="0.35">
      <c r="A36" t="s">
        <v>160</v>
      </c>
      <c r="B36" t="s">
        <v>151</v>
      </c>
      <c r="C36" s="19">
        <v>8.3999999999999995E-3</v>
      </c>
      <c r="D36" s="19">
        <v>0.13489298158287699</v>
      </c>
      <c r="E36" s="19">
        <v>0.78770532603285204</v>
      </c>
      <c r="F36" s="19">
        <v>4.08163265306122E-2</v>
      </c>
      <c r="G36" s="19">
        <v>2.76256844201095E-2</v>
      </c>
      <c r="H36" s="19">
        <v>4.9776007964161002E-4</v>
      </c>
      <c r="I36" s="19">
        <v>0.14329298158287701</v>
      </c>
      <c r="J36" s="19">
        <v>6.8939771030363306E-2</v>
      </c>
      <c r="K36" s="20" t="str">
        <f>_xlfn.CONCAT(dll[[#This Row],[lob]], " ", dll[[#This Row],[valid_vintage]])</f>
        <v>FRN 2024 Q3</v>
      </c>
    </row>
    <row r="37" spans="1:11" x14ac:dyDescent="0.35">
      <c r="A37" t="s">
        <v>163</v>
      </c>
      <c r="B37" t="s">
        <v>151</v>
      </c>
      <c r="C37" s="19">
        <v>8.8999999999999999E-3</v>
      </c>
      <c r="D37" s="19">
        <v>0.117940635671132</v>
      </c>
      <c r="E37" s="19">
        <v>0.80929866036248999</v>
      </c>
      <c r="F37" s="19">
        <v>4.675597583399E-2</v>
      </c>
      <c r="G37" s="19">
        <v>1.6548463356973901E-2</v>
      </c>
      <c r="H37" s="19">
        <v>5.2534804307853003E-4</v>
      </c>
      <c r="I37" s="19">
        <v>0.12684063567113199</v>
      </c>
      <c r="J37" s="19">
        <v>6.3829787234042507E-2</v>
      </c>
      <c r="K37" s="20" t="str">
        <f>_xlfn.CONCAT(dll[[#This Row],[lob]], " ", dll[[#This Row],[valid_vintage]])</f>
        <v>FRN 2024 Q2</v>
      </c>
    </row>
    <row r="38" spans="1:11" x14ac:dyDescent="0.35">
      <c r="A38" t="s">
        <v>163</v>
      </c>
      <c r="B38" t="s">
        <v>155</v>
      </c>
      <c r="C38" s="19">
        <v>2.6499999999999999E-2</v>
      </c>
      <c r="D38" s="19">
        <v>0.19269102990033199</v>
      </c>
      <c r="E38" s="19">
        <v>0.67774086378737497</v>
      </c>
      <c r="F38" s="19">
        <v>4.3189368770764097E-2</v>
      </c>
      <c r="G38" s="19">
        <v>5.9800664451827197E-2</v>
      </c>
      <c r="H38" s="19">
        <v>0</v>
      </c>
      <c r="I38" s="19">
        <v>0.21919102990033201</v>
      </c>
      <c r="J38" s="19">
        <v>0.102990033222591</v>
      </c>
      <c r="K38" s="20" t="str">
        <f>_xlfn.CONCAT(dll[[#This Row],[lob]], " ", dll[[#This Row],[valid_vintage]])</f>
        <v>FLD 2024 Q2</v>
      </c>
    </row>
    <row r="39" spans="1:11" x14ac:dyDescent="0.35">
      <c r="A39" t="s">
        <v>163</v>
      </c>
      <c r="B39" t="s">
        <v>122</v>
      </c>
      <c r="C39" s="19">
        <v>0</v>
      </c>
      <c r="D39" s="19">
        <v>0.29411764705882298</v>
      </c>
      <c r="E39" s="19">
        <v>0.41764705882352898</v>
      </c>
      <c r="F39" s="19">
        <v>0.22941176470588201</v>
      </c>
      <c r="G39" s="19">
        <v>5.8823529411764698E-2</v>
      </c>
      <c r="H39" s="19">
        <v>0</v>
      </c>
      <c r="I39" s="19">
        <v>0.29411764705882298</v>
      </c>
      <c r="J39" s="19">
        <v>0.28823529411764698</v>
      </c>
      <c r="K39" s="20" t="str">
        <f>_xlfn.CONCAT(dll[[#This Row],[lob]], " ", dll[[#This Row],[valid_vintage]])</f>
        <v>ENT 2024 Q2</v>
      </c>
    </row>
    <row r="40" spans="1:11" x14ac:dyDescent="0.35">
      <c r="A40" t="s">
        <v>163</v>
      </c>
      <c r="B40" t="s">
        <v>153</v>
      </c>
      <c r="C40" s="19">
        <v>3.1800000000000002E-2</v>
      </c>
      <c r="D40" s="19">
        <v>0.41374920432845302</v>
      </c>
      <c r="E40" s="19">
        <v>0.45894334818586802</v>
      </c>
      <c r="F40" s="19">
        <v>3.2463399108847803E-2</v>
      </c>
      <c r="G40" s="19">
        <v>5.6015276893698202E-2</v>
      </c>
      <c r="H40" s="19">
        <v>7.0019096117122804E-3</v>
      </c>
      <c r="I40" s="19">
        <v>0.44554920432845302</v>
      </c>
      <c r="J40" s="19">
        <v>9.5480585614258401E-2</v>
      </c>
      <c r="K40" s="20" t="str">
        <f>_xlfn.CONCAT(dll[[#This Row],[lob]], " ", dll[[#This Row],[valid_vintage]])</f>
        <v>STG 2024 Q2</v>
      </c>
    </row>
    <row r="41" spans="1:11" x14ac:dyDescent="0.35">
      <c r="A41" t="s">
        <v>163</v>
      </c>
      <c r="B41" t="s">
        <v>149</v>
      </c>
      <c r="C41" s="19">
        <v>2.8999999999999998E-3</v>
      </c>
      <c r="D41" s="19">
        <v>0.20658682634730499</v>
      </c>
      <c r="E41" s="19">
        <v>0.55688622754491002</v>
      </c>
      <c r="F41" s="19">
        <v>0.17664670658682599</v>
      </c>
      <c r="G41" s="19">
        <v>5.6886227544910101E-2</v>
      </c>
      <c r="H41" s="19">
        <v>0</v>
      </c>
      <c r="I41" s="19">
        <v>0.20948682634730501</v>
      </c>
      <c r="J41" s="19">
        <v>0.23353293413173601</v>
      </c>
      <c r="K41" s="20" t="str">
        <f>_xlfn.CONCAT(dll[[#This Row],[lob]], " ", dll[[#This Row],[valid_vintage]])</f>
        <v>AN 2024 Q2</v>
      </c>
    </row>
    <row r="42" spans="1:11" x14ac:dyDescent="0.35">
      <c r="A42" t="s">
        <v>167</v>
      </c>
      <c r="B42" t="s">
        <v>153</v>
      </c>
      <c r="C42" s="19">
        <v>3.6400000000000002E-2</v>
      </c>
      <c r="D42" s="19">
        <v>0.41677336747759203</v>
      </c>
      <c r="E42" s="19">
        <v>0.34891165172855299</v>
      </c>
      <c r="F42" s="19">
        <v>0.14404609475031999</v>
      </c>
      <c r="G42" s="19">
        <v>4.0973111395646598E-2</v>
      </c>
      <c r="H42" s="19">
        <v>1.28040973111395E-2</v>
      </c>
      <c r="I42" s="19">
        <v>0.45317336747759202</v>
      </c>
      <c r="J42" s="19">
        <v>0.197823303457106</v>
      </c>
      <c r="K42" s="20" t="str">
        <f>_xlfn.CONCAT(dll[[#This Row],[lob]], " ", dll[[#This Row],[valid_vintage]])</f>
        <v>STG 2024 Q1</v>
      </c>
    </row>
    <row r="43" spans="1:11" x14ac:dyDescent="0.35">
      <c r="A43" t="s">
        <v>167</v>
      </c>
      <c r="B43" t="s">
        <v>151</v>
      </c>
      <c r="C43" s="19">
        <v>1.2800000000000001E-2</v>
      </c>
      <c r="D43" s="19">
        <v>0.13618568232662101</v>
      </c>
      <c r="E43" s="19">
        <v>0.76621923937360104</v>
      </c>
      <c r="F43" s="19">
        <v>5.9563758389261701E-2</v>
      </c>
      <c r="G43" s="19">
        <v>2.4608501118568198E-2</v>
      </c>
      <c r="H43" s="19">
        <v>5.5928411633109E-4</v>
      </c>
      <c r="I43" s="19">
        <v>0.14898568232662099</v>
      </c>
      <c r="J43" s="19">
        <v>8.4731543624160993E-2</v>
      </c>
      <c r="K43" s="20" t="str">
        <f>_xlfn.CONCAT(dll[[#This Row],[lob]], " ", dll[[#This Row],[valid_vintage]])</f>
        <v>FRN 2024 Q1</v>
      </c>
    </row>
    <row r="44" spans="1:11" x14ac:dyDescent="0.35">
      <c r="A44" t="s">
        <v>167</v>
      </c>
      <c r="B44" t="s">
        <v>149</v>
      </c>
      <c r="C44" s="19">
        <v>2.3900000000000001E-2</v>
      </c>
      <c r="D44" s="19">
        <v>0.18862275449101701</v>
      </c>
      <c r="E44" s="19">
        <v>0.57485029940119703</v>
      </c>
      <c r="F44" s="19">
        <v>7.1856287425149698E-2</v>
      </c>
      <c r="G44" s="19">
        <v>0.140718562874251</v>
      </c>
      <c r="H44" s="19">
        <v>0</v>
      </c>
      <c r="I44" s="19">
        <v>0.21252275449101701</v>
      </c>
      <c r="J44" s="19">
        <v>0.21257485029940101</v>
      </c>
      <c r="K44" s="20" t="str">
        <f>_xlfn.CONCAT(dll[[#This Row],[lob]], " ", dll[[#This Row],[valid_vintage]])</f>
        <v>AN 2024 Q1</v>
      </c>
    </row>
    <row r="45" spans="1:11" x14ac:dyDescent="0.35">
      <c r="A45" t="s">
        <v>167</v>
      </c>
      <c r="B45" t="s">
        <v>122</v>
      </c>
      <c r="C45" s="19">
        <v>0</v>
      </c>
      <c r="D45" s="19">
        <v>0.152941176470588</v>
      </c>
      <c r="E45" s="19">
        <v>0.6</v>
      </c>
      <c r="F45" s="19">
        <v>0.188235294117647</v>
      </c>
      <c r="G45" s="19">
        <v>5.8823529411764698E-2</v>
      </c>
      <c r="H45" s="19">
        <v>0</v>
      </c>
      <c r="I45" s="19">
        <v>0.152941176470588</v>
      </c>
      <c r="J45" s="19">
        <v>0.247058823529411</v>
      </c>
      <c r="K45" s="20" t="str">
        <f>_xlfn.CONCAT(dll[[#This Row],[lob]], " ", dll[[#This Row],[valid_vintage]])</f>
        <v>ENT 2024 Q1</v>
      </c>
    </row>
    <row r="46" spans="1:11" x14ac:dyDescent="0.35">
      <c r="A46" t="s">
        <v>167</v>
      </c>
      <c r="B46" t="s">
        <v>155</v>
      </c>
      <c r="C46" s="19">
        <v>3.0200000000000001E-2</v>
      </c>
      <c r="D46" s="19">
        <v>0.16778523489932801</v>
      </c>
      <c r="E46" s="19">
        <v>0.68791946308724805</v>
      </c>
      <c r="F46" s="19">
        <v>3.3557046979865703E-2</v>
      </c>
      <c r="G46" s="19">
        <v>4.6979865771811999E-2</v>
      </c>
      <c r="H46" s="19">
        <v>3.3557046979865703E-2</v>
      </c>
      <c r="I46" s="19">
        <v>0.19798523489932801</v>
      </c>
      <c r="J46" s="19">
        <v>0.114093959731543</v>
      </c>
      <c r="K46" s="20" t="str">
        <f>_xlfn.CONCAT(dll[[#This Row],[lob]], " ", dll[[#This Row],[valid_vintage]])</f>
        <v>FLD 2024 Q1</v>
      </c>
    </row>
    <row r="47" spans="1:11" x14ac:dyDescent="0.35">
      <c r="A47" t="s">
        <v>166</v>
      </c>
      <c r="B47" t="s">
        <v>153</v>
      </c>
      <c r="C47" s="19">
        <v>4.4600000000000001E-2</v>
      </c>
      <c r="D47" s="19">
        <v>0.32988357050452699</v>
      </c>
      <c r="E47" s="19">
        <v>0.40944372574385501</v>
      </c>
      <c r="F47" s="19">
        <v>0.167529107373868</v>
      </c>
      <c r="G47" s="19">
        <v>3.9456662354463101E-2</v>
      </c>
      <c r="H47" s="19">
        <v>9.0556274256144795E-3</v>
      </c>
      <c r="I47" s="19">
        <v>0.37448357050452702</v>
      </c>
      <c r="J47" s="19">
        <v>0.21604139715394499</v>
      </c>
      <c r="K47" s="20" t="str">
        <f>_xlfn.CONCAT(dll[[#This Row],[lob]], " ", dll[[#This Row],[valid_vintage]])</f>
        <v>STG 2023 Q4</v>
      </c>
    </row>
    <row r="48" spans="1:11" x14ac:dyDescent="0.35">
      <c r="A48" t="s">
        <v>166</v>
      </c>
      <c r="B48" t="s">
        <v>149</v>
      </c>
      <c r="C48" s="19">
        <v>3.3300000000000003E-2</v>
      </c>
      <c r="D48" s="19">
        <v>0.15757575757575701</v>
      </c>
      <c r="E48" s="19">
        <v>0.57575757575757502</v>
      </c>
      <c r="F48" s="19">
        <v>8.4848484848484798E-2</v>
      </c>
      <c r="G48" s="19">
        <v>0.13030303030303</v>
      </c>
      <c r="H48" s="19">
        <v>1.8181818181818101E-2</v>
      </c>
      <c r="I48" s="19">
        <v>0.190875757575757</v>
      </c>
      <c r="J48" s="19">
        <v>0.233333333333333</v>
      </c>
      <c r="K48" s="20" t="str">
        <f>_xlfn.CONCAT(dll[[#This Row],[lob]], " ", dll[[#This Row],[valid_vintage]])</f>
        <v>AN 2023 Q4</v>
      </c>
    </row>
    <row r="49" spans="1:11" x14ac:dyDescent="0.35">
      <c r="A49" t="s">
        <v>166</v>
      </c>
      <c r="B49" t="s">
        <v>151</v>
      </c>
      <c r="C49" s="19">
        <v>1.2699999999999999E-2</v>
      </c>
      <c r="D49" s="19">
        <v>0.14133016627078299</v>
      </c>
      <c r="E49" s="19">
        <v>0.76454869358669797</v>
      </c>
      <c r="F49" s="19">
        <v>5.4038004750593803E-2</v>
      </c>
      <c r="G49" s="19">
        <v>2.6425178147268399E-2</v>
      </c>
      <c r="H49" s="19">
        <v>8.9073634204274996E-4</v>
      </c>
      <c r="I49" s="19">
        <v>0.154030166270783</v>
      </c>
      <c r="J49" s="19">
        <v>8.1353919239904898E-2</v>
      </c>
      <c r="K49" s="20" t="str">
        <f>_xlfn.CONCAT(dll[[#This Row],[lob]], " ", dll[[#This Row],[valid_vintage]])</f>
        <v>FRN 2023 Q4</v>
      </c>
    </row>
    <row r="50" spans="1:11" x14ac:dyDescent="0.35">
      <c r="A50" t="s">
        <v>166</v>
      </c>
      <c r="B50" t="s">
        <v>155</v>
      </c>
      <c r="C50" s="19">
        <v>3.3700000000000001E-2</v>
      </c>
      <c r="D50" s="19">
        <v>0.179054054054054</v>
      </c>
      <c r="E50" s="19">
        <v>0.67229729729729704</v>
      </c>
      <c r="F50" s="19">
        <v>2.3648648648648601E-2</v>
      </c>
      <c r="G50" s="19">
        <v>5.7432432432432401E-2</v>
      </c>
      <c r="H50" s="19">
        <v>3.3783783783783702E-2</v>
      </c>
      <c r="I50" s="19">
        <v>0.21275405405405401</v>
      </c>
      <c r="J50" s="19">
        <v>0.114864864864864</v>
      </c>
      <c r="K50" s="20" t="str">
        <f>_xlfn.CONCAT(dll[[#This Row],[lob]], " ", dll[[#This Row],[valid_vintage]])</f>
        <v>FLD 2023 Q4</v>
      </c>
    </row>
    <row r="51" spans="1:11" x14ac:dyDescent="0.35">
      <c r="A51" t="s">
        <v>166</v>
      </c>
      <c r="B51" t="s">
        <v>122</v>
      </c>
      <c r="C51" s="19">
        <v>0</v>
      </c>
      <c r="D51" s="19">
        <v>0.21686746987951799</v>
      </c>
      <c r="E51" s="19">
        <v>0.54216867469879504</v>
      </c>
      <c r="F51" s="19">
        <v>0.22891566265060201</v>
      </c>
      <c r="G51" s="19">
        <v>1.20481927710843E-2</v>
      </c>
      <c r="H51" s="19">
        <v>0</v>
      </c>
      <c r="I51" s="19">
        <v>0.21686746987951799</v>
      </c>
      <c r="J51" s="19">
        <v>0.240963855421686</v>
      </c>
      <c r="K51" s="20" t="str">
        <f>_xlfn.CONCAT(dll[[#This Row],[lob]], " ", dll[[#This Row],[valid_vintage]])</f>
        <v>ENT 2023 Q4</v>
      </c>
    </row>
    <row r="52" spans="1:11" x14ac:dyDescent="0.35">
      <c r="A52" t="s">
        <v>152</v>
      </c>
      <c r="B52" t="s">
        <v>153</v>
      </c>
      <c r="C52" s="19">
        <v>4.4999999999999998E-2</v>
      </c>
      <c r="D52" s="19">
        <v>0.34595300261096601</v>
      </c>
      <c r="E52" s="19">
        <v>0.39033942558746698</v>
      </c>
      <c r="F52" s="19">
        <v>0.16514360313315901</v>
      </c>
      <c r="G52" s="19">
        <v>4.1775456919059997E-2</v>
      </c>
      <c r="H52" s="19">
        <v>1.17493472584856E-2</v>
      </c>
      <c r="I52" s="19">
        <v>0.39095300261096599</v>
      </c>
      <c r="J52" s="19">
        <v>0.218668407310704</v>
      </c>
      <c r="K52" s="20" t="str">
        <f>_xlfn.CONCAT(dll[[#This Row],[lob]], " ", dll[[#This Row],[valid_vintage]])</f>
        <v>STG 2023 Q3</v>
      </c>
    </row>
    <row r="53" spans="1:11" x14ac:dyDescent="0.35">
      <c r="A53" t="s">
        <v>152</v>
      </c>
      <c r="B53" t="s">
        <v>151</v>
      </c>
      <c r="C53" s="19">
        <v>1.38E-2</v>
      </c>
      <c r="D53" s="19">
        <v>0.15655454259666701</v>
      </c>
      <c r="E53" s="19">
        <v>0.75510845646023195</v>
      </c>
      <c r="F53" s="19">
        <v>4.0867651681861003E-2</v>
      </c>
      <c r="G53" s="19">
        <v>3.2694121345488797E-2</v>
      </c>
      <c r="H53" s="19">
        <v>9.4309965419679003E-4</v>
      </c>
      <c r="I53" s="19">
        <v>0.17035454259666699</v>
      </c>
      <c r="J53" s="19">
        <v>7.4504872681546597E-2</v>
      </c>
      <c r="K53" s="20" t="str">
        <f>_xlfn.CONCAT(dll[[#This Row],[lob]], " ", dll[[#This Row],[valid_vintage]])</f>
        <v>FRN 2023 Q3</v>
      </c>
    </row>
    <row r="54" spans="1:11" x14ac:dyDescent="0.35">
      <c r="A54" t="s">
        <v>152</v>
      </c>
      <c r="B54" t="s">
        <v>155</v>
      </c>
      <c r="C54" s="19">
        <v>1.35E-2</v>
      </c>
      <c r="D54" s="19">
        <v>0.2</v>
      </c>
      <c r="E54" s="19">
        <v>0.66101694915254205</v>
      </c>
      <c r="F54" s="19">
        <v>5.76271186440677E-2</v>
      </c>
      <c r="G54" s="19">
        <v>6.7796610169491497E-2</v>
      </c>
      <c r="H54" s="19">
        <v>0</v>
      </c>
      <c r="I54" s="19">
        <v>0.2135</v>
      </c>
      <c r="J54" s="19">
        <v>0.12542372881355901</v>
      </c>
      <c r="K54" s="20" t="str">
        <f>_xlfn.CONCAT(dll[[#This Row],[lob]], " ", dll[[#This Row],[valid_vintage]])</f>
        <v>FLD 2023 Q3</v>
      </c>
    </row>
    <row r="55" spans="1:11" x14ac:dyDescent="0.35">
      <c r="A55" t="s">
        <v>152</v>
      </c>
      <c r="B55" t="s">
        <v>149</v>
      </c>
      <c r="C55" s="19">
        <v>3.6499999999999998E-2</v>
      </c>
      <c r="D55" s="19">
        <v>0.20426829268292601</v>
      </c>
      <c r="E55" s="19">
        <v>0.50304878048780399</v>
      </c>
      <c r="F55" s="19">
        <v>0.14024390243902399</v>
      </c>
      <c r="G55" s="19">
        <v>9.7560975609756004E-2</v>
      </c>
      <c r="H55" s="19">
        <v>1.8292682926829201E-2</v>
      </c>
      <c r="I55" s="19">
        <v>0.24076829268292599</v>
      </c>
      <c r="J55" s="19">
        <v>0.25609756097560898</v>
      </c>
      <c r="K55" s="20" t="str">
        <f>_xlfn.CONCAT(dll[[#This Row],[lob]], " ", dll[[#This Row],[valid_vintage]])</f>
        <v>AN 2023 Q3</v>
      </c>
    </row>
    <row r="56" spans="1:11" x14ac:dyDescent="0.35">
      <c r="A56" t="s">
        <v>152</v>
      </c>
      <c r="B56" t="s">
        <v>122</v>
      </c>
      <c r="C56" s="19">
        <v>0</v>
      </c>
      <c r="D56" s="19">
        <v>0.18181818181818099</v>
      </c>
      <c r="E56" s="19">
        <v>0.50303030303030305</v>
      </c>
      <c r="F56" s="19">
        <v>0.28484848484848402</v>
      </c>
      <c r="G56" s="19">
        <v>3.03030303030303E-2</v>
      </c>
      <c r="H56" s="19">
        <v>0</v>
      </c>
      <c r="I56" s="19">
        <v>0.18181818181818099</v>
      </c>
      <c r="J56" s="19">
        <v>0.31515151515151502</v>
      </c>
      <c r="K56" s="20" t="str">
        <f>_xlfn.CONCAT(dll[[#This Row],[lob]], " ", dll[[#This Row],[valid_vintage]])</f>
        <v>ENT 2023 Q3</v>
      </c>
    </row>
    <row r="57" spans="1:11" x14ac:dyDescent="0.35">
      <c r="A57" t="s">
        <v>165</v>
      </c>
      <c r="B57" t="s">
        <v>153</v>
      </c>
      <c r="C57" s="19">
        <v>5.0700000000000002E-2</v>
      </c>
      <c r="D57" s="19">
        <v>0.32036914963744201</v>
      </c>
      <c r="E57" s="19">
        <v>0.39419907712590602</v>
      </c>
      <c r="F57" s="19">
        <v>0.173368490441661</v>
      </c>
      <c r="G57" s="19">
        <v>5.0758075148319003E-2</v>
      </c>
      <c r="H57" s="19">
        <v>1.0547132498351999E-2</v>
      </c>
      <c r="I57" s="19">
        <v>0.37106914963744198</v>
      </c>
      <c r="J57" s="19">
        <v>0.23467369808833199</v>
      </c>
      <c r="K57" s="20" t="str">
        <f>_xlfn.CONCAT(dll[[#This Row],[lob]], " ", dll[[#This Row],[valid_vintage]])</f>
        <v>STG 2023 Q2</v>
      </c>
    </row>
    <row r="58" spans="1:11" x14ac:dyDescent="0.35">
      <c r="A58" t="s">
        <v>165</v>
      </c>
      <c r="B58" t="s">
        <v>149</v>
      </c>
      <c r="C58" s="19">
        <v>4.6399999999999997E-2</v>
      </c>
      <c r="D58" s="19">
        <v>0.20743034055727499</v>
      </c>
      <c r="E58" s="19">
        <v>0.47987616099071201</v>
      </c>
      <c r="F58" s="19">
        <v>0.123839009287925</v>
      </c>
      <c r="G58" s="19">
        <v>0.142414860681114</v>
      </c>
      <c r="H58" s="19">
        <v>0</v>
      </c>
      <c r="I58" s="19">
        <v>0.25383034055727499</v>
      </c>
      <c r="J58" s="19">
        <v>0.26625386996903999</v>
      </c>
      <c r="K58" s="20" t="str">
        <f>_xlfn.CONCAT(dll[[#This Row],[lob]], " ", dll[[#This Row],[valid_vintage]])</f>
        <v>AN 2023 Q2</v>
      </c>
    </row>
    <row r="59" spans="1:11" x14ac:dyDescent="0.35">
      <c r="A59" t="s">
        <v>165</v>
      </c>
      <c r="B59" t="s">
        <v>151</v>
      </c>
      <c r="C59" s="19">
        <v>1.5900000000000001E-2</v>
      </c>
      <c r="D59" s="19">
        <v>0.18633117987079201</v>
      </c>
      <c r="E59" s="19">
        <v>0.72356341380482803</v>
      </c>
      <c r="F59" s="19">
        <v>5.0323019381162799E-2</v>
      </c>
      <c r="G59" s="19">
        <v>2.2781366882012901E-2</v>
      </c>
      <c r="H59" s="19">
        <v>1.02006120367222E-3</v>
      </c>
      <c r="I59" s="19">
        <v>0.202231179870792</v>
      </c>
      <c r="J59" s="19">
        <v>7.4124447466848001E-2</v>
      </c>
      <c r="K59" s="20" t="str">
        <f>_xlfn.CONCAT(dll[[#This Row],[lob]], " ", dll[[#This Row],[valid_vintage]])</f>
        <v>FRN 2023 Q2</v>
      </c>
    </row>
    <row r="60" spans="1:11" x14ac:dyDescent="0.35">
      <c r="A60" t="s">
        <v>165</v>
      </c>
      <c r="B60" t="s">
        <v>122</v>
      </c>
      <c r="C60" s="19">
        <v>0</v>
      </c>
      <c r="D60" s="19">
        <v>0.20496894409937799</v>
      </c>
      <c r="E60" s="19">
        <v>0.440993788819875</v>
      </c>
      <c r="F60" s="19">
        <v>0.28571428571428498</v>
      </c>
      <c r="G60" s="19">
        <v>6.8322981366459604E-2</v>
      </c>
      <c r="H60" s="19">
        <v>0</v>
      </c>
      <c r="I60" s="19">
        <v>0.20496894409937799</v>
      </c>
      <c r="J60" s="19">
        <v>0.35403726708074501</v>
      </c>
      <c r="K60" s="20" t="str">
        <f>_xlfn.CONCAT(dll[[#This Row],[lob]], " ", dll[[#This Row],[valid_vintage]])</f>
        <v>ENT 2023 Q2</v>
      </c>
    </row>
    <row r="61" spans="1:11" x14ac:dyDescent="0.35">
      <c r="A61" t="s">
        <v>165</v>
      </c>
      <c r="B61" t="s">
        <v>155</v>
      </c>
      <c r="C61" s="19">
        <v>2.0500000000000001E-2</v>
      </c>
      <c r="D61" s="19">
        <v>0.19520547945205399</v>
      </c>
      <c r="E61" s="19">
        <v>0.61643835616438303</v>
      </c>
      <c r="F61" s="19">
        <v>0.116438356164383</v>
      </c>
      <c r="G61" s="19">
        <v>5.13698630136986E-2</v>
      </c>
      <c r="H61" s="19">
        <v>0</v>
      </c>
      <c r="I61" s="19">
        <v>0.21570547945205401</v>
      </c>
      <c r="J61" s="19">
        <v>0.167808219178082</v>
      </c>
      <c r="K61" s="20" t="str">
        <f>_xlfn.CONCAT(dll[[#This Row],[lob]], " ", dll[[#This Row],[valid_vintage]])</f>
        <v>FLD 2023 Q2</v>
      </c>
    </row>
    <row r="62" spans="1:11" x14ac:dyDescent="0.35">
      <c r="A62" t="s">
        <v>172</v>
      </c>
      <c r="B62" t="s">
        <v>151</v>
      </c>
      <c r="C62" s="19">
        <v>2.0400000000000001E-2</v>
      </c>
      <c r="D62" s="19">
        <v>0.16808905380333899</v>
      </c>
      <c r="E62" s="19">
        <v>0.73877551020408105</v>
      </c>
      <c r="F62" s="19">
        <v>4.1929499072356199E-2</v>
      </c>
      <c r="G62" s="19">
        <v>2.9684601113172501E-2</v>
      </c>
      <c r="H62" s="19">
        <v>1.1131725417439699E-3</v>
      </c>
      <c r="I62" s="19">
        <v>0.188489053803339</v>
      </c>
      <c r="J62" s="19">
        <v>7.2727272727272696E-2</v>
      </c>
      <c r="K62" s="20" t="str">
        <f>_xlfn.CONCAT(dll[[#This Row],[lob]], " ", dll[[#This Row],[valid_vintage]])</f>
        <v>FRN 2023 Q1</v>
      </c>
    </row>
    <row r="63" spans="1:11" x14ac:dyDescent="0.35">
      <c r="A63" t="s">
        <v>172</v>
      </c>
      <c r="B63" t="s">
        <v>122</v>
      </c>
      <c r="C63" s="19">
        <v>0</v>
      </c>
      <c r="D63" s="19">
        <v>0.16875000000000001</v>
      </c>
      <c r="E63" s="19">
        <v>0.45624999999999999</v>
      </c>
      <c r="F63" s="19">
        <v>0.3125</v>
      </c>
      <c r="G63" s="19">
        <v>6.25E-2</v>
      </c>
      <c r="H63" s="19">
        <v>0</v>
      </c>
      <c r="I63" s="19">
        <v>0.16875000000000001</v>
      </c>
      <c r="J63" s="19">
        <v>0.375</v>
      </c>
      <c r="K63" s="20" t="str">
        <f>_xlfn.CONCAT(dll[[#This Row],[lob]], " ", dll[[#This Row],[valid_vintage]])</f>
        <v>ENT 2023 Q1</v>
      </c>
    </row>
    <row r="64" spans="1:11" x14ac:dyDescent="0.35">
      <c r="A64" t="s">
        <v>172</v>
      </c>
      <c r="B64" t="s">
        <v>153</v>
      </c>
      <c r="C64" s="19">
        <v>6.3500000000000001E-2</v>
      </c>
      <c r="D64" s="19">
        <v>0.34916387959866202</v>
      </c>
      <c r="E64" s="19">
        <v>0.356521739130434</v>
      </c>
      <c r="F64" s="19">
        <v>0.16923076923076899</v>
      </c>
      <c r="G64" s="19">
        <v>5.2173913043478203E-2</v>
      </c>
      <c r="H64" s="19">
        <v>9.36454849498327E-3</v>
      </c>
      <c r="I64" s="19">
        <v>0.41266387959866202</v>
      </c>
      <c r="J64" s="19">
        <v>0.23076923076923</v>
      </c>
      <c r="K64" s="20" t="str">
        <f>_xlfn.CONCAT(dll[[#This Row],[lob]], " ", dll[[#This Row],[valid_vintage]])</f>
        <v>STG 2023 Q1</v>
      </c>
    </row>
    <row r="65" spans="1:11" x14ac:dyDescent="0.35">
      <c r="A65" t="s">
        <v>172</v>
      </c>
      <c r="B65" t="s">
        <v>149</v>
      </c>
      <c r="C65" s="19">
        <v>6.8500000000000005E-2</v>
      </c>
      <c r="D65" s="19">
        <v>0.18068535825545101</v>
      </c>
      <c r="E65" s="19">
        <v>0.52959501557632305</v>
      </c>
      <c r="F65" s="19">
        <v>9.9688473520249204E-2</v>
      </c>
      <c r="G65" s="19">
        <v>0.11526479750778799</v>
      </c>
      <c r="H65" s="19">
        <v>6.2305295950155701E-3</v>
      </c>
      <c r="I65" s="19">
        <v>0.24918535825545099</v>
      </c>
      <c r="J65" s="19">
        <v>0.22118380062305201</v>
      </c>
      <c r="K65" s="20" t="str">
        <f>_xlfn.CONCAT(dll[[#This Row],[lob]], " ", dll[[#This Row],[valid_vintage]])</f>
        <v>AN 2023 Q1</v>
      </c>
    </row>
    <row r="66" spans="1:11" x14ac:dyDescent="0.35">
      <c r="A66" t="s">
        <v>172</v>
      </c>
      <c r="B66" t="s">
        <v>155</v>
      </c>
      <c r="C66" s="19">
        <v>4.4900000000000002E-2</v>
      </c>
      <c r="D66" s="19">
        <v>0.19723183391003399</v>
      </c>
      <c r="E66" s="19">
        <v>0.58477508650518994</v>
      </c>
      <c r="F66" s="19">
        <v>0.10726643598615899</v>
      </c>
      <c r="G66" s="19">
        <v>5.8823529411764698E-2</v>
      </c>
      <c r="H66" s="19">
        <v>6.9204152249134898E-3</v>
      </c>
      <c r="I66" s="19">
        <v>0.24213183391003401</v>
      </c>
      <c r="J66" s="19">
        <v>0.173010380622837</v>
      </c>
      <c r="K66" s="20" t="str">
        <f>_xlfn.CONCAT(dll[[#This Row],[lob]], " ", dll[[#This Row],[valid_vintage]])</f>
        <v>FLD 2023 Q1</v>
      </c>
    </row>
    <row r="67" spans="1:11" x14ac:dyDescent="0.35">
      <c r="A67" t="s">
        <v>176</v>
      </c>
      <c r="B67" t="s">
        <v>153</v>
      </c>
      <c r="C67" s="19">
        <v>7.2800000000000004E-2</v>
      </c>
      <c r="D67" s="19">
        <v>0.372892784895482</v>
      </c>
      <c r="E67" s="19">
        <v>0.31827376938637802</v>
      </c>
      <c r="F67" s="19">
        <v>0.18341200269723501</v>
      </c>
      <c r="G67" s="19">
        <v>4.3830074173971598E-2</v>
      </c>
      <c r="H67" s="19">
        <v>8.7660148347943299E-3</v>
      </c>
      <c r="I67" s="19">
        <v>0.44569278489548197</v>
      </c>
      <c r="J67" s="19">
        <v>0.23600809170600101</v>
      </c>
      <c r="K67" s="20" t="str">
        <f>_xlfn.CONCAT(dll[[#This Row],[lob]], " ", dll[[#This Row],[valid_vintage]])</f>
        <v>STG 2022 Q4</v>
      </c>
    </row>
    <row r="68" spans="1:11" x14ac:dyDescent="0.35">
      <c r="A68" t="s">
        <v>176</v>
      </c>
      <c r="B68" t="s">
        <v>155</v>
      </c>
      <c r="C68" s="19">
        <v>5.6099999999999997E-2</v>
      </c>
      <c r="D68" s="19">
        <v>0.18947368421052599</v>
      </c>
      <c r="E68" s="19">
        <v>0.64561403508771897</v>
      </c>
      <c r="F68" s="19">
        <v>4.5614035087719197E-2</v>
      </c>
      <c r="G68" s="19">
        <v>4.9122807017543797E-2</v>
      </c>
      <c r="H68" s="19">
        <v>1.4035087719298201E-2</v>
      </c>
      <c r="I68" s="19">
        <v>0.245573684210526</v>
      </c>
      <c r="J68" s="19">
        <v>0.10877192982456101</v>
      </c>
      <c r="K68" s="20" t="str">
        <f>_xlfn.CONCAT(dll[[#This Row],[lob]], " ", dll[[#This Row],[valid_vintage]])</f>
        <v>FLD 2022 Q4</v>
      </c>
    </row>
    <row r="69" spans="1:11" x14ac:dyDescent="0.35">
      <c r="A69" t="s">
        <v>176</v>
      </c>
      <c r="B69" t="s">
        <v>151</v>
      </c>
      <c r="C69" s="19">
        <v>2.24E-2</v>
      </c>
      <c r="D69" s="19">
        <v>0.174979558462796</v>
      </c>
      <c r="E69" s="19">
        <v>0.71913327882256695</v>
      </c>
      <c r="F69" s="19">
        <v>4.9877350776778399E-2</v>
      </c>
      <c r="G69" s="19">
        <v>3.2297628781684302E-2</v>
      </c>
      <c r="H69" s="19">
        <v>1.2264922322158601E-3</v>
      </c>
      <c r="I69" s="19">
        <v>0.19737955846279601</v>
      </c>
      <c r="J69" s="19">
        <v>8.3401471790678597E-2</v>
      </c>
      <c r="K69" s="20" t="str">
        <f>_xlfn.CONCAT(dll[[#This Row],[lob]], " ", dll[[#This Row],[valid_vintage]])</f>
        <v>FRN 2022 Q4</v>
      </c>
    </row>
    <row r="70" spans="1:11" x14ac:dyDescent="0.35">
      <c r="A70" t="s">
        <v>176</v>
      </c>
      <c r="B70" t="s">
        <v>149</v>
      </c>
      <c r="C70" s="19">
        <v>6.6199999999999995E-2</v>
      </c>
      <c r="D70" s="19">
        <v>0.19558359621451099</v>
      </c>
      <c r="E70" s="19">
        <v>0.49842271293375301</v>
      </c>
      <c r="F70" s="19">
        <v>0.21766561514195501</v>
      </c>
      <c r="G70" s="19">
        <v>1.5772870662460501E-2</v>
      </c>
      <c r="H70" s="19">
        <v>6.30914826498422E-3</v>
      </c>
      <c r="I70" s="19">
        <v>0.26178359621451103</v>
      </c>
      <c r="J70" s="19">
        <v>0.2397476340694</v>
      </c>
      <c r="K70" s="20" t="str">
        <f>_xlfn.CONCAT(dll[[#This Row],[lob]], " ", dll[[#This Row],[valid_vintage]])</f>
        <v>AN 2022 Q4</v>
      </c>
    </row>
    <row r="71" spans="1:11" x14ac:dyDescent="0.35">
      <c r="A71" t="s">
        <v>176</v>
      </c>
      <c r="B71" t="s">
        <v>122</v>
      </c>
      <c r="C71" s="19">
        <v>0</v>
      </c>
      <c r="D71" s="19">
        <v>0.22292993630573199</v>
      </c>
      <c r="E71" s="19">
        <v>0.49044585987261102</v>
      </c>
      <c r="F71" s="19">
        <v>0.26751592356687798</v>
      </c>
      <c r="G71" s="19">
        <v>1.9108280254777E-2</v>
      </c>
      <c r="H71" s="19">
        <v>0</v>
      </c>
      <c r="I71" s="19">
        <v>0.22292993630573199</v>
      </c>
      <c r="J71" s="19">
        <v>0.28662420382165599</v>
      </c>
      <c r="K71" s="20" t="str">
        <f>_xlfn.CONCAT(dll[[#This Row],[lob]], " ", dll[[#This Row],[valid_vintage]])</f>
        <v>ENT 2022 Q4</v>
      </c>
    </row>
    <row r="72" spans="1:11" x14ac:dyDescent="0.35">
      <c r="A72" t="s">
        <v>162</v>
      </c>
      <c r="B72" t="s">
        <v>155</v>
      </c>
      <c r="C72" s="19">
        <v>5.6300000000000003E-2</v>
      </c>
      <c r="D72" s="19">
        <v>0.17957746478873199</v>
      </c>
      <c r="E72" s="19">
        <v>0.63732394366197098</v>
      </c>
      <c r="F72" s="19">
        <v>5.2816901408450703E-2</v>
      </c>
      <c r="G72" s="19">
        <v>6.3380281690140802E-2</v>
      </c>
      <c r="H72" s="19">
        <v>1.0563380281690101E-2</v>
      </c>
      <c r="I72" s="19">
        <v>0.23587746478873201</v>
      </c>
      <c r="J72" s="19">
        <v>0.12676056338028099</v>
      </c>
      <c r="K72" s="20" t="str">
        <f>_xlfn.CONCAT(dll[[#This Row],[lob]], " ", dll[[#This Row],[valid_vintage]])</f>
        <v>FLD 2022 Q3</v>
      </c>
    </row>
    <row r="73" spans="1:11" x14ac:dyDescent="0.35">
      <c r="A73" t="s">
        <v>162</v>
      </c>
      <c r="B73" t="s">
        <v>149</v>
      </c>
      <c r="C73" s="19">
        <v>2.23E-2</v>
      </c>
      <c r="D73" s="19">
        <v>0.34504792332268303</v>
      </c>
      <c r="E73" s="19">
        <v>0.40255591054313</v>
      </c>
      <c r="F73" s="19">
        <v>0.21725239616613401</v>
      </c>
      <c r="G73" s="19">
        <v>6.3897763578274697E-3</v>
      </c>
      <c r="H73" s="19">
        <v>6.3897763578274697E-3</v>
      </c>
      <c r="I73" s="19">
        <v>0.36734792332268301</v>
      </c>
      <c r="J73" s="19">
        <v>0.23003194888178899</v>
      </c>
      <c r="K73" s="20" t="str">
        <f>_xlfn.CONCAT(dll[[#This Row],[lob]], " ", dll[[#This Row],[valid_vintage]])</f>
        <v>AN 2022 Q3</v>
      </c>
    </row>
    <row r="74" spans="1:11" x14ac:dyDescent="0.35">
      <c r="A74" t="s">
        <v>162</v>
      </c>
      <c r="B74" t="s">
        <v>151</v>
      </c>
      <c r="C74" s="19">
        <v>2.5399999999999999E-2</v>
      </c>
      <c r="D74" s="19">
        <v>0.19490781387181699</v>
      </c>
      <c r="E74" s="19">
        <v>0.69622475856013999</v>
      </c>
      <c r="F74" s="19">
        <v>4.4776119402985003E-2</v>
      </c>
      <c r="G74" s="19">
        <v>3.5118525021949003E-2</v>
      </c>
      <c r="H74" s="19">
        <v>3.5118525021949E-3</v>
      </c>
      <c r="I74" s="19">
        <v>0.220307813871817</v>
      </c>
      <c r="J74" s="19">
        <v>8.3406496927128995E-2</v>
      </c>
      <c r="K74" s="20" t="str">
        <f>_xlfn.CONCAT(dll[[#This Row],[lob]], " ", dll[[#This Row],[valid_vintage]])</f>
        <v>FRN 2022 Q3</v>
      </c>
    </row>
    <row r="75" spans="1:11" x14ac:dyDescent="0.35">
      <c r="A75" t="s">
        <v>162</v>
      </c>
      <c r="B75" t="s">
        <v>122</v>
      </c>
      <c r="C75" s="19">
        <v>0</v>
      </c>
      <c r="D75" s="19">
        <v>0.243589743589743</v>
      </c>
      <c r="E75" s="19">
        <v>0.47435897435897401</v>
      </c>
      <c r="F75" s="19">
        <v>0.21794871794871701</v>
      </c>
      <c r="G75" s="19">
        <v>6.4102564102564097E-2</v>
      </c>
      <c r="H75" s="19">
        <v>0</v>
      </c>
      <c r="I75" s="19">
        <v>0.243589743589743</v>
      </c>
      <c r="J75" s="19">
        <v>0.28205128205128199</v>
      </c>
      <c r="K75" s="20" t="str">
        <f>_xlfn.CONCAT(dll[[#This Row],[lob]], " ", dll[[#This Row],[valid_vintage]])</f>
        <v>ENT 2022 Q3</v>
      </c>
    </row>
    <row r="76" spans="1:11" x14ac:dyDescent="0.35">
      <c r="A76" t="s">
        <v>162</v>
      </c>
      <c r="B76" t="s">
        <v>153</v>
      </c>
      <c r="C76" s="19">
        <v>6.3399999999999998E-2</v>
      </c>
      <c r="D76" s="19">
        <v>0.37241379310344802</v>
      </c>
      <c r="E76" s="19">
        <v>0.31517241379310301</v>
      </c>
      <c r="F76" s="19">
        <v>8.8275862068965497E-2</v>
      </c>
      <c r="G76" s="19">
        <v>0.15034482758620599</v>
      </c>
      <c r="H76" s="19">
        <v>1.0344827586206799E-2</v>
      </c>
      <c r="I76" s="19">
        <v>0.43581379310344798</v>
      </c>
      <c r="J76" s="19">
        <v>0.248965517241379</v>
      </c>
      <c r="K76" s="20" t="str">
        <f>_xlfn.CONCAT(dll[[#This Row],[lob]], " ", dll[[#This Row],[valid_vintage]])</f>
        <v>STG 2022 Q3</v>
      </c>
    </row>
    <row r="77" spans="1:11" x14ac:dyDescent="0.35">
      <c r="A77" t="s">
        <v>164</v>
      </c>
      <c r="B77" t="s">
        <v>153</v>
      </c>
      <c r="C77" s="19">
        <v>5.33E-2</v>
      </c>
      <c r="D77" s="19">
        <v>0.35884831460674099</v>
      </c>
      <c r="E77" s="19">
        <v>0.34339887640449401</v>
      </c>
      <c r="F77" s="19">
        <v>9.2696629213483095E-2</v>
      </c>
      <c r="G77" s="19">
        <v>0.14185393258426901</v>
      </c>
      <c r="H77" s="19">
        <v>9.8314606741572996E-3</v>
      </c>
      <c r="I77" s="19">
        <v>0.41214831460674101</v>
      </c>
      <c r="J77" s="19">
        <v>0.24438202247190999</v>
      </c>
      <c r="K77" s="20" t="str">
        <f>_xlfn.CONCAT(dll[[#This Row],[lob]], " ", dll[[#This Row],[valid_vintage]])</f>
        <v>STG 2022 Q2</v>
      </c>
    </row>
    <row r="78" spans="1:11" x14ac:dyDescent="0.35">
      <c r="A78" t="s">
        <v>164</v>
      </c>
      <c r="B78" t="s">
        <v>151</v>
      </c>
      <c r="C78" s="19">
        <v>3.7400000000000003E-2</v>
      </c>
      <c r="D78" s="19">
        <v>0.191734742912061</v>
      </c>
      <c r="E78" s="19">
        <v>0.68140317155213803</v>
      </c>
      <c r="F78" s="19">
        <v>5.2378664103796199E-2</v>
      </c>
      <c r="G78" s="19">
        <v>3.4118212397885601E-2</v>
      </c>
      <c r="H78" s="19">
        <v>2.8832292167227198E-3</v>
      </c>
      <c r="I78" s="19">
        <v>0.22913474291206101</v>
      </c>
      <c r="J78" s="19">
        <v>8.9380105718404601E-2</v>
      </c>
      <c r="K78" s="20" t="str">
        <f>_xlfn.CONCAT(dll[[#This Row],[lob]], " ", dll[[#This Row],[valid_vintage]])</f>
        <v>FRN 2022 Q2</v>
      </c>
    </row>
    <row r="79" spans="1:11" x14ac:dyDescent="0.35">
      <c r="A79" t="s">
        <v>164</v>
      </c>
      <c r="B79" t="s">
        <v>155</v>
      </c>
      <c r="C79" s="19">
        <v>6.8500000000000005E-2</v>
      </c>
      <c r="D79" s="19">
        <v>0.20938628158844699</v>
      </c>
      <c r="E79" s="19">
        <v>0.61010830324909704</v>
      </c>
      <c r="F79" s="19">
        <v>6.1371841155234599E-2</v>
      </c>
      <c r="G79" s="19">
        <v>4.3321299638989098E-2</v>
      </c>
      <c r="H79" s="19">
        <v>7.22021660649819E-3</v>
      </c>
      <c r="I79" s="19">
        <v>0.27788628158844703</v>
      </c>
      <c r="J79" s="19">
        <v>0.111913357400722</v>
      </c>
      <c r="K79" s="20" t="str">
        <f>_xlfn.CONCAT(dll[[#This Row],[lob]], " ", dll[[#This Row],[valid_vintage]])</f>
        <v>FLD 2022 Q2</v>
      </c>
    </row>
    <row r="80" spans="1:11" x14ac:dyDescent="0.35">
      <c r="A80" t="s">
        <v>164</v>
      </c>
      <c r="B80" t="s">
        <v>149</v>
      </c>
      <c r="C80" s="19">
        <v>4.1799999999999997E-2</v>
      </c>
      <c r="D80" s="19">
        <v>0.35048231511254002</v>
      </c>
      <c r="E80" s="19">
        <v>0.41479099678456499</v>
      </c>
      <c r="F80" s="19">
        <v>0.16398713826366501</v>
      </c>
      <c r="G80" s="19">
        <v>2.2508038585209E-2</v>
      </c>
      <c r="H80" s="19">
        <v>6.4308681672025697E-3</v>
      </c>
      <c r="I80" s="19">
        <v>0.39228231511254003</v>
      </c>
      <c r="J80" s="19">
        <v>0.19292604501607699</v>
      </c>
      <c r="K80" s="20" t="str">
        <f>_xlfn.CONCAT(dll[[#This Row],[lob]], " ", dll[[#This Row],[valid_vintage]])</f>
        <v>AN 2022 Q2</v>
      </c>
    </row>
    <row r="81" spans="1:11" x14ac:dyDescent="0.35">
      <c r="A81" t="s">
        <v>164</v>
      </c>
      <c r="B81" t="s">
        <v>122</v>
      </c>
      <c r="C81" s="19">
        <v>0</v>
      </c>
      <c r="D81" s="19">
        <v>0.21935483870967701</v>
      </c>
      <c r="E81" s="19">
        <v>0.47741935483870901</v>
      </c>
      <c r="F81" s="19">
        <v>0.23225806451612899</v>
      </c>
      <c r="G81" s="19">
        <v>7.0967741935483802E-2</v>
      </c>
      <c r="H81" s="19">
        <v>0</v>
      </c>
      <c r="I81" s="19">
        <v>0.21935483870967701</v>
      </c>
      <c r="J81" s="19">
        <v>0.30322580645161201</v>
      </c>
      <c r="K81" s="20" t="str">
        <f>_xlfn.CONCAT(dll[[#This Row],[lob]], " ", dll[[#This Row],[valid_vintage]])</f>
        <v>ENT 2022 Q2</v>
      </c>
    </row>
    <row r="82" spans="1:11" x14ac:dyDescent="0.35">
      <c r="A82" t="s">
        <v>178</v>
      </c>
      <c r="B82" t="s">
        <v>153</v>
      </c>
      <c r="C82" s="19">
        <v>4.7199999999999999E-2</v>
      </c>
      <c r="D82" s="19">
        <v>0.39012168933428698</v>
      </c>
      <c r="E82" s="19">
        <v>0.30064423765211101</v>
      </c>
      <c r="F82" s="19">
        <v>9.6635647816750103E-2</v>
      </c>
      <c r="G82" s="19">
        <v>0.15533285612025699</v>
      </c>
      <c r="H82" s="19">
        <v>1.00214745884037E-2</v>
      </c>
      <c r="I82" s="19">
        <v>0.437321689334287</v>
      </c>
      <c r="J82" s="19">
        <v>0.261989978525411</v>
      </c>
      <c r="K82" s="20" t="str">
        <f>_xlfn.CONCAT(dll[[#This Row],[lob]], " ", dll[[#This Row],[valid_vintage]])</f>
        <v>STG 2022 Q1</v>
      </c>
    </row>
    <row r="83" spans="1:11" x14ac:dyDescent="0.35">
      <c r="A83" t="s">
        <v>178</v>
      </c>
      <c r="B83" t="s">
        <v>155</v>
      </c>
      <c r="C83" s="19">
        <v>8.2699999999999996E-2</v>
      </c>
      <c r="D83" s="19">
        <v>0.19548872180451099</v>
      </c>
      <c r="E83" s="19">
        <v>0.28947368421052599</v>
      </c>
      <c r="F83" s="19">
        <v>0.278195488721804</v>
      </c>
      <c r="G83" s="19">
        <v>0.14661654135338301</v>
      </c>
      <c r="H83" s="19">
        <v>7.5187969924812E-3</v>
      </c>
      <c r="I83" s="19">
        <v>0.27818872180451099</v>
      </c>
      <c r="J83" s="19">
        <v>0.43233082706766901</v>
      </c>
      <c r="K83" s="20" t="str">
        <f>_xlfn.CONCAT(dll[[#This Row],[lob]], " ", dll[[#This Row],[valid_vintage]])</f>
        <v>FLD 2022 Q1</v>
      </c>
    </row>
    <row r="84" spans="1:11" x14ac:dyDescent="0.35">
      <c r="A84" t="s">
        <v>178</v>
      </c>
      <c r="B84" t="s">
        <v>149</v>
      </c>
      <c r="C84" s="19">
        <v>7.0699999999999999E-2</v>
      </c>
      <c r="D84" s="19">
        <v>0.33762057877813501</v>
      </c>
      <c r="E84" s="19">
        <v>0.43729903536977399</v>
      </c>
      <c r="F84" s="19">
        <v>0.11575562700964601</v>
      </c>
      <c r="G84" s="19">
        <v>3.8585209003215402E-2</v>
      </c>
      <c r="H84" s="19">
        <v>0</v>
      </c>
      <c r="I84" s="19">
        <v>0.40832057877813499</v>
      </c>
      <c r="J84" s="19">
        <v>0.154340836012861</v>
      </c>
      <c r="K84" s="20" t="str">
        <f>_xlfn.CONCAT(dll[[#This Row],[lob]], " ", dll[[#This Row],[valid_vintage]])</f>
        <v>AN 2022 Q1</v>
      </c>
    </row>
    <row r="85" spans="1:11" x14ac:dyDescent="0.35">
      <c r="A85" t="s">
        <v>178</v>
      </c>
      <c r="B85" t="s">
        <v>151</v>
      </c>
      <c r="C85" s="19">
        <v>2.9600000000000001E-2</v>
      </c>
      <c r="D85" s="19">
        <v>0.20156250000000001</v>
      </c>
      <c r="E85" s="19">
        <v>0.671875</v>
      </c>
      <c r="F85" s="19">
        <v>4.3749999999999997E-2</v>
      </c>
      <c r="G85" s="19">
        <v>5.1562499999999997E-2</v>
      </c>
      <c r="H85" s="19">
        <v>1.5625000000000001E-3</v>
      </c>
      <c r="I85" s="19">
        <v>0.23116249999999999</v>
      </c>
      <c r="J85" s="19">
        <v>9.6875000000000003E-2</v>
      </c>
      <c r="K85" s="20" t="str">
        <f>_xlfn.CONCAT(dll[[#This Row],[lob]], " ", dll[[#This Row],[valid_vintage]])</f>
        <v>FRN 2022 Q1</v>
      </c>
    </row>
    <row r="86" spans="1:11" x14ac:dyDescent="0.35">
      <c r="A86" t="s">
        <v>178</v>
      </c>
      <c r="B86" t="s">
        <v>122</v>
      </c>
      <c r="C86" s="19">
        <v>0</v>
      </c>
      <c r="D86" s="19">
        <v>0.30322580645161201</v>
      </c>
      <c r="E86" s="19">
        <v>0.41935483870967699</v>
      </c>
      <c r="F86" s="19">
        <v>0.225806451612903</v>
      </c>
      <c r="G86" s="19">
        <v>5.1612903225806403E-2</v>
      </c>
      <c r="H86" s="19">
        <v>0</v>
      </c>
      <c r="I86" s="19">
        <v>0.30322580645161201</v>
      </c>
      <c r="J86" s="19">
        <v>0.277419354838709</v>
      </c>
      <c r="K86" s="20" t="str">
        <f>_xlfn.CONCAT(dll[[#This Row],[lob]], " ", dll[[#This Row],[valid_vintage]])</f>
        <v>ENT 2022 Q1</v>
      </c>
    </row>
    <row r="87" spans="1:11" x14ac:dyDescent="0.35">
      <c r="A87" t="s">
        <v>168</v>
      </c>
      <c r="B87" t="s">
        <v>153</v>
      </c>
      <c r="C87" s="19">
        <v>5.5300000000000002E-2</v>
      </c>
      <c r="D87" s="19">
        <v>0.33807030665669402</v>
      </c>
      <c r="E87" s="19">
        <v>0.333582647718773</v>
      </c>
      <c r="F87" s="19">
        <v>0.112939416604338</v>
      </c>
      <c r="G87" s="19">
        <v>0.15258040388930399</v>
      </c>
      <c r="H87" s="19">
        <v>7.4794315632011896E-3</v>
      </c>
      <c r="I87" s="19">
        <v>0.39337030665669398</v>
      </c>
      <c r="J87" s="19">
        <v>0.272999252056843</v>
      </c>
      <c r="K87" s="20" t="str">
        <f>_xlfn.CONCAT(dll[[#This Row],[lob]], " ", dll[[#This Row],[valid_vintage]])</f>
        <v>STG 2021 Q4</v>
      </c>
    </row>
    <row r="88" spans="1:11" x14ac:dyDescent="0.35">
      <c r="A88" t="s">
        <v>168</v>
      </c>
      <c r="B88" t="s">
        <v>149</v>
      </c>
      <c r="C88" s="19">
        <v>9.4700000000000006E-2</v>
      </c>
      <c r="D88" s="19">
        <v>0.27777777777777701</v>
      </c>
      <c r="E88" s="19">
        <v>0.46405228758169897</v>
      </c>
      <c r="F88" s="19">
        <v>0.12745098039215599</v>
      </c>
      <c r="G88" s="19">
        <v>9.8039215686274508E-3</v>
      </c>
      <c r="H88" s="19">
        <v>2.61437908496732E-2</v>
      </c>
      <c r="I88" s="19">
        <v>0.37247777777777702</v>
      </c>
      <c r="J88" s="19">
        <v>0.16339869281045699</v>
      </c>
      <c r="K88" s="20" t="str">
        <f>_xlfn.CONCAT(dll[[#This Row],[lob]], " ", dll[[#This Row],[valid_vintage]])</f>
        <v>AN 2021 Q4</v>
      </c>
    </row>
    <row r="89" spans="1:11" x14ac:dyDescent="0.35">
      <c r="A89" t="s">
        <v>168</v>
      </c>
      <c r="B89" t="s">
        <v>155</v>
      </c>
      <c r="C89" s="19">
        <v>8.6599999999999996E-2</v>
      </c>
      <c r="D89" s="19">
        <v>0.232283464566929</v>
      </c>
      <c r="E89" s="19">
        <v>0.24015748031496001</v>
      </c>
      <c r="F89" s="19">
        <v>3.5433070866141697E-2</v>
      </c>
      <c r="G89" s="19">
        <v>0.39763779527559001</v>
      </c>
      <c r="H89" s="19">
        <v>7.8740157480314907E-3</v>
      </c>
      <c r="I89" s="19">
        <v>0.31888346456692901</v>
      </c>
      <c r="J89" s="19">
        <v>0.440944881889763</v>
      </c>
      <c r="K89" s="20" t="str">
        <f>_xlfn.CONCAT(dll[[#This Row],[lob]], " ", dll[[#This Row],[valid_vintage]])</f>
        <v>FLD 2021 Q4</v>
      </c>
    </row>
    <row r="90" spans="1:11" x14ac:dyDescent="0.35">
      <c r="A90" t="s">
        <v>168</v>
      </c>
      <c r="B90" t="s">
        <v>122</v>
      </c>
      <c r="C90" s="19">
        <v>0</v>
      </c>
      <c r="D90" s="19">
        <v>0.253246753246753</v>
      </c>
      <c r="E90" s="19">
        <v>0.493506493506493</v>
      </c>
      <c r="F90" s="19">
        <v>0.18181818181818099</v>
      </c>
      <c r="G90" s="19">
        <v>7.1428571428571397E-2</v>
      </c>
      <c r="H90" s="19">
        <v>0</v>
      </c>
      <c r="I90" s="19">
        <v>0.253246753246753</v>
      </c>
      <c r="J90" s="19">
        <v>0.253246753246753</v>
      </c>
      <c r="K90" s="20" t="str">
        <f>_xlfn.CONCAT(dll[[#This Row],[lob]], " ", dll[[#This Row],[valid_vintage]])</f>
        <v>ENT 2021 Q4</v>
      </c>
    </row>
    <row r="91" spans="1:11" x14ac:dyDescent="0.35">
      <c r="A91" t="s">
        <v>168</v>
      </c>
      <c r="B91" t="s">
        <v>151</v>
      </c>
      <c r="C91" s="19">
        <v>2.8299999999999999E-2</v>
      </c>
      <c r="D91" s="19">
        <v>0.18040089086859601</v>
      </c>
      <c r="E91" s="19">
        <v>0.71436525612472102</v>
      </c>
      <c r="F91" s="19">
        <v>3.5634743875278298E-2</v>
      </c>
      <c r="G91" s="19">
        <v>4.0089086859688101E-2</v>
      </c>
      <c r="H91" s="19">
        <v>1.1135857461024401E-3</v>
      </c>
      <c r="I91" s="19">
        <v>0.208700890868596</v>
      </c>
      <c r="J91" s="19">
        <v>7.6837416481068996E-2</v>
      </c>
      <c r="K91" s="20" t="str">
        <f>_xlfn.CONCAT(dll[[#This Row],[lob]], " ", dll[[#This Row],[valid_vintage]])</f>
        <v>FRN 2021 Q4</v>
      </c>
    </row>
    <row r="92" spans="1:11" x14ac:dyDescent="0.35">
      <c r="A92" t="s">
        <v>175</v>
      </c>
      <c r="B92" t="s">
        <v>155</v>
      </c>
      <c r="C92" s="19">
        <v>9.74E-2</v>
      </c>
      <c r="D92" s="19">
        <v>0.15677966101694901</v>
      </c>
      <c r="E92" s="19">
        <v>0.29237288135593198</v>
      </c>
      <c r="F92" s="19">
        <v>3.38983050847457E-2</v>
      </c>
      <c r="G92" s="19">
        <v>0.40677966101694901</v>
      </c>
      <c r="H92" s="19">
        <v>1.2711864406779599E-2</v>
      </c>
      <c r="I92" s="19">
        <v>0.254179661016949</v>
      </c>
      <c r="J92" s="19">
        <v>0.45338983050847398</v>
      </c>
      <c r="K92" s="20" t="str">
        <f>_xlfn.CONCAT(dll[[#This Row],[lob]], " ", dll[[#This Row],[valid_vintage]])</f>
        <v>FLD 2021 Q3</v>
      </c>
    </row>
    <row r="93" spans="1:11" x14ac:dyDescent="0.35">
      <c r="A93" t="s">
        <v>175</v>
      </c>
      <c r="B93" t="s">
        <v>151</v>
      </c>
      <c r="C93" s="19">
        <v>1.7999999999999999E-2</v>
      </c>
      <c r="D93" s="19">
        <v>0.17315514235909299</v>
      </c>
      <c r="E93" s="19">
        <v>0.74840209180708805</v>
      </c>
      <c r="F93" s="19">
        <v>3.6025566531086503E-2</v>
      </c>
      <c r="G93" s="19">
        <v>2.4404416037187598E-2</v>
      </c>
      <c r="H93" s="19">
        <v>0</v>
      </c>
      <c r="I93" s="19">
        <v>0.19115514235909301</v>
      </c>
      <c r="J93" s="19">
        <v>6.0429982568274199E-2</v>
      </c>
      <c r="K93" s="20" t="str">
        <f>_xlfn.CONCAT(dll[[#This Row],[lob]], " ", dll[[#This Row],[valid_vintage]])</f>
        <v>FRN 2021 Q3</v>
      </c>
    </row>
    <row r="94" spans="1:11" x14ac:dyDescent="0.35">
      <c r="A94" t="s">
        <v>175</v>
      </c>
      <c r="B94" t="s">
        <v>153</v>
      </c>
      <c r="C94" s="19">
        <v>3.1699999999999999E-2</v>
      </c>
      <c r="D94" s="19">
        <v>0.38314785373608901</v>
      </c>
      <c r="E94" s="19">
        <v>0.334658187599364</v>
      </c>
      <c r="F94" s="19">
        <v>0.194753577106518</v>
      </c>
      <c r="G94" s="19">
        <v>4.2130365659777402E-2</v>
      </c>
      <c r="H94" s="19">
        <v>1.35135135135135E-2</v>
      </c>
      <c r="I94" s="19">
        <v>0.41484785373608901</v>
      </c>
      <c r="J94" s="19">
        <v>0.25039745627980903</v>
      </c>
      <c r="K94" s="20" t="str">
        <f>_xlfn.CONCAT(dll[[#This Row],[lob]], " ", dll[[#This Row],[valid_vintage]])</f>
        <v>STG 2021 Q3</v>
      </c>
    </row>
    <row r="95" spans="1:11" x14ac:dyDescent="0.35">
      <c r="A95" t="s">
        <v>175</v>
      </c>
      <c r="B95" t="s">
        <v>122</v>
      </c>
      <c r="C95" s="19">
        <v>0</v>
      </c>
      <c r="D95" s="19">
        <v>0.26623376623376599</v>
      </c>
      <c r="E95" s="19">
        <v>0.40909090909090901</v>
      </c>
      <c r="F95" s="19">
        <v>0.19480519480519401</v>
      </c>
      <c r="G95" s="19">
        <v>0.129870129870129</v>
      </c>
      <c r="H95" s="19">
        <v>0</v>
      </c>
      <c r="I95" s="19">
        <v>0.26623376623376599</v>
      </c>
      <c r="J95" s="19">
        <v>0.32467532467532401</v>
      </c>
      <c r="K95" s="20" t="str">
        <f>_xlfn.CONCAT(dll[[#This Row],[lob]], " ", dll[[#This Row],[valid_vintage]])</f>
        <v>ENT 2021 Q3</v>
      </c>
    </row>
    <row r="96" spans="1:11" x14ac:dyDescent="0.35">
      <c r="A96" t="s">
        <v>175</v>
      </c>
      <c r="B96" t="s">
        <v>149</v>
      </c>
      <c r="C96" s="19">
        <v>5.1900000000000002E-2</v>
      </c>
      <c r="D96" s="19">
        <v>0.31141868512110699</v>
      </c>
      <c r="E96" s="19">
        <v>0.44290657439446302</v>
      </c>
      <c r="F96" s="19">
        <v>0.124567474048442</v>
      </c>
      <c r="G96" s="19">
        <v>3.4602076124567401E-2</v>
      </c>
      <c r="H96" s="19">
        <v>3.4602076124567401E-2</v>
      </c>
      <c r="I96" s="19">
        <v>0.36331868512110699</v>
      </c>
      <c r="J96" s="19">
        <v>0.19377162629757699</v>
      </c>
      <c r="K96" s="20" t="str">
        <f>_xlfn.CONCAT(dll[[#This Row],[lob]], " ", dll[[#This Row],[valid_vintage]])</f>
        <v>AN 2021 Q3</v>
      </c>
    </row>
    <row r="97" spans="1:11" x14ac:dyDescent="0.35">
      <c r="A97" t="s">
        <v>181</v>
      </c>
      <c r="B97" t="s">
        <v>149</v>
      </c>
      <c r="C97" s="19">
        <v>3.4799999999999998E-2</v>
      </c>
      <c r="D97" s="19">
        <v>0.27177700348431999</v>
      </c>
      <c r="E97" s="19">
        <v>0.51567944250871001</v>
      </c>
      <c r="F97" s="19">
        <v>0.12195121951219499</v>
      </c>
      <c r="G97" s="19">
        <v>5.5749128919860599E-2</v>
      </c>
      <c r="H97" s="19">
        <v>0</v>
      </c>
      <c r="I97" s="19">
        <v>0.30657700348431999</v>
      </c>
      <c r="J97" s="19">
        <v>0.17770034843205501</v>
      </c>
      <c r="K97" s="20" t="str">
        <f>_xlfn.CONCAT(dll[[#This Row],[lob]], " ", dll[[#This Row],[valid_vintage]])</f>
        <v>AN 2021 Q2</v>
      </c>
    </row>
    <row r="98" spans="1:11" x14ac:dyDescent="0.35">
      <c r="A98" t="s">
        <v>181</v>
      </c>
      <c r="B98" t="s">
        <v>155</v>
      </c>
      <c r="C98" s="19">
        <v>3.8600000000000002E-2</v>
      </c>
      <c r="D98" s="19">
        <v>0.21459227467811101</v>
      </c>
      <c r="E98" s="19">
        <v>0.28755364806866901</v>
      </c>
      <c r="F98" s="19">
        <v>5.1502145922746698E-2</v>
      </c>
      <c r="G98" s="19">
        <v>0.39484978540772497</v>
      </c>
      <c r="H98" s="19">
        <v>1.28755364806866E-2</v>
      </c>
      <c r="I98" s="19">
        <v>0.25319227467811101</v>
      </c>
      <c r="J98" s="19">
        <v>0.45922746781115797</v>
      </c>
      <c r="K98" s="20" t="str">
        <f>_xlfn.CONCAT(dll[[#This Row],[lob]], " ", dll[[#This Row],[valid_vintage]])</f>
        <v>FLD 2021 Q2</v>
      </c>
    </row>
    <row r="99" spans="1:11" x14ac:dyDescent="0.35">
      <c r="A99" t="s">
        <v>181</v>
      </c>
      <c r="B99" t="s">
        <v>151</v>
      </c>
      <c r="C99" s="19">
        <v>1.1299999999999999E-2</v>
      </c>
      <c r="D99" s="19">
        <v>0.18193303853442799</v>
      </c>
      <c r="E99" s="19">
        <v>0.75679090334807297</v>
      </c>
      <c r="F99" s="19">
        <v>3.34807327858496E-2</v>
      </c>
      <c r="G99" s="19">
        <v>1.4529374605179999E-2</v>
      </c>
      <c r="H99" s="19">
        <v>1.8951358180669599E-3</v>
      </c>
      <c r="I99" s="19">
        <v>0.193233038534428</v>
      </c>
      <c r="J99" s="19">
        <v>4.9905243209096603E-2</v>
      </c>
      <c r="K99" s="20" t="str">
        <f>_xlfn.CONCAT(dll[[#This Row],[lob]], " ", dll[[#This Row],[valid_vintage]])</f>
        <v>FRN 2021 Q2</v>
      </c>
    </row>
    <row r="100" spans="1:11" x14ac:dyDescent="0.35">
      <c r="A100" t="s">
        <v>181</v>
      </c>
      <c r="B100" t="s">
        <v>122</v>
      </c>
      <c r="C100" s="19">
        <v>0</v>
      </c>
      <c r="D100" s="19">
        <v>0.28758169934640498</v>
      </c>
      <c r="E100" s="19">
        <v>0.41176470588235198</v>
      </c>
      <c r="F100" s="19">
        <v>0.15686274509803899</v>
      </c>
      <c r="G100" s="19">
        <v>0.14379084967320199</v>
      </c>
      <c r="H100" s="19">
        <v>0</v>
      </c>
      <c r="I100" s="19">
        <v>0.28758169934640498</v>
      </c>
      <c r="J100" s="19">
        <v>0.30065359477124098</v>
      </c>
      <c r="K100" s="20" t="str">
        <f>_xlfn.CONCAT(dll[[#This Row],[lob]], " ", dll[[#This Row],[valid_vintage]])</f>
        <v>ENT 2021 Q2</v>
      </c>
    </row>
    <row r="101" spans="1:11" x14ac:dyDescent="0.35">
      <c r="A101" t="s">
        <v>181</v>
      </c>
      <c r="B101" t="s">
        <v>153</v>
      </c>
      <c r="C101" s="19">
        <v>2.6700000000000002E-2</v>
      </c>
      <c r="D101" s="19">
        <v>0.39546191247974</v>
      </c>
      <c r="E101" s="19">
        <v>0.34683954619124702</v>
      </c>
      <c r="F101" s="19">
        <v>0.176661264181523</v>
      </c>
      <c r="G101" s="19">
        <v>4.7811993517017801E-2</v>
      </c>
      <c r="H101" s="19">
        <v>6.4829821717990203E-3</v>
      </c>
      <c r="I101" s="19">
        <v>0.42216191247974</v>
      </c>
      <c r="J101" s="19">
        <v>0.23095623987034</v>
      </c>
      <c r="K101" s="20" t="str">
        <f>_xlfn.CONCAT(dll[[#This Row],[lob]], " ", dll[[#This Row],[valid_vintage]])</f>
        <v>STG 2021 Q2</v>
      </c>
    </row>
    <row r="102" spans="1:11" x14ac:dyDescent="0.35">
      <c r="A102" t="s">
        <v>185</v>
      </c>
      <c r="B102" t="s">
        <v>153</v>
      </c>
      <c r="C102" s="19">
        <v>3.1099999999999999E-2</v>
      </c>
      <c r="D102" s="19">
        <v>0.27104377104377098</v>
      </c>
      <c r="E102" s="19">
        <v>0.49494949494949397</v>
      </c>
      <c r="F102" s="19">
        <v>0.15404040404040401</v>
      </c>
      <c r="G102" s="19">
        <v>4.8821548821548801E-2</v>
      </c>
      <c r="H102" s="19">
        <v>0</v>
      </c>
      <c r="I102" s="19">
        <v>0.30214377104377099</v>
      </c>
      <c r="J102" s="19">
        <v>0.20286195286195199</v>
      </c>
      <c r="K102" s="20" t="str">
        <f>_xlfn.CONCAT(dll[[#This Row],[lob]], " ", dll[[#This Row],[valid_vintage]])</f>
        <v>STG 2021 Q1</v>
      </c>
    </row>
    <row r="103" spans="1:11" x14ac:dyDescent="0.35">
      <c r="A103" t="s">
        <v>185</v>
      </c>
      <c r="B103" t="s">
        <v>155</v>
      </c>
      <c r="C103" s="19">
        <v>2.6499999999999999E-2</v>
      </c>
      <c r="D103" s="19">
        <v>0.20353982300884901</v>
      </c>
      <c r="E103" s="19">
        <v>0.64159292035398197</v>
      </c>
      <c r="F103" s="19">
        <v>2.21238938053097E-2</v>
      </c>
      <c r="G103" s="19">
        <v>9.7345132743362803E-2</v>
      </c>
      <c r="H103" s="19">
        <v>8.8495575221238902E-3</v>
      </c>
      <c r="I103" s="19">
        <v>0.23003982300884901</v>
      </c>
      <c r="J103" s="19">
        <v>0.12831858407079599</v>
      </c>
      <c r="K103" s="20" t="str">
        <f>_xlfn.CONCAT(dll[[#This Row],[lob]], " ", dll[[#This Row],[valid_vintage]])</f>
        <v>FLD 2021 Q1</v>
      </c>
    </row>
    <row r="104" spans="1:11" x14ac:dyDescent="0.35">
      <c r="A104" t="s">
        <v>185</v>
      </c>
      <c r="B104" t="s">
        <v>149</v>
      </c>
      <c r="C104" s="19">
        <v>1.04E-2</v>
      </c>
      <c r="D104" s="19">
        <v>0.27622377622377597</v>
      </c>
      <c r="E104" s="19">
        <v>0.51048951048950997</v>
      </c>
      <c r="F104" s="19">
        <v>0.16783216783216701</v>
      </c>
      <c r="G104" s="19">
        <v>3.4965034965034898E-2</v>
      </c>
      <c r="H104" s="19">
        <v>0</v>
      </c>
      <c r="I104" s="19">
        <v>0.28662377622377599</v>
      </c>
      <c r="J104" s="19">
        <v>0.20279720279720201</v>
      </c>
      <c r="K104" s="20" t="str">
        <f>_xlfn.CONCAT(dll[[#This Row],[lob]], " ", dll[[#This Row],[valid_vintage]])</f>
        <v>AN 2021 Q1</v>
      </c>
    </row>
    <row r="105" spans="1:11" x14ac:dyDescent="0.35">
      <c r="A105" t="s">
        <v>185</v>
      </c>
      <c r="B105" t="s">
        <v>122</v>
      </c>
      <c r="C105" s="19">
        <v>0</v>
      </c>
      <c r="D105" s="19">
        <v>0.41830065359477098</v>
      </c>
      <c r="E105" s="19">
        <v>0.22875816993463999</v>
      </c>
      <c r="F105" s="19">
        <v>0.20261437908496699</v>
      </c>
      <c r="G105" s="19">
        <v>0.15032679738561999</v>
      </c>
      <c r="H105" s="19">
        <v>0</v>
      </c>
      <c r="I105" s="19">
        <v>0.41830065359477098</v>
      </c>
      <c r="J105" s="19">
        <v>0.35294117647058798</v>
      </c>
      <c r="K105" s="20" t="str">
        <f>_xlfn.CONCAT(dll[[#This Row],[lob]], " ", dll[[#This Row],[valid_vintage]])</f>
        <v>ENT 2021 Q1</v>
      </c>
    </row>
    <row r="106" spans="1:11" x14ac:dyDescent="0.35">
      <c r="A106" t="s">
        <v>185</v>
      </c>
      <c r="B106" t="s">
        <v>151</v>
      </c>
      <c r="C106" s="19">
        <v>9.7000000000000003E-3</v>
      </c>
      <c r="D106" s="19">
        <v>0.123869171885873</v>
      </c>
      <c r="E106" s="19">
        <v>0.80514961725817602</v>
      </c>
      <c r="F106" s="19">
        <v>4.2449547668754299E-2</v>
      </c>
      <c r="G106" s="19">
        <v>1.87891440501043E-2</v>
      </c>
      <c r="H106" s="19">
        <v>0</v>
      </c>
      <c r="I106" s="19">
        <v>0.133569171885873</v>
      </c>
      <c r="J106" s="19">
        <v>6.12386917188587E-2</v>
      </c>
      <c r="K106" s="20" t="str">
        <f>_xlfn.CONCAT(dll[[#This Row],[lob]], " ", dll[[#This Row],[valid_vintage]])</f>
        <v>FRN 2021 Q1</v>
      </c>
    </row>
    <row r="107" spans="1:11" x14ac:dyDescent="0.35">
      <c r="A107" t="s">
        <v>177</v>
      </c>
      <c r="B107" t="s">
        <v>153</v>
      </c>
      <c r="C107" s="19">
        <v>4.1200000000000001E-2</v>
      </c>
      <c r="D107" s="19">
        <v>0.20618556701030899</v>
      </c>
      <c r="E107" s="19">
        <v>0.53350515463917503</v>
      </c>
      <c r="F107" s="19">
        <v>0.17268041237113399</v>
      </c>
      <c r="G107" s="19">
        <v>4.6391752577319499E-2</v>
      </c>
      <c r="H107" s="19">
        <v>0</v>
      </c>
      <c r="I107" s="19">
        <v>0.247385567010309</v>
      </c>
      <c r="J107" s="19">
        <v>0.219072164948453</v>
      </c>
      <c r="K107" s="20" t="str">
        <f>_xlfn.CONCAT(dll[[#This Row],[lob]], " ", dll[[#This Row],[valid_vintage]])</f>
        <v>STG 2020 Q4</v>
      </c>
    </row>
    <row r="108" spans="1:11" x14ac:dyDescent="0.35">
      <c r="A108" t="s">
        <v>177</v>
      </c>
      <c r="B108" t="s">
        <v>149</v>
      </c>
      <c r="C108" s="19">
        <v>6.8999999999999999E-3</v>
      </c>
      <c r="D108" s="19">
        <v>0.33216783216783202</v>
      </c>
      <c r="E108" s="19">
        <v>0.43356643356643298</v>
      </c>
      <c r="F108" s="19">
        <v>0.16433566433566399</v>
      </c>
      <c r="G108" s="19">
        <v>6.2937062937062901E-2</v>
      </c>
      <c r="H108" s="19">
        <v>0</v>
      </c>
      <c r="I108" s="19">
        <v>0.33906783216783198</v>
      </c>
      <c r="J108" s="19">
        <v>0.22727272727272699</v>
      </c>
      <c r="K108" s="20" t="str">
        <f>_xlfn.CONCAT(dll[[#This Row],[lob]], " ", dll[[#This Row],[valid_vintage]])</f>
        <v>AN 2020 Q4</v>
      </c>
    </row>
    <row r="109" spans="1:11" x14ac:dyDescent="0.35">
      <c r="A109" t="s">
        <v>177</v>
      </c>
      <c r="B109" t="s">
        <v>122</v>
      </c>
      <c r="C109" s="19">
        <v>0</v>
      </c>
      <c r="D109" s="19">
        <v>0.24161073825503299</v>
      </c>
      <c r="E109" s="19">
        <v>0.38255033557046902</v>
      </c>
      <c r="F109" s="19">
        <v>0.20134228187919401</v>
      </c>
      <c r="G109" s="19">
        <v>0.17449664429530201</v>
      </c>
      <c r="H109" s="19">
        <v>0</v>
      </c>
      <c r="I109" s="19">
        <v>0.24161073825503299</v>
      </c>
      <c r="J109" s="19">
        <v>0.37583892617449599</v>
      </c>
      <c r="K109" s="20" t="str">
        <f>_xlfn.CONCAT(dll[[#This Row],[lob]], " ", dll[[#This Row],[valid_vintage]])</f>
        <v>ENT 2020 Q4</v>
      </c>
    </row>
    <row r="110" spans="1:11" x14ac:dyDescent="0.35">
      <c r="A110" t="s">
        <v>177</v>
      </c>
      <c r="B110" t="s">
        <v>155</v>
      </c>
      <c r="C110" s="19">
        <v>1.7999999999999999E-2</v>
      </c>
      <c r="D110" s="19">
        <v>0.23076923076923</v>
      </c>
      <c r="E110" s="19">
        <v>0.46606334841628899</v>
      </c>
      <c r="F110" s="19">
        <v>0.22624434389140199</v>
      </c>
      <c r="G110" s="19">
        <v>5.4298642533936597E-2</v>
      </c>
      <c r="H110" s="19">
        <v>4.5248868778280504E-3</v>
      </c>
      <c r="I110" s="19">
        <v>0.24876923076922999</v>
      </c>
      <c r="J110" s="19">
        <v>0.28506787330316702</v>
      </c>
      <c r="K110" s="20" t="str">
        <f>_xlfn.CONCAT(dll[[#This Row],[lob]], " ", dll[[#This Row],[valid_vintage]])</f>
        <v>FLD 2020 Q4</v>
      </c>
    </row>
    <row r="111" spans="1:11" x14ac:dyDescent="0.35">
      <c r="A111" t="s">
        <v>177</v>
      </c>
      <c r="B111" t="s">
        <v>151</v>
      </c>
      <c r="C111" s="19">
        <v>9.9000000000000008E-3</v>
      </c>
      <c r="D111" s="19">
        <v>0.10788064269319</v>
      </c>
      <c r="E111" s="19">
        <v>0.80948737566947204</v>
      </c>
      <c r="F111" s="19">
        <v>4.4376434583014497E-2</v>
      </c>
      <c r="G111" s="19">
        <v>2.83091048201989E-2</v>
      </c>
      <c r="H111" s="19">
        <v>0</v>
      </c>
      <c r="I111" s="19">
        <v>0.11778064269319</v>
      </c>
      <c r="J111" s="19">
        <v>7.2685539403213401E-2</v>
      </c>
      <c r="K111" s="20" t="str">
        <f>_xlfn.CONCAT(dll[[#This Row],[lob]], " ", dll[[#This Row],[valid_vintage]])</f>
        <v>FRN 2020 Q4</v>
      </c>
    </row>
    <row r="112" spans="1:11" x14ac:dyDescent="0.35">
      <c r="A112" t="s">
        <v>180</v>
      </c>
      <c r="B112" t="s">
        <v>149</v>
      </c>
      <c r="C112" s="19">
        <v>3.1399999999999997E-2</v>
      </c>
      <c r="D112" s="19">
        <v>0.27972027972027902</v>
      </c>
      <c r="E112" s="19">
        <v>0.42657342657342601</v>
      </c>
      <c r="F112" s="19">
        <v>0.188811188811188</v>
      </c>
      <c r="G112" s="19">
        <v>7.3426573426573397E-2</v>
      </c>
      <c r="H112" s="19">
        <v>0</v>
      </c>
      <c r="I112" s="19">
        <v>0.311120279720279</v>
      </c>
      <c r="J112" s="19">
        <v>0.26223776223776202</v>
      </c>
      <c r="K112" s="20" t="str">
        <f>_xlfn.CONCAT(dll[[#This Row],[lob]], " ", dll[[#This Row],[valid_vintage]])</f>
        <v>AN 2020 Q3</v>
      </c>
    </row>
    <row r="113" spans="1:11" x14ac:dyDescent="0.35">
      <c r="A113" t="s">
        <v>180</v>
      </c>
      <c r="B113" t="s">
        <v>122</v>
      </c>
      <c r="C113" s="19">
        <v>0</v>
      </c>
      <c r="D113" s="19">
        <v>0.19727891156462499</v>
      </c>
      <c r="E113" s="19">
        <v>0.68027210884353695</v>
      </c>
      <c r="F113" s="19">
        <v>6.1224489795918297E-2</v>
      </c>
      <c r="G113" s="19">
        <v>6.1224489795918297E-2</v>
      </c>
      <c r="H113" s="19">
        <v>0</v>
      </c>
      <c r="I113" s="19">
        <v>0.19727891156462499</v>
      </c>
      <c r="J113" s="19">
        <v>0.122448979591836</v>
      </c>
      <c r="K113" s="20" t="str">
        <f>_xlfn.CONCAT(dll[[#This Row],[lob]], " ", dll[[#This Row],[valid_vintage]])</f>
        <v>ENT 2020 Q3</v>
      </c>
    </row>
    <row r="114" spans="1:11" x14ac:dyDescent="0.35">
      <c r="A114" t="s">
        <v>180</v>
      </c>
      <c r="B114" t="s">
        <v>153</v>
      </c>
      <c r="C114" s="19">
        <v>3.6700000000000003E-2</v>
      </c>
      <c r="D114" s="19">
        <v>0.216097987751531</v>
      </c>
      <c r="E114" s="19">
        <v>0.57655293088363901</v>
      </c>
      <c r="F114" s="19">
        <v>0.139107611548556</v>
      </c>
      <c r="G114" s="19">
        <v>3.1496062992125901E-2</v>
      </c>
      <c r="H114" s="19">
        <v>0</v>
      </c>
      <c r="I114" s="19">
        <v>0.25279798775153101</v>
      </c>
      <c r="J114" s="19">
        <v>0.17060367454068201</v>
      </c>
      <c r="K114" s="20" t="str">
        <f>_xlfn.CONCAT(dll[[#This Row],[lob]], " ", dll[[#This Row],[valid_vintage]])</f>
        <v>STG 2020 Q3</v>
      </c>
    </row>
    <row r="115" spans="1:11" x14ac:dyDescent="0.35">
      <c r="A115" t="s">
        <v>180</v>
      </c>
      <c r="B115" t="s">
        <v>151</v>
      </c>
      <c r="C115" s="19">
        <v>9.4999999999999998E-3</v>
      </c>
      <c r="D115" s="19">
        <v>7.9722703639514697E-2</v>
      </c>
      <c r="E115" s="19">
        <v>0.85095320623916804</v>
      </c>
      <c r="F115" s="19">
        <v>2.51299826689774E-2</v>
      </c>
      <c r="G115" s="19">
        <v>3.4662045060658501E-2</v>
      </c>
      <c r="H115" s="19">
        <v>0</v>
      </c>
      <c r="I115" s="19">
        <v>8.9222703639514706E-2</v>
      </c>
      <c r="J115" s="19">
        <v>5.9792027729636002E-2</v>
      </c>
      <c r="K115" s="20" t="str">
        <f>_xlfn.CONCAT(dll[[#This Row],[lob]], " ", dll[[#This Row],[valid_vintage]])</f>
        <v>FRN 2020 Q3</v>
      </c>
    </row>
    <row r="116" spans="1:11" x14ac:dyDescent="0.35">
      <c r="A116" t="s">
        <v>180</v>
      </c>
      <c r="B116" t="s">
        <v>155</v>
      </c>
      <c r="C116" s="19">
        <v>9.1999999999999998E-3</v>
      </c>
      <c r="D116" s="19">
        <v>0.239631336405529</v>
      </c>
      <c r="E116" s="19">
        <v>0.483870967741935</v>
      </c>
      <c r="F116" s="19">
        <v>0.211981566820276</v>
      </c>
      <c r="G116" s="19">
        <v>5.5299539170506902E-2</v>
      </c>
      <c r="H116" s="19">
        <v>0</v>
      </c>
      <c r="I116" s="19">
        <v>0.24883133640552901</v>
      </c>
      <c r="J116" s="19">
        <v>0.26728110599078297</v>
      </c>
      <c r="K116" s="20" t="str">
        <f>_xlfn.CONCAT(dll[[#This Row],[lob]], " ", dll[[#This Row],[valid_vintage]])</f>
        <v>FLD 2020 Q3</v>
      </c>
    </row>
    <row r="117" spans="1:11" x14ac:dyDescent="0.35">
      <c r="A117" t="s">
        <v>161</v>
      </c>
      <c r="B117" t="s">
        <v>155</v>
      </c>
      <c r="C117" s="19">
        <v>1.41E-2</v>
      </c>
      <c r="D117" s="19">
        <v>0.17730496453900699</v>
      </c>
      <c r="E117" s="19">
        <v>0.30496453900709197</v>
      </c>
      <c r="F117" s="19">
        <v>0.44680851063829702</v>
      </c>
      <c r="G117" s="19">
        <v>5.6737588652482199E-2</v>
      </c>
      <c r="H117" s="19">
        <v>0</v>
      </c>
      <c r="I117" s="19">
        <v>0.19140496453900699</v>
      </c>
      <c r="J117" s="19">
        <v>0.50354609929077998</v>
      </c>
      <c r="K117" s="20" t="str">
        <f>_xlfn.CONCAT(dll[[#This Row],[lob]], " ", dll[[#This Row],[valid_vintage]])</f>
        <v>FLD 2020 Q2</v>
      </c>
    </row>
    <row r="118" spans="1:11" x14ac:dyDescent="0.35">
      <c r="A118" t="s">
        <v>161</v>
      </c>
      <c r="B118" t="s">
        <v>151</v>
      </c>
      <c r="C118" s="19">
        <v>4.7999999999999996E-3</v>
      </c>
      <c r="D118" s="19">
        <v>8.7584215591915301E-2</v>
      </c>
      <c r="E118" s="19">
        <v>0.82194417709335799</v>
      </c>
      <c r="F118" s="19">
        <v>5.5822906641000897E-2</v>
      </c>
      <c r="G118" s="19">
        <v>2.9836381135707399E-2</v>
      </c>
      <c r="H118" s="19">
        <v>0</v>
      </c>
      <c r="I118" s="19">
        <v>9.23842155919153E-2</v>
      </c>
      <c r="J118" s="19">
        <v>8.5659287776708296E-2</v>
      </c>
      <c r="K118" s="20" t="str">
        <f>_xlfn.CONCAT(dll[[#This Row],[lob]], " ", dll[[#This Row],[valid_vintage]])</f>
        <v>FRN 2020 Q2</v>
      </c>
    </row>
    <row r="119" spans="1:11" x14ac:dyDescent="0.35">
      <c r="A119" t="s">
        <v>161</v>
      </c>
      <c r="B119" t="s">
        <v>153</v>
      </c>
      <c r="C119" s="19">
        <v>3.0499999999999999E-2</v>
      </c>
      <c r="D119" s="19">
        <v>0.29380053908355702</v>
      </c>
      <c r="E119" s="19">
        <v>0.513027852650494</v>
      </c>
      <c r="F119" s="19">
        <v>0.12309074573225499</v>
      </c>
      <c r="G119" s="19">
        <v>3.9532794249775301E-2</v>
      </c>
      <c r="H119" s="19">
        <v>0</v>
      </c>
      <c r="I119" s="19">
        <v>0.32430053908355699</v>
      </c>
      <c r="J119" s="19">
        <v>0.16262353998203</v>
      </c>
      <c r="K119" s="20" t="str">
        <f>_xlfn.CONCAT(dll[[#This Row],[lob]], " ", dll[[#This Row],[valid_vintage]])</f>
        <v>STG 2020 Q2</v>
      </c>
    </row>
    <row r="120" spans="1:11" x14ac:dyDescent="0.35">
      <c r="A120" t="s">
        <v>161</v>
      </c>
      <c r="B120" t="s">
        <v>149</v>
      </c>
      <c r="C120" s="19">
        <v>3.85E-2</v>
      </c>
      <c r="D120" s="19">
        <v>0.23508771929824501</v>
      </c>
      <c r="E120" s="19">
        <v>0.55087719298245597</v>
      </c>
      <c r="F120" s="19">
        <v>9.8245614035087706E-2</v>
      </c>
      <c r="G120" s="19">
        <v>7.7192982456140299E-2</v>
      </c>
      <c r="H120" s="19">
        <v>0</v>
      </c>
      <c r="I120" s="19">
        <v>0.27358771929824499</v>
      </c>
      <c r="J120" s="19">
        <v>0.175438596491228</v>
      </c>
      <c r="K120" s="20" t="str">
        <f>_xlfn.CONCAT(dll[[#This Row],[lob]], " ", dll[[#This Row],[valid_vintage]])</f>
        <v>AN 2020 Q2</v>
      </c>
    </row>
    <row r="121" spans="1:11" x14ac:dyDescent="0.35">
      <c r="A121" t="s">
        <v>171</v>
      </c>
      <c r="B121" t="s">
        <v>155</v>
      </c>
      <c r="C121" s="19">
        <v>1.4500000000000001E-2</v>
      </c>
      <c r="D121" s="19">
        <v>8.0291970802919693E-2</v>
      </c>
      <c r="E121" s="19">
        <v>0.28467153284671498</v>
      </c>
      <c r="F121" s="19">
        <v>0.59854014598540095</v>
      </c>
      <c r="G121" s="19">
        <v>2.18978102189781E-2</v>
      </c>
      <c r="H121" s="19">
        <v>0</v>
      </c>
      <c r="I121" s="19">
        <v>9.4791970802919706E-2</v>
      </c>
      <c r="J121" s="19">
        <v>0.62043795620437903</v>
      </c>
      <c r="K121" s="20" t="str">
        <f>_xlfn.CONCAT(dll[[#This Row],[lob]], " ", dll[[#This Row],[valid_vintage]])</f>
        <v>FLD 2020 Q1</v>
      </c>
    </row>
    <row r="122" spans="1:11" x14ac:dyDescent="0.35">
      <c r="A122" t="s">
        <v>171</v>
      </c>
      <c r="B122" t="s">
        <v>153</v>
      </c>
      <c r="C122" s="19">
        <v>2.4400000000000002E-2</v>
      </c>
      <c r="D122" s="19">
        <v>0.33967391304347799</v>
      </c>
      <c r="E122" s="19">
        <v>0.44655797101449202</v>
      </c>
      <c r="F122" s="19">
        <v>0.13677536231883999</v>
      </c>
      <c r="G122" s="19">
        <v>5.2536231884057899E-2</v>
      </c>
      <c r="H122" s="19">
        <v>0</v>
      </c>
      <c r="I122" s="19">
        <v>0.36407391304347803</v>
      </c>
      <c r="J122" s="19">
        <v>0.189311594202898</v>
      </c>
      <c r="K122" s="20" t="str">
        <f>_xlfn.CONCAT(dll[[#This Row],[lob]], " ", dll[[#This Row],[valid_vintage]])</f>
        <v>STG 2020 Q1</v>
      </c>
    </row>
    <row r="123" spans="1:11" x14ac:dyDescent="0.35">
      <c r="A123" t="s">
        <v>171</v>
      </c>
      <c r="B123" t="s">
        <v>151</v>
      </c>
      <c r="C123" s="19">
        <v>5.1999999999999998E-3</v>
      </c>
      <c r="D123" s="19">
        <v>8.8449531737773104E-2</v>
      </c>
      <c r="E123" s="19">
        <v>0.83038501560874001</v>
      </c>
      <c r="F123" s="19">
        <v>3.1217481789802201E-2</v>
      </c>
      <c r="G123" s="19">
        <v>4.4745057232049898E-2</v>
      </c>
      <c r="H123" s="19">
        <v>0</v>
      </c>
      <c r="I123" s="19">
        <v>9.3649531737773101E-2</v>
      </c>
      <c r="J123" s="19">
        <v>7.5962539021852196E-2</v>
      </c>
      <c r="K123" s="20" t="str">
        <f>_xlfn.CONCAT(dll[[#This Row],[lob]], " ", dll[[#This Row],[valid_vintage]])</f>
        <v>FRN 2020 Q1</v>
      </c>
    </row>
    <row r="124" spans="1:11" x14ac:dyDescent="0.35">
      <c r="A124" t="s">
        <v>171</v>
      </c>
      <c r="B124" t="s">
        <v>149</v>
      </c>
      <c r="C124" s="19">
        <v>6.3100000000000003E-2</v>
      </c>
      <c r="D124" s="19">
        <v>0.21754385964912201</v>
      </c>
      <c r="E124" s="19">
        <v>0.49824561403508699</v>
      </c>
      <c r="F124" s="19">
        <v>0.17192982456140299</v>
      </c>
      <c r="G124" s="19">
        <v>4.9122807017543797E-2</v>
      </c>
      <c r="H124" s="19">
        <v>0</v>
      </c>
      <c r="I124" s="19">
        <v>0.28064385964912197</v>
      </c>
      <c r="J124" s="19">
        <v>0.221052631578947</v>
      </c>
      <c r="K124" s="20" t="str">
        <f>_xlfn.CONCAT(dll[[#This Row],[lob]], " ", dll[[#This Row],[valid_vintage]])</f>
        <v>AN 2020 Q1</v>
      </c>
    </row>
    <row r="125" spans="1:11" x14ac:dyDescent="0.35">
      <c r="A125" t="s">
        <v>169</v>
      </c>
      <c r="B125" t="s">
        <v>149</v>
      </c>
      <c r="C125" s="19">
        <v>0</v>
      </c>
      <c r="D125" s="19">
        <v>0.28112449799196698</v>
      </c>
      <c r="E125" s="19">
        <v>0.62650602409638501</v>
      </c>
      <c r="F125" s="19">
        <v>8.8353413654618407E-2</v>
      </c>
      <c r="G125" s="19">
        <v>4.0160642570281103E-3</v>
      </c>
      <c r="H125" s="19">
        <v>0</v>
      </c>
      <c r="I125" s="19">
        <v>0.28112449799196698</v>
      </c>
      <c r="J125" s="19">
        <v>9.23694779116465E-2</v>
      </c>
      <c r="K125" s="20" t="str">
        <f>_xlfn.CONCAT(dll[[#This Row],[lob]], " ", dll[[#This Row],[valid_vintage]])</f>
        <v>AN 2019 Q4</v>
      </c>
    </row>
    <row r="126" spans="1:11" x14ac:dyDescent="0.35">
      <c r="A126" t="s">
        <v>169</v>
      </c>
      <c r="B126" t="s">
        <v>151</v>
      </c>
      <c r="C126" s="19">
        <v>0</v>
      </c>
      <c r="D126" s="19">
        <v>3.0769230769230702E-2</v>
      </c>
      <c r="E126" s="19">
        <v>0.71538461538461495</v>
      </c>
      <c r="F126" s="19">
        <v>0.17692307692307599</v>
      </c>
      <c r="G126" s="19">
        <v>7.69230769230769E-2</v>
      </c>
      <c r="H126" s="19">
        <v>0</v>
      </c>
      <c r="I126" s="19">
        <v>3.0769230769230702E-2</v>
      </c>
      <c r="J126" s="19">
        <v>0.253846153846153</v>
      </c>
      <c r="K126" s="20" t="str">
        <f>_xlfn.CONCAT(dll[[#This Row],[lob]], " ", dll[[#This Row],[valid_vintage]])</f>
        <v>FRN 2019 Q4</v>
      </c>
    </row>
    <row r="127" spans="1:11" x14ac:dyDescent="0.35">
      <c r="A127" t="s">
        <v>169</v>
      </c>
      <c r="B127" t="s">
        <v>155</v>
      </c>
      <c r="C127" s="19">
        <v>0</v>
      </c>
      <c r="D127" s="19">
        <v>0.30769230769230699</v>
      </c>
      <c r="E127" s="19">
        <v>0.57692307692307598</v>
      </c>
      <c r="F127" s="19">
        <v>3.8461538461538401E-2</v>
      </c>
      <c r="G127" s="19">
        <v>7.69230769230769E-2</v>
      </c>
      <c r="H127" s="19">
        <v>0</v>
      </c>
      <c r="I127" s="19">
        <v>0.30769230769230699</v>
      </c>
      <c r="J127" s="19">
        <v>0.115384615384615</v>
      </c>
      <c r="K127" s="20" t="str">
        <f>_xlfn.CONCAT(dll[[#This Row],[lob]], " ", dll[[#This Row],[valid_vintage]])</f>
        <v>FLD 2019 Q4</v>
      </c>
    </row>
    <row r="128" spans="1:11" x14ac:dyDescent="0.35">
      <c r="A128" t="s">
        <v>169</v>
      </c>
      <c r="B128" t="s">
        <v>153</v>
      </c>
      <c r="C128" s="19">
        <v>1.2999999999999999E-2</v>
      </c>
      <c r="D128" s="19">
        <v>0.33333333333333298</v>
      </c>
      <c r="E128" s="19">
        <v>0.50260416666666596</v>
      </c>
      <c r="F128" s="19">
        <v>0.13151041666666599</v>
      </c>
      <c r="G128" s="19">
        <v>1.953125E-2</v>
      </c>
      <c r="H128" s="19">
        <v>0</v>
      </c>
      <c r="I128" s="19">
        <v>0.34633333333333299</v>
      </c>
      <c r="J128" s="19">
        <v>0.15104166666666599</v>
      </c>
      <c r="K128" s="20" t="str">
        <f>_xlfn.CONCAT(dll[[#This Row],[lob]], " ", dll[[#This Row],[valid_vintage]])</f>
        <v>STG 2019 Q4</v>
      </c>
    </row>
    <row r="129" spans="1:11" x14ac:dyDescent="0.35">
      <c r="A129" t="s">
        <v>159</v>
      </c>
      <c r="B129" t="s">
        <v>153</v>
      </c>
      <c r="C129" s="19">
        <v>3.1300000000000001E-2</v>
      </c>
      <c r="D129" s="19">
        <v>0.30457516339869201</v>
      </c>
      <c r="E129" s="19">
        <v>0.52941176470588203</v>
      </c>
      <c r="F129" s="19">
        <v>0.105882352941176</v>
      </c>
      <c r="G129" s="19">
        <v>2.8758169934640501E-2</v>
      </c>
      <c r="H129" s="19">
        <v>0</v>
      </c>
      <c r="I129" s="19">
        <v>0.335875163398692</v>
      </c>
      <c r="J129" s="19">
        <v>0.13464052287581599</v>
      </c>
      <c r="K129" s="20" t="str">
        <f>_xlfn.CONCAT(dll[[#This Row],[lob]], " ", dll[[#This Row],[valid_vintage]])</f>
        <v>STG 2019 Q3</v>
      </c>
    </row>
    <row r="130" spans="1:11" x14ac:dyDescent="0.35">
      <c r="A130" t="s">
        <v>159</v>
      </c>
      <c r="B130" t="s">
        <v>149</v>
      </c>
      <c r="C130" s="19">
        <v>4.0000000000000001E-3</v>
      </c>
      <c r="D130" s="19">
        <v>0.32800000000000001</v>
      </c>
      <c r="E130" s="19">
        <v>0.56799999999999995</v>
      </c>
      <c r="F130" s="19">
        <v>8.7999999999999995E-2</v>
      </c>
      <c r="G130" s="19">
        <v>1.2E-2</v>
      </c>
      <c r="H130" s="19">
        <v>0</v>
      </c>
      <c r="I130" s="19">
        <v>0.33200000000000002</v>
      </c>
      <c r="J130" s="19">
        <v>0.1</v>
      </c>
      <c r="K130" s="20" t="str">
        <f>_xlfn.CONCAT(dll[[#This Row],[lob]], " ", dll[[#This Row],[valid_vintage]])</f>
        <v>AN 2019 Q3</v>
      </c>
    </row>
    <row r="131" spans="1:11" x14ac:dyDescent="0.35">
      <c r="A131" t="s">
        <v>159</v>
      </c>
      <c r="B131" t="s">
        <v>155</v>
      </c>
      <c r="C131" s="19">
        <v>0</v>
      </c>
      <c r="D131" s="19">
        <v>0.27777777777777701</v>
      </c>
      <c r="E131" s="19">
        <v>0.55555555555555503</v>
      </c>
      <c r="F131" s="19">
        <v>0.16666666666666599</v>
      </c>
      <c r="G131" s="19">
        <v>0</v>
      </c>
      <c r="H131" s="19">
        <v>0</v>
      </c>
      <c r="I131" s="19">
        <v>0.27777777777777701</v>
      </c>
      <c r="J131" s="19">
        <v>0.16666666666666599</v>
      </c>
      <c r="K131" s="20" t="str">
        <f>_xlfn.CONCAT(dll[[#This Row],[lob]], " ", dll[[#This Row],[valid_vintage]])</f>
        <v>FLD 2019 Q3</v>
      </c>
    </row>
    <row r="132" spans="1:11" x14ac:dyDescent="0.35">
      <c r="A132" t="s">
        <v>159</v>
      </c>
      <c r="B132" t="s">
        <v>151</v>
      </c>
      <c r="C132" s="19">
        <v>0</v>
      </c>
      <c r="D132" s="19">
        <v>5.78313253012048E-2</v>
      </c>
      <c r="E132" s="19">
        <v>0.69879518072289104</v>
      </c>
      <c r="F132" s="19">
        <v>0.180722891566265</v>
      </c>
      <c r="G132" s="19">
        <v>6.2650602409638503E-2</v>
      </c>
      <c r="H132" s="19">
        <v>0</v>
      </c>
      <c r="I132" s="19">
        <v>5.78313253012048E-2</v>
      </c>
      <c r="J132" s="19">
        <v>0.24337349397590299</v>
      </c>
      <c r="K132" s="20" t="str">
        <f>_xlfn.CONCAT(dll[[#This Row],[lob]], " ", dll[[#This Row],[valid_vintage]])</f>
        <v>FRN 2019 Q3</v>
      </c>
    </row>
    <row r="133" spans="1:11" x14ac:dyDescent="0.35">
      <c r="A133" t="s">
        <v>148</v>
      </c>
      <c r="B133" t="s">
        <v>149</v>
      </c>
      <c r="C133" s="19">
        <v>0</v>
      </c>
      <c r="D133" s="19">
        <v>0.32677165354330701</v>
      </c>
      <c r="E133" s="19">
        <v>0.57480314960629897</v>
      </c>
      <c r="F133" s="19">
        <v>8.2677165354330701E-2</v>
      </c>
      <c r="G133" s="19">
        <v>1.5748031496062902E-2</v>
      </c>
      <c r="H133" s="19">
        <v>0</v>
      </c>
      <c r="I133" s="19">
        <v>0.32677165354330701</v>
      </c>
      <c r="J133" s="19">
        <v>9.8425196850393595E-2</v>
      </c>
      <c r="K133" s="20" t="str">
        <f>_xlfn.CONCAT(dll[[#This Row],[lob]], " ", dll[[#This Row],[valid_vintage]])</f>
        <v>AN 2019 Q2</v>
      </c>
    </row>
    <row r="134" spans="1:11" x14ac:dyDescent="0.35">
      <c r="A134" t="s">
        <v>148</v>
      </c>
      <c r="B134" t="s">
        <v>155</v>
      </c>
      <c r="C134" s="19">
        <v>0</v>
      </c>
      <c r="D134" s="19">
        <v>0.266666666666666</v>
      </c>
      <c r="E134" s="19">
        <v>0.53333333333333299</v>
      </c>
      <c r="F134" s="19">
        <v>0.2</v>
      </c>
      <c r="G134" s="19">
        <v>0</v>
      </c>
      <c r="H134" s="19">
        <v>0</v>
      </c>
      <c r="I134" s="19">
        <v>0.266666666666666</v>
      </c>
      <c r="J134" s="19">
        <v>0.2</v>
      </c>
      <c r="K134" s="20" t="str">
        <f>_xlfn.CONCAT(dll[[#This Row],[lob]], " ", dll[[#This Row],[valid_vintage]])</f>
        <v>FLD 2019 Q2</v>
      </c>
    </row>
    <row r="135" spans="1:11" x14ac:dyDescent="0.35">
      <c r="A135" t="s">
        <v>148</v>
      </c>
      <c r="B135" t="s">
        <v>151</v>
      </c>
      <c r="C135" s="19">
        <v>0</v>
      </c>
      <c r="D135" s="19">
        <v>6.9377990430621997E-2</v>
      </c>
      <c r="E135" s="19">
        <v>0.67224880382775098</v>
      </c>
      <c r="F135" s="19">
        <v>0.22248803827751101</v>
      </c>
      <c r="G135" s="19">
        <v>3.5885167464114798E-2</v>
      </c>
      <c r="H135" s="19">
        <v>0</v>
      </c>
      <c r="I135" s="19">
        <v>6.9377990430621997E-2</v>
      </c>
      <c r="J135" s="19">
        <v>0.25837320574162598</v>
      </c>
      <c r="K135" s="20" t="str">
        <f>_xlfn.CONCAT(dll[[#This Row],[lob]], " ", dll[[#This Row],[valid_vintage]])</f>
        <v>FRN 2019 Q2</v>
      </c>
    </row>
    <row r="136" spans="1:11" x14ac:dyDescent="0.35">
      <c r="A136" t="s">
        <v>148</v>
      </c>
      <c r="B136" t="s">
        <v>153</v>
      </c>
      <c r="C136" s="19">
        <v>3.0300000000000001E-2</v>
      </c>
      <c r="D136" s="19">
        <v>0.27704485488126601</v>
      </c>
      <c r="E136" s="19">
        <v>0.50131926121371995</v>
      </c>
      <c r="F136" s="19">
        <v>0.14379947229551401</v>
      </c>
      <c r="G136" s="19">
        <v>4.7493403693931298E-2</v>
      </c>
      <c r="H136" s="19">
        <v>0</v>
      </c>
      <c r="I136" s="19">
        <v>0.30734485488126601</v>
      </c>
      <c r="J136" s="19">
        <v>0.191292875989445</v>
      </c>
      <c r="K136" s="20" t="str">
        <f>_xlfn.CONCAT(dll[[#This Row],[lob]], " ", dll[[#This Row],[valid_vintage]])</f>
        <v>STG 2019 Q2</v>
      </c>
    </row>
    <row r="137" spans="1:11" x14ac:dyDescent="0.35">
      <c r="A137" t="s">
        <v>174</v>
      </c>
      <c r="B137" t="s">
        <v>153</v>
      </c>
      <c r="C137" s="19">
        <v>2.6800000000000001E-2</v>
      </c>
      <c r="D137" s="19">
        <v>0.29530201342281798</v>
      </c>
      <c r="E137" s="19">
        <v>0.50604026845637495</v>
      </c>
      <c r="F137" s="19">
        <v>0.12080536912751599</v>
      </c>
      <c r="G137" s="19">
        <v>5.1006711409395902E-2</v>
      </c>
      <c r="H137" s="19">
        <v>0</v>
      </c>
      <c r="I137" s="19">
        <v>0.32210201342281802</v>
      </c>
      <c r="J137" s="19">
        <v>0.17181208053691199</v>
      </c>
      <c r="K137" s="20" t="str">
        <f>_xlfn.CONCAT(dll[[#This Row],[lob]], " ", dll[[#This Row],[valid_vintage]])</f>
        <v>STG 2019 Q1</v>
      </c>
    </row>
    <row r="138" spans="1:11" x14ac:dyDescent="0.35">
      <c r="A138" t="s">
        <v>174</v>
      </c>
      <c r="B138" t="s">
        <v>149</v>
      </c>
      <c r="C138" s="19">
        <v>0</v>
      </c>
      <c r="D138" s="19">
        <v>0.32156862745098003</v>
      </c>
      <c r="E138" s="19">
        <v>0.58039215686274503</v>
      </c>
      <c r="F138" s="19">
        <v>8.2352941176470504E-2</v>
      </c>
      <c r="G138" s="19">
        <v>1.5686274509803901E-2</v>
      </c>
      <c r="H138" s="19">
        <v>0</v>
      </c>
      <c r="I138" s="19">
        <v>0.32156862745098003</v>
      </c>
      <c r="J138" s="19">
        <v>9.8039215686274495E-2</v>
      </c>
      <c r="K138" s="20" t="str">
        <f>_xlfn.CONCAT(dll[[#This Row],[lob]], " ", dll[[#This Row],[valid_vintage]])</f>
        <v>AN 2019 Q1</v>
      </c>
    </row>
    <row r="139" spans="1:11" x14ac:dyDescent="0.35">
      <c r="A139" t="s">
        <v>174</v>
      </c>
      <c r="B139" t="s">
        <v>155</v>
      </c>
      <c r="C139" s="19">
        <v>6.6600000000000006E-2</v>
      </c>
      <c r="D139" s="19">
        <v>0.33333333333333298</v>
      </c>
      <c r="E139" s="19">
        <v>0.6</v>
      </c>
      <c r="F139" s="19">
        <v>0</v>
      </c>
      <c r="G139" s="19">
        <v>0</v>
      </c>
      <c r="H139" s="19">
        <v>0</v>
      </c>
      <c r="I139" s="19">
        <v>0.39993333333333297</v>
      </c>
      <c r="J139" s="19">
        <v>0</v>
      </c>
      <c r="K139" s="20" t="str">
        <f>_xlfn.CONCAT(dll[[#This Row],[lob]], " ", dll[[#This Row],[valid_vintage]])</f>
        <v>FLD 2019 Q1</v>
      </c>
    </row>
    <row r="140" spans="1:11" x14ac:dyDescent="0.35">
      <c r="A140" t="s">
        <v>174</v>
      </c>
      <c r="B140" t="s">
        <v>151</v>
      </c>
      <c r="C140" s="19">
        <v>2.3999999999999998E-3</v>
      </c>
      <c r="D140" s="19">
        <v>7.9903147699757801E-2</v>
      </c>
      <c r="E140" s="19">
        <v>0.67554479418886104</v>
      </c>
      <c r="F140" s="19">
        <v>0.20096852300242099</v>
      </c>
      <c r="G140" s="19">
        <v>4.1162227602905499E-2</v>
      </c>
      <c r="H140" s="19">
        <v>0</v>
      </c>
      <c r="I140" s="19">
        <v>8.23031476997578E-2</v>
      </c>
      <c r="J140" s="19">
        <v>0.24213075060532599</v>
      </c>
      <c r="K140" s="20" t="str">
        <f>_xlfn.CONCAT(dll[[#This Row],[lob]], " ", dll[[#This Row],[valid_vintage]])</f>
        <v>FRN 2019 Q1</v>
      </c>
    </row>
    <row r="141" spans="1:11" x14ac:dyDescent="0.35">
      <c r="A141" t="s">
        <v>154</v>
      </c>
      <c r="B141" t="s">
        <v>155</v>
      </c>
      <c r="C141" s="19">
        <v>0</v>
      </c>
      <c r="D141" s="19">
        <v>0.3125</v>
      </c>
      <c r="E141" s="19">
        <v>0.625</v>
      </c>
      <c r="F141" s="19">
        <v>6.25E-2</v>
      </c>
      <c r="G141" s="19">
        <v>0</v>
      </c>
      <c r="H141" s="19">
        <v>0</v>
      </c>
      <c r="I141" s="19">
        <v>0.3125</v>
      </c>
      <c r="J141" s="19">
        <v>6.25E-2</v>
      </c>
      <c r="K141" s="20" t="str">
        <f>_xlfn.CONCAT(dll[[#This Row],[lob]], " ", dll[[#This Row],[valid_vintage]])</f>
        <v>FLD 2018 Q4</v>
      </c>
    </row>
    <row r="142" spans="1:11" x14ac:dyDescent="0.35">
      <c r="A142" t="s">
        <v>154</v>
      </c>
      <c r="B142" t="s">
        <v>149</v>
      </c>
      <c r="C142" s="19">
        <v>0</v>
      </c>
      <c r="D142" s="19">
        <v>0.37354085603112802</v>
      </c>
      <c r="E142" s="19">
        <v>0.52529182879377401</v>
      </c>
      <c r="F142" s="19">
        <v>7.3929961089494095E-2</v>
      </c>
      <c r="G142" s="19">
        <v>2.7237354085603099E-2</v>
      </c>
      <c r="H142" s="19">
        <v>0</v>
      </c>
      <c r="I142" s="19">
        <v>0.37354085603112802</v>
      </c>
      <c r="J142" s="19">
        <v>0.101167315175097</v>
      </c>
      <c r="K142" s="20" t="str">
        <f>_xlfn.CONCAT(dll[[#This Row],[lob]], " ", dll[[#This Row],[valid_vintage]])</f>
        <v>AN 2018 Q4</v>
      </c>
    </row>
    <row r="143" spans="1:11" x14ac:dyDescent="0.35">
      <c r="A143" t="s">
        <v>154</v>
      </c>
      <c r="B143" t="s">
        <v>151</v>
      </c>
      <c r="C143" s="19">
        <v>2.3E-3</v>
      </c>
      <c r="D143" s="19">
        <v>0.100238663484486</v>
      </c>
      <c r="E143" s="19">
        <v>0.64439140811455797</v>
      </c>
      <c r="F143" s="19">
        <v>0.21718377088305399</v>
      </c>
      <c r="G143" s="19">
        <v>3.5799522673030999E-2</v>
      </c>
      <c r="H143" s="19">
        <v>0</v>
      </c>
      <c r="I143" s="19">
        <v>0.102538663484486</v>
      </c>
      <c r="J143" s="19">
        <v>0.25298329355608501</v>
      </c>
      <c r="K143" s="20" t="str">
        <f>_xlfn.CONCAT(dll[[#This Row],[lob]], " ", dll[[#This Row],[valid_vintage]])</f>
        <v>FRN 2018 Q4</v>
      </c>
    </row>
    <row r="144" spans="1:11" x14ac:dyDescent="0.35">
      <c r="A144" t="s">
        <v>154</v>
      </c>
      <c r="B144" t="s">
        <v>153</v>
      </c>
      <c r="C144" s="19">
        <v>1.3899999999999999E-2</v>
      </c>
      <c r="D144" s="19">
        <v>0.28451882845188198</v>
      </c>
      <c r="E144" s="19">
        <v>0.49511854951185402</v>
      </c>
      <c r="F144" s="19">
        <v>0.16875871687587099</v>
      </c>
      <c r="G144" s="19">
        <v>3.7656903765690301E-2</v>
      </c>
      <c r="H144" s="19">
        <v>0</v>
      </c>
      <c r="I144" s="19">
        <v>0.298418828451882</v>
      </c>
      <c r="J144" s="19">
        <v>0.20641562064156199</v>
      </c>
      <c r="K144" s="20" t="str">
        <f>_xlfn.CONCAT(dll[[#This Row],[lob]], " ", dll[[#This Row],[valid_vintage]])</f>
        <v>STG 2018 Q4</v>
      </c>
    </row>
    <row r="145" spans="1:11" x14ac:dyDescent="0.35">
      <c r="A145" t="s">
        <v>170</v>
      </c>
      <c r="B145" t="s">
        <v>153</v>
      </c>
      <c r="C145" s="19">
        <v>1.46E-2</v>
      </c>
      <c r="D145" s="19">
        <v>0.30014641288433302</v>
      </c>
      <c r="E145" s="19">
        <v>0.54172767203513905</v>
      </c>
      <c r="F145" s="19">
        <v>0.115666178623718</v>
      </c>
      <c r="G145" s="19">
        <v>2.7818448023426E-2</v>
      </c>
      <c r="H145" s="19">
        <v>0</v>
      </c>
      <c r="I145" s="19">
        <v>0.31474641288433303</v>
      </c>
      <c r="J145" s="19">
        <v>0.14348462664714401</v>
      </c>
      <c r="K145" s="20" t="str">
        <f>_xlfn.CONCAT(dll[[#This Row],[lob]], " ", dll[[#This Row],[valid_vintage]])</f>
        <v>STG 2018 Q3</v>
      </c>
    </row>
    <row r="146" spans="1:11" x14ac:dyDescent="0.35">
      <c r="A146" t="s">
        <v>170</v>
      </c>
      <c r="B146" t="s">
        <v>151</v>
      </c>
      <c r="C146" s="19">
        <v>2.3E-3</v>
      </c>
      <c r="D146" s="19">
        <v>9.8321342925659402E-2</v>
      </c>
      <c r="E146" s="19">
        <v>0.63069544364508301</v>
      </c>
      <c r="F146" s="19">
        <v>0.22781774580335701</v>
      </c>
      <c r="G146" s="19">
        <v>4.0767386091126998E-2</v>
      </c>
      <c r="H146" s="19">
        <v>0</v>
      </c>
      <c r="I146" s="19">
        <v>0.100621342925659</v>
      </c>
      <c r="J146" s="19">
        <v>0.26858513189448402</v>
      </c>
      <c r="K146" s="20" t="str">
        <f>_xlfn.CONCAT(dll[[#This Row],[lob]], " ", dll[[#This Row],[valid_vintage]])</f>
        <v>FRN 2018 Q3</v>
      </c>
    </row>
    <row r="147" spans="1:11" x14ac:dyDescent="0.35">
      <c r="A147" t="s">
        <v>170</v>
      </c>
      <c r="B147" t="s">
        <v>149</v>
      </c>
      <c r="C147" s="19">
        <v>0</v>
      </c>
      <c r="D147" s="19">
        <v>0.36111111111111099</v>
      </c>
      <c r="E147" s="19">
        <v>0.57142857142857095</v>
      </c>
      <c r="F147" s="19">
        <v>4.7619047619047603E-2</v>
      </c>
      <c r="G147" s="19">
        <v>1.9841269841269799E-2</v>
      </c>
      <c r="H147" s="19">
        <v>0</v>
      </c>
      <c r="I147" s="19">
        <v>0.36111111111111099</v>
      </c>
      <c r="J147" s="19">
        <v>6.7460317460317401E-2</v>
      </c>
      <c r="K147" s="20" t="str">
        <f>_xlfn.CONCAT(dll[[#This Row],[lob]], " ", dll[[#This Row],[valid_vintage]])</f>
        <v>AN 2018 Q3</v>
      </c>
    </row>
    <row r="148" spans="1:11" x14ac:dyDescent="0.35">
      <c r="A148" t="s">
        <v>170</v>
      </c>
      <c r="B148" t="s">
        <v>155</v>
      </c>
      <c r="C148" s="19">
        <v>0</v>
      </c>
      <c r="D148" s="19">
        <v>0.25</v>
      </c>
      <c r="E148" s="19">
        <v>0.6875</v>
      </c>
      <c r="F148" s="19">
        <v>6.25E-2</v>
      </c>
      <c r="G148" s="19">
        <v>0</v>
      </c>
      <c r="H148" s="19">
        <v>0</v>
      </c>
      <c r="I148" s="19">
        <v>0.25</v>
      </c>
      <c r="J148" s="19">
        <v>6.25E-2</v>
      </c>
      <c r="K148" s="20" t="str">
        <f>_xlfn.CONCAT(dll[[#This Row],[lob]], " ", dll[[#This Row],[valid_vintage]])</f>
        <v>FLD 2018 Q3</v>
      </c>
    </row>
    <row r="149" spans="1:11" x14ac:dyDescent="0.35">
      <c r="A149" t="s">
        <v>157</v>
      </c>
      <c r="B149" t="s">
        <v>149</v>
      </c>
      <c r="C149" s="19">
        <v>4.0000000000000001E-3</v>
      </c>
      <c r="D149" s="19">
        <v>0.35199999999999998</v>
      </c>
      <c r="E149" s="19">
        <v>0.58399999999999996</v>
      </c>
      <c r="F149" s="19">
        <v>0.04</v>
      </c>
      <c r="G149" s="19">
        <v>0.02</v>
      </c>
      <c r="H149" s="19">
        <v>0</v>
      </c>
      <c r="I149" s="19">
        <v>0.35599999999999998</v>
      </c>
      <c r="J149" s="19">
        <v>0.06</v>
      </c>
      <c r="K149" s="20" t="str">
        <f>_xlfn.CONCAT(dll[[#This Row],[lob]], " ", dll[[#This Row],[valid_vintage]])</f>
        <v>AN 2018 Q2</v>
      </c>
    </row>
    <row r="150" spans="1:11" x14ac:dyDescent="0.35">
      <c r="A150" t="s">
        <v>157</v>
      </c>
      <c r="B150" t="s">
        <v>151</v>
      </c>
      <c r="C150" s="19">
        <v>2.3E-3</v>
      </c>
      <c r="D150" s="19">
        <v>9.7852028639618102E-2</v>
      </c>
      <c r="E150" s="19">
        <v>0.65155131264916399</v>
      </c>
      <c r="F150" s="19">
        <v>0.19570405727923601</v>
      </c>
      <c r="G150" s="19">
        <v>5.2505966587112103E-2</v>
      </c>
      <c r="H150" s="19">
        <v>0</v>
      </c>
      <c r="I150" s="19">
        <v>0.100152028639618</v>
      </c>
      <c r="J150" s="19">
        <v>0.248210023866348</v>
      </c>
      <c r="K150" s="20" t="str">
        <f>_xlfn.CONCAT(dll[[#This Row],[lob]], " ", dll[[#This Row],[valid_vintage]])</f>
        <v>FRN 2018 Q2</v>
      </c>
    </row>
    <row r="151" spans="1:11" x14ac:dyDescent="0.35">
      <c r="A151" t="s">
        <v>157</v>
      </c>
      <c r="B151" t="s">
        <v>153</v>
      </c>
      <c r="C151" s="19">
        <v>0</v>
      </c>
      <c r="D151" s="19">
        <v>0.32923076923076899</v>
      </c>
      <c r="E151" s="19">
        <v>0.54153846153846097</v>
      </c>
      <c r="F151" s="19">
        <v>0.1</v>
      </c>
      <c r="G151" s="19">
        <v>2.9230769230769199E-2</v>
      </c>
      <c r="H151" s="19">
        <v>0</v>
      </c>
      <c r="I151" s="19">
        <v>0.32923076923076899</v>
      </c>
      <c r="J151" s="19">
        <v>0.12923076923076901</v>
      </c>
      <c r="K151" s="20" t="str">
        <f>_xlfn.CONCAT(dll[[#This Row],[lob]], " ", dll[[#This Row],[valid_vintage]])</f>
        <v>STG 2018 Q2</v>
      </c>
    </row>
    <row r="152" spans="1:11" x14ac:dyDescent="0.35">
      <c r="A152" t="s">
        <v>157</v>
      </c>
      <c r="B152" t="s">
        <v>155</v>
      </c>
      <c r="C152" s="19">
        <v>0</v>
      </c>
      <c r="D152" s="19">
        <v>0.4375</v>
      </c>
      <c r="E152" s="19">
        <v>0.4375</v>
      </c>
      <c r="F152" s="19">
        <v>0.125</v>
      </c>
      <c r="G152" s="19">
        <v>0</v>
      </c>
      <c r="H152" s="19">
        <v>0</v>
      </c>
      <c r="I152" s="19">
        <v>0.4375</v>
      </c>
      <c r="J152" s="19">
        <v>0.125</v>
      </c>
      <c r="K152" s="20" t="str">
        <f>_xlfn.CONCAT(dll[[#This Row],[lob]], " ", dll[[#This Row],[valid_vintage]])</f>
        <v>FLD 2018 Q2</v>
      </c>
    </row>
    <row r="153" spans="1:11" x14ac:dyDescent="0.35">
      <c r="A153" t="s">
        <v>150</v>
      </c>
      <c r="B153" t="s">
        <v>151</v>
      </c>
      <c r="C153" s="19">
        <v>2.3E-3</v>
      </c>
      <c r="D153" s="19">
        <v>9.4339622641509399E-2</v>
      </c>
      <c r="E153" s="19">
        <v>0.64622641509433898</v>
      </c>
      <c r="F153" s="19">
        <v>0.219339622641509</v>
      </c>
      <c r="G153" s="19">
        <v>3.7735849056603703E-2</v>
      </c>
      <c r="H153" s="19">
        <v>0</v>
      </c>
      <c r="I153" s="19">
        <v>9.6639622641509396E-2</v>
      </c>
      <c r="J153" s="19">
        <v>0.25707547169811301</v>
      </c>
      <c r="K153" s="20" t="str">
        <f>_xlfn.CONCAT(dll[[#This Row],[lob]], " ", dll[[#This Row],[valid_vintage]])</f>
        <v>FRN 2018 Q1</v>
      </c>
    </row>
    <row r="154" spans="1:11" x14ac:dyDescent="0.35">
      <c r="A154" t="s">
        <v>150</v>
      </c>
      <c r="B154" t="s">
        <v>149</v>
      </c>
      <c r="C154" s="19">
        <v>0</v>
      </c>
      <c r="D154" s="19">
        <v>0.33603238866396701</v>
      </c>
      <c r="E154" s="19">
        <v>0.63157894736842102</v>
      </c>
      <c r="F154" s="19">
        <v>2.0242914979756998E-2</v>
      </c>
      <c r="G154" s="19">
        <v>1.2145748987854201E-2</v>
      </c>
      <c r="H154" s="19">
        <v>0</v>
      </c>
      <c r="I154" s="19">
        <v>0.33603238866396701</v>
      </c>
      <c r="J154" s="19">
        <v>3.2388663967611302E-2</v>
      </c>
      <c r="K154" s="20" t="str">
        <f>_xlfn.CONCAT(dll[[#This Row],[lob]], " ", dll[[#This Row],[valid_vintage]])</f>
        <v>AN 2018 Q1</v>
      </c>
    </row>
    <row r="155" spans="1:11" x14ac:dyDescent="0.35">
      <c r="A155" t="s">
        <v>150</v>
      </c>
      <c r="B155" t="s">
        <v>155</v>
      </c>
      <c r="C155" s="19">
        <v>0</v>
      </c>
      <c r="D155" s="19">
        <v>0.33333333333333298</v>
      </c>
      <c r="E155" s="19">
        <v>0.6</v>
      </c>
      <c r="F155" s="19">
        <v>6.6666666666666596E-2</v>
      </c>
      <c r="G155" s="19">
        <v>0</v>
      </c>
      <c r="H155" s="19">
        <v>0</v>
      </c>
      <c r="I155" s="19">
        <v>0.33333333333333298</v>
      </c>
      <c r="J155" s="19">
        <v>6.6666666666666596E-2</v>
      </c>
      <c r="K155" s="20" t="str">
        <f>_xlfn.CONCAT(dll[[#This Row],[lob]], " ", dll[[#This Row],[valid_vintage]])</f>
        <v>FLD 2018 Q1</v>
      </c>
    </row>
    <row r="156" spans="1:11" x14ac:dyDescent="0.35">
      <c r="A156" t="s">
        <v>150</v>
      </c>
      <c r="B156" t="s">
        <v>153</v>
      </c>
      <c r="C156" s="19">
        <v>0</v>
      </c>
      <c r="D156" s="19">
        <v>0.29593495934959302</v>
      </c>
      <c r="E156" s="19">
        <v>0.56422764227642197</v>
      </c>
      <c r="F156" s="19">
        <v>0.104065040650406</v>
      </c>
      <c r="G156" s="19">
        <v>3.5772357723577203E-2</v>
      </c>
      <c r="H156" s="19">
        <v>0</v>
      </c>
      <c r="I156" s="19">
        <v>0.29593495934959302</v>
      </c>
      <c r="J156" s="19">
        <v>0.13983739837398301</v>
      </c>
      <c r="K156" s="20" t="str">
        <f>_xlfn.CONCAT(dll[[#This Row],[lob]], " ", dll[[#This Row],[valid_vintage]])</f>
        <v>STG 2018 Q1</v>
      </c>
    </row>
    <row r="157" spans="1:11" x14ac:dyDescent="0.35">
      <c r="A157" t="s">
        <v>173</v>
      </c>
      <c r="B157" t="s">
        <v>149</v>
      </c>
      <c r="C157" s="19">
        <v>0</v>
      </c>
      <c r="D157" s="19">
        <v>0.31726907630522</v>
      </c>
      <c r="E157" s="19">
        <v>0.60642570281124397</v>
      </c>
      <c r="F157" s="19">
        <v>6.0240963855421603E-2</v>
      </c>
      <c r="G157" s="19">
        <v>1.60642570281124E-2</v>
      </c>
      <c r="H157" s="19">
        <v>0</v>
      </c>
      <c r="I157" s="19">
        <v>0.31726907630522</v>
      </c>
      <c r="J157" s="19">
        <v>7.63052208835341E-2</v>
      </c>
      <c r="K157" s="20" t="str">
        <f>_xlfn.CONCAT(dll[[#This Row],[lob]], " ", dll[[#This Row],[valid_vintage]])</f>
        <v>AN 2017 Q4</v>
      </c>
    </row>
    <row r="158" spans="1:11" x14ac:dyDescent="0.35">
      <c r="A158" t="s">
        <v>173</v>
      </c>
      <c r="B158" t="s">
        <v>151</v>
      </c>
      <c r="C158" s="19">
        <v>0</v>
      </c>
      <c r="D158" s="19">
        <v>9.4688221709006898E-2</v>
      </c>
      <c r="E158" s="19">
        <v>0.66281755196304804</v>
      </c>
      <c r="F158" s="19">
        <v>0.193995381062355</v>
      </c>
      <c r="G158" s="19">
        <v>4.8498845265588897E-2</v>
      </c>
      <c r="H158" s="19">
        <v>0</v>
      </c>
      <c r="I158" s="19">
        <v>9.4688221709006898E-2</v>
      </c>
      <c r="J158" s="19">
        <v>0.24249422632794401</v>
      </c>
      <c r="K158" s="20" t="str">
        <f>_xlfn.CONCAT(dll[[#This Row],[lob]], " ", dll[[#This Row],[valid_vintage]])</f>
        <v>FRN 2017 Q4</v>
      </c>
    </row>
    <row r="159" spans="1:11" x14ac:dyDescent="0.35">
      <c r="A159" t="s">
        <v>173</v>
      </c>
      <c r="B159" t="s">
        <v>153</v>
      </c>
      <c r="C159" s="19">
        <v>0</v>
      </c>
      <c r="D159" s="19">
        <v>0.28547297297297197</v>
      </c>
      <c r="E159" s="19">
        <v>0.58277027027026995</v>
      </c>
      <c r="F159" s="19">
        <v>0.10472972972972899</v>
      </c>
      <c r="G159" s="19">
        <v>2.7027027027027001E-2</v>
      </c>
      <c r="H159" s="19">
        <v>0</v>
      </c>
      <c r="I159" s="19">
        <v>0.28547297297297197</v>
      </c>
      <c r="J159" s="19">
        <v>0.13175675675675599</v>
      </c>
      <c r="K159" s="20" t="str">
        <f>_xlfn.CONCAT(dll[[#This Row],[lob]], " ", dll[[#This Row],[valid_vintage]])</f>
        <v>STG 2017 Q4</v>
      </c>
    </row>
    <row r="160" spans="1:11" x14ac:dyDescent="0.35">
      <c r="A160" t="s">
        <v>173</v>
      </c>
      <c r="B160" t="s">
        <v>155</v>
      </c>
      <c r="C160" s="19">
        <v>0</v>
      </c>
      <c r="D160" s="19">
        <v>0.61538461538461497</v>
      </c>
      <c r="E160" s="19">
        <v>0.38461538461538403</v>
      </c>
      <c r="F160" s="19">
        <v>0</v>
      </c>
      <c r="G160" s="19">
        <v>0</v>
      </c>
      <c r="H160" s="19">
        <v>0</v>
      </c>
      <c r="I160" s="19">
        <v>0.61538461538461497</v>
      </c>
      <c r="J160" s="19">
        <v>0</v>
      </c>
      <c r="K160" s="20" t="str">
        <f>_xlfn.CONCAT(dll[[#This Row],[lob]], " ", dll[[#This Row],[valid_vintage]])</f>
        <v>FLD 2017 Q4</v>
      </c>
    </row>
    <row r="161" spans="1:11" x14ac:dyDescent="0.35">
      <c r="A161" t="s">
        <v>186</v>
      </c>
      <c r="B161" t="s">
        <v>155</v>
      </c>
      <c r="C161" s="19">
        <v>0</v>
      </c>
      <c r="D161" s="19">
        <v>0.11111111111111099</v>
      </c>
      <c r="E161" s="19">
        <v>0.88888888888888795</v>
      </c>
      <c r="F161" s="19">
        <v>0</v>
      </c>
      <c r="G161" s="19">
        <v>0</v>
      </c>
      <c r="H161" s="19">
        <v>0</v>
      </c>
      <c r="I161" s="19">
        <v>0.11111111111111099</v>
      </c>
      <c r="J161" s="19">
        <v>0</v>
      </c>
      <c r="K161" s="20" t="str">
        <f>_xlfn.CONCAT(dll[[#This Row],[lob]], " ", dll[[#This Row],[valid_vintage]])</f>
        <v>FLD 2017 Q3</v>
      </c>
    </row>
    <row r="162" spans="1:11" x14ac:dyDescent="0.35">
      <c r="A162" t="s">
        <v>186</v>
      </c>
      <c r="B162" t="s">
        <v>149</v>
      </c>
      <c r="C162" s="19">
        <v>0</v>
      </c>
      <c r="D162" s="19">
        <v>0.252</v>
      </c>
      <c r="E162" s="19">
        <v>0.69599999999999995</v>
      </c>
      <c r="F162" s="19">
        <v>3.5999999999999997E-2</v>
      </c>
      <c r="G162" s="19">
        <v>1.6E-2</v>
      </c>
      <c r="H162" s="19">
        <v>0</v>
      </c>
      <c r="I162" s="19">
        <v>0.252</v>
      </c>
      <c r="J162" s="19">
        <v>5.1999999999999998E-2</v>
      </c>
      <c r="K162" s="20" t="str">
        <f>_xlfn.CONCAT(dll[[#This Row],[lob]], " ", dll[[#This Row],[valid_vintage]])</f>
        <v>AN 2017 Q3</v>
      </c>
    </row>
    <row r="163" spans="1:11" x14ac:dyDescent="0.35">
      <c r="A163" t="s">
        <v>186</v>
      </c>
      <c r="B163" t="s">
        <v>153</v>
      </c>
      <c r="C163" s="19">
        <v>5.3E-3</v>
      </c>
      <c r="D163" s="19">
        <v>0.330973451327433</v>
      </c>
      <c r="E163" s="19">
        <v>0.56637168141592897</v>
      </c>
      <c r="F163" s="19">
        <v>8.3185840707964601E-2</v>
      </c>
      <c r="G163" s="19">
        <v>1.41592920353982E-2</v>
      </c>
      <c r="H163" s="19">
        <v>0</v>
      </c>
      <c r="I163" s="19">
        <v>0.33627345132743303</v>
      </c>
      <c r="J163" s="19">
        <v>9.7345132743362803E-2</v>
      </c>
      <c r="K163" s="20" t="str">
        <f>_xlfn.CONCAT(dll[[#This Row],[lob]], " ", dll[[#This Row],[valid_vintage]])</f>
        <v>STG 2017 Q3</v>
      </c>
    </row>
    <row r="164" spans="1:11" x14ac:dyDescent="0.35">
      <c r="A164" t="s">
        <v>186</v>
      </c>
      <c r="B164" t="s">
        <v>151</v>
      </c>
      <c r="C164" s="19">
        <v>0</v>
      </c>
      <c r="D164" s="19">
        <v>7.9710144927536197E-2</v>
      </c>
      <c r="E164" s="19">
        <v>0.68599033816425103</v>
      </c>
      <c r="F164" s="19">
        <v>0.19806763285024101</v>
      </c>
      <c r="G164" s="19">
        <v>3.6231884057971002E-2</v>
      </c>
      <c r="H164" s="19">
        <v>0</v>
      </c>
      <c r="I164" s="19">
        <v>7.9710144927536197E-2</v>
      </c>
      <c r="J164" s="19">
        <v>0.23429951690821199</v>
      </c>
      <c r="K164" s="20" t="str">
        <f>_xlfn.CONCAT(dll[[#This Row],[lob]], " ", dll[[#This Row],[valid_vintage]])</f>
        <v>FRN 2017 Q3</v>
      </c>
    </row>
    <row r="165" spans="1:11" x14ac:dyDescent="0.35">
      <c r="A165" t="s">
        <v>179</v>
      </c>
      <c r="B165" t="s">
        <v>155</v>
      </c>
      <c r="C165" s="19">
        <v>0</v>
      </c>
      <c r="D165" s="19">
        <v>0.55555555555555503</v>
      </c>
      <c r="E165" s="19">
        <v>0.44444444444444398</v>
      </c>
      <c r="F165" s="19">
        <v>0</v>
      </c>
      <c r="G165" s="19">
        <v>0</v>
      </c>
      <c r="H165" s="19">
        <v>0</v>
      </c>
      <c r="I165" s="19">
        <v>0.55555555555555503</v>
      </c>
      <c r="J165" s="19">
        <v>0</v>
      </c>
      <c r="K165" s="20" t="str">
        <f>_xlfn.CONCAT(dll[[#This Row],[lob]], " ", dll[[#This Row],[valid_vintage]])</f>
        <v>FLD 2017 Q2</v>
      </c>
    </row>
    <row r="166" spans="1:11" x14ac:dyDescent="0.35">
      <c r="A166" t="s">
        <v>179</v>
      </c>
      <c r="B166" t="s">
        <v>149</v>
      </c>
      <c r="C166" s="19">
        <v>0</v>
      </c>
      <c r="D166" s="19">
        <v>0.303149606299212</v>
      </c>
      <c r="E166" s="19">
        <v>0.60629921259842501</v>
      </c>
      <c r="F166" s="19">
        <v>9.0551181102362197E-2</v>
      </c>
      <c r="G166" s="19">
        <v>0</v>
      </c>
      <c r="H166" s="19">
        <v>0</v>
      </c>
      <c r="I166" s="19">
        <v>0.303149606299212</v>
      </c>
      <c r="J166" s="19">
        <v>9.0551181102362197E-2</v>
      </c>
      <c r="K166" s="20" t="str">
        <f>_xlfn.CONCAT(dll[[#This Row],[lob]], " ", dll[[#This Row],[valid_vintage]])</f>
        <v>AN 2017 Q2</v>
      </c>
    </row>
    <row r="167" spans="1:11" x14ac:dyDescent="0.35">
      <c r="A167" t="s">
        <v>179</v>
      </c>
      <c r="B167" t="s">
        <v>151</v>
      </c>
      <c r="C167" s="19">
        <v>0</v>
      </c>
      <c r="D167" s="19">
        <v>8.9238845144356899E-2</v>
      </c>
      <c r="E167" s="19">
        <v>0.69553805774278199</v>
      </c>
      <c r="F167" s="19">
        <v>0.18897637795275499</v>
      </c>
      <c r="G167" s="19">
        <v>2.62467191601049E-2</v>
      </c>
      <c r="H167" s="19">
        <v>0</v>
      </c>
      <c r="I167" s="19">
        <v>8.9238845144356899E-2</v>
      </c>
      <c r="J167" s="19">
        <v>0.21522309711286</v>
      </c>
      <c r="K167" s="20" t="str">
        <f>_xlfn.CONCAT(dll[[#This Row],[lob]], " ", dll[[#This Row],[valid_vintage]])</f>
        <v>FRN 2017 Q2</v>
      </c>
    </row>
    <row r="168" spans="1:11" x14ac:dyDescent="0.35">
      <c r="A168" t="s">
        <v>179</v>
      </c>
      <c r="B168" t="s">
        <v>153</v>
      </c>
      <c r="C168" s="19">
        <v>1.3100000000000001E-2</v>
      </c>
      <c r="D168" s="19">
        <v>0.28947368421052599</v>
      </c>
      <c r="E168" s="19">
        <v>0.56578947368420995</v>
      </c>
      <c r="F168" s="19">
        <v>0.12030075187969901</v>
      </c>
      <c r="G168" s="19">
        <v>1.12781954887218E-2</v>
      </c>
      <c r="H168" s="19">
        <v>0</v>
      </c>
      <c r="I168" s="19">
        <v>0.30257368421052599</v>
      </c>
      <c r="J168" s="19">
        <v>0.13157894736842099</v>
      </c>
      <c r="K168" s="20" t="str">
        <f>_xlfn.CONCAT(dll[[#This Row],[lob]], " ", dll[[#This Row],[valid_vintage]])</f>
        <v>STG 2017 Q2</v>
      </c>
    </row>
    <row r="169" spans="1:11" x14ac:dyDescent="0.35">
      <c r="A169" t="s">
        <v>184</v>
      </c>
      <c r="B169" t="s">
        <v>153</v>
      </c>
      <c r="C169" s="19">
        <v>8.3000000000000001E-3</v>
      </c>
      <c r="D169" s="19">
        <v>0.34583333333333299</v>
      </c>
      <c r="E169" s="19">
        <v>0.56458333333333299</v>
      </c>
      <c r="F169" s="19">
        <v>6.6666666666666596E-2</v>
      </c>
      <c r="G169" s="19">
        <v>1.4583333333333301E-2</v>
      </c>
      <c r="H169" s="19">
        <v>0</v>
      </c>
      <c r="I169" s="19">
        <v>0.35413333333333302</v>
      </c>
      <c r="J169" s="19">
        <v>8.1249999999999906E-2</v>
      </c>
      <c r="K169" s="20" t="str">
        <f>_xlfn.CONCAT(dll[[#This Row],[lob]], " ", dll[[#This Row],[valid_vintage]])</f>
        <v>STG 2017 Q1</v>
      </c>
    </row>
    <row r="170" spans="1:11" x14ac:dyDescent="0.35">
      <c r="A170" t="s">
        <v>184</v>
      </c>
      <c r="B170" t="s">
        <v>155</v>
      </c>
      <c r="C170" s="19">
        <v>0</v>
      </c>
      <c r="D170" s="19">
        <v>0.25</v>
      </c>
      <c r="E170" s="19">
        <v>0.5</v>
      </c>
      <c r="F170" s="19">
        <v>0.25</v>
      </c>
      <c r="G170" s="19">
        <v>0</v>
      </c>
      <c r="H170" s="19">
        <v>0</v>
      </c>
      <c r="I170" s="19">
        <v>0.25</v>
      </c>
      <c r="J170" s="19">
        <v>0.25</v>
      </c>
      <c r="K170" s="20" t="str">
        <f>_xlfn.CONCAT(dll[[#This Row],[lob]], " ", dll[[#This Row],[valid_vintage]])</f>
        <v>FLD 2017 Q1</v>
      </c>
    </row>
    <row r="171" spans="1:11" x14ac:dyDescent="0.35">
      <c r="A171" t="s">
        <v>184</v>
      </c>
      <c r="B171" t="s">
        <v>149</v>
      </c>
      <c r="C171" s="19">
        <v>0</v>
      </c>
      <c r="D171" s="19">
        <v>0.37007874015747999</v>
      </c>
      <c r="E171" s="19">
        <v>0.535433070866141</v>
      </c>
      <c r="F171" s="19">
        <v>8.2677165354330701E-2</v>
      </c>
      <c r="G171" s="19">
        <v>1.1811023622047201E-2</v>
      </c>
      <c r="H171" s="19">
        <v>0</v>
      </c>
      <c r="I171" s="19">
        <v>0.37007874015747999</v>
      </c>
      <c r="J171" s="19">
        <v>9.4488188976377896E-2</v>
      </c>
      <c r="K171" s="20" t="str">
        <f>_xlfn.CONCAT(dll[[#This Row],[lob]], " ", dll[[#This Row],[valid_vintage]])</f>
        <v>AN 2017 Q1</v>
      </c>
    </row>
    <row r="172" spans="1:11" x14ac:dyDescent="0.35">
      <c r="A172" t="s">
        <v>184</v>
      </c>
      <c r="B172" t="s">
        <v>151</v>
      </c>
      <c r="C172" s="19">
        <v>0</v>
      </c>
      <c r="D172" s="19">
        <v>5.8011049723756897E-2</v>
      </c>
      <c r="E172" s="19">
        <v>0.74033149171270696</v>
      </c>
      <c r="F172" s="19">
        <v>0.17679558011049701</v>
      </c>
      <c r="G172" s="19">
        <v>2.48618784530386E-2</v>
      </c>
      <c r="H172" s="19">
        <v>0</v>
      </c>
      <c r="I172" s="19">
        <v>5.8011049723756897E-2</v>
      </c>
      <c r="J172" s="19">
        <v>0.20165745856353501</v>
      </c>
      <c r="K172" s="20" t="str">
        <f>_xlfn.CONCAT(dll[[#This Row],[lob]], " ", dll[[#This Row],[valid_vintage]])</f>
        <v>FRN 2017 Q1</v>
      </c>
    </row>
    <row r="173" spans="1:11" x14ac:dyDescent="0.35">
      <c r="A173" t="s">
        <v>156</v>
      </c>
      <c r="B173" t="s">
        <v>155</v>
      </c>
      <c r="C173" s="19">
        <v>0</v>
      </c>
      <c r="D173" s="19">
        <v>0.28571428571428498</v>
      </c>
      <c r="E173" s="19">
        <v>0.57142857142857095</v>
      </c>
      <c r="F173" s="19">
        <v>0</v>
      </c>
      <c r="G173" s="19">
        <v>0.14285714285714199</v>
      </c>
      <c r="H173" s="19">
        <v>0</v>
      </c>
      <c r="I173" s="19">
        <v>0.28571428571428498</v>
      </c>
      <c r="J173" s="19">
        <v>0.14285714285714199</v>
      </c>
      <c r="K173" s="20" t="str">
        <f>_xlfn.CONCAT(dll[[#This Row],[lob]], " ", dll[[#This Row],[valid_vintage]])</f>
        <v>FLD 2016 Q4</v>
      </c>
    </row>
    <row r="174" spans="1:11" x14ac:dyDescent="0.35">
      <c r="A174" t="s">
        <v>156</v>
      </c>
      <c r="B174" t="s">
        <v>153</v>
      </c>
      <c r="C174" s="19">
        <v>9.1000000000000004E-3</v>
      </c>
      <c r="D174" s="19">
        <v>0.26255707762557001</v>
      </c>
      <c r="E174" s="19">
        <v>0.66894977168949699</v>
      </c>
      <c r="F174" s="19">
        <v>5.4794520547945202E-2</v>
      </c>
      <c r="G174" s="19">
        <v>4.5662100456621002E-3</v>
      </c>
      <c r="H174" s="19">
        <v>0</v>
      </c>
      <c r="I174" s="19">
        <v>0.27165707762557001</v>
      </c>
      <c r="J174" s="19">
        <v>5.9360730593607303E-2</v>
      </c>
      <c r="K174" s="20" t="str">
        <f>_xlfn.CONCAT(dll[[#This Row],[lob]], " ", dll[[#This Row],[valid_vintage]])</f>
        <v>STG 2016 Q4</v>
      </c>
    </row>
    <row r="175" spans="1:11" x14ac:dyDescent="0.35">
      <c r="A175" t="s">
        <v>156</v>
      </c>
      <c r="B175" t="s">
        <v>151</v>
      </c>
      <c r="C175" s="19">
        <v>0</v>
      </c>
      <c r="D175" s="19">
        <v>5.2631578947368397E-2</v>
      </c>
      <c r="E175" s="19">
        <v>0.74853801169590595</v>
      </c>
      <c r="F175" s="19">
        <v>0.19298245614035001</v>
      </c>
      <c r="G175" s="19">
        <v>5.84795321637426E-3</v>
      </c>
      <c r="H175" s="19">
        <v>0</v>
      </c>
      <c r="I175" s="19">
        <v>5.2631578947368397E-2</v>
      </c>
      <c r="J175" s="19">
        <v>0.198830409356725</v>
      </c>
      <c r="K175" s="20" t="str">
        <f>_xlfn.CONCAT(dll[[#This Row],[lob]], " ", dll[[#This Row],[valid_vintage]])</f>
        <v>FRN 2016 Q4</v>
      </c>
    </row>
    <row r="176" spans="1:11" x14ac:dyDescent="0.35">
      <c r="A176" t="s">
        <v>156</v>
      </c>
      <c r="B176" t="s">
        <v>149</v>
      </c>
      <c r="C176" s="19">
        <v>0</v>
      </c>
      <c r="D176" s="19">
        <v>0.33466135458167301</v>
      </c>
      <c r="E176" s="19">
        <v>0.58565737051792799</v>
      </c>
      <c r="F176" s="19">
        <v>7.1713147410358502E-2</v>
      </c>
      <c r="G176" s="19">
        <v>7.9681274900398405E-3</v>
      </c>
      <c r="H176" s="19">
        <v>0</v>
      </c>
      <c r="I176" s="19">
        <v>0.33466135458167301</v>
      </c>
      <c r="J176" s="19">
        <v>7.9681274900398405E-2</v>
      </c>
      <c r="K176" s="20" t="str">
        <f>_xlfn.CONCAT(dll[[#This Row],[lob]], " ", dll[[#This Row],[valid_vintage]])</f>
        <v>AN 2016 Q4</v>
      </c>
    </row>
    <row r="177" spans="1:11" x14ac:dyDescent="0.35">
      <c r="A177" t="s">
        <v>182</v>
      </c>
      <c r="B177" t="s">
        <v>155</v>
      </c>
      <c r="C177" s="19">
        <v>0</v>
      </c>
      <c r="D177" s="19">
        <v>0.71428571428571397</v>
      </c>
      <c r="E177" s="19">
        <v>0.14285714285714199</v>
      </c>
      <c r="F177" s="19">
        <v>0.14285714285714199</v>
      </c>
      <c r="G177" s="19">
        <v>0</v>
      </c>
      <c r="H177" s="19">
        <v>0</v>
      </c>
      <c r="I177" s="19">
        <v>0.71428571428571397</v>
      </c>
      <c r="J177" s="19">
        <v>0.14285714285714199</v>
      </c>
      <c r="K177" s="20" t="str">
        <f>_xlfn.CONCAT(dll[[#This Row],[lob]], " ", dll[[#This Row],[valid_vintage]])</f>
        <v>FLD 2016 Q3</v>
      </c>
    </row>
    <row r="178" spans="1:11" x14ac:dyDescent="0.35">
      <c r="A178" t="s">
        <v>182</v>
      </c>
      <c r="B178" t="s">
        <v>149</v>
      </c>
      <c r="C178" s="19">
        <v>0</v>
      </c>
      <c r="D178" s="19">
        <v>0.318965517241379</v>
      </c>
      <c r="E178" s="19">
        <v>0.625</v>
      </c>
      <c r="F178" s="19">
        <v>4.7413793103448197E-2</v>
      </c>
      <c r="G178" s="19">
        <v>8.6206896551724102E-3</v>
      </c>
      <c r="H178" s="19">
        <v>0</v>
      </c>
      <c r="I178" s="19">
        <v>0.318965517241379</v>
      </c>
      <c r="J178" s="19">
        <v>5.60344827586206E-2</v>
      </c>
      <c r="K178" s="20" t="str">
        <f>_xlfn.CONCAT(dll[[#This Row],[lob]], " ", dll[[#This Row],[valid_vintage]])</f>
        <v>AN 2016 Q3</v>
      </c>
    </row>
    <row r="179" spans="1:11" x14ac:dyDescent="0.35">
      <c r="A179" t="s">
        <v>182</v>
      </c>
      <c r="B179" t="s">
        <v>151</v>
      </c>
      <c r="C179" s="19">
        <v>0</v>
      </c>
      <c r="D179" s="19">
        <v>5.9936908517350097E-2</v>
      </c>
      <c r="E179" s="19">
        <v>0.72555205047318605</v>
      </c>
      <c r="F179" s="19">
        <v>0.173501577287066</v>
      </c>
      <c r="G179" s="19">
        <v>4.1009463722397402E-2</v>
      </c>
      <c r="H179" s="19">
        <v>0</v>
      </c>
      <c r="I179" s="19">
        <v>5.9936908517350097E-2</v>
      </c>
      <c r="J179" s="19">
        <v>0.214511041009463</v>
      </c>
      <c r="K179" s="20" t="str">
        <f>_xlfn.CONCAT(dll[[#This Row],[lob]], " ", dll[[#This Row],[valid_vintage]])</f>
        <v>FRN 2016 Q3</v>
      </c>
    </row>
    <row r="180" spans="1:11" x14ac:dyDescent="0.35">
      <c r="A180" t="s">
        <v>182</v>
      </c>
      <c r="B180" t="s">
        <v>153</v>
      </c>
      <c r="C180" s="19">
        <v>0</v>
      </c>
      <c r="D180" s="19">
        <v>0.384210526315789</v>
      </c>
      <c r="E180" s="19">
        <v>0.53947368421052599</v>
      </c>
      <c r="F180" s="19">
        <v>7.3684210526315699E-2</v>
      </c>
      <c r="G180" s="19">
        <v>2.6315789473684201E-3</v>
      </c>
      <c r="H180" s="19">
        <v>0</v>
      </c>
      <c r="I180" s="19">
        <v>0.384210526315789</v>
      </c>
      <c r="J180" s="19">
        <v>7.6315789473684198E-2</v>
      </c>
      <c r="K180" s="20" t="str">
        <f>_xlfn.CONCAT(dll[[#This Row],[lob]], " ", dll[[#This Row],[valid_vintage]])</f>
        <v>STG 2016 Q3</v>
      </c>
    </row>
    <row r="181" spans="1:11" x14ac:dyDescent="0.35">
      <c r="A181" t="s">
        <v>158</v>
      </c>
      <c r="B181" t="s">
        <v>149</v>
      </c>
      <c r="C181" s="19">
        <v>0</v>
      </c>
      <c r="D181" s="19">
        <v>0.32599118942731198</v>
      </c>
      <c r="E181" s="19">
        <v>0.62114537444933904</v>
      </c>
      <c r="F181" s="19">
        <v>4.8458149779735601E-2</v>
      </c>
      <c r="G181" s="19">
        <v>4.40528634361233E-3</v>
      </c>
      <c r="H181" s="19">
        <v>0</v>
      </c>
      <c r="I181" s="19">
        <v>0.32599118942731198</v>
      </c>
      <c r="J181" s="19">
        <v>5.2863436123347998E-2</v>
      </c>
      <c r="K181" s="20" t="str">
        <f>_xlfn.CONCAT(dll[[#This Row],[lob]], " ", dll[[#This Row],[valid_vintage]])</f>
        <v>AN 2016 Q2</v>
      </c>
    </row>
    <row r="182" spans="1:11" x14ac:dyDescent="0.35">
      <c r="A182" t="s">
        <v>158</v>
      </c>
      <c r="B182" t="s">
        <v>151</v>
      </c>
      <c r="C182" s="19">
        <v>3.2000000000000002E-3</v>
      </c>
      <c r="D182" s="19">
        <v>4.5161290322580601E-2</v>
      </c>
      <c r="E182" s="19">
        <v>0.72258064516128995</v>
      </c>
      <c r="F182" s="19">
        <v>0.18387096774193501</v>
      </c>
      <c r="G182" s="19">
        <v>4.5161290322580601E-2</v>
      </c>
      <c r="H182" s="19">
        <v>0</v>
      </c>
      <c r="I182" s="19">
        <v>4.8361290322580602E-2</v>
      </c>
      <c r="J182" s="19">
        <v>0.22903225806451599</v>
      </c>
      <c r="K182" s="20" t="str">
        <f>_xlfn.CONCAT(dll[[#This Row],[lob]], " ", dll[[#This Row],[valid_vintage]])</f>
        <v>FRN 2016 Q2</v>
      </c>
    </row>
    <row r="183" spans="1:11" x14ac:dyDescent="0.35">
      <c r="A183" t="s">
        <v>158</v>
      </c>
      <c r="B183" t="s">
        <v>155</v>
      </c>
      <c r="C183" s="19">
        <v>0</v>
      </c>
      <c r="D183" s="19">
        <v>0.71428571428571397</v>
      </c>
      <c r="E183" s="19">
        <v>0.28571428571428498</v>
      </c>
      <c r="F183" s="19">
        <v>0</v>
      </c>
      <c r="G183" s="19">
        <v>0</v>
      </c>
      <c r="H183" s="19">
        <v>0</v>
      </c>
      <c r="I183" s="19">
        <v>0.71428571428571397</v>
      </c>
      <c r="J183" s="19">
        <v>0</v>
      </c>
      <c r="K183" s="20" t="str">
        <f>_xlfn.CONCAT(dll[[#This Row],[lob]], " ", dll[[#This Row],[valid_vintage]])</f>
        <v>FLD 2016 Q2</v>
      </c>
    </row>
    <row r="184" spans="1:11" x14ac:dyDescent="0.35">
      <c r="A184" t="s">
        <v>158</v>
      </c>
      <c r="B184" t="s">
        <v>153</v>
      </c>
      <c r="C184" s="19">
        <v>3.4200000000000001E-2</v>
      </c>
      <c r="D184" s="19">
        <v>0.41744548286604299</v>
      </c>
      <c r="E184" s="19">
        <v>0.47040498442367601</v>
      </c>
      <c r="F184" s="19">
        <v>7.1651090342679094E-2</v>
      </c>
      <c r="G184" s="19">
        <v>6.2305295950155701E-3</v>
      </c>
      <c r="H184" s="19">
        <v>0</v>
      </c>
      <c r="I184" s="19">
        <v>0.451645482866043</v>
      </c>
      <c r="J184" s="19">
        <v>7.7881619937694602E-2</v>
      </c>
      <c r="K184" s="20" t="str">
        <f>_xlfn.CONCAT(dll[[#This Row],[lob]], " ", dll[[#This Row],[valid_vintage]])</f>
        <v>STG 2016 Q2</v>
      </c>
    </row>
    <row r="185" spans="1:11" x14ac:dyDescent="0.35">
      <c r="A185" t="s">
        <v>183</v>
      </c>
      <c r="B185" t="s">
        <v>151</v>
      </c>
      <c r="C185" s="19">
        <v>3.2000000000000002E-3</v>
      </c>
      <c r="D185" s="19">
        <v>2.61437908496732E-2</v>
      </c>
      <c r="E185" s="19">
        <v>0.72549019607843102</v>
      </c>
      <c r="F185" s="19">
        <v>0.19934640522875799</v>
      </c>
      <c r="G185" s="19">
        <v>4.5751633986928102E-2</v>
      </c>
      <c r="H185" s="19">
        <v>0</v>
      </c>
      <c r="I185" s="19">
        <v>2.9343790849673201E-2</v>
      </c>
      <c r="J185" s="19">
        <v>0.24509803921568599</v>
      </c>
      <c r="K185" s="20" t="str">
        <f>_xlfn.CONCAT(dll[[#This Row],[lob]], " ", dll[[#This Row],[valid_vintage]])</f>
        <v>FRN 2016 Q1</v>
      </c>
    </row>
    <row r="186" spans="1:11" x14ac:dyDescent="0.35">
      <c r="A186" t="s">
        <v>183</v>
      </c>
      <c r="B186" t="s">
        <v>149</v>
      </c>
      <c r="C186" s="19">
        <v>0</v>
      </c>
      <c r="D186" s="19">
        <v>0.44052863436123302</v>
      </c>
      <c r="E186" s="19">
        <v>0.48017621145374401</v>
      </c>
      <c r="F186" s="19">
        <v>7.9295154185022004E-2</v>
      </c>
      <c r="G186" s="19">
        <v>0</v>
      </c>
      <c r="H186" s="19">
        <v>0</v>
      </c>
      <c r="I186" s="19">
        <v>0.44052863436123302</v>
      </c>
      <c r="J186" s="19">
        <v>7.9295154185022004E-2</v>
      </c>
      <c r="K186" s="20" t="str">
        <f>_xlfn.CONCAT(dll[[#This Row],[lob]], " ", dll[[#This Row],[valid_vintage]])</f>
        <v>AN 2016 Q1</v>
      </c>
    </row>
    <row r="187" spans="1:11" x14ac:dyDescent="0.35">
      <c r="A187" t="s">
        <v>183</v>
      </c>
      <c r="B187" t="s">
        <v>155</v>
      </c>
      <c r="C187" s="19">
        <v>0</v>
      </c>
      <c r="D187" s="19">
        <v>0.42857142857142799</v>
      </c>
      <c r="E187" s="19">
        <v>0.57142857142857095</v>
      </c>
      <c r="F187" s="19">
        <v>0</v>
      </c>
      <c r="G187" s="19">
        <v>0</v>
      </c>
      <c r="H187" s="19">
        <v>0</v>
      </c>
      <c r="I187" s="19">
        <v>0.42857142857142799</v>
      </c>
      <c r="J187" s="19">
        <v>0</v>
      </c>
      <c r="K187" s="20" t="str">
        <f>_xlfn.CONCAT(dll[[#This Row],[lob]], " ", dll[[#This Row],[valid_vintage]])</f>
        <v>FLD 2016 Q1</v>
      </c>
    </row>
    <row r="188" spans="1:11" x14ac:dyDescent="0.35">
      <c r="A188" t="s">
        <v>183</v>
      </c>
      <c r="B188" t="s">
        <v>153</v>
      </c>
      <c r="C188" s="19">
        <v>2.8299999999999999E-2</v>
      </c>
      <c r="D188" s="19">
        <v>0.35460992907801397</v>
      </c>
      <c r="E188" s="19">
        <v>0.54609929078014097</v>
      </c>
      <c r="F188" s="19">
        <v>6.3829787234042507E-2</v>
      </c>
      <c r="G188" s="19">
        <v>7.09219858156028E-3</v>
      </c>
      <c r="H188" s="19">
        <v>0</v>
      </c>
      <c r="I188" s="19">
        <v>0.38290992907801402</v>
      </c>
      <c r="J188" s="19">
        <v>7.09219858156028E-2</v>
      </c>
      <c r="K188" s="20" t="str">
        <f>_xlfn.CONCAT(dll[[#This Row],[lob]], " ", dll[[#This Row],[valid_vintage]])</f>
        <v>STG 2016 Q1</v>
      </c>
    </row>
    <row r="189" spans="1:11" x14ac:dyDescent="0.35">
      <c r="A189" t="s">
        <v>183</v>
      </c>
      <c r="B189" t="s">
        <v>438</v>
      </c>
      <c r="C189" s="20">
        <v>1.09E-2</v>
      </c>
      <c r="D189" s="20">
        <v>0.256690997566909</v>
      </c>
      <c r="E189" s="20">
        <v>0.59489051094890499</v>
      </c>
      <c r="F189" s="20">
        <v>0.118004866180048</v>
      </c>
      <c r="G189" s="20">
        <v>1.9464720194647199E-2</v>
      </c>
      <c r="H189" s="20">
        <v>0</v>
      </c>
      <c r="I189" s="20">
        <v>0.26759099756690902</v>
      </c>
      <c r="J189" s="20">
        <v>0.137469586374695</v>
      </c>
      <c r="K189" s="20" t="str">
        <f>_xlfn.CONCAT(dll[[#This Row],[lob]], " ", dll[[#This Row],[valid_vintage]])</f>
        <v>NONKMX 2016 Q1</v>
      </c>
    </row>
    <row r="190" spans="1:11" x14ac:dyDescent="0.35">
      <c r="A190" t="s">
        <v>158</v>
      </c>
      <c r="B190" t="s">
        <v>438</v>
      </c>
      <c r="C190" s="20">
        <v>1.38E-2</v>
      </c>
      <c r="D190" s="20">
        <v>0.26242774566473898</v>
      </c>
      <c r="E190" s="20">
        <v>0.59884393063583796</v>
      </c>
      <c r="F190" s="20">
        <v>0.10520231213872799</v>
      </c>
      <c r="G190" s="20">
        <v>1.9653179190751401E-2</v>
      </c>
      <c r="H190" s="20">
        <v>0</v>
      </c>
      <c r="I190" s="20">
        <v>0.27622774566473901</v>
      </c>
      <c r="J190" s="20">
        <v>0.124855491329479</v>
      </c>
      <c r="K190" s="20" t="str">
        <f>_xlfn.CONCAT(dll[[#This Row],[lob]], " ", dll[[#This Row],[valid_vintage]])</f>
        <v>NONKMX 2016 Q2</v>
      </c>
    </row>
    <row r="191" spans="1:11" x14ac:dyDescent="0.35">
      <c r="A191" t="s">
        <v>182</v>
      </c>
      <c r="B191" t="s">
        <v>438</v>
      </c>
      <c r="C191" s="20">
        <v>0</v>
      </c>
      <c r="D191" s="20">
        <v>0.26068376068375998</v>
      </c>
      <c r="E191" s="20">
        <v>0.62072649572649496</v>
      </c>
      <c r="F191" s="20">
        <v>0.101495726495726</v>
      </c>
      <c r="G191" s="20">
        <v>1.7094017094016999E-2</v>
      </c>
      <c r="H191" s="20">
        <v>0</v>
      </c>
      <c r="I191" s="20">
        <v>0.26068376068375998</v>
      </c>
      <c r="J191" s="20">
        <v>0.118589743589743</v>
      </c>
      <c r="K191" s="20" t="str">
        <f>_xlfn.CONCAT(dll[[#This Row],[lob]], " ", dll[[#This Row],[valid_vintage]])</f>
        <v>NONKMX 2016 Q3</v>
      </c>
    </row>
    <row r="192" spans="1:11" x14ac:dyDescent="0.35">
      <c r="A192" t="s">
        <v>156</v>
      </c>
      <c r="B192" t="s">
        <v>438</v>
      </c>
      <c r="C192" s="20">
        <v>3.8E-3</v>
      </c>
      <c r="D192" s="20">
        <v>0.210982658959537</v>
      </c>
      <c r="E192" s="20">
        <v>0.67437379576107803</v>
      </c>
      <c r="F192" s="20">
        <v>0.10404624277456601</v>
      </c>
      <c r="G192" s="20">
        <v>6.7437379576107803E-3</v>
      </c>
      <c r="H192" s="20">
        <v>0</v>
      </c>
      <c r="I192" s="20">
        <v>0.21478265895953699</v>
      </c>
      <c r="J192" s="20">
        <v>0.110789980732177</v>
      </c>
      <c r="K192" s="20" t="str">
        <f>_xlfn.CONCAT(dll[[#This Row],[lob]], " ", dll[[#This Row],[valid_vintage]])</f>
        <v>NONKMX 2016 Q4</v>
      </c>
    </row>
    <row r="193" spans="1:11" x14ac:dyDescent="0.35">
      <c r="A193" t="s">
        <v>184</v>
      </c>
      <c r="B193" t="s">
        <v>438</v>
      </c>
      <c r="C193" s="20">
        <v>3.5999999999999999E-3</v>
      </c>
      <c r="D193" s="20">
        <v>0.25634057971014401</v>
      </c>
      <c r="E193" s="20">
        <v>0.61503623188405698</v>
      </c>
      <c r="F193" s="20">
        <v>0.107789855072463</v>
      </c>
      <c r="G193" s="20">
        <v>1.7210144927536201E-2</v>
      </c>
      <c r="H193" s="20">
        <v>0</v>
      </c>
      <c r="I193" s="20">
        <v>0.259940579710144</v>
      </c>
      <c r="J193" s="20">
        <v>0.124999999999999</v>
      </c>
      <c r="K193" s="20" t="str">
        <f>_xlfn.CONCAT(dll[[#This Row],[lob]], " ", dll[[#This Row],[valid_vintage]])</f>
        <v>NONKMX 2017 Q1</v>
      </c>
    </row>
    <row r="194" spans="1:11" x14ac:dyDescent="0.35">
      <c r="A194" t="s">
        <v>179</v>
      </c>
      <c r="B194" t="s">
        <v>438</v>
      </c>
      <c r="C194" s="20">
        <v>5.8999999999999999E-3</v>
      </c>
      <c r="D194" s="20">
        <v>0.22959183673469299</v>
      </c>
      <c r="E194" s="20">
        <v>0.61564625850340104</v>
      </c>
      <c r="F194" s="20">
        <v>0.13520408163265299</v>
      </c>
      <c r="G194" s="20">
        <v>1.3605442176870699E-2</v>
      </c>
      <c r="H194" s="20">
        <v>0</v>
      </c>
      <c r="I194" s="20">
        <v>0.23549183673469301</v>
      </c>
      <c r="J194" s="20">
        <v>0.148809523809523</v>
      </c>
      <c r="K194" s="20" t="str">
        <f>_xlfn.CONCAT(dll[[#This Row],[lob]], " ", dll[[#This Row],[valid_vintage]])</f>
        <v>NONKMX 2017 Q2</v>
      </c>
    </row>
    <row r="195" spans="1:11" x14ac:dyDescent="0.35">
      <c r="A195" t="s">
        <v>186</v>
      </c>
      <c r="B195" t="s">
        <v>438</v>
      </c>
      <c r="C195" s="20">
        <v>2.3999999999999998E-3</v>
      </c>
      <c r="D195" s="20">
        <v>0.22940226171243899</v>
      </c>
      <c r="E195" s="20">
        <v>0.63489499192245502</v>
      </c>
      <c r="F195" s="20">
        <v>0.11147011308562101</v>
      </c>
      <c r="G195" s="20">
        <v>2.18093699515347E-2</v>
      </c>
      <c r="H195" s="20">
        <v>0</v>
      </c>
      <c r="I195" s="20">
        <v>0.23180226171243901</v>
      </c>
      <c r="J195" s="20">
        <v>0.133279483037156</v>
      </c>
      <c r="K195" s="20" t="str">
        <f>_xlfn.CONCAT(dll[[#This Row],[lob]], " ", dll[[#This Row],[valid_vintage]])</f>
        <v>NONKMX 2017 Q3</v>
      </c>
    </row>
    <row r="196" spans="1:11" x14ac:dyDescent="0.35">
      <c r="A196" t="s">
        <v>173</v>
      </c>
      <c r="B196" t="s">
        <v>438</v>
      </c>
      <c r="C196" s="20">
        <v>0</v>
      </c>
      <c r="D196" s="20">
        <v>0.23076923076923</v>
      </c>
      <c r="E196" s="20">
        <v>0.61227661227661201</v>
      </c>
      <c r="F196" s="20">
        <v>0.12509712509712501</v>
      </c>
      <c r="G196" s="20">
        <v>3.1857031857031801E-2</v>
      </c>
      <c r="H196" s="20">
        <v>0</v>
      </c>
      <c r="I196" s="20">
        <v>0.23076923076923</v>
      </c>
      <c r="J196" s="20">
        <v>0.15695415695415599</v>
      </c>
      <c r="K196" s="20" t="str">
        <f>_xlfn.CONCAT(dll[[#This Row],[lob]], " ", dll[[#This Row],[valid_vintage]])</f>
        <v>NONKMX 2017 Q4</v>
      </c>
    </row>
    <row r="197" spans="1:11" x14ac:dyDescent="0.35">
      <c r="A197" t="s">
        <v>150</v>
      </c>
      <c r="B197" t="s">
        <v>438</v>
      </c>
      <c r="C197" s="20">
        <v>6.9999999999999999E-4</v>
      </c>
      <c r="D197" s="20">
        <v>0.238278247501921</v>
      </c>
      <c r="E197" s="20">
        <v>0.60415065334358098</v>
      </c>
      <c r="F197" s="20">
        <v>0.125288239815526</v>
      </c>
      <c r="G197" s="20">
        <v>3.1514219830899297E-2</v>
      </c>
      <c r="H197" s="20">
        <v>0</v>
      </c>
      <c r="I197" s="20">
        <v>0.23897824750192101</v>
      </c>
      <c r="J197" s="20">
        <v>0.156802459646425</v>
      </c>
      <c r="K197" s="20" t="str">
        <f>_xlfn.CONCAT(dll[[#This Row],[lob]], " ", dll[[#This Row],[valid_vintage]])</f>
        <v>NONKMX 2018 Q1</v>
      </c>
    </row>
    <row r="198" spans="1:11" x14ac:dyDescent="0.35">
      <c r="A198" t="s">
        <v>157</v>
      </c>
      <c r="B198" t="s">
        <v>438</v>
      </c>
      <c r="C198" s="20">
        <v>1.4E-3</v>
      </c>
      <c r="D198" s="20">
        <v>0.26217228464419401</v>
      </c>
      <c r="E198" s="20">
        <v>0.58277153558052397</v>
      </c>
      <c r="F198" s="20">
        <v>0.119101123595505</v>
      </c>
      <c r="G198" s="20">
        <v>3.4456928838951302E-2</v>
      </c>
      <c r="H198" s="20">
        <v>0</v>
      </c>
      <c r="I198" s="20">
        <v>0.26357228464419402</v>
      </c>
      <c r="J198" s="20">
        <v>0.153558052434456</v>
      </c>
      <c r="K198" s="20" t="str">
        <f>_xlfn.CONCAT(dll[[#This Row],[lob]], " ", dll[[#This Row],[valid_vintage]])</f>
        <v>NONKMX 2018 Q2</v>
      </c>
    </row>
    <row r="199" spans="1:11" x14ac:dyDescent="0.35">
      <c r="A199" t="s">
        <v>170</v>
      </c>
      <c r="B199" t="s">
        <v>438</v>
      </c>
      <c r="C199" s="20">
        <v>8.0000000000000002E-3</v>
      </c>
      <c r="D199" s="20">
        <v>0.249269005847953</v>
      </c>
      <c r="E199" s="20">
        <v>0.57602339181286499</v>
      </c>
      <c r="F199" s="20">
        <v>0.13669590643274801</v>
      </c>
      <c r="G199" s="20">
        <v>2.9970760233918099E-2</v>
      </c>
      <c r="H199" s="20">
        <v>0</v>
      </c>
      <c r="I199" s="20">
        <v>0.25726900584795298</v>
      </c>
      <c r="J199" s="20">
        <v>0.16666666666666599</v>
      </c>
      <c r="K199" s="20" t="str">
        <f>_xlfn.CONCAT(dll[[#This Row],[lob]], " ", dll[[#This Row],[valid_vintage]])</f>
        <v>NONKMX 2018 Q3</v>
      </c>
    </row>
    <row r="200" spans="1:11" x14ac:dyDescent="0.35">
      <c r="A200" t="s">
        <v>154</v>
      </c>
      <c r="B200" t="s">
        <v>438</v>
      </c>
      <c r="C200" s="20">
        <v>7.7999999999999996E-3</v>
      </c>
      <c r="D200" s="20">
        <v>0.246273953158268</v>
      </c>
      <c r="E200" s="20">
        <v>0.546486870120652</v>
      </c>
      <c r="F200" s="20">
        <v>0.16465578424414401</v>
      </c>
      <c r="G200" s="20">
        <v>3.4776437189496003E-2</v>
      </c>
      <c r="H200" s="20">
        <v>0</v>
      </c>
      <c r="I200" s="20">
        <v>0.25407395315826797</v>
      </c>
      <c r="J200" s="20">
        <v>0.19943222143364001</v>
      </c>
      <c r="K200" s="20" t="str">
        <f>_xlfn.CONCAT(dll[[#This Row],[lob]], " ", dll[[#This Row],[valid_vintage]])</f>
        <v>NONKMX 2018 Q4</v>
      </c>
    </row>
    <row r="201" spans="1:11" x14ac:dyDescent="0.35">
      <c r="A201" t="s">
        <v>174</v>
      </c>
      <c r="B201" t="s">
        <v>438</v>
      </c>
      <c r="C201" s="20">
        <v>1.54E-2</v>
      </c>
      <c r="D201" s="20">
        <v>0.238095238095238</v>
      </c>
      <c r="E201" s="20">
        <v>0.56932773109243595</v>
      </c>
      <c r="F201" s="20">
        <v>0.135854341736694</v>
      </c>
      <c r="G201" s="20">
        <v>4.1316526610644201E-2</v>
      </c>
      <c r="H201" s="20">
        <v>0</v>
      </c>
      <c r="I201" s="20">
        <v>0.253495238095238</v>
      </c>
      <c r="J201" s="20">
        <v>0.177170868347338</v>
      </c>
      <c r="K201" s="20" t="str">
        <f>_xlfn.CONCAT(dll[[#This Row],[lob]], " ", dll[[#This Row],[valid_vintage]])</f>
        <v>NONKMX 2019 Q1</v>
      </c>
    </row>
    <row r="202" spans="1:11" x14ac:dyDescent="0.35">
      <c r="A202" t="s">
        <v>148</v>
      </c>
      <c r="B202" t="s">
        <v>438</v>
      </c>
      <c r="C202" s="20">
        <v>1.5900000000000001E-2</v>
      </c>
      <c r="D202" s="20">
        <v>0.225605536332179</v>
      </c>
      <c r="E202" s="20">
        <v>0.56401384083044903</v>
      </c>
      <c r="F202" s="20">
        <v>0.15640138408304399</v>
      </c>
      <c r="G202" s="20">
        <v>3.8062283737024201E-2</v>
      </c>
      <c r="H202" s="20">
        <v>0</v>
      </c>
      <c r="I202" s="20">
        <v>0.241505536332179</v>
      </c>
      <c r="J202" s="20">
        <v>0.19446366782006899</v>
      </c>
      <c r="K202" s="20" t="str">
        <f>_xlfn.CONCAT(dll[[#This Row],[lob]], " ", dll[[#This Row],[valid_vintage]])</f>
        <v>NONKMX 2019 Q2</v>
      </c>
    </row>
    <row r="203" spans="1:11" x14ac:dyDescent="0.35">
      <c r="A203" t="s">
        <v>159</v>
      </c>
      <c r="B203" t="s">
        <v>438</v>
      </c>
      <c r="C203" s="20">
        <v>1.72E-2</v>
      </c>
      <c r="D203" s="20">
        <v>0.23756906077348</v>
      </c>
      <c r="E203" s="20">
        <v>0.58494475138121504</v>
      </c>
      <c r="F203" s="20">
        <v>0.125</v>
      </c>
      <c r="G203" s="20">
        <v>3.5220994475138101E-2</v>
      </c>
      <c r="H203" s="20">
        <v>0</v>
      </c>
      <c r="I203" s="20">
        <v>0.25476906077347999</v>
      </c>
      <c r="J203" s="20">
        <v>0.16022099447513799</v>
      </c>
      <c r="K203" s="20" t="str">
        <f>_xlfn.CONCAT(dll[[#This Row],[lob]], " ", dll[[#This Row],[valid_vintage]])</f>
        <v>NONKMX 2019 Q3</v>
      </c>
    </row>
    <row r="204" spans="1:11" x14ac:dyDescent="0.35">
      <c r="A204" t="s">
        <v>169</v>
      </c>
      <c r="B204" t="s">
        <v>438</v>
      </c>
      <c r="C204" s="20">
        <v>6.8999999999999999E-3</v>
      </c>
      <c r="D204" s="20">
        <v>0.24145150034891799</v>
      </c>
      <c r="E204" s="20">
        <v>0.58339148639218397</v>
      </c>
      <c r="F204" s="20">
        <v>0.13468248429867399</v>
      </c>
      <c r="G204" s="20">
        <v>3.34961618981158E-2</v>
      </c>
      <c r="H204" s="20">
        <v>0</v>
      </c>
      <c r="I204" s="20">
        <v>0.24835150034891801</v>
      </c>
      <c r="J204" s="20">
        <v>0.16817864619678899</v>
      </c>
      <c r="K204" s="20" t="str">
        <f>_xlfn.CONCAT(dll[[#This Row],[lob]], " ", dll[[#This Row],[valid_vintage]])</f>
        <v>NONKMX 2019 Q4</v>
      </c>
    </row>
    <row r="205" spans="1:11" x14ac:dyDescent="0.35">
      <c r="A205" t="s">
        <v>171</v>
      </c>
      <c r="B205" t="s">
        <v>438</v>
      </c>
      <c r="C205" s="20">
        <v>2.0899999999999998E-2</v>
      </c>
      <c r="D205" s="20">
        <v>0.214314435062324</v>
      </c>
      <c r="E205" s="20">
        <v>0.59187776437474804</v>
      </c>
      <c r="F205" s="20">
        <v>0.125452352231604</v>
      </c>
      <c r="G205" s="20">
        <v>4.7446722959388801E-2</v>
      </c>
      <c r="H205" s="20">
        <v>0</v>
      </c>
      <c r="I205" s="20">
        <v>0.23521443506232401</v>
      </c>
      <c r="J205" s="20">
        <v>0.17289907519099301</v>
      </c>
      <c r="K205" s="20" t="str">
        <f>_xlfn.CONCAT(dll[[#This Row],[lob]], " ", dll[[#This Row],[valid_vintage]])</f>
        <v>NONKMX 2020 Q1</v>
      </c>
    </row>
    <row r="206" spans="1:11" x14ac:dyDescent="0.35">
      <c r="A206" t="s">
        <v>161</v>
      </c>
      <c r="B206" t="s">
        <v>438</v>
      </c>
      <c r="C206" s="20">
        <v>2.01E-2</v>
      </c>
      <c r="D206" s="20">
        <v>0.197827773467804</v>
      </c>
      <c r="E206" s="20">
        <v>0.63033359193173</v>
      </c>
      <c r="F206" s="20">
        <v>0.11093871217998399</v>
      </c>
      <c r="G206" s="20">
        <v>4.0729247478665603E-2</v>
      </c>
      <c r="H206" s="20">
        <v>0</v>
      </c>
      <c r="I206" s="20">
        <v>0.21792777346780401</v>
      </c>
      <c r="J206" s="20">
        <v>0.15166795965864999</v>
      </c>
      <c r="K206" s="20" t="str">
        <f>_xlfn.CONCAT(dll[[#This Row],[lob]], " ", dll[[#This Row],[valid_vintage]])</f>
        <v>NONKMX 2020 Q2</v>
      </c>
    </row>
    <row r="207" spans="1:11" x14ac:dyDescent="0.35">
      <c r="A207" t="s">
        <v>180</v>
      </c>
      <c r="B207" t="s">
        <v>438</v>
      </c>
      <c r="C207" s="20">
        <v>2.1700000000000001E-2</v>
      </c>
      <c r="D207" s="20">
        <v>0.16966406515100099</v>
      </c>
      <c r="E207" s="20">
        <v>0.66779776043434003</v>
      </c>
      <c r="F207" s="20">
        <v>0.100780454699694</v>
      </c>
      <c r="G207" s="20">
        <v>4.0040719375636198E-2</v>
      </c>
      <c r="H207" s="20">
        <v>0</v>
      </c>
      <c r="I207" s="20">
        <v>0.19136406515100099</v>
      </c>
      <c r="J207" s="20">
        <v>0.14082117407533001</v>
      </c>
      <c r="K207" s="20" t="str">
        <f>_xlfn.CONCAT(dll[[#This Row],[lob]], " ", dll[[#This Row],[valid_vintage]])</f>
        <v>NONKMX 2020 Q3</v>
      </c>
    </row>
    <row r="208" spans="1:11" x14ac:dyDescent="0.35">
      <c r="A208" t="s">
        <v>177</v>
      </c>
      <c r="B208" t="s">
        <v>438</v>
      </c>
      <c r="C208" s="20">
        <v>2.1399999999999999E-2</v>
      </c>
      <c r="D208" s="20">
        <v>0.18004477134633801</v>
      </c>
      <c r="E208" s="20">
        <v>0.62775823472977199</v>
      </c>
      <c r="F208" s="20">
        <v>0.123440997761432</v>
      </c>
      <c r="G208" s="20">
        <v>4.7009913655260603E-2</v>
      </c>
      <c r="H208" s="20">
        <v>3.1979533098816E-4</v>
      </c>
      <c r="I208" s="20">
        <v>0.20144477134633801</v>
      </c>
      <c r="J208" s="20">
        <v>0.17077070674768099</v>
      </c>
      <c r="K208" s="20" t="str">
        <f>_xlfn.CONCAT(dll[[#This Row],[lob]], " ", dll[[#This Row],[valid_vintage]])</f>
        <v>NONKMX 2020 Q4</v>
      </c>
    </row>
    <row r="209" spans="1:11" x14ac:dyDescent="0.35">
      <c r="A209" t="s">
        <v>185</v>
      </c>
      <c r="B209" t="s">
        <v>438</v>
      </c>
      <c r="C209" s="20">
        <v>1.8200000000000001E-2</v>
      </c>
      <c r="D209" s="20">
        <v>0.20942249240121499</v>
      </c>
      <c r="E209" s="20">
        <v>0.62948328267477205</v>
      </c>
      <c r="F209" s="20">
        <v>9.9696048632218801E-2</v>
      </c>
      <c r="G209" s="20">
        <v>4.2553191489361701E-2</v>
      </c>
      <c r="H209" s="20">
        <v>6.0790273556230996E-4</v>
      </c>
      <c r="I209" s="20">
        <v>0.22762249240121499</v>
      </c>
      <c r="J209" s="20">
        <v>0.14285714285714199</v>
      </c>
      <c r="K209" s="20" t="str">
        <f>_xlfn.CONCAT(dll[[#This Row],[lob]], " ", dll[[#This Row],[valid_vintage]])</f>
        <v>NONKMX 2021 Q1</v>
      </c>
    </row>
    <row r="210" spans="1:11" x14ac:dyDescent="0.35">
      <c r="A210" t="s">
        <v>181</v>
      </c>
      <c r="B210" t="s">
        <v>438</v>
      </c>
      <c r="C210" s="20">
        <v>0.02</v>
      </c>
      <c r="D210" s="20">
        <v>0.27163323782234899</v>
      </c>
      <c r="E210" s="20">
        <v>0.54555873925501397</v>
      </c>
      <c r="F210" s="20">
        <v>9.7994269340974202E-2</v>
      </c>
      <c r="G210" s="20">
        <v>6.0744985673352403E-2</v>
      </c>
      <c r="H210" s="20">
        <v>4.0114613180515703E-3</v>
      </c>
      <c r="I210" s="20">
        <v>0.29163323782234901</v>
      </c>
      <c r="J210" s="20">
        <v>0.162750716332378</v>
      </c>
      <c r="K210" s="20" t="str">
        <f>_xlfn.CONCAT(dll[[#This Row],[lob]], " ", dll[[#This Row],[valid_vintage]])</f>
        <v>NONKMX 2021 Q2</v>
      </c>
    </row>
    <row r="211" spans="1:11" x14ac:dyDescent="0.35">
      <c r="A211" t="s">
        <v>175</v>
      </c>
      <c r="B211" t="s">
        <v>438</v>
      </c>
      <c r="C211" s="20">
        <v>2.9700000000000001E-2</v>
      </c>
      <c r="D211" s="20">
        <v>0.25915800984144299</v>
      </c>
      <c r="E211" s="20">
        <v>0.53827227993438997</v>
      </c>
      <c r="F211" s="20">
        <v>0.10415527610716201</v>
      </c>
      <c r="G211" s="20">
        <v>6.0415527610716203E-2</v>
      </c>
      <c r="H211" s="20">
        <v>8.2012028430836492E-3</v>
      </c>
      <c r="I211" s="20">
        <v>0.288858009841443</v>
      </c>
      <c r="J211" s="20">
        <v>0.172772006560962</v>
      </c>
      <c r="K211" s="20" t="str">
        <f>_xlfn.CONCAT(dll[[#This Row],[lob]], " ", dll[[#This Row],[valid_vintage]])</f>
        <v>NONKMX 2021 Q3</v>
      </c>
    </row>
    <row r="212" spans="1:11" x14ac:dyDescent="0.35">
      <c r="A212" t="s">
        <v>168</v>
      </c>
      <c r="B212" t="s">
        <v>438</v>
      </c>
      <c r="C212" s="20">
        <v>4.5699999999999998E-2</v>
      </c>
      <c r="D212" s="20">
        <v>0.24928515726540099</v>
      </c>
      <c r="E212" s="20">
        <v>0.52196516766311396</v>
      </c>
      <c r="F212" s="20">
        <v>7.5643358461138496E-2</v>
      </c>
      <c r="G212" s="20">
        <v>0.101637639719261</v>
      </c>
      <c r="H212" s="20">
        <v>5.7187418767870998E-3</v>
      </c>
      <c r="I212" s="20">
        <v>0.29498515726540098</v>
      </c>
      <c r="J212" s="20">
        <v>0.182999740057187</v>
      </c>
      <c r="K212" s="20" t="str">
        <f>_xlfn.CONCAT(dll[[#This Row],[lob]], " ", dll[[#This Row],[valid_vintage]])</f>
        <v>NONKMX 2021 Q4</v>
      </c>
    </row>
    <row r="213" spans="1:11" x14ac:dyDescent="0.35">
      <c r="A213" t="s">
        <v>178</v>
      </c>
      <c r="B213" t="s">
        <v>438</v>
      </c>
      <c r="C213" s="20">
        <v>4.1200000000000001E-2</v>
      </c>
      <c r="D213" s="20">
        <v>0.280563102000493</v>
      </c>
      <c r="E213" s="20">
        <v>0.49098542850086402</v>
      </c>
      <c r="F213" s="20">
        <v>8.9898740429735696E-2</v>
      </c>
      <c r="G213" s="20">
        <v>9.2615460607557404E-2</v>
      </c>
      <c r="H213" s="20">
        <v>4.6925166707828996E-3</v>
      </c>
      <c r="I213" s="20">
        <v>0.32176310200049302</v>
      </c>
      <c r="J213" s="20">
        <v>0.18720671770807601</v>
      </c>
      <c r="K213" s="20" t="str">
        <f>_xlfn.CONCAT(dll[[#This Row],[lob]], " ", dll[[#This Row],[valid_vintage]])</f>
        <v>NONKMX 2022 Q1</v>
      </c>
    </row>
    <row r="214" spans="1:11" x14ac:dyDescent="0.35">
      <c r="A214" t="s">
        <v>164</v>
      </c>
      <c r="B214" t="s">
        <v>438</v>
      </c>
      <c r="C214" s="20">
        <v>4.3700000000000003E-2</v>
      </c>
      <c r="D214" s="20">
        <v>0.26153483992467003</v>
      </c>
      <c r="E214" s="20">
        <v>0.53648775894538603</v>
      </c>
      <c r="F214" s="20">
        <v>8.1214689265536696E-2</v>
      </c>
      <c r="G214" s="20">
        <v>7.1327683615819204E-2</v>
      </c>
      <c r="H214" s="20">
        <v>5.6497175141242903E-3</v>
      </c>
      <c r="I214" s="20">
        <v>0.30523483992466999</v>
      </c>
      <c r="J214" s="20">
        <v>0.15819209039547999</v>
      </c>
      <c r="K214" s="20" t="str">
        <f>_xlfn.CONCAT(dll[[#This Row],[lob]], " ", dll[[#This Row],[valid_vintage]])</f>
        <v>NONKMX 2022 Q2</v>
      </c>
    </row>
    <row r="215" spans="1:11" x14ac:dyDescent="0.35">
      <c r="A215" t="s">
        <v>162</v>
      </c>
      <c r="B215" t="s">
        <v>438</v>
      </c>
      <c r="C215" s="20">
        <v>3.8600000000000002E-2</v>
      </c>
      <c r="D215" s="20">
        <v>0.26355724168712302</v>
      </c>
      <c r="E215" s="20">
        <v>0.54095068065163998</v>
      </c>
      <c r="F215" s="20">
        <v>7.7438071858959998E-2</v>
      </c>
      <c r="G215" s="20">
        <v>7.3197946886855603E-2</v>
      </c>
      <c r="H215" s="20">
        <v>6.2486052220486398E-3</v>
      </c>
      <c r="I215" s="20">
        <v>0.30215724168712299</v>
      </c>
      <c r="J215" s="20">
        <v>0.15688462396786401</v>
      </c>
      <c r="K215" s="20" t="str">
        <f>_xlfn.CONCAT(dll[[#This Row],[lob]], " ", dll[[#This Row],[valid_vintage]])</f>
        <v>NONKMX 2022 Q3</v>
      </c>
    </row>
    <row r="216" spans="1:11" x14ac:dyDescent="0.35">
      <c r="A216" t="s">
        <v>176</v>
      </c>
      <c r="B216" t="s">
        <v>438</v>
      </c>
      <c r="C216" s="20">
        <v>4.2599999999999999E-2</v>
      </c>
      <c r="D216" s="20">
        <v>0.241467576791808</v>
      </c>
      <c r="E216" s="20">
        <v>0.565273037542662</v>
      </c>
      <c r="F216" s="20">
        <v>0.11049488054607499</v>
      </c>
      <c r="G216" s="20">
        <v>3.5409556313993097E-2</v>
      </c>
      <c r="H216" s="20">
        <v>4.6928327645051103E-3</v>
      </c>
      <c r="I216" s="20">
        <v>0.284067576791808</v>
      </c>
      <c r="J216" s="20">
        <v>0.15059726962457301</v>
      </c>
      <c r="K216" s="20" t="str">
        <f>_xlfn.CONCAT(dll[[#This Row],[lob]], " ", dll[[#This Row],[valid_vintage]])</f>
        <v>NONKMX 2022 Q4</v>
      </c>
    </row>
    <row r="217" spans="1:11" x14ac:dyDescent="0.35">
      <c r="A217" t="s">
        <v>172</v>
      </c>
      <c r="B217" t="s">
        <v>438</v>
      </c>
      <c r="C217" s="20">
        <v>3.7199999999999997E-2</v>
      </c>
      <c r="D217" s="20">
        <v>0.22520161290322499</v>
      </c>
      <c r="E217" s="20">
        <v>0.59193548387096695</v>
      </c>
      <c r="F217" s="20">
        <v>9.6572580645161193E-2</v>
      </c>
      <c r="G217" s="20">
        <v>4.4758064516129001E-2</v>
      </c>
      <c r="H217" s="20">
        <v>4.2338709677419298E-3</v>
      </c>
      <c r="I217" s="20">
        <v>0.262401612903225</v>
      </c>
      <c r="J217" s="20">
        <v>0.14556451612903201</v>
      </c>
      <c r="K217" s="20" t="str">
        <f>_xlfn.CONCAT(dll[[#This Row],[lob]], " ", dll[[#This Row],[valid_vintage]])</f>
        <v>NONKMX 2023 Q1</v>
      </c>
    </row>
    <row r="218" spans="1:11" ht="15" thickBot="1" x14ac:dyDescent="0.4">
      <c r="A218" t="s">
        <v>165</v>
      </c>
      <c r="B218" t="s">
        <v>438</v>
      </c>
      <c r="C218" s="20">
        <v>2.7699999999999999E-2</v>
      </c>
      <c r="D218" s="20">
        <v>0.22755063049293001</v>
      </c>
      <c r="E218" s="20">
        <v>0.59839510890332404</v>
      </c>
      <c r="F218" s="20">
        <v>0.101452044325563</v>
      </c>
      <c r="G218" s="20">
        <v>4.1268628200229203E-2</v>
      </c>
      <c r="H218" s="20">
        <v>3.6301108139090502E-3</v>
      </c>
      <c r="I218" s="20">
        <v>0.25525063049293001</v>
      </c>
      <c r="J218" s="20">
        <v>0.146350783339701</v>
      </c>
      <c r="K218" s="20" t="str">
        <f>_xlfn.CONCAT(dll[[#This Row],[lob]], " ", dll[[#This Row],[valid_vintage]])</f>
        <v>NONKMX 2023 Q2</v>
      </c>
    </row>
    <row r="219" spans="1:11" x14ac:dyDescent="0.35">
      <c r="A219" s="182" t="s">
        <v>152</v>
      </c>
      <c r="B219" s="182" t="s">
        <v>438</v>
      </c>
      <c r="C219" s="183">
        <v>2.3400000000000001E-2</v>
      </c>
      <c r="D219" s="183">
        <v>0.21523359389201899</v>
      </c>
      <c r="E219" s="183">
        <v>0.62588620250863403</v>
      </c>
      <c r="F219" s="183">
        <v>8.9620069078349296E-2</v>
      </c>
      <c r="G219" s="183">
        <v>4.09016542446827E-2</v>
      </c>
      <c r="H219" s="183">
        <v>4.9081985093619301E-3</v>
      </c>
      <c r="I219" s="184">
        <v>0.23863359389201899</v>
      </c>
      <c r="J219" s="185">
        <v>0.135429921832394</v>
      </c>
      <c r="K219" s="183" t="str">
        <f>_xlfn.CONCAT(dll[[#This Row],[lob]], " ", dll[[#This Row],[valid_vintage]])</f>
        <v>NONKMX 2023 Q3</v>
      </c>
    </row>
    <row r="220" spans="1:11" x14ac:dyDescent="0.35">
      <c r="A220" t="s">
        <v>166</v>
      </c>
      <c r="B220" t="s">
        <v>438</v>
      </c>
      <c r="C220" s="20">
        <v>2.3300000000000001E-2</v>
      </c>
      <c r="D220" s="20">
        <v>0.1975113915177</v>
      </c>
      <c r="E220" s="20">
        <v>0.64616193480546702</v>
      </c>
      <c r="F220" s="20">
        <v>9.0080616894497006E-2</v>
      </c>
      <c r="G220" s="20">
        <v>3.7153873116018199E-2</v>
      </c>
      <c r="H220" s="20">
        <v>5.7833859095688701E-3</v>
      </c>
      <c r="I220" s="186">
        <v>0.22081139151769999</v>
      </c>
      <c r="J220" s="187">
        <v>0.13301787592008399</v>
      </c>
      <c r="K220" s="20" t="str">
        <f>_xlfn.CONCAT(dll[[#This Row],[lob]], " ", dll[[#This Row],[valid_vintage]])</f>
        <v>NONKMX 2023 Q4</v>
      </c>
    </row>
    <row r="221" spans="1:11" x14ac:dyDescent="0.35">
      <c r="A221" t="s">
        <v>167</v>
      </c>
      <c r="B221" t="s">
        <v>438</v>
      </c>
      <c r="C221" s="20">
        <v>2.0199999999999999E-2</v>
      </c>
      <c r="D221" s="20">
        <v>0.214983164983164</v>
      </c>
      <c r="E221" s="20">
        <v>0.63703703703703696</v>
      </c>
      <c r="F221" s="20">
        <v>8.4848484848484798E-2</v>
      </c>
      <c r="G221" s="20">
        <v>3.7542087542087502E-2</v>
      </c>
      <c r="H221" s="20">
        <v>5.3872053872053797E-3</v>
      </c>
      <c r="I221" s="186">
        <v>0.23518316498316399</v>
      </c>
      <c r="J221" s="187">
        <v>0.12777777777777699</v>
      </c>
      <c r="K221" s="20" t="str">
        <f>_xlfn.CONCAT(dll[[#This Row],[lob]], " ", dll[[#This Row],[valid_vintage]])</f>
        <v>NONKMX 2024 Q1</v>
      </c>
    </row>
    <row r="222" spans="1:11" x14ac:dyDescent="0.35">
      <c r="A222" s="182" t="s">
        <v>163</v>
      </c>
      <c r="B222" s="182" t="s">
        <v>438</v>
      </c>
      <c r="C222" s="183">
        <v>1.4999999999999999E-2</v>
      </c>
      <c r="D222" s="183">
        <v>0.20637231117580401</v>
      </c>
      <c r="E222" s="183">
        <v>0.68947113051916498</v>
      </c>
      <c r="F222" s="183">
        <v>5.4989487303897702E-2</v>
      </c>
      <c r="G222" s="183">
        <v>3.2023289665211001E-2</v>
      </c>
      <c r="H222" s="183">
        <v>2.1025392204431499E-3</v>
      </c>
      <c r="I222" s="188">
        <v>0.221372311175804</v>
      </c>
      <c r="J222" s="189">
        <v>8.9115316189551902E-2</v>
      </c>
      <c r="K222" s="183" t="str">
        <f>_xlfn.CONCAT(dll[[#This Row],[lob]], " ", dll[[#This Row],[valid_vintage]])</f>
        <v>NONKMX 2024 Q2</v>
      </c>
    </row>
    <row r="223" spans="1:11" x14ac:dyDescent="0.35">
      <c r="A223" t="s">
        <v>160</v>
      </c>
      <c r="B223" t="s">
        <v>438</v>
      </c>
      <c r="C223" s="20">
        <v>1.32E-2</v>
      </c>
      <c r="D223" s="20">
        <v>0.19191130543410301</v>
      </c>
      <c r="E223" s="20">
        <v>0.70487195502810696</v>
      </c>
      <c r="F223" s="20">
        <v>5.9650218613366598E-2</v>
      </c>
      <c r="G223" s="20">
        <v>2.8263585259212898E-2</v>
      </c>
      <c r="H223" s="20">
        <v>2.02998126171143E-3</v>
      </c>
      <c r="I223" s="186">
        <v>0.205111305434103</v>
      </c>
      <c r="J223" s="187">
        <v>8.9943785134290993E-2</v>
      </c>
      <c r="K223" s="20" t="str">
        <f>_xlfn.CONCAT(dll[[#This Row],[lob]], " ", dll[[#This Row],[valid_vintage]])</f>
        <v>NONKMX 2024 Q3</v>
      </c>
    </row>
    <row r="224" spans="1:11" x14ac:dyDescent="0.35">
      <c r="A224" t="s">
        <v>126</v>
      </c>
      <c r="B224" t="s">
        <v>438</v>
      </c>
      <c r="C224" s="20">
        <v>1.11E-2</v>
      </c>
      <c r="D224" s="20">
        <v>0.21604938271604901</v>
      </c>
      <c r="E224" s="20">
        <v>0.68337850045167103</v>
      </c>
      <c r="F224" s="20">
        <v>4.6070460704606998E-2</v>
      </c>
      <c r="G224" s="20">
        <v>4.1403191809695802E-2</v>
      </c>
      <c r="H224" s="20">
        <v>1.9572417946401599E-3</v>
      </c>
      <c r="I224" s="186">
        <v>0.22714938271604901</v>
      </c>
      <c r="J224" s="187">
        <v>8.9430894308942993E-2</v>
      </c>
      <c r="K224" s="20" t="str">
        <f>_xlfn.CONCAT(dll[[#This Row],[lob]], " ", dll[[#This Row],[valid_vintage]])</f>
        <v>NONKMX 2024 Q4</v>
      </c>
    </row>
    <row r="225" spans="1:11" x14ac:dyDescent="0.35">
      <c r="A225" s="182" t="s">
        <v>128</v>
      </c>
      <c r="B225" s="182" t="s">
        <v>438</v>
      </c>
      <c r="C225" s="183">
        <v>1.41E-2</v>
      </c>
      <c r="D225" s="183">
        <v>0.217416715371127</v>
      </c>
      <c r="E225" s="183">
        <v>0.67869666861484501</v>
      </c>
      <c r="F225" s="183">
        <v>5.9906487434248902E-2</v>
      </c>
      <c r="G225" s="183">
        <v>2.76154295733489E-2</v>
      </c>
      <c r="H225" s="183">
        <v>2.1917007597895902E-3</v>
      </c>
      <c r="I225" s="188">
        <v>0.231516715371127</v>
      </c>
      <c r="J225" s="189">
        <v>8.9713617767387399E-2</v>
      </c>
      <c r="K225" s="183" t="str">
        <f>_xlfn.CONCAT(dll[[#This Row],[lob]], " ", dll[[#This Row],[valid_vintage]])</f>
        <v>NONKMX 2025 Q1</v>
      </c>
    </row>
    <row r="226" spans="1:11" x14ac:dyDescent="0.35">
      <c r="A226" t="s">
        <v>129</v>
      </c>
      <c r="B226" t="s">
        <v>438</v>
      </c>
      <c r="C226" s="20">
        <v>1.3599999999999999E-2</v>
      </c>
      <c r="D226" s="20">
        <v>0.21512867908431599</v>
      </c>
      <c r="E226" s="20">
        <v>0.67496089862078701</v>
      </c>
      <c r="F226" s="20">
        <v>6.1424712071662099E-2</v>
      </c>
      <c r="G226" s="20">
        <v>3.2845158538319298E-2</v>
      </c>
      <c r="H226" s="20">
        <v>1.9906156689890502E-3</v>
      </c>
      <c r="I226" s="186">
        <v>0.22872867908431599</v>
      </c>
      <c r="J226" s="187">
        <v>9.6260486278970506E-2</v>
      </c>
      <c r="K226" s="20" t="str">
        <f>_xlfn.CONCAT(dll[[#This Row],[lob]], " ", dll[[#This Row],[valid_vintage]])</f>
        <v>NONKMX 2025 Q2</v>
      </c>
    </row>
    <row r="227" spans="1:11" x14ac:dyDescent="0.35">
      <c r="A227" s="182" t="s">
        <v>130</v>
      </c>
      <c r="B227" s="182" t="s">
        <v>438</v>
      </c>
      <c r="C227" s="183">
        <v>1.6400000000000001E-2</v>
      </c>
      <c r="D227" s="183">
        <v>0.21100790239844699</v>
      </c>
      <c r="E227" s="183">
        <v>0.68376542354082903</v>
      </c>
      <c r="F227" s="183">
        <v>6.4605573270483801E-2</v>
      </c>
      <c r="G227" s="183">
        <v>2.16276168029945E-2</v>
      </c>
      <c r="H227" s="183">
        <v>2.49549424649937E-3</v>
      </c>
      <c r="I227" s="188">
        <v>0.22740790239844699</v>
      </c>
      <c r="J227" s="189">
        <v>8.8728684319977796E-2</v>
      </c>
      <c r="K227" s="183" t="str">
        <f>_xlfn.CONCAT(dll[[#This Row],[lob]], " ", dll[[#This Row],[valid_vintage]])</f>
        <v>NONKMX 2025 Q3</v>
      </c>
    </row>
    <row r="228" spans="1:11" x14ac:dyDescent="0.35">
      <c r="A228" t="s">
        <v>131</v>
      </c>
      <c r="B228" t="s">
        <v>438</v>
      </c>
      <c r="C228" s="20">
        <v>2.01E-2</v>
      </c>
      <c r="D228" s="20">
        <v>0.19575633127994499</v>
      </c>
      <c r="E228" s="20">
        <v>0.70102669404517404</v>
      </c>
      <c r="F228" s="20">
        <v>5.13347022587268E-2</v>
      </c>
      <c r="G228" s="20">
        <v>2.92950034223134E-2</v>
      </c>
      <c r="H228" s="20">
        <v>2.46406570841889E-3</v>
      </c>
      <c r="I228" s="186">
        <v>0.215856331279945</v>
      </c>
      <c r="J228" s="187">
        <v>8.3093771389459198E-2</v>
      </c>
      <c r="K228" s="20" t="str">
        <f>_xlfn.CONCAT(dll[[#This Row],[lob]], " ", dll[[#This Row],[valid_vintage]])</f>
        <v>NONKMX 2025 Q4</v>
      </c>
    </row>
    <row r="229" spans="1:11" ht="15" thickBot="1" x14ac:dyDescent="0.4">
      <c r="A229" s="182" t="s">
        <v>127</v>
      </c>
      <c r="B229" s="182" t="s">
        <v>438</v>
      </c>
      <c r="C229" s="183">
        <v>2.24E-2</v>
      </c>
      <c r="D229" s="183">
        <v>0.195071868583162</v>
      </c>
      <c r="E229" s="183">
        <v>0.69514031485284</v>
      </c>
      <c r="F229" s="183">
        <v>5.4757015742642003E-2</v>
      </c>
      <c r="G229" s="183">
        <v>2.99794661190965E-2</v>
      </c>
      <c r="H229" s="183">
        <v>2.6009582477754898E-3</v>
      </c>
      <c r="I229" s="190">
        <v>0.217471868583162</v>
      </c>
      <c r="J229" s="191">
        <v>8.7337440109513997E-2</v>
      </c>
      <c r="K229" s="183" t="str">
        <f>_xlfn.CONCAT(dll[[#This Row],[lob]], " ", dll[[#This Row],[valid_vintage]])</f>
        <v>NONKMX 2026 Q1</v>
      </c>
    </row>
    <row r="237" spans="1:11" ht="15" thickBot="1" x14ac:dyDescent="0.4">
      <c r="A237" t="s">
        <v>444</v>
      </c>
      <c r="B237" t="s">
        <v>445</v>
      </c>
    </row>
    <row r="238" spans="1:11" x14ac:dyDescent="0.35">
      <c r="A238" s="192">
        <v>0.23863359389201899</v>
      </c>
      <c r="B238" s="193">
        <v>0.135429921832394</v>
      </c>
      <c r="C238" s="194" t="s">
        <v>439</v>
      </c>
    </row>
    <row r="239" spans="1:11" x14ac:dyDescent="0.35">
      <c r="A239" s="195">
        <v>0.221372311175804</v>
      </c>
      <c r="B239" s="196">
        <v>8.9115316189551902E-2</v>
      </c>
      <c r="C239" s="194" t="s">
        <v>440</v>
      </c>
    </row>
    <row r="240" spans="1:11" x14ac:dyDescent="0.35">
      <c r="A240" s="195">
        <v>0.231516715371127</v>
      </c>
      <c r="B240" s="196">
        <v>8.9713617767387399E-2</v>
      </c>
      <c r="C240" s="194" t="s">
        <v>441</v>
      </c>
    </row>
    <row r="241" spans="1:5" x14ac:dyDescent="0.35">
      <c r="A241" s="195">
        <v>0.22740790239844699</v>
      </c>
      <c r="B241" s="196">
        <v>8.8728684319977796E-2</v>
      </c>
      <c r="C241" s="194" t="s">
        <v>442</v>
      </c>
    </row>
    <row r="242" spans="1:5" ht="15" thickBot="1" x14ac:dyDescent="0.4">
      <c r="A242" s="197">
        <v>0.217471868583162</v>
      </c>
      <c r="B242" s="198">
        <v>8.7337440109513997E-2</v>
      </c>
      <c r="C242" s="199" t="s">
        <v>443</v>
      </c>
    </row>
    <row r="245" spans="1:5" ht="15" thickBot="1" x14ac:dyDescent="0.4">
      <c r="A245" s="200" t="s">
        <v>439</v>
      </c>
      <c r="B245" s="200" t="s">
        <v>440</v>
      </c>
      <c r="C245" s="200" t="s">
        <v>441</v>
      </c>
      <c r="D245" s="200" t="s">
        <v>442</v>
      </c>
      <c r="E245" s="201" t="s">
        <v>443</v>
      </c>
    </row>
    <row r="246" spans="1:5" ht="15" thickBot="1" x14ac:dyDescent="0.4">
      <c r="A246" s="202">
        <v>0.23863359389201899</v>
      </c>
      <c r="B246" s="203">
        <v>0.221372311175804</v>
      </c>
      <c r="C246" s="203">
        <v>0.231516715371127</v>
      </c>
      <c r="D246" s="203">
        <v>0.22740790239844699</v>
      </c>
      <c r="E246" s="204">
        <v>0.217471868583162</v>
      </c>
    </row>
    <row r="247" spans="1:5" ht="15" thickBot="1" x14ac:dyDescent="0.4">
      <c r="A247" s="205">
        <v>0.135429921832394</v>
      </c>
      <c r="B247" s="206">
        <v>8.9115316189551902E-2</v>
      </c>
      <c r="C247" s="206">
        <v>8.9713617767387399E-2</v>
      </c>
      <c r="D247" s="206">
        <v>8.8728684319977796E-2</v>
      </c>
      <c r="E247" s="207">
        <v>8.7337440109513997E-2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89B4A-0AD5-45AC-911F-37C38CF30598}">
  <dimension ref="A1:G55"/>
  <sheetViews>
    <sheetView zoomScale="175" zoomScaleNormal="175" workbookViewId="0">
      <selection activeCell="C21" sqref="C21"/>
    </sheetView>
  </sheetViews>
  <sheetFormatPr defaultRowHeight="14.5" x14ac:dyDescent="0.35"/>
  <cols>
    <col min="1" max="1" width="14.90625" customWidth="1"/>
    <col min="2" max="2" width="13.26953125" customWidth="1"/>
    <col min="3" max="6" width="10.81640625" customWidth="1"/>
    <col min="7" max="7" width="12.08984375" bestFit="1" customWidth="1"/>
  </cols>
  <sheetData>
    <row r="1" spans="1:7" x14ac:dyDescent="0.35">
      <c r="A1" t="s">
        <v>203</v>
      </c>
      <c r="B1" t="s">
        <v>139</v>
      </c>
      <c r="C1" t="s">
        <v>207</v>
      </c>
      <c r="D1" t="s">
        <v>208</v>
      </c>
      <c r="E1" t="s">
        <v>204</v>
      </c>
      <c r="F1" t="s">
        <v>205</v>
      </c>
      <c r="G1" t="s">
        <v>189</v>
      </c>
    </row>
    <row r="2" spans="1:7" x14ac:dyDescent="0.35">
      <c r="A2" t="s">
        <v>152</v>
      </c>
      <c r="B2" t="s">
        <v>149</v>
      </c>
      <c r="C2">
        <v>0.18459999999999999</v>
      </c>
      <c r="D2">
        <v>0.1658</v>
      </c>
      <c r="E2">
        <v>5.28E-2</v>
      </c>
      <c r="F2">
        <v>0.13220000000000001</v>
      </c>
      <c r="G2" t="str">
        <f>_xlfn.CONCAT(dq[[#This Row],[lob]]," ", dq[[#This Row],[vintage]])</f>
        <v>AN 2023 Q3</v>
      </c>
    </row>
    <row r="3" spans="1:7" x14ac:dyDescent="0.35">
      <c r="A3" t="s">
        <v>166</v>
      </c>
      <c r="B3" t="s">
        <v>149</v>
      </c>
      <c r="C3">
        <v>0.14779999999999999</v>
      </c>
      <c r="D3">
        <v>0.13800000000000001</v>
      </c>
      <c r="E3">
        <v>3.7999999999999999E-2</v>
      </c>
      <c r="F3">
        <v>0.1305</v>
      </c>
      <c r="G3" t="str">
        <f>_xlfn.CONCAT(dq[[#This Row],[lob]]," ", dq[[#This Row],[vintage]])</f>
        <v>AN 2023 Q4</v>
      </c>
    </row>
    <row r="4" spans="1:7" x14ac:dyDescent="0.35">
      <c r="A4" t="s">
        <v>167</v>
      </c>
      <c r="B4" t="s">
        <v>149</v>
      </c>
      <c r="C4">
        <v>0.15179999999999999</v>
      </c>
      <c r="D4">
        <v>0.16250000000000001</v>
      </c>
      <c r="E4">
        <v>3.6400000000000002E-2</v>
      </c>
      <c r="F4">
        <v>0.1368</v>
      </c>
      <c r="G4" t="str">
        <f>_xlfn.CONCAT(dq[[#This Row],[lob]]," ", dq[[#This Row],[vintage]])</f>
        <v>AN 2024 Q1</v>
      </c>
    </row>
    <row r="5" spans="1:7" x14ac:dyDescent="0.35">
      <c r="A5" t="s">
        <v>163</v>
      </c>
      <c r="B5" t="s">
        <v>149</v>
      </c>
      <c r="C5">
        <v>0.1709</v>
      </c>
      <c r="D5">
        <v>0.17469999999999999</v>
      </c>
      <c r="E5">
        <v>4.4600000000000001E-2</v>
      </c>
      <c r="F5">
        <v>0.1401</v>
      </c>
      <c r="G5" t="str">
        <f>_xlfn.CONCAT(dq[[#This Row],[lob]]," ", dq[[#This Row],[vintage]])</f>
        <v>AN 2024 Q2</v>
      </c>
    </row>
    <row r="6" spans="1:7" x14ac:dyDescent="0.35">
      <c r="A6" t="s">
        <v>160</v>
      </c>
      <c r="B6" t="s">
        <v>149</v>
      </c>
      <c r="C6">
        <v>0.16789999999999999</v>
      </c>
      <c r="D6">
        <v>0.16880000000000001</v>
      </c>
      <c r="E6">
        <v>4.4900000000000002E-2</v>
      </c>
      <c r="F6">
        <v>0.14199999999999999</v>
      </c>
      <c r="G6" t="str">
        <f>_xlfn.CONCAT(dq[[#This Row],[lob]]," ", dq[[#This Row],[vintage]])</f>
        <v>AN 2024 Q3</v>
      </c>
    </row>
    <row r="7" spans="1:7" x14ac:dyDescent="0.35">
      <c r="A7" t="s">
        <v>126</v>
      </c>
      <c r="B7" t="s">
        <v>149</v>
      </c>
      <c r="C7">
        <v>0.16830000000000001</v>
      </c>
      <c r="D7">
        <v>0.14940000000000001</v>
      </c>
      <c r="E7">
        <v>3.5799999999999998E-2</v>
      </c>
      <c r="F7">
        <v>0.15210000000000001</v>
      </c>
      <c r="G7" t="str">
        <f>_xlfn.CONCAT(dq[[#This Row],[lob]]," ", dq[[#This Row],[vintage]])</f>
        <v>AN 2024 Q4</v>
      </c>
    </row>
    <row r="8" spans="1:7" x14ac:dyDescent="0.35">
      <c r="A8" t="s">
        <v>128</v>
      </c>
      <c r="B8" t="s">
        <v>149</v>
      </c>
      <c r="C8">
        <v>0.1923</v>
      </c>
      <c r="D8">
        <v>0.18579999999999999</v>
      </c>
      <c r="E8">
        <v>4.8399999999999999E-2</v>
      </c>
      <c r="F8">
        <v>0.15790000000000001</v>
      </c>
      <c r="G8" t="str">
        <f>_xlfn.CONCAT(dq[[#This Row],[lob]]," ", dq[[#This Row],[vintage]])</f>
        <v>AN 2025 Q1</v>
      </c>
    </row>
    <row r="9" spans="1:7" x14ac:dyDescent="0.35">
      <c r="A9" t="s">
        <v>129</v>
      </c>
      <c r="B9" t="s">
        <v>149</v>
      </c>
      <c r="C9">
        <v>0.16830000000000001</v>
      </c>
      <c r="D9">
        <v>0.17749999999999999</v>
      </c>
      <c r="E9">
        <v>3.8199999999999998E-2</v>
      </c>
      <c r="G9" t="str">
        <f>_xlfn.CONCAT(dq[[#This Row],[lob]]," ", dq[[#This Row],[vintage]])</f>
        <v>AN 2025 Q2</v>
      </c>
    </row>
    <row r="10" spans="1:7" x14ac:dyDescent="0.35">
      <c r="A10" t="s">
        <v>130</v>
      </c>
      <c r="B10" t="s">
        <v>149</v>
      </c>
      <c r="C10">
        <v>0.1724</v>
      </c>
      <c r="D10">
        <v>0.16930000000000001</v>
      </c>
      <c r="E10">
        <v>2.6499999999999999E-2</v>
      </c>
      <c r="G10" t="str">
        <f>_xlfn.CONCAT(dq[[#This Row],[lob]]," ", dq[[#This Row],[vintage]])</f>
        <v>AN 2025 Q3</v>
      </c>
    </row>
    <row r="11" spans="1:7" x14ac:dyDescent="0.35">
      <c r="A11" t="s">
        <v>152</v>
      </c>
      <c r="B11" t="s">
        <v>122</v>
      </c>
      <c r="C11">
        <v>0.1628</v>
      </c>
      <c r="D11">
        <v>0.18140000000000001</v>
      </c>
      <c r="E11">
        <v>3.4799999999999998E-2</v>
      </c>
      <c r="F11">
        <v>0.1416</v>
      </c>
      <c r="G11" t="str">
        <f>_xlfn.CONCAT(dq[[#This Row],[lob]]," ", dq[[#This Row],[vintage]])</f>
        <v>ENT 2023 Q3</v>
      </c>
    </row>
    <row r="12" spans="1:7" x14ac:dyDescent="0.35">
      <c r="A12" t="s">
        <v>166</v>
      </c>
      <c r="B12" t="s">
        <v>122</v>
      </c>
      <c r="C12">
        <v>0.15609999999999999</v>
      </c>
      <c r="D12">
        <v>0.1573</v>
      </c>
      <c r="E12">
        <v>3.0700000000000002E-2</v>
      </c>
      <c r="F12">
        <v>0.1298</v>
      </c>
      <c r="G12" t="str">
        <f>_xlfn.CONCAT(dq[[#This Row],[lob]]," ", dq[[#This Row],[vintage]])</f>
        <v>ENT 2023 Q4</v>
      </c>
    </row>
    <row r="13" spans="1:7" x14ac:dyDescent="0.35">
      <c r="A13" t="s">
        <v>167</v>
      </c>
      <c r="B13" t="s">
        <v>122</v>
      </c>
      <c r="C13">
        <v>0.1618</v>
      </c>
      <c r="D13">
        <v>0.18099999999999999</v>
      </c>
      <c r="E13">
        <v>3.2199999999999999E-2</v>
      </c>
      <c r="F13">
        <v>0.13109999999999999</v>
      </c>
      <c r="G13" t="str">
        <f>_xlfn.CONCAT(dq[[#This Row],[lob]]," ", dq[[#This Row],[vintage]])</f>
        <v>ENT 2024 Q1</v>
      </c>
    </row>
    <row r="14" spans="1:7" x14ac:dyDescent="0.35">
      <c r="A14" t="s">
        <v>163</v>
      </c>
      <c r="B14" t="s">
        <v>122</v>
      </c>
      <c r="C14">
        <v>0.1946</v>
      </c>
      <c r="D14">
        <v>0.18390000000000001</v>
      </c>
      <c r="E14">
        <v>3.6600000000000001E-2</v>
      </c>
      <c r="F14">
        <v>0.12479999999999999</v>
      </c>
      <c r="G14" t="str">
        <f>_xlfn.CONCAT(dq[[#This Row],[lob]]," ", dq[[#This Row],[vintage]])</f>
        <v>ENT 2024 Q2</v>
      </c>
    </row>
    <row r="15" spans="1:7" x14ac:dyDescent="0.35">
      <c r="A15" t="s">
        <v>160</v>
      </c>
      <c r="B15" t="s">
        <v>122</v>
      </c>
      <c r="C15">
        <v>0.17330000000000001</v>
      </c>
      <c r="D15">
        <v>0.1842</v>
      </c>
      <c r="E15">
        <v>3.0300000000000001E-2</v>
      </c>
      <c r="F15">
        <v>0.1244</v>
      </c>
      <c r="G15" t="str">
        <f>_xlfn.CONCAT(dq[[#This Row],[lob]]," ", dq[[#This Row],[vintage]])</f>
        <v>ENT 2024 Q3</v>
      </c>
    </row>
    <row r="16" spans="1:7" x14ac:dyDescent="0.35">
      <c r="A16" t="s">
        <v>126</v>
      </c>
      <c r="B16" t="s">
        <v>122</v>
      </c>
      <c r="C16">
        <v>0.19769999999999999</v>
      </c>
      <c r="D16">
        <v>0.1731</v>
      </c>
      <c r="E16">
        <v>3.4099999999999998E-2</v>
      </c>
      <c r="F16">
        <v>0.1492</v>
      </c>
      <c r="G16" t="str">
        <f>_xlfn.CONCAT(dq[[#This Row],[lob]]," ", dq[[#This Row],[vintage]])</f>
        <v>ENT 2024 Q4</v>
      </c>
    </row>
    <row r="17" spans="1:7" x14ac:dyDescent="0.35">
      <c r="A17" t="s">
        <v>128</v>
      </c>
      <c r="B17" t="s">
        <v>122</v>
      </c>
      <c r="C17">
        <v>0.1988</v>
      </c>
      <c r="D17">
        <v>0.2152</v>
      </c>
      <c r="E17">
        <v>4.1200000000000001E-2</v>
      </c>
      <c r="F17">
        <v>0.1358</v>
      </c>
      <c r="G17" t="str">
        <f>_xlfn.CONCAT(dq[[#This Row],[lob]]," ", dq[[#This Row],[vintage]])</f>
        <v>ENT 2025 Q1</v>
      </c>
    </row>
    <row r="18" spans="1:7" x14ac:dyDescent="0.35">
      <c r="A18" t="s">
        <v>129</v>
      </c>
      <c r="B18" t="s">
        <v>122</v>
      </c>
      <c r="C18">
        <v>0.23569999999999999</v>
      </c>
      <c r="D18">
        <v>0.21790000000000001</v>
      </c>
      <c r="E18">
        <v>4.6800000000000001E-2</v>
      </c>
      <c r="G18" t="str">
        <f>_xlfn.CONCAT(dq[[#This Row],[lob]]," ", dq[[#This Row],[vintage]])</f>
        <v>ENT 2025 Q2</v>
      </c>
    </row>
    <row r="19" spans="1:7" x14ac:dyDescent="0.35">
      <c r="A19" t="s">
        <v>130</v>
      </c>
      <c r="B19" t="s">
        <v>122</v>
      </c>
      <c r="C19">
        <v>0.22539999999999999</v>
      </c>
      <c r="D19">
        <v>0.23019999999999999</v>
      </c>
      <c r="E19">
        <v>3.9800000000000002E-2</v>
      </c>
      <c r="G19" t="str">
        <f>_xlfn.CONCAT(dq[[#This Row],[lob]]," ", dq[[#This Row],[vintage]])</f>
        <v>ENT 2025 Q3</v>
      </c>
    </row>
    <row r="20" spans="1:7" x14ac:dyDescent="0.35">
      <c r="A20" t="s">
        <v>152</v>
      </c>
      <c r="B20" t="s">
        <v>155</v>
      </c>
      <c r="C20">
        <v>0.1258</v>
      </c>
      <c r="D20">
        <v>0.14019999999999999</v>
      </c>
      <c r="E20">
        <v>4.2900000000000001E-2</v>
      </c>
      <c r="F20">
        <v>0.12130000000000001</v>
      </c>
      <c r="G20" t="str">
        <f>_xlfn.CONCAT(dq[[#This Row],[lob]]," ", dq[[#This Row],[vintage]])</f>
        <v>FLD 2023 Q3</v>
      </c>
    </row>
    <row r="21" spans="1:7" x14ac:dyDescent="0.35">
      <c r="A21" t="s">
        <v>166</v>
      </c>
      <c r="B21" t="s">
        <v>155</v>
      </c>
      <c r="C21">
        <v>0.12180000000000001</v>
      </c>
      <c r="D21">
        <v>0.1206</v>
      </c>
      <c r="E21">
        <v>4.9200000000000001E-2</v>
      </c>
      <c r="F21">
        <v>0.11409999999999999</v>
      </c>
      <c r="G21" t="str">
        <f>_xlfn.CONCAT(dq[[#This Row],[lob]]," ", dq[[#This Row],[vintage]])</f>
        <v>FLD 2023 Q4</v>
      </c>
    </row>
    <row r="22" spans="1:7" x14ac:dyDescent="0.35">
      <c r="A22" t="s">
        <v>167</v>
      </c>
      <c r="B22" t="s">
        <v>155</v>
      </c>
      <c r="C22">
        <v>0.15</v>
      </c>
      <c r="D22">
        <v>0.15970000000000001</v>
      </c>
      <c r="E22">
        <v>4.0099999999999997E-2</v>
      </c>
      <c r="F22">
        <v>0.1216</v>
      </c>
      <c r="G22" t="str">
        <f>_xlfn.CONCAT(dq[[#This Row],[lob]]," ", dq[[#This Row],[vintage]])</f>
        <v>FLD 2024 Q1</v>
      </c>
    </row>
    <row r="23" spans="1:7" x14ac:dyDescent="0.35">
      <c r="A23" t="s">
        <v>163</v>
      </c>
      <c r="B23" t="s">
        <v>155</v>
      </c>
      <c r="C23">
        <v>0.15049999999999999</v>
      </c>
      <c r="D23">
        <v>0.12470000000000001</v>
      </c>
      <c r="E23">
        <v>2.8899999999999999E-2</v>
      </c>
      <c r="F23">
        <v>9.9199999999999997E-2</v>
      </c>
      <c r="G23" t="str">
        <f>_xlfn.CONCAT(dq[[#This Row],[lob]]," ", dq[[#This Row],[vintage]])</f>
        <v>FLD 2024 Q2</v>
      </c>
    </row>
    <row r="24" spans="1:7" x14ac:dyDescent="0.35">
      <c r="A24" t="s">
        <v>160</v>
      </c>
      <c r="B24" t="s">
        <v>155</v>
      </c>
      <c r="C24">
        <v>0.126</v>
      </c>
      <c r="D24">
        <v>0.128</v>
      </c>
      <c r="E24">
        <v>1.52E-2</v>
      </c>
      <c r="F24">
        <v>0.1019</v>
      </c>
      <c r="G24" t="str">
        <f>_xlfn.CONCAT(dq[[#This Row],[lob]]," ", dq[[#This Row],[vintage]])</f>
        <v>FLD 2024 Q3</v>
      </c>
    </row>
    <row r="25" spans="1:7" x14ac:dyDescent="0.35">
      <c r="A25" t="s">
        <v>126</v>
      </c>
      <c r="B25" t="s">
        <v>155</v>
      </c>
      <c r="C25">
        <v>0.15629999999999999</v>
      </c>
      <c r="D25">
        <v>0.14299999999999999</v>
      </c>
      <c r="E25">
        <v>2.29E-2</v>
      </c>
      <c r="F25">
        <v>0.105</v>
      </c>
      <c r="G25" t="str">
        <f>_xlfn.CONCAT(dq[[#This Row],[lob]]," ", dq[[#This Row],[vintage]])</f>
        <v>FLD 2024 Q4</v>
      </c>
    </row>
    <row r="26" spans="1:7" x14ac:dyDescent="0.35">
      <c r="A26" t="s">
        <v>128</v>
      </c>
      <c r="B26" t="s">
        <v>155</v>
      </c>
      <c r="C26">
        <v>0.186</v>
      </c>
      <c r="D26">
        <v>0.20910000000000001</v>
      </c>
      <c r="E26">
        <v>3.56E-2</v>
      </c>
      <c r="F26">
        <v>0.1288</v>
      </c>
      <c r="G26" t="str">
        <f>_xlfn.CONCAT(dq[[#This Row],[lob]]," ", dq[[#This Row],[vintage]])</f>
        <v>FLD 2025 Q1</v>
      </c>
    </row>
    <row r="27" spans="1:7" x14ac:dyDescent="0.35">
      <c r="A27" t="s">
        <v>129</v>
      </c>
      <c r="B27" t="s">
        <v>155</v>
      </c>
      <c r="C27">
        <v>0.18840000000000001</v>
      </c>
      <c r="D27">
        <v>0.19620000000000001</v>
      </c>
      <c r="E27">
        <v>5.0599999999999999E-2</v>
      </c>
      <c r="G27" t="str">
        <f>_xlfn.CONCAT(dq[[#This Row],[lob]]," ", dq[[#This Row],[vintage]])</f>
        <v>FLD 2025 Q2</v>
      </c>
    </row>
    <row r="28" spans="1:7" x14ac:dyDescent="0.35">
      <c r="A28" t="s">
        <v>130</v>
      </c>
      <c r="B28" t="s">
        <v>155</v>
      </c>
      <c r="C28">
        <v>0.19020000000000001</v>
      </c>
      <c r="D28">
        <v>0.15840000000000001</v>
      </c>
      <c r="E28">
        <v>2.9600000000000001E-2</v>
      </c>
      <c r="G28" t="str">
        <f>_xlfn.CONCAT(dq[[#This Row],[lob]]," ", dq[[#This Row],[vintage]])</f>
        <v>FLD 2025 Q3</v>
      </c>
    </row>
    <row r="29" spans="1:7" x14ac:dyDescent="0.35">
      <c r="A29" t="s">
        <v>152</v>
      </c>
      <c r="B29" t="s">
        <v>151</v>
      </c>
      <c r="C29">
        <v>0.1996</v>
      </c>
      <c r="D29">
        <v>0.21129999999999999</v>
      </c>
      <c r="E29">
        <v>6.4399999999999999E-2</v>
      </c>
      <c r="F29">
        <v>0.19420000000000001</v>
      </c>
      <c r="G29" t="str">
        <f>_xlfn.CONCAT(dq[[#This Row],[lob]]," ", dq[[#This Row],[vintage]])</f>
        <v>FRN 2023 Q3</v>
      </c>
    </row>
    <row r="30" spans="1:7" x14ac:dyDescent="0.35">
      <c r="A30" t="s">
        <v>166</v>
      </c>
      <c r="B30" t="s">
        <v>151</v>
      </c>
      <c r="C30">
        <v>0.1961</v>
      </c>
      <c r="D30">
        <v>0.1961</v>
      </c>
      <c r="E30">
        <v>5.1299999999999998E-2</v>
      </c>
      <c r="F30">
        <v>0.18759999999999999</v>
      </c>
      <c r="G30" t="str">
        <f>_xlfn.CONCAT(dq[[#This Row],[lob]]," ", dq[[#This Row],[vintage]])</f>
        <v>FRN 2023 Q4</v>
      </c>
    </row>
    <row r="31" spans="1:7" x14ac:dyDescent="0.35">
      <c r="A31" t="s">
        <v>167</v>
      </c>
      <c r="B31" t="s">
        <v>151</v>
      </c>
      <c r="C31">
        <v>0.20930000000000001</v>
      </c>
      <c r="D31">
        <v>0.23119999999999999</v>
      </c>
      <c r="E31">
        <v>5.7799999999999997E-2</v>
      </c>
      <c r="F31">
        <v>0.18709999999999999</v>
      </c>
      <c r="G31" t="str">
        <f>_xlfn.CONCAT(dq[[#This Row],[lob]]," ", dq[[#This Row],[vintage]])</f>
        <v>FRN 2024 Q1</v>
      </c>
    </row>
    <row r="32" spans="1:7" x14ac:dyDescent="0.35">
      <c r="A32" t="s">
        <v>163</v>
      </c>
      <c r="B32" t="s">
        <v>151</v>
      </c>
      <c r="C32">
        <v>0.19220000000000001</v>
      </c>
      <c r="D32">
        <v>0.20449999999999999</v>
      </c>
      <c r="E32">
        <v>5.5800000000000002E-2</v>
      </c>
      <c r="F32">
        <v>0.17560000000000001</v>
      </c>
      <c r="G32" t="str">
        <f>_xlfn.CONCAT(dq[[#This Row],[lob]]," ", dq[[#This Row],[vintage]])</f>
        <v>FRN 2024 Q2</v>
      </c>
    </row>
    <row r="33" spans="1:7" x14ac:dyDescent="0.35">
      <c r="A33" t="s">
        <v>160</v>
      </c>
      <c r="B33" t="s">
        <v>151</v>
      </c>
      <c r="C33">
        <v>0.182</v>
      </c>
      <c r="D33">
        <v>0.2</v>
      </c>
      <c r="E33">
        <v>4.9799999999999997E-2</v>
      </c>
      <c r="F33">
        <v>0.18210000000000001</v>
      </c>
      <c r="G33" t="str">
        <f>_xlfn.CONCAT(dq[[#This Row],[lob]]," ", dq[[#This Row],[vintage]])</f>
        <v>FRN 2024 Q3</v>
      </c>
    </row>
    <row r="34" spans="1:7" x14ac:dyDescent="0.35">
      <c r="A34" t="s">
        <v>126</v>
      </c>
      <c r="B34" t="s">
        <v>151</v>
      </c>
      <c r="C34">
        <v>0.2089</v>
      </c>
      <c r="D34">
        <v>0.21970000000000001</v>
      </c>
      <c r="E34">
        <v>6.6299999999999998E-2</v>
      </c>
      <c r="F34">
        <v>0.21390000000000001</v>
      </c>
      <c r="G34" t="str">
        <f>_xlfn.CONCAT(dq[[#This Row],[lob]]," ", dq[[#This Row],[vintage]])</f>
        <v>FRN 2024 Q4</v>
      </c>
    </row>
    <row r="35" spans="1:7" x14ac:dyDescent="0.35">
      <c r="A35" t="s">
        <v>128</v>
      </c>
      <c r="B35" t="s">
        <v>151</v>
      </c>
      <c r="C35">
        <v>0.216</v>
      </c>
      <c r="D35">
        <v>0.23960000000000001</v>
      </c>
      <c r="E35">
        <v>6.9000000000000006E-2</v>
      </c>
      <c r="F35">
        <v>0.2069</v>
      </c>
      <c r="G35" t="str">
        <f>_xlfn.CONCAT(dq[[#This Row],[lob]]," ", dq[[#This Row],[vintage]])</f>
        <v>FRN 2025 Q1</v>
      </c>
    </row>
    <row r="36" spans="1:7" x14ac:dyDescent="0.35">
      <c r="A36" t="s">
        <v>129</v>
      </c>
      <c r="B36" t="s">
        <v>151</v>
      </c>
      <c r="C36">
        <v>0.23860000000000001</v>
      </c>
      <c r="D36">
        <v>0.25</v>
      </c>
      <c r="E36">
        <v>7.8600000000000003E-2</v>
      </c>
      <c r="G36" t="str">
        <f>_xlfn.CONCAT(dq[[#This Row],[lob]]," ", dq[[#This Row],[vintage]])</f>
        <v>FRN 2025 Q2</v>
      </c>
    </row>
    <row r="37" spans="1:7" x14ac:dyDescent="0.35">
      <c r="A37" t="s">
        <v>130</v>
      </c>
      <c r="B37" t="s">
        <v>151</v>
      </c>
      <c r="C37">
        <v>0.2324</v>
      </c>
      <c r="D37">
        <v>0.2651</v>
      </c>
      <c r="E37">
        <v>7.3400000000000007E-2</v>
      </c>
      <c r="G37" t="str">
        <f>_xlfn.CONCAT(dq[[#This Row],[lob]]," ", dq[[#This Row],[vintage]])</f>
        <v>FRN 2025 Q3</v>
      </c>
    </row>
    <row r="38" spans="1:7" x14ac:dyDescent="0.35">
      <c r="A38" t="s">
        <v>152</v>
      </c>
      <c r="B38" t="s">
        <v>206</v>
      </c>
      <c r="C38">
        <v>0.1817</v>
      </c>
      <c r="D38">
        <v>0.24310000000000001</v>
      </c>
      <c r="E38">
        <v>0.1087</v>
      </c>
      <c r="F38">
        <v>0.219</v>
      </c>
      <c r="G38" t="str">
        <f>_xlfn.CONCAT(dq[[#This Row],[lob]]," ", dq[[#This Row],[vintage]])</f>
        <v>MCY 2023 Q3</v>
      </c>
    </row>
    <row r="39" spans="1:7" x14ac:dyDescent="0.35">
      <c r="A39" t="s">
        <v>166</v>
      </c>
      <c r="B39" t="s">
        <v>206</v>
      </c>
      <c r="C39">
        <v>0.17849999999999999</v>
      </c>
      <c r="D39">
        <v>0.2059</v>
      </c>
      <c r="E39">
        <v>8.1100000000000005E-2</v>
      </c>
      <c r="F39">
        <v>0.26229999999999998</v>
      </c>
      <c r="G39" t="str">
        <f>_xlfn.CONCAT(dq[[#This Row],[lob]]," ", dq[[#This Row],[vintage]])</f>
        <v>MCY 2023 Q4</v>
      </c>
    </row>
    <row r="40" spans="1:7" x14ac:dyDescent="0.35">
      <c r="A40" t="s">
        <v>167</v>
      </c>
      <c r="B40" t="s">
        <v>206</v>
      </c>
      <c r="C40">
        <v>0.1893</v>
      </c>
      <c r="D40">
        <v>0.2291</v>
      </c>
      <c r="E40">
        <v>9.4100000000000003E-2</v>
      </c>
      <c r="F40">
        <v>0.26400000000000001</v>
      </c>
      <c r="G40" t="str">
        <f>_xlfn.CONCAT(dq[[#This Row],[lob]]," ", dq[[#This Row],[vintage]])</f>
        <v>MCY 2024 Q1</v>
      </c>
    </row>
    <row r="41" spans="1:7" x14ac:dyDescent="0.35">
      <c r="A41" t="s">
        <v>163</v>
      </c>
      <c r="B41" t="s">
        <v>206</v>
      </c>
      <c r="C41">
        <v>0.18260000000000001</v>
      </c>
      <c r="D41">
        <v>0.2152</v>
      </c>
      <c r="E41">
        <v>9.64E-2</v>
      </c>
      <c r="F41">
        <v>0.28060000000000002</v>
      </c>
      <c r="G41" t="str">
        <f>_xlfn.CONCAT(dq[[#This Row],[lob]]," ", dq[[#This Row],[vintage]])</f>
        <v>MCY 2024 Q2</v>
      </c>
    </row>
    <row r="42" spans="1:7" x14ac:dyDescent="0.35">
      <c r="A42" t="s">
        <v>160</v>
      </c>
      <c r="B42" t="s">
        <v>206</v>
      </c>
      <c r="C42">
        <v>0.1966</v>
      </c>
      <c r="D42">
        <v>0.21210000000000001</v>
      </c>
      <c r="E42">
        <v>9.4E-2</v>
      </c>
      <c r="F42">
        <v>0.22850000000000001</v>
      </c>
      <c r="G42" t="str">
        <f>_xlfn.CONCAT(dq[[#This Row],[lob]]," ", dq[[#This Row],[vintage]])</f>
        <v>MCY 2024 Q3</v>
      </c>
    </row>
    <row r="43" spans="1:7" x14ac:dyDescent="0.35">
      <c r="A43" t="s">
        <v>126</v>
      </c>
      <c r="B43" t="s">
        <v>206</v>
      </c>
      <c r="C43">
        <v>0.19570000000000001</v>
      </c>
      <c r="D43">
        <v>0.21659999999999999</v>
      </c>
      <c r="E43">
        <v>9.5500000000000002E-2</v>
      </c>
      <c r="F43">
        <v>0.24490000000000001</v>
      </c>
      <c r="G43" t="str">
        <f>_xlfn.CONCAT(dq[[#This Row],[lob]]," ", dq[[#This Row],[vintage]])</f>
        <v>MCY 2024 Q4</v>
      </c>
    </row>
    <row r="44" spans="1:7" x14ac:dyDescent="0.35">
      <c r="A44" t="s">
        <v>128</v>
      </c>
      <c r="B44" t="s">
        <v>206</v>
      </c>
      <c r="C44">
        <v>0.1336</v>
      </c>
      <c r="D44">
        <v>0.193</v>
      </c>
      <c r="E44">
        <v>6.3399999999999998E-2</v>
      </c>
      <c r="F44">
        <v>0.2361</v>
      </c>
      <c r="G44" t="str">
        <f>_xlfn.CONCAT(dq[[#This Row],[lob]]," ", dq[[#This Row],[vintage]])</f>
        <v>MCY 2025 Q1</v>
      </c>
    </row>
    <row r="45" spans="1:7" x14ac:dyDescent="0.35">
      <c r="A45" t="s">
        <v>129</v>
      </c>
      <c r="B45" t="s">
        <v>206</v>
      </c>
      <c r="C45">
        <v>0.1744</v>
      </c>
      <c r="D45">
        <v>0.2301</v>
      </c>
      <c r="E45">
        <v>7.7700000000000005E-2</v>
      </c>
      <c r="G45" t="str">
        <f>_xlfn.CONCAT(dq[[#This Row],[lob]]," ", dq[[#This Row],[vintage]])</f>
        <v>MCY 2025 Q2</v>
      </c>
    </row>
    <row r="46" spans="1:7" x14ac:dyDescent="0.35">
      <c r="A46" t="s">
        <v>130</v>
      </c>
      <c r="B46" t="s">
        <v>206</v>
      </c>
      <c r="C46">
        <v>0.21479999999999999</v>
      </c>
      <c r="D46">
        <v>0.27529999999999999</v>
      </c>
      <c r="E46">
        <v>9.1800000000000007E-2</v>
      </c>
      <c r="G46" t="str">
        <f>_xlfn.CONCAT(dq[[#This Row],[lob]]," ", dq[[#This Row],[vintage]])</f>
        <v>MCY 2025 Q3</v>
      </c>
    </row>
    <row r="47" spans="1:7" x14ac:dyDescent="0.35">
      <c r="A47" t="s">
        <v>152</v>
      </c>
      <c r="B47" t="s">
        <v>153</v>
      </c>
      <c r="C47">
        <v>0.16789999999999999</v>
      </c>
      <c r="D47">
        <v>0.15759999999999999</v>
      </c>
      <c r="E47">
        <v>5.16E-2</v>
      </c>
      <c r="F47">
        <v>0.15140000000000001</v>
      </c>
      <c r="G47" t="str">
        <f>_xlfn.CONCAT(dq[[#This Row],[lob]]," ", dq[[#This Row],[vintage]])</f>
        <v>STG 2023 Q3</v>
      </c>
    </row>
    <row r="48" spans="1:7" x14ac:dyDescent="0.35">
      <c r="A48" t="s">
        <v>166</v>
      </c>
      <c r="B48" t="s">
        <v>153</v>
      </c>
      <c r="C48">
        <v>0.1774</v>
      </c>
      <c r="D48">
        <v>0.16750000000000001</v>
      </c>
      <c r="E48">
        <v>5.3699999999999998E-2</v>
      </c>
      <c r="F48">
        <v>0.16869999999999999</v>
      </c>
      <c r="G48" t="str">
        <f>_xlfn.CONCAT(dq[[#This Row],[lob]]," ", dq[[#This Row],[vintage]])</f>
        <v>STG 2023 Q4</v>
      </c>
    </row>
    <row r="49" spans="1:7" x14ac:dyDescent="0.35">
      <c r="A49" t="s">
        <v>167</v>
      </c>
      <c r="B49" t="s">
        <v>153</v>
      </c>
      <c r="C49">
        <v>0.15379999999999999</v>
      </c>
      <c r="D49">
        <v>0.17560000000000001</v>
      </c>
      <c r="E49">
        <v>4.1500000000000002E-2</v>
      </c>
      <c r="F49">
        <v>0.15579999999999999</v>
      </c>
      <c r="G49" t="str">
        <f>_xlfn.CONCAT(dq[[#This Row],[lob]]," ", dq[[#This Row],[vintage]])</f>
        <v>STG 2024 Q1</v>
      </c>
    </row>
    <row r="50" spans="1:7" x14ac:dyDescent="0.35">
      <c r="A50" t="s">
        <v>163</v>
      </c>
      <c r="B50" t="s">
        <v>153</v>
      </c>
      <c r="C50">
        <v>0.17369999999999999</v>
      </c>
      <c r="D50">
        <v>0.17599999999999999</v>
      </c>
      <c r="E50">
        <v>5.3499999999999999E-2</v>
      </c>
      <c r="F50">
        <v>0.1542</v>
      </c>
      <c r="G50" t="str">
        <f>_xlfn.CONCAT(dq[[#This Row],[lob]]," ", dq[[#This Row],[vintage]])</f>
        <v>STG 2024 Q2</v>
      </c>
    </row>
    <row r="51" spans="1:7" x14ac:dyDescent="0.35">
      <c r="A51" t="s">
        <v>160</v>
      </c>
      <c r="B51" t="s">
        <v>153</v>
      </c>
      <c r="C51">
        <v>0.1673</v>
      </c>
      <c r="D51">
        <v>0.17150000000000001</v>
      </c>
      <c r="E51">
        <v>4.8899999999999999E-2</v>
      </c>
      <c r="F51">
        <v>0.15909999999999999</v>
      </c>
      <c r="G51" t="str">
        <f>_xlfn.CONCAT(dq[[#This Row],[lob]]," ", dq[[#This Row],[vintage]])</f>
        <v>STG 2024 Q3</v>
      </c>
    </row>
    <row r="52" spans="1:7" x14ac:dyDescent="0.35">
      <c r="A52" t="s">
        <v>126</v>
      </c>
      <c r="B52" t="s">
        <v>153</v>
      </c>
      <c r="C52">
        <v>0.16880000000000001</v>
      </c>
      <c r="D52">
        <v>0.16220000000000001</v>
      </c>
      <c r="E52">
        <v>5.16E-2</v>
      </c>
      <c r="F52">
        <v>0.16750000000000001</v>
      </c>
      <c r="G52" t="str">
        <f>_xlfn.CONCAT(dq[[#This Row],[lob]]," ", dq[[#This Row],[vintage]])</f>
        <v>STG 2024 Q4</v>
      </c>
    </row>
    <row r="53" spans="1:7" x14ac:dyDescent="0.35">
      <c r="A53" t="s">
        <v>128</v>
      </c>
      <c r="B53" t="s">
        <v>153</v>
      </c>
      <c r="C53">
        <v>0.1719</v>
      </c>
      <c r="D53">
        <v>0.18509999999999999</v>
      </c>
      <c r="E53">
        <v>4.7899999999999998E-2</v>
      </c>
      <c r="F53">
        <v>0.1565</v>
      </c>
      <c r="G53" t="str">
        <f>_xlfn.CONCAT(dq[[#This Row],[lob]]," ", dq[[#This Row],[vintage]])</f>
        <v>STG 2025 Q1</v>
      </c>
    </row>
    <row r="54" spans="1:7" x14ac:dyDescent="0.35">
      <c r="A54" t="s">
        <v>129</v>
      </c>
      <c r="B54" t="s">
        <v>153</v>
      </c>
      <c r="C54">
        <v>0.20399999999999999</v>
      </c>
      <c r="D54">
        <v>0.1961</v>
      </c>
      <c r="E54">
        <v>5.2499999999999998E-2</v>
      </c>
      <c r="G54" t="str">
        <f>_xlfn.CONCAT(dq[[#This Row],[lob]]," ", dq[[#This Row],[vintage]])</f>
        <v>STG 2025 Q2</v>
      </c>
    </row>
    <row r="55" spans="1:7" x14ac:dyDescent="0.35">
      <c r="A55" t="s">
        <v>130</v>
      </c>
      <c r="B55" t="s">
        <v>153</v>
      </c>
      <c r="C55">
        <v>0.20580000000000001</v>
      </c>
      <c r="D55">
        <v>0.21540000000000001</v>
      </c>
      <c r="E55">
        <v>5.45E-2</v>
      </c>
      <c r="G55" t="str">
        <f>_xlfn.CONCAT(dq[[#This Row],[lob]]," ", dq[[#This Row],[vintage]])</f>
        <v>STG 2025 Q3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79ee5a-1808-44ed-a317-05ab7d0badb3">
      <Terms xmlns="http://schemas.microsoft.com/office/infopath/2007/PartnerControls"/>
    </lcf76f155ced4ddcb4097134ff3c332f>
    <TaxCatchAll xmlns="1656b474-bc9c-41b0-a7dd-8c5877b9b3a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7055BF62EA51469C2F194260F7319E" ma:contentTypeVersion="18" ma:contentTypeDescription="Create a new document." ma:contentTypeScope="" ma:versionID="18df2f67ff85675faaa7949590c44638">
  <xsd:schema xmlns:xsd="http://www.w3.org/2001/XMLSchema" xmlns:xs="http://www.w3.org/2001/XMLSchema" xmlns:p="http://schemas.microsoft.com/office/2006/metadata/properties" xmlns:ns1="http://schemas.microsoft.com/sharepoint/v3" xmlns:ns2="1656b474-bc9c-41b0-a7dd-8c5877b9b3ae" xmlns:ns3="a679ee5a-1808-44ed-a317-05ab7d0badb3" targetNamespace="http://schemas.microsoft.com/office/2006/metadata/properties" ma:root="true" ma:fieldsID="b298bae2beaf776934d715f6b2c9e9e4" ns1:_="" ns2:_="" ns3:_="">
    <xsd:import namespace="http://schemas.microsoft.com/sharepoint/v3"/>
    <xsd:import namespace="1656b474-bc9c-41b0-a7dd-8c5877b9b3ae"/>
    <xsd:import namespace="a679ee5a-1808-44ed-a317-05ab7d0badb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6b474-bc9c-41b0-a7dd-8c5877b9b3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267c62a-3843-4132-824a-87649e672d87}" ma:internalName="TaxCatchAll" ma:showField="CatchAllData" ma:web="1656b474-bc9c-41b0-a7dd-8c5877b9b3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9ee5a-1808-44ed-a317-05ab7d0bad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5b5ec89-0457-47a0-a80b-1c0e379d74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4F6D3A-8507-4133-8229-E96B3827BF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4E1596-E6CB-4BC2-980F-59FF40945251}">
  <ds:schemaRefs>
    <ds:schemaRef ds:uri="http://schemas.microsoft.com/office/2006/metadata/properties"/>
    <ds:schemaRef ds:uri="http://schemas.microsoft.com/office/infopath/2007/PartnerControls"/>
    <ds:schemaRef ds:uri="a679ee5a-1808-44ed-a317-05ab7d0badb3"/>
    <ds:schemaRef ds:uri="1656b474-bc9c-41b0-a7dd-8c5877b9b3ae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B4DACAD2-31DC-4DA0-A482-834CAB4288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656b474-bc9c-41b0-a7dd-8c5877b9b3ae"/>
    <ds:schemaRef ds:uri="a679ee5a-1808-44ed-a317-05ab7d0bad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f1d8d9a-7a35-4aba-a8e8-9cedeaaa8c64}" enabled="0" method="" siteId="{1f1d8d9a-7a35-4aba-a8e8-9cedeaaa8c6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Main</vt:lpstr>
      <vt:lpstr>KMX populations</vt:lpstr>
      <vt:lpstr>ragu</vt:lpstr>
      <vt:lpstr>POS decomp</vt:lpstr>
      <vt:lpstr>factory</vt:lpstr>
      <vt:lpstr>recovery</vt:lpstr>
      <vt:lpstr>multipliers</vt:lpstr>
      <vt:lpstr>KMX Multipliers</vt:lpstr>
      <vt:lpstr>populations</vt:lpstr>
      <vt:lpstr>fraud</vt:lpstr>
      <vt:lpstr>dealer</vt:lpstr>
      <vt:lpstr>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2026-02-10T20:56:36Z</dcterms:created>
  <dcterms:modified xsi:type="dcterms:W3CDTF">2026-04-30T19:29:59Z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0x0101002F7055BF62EA51469C2F194260F7319E</vt:lpwstr>
  </property>
</Properties>
</file>