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mericancreditacceptance.sharepoint.com/teams/mROA/Shared Documents/Projects/raguscore/RAGU LOS/"/>
    </mc:Choice>
  </mc:AlternateContent>
  <xr:revisionPtr revIDLastSave="195" documentId="8_{98422572-40C5-4312-8F41-0A8EB7850E18}" xr6:coauthVersionLast="47" xr6:coauthVersionMax="47" xr10:uidLastSave="{B3E2541D-4C82-4C43-A193-DD1E8AAF708A}"/>
  <bookViews>
    <workbookView xWindow="-110" yWindow="-110" windowWidth="19420" windowHeight="11500" xr2:uid="{00000000-000D-0000-FFFF-FFFF00000000}"/>
  </bookViews>
  <sheets>
    <sheet name="Main" sheetId="3" r:id="rId1"/>
    <sheet name="factory" sheetId="4" r:id="rId2"/>
    <sheet name="multipliers" sheetId="1" r:id="rId3"/>
    <sheet name="Sheet6" sheetId="14" r:id="rId4"/>
    <sheet name="populations" sheetId="2" r:id="rId5"/>
    <sheet name="ragu" sheetId="8" r:id="rId6"/>
    <sheet name="Sheet5" sheetId="13" r:id="rId7"/>
    <sheet name="Sheet4" sheetId="12" r:id="rId8"/>
    <sheet name="fraud" sheetId="6" r:id="rId9"/>
    <sheet name="dealer" sheetId="5" r:id="rId10"/>
    <sheet name="tc" sheetId="7" r:id="rId11"/>
  </sheets>
  <calcPr calcId="191029"/>
  <pivotCaches>
    <pivotCache cacheId="0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R1" i="8" l="1"/>
  <c r="BS1" i="8"/>
  <c r="BT1" i="8"/>
  <c r="BU1" i="8"/>
  <c r="BV1" i="8"/>
  <c r="BW1" i="8"/>
  <c r="BX1" i="8"/>
  <c r="BY1" i="8"/>
  <c r="BZ1" i="8"/>
  <c r="CA1" i="8"/>
  <c r="BQ1" i="8"/>
  <c r="AT1" i="8"/>
  <c r="AU1" i="8" l="1"/>
  <c r="AV1" i="8"/>
  <c r="AW1" i="8"/>
  <c r="AX1" i="8"/>
  <c r="AY1" i="8"/>
  <c r="AZ1" i="8"/>
  <c r="BA1" i="8"/>
  <c r="BB1" i="8"/>
  <c r="BC1" i="8"/>
  <c r="BD1" i="8"/>
  <c r="AJ1" i="8"/>
  <c r="AK1" i="8"/>
  <c r="AL1" i="8"/>
  <c r="AM1" i="8"/>
  <c r="AN1" i="8"/>
  <c r="AO1" i="8"/>
  <c r="AP1" i="8"/>
  <c r="AQ1" i="8"/>
  <c r="AR1" i="8"/>
  <c r="AS1" i="8"/>
  <c r="AI1" i="8"/>
  <c r="Y1" i="8"/>
  <c r="Z1" i="8"/>
  <c r="AA1" i="8"/>
  <c r="AB1" i="8"/>
  <c r="AC1" i="8"/>
  <c r="AD1" i="8"/>
  <c r="AE1" i="8"/>
  <c r="AF1" i="8"/>
  <c r="AG1" i="8"/>
  <c r="AH1" i="8"/>
  <c r="X1" i="8"/>
  <c r="N1" i="8"/>
  <c r="O1" i="8"/>
  <c r="P1" i="8"/>
  <c r="Q1" i="8"/>
  <c r="R1" i="8"/>
  <c r="S1" i="8"/>
  <c r="T1" i="8"/>
  <c r="U1" i="8"/>
  <c r="V1" i="8"/>
  <c r="W1" i="8"/>
  <c r="M1" i="8"/>
  <c r="C1" i="8"/>
  <c r="D1" i="8"/>
  <c r="E1" i="8"/>
  <c r="F1" i="8"/>
  <c r="G1" i="8"/>
  <c r="H1" i="8"/>
  <c r="I1" i="8"/>
  <c r="J1" i="8"/>
  <c r="K1" i="8"/>
  <c r="L1" i="8"/>
  <c r="B1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AK7" i="8"/>
  <c r="AL7" i="8"/>
  <c r="AM7" i="8"/>
  <c r="AN7" i="8"/>
  <c r="AO7" i="8"/>
  <c r="AP7" i="8"/>
  <c r="AQ7" i="8"/>
  <c r="AR7" i="8"/>
  <c r="AS7" i="8"/>
  <c r="AT7" i="8"/>
  <c r="AU7" i="8"/>
  <c r="AV7" i="8"/>
  <c r="AW7" i="8"/>
  <c r="AX7" i="8"/>
  <c r="AY7" i="8"/>
  <c r="AZ7" i="8"/>
  <c r="BA7" i="8"/>
  <c r="BB7" i="8"/>
  <c r="BC7" i="8"/>
  <c r="BD7" i="8"/>
  <c r="B7" i="8"/>
  <c r="F2" i="3"/>
  <c r="E2" i="3"/>
  <c r="D2" i="3"/>
  <c r="D26" i="3"/>
  <c r="D8" i="3"/>
  <c r="F26" i="3"/>
  <c r="E26" i="3"/>
  <c r="G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F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BH13" i="1"/>
  <c r="K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F8" i="3"/>
  <c r="E8" i="3"/>
  <c r="B3" i="4"/>
  <c r="E6" i="4" s="1"/>
  <c r="B2" i="4"/>
  <c r="I6" i="4" s="1"/>
  <c r="B1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7" i="4"/>
  <c r="L26" i="4" l="1"/>
  <c r="M26" i="4"/>
  <c r="M28" i="4" s="1"/>
  <c r="E4" i="3" s="1"/>
  <c r="N26" i="4"/>
  <c r="N27" i="4" s="1"/>
  <c r="F3" i="3" s="1"/>
  <c r="C37" i="4"/>
  <c r="C62" i="4"/>
  <c r="M19" i="4"/>
  <c r="M23" i="4" s="1"/>
  <c r="E30" i="3" s="1"/>
  <c r="N19" i="4"/>
  <c r="N21" i="4" s="1"/>
  <c r="F28" i="3" s="1"/>
  <c r="M12" i="4"/>
  <c r="M13" i="4" s="1"/>
  <c r="E16" i="3" s="1"/>
  <c r="N12" i="4"/>
  <c r="N13" i="4" s="1"/>
  <c r="F16" i="3" s="1"/>
  <c r="M6" i="4"/>
  <c r="M8" i="4" s="1"/>
  <c r="E20" i="3" s="1"/>
  <c r="N6" i="4"/>
  <c r="N8" i="4" s="1"/>
  <c r="F20" i="3" s="1"/>
  <c r="I7" i="4"/>
  <c r="J6" i="4"/>
  <c r="J13" i="4" s="1"/>
  <c r="E23" i="4"/>
  <c r="I16" i="4"/>
  <c r="I21" i="4"/>
  <c r="I20" i="4"/>
  <c r="I18" i="4"/>
  <c r="I17" i="4"/>
  <c r="E22" i="4"/>
  <c r="I22" i="4"/>
  <c r="E10" i="3" s="1"/>
  <c r="I19" i="4"/>
  <c r="E12" i="3" s="1"/>
  <c r="I15" i="4"/>
  <c r="E21" i="4"/>
  <c r="I14" i="4"/>
  <c r="E14" i="3" s="1"/>
  <c r="E20" i="4"/>
  <c r="I13" i="4"/>
  <c r="I12" i="4"/>
  <c r="E7" i="4"/>
  <c r="E63" i="4" s="1"/>
  <c r="F63" i="4" s="1"/>
  <c r="I28" i="4"/>
  <c r="E27" i="4"/>
  <c r="I27" i="4"/>
  <c r="I11" i="4"/>
  <c r="I26" i="4"/>
  <c r="I10" i="4"/>
  <c r="E8" i="4"/>
  <c r="I25" i="4"/>
  <c r="I9" i="4"/>
  <c r="I24" i="4"/>
  <c r="I8" i="4"/>
  <c r="I23" i="4"/>
  <c r="E19" i="4"/>
  <c r="E18" i="4"/>
  <c r="E17" i="4"/>
  <c r="E16" i="4"/>
  <c r="E15" i="4"/>
  <c r="E14" i="4"/>
  <c r="E13" i="4"/>
  <c r="E12" i="4"/>
  <c r="E11" i="4"/>
  <c r="E26" i="4"/>
  <c r="E10" i="4"/>
  <c r="E25" i="4"/>
  <c r="E9" i="4"/>
  <c r="E24" i="4"/>
  <c r="D78" i="4" l="1"/>
  <c r="N28" i="4"/>
  <c r="F4" i="3" s="1"/>
  <c r="G4" i="3" s="1"/>
  <c r="M30" i="4"/>
  <c r="E6" i="3" s="1"/>
  <c r="M29" i="4"/>
  <c r="E5" i="3" s="1"/>
  <c r="M27" i="4"/>
  <c r="N29" i="4"/>
  <c r="F5" i="3" s="1"/>
  <c r="N30" i="4"/>
  <c r="F6" i="3" s="1"/>
  <c r="M14" i="4"/>
  <c r="E17" i="3" s="1"/>
  <c r="M22" i="4"/>
  <c r="E29" i="3" s="1"/>
  <c r="M21" i="4"/>
  <c r="E28" i="3" s="1"/>
  <c r="M20" i="4"/>
  <c r="E27" i="3" s="1"/>
  <c r="N22" i="4"/>
  <c r="F29" i="3" s="1"/>
  <c r="N23" i="4"/>
  <c r="F30" i="3" s="1"/>
  <c r="N20" i="4"/>
  <c r="F27" i="3" s="1"/>
  <c r="G16" i="3"/>
  <c r="N14" i="4"/>
  <c r="F17" i="3" s="1"/>
  <c r="G20" i="3"/>
  <c r="N7" i="4"/>
  <c r="F19" i="3" s="1"/>
  <c r="M7" i="4"/>
  <c r="E19" i="3" s="1"/>
  <c r="J21" i="4"/>
  <c r="J14" i="4"/>
  <c r="F14" i="3" s="1"/>
  <c r="G14" i="3" s="1"/>
  <c r="J11" i="4"/>
  <c r="J15" i="4"/>
  <c r="J20" i="4"/>
  <c r="J12" i="4"/>
  <c r="J28" i="4"/>
  <c r="J16" i="4"/>
  <c r="J24" i="4"/>
  <c r="J8" i="4"/>
  <c r="J25" i="4"/>
  <c r="J27" i="4"/>
  <c r="E64" i="4"/>
  <c r="F64" i="4" s="1"/>
  <c r="J17" i="4"/>
  <c r="J7" i="4"/>
  <c r="J22" i="4"/>
  <c r="F10" i="3" s="1"/>
  <c r="G10" i="3" s="1"/>
  <c r="E68" i="4"/>
  <c r="F68" i="4" s="1"/>
  <c r="J10" i="4"/>
  <c r="J23" i="4"/>
  <c r="J26" i="4"/>
  <c r="J9" i="4"/>
  <c r="E74" i="4"/>
  <c r="F74" i="4" s="1"/>
  <c r="E80" i="4"/>
  <c r="F80" i="4" s="1"/>
  <c r="J18" i="4"/>
  <c r="J19" i="4"/>
  <c r="F12" i="3" s="1"/>
  <c r="G12" i="3" s="1"/>
  <c r="E77" i="4"/>
  <c r="F77" i="4" s="1"/>
  <c r="E78" i="4"/>
  <c r="F78" i="4" s="1"/>
  <c r="E79" i="4"/>
  <c r="F79" i="4" s="1"/>
  <c r="E67" i="4"/>
  <c r="F67" i="4" s="1"/>
  <c r="E76" i="4"/>
  <c r="F76" i="4" s="1"/>
  <c r="E66" i="4"/>
  <c r="F66" i="4" s="1"/>
  <c r="D65" i="4"/>
  <c r="D81" i="4"/>
  <c r="D66" i="4"/>
  <c r="D82" i="4"/>
  <c r="D67" i="4"/>
  <c r="D63" i="4"/>
  <c r="D68" i="4"/>
  <c r="D69" i="4"/>
  <c r="D71" i="4"/>
  <c r="D72" i="4"/>
  <c r="D73" i="4"/>
  <c r="D75" i="4"/>
  <c r="D76" i="4"/>
  <c r="D77" i="4"/>
  <c r="D64" i="4"/>
  <c r="D70" i="4"/>
  <c r="D79" i="4"/>
  <c r="D80" i="4"/>
  <c r="D74" i="4"/>
  <c r="E82" i="4"/>
  <c r="F82" i="4" s="1"/>
  <c r="E72" i="4"/>
  <c r="F72" i="4" s="1"/>
  <c r="E75" i="4"/>
  <c r="F75" i="4" s="1"/>
  <c r="E65" i="4"/>
  <c r="F65" i="4" s="1"/>
  <c r="E81" i="4"/>
  <c r="F81" i="4" s="1"/>
  <c r="E69" i="4"/>
  <c r="F69" i="4" s="1"/>
  <c r="E70" i="4"/>
  <c r="F70" i="4" s="1"/>
  <c r="E71" i="4"/>
  <c r="F71" i="4" s="1"/>
  <c r="E73" i="4"/>
  <c r="F73" i="4" s="1"/>
  <c r="G6" i="3" l="1"/>
  <c r="G5" i="3"/>
  <c r="G17" i="3"/>
  <c r="M32" i="4"/>
  <c r="E3" i="3"/>
  <c r="G3" i="3" s="1"/>
  <c r="G19" i="3"/>
  <c r="G73" i="4"/>
  <c r="H73" i="4" s="1"/>
  <c r="G71" i="4"/>
  <c r="H71" i="4" s="1"/>
  <c r="G64" i="4"/>
  <c r="H64" i="4" s="1"/>
  <c r="G69" i="4"/>
  <c r="H69" i="4" s="1"/>
  <c r="G68" i="4"/>
  <c r="H68" i="4" s="1"/>
  <c r="G79" i="4"/>
  <c r="H79" i="4" s="1"/>
  <c r="F18" i="3" s="1"/>
  <c r="G82" i="4"/>
  <c r="H82" i="4" s="1"/>
  <c r="G81" i="4"/>
  <c r="H81" i="4" s="1"/>
  <c r="G66" i="4"/>
  <c r="H66" i="4" s="1"/>
  <c r="G78" i="4"/>
  <c r="H78" i="4" s="1"/>
  <c r="G65" i="4"/>
  <c r="H65" i="4" s="1"/>
  <c r="G77" i="4"/>
  <c r="H77" i="4" s="1"/>
  <c r="F15" i="3" s="1"/>
  <c r="G75" i="4"/>
  <c r="H75" i="4" s="1"/>
  <c r="G80" i="4"/>
  <c r="H80" i="4" s="1"/>
  <c r="G67" i="4"/>
  <c r="H67" i="4" s="1"/>
  <c r="G76" i="4"/>
  <c r="H76" i="4" s="1"/>
  <c r="G72" i="4"/>
  <c r="H72" i="4" s="1"/>
  <c r="F11" i="3" s="1"/>
  <c r="G74" i="4"/>
  <c r="H74" i="4" s="1"/>
  <c r="F9" i="3" s="1"/>
  <c r="G63" i="4"/>
  <c r="H63" i="4" s="1"/>
  <c r="G70" i="4"/>
  <c r="H70" i="4" s="1"/>
  <c r="F13" i="3" l="1"/>
  <c r="F21" i="3"/>
  <c r="H83" i="4"/>
  <c r="F22" i="3" l="1"/>
  <c r="D6" i="4" l="1"/>
  <c r="D7" i="4" s="1"/>
  <c r="D27" i="4" l="1"/>
  <c r="D19" i="4"/>
  <c r="D8" i="4"/>
  <c r="E39" i="4" s="1"/>
  <c r="F39" i="4" s="1"/>
  <c r="D9" i="4"/>
  <c r="D10" i="4"/>
  <c r="D18" i="4"/>
  <c r="D22" i="4"/>
  <c r="D16" i="4"/>
  <c r="D26" i="4"/>
  <c r="D15" i="4"/>
  <c r="D24" i="4"/>
  <c r="D25" i="4"/>
  <c r="D14" i="4"/>
  <c r="D11" i="4"/>
  <c r="D23" i="4"/>
  <c r="D21" i="4"/>
  <c r="D20" i="4"/>
  <c r="D13" i="4"/>
  <c r="D17" i="4"/>
  <c r="D12" i="4"/>
  <c r="E38" i="4"/>
  <c r="F38" i="4" s="1"/>
  <c r="BF3" i="1"/>
  <c r="BF4" i="1"/>
  <c r="BF5" i="1"/>
  <c r="BF6" i="1"/>
  <c r="BF7" i="1"/>
  <c r="BG7" i="1" s="1"/>
  <c r="BH7" i="1" s="1"/>
  <c r="BF8" i="1"/>
  <c r="BF9" i="1"/>
  <c r="BF10" i="1"/>
  <c r="BG10" i="1" s="1"/>
  <c r="BH10" i="1" s="1"/>
  <c r="BF11" i="1"/>
  <c r="BG11" i="1" s="1"/>
  <c r="BH11" i="1" s="1"/>
  <c r="BF12" i="1"/>
  <c r="BG12" i="1" s="1"/>
  <c r="BH12" i="1" s="1"/>
  <c r="BF13" i="1"/>
  <c r="BG13" i="1" s="1"/>
  <c r="BF14" i="1"/>
  <c r="BG14" i="1" s="1"/>
  <c r="BH14" i="1" s="1"/>
  <c r="BF15" i="1"/>
  <c r="BG15" i="1" s="1"/>
  <c r="BH15" i="1" s="1"/>
  <c r="BF16" i="1"/>
  <c r="BG16" i="1" s="1"/>
  <c r="BH16" i="1" s="1"/>
  <c r="BF17" i="1"/>
  <c r="BG17" i="1" s="1"/>
  <c r="BH17" i="1" s="1"/>
  <c r="BF18" i="1"/>
  <c r="BG18" i="1" s="1"/>
  <c r="BH18" i="1" s="1"/>
  <c r="BF19" i="1"/>
  <c r="BF20" i="1"/>
  <c r="BF2" i="1"/>
  <c r="BI4" i="1"/>
  <c r="BI5" i="1"/>
  <c r="BI6" i="1"/>
  <c r="BI7" i="1"/>
  <c r="BI8" i="1"/>
  <c r="BI9" i="1"/>
  <c r="BI10" i="1"/>
  <c r="BI11" i="1"/>
  <c r="BI12" i="1"/>
  <c r="BI13" i="1"/>
  <c r="BI14" i="1"/>
  <c r="BI15" i="1"/>
  <c r="BI16" i="1"/>
  <c r="BI17" i="1"/>
  <c r="BI18" i="1"/>
  <c r="BI19" i="1"/>
  <c r="BI20" i="1"/>
  <c r="BI3" i="1"/>
  <c r="BH9" i="1"/>
  <c r="BH20" i="1"/>
  <c r="BG4" i="1"/>
  <c r="BH4" i="1" s="1"/>
  <c r="BG5" i="1"/>
  <c r="BH5" i="1" s="1"/>
  <c r="BG6" i="1"/>
  <c r="BH6" i="1" s="1"/>
  <c r="BG8" i="1"/>
  <c r="BH8" i="1" s="1"/>
  <c r="BG9" i="1"/>
  <c r="BG20" i="1"/>
  <c r="D38" i="4" l="1"/>
  <c r="D44" i="4"/>
  <c r="D39" i="4"/>
  <c r="E40" i="4"/>
  <c r="F40" i="4"/>
  <c r="E52" i="4"/>
  <c r="F52" i="4" s="1"/>
  <c r="E43" i="4"/>
  <c r="F43" i="4" s="1"/>
  <c r="E42" i="4"/>
  <c r="F42" i="4" s="1"/>
  <c r="E54" i="4"/>
  <c r="F54" i="4" s="1"/>
  <c r="E51" i="4"/>
  <c r="F51" i="4" s="1"/>
  <c r="E45" i="4"/>
  <c r="F45" i="4" s="1"/>
  <c r="E56" i="4"/>
  <c r="F56" i="4" s="1"/>
  <c r="E41" i="4"/>
  <c r="F41" i="4" s="1"/>
  <c r="E48" i="4"/>
  <c r="F48" i="4" s="1"/>
  <c r="E44" i="4"/>
  <c r="F44" i="4" s="1"/>
  <c r="E50" i="4"/>
  <c r="F50" i="4" s="1"/>
  <c r="E55" i="4"/>
  <c r="F55" i="4" s="1"/>
  <c r="E46" i="4"/>
  <c r="F46" i="4" s="1"/>
  <c r="D52" i="4"/>
  <c r="D55" i="4"/>
  <c r="D53" i="4"/>
  <c r="D54" i="4"/>
  <c r="D41" i="4"/>
  <c r="D40" i="4"/>
  <c r="D43" i="4"/>
  <c r="D57" i="4"/>
  <c r="D46" i="4"/>
  <c r="D45" i="4"/>
  <c r="D50" i="4"/>
  <c r="D51" i="4"/>
  <c r="E57" i="4"/>
  <c r="F57" i="4" s="1"/>
  <c r="D47" i="4"/>
  <c r="D42" i="4"/>
  <c r="D49" i="4"/>
  <c r="D56" i="4"/>
  <c r="D48" i="4"/>
  <c r="E47" i="4"/>
  <c r="F47" i="4" s="1"/>
  <c r="E53" i="4"/>
  <c r="F53" i="4" s="1"/>
  <c r="E49" i="4"/>
  <c r="F49" i="4" s="1"/>
  <c r="BG19" i="1"/>
  <c r="BH19" i="1" s="1"/>
  <c r="BG3" i="1"/>
  <c r="BH3" i="1" s="1"/>
  <c r="G57" i="4" l="1"/>
  <c r="H57" i="4" s="1"/>
  <c r="G38" i="4"/>
  <c r="H38" i="4" s="1"/>
  <c r="D87" i="4" s="1"/>
  <c r="E87" i="4" s="1"/>
  <c r="G40" i="4"/>
  <c r="H40" i="4" s="1"/>
  <c r="D89" i="4" s="1"/>
  <c r="E89" i="4" s="1"/>
  <c r="G49" i="4"/>
  <c r="H49" i="4" s="1"/>
  <c r="G47" i="4"/>
  <c r="H47" i="4" s="1"/>
  <c r="G54" i="4"/>
  <c r="H54" i="4" s="1"/>
  <c r="G46" i="4"/>
  <c r="H46" i="4" s="1"/>
  <c r="D95" i="4" s="1"/>
  <c r="E95" i="4" s="1"/>
  <c r="G53" i="4"/>
  <c r="H53" i="4" s="1"/>
  <c r="D102" i="4" s="1"/>
  <c r="E102" i="4" s="1"/>
  <c r="G52" i="4"/>
  <c r="H52" i="4" s="1"/>
  <c r="G55" i="4"/>
  <c r="H55" i="4" s="1"/>
  <c r="D104" i="4" s="1"/>
  <c r="E104" i="4" s="1"/>
  <c r="G51" i="4"/>
  <c r="H51" i="4" s="1"/>
  <c r="D100" i="4" s="1"/>
  <c r="E100" i="4" s="1"/>
  <c r="G39" i="4"/>
  <c r="H39" i="4" s="1"/>
  <c r="D88" i="4" s="1"/>
  <c r="E88" i="4" s="1"/>
  <c r="G56" i="4"/>
  <c r="H56" i="4" s="1"/>
  <c r="D105" i="4" s="1"/>
  <c r="E105" i="4" s="1"/>
  <c r="G43" i="4"/>
  <c r="H43" i="4" s="1"/>
  <c r="D92" i="4" s="1"/>
  <c r="E92" i="4" s="1"/>
  <c r="G45" i="4"/>
  <c r="H45" i="4" s="1"/>
  <c r="D94" i="4" s="1"/>
  <c r="E94" i="4" s="1"/>
  <c r="G50" i="4"/>
  <c r="H50" i="4" s="1"/>
  <c r="D99" i="4" s="1"/>
  <c r="E99" i="4" s="1"/>
  <c r="G44" i="4"/>
  <c r="H44" i="4" s="1"/>
  <c r="D93" i="4" s="1"/>
  <c r="E93" i="4" s="1"/>
  <c r="G41" i="4"/>
  <c r="H41" i="4" s="1"/>
  <c r="D90" i="4" s="1"/>
  <c r="E90" i="4" s="1"/>
  <c r="G42" i="4"/>
  <c r="H42" i="4" s="1"/>
  <c r="D91" i="4" s="1"/>
  <c r="E91" i="4" s="1"/>
  <c r="G48" i="4"/>
  <c r="H48" i="4" s="1"/>
  <c r="D97" i="4" s="1"/>
  <c r="E97" i="4" s="1"/>
  <c r="D106" i="4" l="1"/>
  <c r="E106" i="4" s="1"/>
  <c r="H58" i="4"/>
  <c r="E18" i="3"/>
  <c r="G18" i="3" s="1"/>
  <c r="D103" i="4"/>
  <c r="E103" i="4" s="1"/>
  <c r="E15" i="3"/>
  <c r="G15" i="3" s="1"/>
  <c r="D101" i="4"/>
  <c r="E101" i="4" s="1"/>
  <c r="E9" i="3"/>
  <c r="G9" i="3" s="1"/>
  <c r="D98" i="4"/>
  <c r="E98" i="4" s="1"/>
  <c r="E11" i="3"/>
  <c r="G11" i="3" s="1"/>
  <c r="D96" i="4"/>
  <c r="E96" i="4" s="1"/>
  <c r="G58" i="4"/>
  <c r="E21" i="3"/>
  <c r="G21" i="3" s="1"/>
  <c r="E13" i="3"/>
  <c r="G13" i="3" s="1"/>
  <c r="D107" i="4"/>
  <c r="F87" i="4" l="1" a="1"/>
  <c r="F87" i="4" s="1"/>
  <c r="G87" i="4" s="1" a="1"/>
  <c r="G87" i="4" s="1"/>
  <c r="E22" i="3"/>
  <c r="G2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<sst xmlns="http://schemas.openxmlformats.org/spreadsheetml/2006/main" count="1962" uniqueCount="329">
  <si>
    <t>FRN | 2023 Q3</t>
  </si>
  <si>
    <t>AN | 2023 Q3</t>
  </si>
  <si>
    <t>STG | 2023 Q3</t>
  </si>
  <si>
    <t>FLD | 2023 Q3</t>
  </si>
  <si>
    <t>ENT | 2023 Q3</t>
  </si>
  <si>
    <t>FRN | 2023 Q4</t>
  </si>
  <si>
    <t>AN | 2023 Q4</t>
  </si>
  <si>
    <t>STG | 2023 Q4</t>
  </si>
  <si>
    <t>FLD | 2023 Q4</t>
  </si>
  <si>
    <t>ENT | 2023 Q4</t>
  </si>
  <si>
    <t>FRN | 2024 Q1</t>
  </si>
  <si>
    <t>AN | 2024 Q1</t>
  </si>
  <si>
    <t>STG | 2024 Q1</t>
  </si>
  <si>
    <t>FLD | 2024 Q1</t>
  </si>
  <si>
    <t>ENT | 2024 Q1</t>
  </si>
  <si>
    <t>FRN | 2024 Q2</t>
  </si>
  <si>
    <t>AN | 2024 Q2</t>
  </si>
  <si>
    <t>STG | 2024 Q2</t>
  </si>
  <si>
    <t>FLD | 2024 Q2</t>
  </si>
  <si>
    <t>ENT | 2024 Q2</t>
  </si>
  <si>
    <t>FRN | 2024 Q3</t>
  </si>
  <si>
    <t>AN | 2024 Q3</t>
  </si>
  <si>
    <t>STG | 2024 Q3</t>
  </si>
  <si>
    <t>FLD | 2024 Q3</t>
  </si>
  <si>
    <t>ENT | 2024 Q3</t>
  </si>
  <si>
    <t>FRN | 2024 Q4</t>
  </si>
  <si>
    <t>AN | 2024 Q4</t>
  </si>
  <si>
    <t>STG | 2024 Q4</t>
  </si>
  <si>
    <t>FLD | 2024 Q4</t>
  </si>
  <si>
    <t>ENT | 2024 Q4</t>
  </si>
  <si>
    <t>FRN | 2025 Q1</t>
  </si>
  <si>
    <t>AN | 2025 Q1</t>
  </si>
  <si>
    <t>STG | 2025 Q1</t>
  </si>
  <si>
    <t>FLD | 2025 Q1</t>
  </si>
  <si>
    <t>ENT | 2025 Q1</t>
  </si>
  <si>
    <t>FRN | 2025 Q2</t>
  </si>
  <si>
    <t>AN | 2025 Q2</t>
  </si>
  <si>
    <t>STG | 2025 Q2</t>
  </si>
  <si>
    <t>FLD | 2025 Q2</t>
  </si>
  <si>
    <t>ENT | 2025 Q2</t>
  </si>
  <si>
    <t>FRN | 2025 Q3</t>
  </si>
  <si>
    <t>AN | 2025 Q3</t>
  </si>
  <si>
    <t>STG | 2025 Q3</t>
  </si>
  <si>
    <t>FLD | 2025 Q3</t>
  </si>
  <si>
    <t>ENT | 2025 Q3</t>
  </si>
  <si>
    <t>FRN | 2025 Q4</t>
  </si>
  <si>
    <t>AN | 2025 Q4</t>
  </si>
  <si>
    <t>STG | 2025 Q4</t>
  </si>
  <si>
    <t>FLD | 2025 Q4</t>
  </si>
  <si>
    <t>ENT | 2025 Q4</t>
  </si>
  <si>
    <t>FRN | 2026 Q1</t>
  </si>
  <si>
    <t>AN | 2026 Q1</t>
  </si>
  <si>
    <t>STG | 2026 Q1</t>
  </si>
  <si>
    <t>FLD | 2026 Q1</t>
  </si>
  <si>
    <t>ENT | 2026 Q1</t>
  </si>
  <si>
    <t>00_initial</t>
  </si>
  <si>
    <t>01_prev_aca_chargeoff</t>
  </si>
  <si>
    <t>02_small_amt_financed</t>
  </si>
  <si>
    <t>03_zero_cash_down</t>
  </si>
  <si>
    <t>04_high_mileage</t>
  </si>
  <si>
    <t>05_high_pti</t>
  </si>
  <si>
    <t>06_car_make</t>
  </si>
  <si>
    <t>07_theft_risk</t>
  </si>
  <si>
    <t>08_mcy_low_mileage</t>
  </si>
  <si>
    <t>09_weekend_weekday</t>
  </si>
  <si>
    <t>10_student_loans</t>
  </si>
  <si>
    <t>11_low_pti</t>
  </si>
  <si>
    <t>12_chime</t>
  </si>
  <si>
    <t>13_employment_type</t>
  </si>
  <si>
    <t>14_auth_tradelines</t>
  </si>
  <si>
    <t>15_fraud</t>
  </si>
  <si>
    <t>16_driver_flag</t>
  </si>
  <si>
    <t>17_pricing_scalar</t>
  </si>
  <si>
    <t>18_final</t>
  </si>
  <si>
    <t>--- FINAL_MULT (mean)</t>
  </si>
  <si>
    <t>--- WTD_MULT_RAGU</t>
  </si>
  <si>
    <t>--- GROSS_LOSS_IMPACT</t>
  </si>
  <si>
    <t>--- N_RECORDS</t>
  </si>
  <si>
    <t>prev_co_flag</t>
  </si>
  <si>
    <t>small_amt_financed_flag</t>
  </si>
  <si>
    <t>pricing_change_flag</t>
  </si>
  <si>
    <t>zero_cash_down_flag</t>
  </si>
  <si>
    <t>high_mileage_vehicle_flag</t>
  </si>
  <si>
    <t>high_pti_flag</t>
  </si>
  <si>
    <t>car_make_penalty_flag</t>
  </si>
  <si>
    <t>car_make_benefit_flag</t>
  </si>
  <si>
    <t>theft_risk_flag</t>
  </si>
  <si>
    <t>mcy_low_mileage_flag</t>
  </si>
  <si>
    <t>weekend_flag</t>
  </si>
  <si>
    <t>weekday_flag</t>
  </si>
  <si>
    <t>student_loan_flag</t>
  </si>
  <si>
    <t>student_loans_cutoff_date</t>
  </si>
  <si>
    <t>low_pti_flag</t>
  </si>
  <si>
    <t>nonkmx_chime_flag</t>
  </si>
  <si>
    <t>seasonal_employment_pct</t>
  </si>
  <si>
    <t>waiter_employment_pct</t>
  </si>
  <si>
    <t>other_employment_pct</t>
  </si>
  <si>
    <t>nonkmx_auth_tradelines_flag</t>
  </si>
  <si>
    <t>fraud_adjustment_mean</t>
  </si>
  <si>
    <t>driver_flag</t>
  </si>
  <si>
    <t>pricing_scalar_mean</t>
  </si>
  <si>
    <t xml:space="preserve"> </t>
  </si>
  <si>
    <t>Previous ACA Chargeoff</t>
  </si>
  <si>
    <t>Small Amount Financed</t>
  </si>
  <si>
    <t>Zero Cash Down</t>
  </si>
  <si>
    <t>High Mileage</t>
  </si>
  <si>
    <t>High PTI</t>
  </si>
  <si>
    <t>Toyota/Honda</t>
  </si>
  <si>
    <t>Theft Risk</t>
  </si>
  <si>
    <t>Weekday/Weekend</t>
  </si>
  <si>
    <t>Student Loans</t>
  </si>
  <si>
    <t>Low PTI</t>
  </si>
  <si>
    <t>Chime</t>
  </si>
  <si>
    <t>Waiter/Seasonal</t>
  </si>
  <si>
    <t>Authorized Tradelines</t>
  </si>
  <si>
    <t>Fraud</t>
  </si>
  <si>
    <t>Driver</t>
  </si>
  <si>
    <t>Dealer Level Loss</t>
  </si>
  <si>
    <t>Clip</t>
  </si>
  <si>
    <t>Weighted Multiplier</t>
  </si>
  <si>
    <t>RAGU Impact</t>
  </si>
  <si>
    <t>Final Multplier</t>
  </si>
  <si>
    <t>ENT</t>
  </si>
  <si>
    <t>LOB</t>
  </si>
  <si>
    <t>Start</t>
  </si>
  <si>
    <t>End</t>
  </si>
  <si>
    <t>2024 Q4</t>
  </si>
  <si>
    <t>2026 Q1</t>
  </si>
  <si>
    <t>2025 Q1</t>
  </si>
  <si>
    <t>2025 Q2</t>
  </si>
  <si>
    <t>2025 Q3</t>
  </si>
  <si>
    <t>2025 Q4</t>
  </si>
  <si>
    <t>Column1</t>
  </si>
  <si>
    <t>adjustment size</t>
  </si>
  <si>
    <t>ln</t>
  </si>
  <si>
    <t>share</t>
  </si>
  <si>
    <t>Ragu impact per adjustment</t>
  </si>
  <si>
    <t>Delta</t>
  </si>
  <si>
    <t>valid_vintage</t>
  </si>
  <si>
    <t>lob</t>
  </si>
  <si>
    <t>a_dealers</t>
  </si>
  <si>
    <t>b_dealers</t>
  </si>
  <si>
    <t>c_dealers</t>
  </si>
  <si>
    <t>d_dealers</t>
  </si>
  <si>
    <t>e_dealers</t>
  </si>
  <si>
    <t>f_dealers</t>
  </si>
  <si>
    <t>good_dealer</t>
  </si>
  <si>
    <t>bad_dealer</t>
  </si>
  <si>
    <t>2019 Q2</t>
  </si>
  <si>
    <t>AN</t>
  </si>
  <si>
    <t>2018 Q1</t>
  </si>
  <si>
    <t>FRN</t>
  </si>
  <si>
    <t>2023 Q3</t>
  </si>
  <si>
    <t>STG</t>
  </si>
  <si>
    <t>2018 Q4</t>
  </si>
  <si>
    <t>FLD</t>
  </si>
  <si>
    <t>2016 Q4</t>
  </si>
  <si>
    <t>2018 Q2</t>
  </si>
  <si>
    <t>2016 Q2</t>
  </si>
  <si>
    <t>2019 Q3</t>
  </si>
  <si>
    <t>2024 Q3</t>
  </si>
  <si>
    <t>2020 Q2</t>
  </si>
  <si>
    <t>2022 Q3</t>
  </si>
  <si>
    <t>2024 Q2</t>
  </si>
  <si>
    <t>2022 Q2</t>
  </si>
  <si>
    <t>2023 Q2</t>
  </si>
  <si>
    <t>2023 Q4</t>
  </si>
  <si>
    <t>2024 Q1</t>
  </si>
  <si>
    <t>2021 Q4</t>
  </si>
  <si>
    <t>2019 Q4</t>
  </si>
  <si>
    <t>2018 Q3</t>
  </si>
  <si>
    <t>2020 Q1</t>
  </si>
  <si>
    <t>2023 Q1</t>
  </si>
  <si>
    <t>2017 Q4</t>
  </si>
  <si>
    <t>2019 Q1</t>
  </si>
  <si>
    <t>2021 Q3</t>
  </si>
  <si>
    <t>2022 Q4</t>
  </si>
  <si>
    <t>2020 Q4</t>
  </si>
  <si>
    <t>2022 Q1</t>
  </si>
  <si>
    <t>2017 Q2</t>
  </si>
  <si>
    <t>2020 Q3</t>
  </si>
  <si>
    <t>2021 Q2</t>
  </si>
  <si>
    <t>2016 Q3</t>
  </si>
  <si>
    <t>2016 Q1</t>
  </si>
  <si>
    <t>2017 Q1</t>
  </si>
  <si>
    <t>2021 Q1</t>
  </si>
  <si>
    <t>2017 Q3</t>
  </si>
  <si>
    <t>Good Dealer %</t>
  </si>
  <si>
    <t>Bad Dealer %</t>
  </si>
  <si>
    <t>lookup</t>
  </si>
  <si>
    <t>DQ MOB 3</t>
  </si>
  <si>
    <t>DQ MOB 6</t>
  </si>
  <si>
    <t>CO Rate MOB 6</t>
  </si>
  <si>
    <t>Model Score</t>
  </si>
  <si>
    <t>CO Rate MOB 12</t>
  </si>
  <si>
    <t>time</t>
  </si>
  <si>
    <t>neg_fraud</t>
  </si>
  <si>
    <t>pos_fraud</t>
  </si>
  <si>
    <t>other_fraud</t>
  </si>
  <si>
    <t>KMX</t>
  </si>
  <si>
    <t>ORL</t>
  </si>
  <si>
    <t>Positive Fraud</t>
  </si>
  <si>
    <t>Negative Fraud</t>
  </si>
  <si>
    <t>vintage</t>
  </si>
  <si>
    <t>co_6</t>
  </si>
  <si>
    <t>co_12</t>
  </si>
  <si>
    <t>MCY</t>
  </si>
  <si>
    <t>dq_3</t>
  </si>
  <si>
    <t>dq_6</t>
  </si>
  <si>
    <t>DQ @ 3 MOB</t>
  </si>
  <si>
    <t>DQ @ 6 MOB</t>
  </si>
  <si>
    <t>CO @ 6 MOB</t>
  </si>
  <si>
    <t>CO @ 12 MOB</t>
  </si>
  <si>
    <t>Gross Loss</t>
  </si>
  <si>
    <t>Recovery + LTV</t>
  </si>
  <si>
    <t>RAGU Score</t>
  </si>
  <si>
    <t>Contract Model Score¹</t>
  </si>
  <si>
    <t>Shift to FRN 3.1 Score²</t>
  </si>
  <si>
    <t>Gross Loss Adjustments (Dealer Level, vehicle age, etc.)²</t>
  </si>
  <si>
    <t>Recovery Adjustments excluding LTV (Mileage, LOB, etc.)³</t>
  </si>
  <si>
    <t>BBLTV Adjustments⁴</t>
  </si>
  <si>
    <t>ms</t>
  </si>
  <si>
    <t>gl</t>
  </si>
  <si>
    <t>rec</t>
  </si>
  <si>
    <t>ltv</t>
  </si>
  <si>
    <t>recltv</t>
  </si>
  <si>
    <t>population %</t>
  </si>
  <si>
    <t>Other Adjustments</t>
  </si>
  <si>
    <t>LOB Dictionary</t>
  </si>
  <si>
    <t>Final Gross Loss</t>
  </si>
  <si>
    <t>adjustment snapshots</t>
  </si>
  <si>
    <t>mult before adjustment</t>
  </si>
  <si>
    <t xml:space="preserve"> population %</t>
  </si>
  <si>
    <t xml:space="preserve"> Low Fraud %</t>
  </si>
  <si>
    <t xml:space="preserve"> High Fraud %</t>
  </si>
  <si>
    <t xml:space="preserve"> Good Dealer %</t>
  </si>
  <si>
    <t xml:space="preserve"> Bad Dealer %</t>
  </si>
  <si>
    <t>Small ATF does not apply to ENT</t>
  </si>
  <si>
    <t>high mileage ceh does not apply to ENT</t>
  </si>
  <si>
    <t>car make penalty has scattered zeroes</t>
  </si>
  <si>
    <t>low PTI does not apply to ENT</t>
  </si>
  <si>
    <t>Student loans is broken after 2026 Q1</t>
  </si>
  <si>
    <t>Seasonal waiter flags missing pre 2025 Q1</t>
  </si>
  <si>
    <t>POS</t>
  </si>
  <si>
    <t>Contract Model Score</t>
  </si>
  <si>
    <t>Gross Loss Adjustments (Dealer level, high PTI, etc.)</t>
  </si>
  <si>
    <t>Recovery Adjustments excluding LTV (Mileage, vehicle type, etc.)</t>
  </si>
  <si>
    <t>LTV Adjustments</t>
  </si>
  <si>
    <t>LTV</t>
  </si>
  <si>
    <t>Row Labels</t>
  </si>
  <si>
    <t>Grand Total</t>
  </si>
  <si>
    <t>measures</t>
  </si>
  <si>
    <t>AN 2023 Q3</t>
  </si>
  <si>
    <t>AN 2023 Q4</t>
  </si>
  <si>
    <t>AN 2024 Q1</t>
  </si>
  <si>
    <t>AN 2024 Q2</t>
  </si>
  <si>
    <t>AN 2024 Q3</t>
  </si>
  <si>
    <t>AN 2024 Q4</t>
  </si>
  <si>
    <t>AN 2025 Q1</t>
  </si>
  <si>
    <t>AN 2025 Q2</t>
  </si>
  <si>
    <t>AN 2025 Q3</t>
  </si>
  <si>
    <t>AN 2025 Q4</t>
  </si>
  <si>
    <t>AN 2026 Q1</t>
  </si>
  <si>
    <t>FRN 2023 Q3</t>
  </si>
  <si>
    <t>FRN 2023 Q4</t>
  </si>
  <si>
    <t>FRN 2024 Q1</t>
  </si>
  <si>
    <t>FRN 2024 Q2</t>
  </si>
  <si>
    <t>FRN 2024 Q3</t>
  </si>
  <si>
    <t>FRN 2024 Q4</t>
  </si>
  <si>
    <t>FRN 2025 Q1</t>
  </si>
  <si>
    <t>FRN 2025 Q2</t>
  </si>
  <si>
    <t>FRN 2025 Q3</t>
  </si>
  <si>
    <t>FRN 2025 Q4</t>
  </si>
  <si>
    <t>FRN 2026 Q1</t>
  </si>
  <si>
    <t>STG 2023 Q3</t>
  </si>
  <si>
    <t>STG 2023 Q4</t>
  </si>
  <si>
    <t>STG 2024 Q1</t>
  </si>
  <si>
    <t>STG 2024 Q2</t>
  </si>
  <si>
    <t>STG 2024 Q3</t>
  </si>
  <si>
    <t>STG 2024 Q4</t>
  </si>
  <si>
    <t>STG 2025 Q1</t>
  </si>
  <si>
    <t>STG 2025 Q2</t>
  </si>
  <si>
    <t>STG 2025 Q3</t>
  </si>
  <si>
    <t>STG 2025 Q4</t>
  </si>
  <si>
    <t>STG 2026 Q1</t>
  </si>
  <si>
    <t>FLD 2023 Q3</t>
  </si>
  <si>
    <t>FLD 2023 Q4</t>
  </si>
  <si>
    <t>FLD 2024 Q1</t>
  </si>
  <si>
    <t>FLD 2024 Q2</t>
  </si>
  <si>
    <t>FLD 2024 Q3</t>
  </si>
  <si>
    <t>FLD 2024 Q4</t>
  </si>
  <si>
    <t>FLD 2025 Q1</t>
  </si>
  <si>
    <t>FLD 2025 Q2</t>
  </si>
  <si>
    <t>FLD 2025 Q3</t>
  </si>
  <si>
    <t>FLD 2025 Q4</t>
  </si>
  <si>
    <t>FLD 2026 Q1</t>
  </si>
  <si>
    <t>ENT 2023 Q3</t>
  </si>
  <si>
    <t>ENT 2023 Q4</t>
  </si>
  <si>
    <t>ENT 2024 Q1</t>
  </si>
  <si>
    <t>ENT 2024 Q2</t>
  </si>
  <si>
    <t>ENT 2024 Q3</t>
  </si>
  <si>
    <t>ENT 2024 Q4</t>
  </si>
  <si>
    <t>ENT 2025 Q1</t>
  </si>
  <si>
    <t>ENT 2025 Q2</t>
  </si>
  <si>
    <t>ENT 2025 Q3</t>
  </si>
  <si>
    <t>ENT 2025 Q4</t>
  </si>
  <si>
    <t>ENT 2026 Q1</t>
  </si>
  <si>
    <t>Sum of ltv</t>
  </si>
  <si>
    <t>FRN_AMT_FINANCED_SHARE</t>
  </si>
  <si>
    <t>AN_AMT_FINANCED_SHARE</t>
  </si>
  <si>
    <t>STG_AMT_FINANCED_SHARE</t>
  </si>
  <si>
    <t>FLD_AMT_FINANCED_SHARE</t>
  </si>
  <si>
    <t>ENT_AMT_FINANCED_SHARE</t>
  </si>
  <si>
    <t>KMX_AMT_FINANCED_SHARE</t>
  </si>
  <si>
    <t>Contract Model Score²</t>
  </si>
  <si>
    <t>Shift to Mountain3 Score³</t>
  </si>
  <si>
    <t>Gross Loss Adjustments (vehicle age, weekday/weekend, etc.³)</t>
  </si>
  <si>
    <t>BBLTV Adjustment to Recovery⁴ (Accounts for mileage/age and wholesale/retail gap⁵)</t>
  </si>
  <si>
    <t>SFS</t>
  </si>
  <si>
    <t>2015 Q4</t>
  </si>
  <si>
    <t>2015 Q3</t>
  </si>
  <si>
    <t>2015 Q2</t>
  </si>
  <si>
    <t>2015 Q1</t>
  </si>
  <si>
    <t>2014 Q4</t>
  </si>
  <si>
    <t>2014 Q3</t>
  </si>
  <si>
    <t>2014 Q2</t>
  </si>
  <si>
    <t>2014 Q1</t>
  </si>
  <si>
    <t>2013 Q4</t>
  </si>
  <si>
    <t>2013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</si>
</sst>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0.000"/>
    <numFmt numFmtId="165" formatCode="0.0000"/>
    <numFmt numFmtId="166" formatCode="0.000000"/>
    <numFmt numFmtId="167" formatCode="0.0"/>
    <numFmt numFmtId="168" formatCode="0.0%"/>
    <numFmt numFmtId="169" formatCode="\+0.00;[Red]\-0.00"/>
    <numFmt numFmtId="170" formatCode="\+0.00;\-0.00"/>
    <numFmt numFmtId="171" formatCode="\+0.0%;[Red]\-0.0%"/>
    <numFmt numFmtId="172" formatCode="[Red]\+0.0%;\-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</font>
    <font>
      <sz val="9"/>
      <color theme="1"/>
      <name val="Calibri"/>
      <family val="2"/>
      <scheme val="minor"/>
    </font>
    <font>
      <sz val="9"/>
      <color rgb="FF00B05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1"/>
      <name val="Calibri"/>
      <family val="2"/>
      <scheme val="minor"/>
    </font>
    <font>
      <b/>
      <sz val="9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ck">
        <color rgb="FFC00000"/>
      </left>
      <right style="medium">
        <color indexed="64"/>
      </right>
      <top style="thick">
        <color rgb="FFC00000"/>
      </top>
      <bottom style="thick">
        <color rgb="FFC00000"/>
      </bottom>
      <diagonal/>
    </border>
    <border>
      <left style="medium">
        <color indexed="64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 style="medium">
        <color theme="1"/>
      </left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/>
    <xf numFmtId="43" fontId="1" fillId="0" borderId="0"/>
  </cellStyleXfs>
  <cellXfs count="105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2" borderId="0" xfId="0" applyFill="1"/>
    <xf numFmtId="0" fontId="3" fillId="0" borderId="1" xfId="0" applyFont="1" applyBorder="1" applyAlignment="1">
      <alignment horizontal="center" vertical="top"/>
    </xf>
    <xf numFmtId="165" fontId="0" fillId="0" borderId="0" xfId="0" applyNumberFormat="1"/>
    <xf numFmtId="0" fontId="2" fillId="0" borderId="1" xfId="0" applyFont="1" applyBorder="1" applyAlignment="1">
      <alignment horizontal="center" vertical="top"/>
    </xf>
    <xf numFmtId="166" fontId="0" fillId="0" borderId="0" xfId="0" applyNumberFormat="1"/>
    <xf numFmtId="9" fontId="1" fillId="0" borderId="0" xfId="1"/>
    <xf numFmtId="168" fontId="1" fillId="0" borderId="0" xfId="1" applyNumberFormat="1"/>
    <xf numFmtId="10" fontId="1" fillId="0" borderId="0" xfId="1" applyNumberFormat="1"/>
    <xf numFmtId="10" fontId="0" fillId="0" borderId="0" xfId="0" applyNumberFormat="1"/>
    <xf numFmtId="0" fontId="6" fillId="0" borderId="1" xfId="0" applyFont="1" applyBorder="1" applyAlignment="1">
      <alignment horizontal="center" vertical="top"/>
    </xf>
    <xf numFmtId="0" fontId="6" fillId="3" borderId="1" xfId="0" applyFont="1" applyFill="1" applyBorder="1" applyAlignment="1">
      <alignment horizontal="center" vertical="top"/>
    </xf>
    <xf numFmtId="0" fontId="0" fillId="4" borderId="0" xfId="0" applyFill="1"/>
    <xf numFmtId="2" fontId="0" fillId="4" borderId="0" xfId="0" applyNumberFormat="1" applyFill="1"/>
    <xf numFmtId="0" fontId="0" fillId="0" borderId="0" xfId="2" applyNumberFormat="1" applyFont="1"/>
    <xf numFmtId="0" fontId="6" fillId="5" borderId="1" xfId="0" applyFont="1" applyFill="1" applyBorder="1" applyAlignment="1">
      <alignment horizontal="center" vertical="top"/>
    </xf>
    <xf numFmtId="0" fontId="0" fillId="0" borderId="5" xfId="0" applyBorder="1"/>
    <xf numFmtId="0" fontId="0" fillId="0" borderId="4" xfId="0" applyBorder="1"/>
    <xf numFmtId="0" fontId="0" fillId="0" borderId="0" xfId="0" applyAlignment="1">
      <alignment horizontal="center"/>
    </xf>
    <xf numFmtId="0" fontId="0" fillId="0" borderId="9" xfId="0" applyBorder="1"/>
    <xf numFmtId="168" fontId="1" fillId="0" borderId="10" xfId="1" applyNumberFormat="1" applyBorder="1"/>
    <xf numFmtId="0" fontId="0" fillId="0" borderId="6" xfId="0" applyBorder="1"/>
    <xf numFmtId="168" fontId="1" fillId="0" borderId="7" xfId="1" applyNumberFormat="1" applyBorder="1"/>
    <xf numFmtId="168" fontId="1" fillId="0" borderId="8" xfId="1" applyNumberFormat="1" applyBorder="1"/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10" fontId="1" fillId="0" borderId="8" xfId="1" applyNumberFormat="1" applyBorder="1"/>
    <xf numFmtId="0" fontId="0" fillId="0" borderId="10" xfId="0" applyBorder="1"/>
    <xf numFmtId="0" fontId="0" fillId="0" borderId="7" xfId="0" applyBorder="1"/>
    <xf numFmtId="0" fontId="0" fillId="0" borderId="8" xfId="0" applyBorder="1"/>
    <xf numFmtId="167" fontId="0" fillId="0" borderId="0" xfId="0" applyNumberFormat="1"/>
    <xf numFmtId="0" fontId="5" fillId="0" borderId="0" xfId="0" applyFont="1" applyAlignment="1">
      <alignment horizontal="center" vertical="center"/>
    </xf>
    <xf numFmtId="2" fontId="1" fillId="8" borderId="0" xfId="1" applyNumberFormat="1" applyFill="1" applyAlignment="1">
      <alignment horizontal="center" vertical="center"/>
    </xf>
    <xf numFmtId="2" fontId="1" fillId="8" borderId="0" xfId="0" applyNumberFormat="1" applyFont="1" applyFill="1" applyAlignment="1">
      <alignment horizontal="center" vertical="center"/>
    </xf>
    <xf numFmtId="2" fontId="1" fillId="8" borderId="0" xfId="2" applyNumberFormat="1" applyFill="1" applyAlignment="1">
      <alignment horizontal="center" vertical="center"/>
    </xf>
    <xf numFmtId="0" fontId="11" fillId="8" borderId="11" xfId="0" applyFont="1" applyFill="1" applyBorder="1"/>
    <xf numFmtId="0" fontId="11" fillId="8" borderId="12" xfId="0" applyFont="1" applyFill="1" applyBorder="1"/>
    <xf numFmtId="0" fontId="11" fillId="8" borderId="13" xfId="0" applyFont="1" applyFill="1" applyBorder="1"/>
    <xf numFmtId="0" fontId="4" fillId="7" borderId="11" xfId="1" applyNumberFormat="1" applyFont="1" applyFill="1" applyBorder="1" applyAlignment="1">
      <alignment horizontal="center" vertical="center"/>
    </xf>
    <xf numFmtId="0" fontId="4" fillId="6" borderId="4" xfId="1" applyNumberFormat="1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169" fontId="12" fillId="8" borderId="12" xfId="2" applyNumberFormat="1" applyFont="1" applyFill="1" applyBorder="1" applyAlignment="1">
      <alignment horizontal="center" vertical="center"/>
    </xf>
    <xf numFmtId="169" fontId="12" fillId="8" borderId="12" xfId="0" applyNumberFormat="1" applyFont="1" applyFill="1" applyBorder="1" applyAlignment="1">
      <alignment horizontal="center" vertical="center"/>
    </xf>
    <xf numFmtId="169" fontId="12" fillId="8" borderId="2" xfId="0" applyNumberFormat="1" applyFont="1" applyFill="1" applyBorder="1" applyAlignment="1">
      <alignment horizontal="center" vertical="center"/>
    </xf>
    <xf numFmtId="168" fontId="7" fillId="8" borderId="7" xfId="1" applyNumberFormat="1" applyFont="1" applyFill="1" applyBorder="1" applyAlignment="1">
      <alignment horizontal="center" vertical="top"/>
    </xf>
    <xf numFmtId="168" fontId="7" fillId="8" borderId="0" xfId="1" applyNumberFormat="1" applyFont="1" applyFill="1" applyAlignment="1">
      <alignment horizontal="center" vertical="top"/>
    </xf>
    <xf numFmtId="171" fontId="8" fillId="8" borderId="13" xfId="0" applyNumberFormat="1" applyFont="1" applyFill="1" applyBorder="1" applyAlignment="1">
      <alignment horizontal="center" vertical="top"/>
    </xf>
    <xf numFmtId="171" fontId="8" fillId="8" borderId="12" xfId="0" applyNumberFormat="1" applyFont="1" applyFill="1" applyBorder="1" applyAlignment="1">
      <alignment horizontal="center" vertical="top"/>
    </xf>
    <xf numFmtId="172" fontId="8" fillId="8" borderId="13" xfId="0" applyNumberFormat="1" applyFont="1" applyFill="1" applyBorder="1" applyAlignment="1">
      <alignment horizontal="center" vertical="top"/>
    </xf>
    <xf numFmtId="172" fontId="8" fillId="8" borderId="12" xfId="0" applyNumberFormat="1" applyFont="1" applyFill="1" applyBorder="1" applyAlignment="1">
      <alignment horizontal="center" vertical="top"/>
    </xf>
    <xf numFmtId="2" fontId="1" fillId="8" borderId="14" xfId="1" applyNumberFormat="1" applyFill="1" applyBorder="1" applyAlignment="1">
      <alignment horizontal="center" vertical="center"/>
    </xf>
    <xf numFmtId="2" fontId="1" fillId="8" borderId="14" xfId="0" applyNumberFormat="1" applyFont="1" applyFill="1" applyBorder="1" applyAlignment="1">
      <alignment horizontal="center" vertical="center"/>
    </xf>
    <xf numFmtId="167" fontId="5" fillId="6" borderId="12" xfId="0" applyNumberFormat="1" applyFont="1" applyFill="1" applyBorder="1" applyAlignment="1">
      <alignment horizontal="left"/>
    </xf>
    <xf numFmtId="167" fontId="5" fillId="6" borderId="13" xfId="0" applyNumberFormat="1" applyFont="1" applyFill="1" applyBorder="1" applyAlignment="1">
      <alignment horizontal="left"/>
    </xf>
    <xf numFmtId="168" fontId="1" fillId="8" borderId="16" xfId="1" applyNumberFormat="1" applyFill="1" applyBorder="1" applyAlignment="1">
      <alignment horizontal="center" vertical="center"/>
    </xf>
    <xf numFmtId="168" fontId="1" fillId="8" borderId="17" xfId="1" applyNumberFormat="1" applyFill="1" applyBorder="1" applyAlignment="1">
      <alignment horizontal="center" vertical="center"/>
    </xf>
    <xf numFmtId="168" fontId="1" fillId="8" borderId="18" xfId="1" applyNumberFormat="1" applyFill="1" applyBorder="1" applyAlignment="1">
      <alignment horizontal="center" vertical="center"/>
    </xf>
    <xf numFmtId="168" fontId="1" fillId="8" borderId="19" xfId="1" applyNumberFormat="1" applyFill="1" applyBorder="1" applyAlignment="1">
      <alignment horizontal="center" vertical="center"/>
    </xf>
    <xf numFmtId="168" fontId="1" fillId="8" borderId="20" xfId="1" applyNumberFormat="1" applyFill="1" applyBorder="1" applyAlignment="1">
      <alignment horizontal="center" vertical="center"/>
    </xf>
    <xf numFmtId="168" fontId="1" fillId="8" borderId="21" xfId="1" applyNumberFormat="1" applyFill="1" applyBorder="1" applyAlignment="1">
      <alignment horizontal="center" vertical="center"/>
    </xf>
    <xf numFmtId="0" fontId="5" fillId="6" borderId="22" xfId="0" applyFont="1" applyFill="1" applyBorder="1" applyAlignment="1">
      <alignment horizontal="center"/>
    </xf>
    <xf numFmtId="0" fontId="5" fillId="6" borderId="17" xfId="0" applyFont="1" applyFill="1" applyBorder="1" applyAlignment="1">
      <alignment horizontal="center"/>
    </xf>
    <xf numFmtId="0" fontId="5" fillId="6" borderId="18" xfId="0" applyFont="1" applyFill="1" applyBorder="1" applyAlignment="1">
      <alignment horizontal="left"/>
    </xf>
    <xf numFmtId="0" fontId="5" fillId="6" borderId="20" xfId="0" applyFont="1" applyFill="1" applyBorder="1" applyAlignment="1">
      <alignment horizontal="left"/>
    </xf>
    <xf numFmtId="0" fontId="4" fillId="7" borderId="15" xfId="0" applyFont="1" applyFill="1" applyBorder="1" applyAlignment="1">
      <alignment horizontal="center"/>
    </xf>
    <xf numFmtId="0" fontId="0" fillId="8" borderId="2" xfId="0" applyFill="1" applyBorder="1" applyAlignment="1">
      <alignment horizontal="left"/>
    </xf>
    <xf numFmtId="0" fontId="4" fillId="7" borderId="0" xfId="0" applyFont="1" applyFill="1"/>
    <xf numFmtId="0" fontId="10" fillId="6" borderId="23" xfId="0" applyFont="1" applyFill="1" applyBorder="1" applyAlignment="1">
      <alignment vertical="center"/>
    </xf>
    <xf numFmtId="0" fontId="9" fillId="6" borderId="24" xfId="0" applyFont="1" applyFill="1" applyBorder="1" applyAlignment="1">
      <alignment vertical="top"/>
    </xf>
    <xf numFmtId="0" fontId="10" fillId="6" borderId="25" xfId="1" applyNumberFormat="1" applyFont="1" applyFill="1" applyBorder="1"/>
    <xf numFmtId="0" fontId="9" fillId="6" borderId="25" xfId="1" applyNumberFormat="1" applyFont="1" applyFill="1" applyBorder="1" applyAlignment="1">
      <alignment vertical="top"/>
    </xf>
    <xf numFmtId="0" fontId="9" fillId="6" borderId="24" xfId="1" applyNumberFormat="1" applyFont="1" applyFill="1" applyBorder="1" applyAlignment="1">
      <alignment vertical="top"/>
    </xf>
    <xf numFmtId="0" fontId="4" fillId="6" borderId="26" xfId="1" applyNumberFormat="1" applyFont="1" applyFill="1" applyBorder="1" applyAlignment="1">
      <alignment horizontal="left" vertical="center"/>
    </xf>
    <xf numFmtId="167" fontId="1" fillId="8" borderId="9" xfId="1" applyNumberFormat="1" applyFill="1" applyBorder="1" applyAlignment="1">
      <alignment horizontal="center"/>
    </xf>
    <xf numFmtId="167" fontId="1" fillId="8" borderId="0" xfId="1" applyNumberFormat="1" applyFill="1" applyAlignment="1">
      <alignment horizontal="center"/>
    </xf>
    <xf numFmtId="167" fontId="1" fillId="8" borderId="6" xfId="1" applyNumberFormat="1" applyFill="1" applyBorder="1" applyAlignment="1">
      <alignment horizontal="center"/>
    </xf>
    <xf numFmtId="167" fontId="1" fillId="8" borderId="7" xfId="1" applyNumberFormat="1" applyFill="1" applyBorder="1" applyAlignment="1">
      <alignment horizontal="center"/>
    </xf>
    <xf numFmtId="170" fontId="13" fillId="8" borderId="23" xfId="2" applyNumberFormat="1" applyFont="1" applyFill="1" applyBorder="1" applyAlignment="1">
      <alignment horizontal="center" vertical="center"/>
    </xf>
    <xf numFmtId="170" fontId="13" fillId="8" borderId="25" xfId="0" applyNumberFormat="1" applyFont="1" applyFill="1" applyBorder="1" applyAlignment="1">
      <alignment horizontal="center" vertical="top"/>
    </xf>
    <xf numFmtId="170" fontId="13" fillId="8" borderId="28" xfId="0" applyNumberFormat="1" applyFont="1" applyFill="1" applyBorder="1" applyAlignment="1">
      <alignment horizontal="center" vertical="top"/>
    </xf>
    <xf numFmtId="167" fontId="4" fillId="7" borderId="29" xfId="0" applyNumberFormat="1" applyFont="1" applyFill="1" applyBorder="1" applyAlignment="1">
      <alignment horizontal="center" vertical="center"/>
    </xf>
    <xf numFmtId="0" fontId="4" fillId="6" borderId="30" xfId="0" applyFont="1" applyFill="1" applyBorder="1" applyAlignment="1">
      <alignment horizontal="center" vertical="center"/>
    </xf>
    <xf numFmtId="167" fontId="4" fillId="6" borderId="29" xfId="0" applyNumberFormat="1" applyFont="1" applyFill="1" applyBorder="1" applyAlignment="1">
      <alignment horizontal="center"/>
    </xf>
    <xf numFmtId="167" fontId="4" fillId="6" borderId="30" xfId="0" applyNumberFormat="1" applyFont="1" applyFill="1" applyBorder="1" applyAlignment="1">
      <alignment horizontal="center"/>
    </xf>
    <xf numFmtId="0" fontId="0" fillId="4" borderId="3" xfId="0" applyFill="1" applyBorder="1"/>
    <xf numFmtId="0" fontId="9" fillId="6" borderId="24" xfId="0" applyFont="1" applyFill="1" applyBorder="1" applyAlignment="1">
      <alignment horizontal="left" vertical="top"/>
    </xf>
    <xf numFmtId="0" fontId="10" fillId="7" borderId="2" xfId="0" applyFont="1" applyFill="1" applyBorder="1"/>
    <xf numFmtId="2" fontId="1" fillId="8" borderId="32" xfId="1" applyNumberFormat="1" applyFill="1" applyBorder="1" applyAlignment="1">
      <alignment horizontal="center"/>
    </xf>
    <xf numFmtId="2" fontId="1" fillId="8" borderId="33" xfId="1" applyNumberFormat="1" applyFill="1" applyBorder="1" applyAlignment="1">
      <alignment horizontal="center"/>
    </xf>
    <xf numFmtId="170" fontId="13" fillId="8" borderId="34" xfId="0" applyNumberFormat="1" applyFont="1" applyFill="1" applyBorder="1" applyAlignment="1">
      <alignment horizontal="center" vertical="top"/>
    </xf>
    <xf numFmtId="167" fontId="5" fillId="6" borderId="31" xfId="0" applyNumberFormat="1" applyFont="1" applyFill="1" applyBorder="1" applyAlignment="1">
      <alignment horizontal="left"/>
    </xf>
    <xf numFmtId="0" fontId="14" fillId="9" borderId="1" xfId="0" applyFont="1" applyFill="1" applyBorder="1" applyAlignment="1">
      <alignment horizontal="center" vertical="center" wrapText="1"/>
    </xf>
    <xf numFmtId="0" fontId="14" fillId="9" borderId="35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0" fillId="7" borderId="27" xfId="1" applyNumberFormat="1" applyFont="1" applyFill="1" applyBorder="1" applyAlignment="1">
      <alignment horizontal="center" vertical="center"/>
    </xf>
    <xf numFmtId="0" fontId="10" fillId="7" borderId="28" xfId="1" applyNumberFormat="1" applyFont="1" applyFill="1" applyBorder="1" applyAlignment="1">
      <alignment horizontal="center" vertical="center"/>
    </xf>
    <xf numFmtId="2" fontId="1" fillId="8" borderId="4" xfId="1" applyNumberFormat="1" applyFill="1" applyBorder="1" applyAlignment="1">
      <alignment horizontal="center" vertical="center"/>
    </xf>
    <xf numFmtId="2" fontId="1" fillId="8" borderId="7" xfId="1" applyNumberFormat="1" applyFill="1" applyBorder="1" applyAlignment="1">
      <alignment horizontal="center" vertical="center"/>
    </xf>
    <xf numFmtId="169" fontId="12" fillId="8" borderId="11" xfId="0" applyNumberFormat="1" applyFont="1" applyFill="1" applyBorder="1" applyAlignment="1">
      <alignment horizontal="center" vertical="center"/>
    </xf>
    <xf numFmtId="169" fontId="12" fillId="8" borderId="13" xfId="0" applyNumberFormat="1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70">
    <dxf>
      <numFmt numFmtId="0" formatCode="General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med Ali" refreshedDate="46072.492731134262" createdVersion="8" refreshedVersion="8" minRefreshableVersion="3" recordCount="55" xr:uid="{F9F8C6C9-F77F-47C0-A0ED-B95A1EF3DDB7}">
  <cacheSource type="worksheet">
    <worksheetSource ref="B16:I71" sheet="Sheet4"/>
  </cacheSource>
  <cacheFields count="8">
    <cacheField name="measures" numFmtId="0">
      <sharedItems count="55">
        <s v="AN 2023 Q3"/>
        <s v="AN 2023 Q4"/>
        <s v="AN 2024 Q1"/>
        <s v="AN 2024 Q2"/>
        <s v="AN 2024 Q3"/>
        <s v="AN 2024 Q4"/>
        <s v="AN 2025 Q1"/>
        <s v="AN 2025 Q2"/>
        <s v="AN 2025 Q3"/>
        <s v="AN 2025 Q4"/>
        <s v="AN 2026 Q1"/>
        <s v="FRN 2023 Q3"/>
        <s v="FRN 2023 Q4"/>
        <s v="FRN 2024 Q1"/>
        <s v="FRN 2024 Q2"/>
        <s v="FRN 2024 Q3"/>
        <s v="FRN 2024 Q4"/>
        <s v="FRN 2025 Q1"/>
        <s v="FRN 2025 Q2"/>
        <s v="FRN 2025 Q3"/>
        <s v="FRN 2025 Q4"/>
        <s v="FRN 2026 Q1"/>
        <s v="STG 2023 Q3"/>
        <s v="STG 2023 Q4"/>
        <s v="STG 2024 Q1"/>
        <s v="STG 2024 Q2"/>
        <s v="STG 2024 Q3"/>
        <s v="STG 2024 Q4"/>
        <s v="STG 2025 Q1"/>
        <s v="STG 2025 Q2"/>
        <s v="STG 2025 Q3"/>
        <s v="STG 2025 Q4"/>
        <s v="STG 2026 Q1"/>
        <s v="FLD 2023 Q3"/>
        <s v="FLD 2023 Q4"/>
        <s v="FLD 2024 Q1"/>
        <s v="FLD 2024 Q2"/>
        <s v="FLD 2024 Q3"/>
        <s v="FLD 2024 Q4"/>
        <s v="FLD 2025 Q1"/>
        <s v="FLD 2025 Q2"/>
        <s v="FLD 2025 Q3"/>
        <s v="FLD 2025 Q4"/>
        <s v="FLD 2026 Q1"/>
        <s v="ENT 2023 Q3"/>
        <s v="ENT 2023 Q4"/>
        <s v="ENT 2024 Q1"/>
        <s v="ENT 2024 Q2"/>
        <s v="ENT 2024 Q3"/>
        <s v="ENT 2024 Q4"/>
        <s v="ENT 2025 Q1"/>
        <s v="ENT 2025 Q2"/>
        <s v="ENT 2025 Q3"/>
        <s v="ENT 2025 Q4"/>
        <s v="ENT 2026 Q1"/>
      </sharedItems>
    </cacheField>
    <cacheField name="time" numFmtId="0">
      <sharedItems count="11">
        <s v="2023 Q3"/>
        <s v="2023 Q4"/>
        <s v="2024 Q1"/>
        <s v="2024 Q2"/>
        <s v="2024 Q3"/>
        <s v="2024 Q4"/>
        <s v="2025 Q1"/>
        <s v="2025 Q2"/>
        <s v="2025 Q3"/>
        <s v="2025 Q4"/>
        <s v="2026 Q1"/>
      </sharedItems>
    </cacheField>
    <cacheField name="ms" numFmtId="0">
      <sharedItems containsSemiMixedTypes="0" containsString="0" containsNumber="1" minValue="133.76755452848761" maxValue="142.91143686042631"/>
    </cacheField>
    <cacheField name="gl" numFmtId="0">
      <sharedItems containsSemiMixedTypes="0" containsString="0" containsNumber="1" minValue="-0.95884075513762923" maxValue="3.496150059072761"/>
    </cacheField>
    <cacheField name="rec" numFmtId="0">
      <sharedItems containsSemiMixedTypes="0" containsString="0" containsNumber="1" minValue="-3.5895939376582651" maxValue="1.6876202408983541"/>
    </cacheField>
    <cacheField name="ltv" numFmtId="0">
      <sharedItems containsSemiMixedTypes="0" containsString="0" containsNumber="1" minValue="-0.27871139471859308" maxValue="6.2534722946385761"/>
    </cacheField>
    <cacheField name="recltv" numFmtId="0">
      <sharedItems containsSemiMixedTypes="0" containsString="0" containsNumber="1" minValue="-1.8725491771172642" maxValue="7.8957180728668455"/>
    </cacheField>
    <cacheField name="RAGU Score" numFmtId="0">
      <sharedItems containsSemiMixedTypes="0" containsString="0" containsNumber="1" minValue="132.22905700225849" maxValue="152.692228410482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">
  <r>
    <x v="0"/>
    <x v="0"/>
    <n v="136.43849356660581"/>
    <n v="0.74718789742556169"/>
    <n v="-1.4136353782085389"/>
    <n v="2.707214768640378"/>
    <n v="1.2935793904318391"/>
    <n v="138.47926085446321"/>
  </r>
  <r>
    <x v="1"/>
    <x v="1"/>
    <n v="137.02135091300229"/>
    <n v="0.56488788096865505"/>
    <n v="-1.547276519445631"/>
    <n v="2.2880394682777583"/>
    <n v="0.74076294883212723"/>
    <n v="138.32700174280308"/>
  </r>
  <r>
    <x v="2"/>
    <x v="2"/>
    <n v="136.3721183056237"/>
    <n v="0.67852359119660832"/>
    <n v="-1.710954222899574"/>
    <n v="2.0027206956794088"/>
    <n v="0.29176647277983481"/>
    <n v="137.34240836960015"/>
  </r>
  <r>
    <x v="3"/>
    <x v="3"/>
    <n v="137.12198326493359"/>
    <n v="1.187691769032398"/>
    <n v="-0.9372902043276099"/>
    <n v="2.5931536524031129"/>
    <n v="1.655863448075503"/>
    <n v="139.9655384820415"/>
  </r>
  <r>
    <x v="4"/>
    <x v="4"/>
    <n v="138.09052083542991"/>
    <n v="0.97152704365686304"/>
    <n v="-0.87902048470331806"/>
    <n v="3.7446501775596372"/>
    <n v="2.8656296928563192"/>
    <n v="141.92767757194309"/>
  </r>
  <r>
    <x v="5"/>
    <x v="5"/>
    <n v="136.80135565802021"/>
    <n v="1.180283999142574"/>
    <n v="0.28454546267386149"/>
    <n v="3.388185742525025"/>
    <n v="3.6727312051988865"/>
    <n v="141.65437086236167"/>
  </r>
  <r>
    <x v="6"/>
    <x v="6"/>
    <n v="136.83702494495719"/>
    <n v="1.4683002213016609"/>
    <n v="0.1954039121930862"/>
    <n v="3.5073792754688773"/>
    <n v="3.7027831876619635"/>
    <n v="142.00810835392082"/>
  </r>
  <r>
    <x v="7"/>
    <x v="7"/>
    <n v="138.03381902691669"/>
    <n v="2.477602674231548"/>
    <n v="0.7670126606856229"/>
    <n v="4.0402815976930837"/>
    <n v="4.8072942583787066"/>
    <n v="145.31871595952694"/>
  </r>
  <r>
    <x v="8"/>
    <x v="8"/>
    <n v="138.55808093396249"/>
    <n v="2.9382644122946431"/>
    <n v="0.75510153055648743"/>
    <n v="3.9702313423319389"/>
    <n v="4.7253328728884263"/>
    <n v="146.22167821914556"/>
  </r>
  <r>
    <x v="9"/>
    <x v="9"/>
    <n v="139.3761012547063"/>
    <n v="3.496150059072761"/>
    <n v="1.4463265444025519"/>
    <n v="4.2537913348033802"/>
    <n v="5.7001178792059317"/>
    <n v="148.57236919298498"/>
  </r>
  <r>
    <x v="10"/>
    <x v="10"/>
    <n v="140.44072894001849"/>
    <n v="2.3332048422400362"/>
    <n v="0.88900846548980894"/>
    <n v="4.0861473316218193"/>
    <n v="4.9751557971116283"/>
    <n v="147.74908957937015"/>
  </r>
  <r>
    <x v="11"/>
    <x v="0"/>
    <n v="140.72102580751559"/>
    <n v="1.6458770814276991"/>
    <n v="-1.499374136103796"/>
    <n v="5.0332926220815501"/>
    <n v="3.5339184859777539"/>
    <n v="145.90082137492104"/>
  </r>
  <r>
    <x v="12"/>
    <x v="1"/>
    <n v="139.02514228651111"/>
    <n v="0.80231276196769841"/>
    <n v="-1.1772882109584939"/>
    <n v="5.567832149584941"/>
    <n v="4.3905439386264469"/>
    <n v="144.21799898710526"/>
  </r>
  <r>
    <x v="13"/>
    <x v="2"/>
    <n v="138.131634820861"/>
    <n v="-0.1252150605915858"/>
    <n v="-1.6266920552803299"/>
    <n v="5.235130974919084"/>
    <n v="3.6084389196387541"/>
    <n v="141.61485867990817"/>
  </r>
  <r>
    <x v="14"/>
    <x v="3"/>
    <n v="140.1735622972094"/>
    <n v="0.31930787143878092"/>
    <n v="-1.1902043554766519"/>
    <n v="5.328628903686397"/>
    <n v="4.1384245482097448"/>
    <n v="144.63129471685792"/>
  </r>
  <r>
    <x v="15"/>
    <x v="4"/>
    <n v="141.55375224123731"/>
    <n v="0.76131700388197032"/>
    <n v="-0.52517726473530502"/>
    <n v="5.1245756487105352"/>
    <n v="4.5993983839752302"/>
    <n v="146.9144676290945"/>
  </r>
  <r>
    <x v="16"/>
    <x v="5"/>
    <n v="139.97097369283409"/>
    <n v="0.52945381688320481"/>
    <n v="0.13442814082148399"/>
    <n v="5.2098344148380225"/>
    <n v="5.3442625556595065"/>
    <n v="145.8446900653768"/>
  </r>
  <r>
    <x v="17"/>
    <x v="6"/>
    <n v="139.83315040104489"/>
    <n v="0.68523213019838636"/>
    <n v="0.25848634103269319"/>
    <n v="5.1666469020677797"/>
    <n v="5.4251332431004728"/>
    <n v="145.94351577434375"/>
  </r>
  <r>
    <x v="18"/>
    <x v="7"/>
    <n v="140.63433560368551"/>
    <n v="1.2784721601783819"/>
    <n v="0.3710951563345759"/>
    <n v="6.0848515660240068"/>
    <n v="6.4559467223585827"/>
    <n v="148.36875448622249"/>
  </r>
  <r>
    <x v="19"/>
    <x v="8"/>
    <n v="140.9638839291236"/>
    <n v="1.805257397700444"/>
    <n v="1.0144540789516721"/>
    <n v="6.1510730999353918"/>
    <n v="7.1655271788870643"/>
    <n v="149.9346685057111"/>
  </r>
  <r>
    <x v="20"/>
    <x v="9"/>
    <n v="141.85748818430829"/>
    <n v="2.9390221533070928"/>
    <n v="1.6876202408983541"/>
    <n v="6.2080978319684919"/>
    <n v="7.8957180728668455"/>
    <n v="152.69222841048224"/>
  </r>
  <r>
    <x v="21"/>
    <x v="10"/>
    <n v="142.91143686042631"/>
    <n v="2.5514703080995389"/>
    <n v="1.507433932902245"/>
    <n v="5.6750127825983183"/>
    <n v="7.1824467155005634"/>
    <n v="152.64535388402641"/>
  </r>
  <r>
    <x v="22"/>
    <x v="0"/>
    <n v="138.53983622019501"/>
    <n v="1.4890727847551091"/>
    <n v="-1.602003264603582"/>
    <n v="6.1354790625042446"/>
    <n v="4.5334757979006621"/>
    <n v="144.56238480285077"/>
  </r>
  <r>
    <x v="23"/>
    <x v="1"/>
    <n v="137.48747271961969"/>
    <n v="1.125350888566828"/>
    <n v="-1.3403708854876579"/>
    <n v="6.0717535469953345"/>
    <n v="4.7313826615076771"/>
    <n v="143.34420626969418"/>
  </r>
  <r>
    <x v="24"/>
    <x v="2"/>
    <n v="136.76023284432631"/>
    <n v="1.0630594758274301"/>
    <n v="-1.393875278698488"/>
    <n v="4.5804623728311995"/>
    <n v="3.1865870941327117"/>
    <n v="141.00987941428644"/>
  </r>
  <r>
    <x v="25"/>
    <x v="3"/>
    <n v="137.47802427838079"/>
    <n v="2.0245553803393079"/>
    <n v="-1.026304282028548"/>
    <n v="5.137836553915891"/>
    <n v="4.1115322718873433"/>
    <n v="143.61411193060744"/>
  </r>
  <r>
    <x v="26"/>
    <x v="4"/>
    <n v="138.54353569478641"/>
    <n v="2.2733805755634648"/>
    <n v="-0.61440042470786693"/>
    <n v="5.7066458856648099"/>
    <n v="5.092245460956943"/>
    <n v="145.90916173130682"/>
  </r>
  <r>
    <x v="27"/>
    <x v="5"/>
    <n v="137.2090482829978"/>
    <n v="2.0669290653268888"/>
    <n v="0.52383900486719881"/>
    <n v="5.548369545177378"/>
    <n v="6.0722085500445768"/>
    <n v="145.34818589836925"/>
  </r>
  <r>
    <x v="28"/>
    <x v="6"/>
    <n v="136.66839841462689"/>
    <n v="1.8543412932472729"/>
    <n v="0.2378777955592852"/>
    <n v="5.2166812565387151"/>
    <n v="5.4545590520980003"/>
    <n v="143.97729875997217"/>
  </r>
  <r>
    <x v="29"/>
    <x v="7"/>
    <n v="137.94719223853701"/>
    <n v="2.033757005762368"/>
    <n v="0.49356391727096138"/>
    <n v="6.1403636923522242"/>
    <n v="6.6339276096231856"/>
    <n v="146.61487685392257"/>
  </r>
  <r>
    <x v="30"/>
    <x v="8"/>
    <n v="138.66054717924419"/>
    <n v="2.259577774352834"/>
    <n v="0.99568501341289561"/>
    <n v="6.0382608264494451"/>
    <n v="7.0339458398623407"/>
    <n v="147.95407079345938"/>
  </r>
  <r>
    <x v="31"/>
    <x v="9"/>
    <n v="140.0375169754368"/>
    <n v="3.1147868077111411"/>
    <n v="1.466777705310506"/>
    <n v="6.2534722946385761"/>
    <n v="7.7202499999490826"/>
    <n v="150.87255378309703"/>
  </r>
  <r>
    <x v="32"/>
    <x v="10"/>
    <n v="141.56614258067501"/>
    <n v="2.5979542673680101"/>
    <n v="1.3030209323074191"/>
    <n v="5.2901017903815886"/>
    <n v="6.5931227226890075"/>
    <n v="150.75721957073202"/>
  </r>
  <r>
    <x v="33"/>
    <x v="0"/>
    <n v="137.9566586474825"/>
    <n v="1.0836194161292669"/>
    <n v="-1.515339213572986"/>
    <n v="2.4767311998545218"/>
    <n v="0.96139198628153588"/>
    <n v="140.00167004989331"/>
  </r>
  <r>
    <x v="34"/>
    <x v="1"/>
    <n v="139.56619914782399"/>
    <n v="1.405517876833301"/>
    <n v="-1.4320807438415391"/>
    <n v="2.1566316817629261"/>
    <n v="0.72455093792138703"/>
    <n v="141.69626796257867"/>
  </r>
  <r>
    <x v="35"/>
    <x v="2"/>
    <n v="138.52439991139249"/>
    <n v="1.5961370239090229"/>
    <n v="-1.5909144117584899"/>
    <n v="0.82751226950812695"/>
    <n v="-0.76340214225036296"/>
    <n v="139.35713479305116"/>
  </r>
  <r>
    <x v="36"/>
    <x v="3"/>
    <n v="138.4097814248108"/>
    <n v="2.4397109431023409"/>
    <n v="-0.76823536298203976"/>
    <n v="1.0685351494916295"/>
    <n v="0.30029978650958977"/>
    <n v="141.14979215442273"/>
  </r>
  <r>
    <x v="37"/>
    <x v="4"/>
    <n v="140.3633073736207"/>
    <n v="3.2825891938814782"/>
    <n v="-0.58192996556013554"/>
    <n v="1.3239600171902748"/>
    <n v="0.74203005163013924"/>
    <n v="144.38792661913232"/>
  </r>
  <r>
    <x v="38"/>
    <x v="5"/>
    <n v="138.38768592238731"/>
    <n v="2.969253794609187"/>
    <n v="0.44232335840652581"/>
    <n v="1.3976667268150658"/>
    <n v="1.8399900852215916"/>
    <n v="143.19692980221808"/>
  </r>
  <r>
    <x v="39"/>
    <x v="6"/>
    <n v="136.70742932031769"/>
    <n v="2.413259014666977"/>
    <n v="0.15029169317469379"/>
    <n v="0.8663164569306705"/>
    <n v="1.0166081501053643"/>
    <n v="140.13729648509002"/>
  </r>
  <r>
    <x v="40"/>
    <x v="7"/>
    <n v="138.34779673954839"/>
    <n v="2.4952467294445739"/>
    <n v="0.2472083951752779"/>
    <n v="0.4739865492493105"/>
    <n v="0.72119494442458842"/>
    <n v="141.56423841341754"/>
  </r>
  <r>
    <x v="41"/>
    <x v="8"/>
    <n v="138.10209621539431"/>
    <n v="3.0171416964290638"/>
    <n v="0.50401655658083655"/>
    <n v="0.45527757409375336"/>
    <n v="0.95929413067458991"/>
    <n v="142.07853204249795"/>
  </r>
  <r>
    <x v="42"/>
    <x v="9"/>
    <n v="138.94555151202141"/>
    <n v="1.8647378056060691"/>
    <n v="1.6058712731256719"/>
    <n v="0.48685779217732339"/>
    <n v="2.0927290653029953"/>
    <n v="142.90301838293047"/>
  </r>
  <r>
    <x v="43"/>
    <x v="10"/>
    <n v="141.13319974873141"/>
    <n v="1.600876234825193"/>
    <n v="1.3832903723121319"/>
    <n v="-0.27871139471859308"/>
    <n v="1.1045789775935388"/>
    <n v="143.83865496115016"/>
  </r>
  <r>
    <x v="44"/>
    <x v="0"/>
    <n v="133.76755452848761"/>
    <n v="-0.63716492414664572"/>
    <n v="-3.52871450035525"/>
    <n v="2.6273818982727835"/>
    <n v="-0.90133260208246657"/>
    <n v="132.22905700225849"/>
  </r>
  <r>
    <x v="45"/>
    <x v="1"/>
    <n v="135.3136659257851"/>
    <n v="0.15732039164214481"/>
    <n v="-2.9984759116015312"/>
    <n v="1.8482391078753926"/>
    <n v="-1.1502368037261386"/>
    <n v="134.32074951370112"/>
  </r>
  <r>
    <x v="46"/>
    <x v="2"/>
    <n v="136.174564953763"/>
    <n v="-0.5898295146213286"/>
    <n v="-3.5895939376582651"/>
    <n v="1.7170447605410009"/>
    <n v="-1.8725491771172642"/>
    <n v="133.7121862620244"/>
  </r>
  <r>
    <x v="47"/>
    <x v="3"/>
    <n v="136.81709999339159"/>
    <n v="-0.3260526431747337"/>
    <n v="-3.2046889984176521"/>
    <n v="1.9627113056735983"/>
    <n v="-1.2419776927440538"/>
    <n v="135.2490696574728"/>
  </r>
  <r>
    <x v="48"/>
    <x v="4"/>
    <n v="136.69241262670499"/>
    <n v="-0.47612709118808988"/>
    <n v="-2.4202093546071239"/>
    <n v="1.7519385388946547"/>
    <n v="-0.66827081571246927"/>
    <n v="135.54801471980443"/>
  </r>
  <r>
    <x v="49"/>
    <x v="5"/>
    <n v="134.948750294055"/>
    <n v="-0.27880239780054689"/>
    <n v="0.13834392106284099"/>
    <n v="1.3235352056190524"/>
    <n v="1.4618791266818933"/>
    <n v="136.13182702293636"/>
  </r>
  <r>
    <x v="50"/>
    <x v="6"/>
    <n v="134.57147996843619"/>
    <n v="-0.95884075513762923"/>
    <n v="1.1069597534657309"/>
    <n v="1.5176980264090763"/>
    <n v="2.6246577798748074"/>
    <n v="136.23729699317337"/>
  </r>
  <r>
    <x v="51"/>
    <x v="7"/>
    <n v="136.4179223286813"/>
    <n v="0.2153117599389702"/>
    <n v="9.9570656598132246E-2"/>
    <n v="1.9215073095841555"/>
    <n v="2.021077966182288"/>
    <n v="138.65431205480255"/>
  </r>
  <r>
    <x v="52"/>
    <x v="8"/>
    <n v="137.00629562165429"/>
    <n v="0.19536934067386369"/>
    <n v="0.32921503719407502"/>
    <n v="1.8477536230552478"/>
    <n v="2.1769686602493228"/>
    <n v="139.37863362257747"/>
  </r>
  <r>
    <x v="53"/>
    <x v="9"/>
    <n v="137.20721483911191"/>
    <n v="1.680992874523753"/>
    <n v="1.211526218874468"/>
    <n v="1.6963272774335136"/>
    <n v="2.9078534963079816"/>
    <n v="141.79606120994364"/>
  </r>
  <r>
    <x v="54"/>
    <x v="10"/>
    <n v="139.551505877495"/>
    <n v="1.976145990146591"/>
    <n v="0.62228186315516609"/>
    <n v="1.2163820877261886"/>
    <n v="1.8386639508813547"/>
    <n v="143.366315818522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89C674-C02A-43B5-9EE4-C35A976323F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0" firstHeaderRow="1" firstDataRow="1" firstDataCol="1"/>
  <pivotFields count="8">
    <pivotField axis="axisRow" showAll="0">
      <items count="56">
        <item x="0"/>
        <item x="1"/>
        <item x="2"/>
        <item x="3"/>
        <item x="4"/>
        <item x="5"/>
        <item x="6"/>
        <item x="7"/>
        <item x="8"/>
        <item x="9"/>
        <item x="10"/>
        <item x="44"/>
        <item x="45"/>
        <item x="46"/>
        <item x="47"/>
        <item x="48"/>
        <item x="49"/>
        <item x="50"/>
        <item x="51"/>
        <item x="52"/>
        <item x="53"/>
        <item x="54"/>
        <item x="33"/>
        <item x="34"/>
        <item x="35"/>
        <item x="36"/>
        <item x="37"/>
        <item x="38"/>
        <item x="39"/>
        <item x="40"/>
        <item x="41"/>
        <item x="42"/>
        <item x="43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2">
    <field x="1"/>
    <field x="0"/>
  </rowFields>
  <rowItems count="67">
    <i>
      <x/>
    </i>
    <i r="1">
      <x/>
    </i>
    <i r="1">
      <x v="11"/>
    </i>
    <i r="1">
      <x v="22"/>
    </i>
    <i r="1">
      <x v="33"/>
    </i>
    <i r="1">
      <x v="44"/>
    </i>
    <i>
      <x v="1"/>
    </i>
    <i r="1">
      <x v="1"/>
    </i>
    <i r="1">
      <x v="12"/>
    </i>
    <i r="1">
      <x v="23"/>
    </i>
    <i r="1">
      <x v="34"/>
    </i>
    <i r="1">
      <x v="45"/>
    </i>
    <i>
      <x v="2"/>
    </i>
    <i r="1">
      <x v="2"/>
    </i>
    <i r="1">
      <x v="13"/>
    </i>
    <i r="1">
      <x v="24"/>
    </i>
    <i r="1">
      <x v="35"/>
    </i>
    <i r="1">
      <x v="46"/>
    </i>
    <i>
      <x v="3"/>
    </i>
    <i r="1">
      <x v="3"/>
    </i>
    <i r="1">
      <x v="14"/>
    </i>
    <i r="1">
      <x v="25"/>
    </i>
    <i r="1">
      <x v="36"/>
    </i>
    <i r="1">
      <x v="47"/>
    </i>
    <i>
      <x v="4"/>
    </i>
    <i r="1">
      <x v="4"/>
    </i>
    <i r="1">
      <x v="15"/>
    </i>
    <i r="1">
      <x v="26"/>
    </i>
    <i r="1">
      <x v="37"/>
    </i>
    <i r="1">
      <x v="48"/>
    </i>
    <i>
      <x v="5"/>
    </i>
    <i r="1">
      <x v="5"/>
    </i>
    <i r="1">
      <x v="16"/>
    </i>
    <i r="1">
      <x v="27"/>
    </i>
    <i r="1">
      <x v="38"/>
    </i>
    <i r="1">
      <x v="49"/>
    </i>
    <i>
      <x v="6"/>
    </i>
    <i r="1">
      <x v="6"/>
    </i>
    <i r="1">
      <x v="17"/>
    </i>
    <i r="1">
      <x v="28"/>
    </i>
    <i r="1">
      <x v="39"/>
    </i>
    <i r="1">
      <x v="50"/>
    </i>
    <i>
      <x v="7"/>
    </i>
    <i r="1">
      <x v="7"/>
    </i>
    <i r="1">
      <x v="18"/>
    </i>
    <i r="1">
      <x v="29"/>
    </i>
    <i r="1">
      <x v="40"/>
    </i>
    <i r="1">
      <x v="51"/>
    </i>
    <i>
      <x v="8"/>
    </i>
    <i r="1">
      <x v="8"/>
    </i>
    <i r="1">
      <x v="19"/>
    </i>
    <i r="1">
      <x v="30"/>
    </i>
    <i r="1">
      <x v="41"/>
    </i>
    <i r="1">
      <x v="52"/>
    </i>
    <i>
      <x v="9"/>
    </i>
    <i r="1">
      <x v="9"/>
    </i>
    <i r="1">
      <x v="20"/>
    </i>
    <i r="1">
      <x v="31"/>
    </i>
    <i r="1">
      <x v="42"/>
    </i>
    <i r="1">
      <x v="53"/>
    </i>
    <i>
      <x v="10"/>
    </i>
    <i r="1">
      <x v="10"/>
    </i>
    <i r="1">
      <x v="21"/>
    </i>
    <i r="1">
      <x v="32"/>
    </i>
    <i r="1">
      <x v="43"/>
    </i>
    <i r="1">
      <x v="54"/>
    </i>
    <i t="grand">
      <x/>
    </i>
  </rowItems>
  <colItems count="1">
    <i/>
  </colItems>
  <dataFields count="1">
    <dataField name="Sum of ltv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1D0255-2B2B-4063-8348-FA2C211D3C40}" name="Mult" displayName="Mult" ref="A1:BD24" totalsRowShown="0" headerRowDxfId="69">
  <autoFilter ref="A1:BD24" xr:uid="{771D0255-2B2B-4063-8348-FA2C211D3C40}"/>
  <tableColumns count="56">
    <tableColumn id="1" xr3:uid="{EA16D624-8FDF-45A3-B540-16CE1BE00EDF}" name="Column1" dataDxfId="68"/>
    <tableColumn id="2" xr3:uid="{5C578315-AA35-4832-BF46-B4C31BCEC8F7}" name="FRN | 2023 Q3"/>
    <tableColumn id="3" xr3:uid="{CE801858-15D1-43C3-878A-A66035EACE3E}" name="AN | 2023 Q3"/>
    <tableColumn id="4" xr3:uid="{4761F43B-2C6F-4AA8-8005-E371BE998581}" name="STG | 2023 Q3"/>
    <tableColumn id="5" xr3:uid="{F6716E3C-A9F2-4FA5-B113-7967DA37344F}" name="FLD | 2023 Q3"/>
    <tableColumn id="6" xr3:uid="{DC1BC0D5-AA6C-4339-B99D-747040FB68C2}" name="ENT | 2023 Q3"/>
    <tableColumn id="7" xr3:uid="{0F684034-F785-4743-B0B1-3BB221D0CE10}" name="FRN | 2023 Q4"/>
    <tableColumn id="8" xr3:uid="{1F5ED26E-F826-4DCF-8079-C1923DB6F387}" name="AN | 2023 Q4"/>
    <tableColumn id="9" xr3:uid="{827DF45A-1BA4-4652-BCA6-3C62E6794DB8}" name="STG | 2023 Q4"/>
    <tableColumn id="10" xr3:uid="{2B212BEE-3F19-4E95-B21C-072BFE328F60}" name="FLD | 2023 Q4"/>
    <tableColumn id="11" xr3:uid="{8DF3B76A-08FE-44B4-9594-8C75447FB1A6}" name="ENT | 2023 Q4"/>
    <tableColumn id="12" xr3:uid="{5AE4D11F-682B-4EEC-A6A9-3E2C60266A92}" name="FRN | 2024 Q1"/>
    <tableColumn id="13" xr3:uid="{6FE81D08-24D3-4EC0-84A5-4C651CC2EE49}" name="AN | 2024 Q1"/>
    <tableColumn id="14" xr3:uid="{EF81D503-F033-4C31-A1E9-B4AC3DBC24BA}" name="STG | 2024 Q1"/>
    <tableColumn id="15" xr3:uid="{3671CDB7-8A37-4C36-B4BD-1B4B00367A2C}" name="FLD | 2024 Q1"/>
    <tableColumn id="16" xr3:uid="{95161359-C868-4644-95F0-F70A12D0BC3B}" name="ENT | 2024 Q1"/>
    <tableColumn id="17" xr3:uid="{F1BD44B9-24F2-4ACF-9A17-E4A8063DA354}" name="FRN | 2024 Q2"/>
    <tableColumn id="18" xr3:uid="{E7DF4A73-C187-4CC0-A020-D18398F21EA6}" name="AN | 2024 Q2"/>
    <tableColumn id="19" xr3:uid="{9F120BA6-8CB4-4F5F-B2BA-BA0FE187B74A}" name="STG | 2024 Q2"/>
    <tableColumn id="20" xr3:uid="{8951F0E4-31D2-4F5C-80A7-4F948AD7005F}" name="FLD | 2024 Q2"/>
    <tableColumn id="21" xr3:uid="{6BE4089D-7272-400C-8208-AFBBE7DD70BE}" name="ENT | 2024 Q2"/>
    <tableColumn id="22" xr3:uid="{49A235C6-BEEC-4D89-BE38-C91B8B7E4291}" name="FRN | 2024 Q3"/>
    <tableColumn id="23" xr3:uid="{9D82241A-27A2-4DBA-B998-508D4AE85E29}" name="AN | 2024 Q3"/>
    <tableColumn id="24" xr3:uid="{1004F805-D560-40F3-AA69-5C51685729DD}" name="STG | 2024 Q3"/>
    <tableColumn id="25" xr3:uid="{D26DEA8A-D644-470C-A833-99923FB36C89}" name="FLD | 2024 Q3"/>
    <tableColumn id="26" xr3:uid="{7B6097BC-6728-495D-8932-B12DEA1FCA9E}" name="ENT | 2024 Q3"/>
    <tableColumn id="27" xr3:uid="{7375B262-DDF7-4AD3-B9B2-D51FEADBA195}" name="FRN | 2024 Q4"/>
    <tableColumn id="28" xr3:uid="{854BCB84-68E3-4D96-907D-5E96D83A0687}" name="AN | 2024 Q4"/>
    <tableColumn id="29" xr3:uid="{896AD589-E49C-4F3E-AFF2-1C15990D3527}" name="STG | 2024 Q4"/>
    <tableColumn id="30" xr3:uid="{4463FBE8-EA7E-4916-A52B-1CFF5CFE2228}" name="FLD | 2024 Q4"/>
    <tableColumn id="31" xr3:uid="{ED86D01B-7176-4C9D-AD78-6CDB8094560B}" name="ENT | 2024 Q4"/>
    <tableColumn id="32" xr3:uid="{D9CDA360-C876-45D5-BBAC-F472E43A670C}" name="FRN | 2025 Q1"/>
    <tableColumn id="33" xr3:uid="{0913A60A-3DBE-462D-A602-9BCCED786EA7}" name="AN | 2025 Q1"/>
    <tableColumn id="34" xr3:uid="{DCD7BBA3-EABF-4682-9D2F-770EF9CA6620}" name="STG | 2025 Q1"/>
    <tableColumn id="35" xr3:uid="{E994E658-628F-41A2-9D2A-1E1538472BF7}" name="FLD | 2025 Q1"/>
    <tableColumn id="36" xr3:uid="{4EFDECDB-303B-417C-BBBD-3B911B67CCFF}" name="ENT | 2025 Q1"/>
    <tableColumn id="37" xr3:uid="{5F4B3F60-BA76-44FD-9A57-FAB3CFB326C2}" name="FRN | 2025 Q2"/>
    <tableColumn id="38" xr3:uid="{BF8C37A6-3A15-45ED-A0D9-424FCA0B1516}" name="AN | 2025 Q2"/>
    <tableColumn id="39" xr3:uid="{EC2D7780-1514-43F2-8030-E0B2D7D6F43C}" name="STG | 2025 Q2"/>
    <tableColumn id="40" xr3:uid="{A0D41F1D-EE9B-4D5F-BB15-6A27D6E4A9BC}" name="FLD | 2025 Q2"/>
    <tableColumn id="41" xr3:uid="{3263EC09-B727-407E-8E5C-4FA6692AB3BA}" name="ENT | 2025 Q2"/>
    <tableColumn id="42" xr3:uid="{B1410BD2-F092-4DE4-9347-FC128A63AE60}" name="FRN | 2025 Q3"/>
    <tableColumn id="43" xr3:uid="{D4C14562-5545-4CF1-AEB5-E042E197EC39}" name="AN | 2025 Q3"/>
    <tableColumn id="44" xr3:uid="{94075ED1-1275-49E7-BF56-9F033F9D924A}" name="STG | 2025 Q3"/>
    <tableColumn id="45" xr3:uid="{42AE0D65-C821-42C0-B806-ED24C3AA1F55}" name="FLD | 2025 Q3"/>
    <tableColumn id="46" xr3:uid="{9313378B-CC9F-4C76-AD72-837BF2A3FDD4}" name="ENT | 2025 Q3"/>
    <tableColumn id="47" xr3:uid="{709E4F0B-143E-4F6C-A06C-C68560A45342}" name="FRN | 2025 Q4"/>
    <tableColumn id="48" xr3:uid="{A3CFF3D5-B8C9-4B39-96B6-79BF7A674902}" name="AN | 2025 Q4"/>
    <tableColumn id="49" xr3:uid="{5CCD7750-73E0-4472-AB15-9E48879B905F}" name="STG | 2025 Q4"/>
    <tableColumn id="50" xr3:uid="{D9A05834-A1C6-4D9E-923C-A9DE45691C24}" name="FLD | 2025 Q4"/>
    <tableColumn id="51" xr3:uid="{6FA528A2-0B04-4D15-96E6-5968342F9012}" name="ENT | 2025 Q4"/>
    <tableColumn id="52" xr3:uid="{C4243B7E-CE7E-49FF-A52F-A5C5895D321F}" name="FRN | 2026 Q1"/>
    <tableColumn id="53" xr3:uid="{FC57A436-781B-48D6-9988-9AC5B219C5B6}" name="AN | 2026 Q1"/>
    <tableColumn id="54" xr3:uid="{531FF7D2-0D42-4973-B5E7-5BE67EF36774}" name="STG | 2026 Q1"/>
    <tableColumn id="55" xr3:uid="{FEBF35F3-BA4D-4E48-B9E0-7B5ED1CAA615}" name="FLD | 2026 Q1"/>
    <tableColumn id="56" xr3:uid="{2332B771-54A2-4F03-B547-2D2C2B4A15AC}" name="ENT | 2026 Q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7C6CC3-410B-434D-B64C-5DC5253620CB}" name="flag" displayName="flag" ref="A1:BD25" totalsRowShown="0" headerRowDxfId="67">
  <autoFilter ref="A1:BD25" xr:uid="{D67C6CC3-410B-434D-B64C-5DC5253620CB}"/>
  <tableColumns count="56">
    <tableColumn id="1" xr3:uid="{733A2C13-4239-410B-98E8-4378C1E275B8}" name="Column1" dataDxfId="66"/>
    <tableColumn id="2" xr3:uid="{C60FFDF2-898E-40FD-9C69-D8125BF127AF}" name="FRN | 2023 Q3" dataDxfId="65"/>
    <tableColumn id="3" xr3:uid="{CAAD0D9A-6754-4594-8C48-E43F97A9825C}" name="AN | 2023 Q3" dataDxfId="64"/>
    <tableColumn id="4" xr3:uid="{3E97C722-5350-4506-9C8C-28BE54F74943}" name="STG | 2023 Q3" dataDxfId="63"/>
    <tableColumn id="5" xr3:uid="{97C311A7-EF11-447A-B2CC-F199C14C6014}" name="FLD | 2023 Q3" dataDxfId="62"/>
    <tableColumn id="6" xr3:uid="{37828C36-19AC-4CE4-9087-4FF995437A4D}" name="ENT | 2023 Q3" dataDxfId="61"/>
    <tableColumn id="7" xr3:uid="{35E9C467-CCBF-4E7F-A79D-5A8694E4E6AB}" name="FRN | 2023 Q4" dataDxfId="60"/>
    <tableColumn id="8" xr3:uid="{70D95F34-A93D-4E4F-B662-758A1F613BF8}" name="AN | 2023 Q4" dataDxfId="59"/>
    <tableColumn id="9" xr3:uid="{842EF921-8A64-4EA7-9E55-342F6641D04A}" name="STG | 2023 Q4" dataDxfId="58"/>
    <tableColumn id="10" xr3:uid="{32EBE23D-81F5-459D-9E43-0255AD6F6A51}" name="FLD | 2023 Q4" dataDxfId="57"/>
    <tableColumn id="11" xr3:uid="{68B3DED9-FE16-4B25-882E-822DBF465DAE}" name="ENT | 2023 Q4" dataDxfId="56"/>
    <tableColumn id="12" xr3:uid="{B8032C73-2904-46EF-840C-F6834954FAC1}" name="FRN | 2024 Q1" dataDxfId="55"/>
    <tableColumn id="13" xr3:uid="{BE1A27A3-D042-42D4-A438-263F52552907}" name="AN | 2024 Q1" dataDxfId="54"/>
    <tableColumn id="14" xr3:uid="{0741D57B-F7FD-4232-8F7F-91BBE5C1072E}" name="STG | 2024 Q1" dataDxfId="53"/>
    <tableColumn id="15" xr3:uid="{BA9B2573-1D44-4F70-991A-8020A83DF05A}" name="FLD | 2024 Q1" dataDxfId="52"/>
    <tableColumn id="16" xr3:uid="{EC27A22F-DCE7-4394-933B-C8F5DED9517A}" name="ENT | 2024 Q1" dataDxfId="51"/>
    <tableColumn id="17" xr3:uid="{0D13BF41-93EB-4400-986C-1569237DAC81}" name="FRN | 2024 Q2" dataDxfId="50"/>
    <tableColumn id="18" xr3:uid="{FE934D2C-221A-43C7-9E62-C11A0D6ECD0A}" name="AN | 2024 Q2" dataDxfId="49"/>
    <tableColumn id="19" xr3:uid="{AE4FF488-EA00-4E6E-8083-06D7D5160E8B}" name="STG | 2024 Q2" dataDxfId="48"/>
    <tableColumn id="20" xr3:uid="{B4D827D1-EE35-4187-A210-5184940736C5}" name="FLD | 2024 Q2" dataDxfId="47"/>
    <tableColumn id="21" xr3:uid="{3DF4C607-E76F-428D-871D-5C2D62AE1328}" name="ENT | 2024 Q2" dataDxfId="46"/>
    <tableColumn id="22" xr3:uid="{BCBD886E-224B-4FDF-B571-9029AD2E3F3D}" name="FRN | 2024 Q3" dataDxfId="45"/>
    <tableColumn id="23" xr3:uid="{B74816EB-41DF-41A5-9ED9-CB25FDDCA5D6}" name="AN | 2024 Q3" dataDxfId="44"/>
    <tableColumn id="24" xr3:uid="{6F31AEB0-3AA0-4224-B103-380D426448D5}" name="STG | 2024 Q3" dataDxfId="43"/>
    <tableColumn id="25" xr3:uid="{0E6917E7-90B4-4CEE-82AA-7792CD57C663}" name="FLD | 2024 Q3" dataDxfId="42"/>
    <tableColumn id="26" xr3:uid="{5264BDAC-ACB1-46B2-A784-50D43D27D963}" name="ENT | 2024 Q3" dataDxfId="41"/>
    <tableColumn id="27" xr3:uid="{86ACB8F1-6121-4C95-A2D4-44FEF683DF1F}" name="FRN | 2024 Q4" dataDxfId="40"/>
    <tableColumn id="28" xr3:uid="{BB852945-B147-4FCD-88AD-86DAD7D318CE}" name="AN | 2024 Q4" dataDxfId="39"/>
    <tableColumn id="29" xr3:uid="{B825C82B-29FA-4D76-839D-6C14E6F07D58}" name="STG | 2024 Q4" dataDxfId="38"/>
    <tableColumn id="30" xr3:uid="{0B5939F3-6502-426C-9E23-E9C6C0094951}" name="FLD | 2024 Q4" dataDxfId="37"/>
    <tableColumn id="31" xr3:uid="{90948E5D-89B5-4939-B1D2-E315C4A31A38}" name="ENT | 2024 Q4" dataDxfId="36"/>
    <tableColumn id="32" xr3:uid="{41A4E9E0-3423-4FD1-BEDE-E9A094922D79}" name="FRN | 2025 Q1" dataDxfId="35"/>
    <tableColumn id="33" xr3:uid="{F690D2EC-AE23-40D4-8C08-588C4D02020E}" name="AN | 2025 Q1" dataDxfId="34"/>
    <tableColumn id="34" xr3:uid="{61C44A05-DD70-48A0-BCF0-466D01FF33A3}" name="STG | 2025 Q1" dataDxfId="33"/>
    <tableColumn id="35" xr3:uid="{644B952A-D19C-4C5C-87F6-F1A9F0FC9819}" name="FLD | 2025 Q1" dataDxfId="32"/>
    <tableColumn id="36" xr3:uid="{2A85EFC0-E374-4C51-8B70-97F953514FF7}" name="ENT | 2025 Q1" dataDxfId="31"/>
    <tableColumn id="37" xr3:uid="{798C3CBC-7D51-44FD-97F8-90AC100CD511}" name="FRN | 2025 Q2" dataDxfId="30"/>
    <tableColumn id="38" xr3:uid="{C0583AC6-4675-4EA4-A9CF-265A3E3C2AB2}" name="AN | 2025 Q2" dataDxfId="29"/>
    <tableColumn id="39" xr3:uid="{B2F3F231-886D-4F10-8DD3-946A0B93E289}" name="STG | 2025 Q2" dataDxfId="28"/>
    <tableColumn id="40" xr3:uid="{036B8125-F363-44A3-8CE4-336B17F8E2F5}" name="FLD | 2025 Q2" dataDxfId="27"/>
    <tableColumn id="41" xr3:uid="{51AC96FC-766B-4FE7-B274-B032CDB13A85}" name="ENT | 2025 Q2" dataDxfId="26"/>
    <tableColumn id="42" xr3:uid="{76ED54ED-26A0-41F6-98D0-70183FD736A0}" name="FRN | 2025 Q3" dataDxfId="25"/>
    <tableColumn id="43" xr3:uid="{C2E347CD-8E62-415B-B04B-F21A837FADE9}" name="AN | 2025 Q3" dataDxfId="24"/>
    <tableColumn id="44" xr3:uid="{14EF1ED4-5C6E-41DF-A860-A72D2055E416}" name="STG | 2025 Q3" dataDxfId="23"/>
    <tableColumn id="45" xr3:uid="{876AABD1-2A4C-486C-BD73-DFCC725A4182}" name="FLD | 2025 Q3" dataDxfId="22"/>
    <tableColumn id="46" xr3:uid="{13E04447-A0F4-4EFC-86FB-4B518020F5B0}" name="ENT | 2025 Q3" dataDxfId="21"/>
    <tableColumn id="47" xr3:uid="{7DB3DEF0-9C0F-4432-91FD-08622CEC0B45}" name="FRN | 2025 Q4" dataDxfId="20"/>
    <tableColumn id="48" xr3:uid="{54A3B9A4-4D1C-475F-8415-54E08977F365}" name="AN | 2025 Q4" dataDxfId="19"/>
    <tableColumn id="49" xr3:uid="{52425990-D3E2-43D8-81EC-6C4053FCC07D}" name="STG | 2025 Q4" dataDxfId="18"/>
    <tableColumn id="50" xr3:uid="{C6DD6CEE-DB3F-40D4-AD7A-8D620A62FF1A}" name="FLD | 2025 Q4" dataDxfId="17"/>
    <tableColumn id="51" xr3:uid="{40F22680-1AC9-48AB-BF11-992F95F209CC}" name="ENT | 2025 Q4" dataDxfId="16"/>
    <tableColumn id="52" xr3:uid="{A5510AC6-F919-4E16-A8DB-5B6508A36482}" name="FRN | 2026 Q1" dataDxfId="15"/>
    <tableColumn id="53" xr3:uid="{5F845C0B-7864-4284-BA41-1EE2CF3C7E63}" name="AN | 2026 Q1" dataDxfId="14"/>
    <tableColumn id="54" xr3:uid="{9C4FB6FF-0B8A-42AB-967E-0D8CDA7444E8}" name="STG | 2026 Q1" dataDxfId="13"/>
    <tableColumn id="55" xr3:uid="{1B552ABA-4E7D-43AC-9087-DE161D083C99}" name="FLD | 2026 Q1" dataDxfId="12"/>
    <tableColumn id="56" xr3:uid="{EAED6D44-81C2-49E6-8ADE-4B4A20E77B54}" name="ENT | 2026 Q1" dataDxfId="1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9DB4552-7036-49C5-9386-69A73C4EC3EF}" name="fraud" displayName="fraud" ref="A1:F68" totalsRowShown="0">
  <autoFilter ref="A1:F68" xr:uid="{09DB4552-7036-49C5-9386-69A73C4EC3EF}"/>
  <sortState xmlns:xlrd2="http://schemas.microsoft.com/office/spreadsheetml/2017/richdata2" ref="A2:E68">
    <sortCondition ref="A1:A68"/>
  </sortState>
  <tableColumns count="6">
    <tableColumn id="1" xr3:uid="{535A3309-BF72-4B0B-8145-A79EEF808AF6}" name="time"/>
    <tableColumn id="2" xr3:uid="{E79D82F0-C3D1-4BC3-A5D0-4E6D079E75F9}" name="lob"/>
    <tableColumn id="3" xr3:uid="{7E236A39-D911-4520-840F-9910D1CCE12E}" name="neg_fraud"/>
    <tableColumn id="4" xr3:uid="{7E170596-EF16-4178-8215-88B01D81BC6B}" name="pos_fraud"/>
    <tableColumn id="5" xr3:uid="{41C7539E-7764-44CA-A246-F39A29B7DF91}" name="other_fraud"/>
    <tableColumn id="6" xr3:uid="{AE7D1609-6B70-4E41-94F9-0BC69B837D2A}" name="lookup" dataDxfId="10">
      <calculatedColumnFormula>_xlfn.CONCAT(fraud[[#This Row],[lob]], " ",fraud[[#This Row],[time]])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2E1F1F-5105-48BB-9E5A-F329143A296A}" name="dll" displayName="dll" ref="A1:K188" totalsRowShown="0" dataCellStyle="Percent">
  <autoFilter ref="A1:K188" xr:uid="{8D2E1F1F-5105-48BB-9E5A-F329143A296A}"/>
  <sortState xmlns:xlrd2="http://schemas.microsoft.com/office/spreadsheetml/2017/richdata2" ref="A2:J188">
    <sortCondition descending="1" ref="A1:A188"/>
  </sortState>
  <tableColumns count="11">
    <tableColumn id="1" xr3:uid="{896E7B2E-6EB4-4D51-9814-99FF3707BBEE}" name="valid_vintage"/>
    <tableColumn id="2" xr3:uid="{1684D702-0B8C-4A68-84FE-70B331AEF29A}" name="lob"/>
    <tableColumn id="3" xr3:uid="{4CB56F72-A2F7-413C-B108-474E44E1E938}" name="a_dealers" dataDxfId="9" dataCellStyle="Percent"/>
    <tableColumn id="4" xr3:uid="{16747FD4-56D5-4C6C-8D8E-6291E52834FC}" name="b_dealers" dataDxfId="8" dataCellStyle="Percent"/>
    <tableColumn id="5" xr3:uid="{009C6D43-2F32-4340-A397-C0D2DA0CB477}" name="c_dealers" dataDxfId="7" dataCellStyle="Percent"/>
    <tableColumn id="6" xr3:uid="{E3A28409-D34A-4466-A949-98FDB0A4B3C9}" name="d_dealers" dataDxfId="6" dataCellStyle="Percent"/>
    <tableColumn id="7" xr3:uid="{80DE57CC-A149-488D-9B63-275A26716AF9}" name="e_dealers" dataDxfId="5" dataCellStyle="Percent"/>
    <tableColumn id="8" xr3:uid="{C7FEDE8A-A5F9-4709-A6F9-CF6B7247AE30}" name="f_dealers" dataDxfId="4" dataCellStyle="Percent"/>
    <tableColumn id="9" xr3:uid="{371A6FED-C0A0-40B7-AD4A-81F763A6DB95}" name="good_dealer" dataDxfId="3" dataCellStyle="Percent"/>
    <tableColumn id="10" xr3:uid="{48A5533D-FCA8-4388-B668-3A3F27B7EFAB}" name="bad_dealer" dataDxfId="2" dataCellStyle="Percent"/>
    <tableColumn id="11" xr3:uid="{3284C461-1715-4F06-BBD5-13E2680D2D88}" name="lookup" dataDxfId="1" dataCellStyle="Percent">
      <calculatedColumnFormula>_xlfn.CONCAT(dll[[#This Row],[lob]], " ", dll[[#This Row],[valid_vintage]])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940B77A-271E-4409-900E-A1B96924E542}" name="dq" displayName="dq" ref="A1:G55" totalsRowShown="0">
  <autoFilter ref="A1:G55" xr:uid="{5940B77A-271E-4409-900E-A1B96924E542}"/>
  <tableColumns count="7">
    <tableColumn id="1" xr3:uid="{14C815FF-C799-4B76-A47F-3B7CD998939C}" name="vintage"/>
    <tableColumn id="2" xr3:uid="{6C3534C5-28E4-4280-9B66-CC118C19EC45}" name="lob"/>
    <tableColumn id="3" xr3:uid="{941B1E9F-C2ED-4E9F-8494-911797FDF5AD}" name="dq_3"/>
    <tableColumn id="4" xr3:uid="{06079F97-51D6-4A31-BF8F-55278C651832}" name="dq_6"/>
    <tableColumn id="5" xr3:uid="{78C33749-3DAA-4188-B093-C5462CB7A908}" name="co_6"/>
    <tableColumn id="6" xr3:uid="{762B8760-5216-4057-AA8F-ACB6F8EC3D7D}" name="co_12"/>
    <tableColumn id="7" xr3:uid="{A9DCC709-608E-4F81-9751-D3861F6C49A8}" name="lookup" dataDxfId="0">
      <calculatedColumnFormula>_xlfn.CONCAT(dq[[#This Row],[lob]]," ", dq[[#This Row],[vintage]])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0"/>
  <sheetViews>
    <sheetView tabSelected="1" zoomScale="91" zoomScaleNormal="160" workbookViewId="0">
      <selection activeCell="I5" sqref="I5"/>
    </sheetView>
  </sheetViews>
  <sheetFormatPr defaultRowHeight="14.5" x14ac:dyDescent="0.35"/>
  <cols>
    <col min="1" max="1" width="21.7265625" customWidth="1"/>
    <col min="2" max="2" width="10.36328125" customWidth="1"/>
    <col min="4" max="4" width="23.36328125" customWidth="1"/>
    <col min="5" max="6" width="13.08984375" customWidth="1"/>
    <col min="7" max="7" width="17.26953125" customWidth="1"/>
    <col min="8" max="8" width="13" customWidth="1"/>
    <col min="9" max="9" width="12.7265625" customWidth="1"/>
    <col min="10" max="10" width="12.453125" customWidth="1"/>
    <col min="12" max="12" width="13.90625" customWidth="1"/>
    <col min="13" max="13" width="14.6328125" bestFit="1" customWidth="1"/>
    <col min="14" max="17" width="19.7265625" customWidth="1"/>
  </cols>
  <sheetData>
    <row r="1" spans="1:11" ht="16" thickBot="1" x14ac:dyDescent="0.4">
      <c r="A1" s="89" t="s">
        <v>123</v>
      </c>
      <c r="B1" s="68" t="s">
        <v>153</v>
      </c>
    </row>
    <row r="2" spans="1:11" ht="16" thickBot="1" x14ac:dyDescent="0.4">
      <c r="A2" s="89" t="s">
        <v>124</v>
      </c>
      <c r="B2" s="68" t="s">
        <v>128</v>
      </c>
      <c r="D2" s="83" t="str">
        <f>B1</f>
        <v>STG</v>
      </c>
      <c r="E2" s="85" t="str">
        <f>B2</f>
        <v>2025 Q1</v>
      </c>
      <c r="F2" s="86" t="str">
        <f>B3</f>
        <v>2025 Q4</v>
      </c>
      <c r="G2" s="84" t="s">
        <v>137</v>
      </c>
    </row>
    <row r="3" spans="1:11" ht="16" thickBot="1" x14ac:dyDescent="0.4">
      <c r="A3" s="89" t="s">
        <v>125</v>
      </c>
      <c r="B3" s="68" t="s">
        <v>131</v>
      </c>
      <c r="D3" s="55" t="s">
        <v>193</v>
      </c>
      <c r="E3" s="76">
        <f>factory!M27</f>
        <v>136.66839841462689</v>
      </c>
      <c r="F3" s="77">
        <f>factory!N27</f>
        <v>140.0375169754368</v>
      </c>
      <c r="G3" s="80">
        <f>F3-E3</f>
        <v>3.369118560809909</v>
      </c>
    </row>
    <row r="4" spans="1:11" ht="15.5" thickTop="1" thickBot="1" x14ac:dyDescent="0.4">
      <c r="D4" s="93" t="s">
        <v>213</v>
      </c>
      <c r="E4" s="90">
        <f>factory!M28</f>
        <v>1.8543412932472729</v>
      </c>
      <c r="F4" s="91">
        <f>factory!N28</f>
        <v>3.1147868077111411</v>
      </c>
      <c r="G4" s="92">
        <f>F4-E4</f>
        <v>1.2604455144638682</v>
      </c>
    </row>
    <row r="5" spans="1:11" ht="15.5" thickTop="1" thickBot="1" x14ac:dyDescent="0.4">
      <c r="A5" s="69" t="s">
        <v>228</v>
      </c>
      <c r="D5" s="55" t="s">
        <v>214</v>
      </c>
      <c r="E5" s="76">
        <f>factory!M29</f>
        <v>5.4545590520980003</v>
      </c>
      <c r="F5" s="77">
        <f>factory!N29</f>
        <v>7.7202499999490826</v>
      </c>
      <c r="G5" s="81">
        <f t="shared" ref="G5:G6" si="0">F5-E5</f>
        <v>2.2656909478510823</v>
      </c>
    </row>
    <row r="6" spans="1:11" ht="16" thickBot="1" x14ac:dyDescent="0.4">
      <c r="A6" s="37" t="s">
        <v>149</v>
      </c>
      <c r="D6" s="56" t="s">
        <v>215</v>
      </c>
      <c r="E6" s="78">
        <f>factory!M30</f>
        <v>143.97729875997217</v>
      </c>
      <c r="F6" s="79">
        <f>factory!N30</f>
        <v>150.87255378309703</v>
      </c>
      <c r="G6" s="82">
        <f t="shared" si="0"/>
        <v>6.8952550231248608</v>
      </c>
      <c r="K6" s="33"/>
    </row>
    <row r="7" spans="1:11" ht="14.5" customHeight="1" thickBot="1" x14ac:dyDescent="0.4">
      <c r="A7" s="38" t="s">
        <v>153</v>
      </c>
      <c r="K7" s="33"/>
    </row>
    <row r="8" spans="1:11" ht="14.5" customHeight="1" thickBot="1" x14ac:dyDescent="0.4">
      <c r="A8" s="38" t="s">
        <v>122</v>
      </c>
      <c r="D8" s="40" t="str">
        <f>B1</f>
        <v>STG</v>
      </c>
      <c r="E8" s="41" t="str">
        <f>B2</f>
        <v>2025 Q1</v>
      </c>
      <c r="F8" s="42" t="str">
        <f>B3</f>
        <v>2025 Q4</v>
      </c>
      <c r="G8" s="43" t="s">
        <v>137</v>
      </c>
      <c r="K8" s="32"/>
    </row>
    <row r="9" spans="1:11" ht="15.5" x14ac:dyDescent="0.35">
      <c r="A9" s="38" t="s">
        <v>155</v>
      </c>
      <c r="D9" s="70" t="s">
        <v>112</v>
      </c>
      <c r="E9" s="34">
        <f>factory!H49</f>
        <v>-0.39887449981412304</v>
      </c>
      <c r="F9" s="35">
        <f>factory!H74</f>
        <v>3.9746522324539374E-2</v>
      </c>
      <c r="G9" s="44">
        <f t="shared" ref="G9:G20" si="1">F9-E9</f>
        <v>0.43862102213866239</v>
      </c>
    </row>
    <row r="10" spans="1:11" ht="14.5" customHeight="1" thickBot="1" x14ac:dyDescent="0.4">
      <c r="A10" s="39" t="s">
        <v>151</v>
      </c>
      <c r="D10" s="88" t="s">
        <v>232</v>
      </c>
      <c r="E10" s="47">
        <f>factory!I22</f>
        <v>0.18249647106271419</v>
      </c>
      <c r="F10" s="47">
        <f>factory!J22</f>
        <v>0.1182197496522949</v>
      </c>
      <c r="G10" s="51">
        <f t="shared" si="1"/>
        <v>-6.4276721410419291E-2</v>
      </c>
    </row>
    <row r="11" spans="1:11" ht="14.5" customHeight="1" x14ac:dyDescent="0.35">
      <c r="D11" s="72" t="s">
        <v>110</v>
      </c>
      <c r="E11" s="34">
        <f>factory!H47</f>
        <v>-5.0649703516151987E-2</v>
      </c>
      <c r="F11" s="35">
        <f>factory!H72</f>
        <v>0.46454077625497897</v>
      </c>
      <c r="G11" s="45">
        <f t="shared" si="1"/>
        <v>0.51519047977113097</v>
      </c>
      <c r="J11" s="32"/>
    </row>
    <row r="12" spans="1:11" ht="15" thickBot="1" x14ac:dyDescent="0.4">
      <c r="D12" s="71" t="s">
        <v>232</v>
      </c>
      <c r="E12" s="47">
        <f>factory!I19</f>
        <v>0.2020568663036903</v>
      </c>
      <c r="F12" s="47">
        <f>factory!J19</f>
        <v>5.0764951321279547E-2</v>
      </c>
      <c r="G12" s="51">
        <f t="shared" si="1"/>
        <v>-0.15129191498241074</v>
      </c>
    </row>
    <row r="13" spans="1:11" ht="18" customHeight="1" x14ac:dyDescent="0.35">
      <c r="D13" s="72" t="s">
        <v>107</v>
      </c>
      <c r="E13" s="36">
        <f>factory!H43</f>
        <v>1.2045883142675555</v>
      </c>
      <c r="F13" s="36">
        <f>factory!H68</f>
        <v>1.6990552469305209</v>
      </c>
      <c r="G13" s="45">
        <f t="shared" si="1"/>
        <v>0.49446693266296537</v>
      </c>
      <c r="K13" s="32"/>
    </row>
    <row r="14" spans="1:11" ht="15" thickBot="1" x14ac:dyDescent="0.4">
      <c r="D14" s="71" t="s">
        <v>232</v>
      </c>
      <c r="E14" s="47">
        <f>factory!I14</f>
        <v>0.24541238152853401</v>
      </c>
      <c r="F14" s="47">
        <f>factory!J14</f>
        <v>0.3508344923504868</v>
      </c>
      <c r="G14" s="49">
        <f t="shared" si="1"/>
        <v>0.1054221108219528</v>
      </c>
    </row>
    <row r="15" spans="1:11" ht="15.5" x14ac:dyDescent="0.35">
      <c r="D15" s="72" t="s">
        <v>115</v>
      </c>
      <c r="E15" s="34">
        <f>factory!H52</f>
        <v>0.18820200405521542</v>
      </c>
      <c r="F15" s="35">
        <f>factory!H77</f>
        <v>0.30542028635150364</v>
      </c>
      <c r="G15" s="45">
        <f t="shared" si="1"/>
        <v>0.11721828229628822</v>
      </c>
      <c r="K15" s="32"/>
    </row>
    <row r="16" spans="1:11" x14ac:dyDescent="0.35">
      <c r="D16" s="73" t="s">
        <v>233</v>
      </c>
      <c r="E16" s="48">
        <f>factory!M13</f>
        <v>0.20250000000000001</v>
      </c>
      <c r="F16" s="48">
        <f>factory!N13</f>
        <v>0.2253</v>
      </c>
      <c r="G16" s="50">
        <f t="shared" si="1"/>
        <v>2.2799999999999987E-2</v>
      </c>
    </row>
    <row r="17" spans="4:17" ht="15" thickBot="1" x14ac:dyDescent="0.4">
      <c r="D17" s="74" t="s">
        <v>234</v>
      </c>
      <c r="E17" s="47">
        <f>factory!M14</f>
        <v>4.2000000000000003E-2</v>
      </c>
      <c r="F17" s="47">
        <f>factory!N14</f>
        <v>6.1600000000000002E-2</v>
      </c>
      <c r="G17" s="51">
        <f t="shared" si="1"/>
        <v>1.9599999999999999E-2</v>
      </c>
      <c r="P17" s="20"/>
      <c r="Q17" s="20"/>
    </row>
    <row r="18" spans="4:17" ht="15.5" x14ac:dyDescent="0.35">
      <c r="D18" s="72" t="s">
        <v>117</v>
      </c>
      <c r="E18" s="34">
        <f>factory!H54</f>
        <v>0.70488560810562395</v>
      </c>
      <c r="F18" s="35">
        <f>factory!H79</f>
        <v>0.49051595296819572</v>
      </c>
      <c r="G18" s="45">
        <f t="shared" si="1"/>
        <v>-0.21436965513742823</v>
      </c>
    </row>
    <row r="19" spans="4:17" x14ac:dyDescent="0.35">
      <c r="D19" s="73" t="s">
        <v>235</v>
      </c>
      <c r="E19" s="48">
        <f>factory!M7</f>
        <v>0.33098004987531099</v>
      </c>
      <c r="F19" s="48">
        <f>factory!N7</f>
        <v>0.23888499399759899</v>
      </c>
      <c r="G19" s="50">
        <f t="shared" si="1"/>
        <v>-9.2095055877711995E-2</v>
      </c>
    </row>
    <row r="20" spans="4:17" ht="15" thickBot="1" x14ac:dyDescent="0.4">
      <c r="D20" s="73" t="s">
        <v>236</v>
      </c>
      <c r="E20" s="48">
        <f>factory!M8</f>
        <v>0.100997506234413</v>
      </c>
      <c r="F20" s="48">
        <f>factory!N8</f>
        <v>0.13505402160864299</v>
      </c>
      <c r="G20" s="52">
        <f t="shared" si="1"/>
        <v>3.405651537422999E-2</v>
      </c>
    </row>
    <row r="21" spans="4:17" ht="17.5" customHeight="1" thickBot="1" x14ac:dyDescent="0.4">
      <c r="D21" s="75" t="s">
        <v>227</v>
      </c>
      <c r="E21" s="53">
        <f>SUM(factory!H38:H57,-factory!H43-factory!H47-factory!H49-factory!H52-factory!H54)</f>
        <v>0.20618957014915495</v>
      </c>
      <c r="F21" s="54">
        <f>SUM(factory!H63:H82,-factory!H68-factory!H72-factory!H74-factory!H77-factory!H79)</f>
        <v>0.11550802288139339</v>
      </c>
      <c r="G21" s="46">
        <f t="shared" ref="G21" si="2">F21-E21</f>
        <v>-9.0681547267761564E-2</v>
      </c>
    </row>
    <row r="22" spans="4:17" x14ac:dyDescent="0.35">
      <c r="D22" s="99" t="s">
        <v>229</v>
      </c>
      <c r="E22" s="101">
        <f>SUM(E9,E11,E13,E15,E18,E21)</f>
        <v>1.8543412932472749</v>
      </c>
      <c r="F22" s="101">
        <f>SUM(F9,F11,F13,F15,F18,F21)</f>
        <v>3.1147868077111318</v>
      </c>
      <c r="G22" s="103">
        <f>F22-E22</f>
        <v>1.2604455144638569</v>
      </c>
    </row>
    <row r="23" spans="4:17" ht="15" thickBot="1" x14ac:dyDescent="0.4">
      <c r="D23" s="100"/>
      <c r="E23" s="102"/>
      <c r="F23" s="102"/>
      <c r="G23" s="104"/>
    </row>
    <row r="24" spans="4:17" ht="18" customHeight="1" x14ac:dyDescent="0.35"/>
    <row r="25" spans="4:17" ht="18" customHeight="1" thickBot="1" x14ac:dyDescent="0.4"/>
    <row r="26" spans="4:17" ht="15" thickBot="1" x14ac:dyDescent="0.4">
      <c r="D26" s="67" t="str">
        <f>B1</f>
        <v>STG</v>
      </c>
      <c r="E26" s="63" t="str">
        <f>B2</f>
        <v>2025 Q1</v>
      </c>
      <c r="F26" s="64" t="str">
        <f>B3</f>
        <v>2025 Q4</v>
      </c>
    </row>
    <row r="27" spans="4:17" x14ac:dyDescent="0.35">
      <c r="D27" s="65" t="s">
        <v>209</v>
      </c>
      <c r="E27" s="57">
        <f>factory!M20</f>
        <v>0.1719</v>
      </c>
      <c r="F27" s="58" t="e">
        <f>factory!N20</f>
        <v>#N/A</v>
      </c>
    </row>
    <row r="28" spans="4:17" x14ac:dyDescent="0.35">
      <c r="D28" s="65" t="s">
        <v>210</v>
      </c>
      <c r="E28" s="59">
        <f>factory!M21</f>
        <v>0.18509999999999999</v>
      </c>
      <c r="F28" s="60" t="e">
        <f>factory!N21</f>
        <v>#N/A</v>
      </c>
      <c r="G28" s="16"/>
    </row>
    <row r="29" spans="4:17" x14ac:dyDescent="0.35">
      <c r="D29" s="65" t="s">
        <v>211</v>
      </c>
      <c r="E29" s="59">
        <f>factory!M22</f>
        <v>4.7899999999999998E-2</v>
      </c>
      <c r="F29" s="60" t="e">
        <f>factory!N22</f>
        <v>#N/A</v>
      </c>
    </row>
    <row r="30" spans="4:17" ht="15" thickBot="1" x14ac:dyDescent="0.4">
      <c r="D30" s="66" t="s">
        <v>212</v>
      </c>
      <c r="E30" s="61">
        <f>factory!M23</f>
        <v>0.1565</v>
      </c>
      <c r="F30" s="62" t="e">
        <f>factory!N23</f>
        <v>#N/A</v>
      </c>
    </row>
  </sheetData>
  <mergeCells count="4">
    <mergeCell ref="D22:D23"/>
    <mergeCell ref="E22:E23"/>
    <mergeCell ref="F22:F23"/>
    <mergeCell ref="G22:G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20D5F-210F-4F41-A1D4-401EBE3544D3}">
  <dimension ref="A1:N109"/>
  <sheetViews>
    <sheetView topLeftCell="A8" zoomScale="130" zoomScaleNormal="130" workbookViewId="0">
      <selection activeCell="H50" sqref="H50"/>
    </sheetView>
  </sheetViews>
  <sheetFormatPr defaultRowHeight="14.5" x14ac:dyDescent="0.35"/>
  <cols>
    <col min="3" max="3" width="21.90625" bestFit="1" customWidth="1"/>
    <col min="4" max="4" width="20.7265625" bestFit="1" customWidth="1"/>
    <col min="5" max="5" width="13.90625" bestFit="1" customWidth="1"/>
    <col min="6" max="6" width="13.453125" customWidth="1"/>
    <col min="7" max="7" width="20.6328125" bestFit="1" customWidth="1"/>
    <col min="8" max="8" width="26" bestFit="1" customWidth="1"/>
    <col min="9" max="10" width="12.54296875" bestFit="1" customWidth="1"/>
    <col min="12" max="12" width="13.26953125" bestFit="1" customWidth="1"/>
  </cols>
  <sheetData>
    <row r="1" spans="1:14" x14ac:dyDescent="0.35">
      <c r="A1" t="s">
        <v>123</v>
      </c>
      <c r="B1" t="str">
        <f>Main!B1</f>
        <v>STG</v>
      </c>
    </row>
    <row r="2" spans="1:14" x14ac:dyDescent="0.35">
      <c r="A2" t="s">
        <v>124</v>
      </c>
      <c r="B2" t="str">
        <f>Main!B2</f>
        <v>2025 Q1</v>
      </c>
    </row>
    <row r="3" spans="1:14" x14ac:dyDescent="0.35">
      <c r="A3" t="s">
        <v>125</v>
      </c>
      <c r="B3" t="str">
        <f>Main!B3</f>
        <v>2025 Q4</v>
      </c>
    </row>
    <row r="5" spans="1:14" x14ac:dyDescent="0.35">
      <c r="B5" t="s">
        <v>101</v>
      </c>
    </row>
    <row r="6" spans="1:14" x14ac:dyDescent="0.35">
      <c r="C6" s="14" t="s">
        <v>230</v>
      </c>
      <c r="D6" t="str">
        <f>B2</f>
        <v>2025 Q1</v>
      </c>
      <c r="E6" t="str">
        <f>B3</f>
        <v>2025 Q4</v>
      </c>
      <c r="H6" s="14" t="s">
        <v>226</v>
      </c>
      <c r="I6" t="str">
        <f>B2</f>
        <v>2025 Q1</v>
      </c>
      <c r="J6" t="str">
        <f>B3</f>
        <v>2025 Q4</v>
      </c>
      <c r="L6" s="14"/>
      <c r="M6" t="str">
        <f>B2</f>
        <v>2025 Q1</v>
      </c>
      <c r="N6" t="str">
        <f>B3</f>
        <v>2025 Q4</v>
      </c>
    </row>
    <row r="7" spans="1:14" x14ac:dyDescent="0.35">
      <c r="C7" s="12" t="s">
        <v>102</v>
      </c>
      <c r="D7" s="2">
        <f>INDEX(multipliers!$A3:$BD3,MATCH($B$1&amp;" | "&amp;D$6,Mult[#Headers], 0))</f>
        <v>1.000342811050615</v>
      </c>
      <c r="E7" s="2">
        <f>INDEX(multipliers!$A3:$BD3,MATCH($B$1&amp;" | "&amp;E$6,Mult[#Headers], 0))</f>
        <v>1.000278164116829</v>
      </c>
      <c r="H7" t="str">
        <f>populations!A2</f>
        <v>prev_co_flag</v>
      </c>
      <c r="I7" s="9">
        <f>INDEX(populations!$A2:$BD2,MATCH($B$1&amp;" | "&amp;I$6,flag[#Headers], 0))</f>
        <v>3.428110506150433E-3</v>
      </c>
      <c r="J7" s="9">
        <f>INDEX(populations!$A2:$BD2,MATCH($B$1&amp;" | "&amp;J$6,flag[#Headers], 0))</f>
        <v>2.781641168289291E-3</v>
      </c>
      <c r="L7" t="s">
        <v>187</v>
      </c>
      <c r="M7" s="9">
        <f>INDEX(dll[good_dealer],MATCH($B$1&amp;" "&amp;M$6,dll[lookup], 0))</f>
        <v>0.33098004987531099</v>
      </c>
      <c r="N7" s="9">
        <f>INDEX(dll[good_dealer],MATCH($B$1&amp;" "&amp;N$6,dll[lookup], 0))</f>
        <v>0.23888499399759899</v>
      </c>
    </row>
    <row r="8" spans="1:14" x14ac:dyDescent="0.35">
      <c r="C8" s="12" t="s">
        <v>103</v>
      </c>
      <c r="D8" s="2">
        <f>INDEX(multipliers!$A4:$BD4,MATCH($B$1&amp;" | "&amp;D$6,Mult[#Headers], 0))</f>
        <v>1.000342811050615</v>
      </c>
      <c r="E8" s="2">
        <f>INDEX(multipliers!$A4:$BD4,MATCH($B$1&amp;" | "&amp;E$6,Mult[#Headers], 0))</f>
        <v>1.000278164116829</v>
      </c>
      <c r="H8" t="str">
        <f>populations!A3</f>
        <v>small_amt_financed_flag</v>
      </c>
      <c r="I8" s="9">
        <f>INDEX(populations!$A3:$BD3,MATCH($B$1&amp;" | "&amp;I$6,flag[#Headers], 0))</f>
        <v>7.4611816898568261E-3</v>
      </c>
      <c r="J8" s="9">
        <f>INDEX(populations!$A3:$BD3,MATCH($B$1&amp;" | "&amp;J$6,flag[#Headers], 0))</f>
        <v>9.3880389429763563E-3</v>
      </c>
      <c r="L8" t="s">
        <v>188</v>
      </c>
      <c r="M8" s="9">
        <f>INDEX(dll[bad_dealer],MATCH($B$1&amp;" "&amp;M$6,dll[lookup], 0))</f>
        <v>0.100997506234413</v>
      </c>
      <c r="N8" s="9">
        <f>INDEX(dll[bad_dealer],MATCH($B$1&amp;" "&amp;N$6,dll[lookup], 0))</f>
        <v>0.13505402160864299</v>
      </c>
    </row>
    <row r="9" spans="1:14" x14ac:dyDescent="0.35">
      <c r="C9" s="12" t="s">
        <v>104</v>
      </c>
      <c r="D9" s="2">
        <f>INDEX(multipliers!$A5:$BD5,MATCH($B$1&amp;" | "&amp;D$6,Mult[#Headers], 0))</f>
        <v>1.000342811050615</v>
      </c>
      <c r="E9" s="2">
        <f>INDEX(multipliers!$A5:$BD5,MATCH($B$1&amp;" | "&amp;E$6,Mult[#Headers], 0))</f>
        <v>1.000278164116829</v>
      </c>
      <c r="H9" t="str">
        <f>populations!A4</f>
        <v>pricing_change_flag</v>
      </c>
      <c r="I9" s="9">
        <f>INDEX(populations!$A4:$BD4,MATCH($B$1&amp;" | "&amp;I$6,flag[#Headers], 0))</f>
        <v>1</v>
      </c>
      <c r="J9" s="9">
        <f>INDEX(populations!$A4:$BD4,MATCH($B$1&amp;" | "&amp;J$6,flag[#Headers], 0))</f>
        <v>1</v>
      </c>
    </row>
    <row r="10" spans="1:14" x14ac:dyDescent="0.35">
      <c r="C10" s="12" t="s">
        <v>105</v>
      </c>
      <c r="D10" s="2">
        <f>INDEX(multipliers!$A6:$BD6,MATCH($B$1&amp;" | "&amp;D$6,Mult[#Headers], 0))</f>
        <v>1.001835047388586</v>
      </c>
      <c r="E10" s="2">
        <f>INDEX(multipliers!$A6:$BD6,MATCH($B$1&amp;" | "&amp;E$6,Mult[#Headers], 0))</f>
        <v>1.00076495132128</v>
      </c>
      <c r="H10" t="str">
        <f>populations!A5</f>
        <v>zero_cash_down_flag</v>
      </c>
      <c r="I10" s="9">
        <f>INDEX(populations!$A5:$BD5,MATCH($B$1&amp;" | "&amp;I$6,flag[#Headers], 0))</f>
        <v>3.6902601330913491E-2</v>
      </c>
      <c r="J10" s="9">
        <f>INDEX(populations!$A5:$BD5,MATCH($B$1&amp;" | "&amp;J$6,flag[#Headers], 0))</f>
        <v>5.7371349095966619E-2</v>
      </c>
    </row>
    <row r="11" spans="1:14" ht="15" thickBot="1" x14ac:dyDescent="0.4">
      <c r="C11" s="12" t="s">
        <v>106</v>
      </c>
      <c r="D11" s="2">
        <f>INDEX(multipliers!$A7:$BD7,MATCH($B$1&amp;" | "&amp;D$6,Mult[#Headers], 0))</f>
        <v>1.001835047388586</v>
      </c>
      <c r="E11" s="2">
        <f>INDEX(multipliers!$A7:$BD7,MATCH($B$1&amp;" | "&amp;E$6,Mult[#Headers], 0))</f>
        <v>1.00076495132128</v>
      </c>
      <c r="H11" t="str">
        <f>populations!A6</f>
        <v>high_mileage_vehicle_flag</v>
      </c>
      <c r="I11" s="9">
        <f>INDEX(populations!$A6:$BD6,MATCH($B$1&amp;" | "&amp;I$6,flag[#Headers], 0))</f>
        <v>1.492236337971365E-2</v>
      </c>
      <c r="J11" s="9">
        <f>INDEX(populations!$A6:$BD6,MATCH($B$1&amp;" | "&amp;J$6,flag[#Headers], 0))</f>
        <v>4.8678720445062586E-3</v>
      </c>
    </row>
    <row r="12" spans="1:14" x14ac:dyDescent="0.35">
      <c r="C12" s="12" t="s">
        <v>107</v>
      </c>
      <c r="D12" s="2">
        <f>INDEX(multipliers!$A8:$BD8,MATCH($B$1&amp;" | "&amp;D$6,Mult[#Headers], 0))</f>
        <v>0.95291389393022785</v>
      </c>
      <c r="E12" s="2">
        <f>INDEX(multipliers!$A8:$BD8,MATCH($B$1&amp;" | "&amp;E$6,Mult[#Headers], 0))</f>
        <v>0.9306988873435329</v>
      </c>
      <c r="H12" t="str">
        <f>populations!A7</f>
        <v>high_pti_flag</v>
      </c>
      <c r="I12" s="9">
        <f>INDEX(populations!$A7:$BD7,MATCH($B$1&amp;" | "&amp;I$6,flag[#Headers], 0))</f>
        <v>5.8479532163742687E-3</v>
      </c>
      <c r="J12" s="9">
        <f>INDEX(populations!$A7:$BD7,MATCH($B$1&amp;" | "&amp;J$6,flag[#Headers], 0))</f>
        <v>7.9972183588317113E-3</v>
      </c>
      <c r="L12" s="87"/>
      <c r="M12" s="19" t="str">
        <f>B2</f>
        <v>2025 Q1</v>
      </c>
      <c r="N12" s="18" t="str">
        <f>B3</f>
        <v>2025 Q4</v>
      </c>
    </row>
    <row r="13" spans="1:14" x14ac:dyDescent="0.35">
      <c r="C13" s="12" t="s">
        <v>108</v>
      </c>
      <c r="D13" s="2">
        <f>INDEX(multipliers!$A9:$BD9,MATCH($B$1&amp;" | "&amp;D$6,Mult[#Headers], 0))</f>
        <v>0.95291389393022785</v>
      </c>
      <c r="E13" s="2">
        <f>INDEX(multipliers!$A9:$BD9,MATCH($B$1&amp;" | "&amp;E$6,Mult[#Headers], 0))</f>
        <v>0.9306988873435329</v>
      </c>
      <c r="H13" t="str">
        <f>populations!A8</f>
        <v>car_make_penalty_flag</v>
      </c>
      <c r="I13" s="9">
        <f>INDEX(populations!$A8:$BD8,MATCH($B$1&amp;" | "&amp;I$6,flag[#Headers], 0))</f>
        <v>1.613228473482557E-3</v>
      </c>
      <c r="J13" s="9">
        <f>INDEX(populations!$A8:$BD8,MATCH($B$1&amp;" | "&amp;J$6,flag[#Headers], 0))</f>
        <v>1.043115438108484E-3</v>
      </c>
      <c r="L13" s="21" t="s">
        <v>201</v>
      </c>
      <c r="M13" s="9">
        <f>INDEX(fraud[pos_fraud],MATCH($B$1&amp;" "&amp;M$12,fraud[lookup], 0))</f>
        <v>0.20250000000000001</v>
      </c>
      <c r="N13" s="22">
        <f>INDEX(fraud[pos_fraud],MATCH($B$1&amp;" "&amp;N$12,fraud[lookup], 0))</f>
        <v>0.2253</v>
      </c>
    </row>
    <row r="14" spans="1:14" ht="15" thickBot="1" x14ac:dyDescent="0.4">
      <c r="C14" s="13" t="s">
        <v>63</v>
      </c>
      <c r="D14" s="2">
        <f>INDEX(multipliers!$A10:$BD10,MATCH($B$1&amp;" | "&amp;D$6,Mult[#Headers], 0))</f>
        <v>0.95291389393022785</v>
      </c>
      <c r="E14" s="2">
        <f>INDEX(multipliers!$A10:$BD10,MATCH($B$1&amp;" | "&amp;E$6,Mult[#Headers], 0))</f>
        <v>0.9306988873435329</v>
      </c>
      <c r="H14" t="str">
        <f>populations!A9</f>
        <v>car_make_benefit_flag</v>
      </c>
      <c r="I14" s="9">
        <f>INDEX(populations!$A9:$BD9,MATCH($B$1&amp;" | "&amp;I$6,flag[#Headers], 0))</f>
        <v>0.24541238152853401</v>
      </c>
      <c r="J14" s="9">
        <f>INDEX(populations!$A9:$BD9,MATCH($B$1&amp;" | "&amp;J$6,flag[#Headers], 0))</f>
        <v>0.3508344923504868</v>
      </c>
      <c r="L14" s="23" t="s">
        <v>202</v>
      </c>
      <c r="M14" s="24">
        <f>INDEX(fraud[neg_fraud],MATCH($B$1&amp;" "&amp;M$12,fraud[lookup], 0))</f>
        <v>4.2000000000000003E-2</v>
      </c>
      <c r="N14" s="25">
        <f>INDEX(fraud[neg_fraud],MATCH($B$1&amp;" "&amp;N$12,fraud[lookup], 0))</f>
        <v>6.1600000000000002E-2</v>
      </c>
    </row>
    <row r="15" spans="1:14" x14ac:dyDescent="0.35">
      <c r="C15" s="12" t="s">
        <v>109</v>
      </c>
      <c r="D15" s="2">
        <f>INDEX(multipliers!$A11:$BD11,MATCH($B$1&amp;" | "&amp;D$6,Mult[#Headers], 0))</f>
        <v>0.9524795926598103</v>
      </c>
      <c r="E15" s="2">
        <f>INDEX(multipliers!$A11:$BD11,MATCH($B$1&amp;" | "&amp;E$6,Mult[#Headers], 0))</f>
        <v>0.92964641863699571</v>
      </c>
      <c r="H15" t="str">
        <f>populations!A10</f>
        <v>theft_risk_flag</v>
      </c>
      <c r="I15" s="9">
        <f>INDEX(populations!$A10:$BD10,MATCH($B$1&amp;" | "&amp;I$6,flag[#Headers], 0))</f>
        <v>4.7590239967735433E-2</v>
      </c>
      <c r="J15" s="9">
        <f>INDEX(populations!$A10:$BD10,MATCH($B$1&amp;" | "&amp;J$6,flag[#Headers], 0))</f>
        <v>3.129346314325452E-2</v>
      </c>
    </row>
    <row r="16" spans="1:14" x14ac:dyDescent="0.35">
      <c r="C16" s="12" t="s">
        <v>110</v>
      </c>
      <c r="D16" s="2">
        <f>INDEX(multipliers!$A12:$BD12,MATCH($B$1&amp;" | "&amp;D$6,Mult[#Headers], 0))</f>
        <v>0.95448673200242007</v>
      </c>
      <c r="E16" s="2">
        <f>INDEX(multipliers!$A12:$BD12,MATCH($B$1&amp;" | "&amp;E$6,Mult[#Headers], 0))</f>
        <v>0.91137914812239218</v>
      </c>
      <c r="H16" t="str">
        <f>populations!A11</f>
        <v>mcy_low_mileage_flag</v>
      </c>
      <c r="I16" s="9">
        <f>INDEX(populations!$A11:$BD11,MATCH($B$1&amp;" | "&amp;I$6,flag[#Headers], 0))</f>
        <v>0</v>
      </c>
      <c r="J16" s="9">
        <f>INDEX(populations!$A11:$BD11,MATCH($B$1&amp;" | "&amp;J$6,flag[#Headers], 0))</f>
        <v>0</v>
      </c>
    </row>
    <row r="17" spans="3:14" x14ac:dyDescent="0.35">
      <c r="C17" s="12" t="s">
        <v>111</v>
      </c>
      <c r="D17" s="2">
        <f>INDEX(multipliers!$A13:$BD13,MATCH($B$1&amp;" | "&amp;D$6,Mult[#Headers], 0))</f>
        <v>0.94816785292196015</v>
      </c>
      <c r="E17" s="2">
        <f>INDEX(multipliers!$A13:$BD13,MATCH($B$1&amp;" | "&amp;E$6,Mult[#Headers], 0))</f>
        <v>0.90573378796940207</v>
      </c>
      <c r="H17" t="str">
        <f>populations!A12</f>
        <v>weekend_flag</v>
      </c>
      <c r="I17" s="9">
        <f>INDEX(populations!$A12:$BD12,MATCH($B$1&amp;" | "&amp;I$6,flag[#Headers], 0))</f>
        <v>0.29118773946360149</v>
      </c>
      <c r="J17" s="9">
        <f>INDEX(populations!$A12:$BD12,MATCH($B$1&amp;" | "&amp;J$6,flag[#Headers], 0))</f>
        <v>0.30180806675938798</v>
      </c>
    </row>
    <row r="18" spans="3:14" ht="15" thickBot="1" x14ac:dyDescent="0.4">
      <c r="C18" s="12" t="s">
        <v>112</v>
      </c>
      <c r="D18" s="2">
        <f>INDEX(multipliers!$A14:$BD14,MATCH($B$1&amp;" | "&amp;D$6,Mult[#Headers], 0))</f>
        <v>0.96401729651184509</v>
      </c>
      <c r="E18" s="2">
        <f>INDEX(multipliers!$A14:$BD14,MATCH($B$1&amp;" | "&amp;E$6,Mult[#Headers], 0))</f>
        <v>0.9041971721766342</v>
      </c>
      <c r="H18" t="str">
        <f>populations!A13</f>
        <v>weekday_flag</v>
      </c>
      <c r="I18" s="9">
        <f>INDEX(populations!$A13:$BD13,MATCH($B$1&amp;" | "&amp;I$6,flag[#Headers], 0))</f>
        <v>0.70881226053639845</v>
      </c>
      <c r="J18" s="9">
        <f>INDEX(populations!$A13:$BD13,MATCH($B$1&amp;" | "&amp;J$6,flag[#Headers], 0))</f>
        <v>0.69819193324061191</v>
      </c>
    </row>
    <row r="19" spans="3:14" x14ac:dyDescent="0.35">
      <c r="C19" s="12" t="s">
        <v>113</v>
      </c>
      <c r="D19" s="2">
        <f>INDEX(multipliers!$A15:$BD15,MATCH($B$1&amp;" | "&amp;D$6,Mult[#Headers], 0))</f>
        <v>0.96319121619436188</v>
      </c>
      <c r="E19" s="2">
        <f>INDEX(multipliers!$A15:$BD15,MATCH($B$1&amp;" | "&amp;E$6,Mult[#Headers], 0))</f>
        <v>0.90373834722417246</v>
      </c>
      <c r="H19" t="str">
        <f>populations!A14</f>
        <v>student_loan_flag</v>
      </c>
      <c r="I19" s="9">
        <f>INDEX(populations!$A14:$BD14,MATCH($B$1&amp;" | "&amp;I$6,flag[#Headers], 0))</f>
        <v>0.2020568663036903</v>
      </c>
      <c r="J19" s="9">
        <f>INDEX(populations!$A14:$BD14,MATCH($B$1&amp;" | "&amp;J$6,flag[#Headers], 0))</f>
        <v>5.0764951321279547E-2</v>
      </c>
      <c r="L19" s="87"/>
      <c r="M19" s="19" t="str">
        <f>B2</f>
        <v>2025 Q1</v>
      </c>
      <c r="N19" s="18" t="str">
        <f>B3</f>
        <v>2025 Q4</v>
      </c>
    </row>
    <row r="20" spans="3:14" x14ac:dyDescent="0.35">
      <c r="C20" s="12" t="s">
        <v>114</v>
      </c>
      <c r="D20" s="2">
        <f>INDEX(multipliers!$A16:$BD16,MATCH($B$1&amp;" | "&amp;D$6,Mult[#Headers], 0))</f>
        <v>0.9651236804922928</v>
      </c>
      <c r="E20" s="2">
        <f>INDEX(multipliers!$A16:$BD16,MATCH($B$1&amp;" | "&amp;E$6,Mult[#Headers], 0))</f>
        <v>0.90536691676381087</v>
      </c>
      <c r="H20" t="str">
        <f>populations!A15</f>
        <v>student_loans_cutoff_date</v>
      </c>
      <c r="I20" s="9">
        <f>INDEX(populations!$A15:$BD15,MATCH($B$1&amp;" | "&amp;I$6,flag[#Headers], 0))</f>
        <v>1</v>
      </c>
      <c r="J20" s="9">
        <f>INDEX(populations!$A15:$BD15,MATCH($B$1&amp;" | "&amp;J$6,flag[#Headers], 0))</f>
        <v>1</v>
      </c>
      <c r="L20" s="26" t="s">
        <v>190</v>
      </c>
      <c r="M20" s="9">
        <f>INDEX(dq[dq_3],MATCH($B$1&amp;" "&amp;M$19,dq[lookup], 0))</f>
        <v>0.1719</v>
      </c>
      <c r="N20" s="22" t="e">
        <f>INDEX(dq[dq_3],MATCH($B$1&amp;" "&amp;N$19,dq[lookup], 0))</f>
        <v>#N/A</v>
      </c>
    </row>
    <row r="21" spans="3:14" x14ac:dyDescent="0.35">
      <c r="C21" s="12" t="s">
        <v>115</v>
      </c>
      <c r="D21" s="2">
        <f>INDEX(multipliers!$A17:$BD17,MATCH($B$1&amp;" | "&amp;D$6,Mult[#Headers], 0))</f>
        <v>0.95760403151337936</v>
      </c>
      <c r="E21" s="2">
        <f>INDEX(multipliers!$A17:$BD17,MATCH($B$1&amp;" | "&amp;E$6,Mult[#Headers], 0))</f>
        <v>0.8936307419664492</v>
      </c>
      <c r="H21" t="str">
        <f>populations!A16</f>
        <v>low_pti_flag</v>
      </c>
      <c r="I21" s="9">
        <f>INDEX(populations!$A16:$BD16,MATCH($B$1&amp;" | "&amp;I$6,flag[#Headers], 0))</f>
        <v>4.7388586408550107E-2</v>
      </c>
      <c r="J21" s="9">
        <f>INDEX(populations!$A16:$BD16,MATCH($B$1&amp;" | "&amp;J$6,flag[#Headers], 0))</f>
        <v>4.1029207232267037E-2</v>
      </c>
      <c r="L21" s="26" t="s">
        <v>191</v>
      </c>
      <c r="M21" s="9">
        <f>INDEX(dq[dq_6],MATCH($B$1&amp;" "&amp;M$19,dq[lookup], 0))</f>
        <v>0.18509999999999999</v>
      </c>
      <c r="N21" s="22" t="e">
        <f>INDEX(dq[dq_6],MATCH($B$1&amp;" "&amp;N$19,dq[lookup], 0))</f>
        <v>#N/A</v>
      </c>
    </row>
    <row r="22" spans="3:14" x14ac:dyDescent="0.35">
      <c r="C22" s="12" t="s">
        <v>116</v>
      </c>
      <c r="D22" s="2">
        <f>INDEX(multipliers!$A18:$BD18,MATCH($B$1&amp;" | "&amp;D$6,Mult[#Headers], 0))</f>
        <v>0.96057725660614701</v>
      </c>
      <c r="E22" s="2">
        <f>INDEX(multipliers!$A18:$BD18,MATCH($B$1&amp;" | "&amp;E$6,Mult[#Headers], 0))</f>
        <v>0.89719213206993043</v>
      </c>
      <c r="H22" t="str">
        <f>populations!A17</f>
        <v>nonkmx_chime_flag</v>
      </c>
      <c r="I22" s="9">
        <f>INDEX(populations!$A17:$BD17,MATCH($B$1&amp;" | "&amp;I$6,flag[#Headers], 0))</f>
        <v>0.18249647106271419</v>
      </c>
      <c r="J22" s="9">
        <f>INDEX(populations!$A17:$BD17,MATCH($B$1&amp;" | "&amp;J$6,flag[#Headers], 0))</f>
        <v>0.1182197496522949</v>
      </c>
      <c r="L22" s="26" t="s">
        <v>192</v>
      </c>
      <c r="M22" s="9">
        <f>INDEX(dq[co_6],MATCH($B$1&amp;" "&amp;M$19,dq[lookup], 0))</f>
        <v>4.7899999999999998E-2</v>
      </c>
      <c r="N22" s="22" t="e">
        <f>INDEX(dq[co_6],MATCH($B$1&amp;" "&amp;N$19,dq[lookup], 0))</f>
        <v>#N/A</v>
      </c>
    </row>
    <row r="23" spans="3:14" ht="15" thickBot="1" x14ac:dyDescent="0.4">
      <c r="C23" s="12" t="s">
        <v>117</v>
      </c>
      <c r="D23" s="2">
        <f>INDEX(multipliers!$A19:$BD19,MATCH($B$1&amp;" | "&amp;D$6,Mult[#Headers], 0))</f>
        <v>0.93284452140947305</v>
      </c>
      <c r="E23" s="2">
        <f>INDEX(multipliers!$A19:$BD19,MATCH($B$1&amp;" | "&amp;E$6,Mult[#Headers], 0))</f>
        <v>0.8785870980195023</v>
      </c>
      <c r="H23" t="str">
        <f>populations!A18</f>
        <v>seasonal_employment_pct</v>
      </c>
      <c r="I23" s="9">
        <f>INDEX(populations!$A18:$BD18,MATCH($B$1&amp;" | "&amp;I$6,flag[#Headers], 0))</f>
        <v>1.0082677959265981E-2</v>
      </c>
      <c r="J23" s="9">
        <f>INDEX(populations!$A18:$BD18,MATCH($B$1&amp;" | "&amp;J$6,flag[#Headers], 0))</f>
        <v>9.7357440890125171E-3</v>
      </c>
      <c r="L23" s="27" t="s">
        <v>194</v>
      </c>
      <c r="M23" s="24">
        <f>INDEX(dq[co_12],MATCH($B$1&amp;" "&amp;M$19,dq[lookup], 0))</f>
        <v>0.1565</v>
      </c>
      <c r="N23" s="28" t="e">
        <f>INDEX(dq[co_12],MATCH($B$1&amp;" "&amp;N$19,dq[lookup], 0))</f>
        <v>#N/A</v>
      </c>
    </row>
    <row r="24" spans="3:14" x14ac:dyDescent="0.35">
      <c r="C24" s="12" t="s">
        <v>118</v>
      </c>
      <c r="D24" s="2">
        <f>INDEX(multipliers!$A20:$BD20,MATCH($B$1&amp;" | "&amp;D$6,Mult[#Headers], 0))</f>
        <v>0.93140450414360143</v>
      </c>
      <c r="E24" s="2">
        <f>INDEX(multipliers!$A20:$BD20,MATCH($B$1&amp;" | "&amp;E$6,Mult[#Headers], 0))</f>
        <v>0.88116935062879576</v>
      </c>
      <c r="H24" t="str">
        <f>populations!A19</f>
        <v>waiter_employment_pct</v>
      </c>
      <c r="I24" s="9">
        <f>INDEX(populations!$A19:$BD19,MATCH($B$1&amp;" | "&amp;I$6,flag[#Headers], 0))</f>
        <v>1.7745513208308129E-2</v>
      </c>
      <c r="J24" s="9">
        <f>INDEX(populations!$A19:$BD19,MATCH($B$1&amp;" | "&amp;J$6,flag[#Headers], 0))</f>
        <v>1.495132127955494E-2</v>
      </c>
    </row>
    <row r="25" spans="3:14" ht="15" thickBot="1" x14ac:dyDescent="0.4">
      <c r="C25" s="12" t="s">
        <v>121</v>
      </c>
      <c r="D25" s="2">
        <f>INDEX(multipliers!$A21:$BD21,MATCH($B$1&amp;" | "&amp;D$6,Mult[#Headers], 0))</f>
        <v>0.93140450414360143</v>
      </c>
      <c r="E25" s="2">
        <f>INDEX(multipliers!$A21:$BD21,MATCH($B$1&amp;" | "&amp;E$6,Mult[#Headers], 0))</f>
        <v>0.88116935062879576</v>
      </c>
      <c r="H25" t="str">
        <f>populations!A20</f>
        <v>other_employment_pct</v>
      </c>
      <c r="I25" s="9">
        <f>INDEX(populations!$A20:$BD20,MATCH($B$1&amp;" | "&amp;I$6,flag[#Headers], 0))</f>
        <v>0.97217180883242593</v>
      </c>
      <c r="J25" s="9">
        <f>INDEX(populations!$A20:$BD20,MATCH($B$1&amp;" | "&amp;J$6,flag[#Headers], 0))</f>
        <v>0.97531293463143254</v>
      </c>
    </row>
    <row r="26" spans="3:14" x14ac:dyDescent="0.35">
      <c r="C26" s="12" t="s">
        <v>119</v>
      </c>
      <c r="D26" s="2">
        <f>INDEX(multipliers!$A22:$BD22,MATCH($B$1&amp;" | "&amp;D$6,Mult[#Headers], 0))</f>
        <v>0.92582634827010901</v>
      </c>
      <c r="E26" s="2">
        <f>INDEX(multipliers!$A22:$BD22,MATCH($B$1&amp;" | "&amp;E$6,Mult[#Headers], 0))</f>
        <v>0.87540852769155475</v>
      </c>
      <c r="H26" t="str">
        <f>populations!A21</f>
        <v>nonkmx_auth_tradelines_flag</v>
      </c>
      <c r="I26" s="9">
        <f>INDEX(populations!$A21:$BD21,MATCH($B$1&amp;" | "&amp;I$6,flag[#Headers], 0))</f>
        <v>2.0971970155273242E-2</v>
      </c>
      <c r="J26" s="9">
        <f>INDEX(populations!$A21:$BD21,MATCH($B$1&amp;" | "&amp;J$6,flag[#Headers], 0))</f>
        <v>1.842837273991655E-2</v>
      </c>
      <c r="L26" s="87" t="str">
        <f>B1</f>
        <v>STG</v>
      </c>
      <c r="M26" s="19" t="str">
        <f>B2</f>
        <v>2025 Q1</v>
      </c>
      <c r="N26" s="18" t="str">
        <f>B3</f>
        <v>2025 Q4</v>
      </c>
    </row>
    <row r="27" spans="3:14" x14ac:dyDescent="0.35">
      <c r="C27" s="12" t="s">
        <v>120</v>
      </c>
      <c r="D27" s="2">
        <f>INDEX(multipliers!$A23:$BD23,MATCH($B$1&amp;" | "&amp;D$6,Mult[#Headers], 0))</f>
        <v>1.8543412932472749</v>
      </c>
      <c r="E27" s="2">
        <f>INDEX(multipliers!$A23:$BD23,MATCH($B$1&amp;" | "&amp;E$6,Mult[#Headers], 0))</f>
        <v>3.1147868077111309</v>
      </c>
      <c r="H27" t="str">
        <f>populations!A22</f>
        <v>fraud_adjustment_mean</v>
      </c>
      <c r="I27" s="9">
        <f>INDEX(populations!$A22:$BD22,MATCH($B$1&amp;" | "&amp;I$6,flag[#Headers], 0))</f>
        <v>0.99172615446662638</v>
      </c>
      <c r="J27" s="9">
        <f>INDEX(populations!$A22:$BD22,MATCH($B$1&amp;" | "&amp;J$6,flag[#Headers], 0))</f>
        <v>0.98615438108483999</v>
      </c>
      <c r="L27" s="21" t="s">
        <v>193</v>
      </c>
      <c r="M27">
        <f>INDEX(ragu!$B3:$BD3,MATCH($B$1&amp;" "&amp;M$26,ragu!$B$1:$BD$1, 0))</f>
        <v>136.66839841462689</v>
      </c>
      <c r="N27" s="29">
        <f>INDEX(ragu!$B3:$BD3,MATCH($B$1&amp;" "&amp;N$26,ragu!$B$1:$BD$1, 0))</f>
        <v>140.0375169754368</v>
      </c>
    </row>
    <row r="28" spans="3:14" x14ac:dyDescent="0.35">
      <c r="C28" s="12"/>
      <c r="H28" t="str">
        <f>populations!A23</f>
        <v>driver_flag</v>
      </c>
      <c r="I28" s="9">
        <f>INDEX(populations!$A23:$BD23,MATCH($B$1&amp;" | "&amp;I$6,flag[#Headers], 0))</f>
        <v>2.1576930832829199E-2</v>
      </c>
      <c r="J28" s="9">
        <f>INDEX(populations!$A23:$BD23,MATCH($B$1&amp;" | "&amp;J$6,flag[#Headers], 0))</f>
        <v>2.7468706536856749E-2</v>
      </c>
      <c r="L28" s="21" t="s">
        <v>213</v>
      </c>
      <c r="M28">
        <f>INDEX(ragu!$B4:$BD4,MATCH($B$1&amp;" "&amp;M$26,ragu!$B$1:$BD$1, 0))</f>
        <v>1.8543412932472729</v>
      </c>
      <c r="N28" s="29">
        <f>INDEX(ragu!$B4:$BD4,MATCH($B$1&amp;" "&amp;N$26,ragu!$B$1:$BD$1, 0))</f>
        <v>3.1147868077111411</v>
      </c>
    </row>
    <row r="29" spans="3:14" x14ac:dyDescent="0.35">
      <c r="I29" s="9"/>
      <c r="J29" s="9"/>
      <c r="L29" s="21" t="s">
        <v>214</v>
      </c>
      <c r="M29">
        <f>INDEX(ragu!$B7:$BD7,MATCH($B$1&amp;" "&amp;M$26,ragu!$B$1:$BD$1, 0))</f>
        <v>5.4545590520980003</v>
      </c>
      <c r="N29" s="29">
        <f>INDEX(ragu!$B7:$BD7,MATCH($B$1&amp;" "&amp;N$26,ragu!$B$1:$BD$1, 0))</f>
        <v>7.7202499999490826</v>
      </c>
    </row>
    <row r="30" spans="3:14" ht="15" thickBot="1" x14ac:dyDescent="0.4">
      <c r="L30" s="23" t="s">
        <v>215</v>
      </c>
      <c r="M30" s="30">
        <f>INDEX(ragu!$B8:$BD8,MATCH($B$1&amp;" "&amp;M$26,ragu!$B$1:$BD$1, 0))</f>
        <v>143.97729875997217</v>
      </c>
      <c r="N30" s="31">
        <f>INDEX(ragu!$B8:$BD8,MATCH($B$1&amp;" "&amp;N$26,ragu!$B$1:$BD$1, 0))</f>
        <v>150.87255378309703</v>
      </c>
    </row>
    <row r="32" spans="3:14" x14ac:dyDescent="0.35">
      <c r="M32">
        <f>SUM(M27:M29)</f>
        <v>143.97729875997217</v>
      </c>
    </row>
    <row r="37" spans="3:8" x14ac:dyDescent="0.35">
      <c r="C37" s="14" t="str">
        <f>B2</f>
        <v>2025 Q1</v>
      </c>
      <c r="D37" t="s">
        <v>231</v>
      </c>
      <c r="E37" t="s">
        <v>133</v>
      </c>
      <c r="F37" t="s">
        <v>134</v>
      </c>
      <c r="G37" t="s">
        <v>135</v>
      </c>
      <c r="H37" t="s">
        <v>136</v>
      </c>
    </row>
    <row r="38" spans="3:8" x14ac:dyDescent="0.35">
      <c r="C38" s="12" t="s">
        <v>102</v>
      </c>
      <c r="D38" s="5">
        <f>$D$26/D7</f>
        <v>0.92550907353225775</v>
      </c>
      <c r="E38" s="5">
        <f>D7/1</f>
        <v>1.000342811050615</v>
      </c>
      <c r="F38" s="5">
        <f>LN(E38)</f>
        <v>3.4275230433227633E-4</v>
      </c>
      <c r="G38">
        <f>F38/SUM($F$38:$F$57)</f>
        <v>-4.4473669601225599E-3</v>
      </c>
      <c r="H38" s="1">
        <f>25*G38*(1-$D$26)</f>
        <v>-8.2469362003788696E-3</v>
      </c>
    </row>
    <row r="39" spans="3:8" x14ac:dyDescent="0.35">
      <c r="C39" s="12" t="s">
        <v>103</v>
      </c>
      <c r="D39" s="5">
        <f>$D$26/D8</f>
        <v>0.92550907353225775</v>
      </c>
      <c r="E39" s="5">
        <f>D8/D7</f>
        <v>1</v>
      </c>
      <c r="F39" s="5">
        <f>LN(E39)</f>
        <v>0</v>
      </c>
      <c r="G39">
        <f t="shared" ref="G39:G56" si="0">F39/SUM($F$38:$F$57)</f>
        <v>0</v>
      </c>
      <c r="H39" s="1">
        <f t="shared" ref="H39:H57" si="1">25*G39*(1-$D$26)</f>
        <v>0</v>
      </c>
    </row>
    <row r="40" spans="3:8" x14ac:dyDescent="0.35">
      <c r="C40" s="12" t="s">
        <v>104</v>
      </c>
      <c r="D40" s="5">
        <f>$D$26/D9</f>
        <v>0.92550907353225775</v>
      </c>
      <c r="E40" s="5">
        <f>D9/D8</f>
        <v>1</v>
      </c>
      <c r="F40" s="5">
        <f t="shared" ref="F40:F57" si="2">LN(E40)</f>
        <v>0</v>
      </c>
      <c r="G40">
        <f>F40/SUM($F$38:$F$57)</f>
        <v>0</v>
      </c>
      <c r="H40" s="1">
        <f>25*G40*(1-$D$26)</f>
        <v>0</v>
      </c>
    </row>
    <row r="41" spans="3:8" x14ac:dyDescent="0.35">
      <c r="C41" s="12" t="s">
        <v>105</v>
      </c>
      <c r="D41" s="5">
        <f t="shared" ref="D41:D53" si="3">$D$26/D10</f>
        <v>0.92413052496356207</v>
      </c>
      <c r="E41" s="5">
        <f t="shared" ref="E41:E57" si="4">D10/D9</f>
        <v>1.001491724958171</v>
      </c>
      <c r="F41" s="5">
        <f t="shared" si="2"/>
        <v>1.4906134417427739E-3</v>
      </c>
      <c r="G41">
        <f t="shared" si="0"/>
        <v>-1.9341387023016778E-2</v>
      </c>
      <c r="H41" s="1">
        <f t="shared" si="1"/>
        <v>-3.586553262545699E-2</v>
      </c>
    </row>
    <row r="42" spans="3:8" x14ac:dyDescent="0.35">
      <c r="C42" s="12" t="s">
        <v>106</v>
      </c>
      <c r="D42" s="5">
        <f t="shared" si="3"/>
        <v>0.92413052496356207</v>
      </c>
      <c r="E42" s="5">
        <f t="shared" si="4"/>
        <v>1</v>
      </c>
      <c r="F42" s="5">
        <f t="shared" si="2"/>
        <v>0</v>
      </c>
      <c r="G42">
        <f t="shared" si="0"/>
        <v>0</v>
      </c>
      <c r="H42" s="1">
        <f t="shared" si="1"/>
        <v>0</v>
      </c>
    </row>
    <row r="43" spans="3:8" x14ac:dyDescent="0.35">
      <c r="C43" s="17" t="s">
        <v>107</v>
      </c>
      <c r="D43" s="5">
        <f t="shared" si="3"/>
        <v>0.97157398393217032</v>
      </c>
      <c r="E43" s="5">
        <f>D12/D11</f>
        <v>0.95116845474124956</v>
      </c>
      <c r="F43" s="5">
        <f t="shared" si="2"/>
        <v>-5.0064097800098073E-2</v>
      </c>
      <c r="G43">
        <f t="shared" si="0"/>
        <v>0.64960442754209036</v>
      </c>
      <c r="H43" s="1">
        <f t="shared" si="1"/>
        <v>1.2045883142675555</v>
      </c>
    </row>
    <row r="44" spans="3:8" x14ac:dyDescent="0.35">
      <c r="C44" s="12" t="s">
        <v>108</v>
      </c>
      <c r="D44" s="5">
        <f>$D$26/D13</f>
        <v>0.97157398393217032</v>
      </c>
      <c r="E44" s="5">
        <f t="shared" si="4"/>
        <v>1</v>
      </c>
      <c r="F44" s="5">
        <f t="shared" si="2"/>
        <v>0</v>
      </c>
      <c r="G44">
        <f t="shared" si="0"/>
        <v>0</v>
      </c>
      <c r="H44" s="1">
        <f t="shared" si="1"/>
        <v>0</v>
      </c>
    </row>
    <row r="45" spans="3:8" x14ac:dyDescent="0.35">
      <c r="C45" s="13" t="s">
        <v>63</v>
      </c>
      <c r="D45" s="5">
        <f t="shared" si="3"/>
        <v>0.97157398393217032</v>
      </c>
      <c r="E45" s="5">
        <f t="shared" si="4"/>
        <v>1</v>
      </c>
      <c r="F45" s="5">
        <f t="shared" si="2"/>
        <v>0</v>
      </c>
      <c r="G45">
        <f t="shared" si="0"/>
        <v>0</v>
      </c>
      <c r="H45" s="1">
        <f t="shared" si="1"/>
        <v>0</v>
      </c>
    </row>
    <row r="46" spans="3:8" x14ac:dyDescent="0.35">
      <c r="C46" s="12" t="s">
        <v>109</v>
      </c>
      <c r="D46" s="5">
        <f t="shared" si="3"/>
        <v>0.97201699165514743</v>
      </c>
      <c r="E46" s="5">
        <f t="shared" si="4"/>
        <v>0.99954423870489884</v>
      </c>
      <c r="F46" s="5">
        <f t="shared" si="2"/>
        <v>-4.5586518584767412E-4</v>
      </c>
      <c r="G46">
        <f t="shared" si="0"/>
        <v>5.9150580176512615E-3</v>
      </c>
      <c r="H46" s="1">
        <f t="shared" si="1"/>
        <v>1.0968536334084102E-2</v>
      </c>
    </row>
    <row r="47" spans="3:8" x14ac:dyDescent="0.35">
      <c r="C47" s="17" t="s">
        <v>110</v>
      </c>
      <c r="D47" s="5">
        <f t="shared" si="3"/>
        <v>0.96997298886262739</v>
      </c>
      <c r="E47" s="5">
        <f t="shared" si="4"/>
        <v>1.0021072780541207</v>
      </c>
      <c r="F47" s="5">
        <f t="shared" si="2"/>
        <v>2.1050608580081109E-3</v>
      </c>
      <c r="G47">
        <f t="shared" si="0"/>
        <v>-2.7314121570067358E-2</v>
      </c>
      <c r="H47" s="1">
        <f t="shared" si="1"/>
        <v>-5.0649703516151987E-2</v>
      </c>
    </row>
    <row r="48" spans="3:8" x14ac:dyDescent="0.35">
      <c r="C48" s="12" t="s">
        <v>111</v>
      </c>
      <c r="D48" s="5">
        <f t="shared" si="3"/>
        <v>0.97643718400386437</v>
      </c>
      <c r="E48" s="5">
        <f t="shared" si="4"/>
        <v>0.99337981464948866</v>
      </c>
      <c r="F48" s="5">
        <f t="shared" si="2"/>
        <v>-6.6421959742702704E-3</v>
      </c>
      <c r="G48">
        <f t="shared" si="0"/>
        <v>8.6185512235072453E-2</v>
      </c>
      <c r="H48" s="1">
        <f t="shared" si="1"/>
        <v>0.15981735421716306</v>
      </c>
    </row>
    <row r="49" spans="3:8" x14ac:dyDescent="0.35">
      <c r="C49" s="17" t="s">
        <v>112</v>
      </c>
      <c r="D49" s="5">
        <f t="shared" si="3"/>
        <v>0.96038354458999398</v>
      </c>
      <c r="E49" s="5">
        <f t="shared" si="4"/>
        <v>1.0167158626408201</v>
      </c>
      <c r="F49" s="5">
        <f t="shared" si="2"/>
        <v>1.6577690263251222E-2</v>
      </c>
      <c r="G49">
        <f t="shared" si="0"/>
        <v>-0.21510306720054984</v>
      </c>
      <c r="H49" s="1">
        <f t="shared" si="1"/>
        <v>-0.39887449981412304</v>
      </c>
    </row>
    <row r="50" spans="3:8" x14ac:dyDescent="0.35">
      <c r="C50" s="12" t="s">
        <v>113</v>
      </c>
      <c r="D50" s="5">
        <f t="shared" si="3"/>
        <v>0.96120721690975941</v>
      </c>
      <c r="E50" s="5">
        <f t="shared" si="4"/>
        <v>0.99914308558521481</v>
      </c>
      <c r="F50" s="5">
        <f t="shared" si="2"/>
        <v>-8.5728177582196428E-4</v>
      </c>
      <c r="G50">
        <f t="shared" si="0"/>
        <v>1.1123620752115157E-2</v>
      </c>
      <c r="H50" s="1">
        <f t="shared" si="1"/>
        <v>2.0626989291069445E-2</v>
      </c>
    </row>
    <row r="51" spans="3:8" x14ac:dyDescent="0.35">
      <c r="C51" s="12" t="s">
        <v>114</v>
      </c>
      <c r="D51" s="5">
        <f t="shared" si="3"/>
        <v>0.95928259453530462</v>
      </c>
      <c r="E51" s="5">
        <f t="shared" si="4"/>
        <v>1.0020063142867583</v>
      </c>
      <c r="F51" s="5">
        <f t="shared" si="2"/>
        <v>2.0043043262090976E-3</v>
      </c>
      <c r="G51">
        <f t="shared" si="0"/>
        <v>-2.6006759767168829E-2</v>
      </c>
      <c r="H51" s="1">
        <f t="shared" si="1"/>
        <v>-4.8225408539823038E-2</v>
      </c>
    </row>
    <row r="52" spans="3:8" x14ac:dyDescent="0.35">
      <c r="C52" s="17" t="s">
        <v>115</v>
      </c>
      <c r="D52" s="5">
        <f t="shared" si="3"/>
        <v>0.96681542454134251</v>
      </c>
      <c r="E52" s="5">
        <f t="shared" si="4"/>
        <v>0.99220861623136447</v>
      </c>
      <c r="F52" s="5">
        <f t="shared" si="2"/>
        <v>-7.821895186592329E-3</v>
      </c>
      <c r="G52">
        <f t="shared" si="0"/>
        <v>0.10149264579318132</v>
      </c>
      <c r="H52" s="1">
        <f t="shared" si="1"/>
        <v>0.18820200405521542</v>
      </c>
    </row>
    <row r="53" spans="3:8" x14ac:dyDescent="0.35">
      <c r="C53" s="12" t="s">
        <v>116</v>
      </c>
      <c r="D53" s="5">
        <f t="shared" si="3"/>
        <v>0.96382289077005867</v>
      </c>
      <c r="E53" s="5">
        <f t="shared" si="4"/>
        <v>1.0031048585792488</v>
      </c>
      <c r="F53" s="5">
        <f t="shared" si="2"/>
        <v>3.1000484597721841E-3</v>
      </c>
      <c r="G53">
        <f t="shared" si="0"/>
        <v>-4.0224538013328662E-2</v>
      </c>
      <c r="H53" s="1">
        <f t="shared" si="1"/>
        <v>-7.4590021839910037E-2</v>
      </c>
    </row>
    <row r="54" spans="3:8" x14ac:dyDescent="0.35">
      <c r="C54" s="17" t="s">
        <v>117</v>
      </c>
      <c r="D54" s="5">
        <f>$D$26/D23</f>
        <v>0.99247658856509124</v>
      </c>
      <c r="E54" s="5">
        <f t="shared" si="4"/>
        <v>0.97112909450442586</v>
      </c>
      <c r="F54" s="5">
        <f t="shared" si="2"/>
        <v>-2.9295869471836242E-2</v>
      </c>
      <c r="G54">
        <f t="shared" si="0"/>
        <v>0.38012722397571508</v>
      </c>
      <c r="H54" s="1">
        <f t="shared" si="1"/>
        <v>0.70488560810562395</v>
      </c>
    </row>
    <row r="55" spans="3:8" x14ac:dyDescent="0.35">
      <c r="C55" s="12" t="s">
        <v>118</v>
      </c>
      <c r="D55" s="5">
        <f t="shared" ref="D55:D57" si="5">$D$26/D24</f>
        <v>0.9940110275946954</v>
      </c>
      <c r="E55" s="5">
        <f t="shared" si="4"/>
        <v>0.99845631588885164</v>
      </c>
      <c r="F55" s="5">
        <f t="shared" si="2"/>
        <v>-1.5448768190667345E-3</v>
      </c>
      <c r="G55">
        <f t="shared" si="0"/>
        <v>2.0045479011327069E-2</v>
      </c>
      <c r="H55" s="1">
        <f t="shared" si="1"/>
        <v>3.7171159473625336E-2</v>
      </c>
    </row>
    <row r="56" spans="3:8" x14ac:dyDescent="0.35">
      <c r="C56" s="12" t="s">
        <v>121</v>
      </c>
      <c r="D56" s="5">
        <f t="shared" si="5"/>
        <v>0.9940110275946954</v>
      </c>
      <c r="E56" s="5">
        <f t="shared" si="4"/>
        <v>1</v>
      </c>
      <c r="F56" s="5">
        <f t="shared" si="2"/>
        <v>0</v>
      </c>
      <c r="G56">
        <f t="shared" si="0"/>
        <v>0</v>
      </c>
      <c r="H56" s="1">
        <f t="shared" si="1"/>
        <v>0</v>
      </c>
    </row>
    <row r="57" spans="3:8" x14ac:dyDescent="0.35">
      <c r="C57" s="12" t="s">
        <v>119</v>
      </c>
      <c r="D57" s="5">
        <f t="shared" si="5"/>
        <v>1</v>
      </c>
      <c r="E57" s="5">
        <f t="shared" si="4"/>
        <v>0.9940110275946954</v>
      </c>
      <c r="F57" s="5">
        <f t="shared" si="2"/>
        <v>-6.0069782274494348E-3</v>
      </c>
      <c r="G57">
        <f>F57/SUM($F$38:$F$57)</f>
        <v>7.7943273207101454E-2</v>
      </c>
      <c r="H57" s="1">
        <f t="shared" si="1"/>
        <v>0.14453343003878216</v>
      </c>
    </row>
    <row r="58" spans="3:8" x14ac:dyDescent="0.35">
      <c r="G58" s="8">
        <f>SUM(G38:G57)</f>
        <v>1</v>
      </c>
      <c r="H58" s="15">
        <f>SUM(H38:H57)</f>
        <v>1.8543412932472749</v>
      </c>
    </row>
    <row r="62" spans="3:8" x14ac:dyDescent="0.35">
      <c r="C62" s="14" t="str">
        <f>B3</f>
        <v>2025 Q4</v>
      </c>
      <c r="D62" t="s">
        <v>231</v>
      </c>
      <c r="E62" t="s">
        <v>133</v>
      </c>
      <c r="F62" t="s">
        <v>134</v>
      </c>
      <c r="G62" t="s">
        <v>135</v>
      </c>
      <c r="H62" t="s">
        <v>136</v>
      </c>
    </row>
    <row r="63" spans="3:8" x14ac:dyDescent="0.35">
      <c r="C63" s="12" t="s">
        <v>102</v>
      </c>
      <c r="D63" s="5">
        <f>$E$26/E7</f>
        <v>0.87516508816772498</v>
      </c>
      <c r="E63" s="5">
        <f>E7/1</f>
        <v>1.000278164116829</v>
      </c>
      <c r="F63" s="5">
        <f>LN(E63)</f>
        <v>2.7812543636391581E-4</v>
      </c>
      <c r="G63">
        <f>F63/SUM($F$63:$F$82)</f>
        <v>-2.0901532761150193E-3</v>
      </c>
      <c r="H63" s="1">
        <f>25*G63*(1-$E$26)</f>
        <v>-6.5103818505372639E-3</v>
      </c>
    </row>
    <row r="64" spans="3:8" x14ac:dyDescent="0.35">
      <c r="C64" s="12" t="s">
        <v>103</v>
      </c>
      <c r="D64" s="5">
        <f t="shared" ref="D64:D82" si="6">$E$26/E8</f>
        <v>0.87516508816772498</v>
      </c>
      <c r="E64" s="5">
        <f>E8/E7</f>
        <v>1</v>
      </c>
      <c r="F64" s="5">
        <f t="shared" ref="F64:F82" si="7">LN(E64)</f>
        <v>0</v>
      </c>
      <c r="G64">
        <f t="shared" ref="G64:G82" si="8">F64/SUM($F$63:$F$82)</f>
        <v>0</v>
      </c>
      <c r="H64" s="1">
        <f t="shared" ref="H64:H82" si="9">25*G64*(1-$E$26)</f>
        <v>0</v>
      </c>
    </row>
    <row r="65" spans="3:8" x14ac:dyDescent="0.35">
      <c r="C65" s="12" t="s">
        <v>104</v>
      </c>
      <c r="D65" s="5">
        <f t="shared" si="6"/>
        <v>0.87516508816772498</v>
      </c>
      <c r="E65" s="5">
        <f t="shared" ref="E65:E82" si="10">E9/E8</f>
        <v>1</v>
      </c>
      <c r="F65" s="5">
        <f t="shared" si="7"/>
        <v>0</v>
      </c>
      <c r="G65">
        <f t="shared" si="8"/>
        <v>0</v>
      </c>
      <c r="H65" s="1">
        <f t="shared" si="9"/>
        <v>0</v>
      </c>
    </row>
    <row r="66" spans="3:8" x14ac:dyDescent="0.35">
      <c r="C66" s="12" t="s">
        <v>105</v>
      </c>
      <c r="D66" s="5">
        <f t="shared" si="6"/>
        <v>0.87473939463585237</v>
      </c>
      <c r="E66" s="5">
        <f t="shared" si="10"/>
        <v>1.000486651835373</v>
      </c>
      <c r="F66" s="5">
        <f t="shared" si="7"/>
        <v>4.865334587724645E-4</v>
      </c>
      <c r="G66">
        <f t="shared" si="8"/>
        <v>-3.65637000372101E-3</v>
      </c>
      <c r="H66" s="1">
        <f t="shared" si="9"/>
        <v>-1.1388813051700902E-2</v>
      </c>
    </row>
    <row r="67" spans="3:8" x14ac:dyDescent="0.35">
      <c r="C67" s="12" t="s">
        <v>106</v>
      </c>
      <c r="D67" s="5">
        <f t="shared" si="6"/>
        <v>0.87473939463585237</v>
      </c>
      <c r="E67" s="5">
        <f t="shared" si="10"/>
        <v>1</v>
      </c>
      <c r="F67" s="5">
        <f t="shared" si="7"/>
        <v>0</v>
      </c>
      <c r="G67">
        <f t="shared" si="8"/>
        <v>0</v>
      </c>
      <c r="H67" s="1">
        <f t="shared" si="9"/>
        <v>0</v>
      </c>
    </row>
    <row r="68" spans="3:8" x14ac:dyDescent="0.35">
      <c r="C68" s="17" t="s">
        <v>107</v>
      </c>
      <c r="D68" s="5">
        <f t="shared" si="6"/>
        <v>0.94059264451277913</v>
      </c>
      <c r="E68" s="5">
        <f t="shared" si="10"/>
        <v>0.92998749218261401</v>
      </c>
      <c r="F68" s="5">
        <f t="shared" si="7"/>
        <v>-7.2584142191284062E-2</v>
      </c>
      <c r="G68">
        <f t="shared" si="8"/>
        <v>0.54548042990430345</v>
      </c>
      <c r="H68" s="1">
        <f t="shared" si="9"/>
        <v>1.6990552469305209</v>
      </c>
    </row>
    <row r="69" spans="3:8" x14ac:dyDescent="0.35">
      <c r="C69" s="12" t="s">
        <v>108</v>
      </c>
      <c r="D69" s="5">
        <f t="shared" si="6"/>
        <v>0.94059264451277913</v>
      </c>
      <c r="E69" s="5">
        <f t="shared" si="10"/>
        <v>1</v>
      </c>
      <c r="F69" s="5">
        <f>LN(E69)</f>
        <v>0</v>
      </c>
      <c r="G69">
        <f t="shared" si="8"/>
        <v>0</v>
      </c>
      <c r="H69" s="1">
        <f t="shared" si="9"/>
        <v>0</v>
      </c>
    </row>
    <row r="70" spans="3:8" x14ac:dyDescent="0.35">
      <c r="C70" s="13" t="s">
        <v>63</v>
      </c>
      <c r="D70" s="5">
        <f t="shared" si="6"/>
        <v>0.94059264451277913</v>
      </c>
      <c r="E70" s="5">
        <f t="shared" si="10"/>
        <v>1</v>
      </c>
      <c r="F70" s="5">
        <f t="shared" si="7"/>
        <v>0</v>
      </c>
      <c r="G70">
        <f t="shared" si="8"/>
        <v>0</v>
      </c>
      <c r="H70" s="1">
        <f t="shared" si="9"/>
        <v>0</v>
      </c>
    </row>
    <row r="71" spans="3:8" x14ac:dyDescent="0.35">
      <c r="C71" s="12" t="s">
        <v>109</v>
      </c>
      <c r="D71" s="5">
        <f t="shared" si="6"/>
        <v>0.94165750562997697</v>
      </c>
      <c r="E71" s="5">
        <f t="shared" si="10"/>
        <v>0.99886916303344764</v>
      </c>
      <c r="F71" s="5">
        <f t="shared" si="7"/>
        <v>-1.1314768451192014E-3</v>
      </c>
      <c r="G71">
        <f t="shared" si="8"/>
        <v>8.5032137498554112E-3</v>
      </c>
      <c r="H71" s="1">
        <f t="shared" si="9"/>
        <v>2.6485698011197534E-2</v>
      </c>
    </row>
    <row r="72" spans="3:8" x14ac:dyDescent="0.35">
      <c r="C72" s="17" t="s">
        <v>110</v>
      </c>
      <c r="D72" s="5">
        <f t="shared" si="6"/>
        <v>0.96053166181721017</v>
      </c>
      <c r="E72" s="5">
        <f t="shared" si="10"/>
        <v>0.98035030292335645</v>
      </c>
      <c r="F72" s="5">
        <f t="shared" si="7"/>
        <v>-1.9845319225643584E-2</v>
      </c>
      <c r="G72">
        <f t="shared" si="8"/>
        <v>0.14914047250519272</v>
      </c>
      <c r="H72" s="1">
        <f t="shared" si="9"/>
        <v>0.46454077625497897</v>
      </c>
    </row>
    <row r="73" spans="3:8" x14ac:dyDescent="0.35">
      <c r="C73" s="12" t="s">
        <v>111</v>
      </c>
      <c r="D73" s="5">
        <f t="shared" si="6"/>
        <v>0.96651857236568961</v>
      </c>
      <c r="E73" s="5">
        <f t="shared" si="10"/>
        <v>0.99380569528651097</v>
      </c>
      <c r="F73" s="5">
        <f t="shared" si="7"/>
        <v>-6.2135690127579557E-3</v>
      </c>
      <c r="G73">
        <f t="shared" si="8"/>
        <v>4.6695878658827301E-2</v>
      </c>
      <c r="H73" s="1">
        <f t="shared" si="9"/>
        <v>0.14544770682099503</v>
      </c>
    </row>
    <row r="74" spans="3:8" x14ac:dyDescent="0.35">
      <c r="C74" s="17" t="s">
        <v>112</v>
      </c>
      <c r="D74" s="5">
        <f t="shared" si="6"/>
        <v>0.96816109873936251</v>
      </c>
      <c r="E74" s="5">
        <f t="shared" si="10"/>
        <v>0.99830345757972339</v>
      </c>
      <c r="F74" s="5">
        <f t="shared" si="7"/>
        <v>-1.6979831781369888E-3</v>
      </c>
      <c r="G74">
        <f t="shared" si="8"/>
        <v>1.2760591584034186E-2</v>
      </c>
      <c r="H74" s="1">
        <f t="shared" si="9"/>
        <v>3.9746522324539374E-2</v>
      </c>
    </row>
    <row r="75" spans="3:8" x14ac:dyDescent="0.35">
      <c r="C75" s="12" t="s">
        <v>113</v>
      </c>
      <c r="D75" s="5">
        <f t="shared" si="6"/>
        <v>0.96865263090845644</v>
      </c>
      <c r="E75" s="5">
        <f t="shared" si="10"/>
        <v>0.99949256095176986</v>
      </c>
      <c r="F75" s="5">
        <f t="shared" si="7"/>
        <v>-5.0756783899479313E-4</v>
      </c>
      <c r="G75">
        <f t="shared" si="8"/>
        <v>3.8144464432855762E-3</v>
      </c>
      <c r="H75" s="1">
        <f t="shared" si="9"/>
        <v>1.1881187460266559E-2</v>
      </c>
    </row>
    <row r="76" spans="3:8" x14ac:dyDescent="0.35">
      <c r="C76" s="12" t="s">
        <v>114</v>
      </c>
      <c r="D76" s="5">
        <f t="shared" si="6"/>
        <v>0.96691022333868692</v>
      </c>
      <c r="E76" s="5">
        <f t="shared" si="10"/>
        <v>1.0018020365569753</v>
      </c>
      <c r="F76" s="5">
        <f t="shared" si="7"/>
        <v>1.8004148370723788E-3</v>
      </c>
      <c r="G76">
        <f t="shared" si="8"/>
        <v>-1.3530380461674141E-2</v>
      </c>
      <c r="H76" s="1">
        <f t="shared" si="9"/>
        <v>-4.2144250565335058E-2</v>
      </c>
    </row>
    <row r="77" spans="3:8" x14ac:dyDescent="0.35">
      <c r="C77" s="17" t="s">
        <v>115</v>
      </c>
      <c r="D77" s="5">
        <f t="shared" si="6"/>
        <v>0.97960878759072656</v>
      </c>
      <c r="E77" s="5">
        <f t="shared" si="10"/>
        <v>0.98703710663593491</v>
      </c>
      <c r="F77" s="5">
        <f t="shared" si="7"/>
        <v>-1.3047644879523318E-2</v>
      </c>
      <c r="G77">
        <f t="shared" si="8"/>
        <v>9.8054956954161041E-2</v>
      </c>
      <c r="H77" s="1">
        <f t="shared" si="9"/>
        <v>0.30542028635150364</v>
      </c>
    </row>
    <row r="78" spans="3:8" x14ac:dyDescent="0.35">
      <c r="C78" s="12" t="s">
        <v>116</v>
      </c>
      <c r="D78" s="5">
        <f t="shared" si="6"/>
        <v>0.9757202458651546</v>
      </c>
      <c r="E78" s="5">
        <f t="shared" si="10"/>
        <v>1.0039853039250242</v>
      </c>
      <c r="F78" s="5">
        <f t="shared" si="7"/>
        <v>3.9773836375315095E-3</v>
      </c>
      <c r="G78">
        <f t="shared" si="8"/>
        <v>-2.9890618956099679E-2</v>
      </c>
      <c r="H78" s="1">
        <f t="shared" si="9"/>
        <v>-9.3102905598779553E-2</v>
      </c>
    </row>
    <row r="79" spans="3:8" x14ac:dyDescent="0.35">
      <c r="C79" s="17" t="s">
        <v>117</v>
      </c>
      <c r="D79" s="5">
        <f t="shared" si="6"/>
        <v>0.99638217959822917</v>
      </c>
      <c r="E79" s="5">
        <f t="shared" si="10"/>
        <v>0.9792630436832922</v>
      </c>
      <c r="F79" s="5">
        <f t="shared" si="7"/>
        <v>-2.0954986450062538E-2</v>
      </c>
      <c r="G79">
        <f t="shared" si="8"/>
        <v>0.15747978377006364</v>
      </c>
      <c r="H79" s="1">
        <f t="shared" si="9"/>
        <v>0.49051595296819572</v>
      </c>
    </row>
    <row r="80" spans="3:8" x14ac:dyDescent="0.35">
      <c r="C80" s="12" t="s">
        <v>118</v>
      </c>
      <c r="D80" s="5">
        <f t="shared" si="6"/>
        <v>0.99346229764672345</v>
      </c>
      <c r="E80" s="5">
        <f t="shared" si="10"/>
        <v>1.0029390968921741</v>
      </c>
      <c r="F80" s="5">
        <f t="shared" si="7"/>
        <v>2.9347861912163279E-3</v>
      </c>
      <c r="G80">
        <f t="shared" si="8"/>
        <v>-2.2055346869610436E-2</v>
      </c>
      <c r="H80" s="1">
        <f t="shared" si="9"/>
        <v>-6.8697703468955582E-2</v>
      </c>
    </row>
    <row r="81" spans="3:8" x14ac:dyDescent="0.35">
      <c r="C81" s="12" t="s">
        <v>121</v>
      </c>
      <c r="D81" s="5">
        <f t="shared" si="6"/>
        <v>0.99346229764672345</v>
      </c>
      <c r="E81" s="5">
        <f t="shared" si="10"/>
        <v>1</v>
      </c>
      <c r="F81" s="5">
        <f t="shared" si="7"/>
        <v>0</v>
      </c>
      <c r="G81">
        <f t="shared" si="8"/>
        <v>0</v>
      </c>
      <c r="H81" s="1">
        <f t="shared" si="9"/>
        <v>0</v>
      </c>
    </row>
    <row r="82" spans="3:8" x14ac:dyDescent="0.35">
      <c r="C82" s="12" t="s">
        <v>119</v>
      </c>
      <c r="D82" s="5">
        <f t="shared" si="6"/>
        <v>1</v>
      </c>
      <c r="E82" s="5">
        <f t="shared" si="10"/>
        <v>0.99346229764672345</v>
      </c>
      <c r="F82" s="5">
        <f t="shared" si="7"/>
        <v>-6.5591667322668903E-3</v>
      </c>
      <c r="G82">
        <f t="shared" si="8"/>
        <v>4.9293095997497149E-2</v>
      </c>
      <c r="H82" s="1">
        <f t="shared" si="9"/>
        <v>0.15353748512424248</v>
      </c>
    </row>
    <row r="83" spans="3:8" x14ac:dyDescent="0.35">
      <c r="H83" s="15">
        <f>SUM(H63:H82)</f>
        <v>3.1147868077111318</v>
      </c>
    </row>
    <row r="86" spans="3:8" x14ac:dyDescent="0.35">
      <c r="D86" t="s">
        <v>137</v>
      </c>
    </row>
    <row r="87" spans="3:8" x14ac:dyDescent="0.35">
      <c r="C87" s="12" t="s">
        <v>102</v>
      </c>
      <c r="D87" s="1">
        <f t="shared" ref="D87:D107" si="11">H63-H38</f>
        <v>1.7365543498416057E-3</v>
      </c>
      <c r="E87">
        <f>-ABS(D87)</f>
        <v>-1.7365543498416057E-3</v>
      </c>
      <c r="F87" s="7" cm="1">
        <f t="array" ref="F87:F106">_xlfn._xlws.SORT(E87:E106)</f>
        <v>-0.51519047977113097</v>
      </c>
      <c r="G87" t="str" cm="1">
        <f t="array" ref="G87:G106">_xlfn.XLOOKUP(_xlfn.ANCHORARRAY(F87),E87:E106,C87:C106)</f>
        <v>Student Loans</v>
      </c>
    </row>
    <row r="88" spans="3:8" x14ac:dyDescent="0.35">
      <c r="C88" s="12" t="s">
        <v>103</v>
      </c>
      <c r="D88" s="1">
        <f t="shared" si="11"/>
        <v>0</v>
      </c>
      <c r="E88">
        <f t="shared" ref="E88:E106" si="12">-ABS(D88)</f>
        <v>0</v>
      </c>
      <c r="F88" s="7">
        <v>-0.49446693266296537</v>
      </c>
      <c r="G88" t="str">
        <v>Toyota/Honda</v>
      </c>
    </row>
    <row r="89" spans="3:8" x14ac:dyDescent="0.35">
      <c r="C89" s="12" t="s">
        <v>104</v>
      </c>
      <c r="D89" s="1">
        <f t="shared" si="11"/>
        <v>0</v>
      </c>
      <c r="E89">
        <f t="shared" si="12"/>
        <v>0</v>
      </c>
      <c r="F89" s="7">
        <v>-0.43862102213866239</v>
      </c>
      <c r="G89" t="str">
        <v>Chime</v>
      </c>
    </row>
    <row r="90" spans="3:8" x14ac:dyDescent="0.35">
      <c r="C90" s="12" t="s">
        <v>105</v>
      </c>
      <c r="D90" s="1">
        <f t="shared" si="11"/>
        <v>2.4476719573756089E-2</v>
      </c>
      <c r="E90">
        <f>-ABS(D90)</f>
        <v>-2.4476719573756089E-2</v>
      </c>
      <c r="F90" s="7">
        <v>-0.21436965513742823</v>
      </c>
      <c r="G90" t="str">
        <v>Dealer Level Loss</v>
      </c>
    </row>
    <row r="91" spans="3:8" x14ac:dyDescent="0.35">
      <c r="C91" s="12" t="s">
        <v>106</v>
      </c>
      <c r="D91" s="1">
        <f t="shared" si="11"/>
        <v>0</v>
      </c>
      <c r="E91">
        <f t="shared" si="12"/>
        <v>0</v>
      </c>
      <c r="F91" s="7">
        <v>-0.11721828229628822</v>
      </c>
      <c r="G91" t="str">
        <v>Fraud</v>
      </c>
    </row>
    <row r="92" spans="3:8" x14ac:dyDescent="0.35">
      <c r="C92" s="17" t="s">
        <v>107</v>
      </c>
      <c r="D92" s="1">
        <f t="shared" si="11"/>
        <v>0.49446693266296537</v>
      </c>
      <c r="E92">
        <f t="shared" si="12"/>
        <v>-0.49446693266296537</v>
      </c>
      <c r="F92" s="7">
        <v>-0.10586886294258091</v>
      </c>
      <c r="G92" t="str">
        <v>Clip</v>
      </c>
    </row>
    <row r="93" spans="3:8" x14ac:dyDescent="0.35">
      <c r="C93" s="12" t="s">
        <v>108</v>
      </c>
      <c r="D93" s="1">
        <f t="shared" si="11"/>
        <v>0</v>
      </c>
      <c r="E93">
        <f t="shared" si="12"/>
        <v>0</v>
      </c>
      <c r="F93" s="7">
        <v>-2.4476719573756089E-2</v>
      </c>
      <c r="G93" t="str">
        <v>High Mileage</v>
      </c>
    </row>
    <row r="94" spans="3:8" x14ac:dyDescent="0.35">
      <c r="C94" s="13" t="s">
        <v>63</v>
      </c>
      <c r="D94" s="1">
        <f t="shared" si="11"/>
        <v>0</v>
      </c>
      <c r="E94">
        <f t="shared" si="12"/>
        <v>0</v>
      </c>
      <c r="F94" s="7">
        <v>-1.8512883758869517E-2</v>
      </c>
      <c r="G94" t="str">
        <v>Driver</v>
      </c>
    </row>
    <row r="95" spans="3:8" x14ac:dyDescent="0.35">
      <c r="C95" s="12" t="s">
        <v>109</v>
      </c>
      <c r="D95" s="1">
        <f t="shared" si="11"/>
        <v>1.5517161677113433E-2</v>
      </c>
      <c r="E95">
        <f t="shared" si="12"/>
        <v>-1.5517161677113433E-2</v>
      </c>
      <c r="F95" s="7">
        <v>-1.5517161677113433E-2</v>
      </c>
      <c r="G95" t="str">
        <v>Weekday/Weekend</v>
      </c>
    </row>
    <row r="96" spans="3:8" x14ac:dyDescent="0.35">
      <c r="C96" s="17" t="s">
        <v>110</v>
      </c>
      <c r="D96" s="1">
        <f t="shared" si="11"/>
        <v>0.51519047977113097</v>
      </c>
      <c r="E96">
        <f t="shared" si="12"/>
        <v>-0.51519047977113097</v>
      </c>
      <c r="F96" s="7">
        <v>-1.4369647396168028E-2</v>
      </c>
      <c r="G96" t="str">
        <v>Low PTI</v>
      </c>
    </row>
    <row r="97" spans="3:8" x14ac:dyDescent="0.35">
      <c r="C97" s="12" t="s">
        <v>111</v>
      </c>
      <c r="D97" s="1">
        <f t="shared" si="11"/>
        <v>-1.4369647396168028E-2</v>
      </c>
      <c r="E97">
        <f t="shared" si="12"/>
        <v>-1.4369647396168028E-2</v>
      </c>
      <c r="F97" s="7">
        <v>-9.0040550854603163E-3</v>
      </c>
      <c r="G97" t="str">
        <v>Weighted Multiplier</v>
      </c>
    </row>
    <row r="98" spans="3:8" x14ac:dyDescent="0.35">
      <c r="C98" s="17" t="s">
        <v>112</v>
      </c>
      <c r="D98" s="1">
        <f t="shared" si="11"/>
        <v>0.43862102213866239</v>
      </c>
      <c r="E98">
        <f t="shared" si="12"/>
        <v>-0.43862102213866239</v>
      </c>
      <c r="F98" s="7">
        <v>-8.7458018308028858E-3</v>
      </c>
      <c r="G98" t="str">
        <v>Waiter/Seasonal</v>
      </c>
    </row>
    <row r="99" spans="3:8" x14ac:dyDescent="0.35">
      <c r="C99" s="12" t="s">
        <v>113</v>
      </c>
      <c r="D99" s="1">
        <f t="shared" si="11"/>
        <v>-8.7458018308028858E-3</v>
      </c>
      <c r="E99">
        <f t="shared" si="12"/>
        <v>-8.7458018308028858E-3</v>
      </c>
      <c r="F99" s="7">
        <v>-6.0811579744879801E-3</v>
      </c>
      <c r="G99" t="str">
        <v>Authorized Tradelines</v>
      </c>
    </row>
    <row r="100" spans="3:8" x14ac:dyDescent="0.35">
      <c r="C100" s="12" t="s">
        <v>114</v>
      </c>
      <c r="D100" s="1">
        <f t="shared" si="11"/>
        <v>6.0811579744879801E-3</v>
      </c>
      <c r="E100">
        <f t="shared" si="12"/>
        <v>-6.0811579744879801E-3</v>
      </c>
      <c r="F100" s="7">
        <v>-1.7365543498416057E-3</v>
      </c>
      <c r="G100" t="str">
        <v>Previous ACA Chargeoff</v>
      </c>
    </row>
    <row r="101" spans="3:8" x14ac:dyDescent="0.35">
      <c r="C101" s="17" t="s">
        <v>115</v>
      </c>
      <c r="D101" s="1">
        <f t="shared" si="11"/>
        <v>0.11721828229628822</v>
      </c>
      <c r="E101">
        <f t="shared" si="12"/>
        <v>-0.11721828229628822</v>
      </c>
      <c r="F101" s="7">
        <v>0</v>
      </c>
      <c r="G101" t="str">
        <v>Small Amount Financed</v>
      </c>
    </row>
    <row r="102" spans="3:8" x14ac:dyDescent="0.35">
      <c r="C102" s="12" t="s">
        <v>116</v>
      </c>
      <c r="D102" s="1">
        <f t="shared" si="11"/>
        <v>-1.8512883758869517E-2</v>
      </c>
      <c r="E102">
        <f t="shared" si="12"/>
        <v>-1.8512883758869517E-2</v>
      </c>
      <c r="F102" s="7">
        <v>0</v>
      </c>
      <c r="G102" t="str">
        <v>Small Amount Financed</v>
      </c>
    </row>
    <row r="103" spans="3:8" x14ac:dyDescent="0.35">
      <c r="C103" s="17" t="s">
        <v>117</v>
      </c>
      <c r="D103" s="1">
        <f t="shared" si="11"/>
        <v>-0.21436965513742823</v>
      </c>
      <c r="E103">
        <f t="shared" si="12"/>
        <v>-0.21436965513742823</v>
      </c>
      <c r="F103" s="7">
        <v>0</v>
      </c>
      <c r="G103" t="str">
        <v>Small Amount Financed</v>
      </c>
    </row>
    <row r="104" spans="3:8" x14ac:dyDescent="0.35">
      <c r="C104" s="12" t="s">
        <v>118</v>
      </c>
      <c r="D104" s="1">
        <f t="shared" si="11"/>
        <v>-0.10586886294258091</v>
      </c>
      <c r="E104">
        <f t="shared" si="12"/>
        <v>-0.10586886294258091</v>
      </c>
      <c r="F104" s="7">
        <v>0</v>
      </c>
      <c r="G104" t="str">
        <v>Small Amount Financed</v>
      </c>
    </row>
    <row r="105" spans="3:8" x14ac:dyDescent="0.35">
      <c r="C105" s="12" t="s">
        <v>121</v>
      </c>
      <c r="D105" s="1">
        <f t="shared" si="11"/>
        <v>0</v>
      </c>
      <c r="E105">
        <f t="shared" si="12"/>
        <v>0</v>
      </c>
      <c r="F105" s="7">
        <v>0</v>
      </c>
      <c r="G105" t="str">
        <v>Small Amount Financed</v>
      </c>
    </row>
    <row r="106" spans="3:8" x14ac:dyDescent="0.35">
      <c r="C106" s="12" t="s">
        <v>119</v>
      </c>
      <c r="D106" s="1">
        <f t="shared" si="11"/>
        <v>9.0040550854603163E-3</v>
      </c>
      <c r="E106">
        <f t="shared" si="12"/>
        <v>-9.0040550854603163E-3</v>
      </c>
      <c r="F106" s="7">
        <v>0</v>
      </c>
      <c r="G106" t="str">
        <v>Small Amount Financed</v>
      </c>
    </row>
    <row r="107" spans="3:8" x14ac:dyDescent="0.35">
      <c r="D107" s="1">
        <f t="shared" si="11"/>
        <v>1.2604455144638569</v>
      </c>
    </row>
    <row r="108" spans="3:8" x14ac:dyDescent="0.35">
      <c r="H108" s="1"/>
    </row>
    <row r="109" spans="3:8" x14ac:dyDescent="0.35">
      <c r="H109" s="1"/>
    </row>
  </sheetData>
  <conditionalFormatting sqref="H38:H5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3:H8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24"/>
  <sheetViews>
    <sheetView zoomScale="134" zoomScaleNormal="160" workbookViewId="0">
      <pane xSplit="1" topLeftCell="AJ1" activePane="topRight" state="frozen"/>
      <selection pane="topRight" activeCell="AL36" sqref="AL36"/>
    </sheetView>
  </sheetViews>
  <sheetFormatPr defaultRowHeight="14.5" x14ac:dyDescent="0.35"/>
  <cols>
    <col min="1" max="1" width="22.1796875" bestFit="1" customWidth="1"/>
    <col min="2" max="2" width="14.453125" customWidth="1"/>
    <col min="3" max="3" width="13.54296875" customWidth="1"/>
    <col min="4" max="4" width="14.26953125" customWidth="1"/>
    <col min="5" max="5" width="14.08984375" customWidth="1"/>
    <col min="6" max="6" width="14.36328125" customWidth="1"/>
    <col min="7" max="7" width="14.453125" customWidth="1"/>
    <col min="8" max="8" width="13.54296875" customWidth="1"/>
    <col min="9" max="9" width="14.26953125" customWidth="1"/>
    <col min="10" max="10" width="14.08984375" customWidth="1"/>
    <col min="11" max="11" width="14.36328125" customWidth="1"/>
    <col min="12" max="12" width="14.453125" customWidth="1"/>
    <col min="13" max="13" width="13.54296875" customWidth="1"/>
    <col min="14" max="14" width="14.26953125" customWidth="1"/>
    <col min="15" max="15" width="14.08984375" customWidth="1"/>
    <col min="16" max="16" width="14.36328125" customWidth="1"/>
    <col min="17" max="17" width="14.453125" customWidth="1"/>
    <col min="18" max="18" width="13.54296875" customWidth="1"/>
    <col min="19" max="19" width="14.26953125" customWidth="1"/>
    <col min="20" max="20" width="14.08984375" customWidth="1"/>
    <col min="21" max="21" width="14.36328125" customWidth="1"/>
    <col min="22" max="22" width="14.453125" customWidth="1"/>
    <col min="23" max="23" width="13.54296875" customWidth="1"/>
    <col min="24" max="24" width="14.26953125" customWidth="1"/>
    <col min="25" max="25" width="14.08984375" customWidth="1"/>
    <col min="26" max="26" width="14.36328125" customWidth="1"/>
    <col min="27" max="27" width="14.453125" customWidth="1"/>
    <col min="28" max="28" width="13.54296875" customWidth="1"/>
    <col min="29" max="29" width="14.26953125" customWidth="1"/>
    <col min="30" max="30" width="14.08984375" customWidth="1"/>
    <col min="31" max="31" width="14.36328125" customWidth="1"/>
    <col min="32" max="32" width="14.453125" customWidth="1"/>
    <col min="33" max="33" width="13.54296875" customWidth="1"/>
    <col min="34" max="34" width="14.26953125" customWidth="1"/>
    <col min="35" max="35" width="14.08984375" customWidth="1"/>
    <col min="36" max="36" width="14.36328125" customWidth="1"/>
    <col min="37" max="37" width="14.453125" customWidth="1"/>
    <col min="38" max="38" width="13.54296875" customWidth="1"/>
    <col min="39" max="39" width="14.26953125" customWidth="1"/>
    <col min="40" max="40" width="14.08984375" customWidth="1"/>
    <col min="41" max="41" width="14.36328125" customWidth="1"/>
    <col min="42" max="42" width="14.453125" customWidth="1"/>
    <col min="43" max="43" width="13.54296875" customWidth="1"/>
    <col min="44" max="44" width="14.26953125" customWidth="1"/>
    <col min="45" max="45" width="14.08984375" customWidth="1"/>
    <col min="46" max="46" width="14.36328125" customWidth="1"/>
    <col min="47" max="47" width="14.453125" customWidth="1"/>
    <col min="48" max="48" width="13.54296875" customWidth="1"/>
    <col min="49" max="49" width="14.26953125" customWidth="1"/>
    <col min="50" max="50" width="17" bestFit="1" customWidth="1"/>
    <col min="51" max="52" width="17.26953125" bestFit="1" customWidth="1"/>
    <col min="53" max="53" width="16.453125" bestFit="1" customWidth="1"/>
    <col min="54" max="54" width="17.1796875" bestFit="1" customWidth="1"/>
    <col min="55" max="55" width="17" bestFit="1" customWidth="1"/>
    <col min="56" max="56" width="17.26953125" bestFit="1" customWidth="1"/>
  </cols>
  <sheetData>
    <row r="1" spans="1:61" x14ac:dyDescent="0.35">
      <c r="A1" t="s">
        <v>132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</row>
    <row r="2" spans="1:61" x14ac:dyDescent="0.35">
      <c r="A2" s="4" t="s">
        <v>55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F2">
        <f>AVERAGE(B2:BD2)</f>
        <v>1</v>
      </c>
    </row>
    <row r="3" spans="1:61" x14ac:dyDescent="0.35">
      <c r="A3" s="4" t="s">
        <v>56</v>
      </c>
      <c r="B3">
        <v>1.0001703577512771</v>
      </c>
      <c r="C3">
        <v>1.0002327385570211</v>
      </c>
      <c r="D3">
        <v>1.000142857142857</v>
      </c>
      <c r="E3">
        <v>1.0001517450682851</v>
      </c>
      <c r="F3">
        <v>1.0001511030522821</v>
      </c>
      <c r="G3">
        <v>1.000236282488842</v>
      </c>
      <c r="H3">
        <v>1.000190114068441</v>
      </c>
      <c r="I3">
        <v>1.0002359603586599</v>
      </c>
      <c r="J3">
        <v>1.000148148148148</v>
      </c>
      <c r="K3">
        <v>1.000056866647711</v>
      </c>
      <c r="L3">
        <v>1.000203311065931</v>
      </c>
      <c r="M3">
        <v>1.0003148366784731</v>
      </c>
      <c r="N3">
        <v>1.000085154697701</v>
      </c>
      <c r="O3">
        <v>1.0002240477968629</v>
      </c>
      <c r="P3">
        <v>1.000196008553101</v>
      </c>
      <c r="Q3">
        <v>1.000180280127583</v>
      </c>
      <c r="R3">
        <v>1.00030487804878</v>
      </c>
      <c r="S3">
        <v>1.0002341372044019</v>
      </c>
      <c r="T3">
        <v>1.0001212856276529</v>
      </c>
      <c r="U3">
        <v>1.000147897739277</v>
      </c>
      <c r="V3">
        <v>1.0002942258183161</v>
      </c>
      <c r="W3">
        <v>1.0003678724708771</v>
      </c>
      <c r="X3">
        <v>1.000159642401022</v>
      </c>
      <c r="Y3">
        <v>1.0006616257088849</v>
      </c>
      <c r="Z3">
        <v>1.00013698630137</v>
      </c>
      <c r="AA3">
        <v>1.0003471017007981</v>
      </c>
      <c r="AB3">
        <v>1.000248756218906</v>
      </c>
      <c r="AC3">
        <v>1.0001916932907351</v>
      </c>
      <c r="AD3">
        <v>1.0004085801838609</v>
      </c>
      <c r="AE3">
        <v>1.0001513622603431</v>
      </c>
      <c r="AF3">
        <v>1.0003382318637739</v>
      </c>
      <c r="AG3">
        <v>1.0003201707577369</v>
      </c>
      <c r="AH3">
        <v>1.000342811050615</v>
      </c>
      <c r="AI3">
        <v>1.0005480817140009</v>
      </c>
      <c r="AJ3">
        <v>1.0001764446404939</v>
      </c>
      <c r="AK3">
        <v>1.000569476082005</v>
      </c>
      <c r="AL3">
        <v>1.000474279460051</v>
      </c>
      <c r="AM3">
        <v>1.000368625844767</v>
      </c>
      <c r="AN3">
        <v>1.0004226096143689</v>
      </c>
      <c r="AO3">
        <v>1.000140523449851</v>
      </c>
      <c r="AP3">
        <v>1.00029752583777</v>
      </c>
      <c r="AQ3">
        <v>1.0003931847968539</v>
      </c>
      <c r="AR3">
        <v>1.000240706071142</v>
      </c>
      <c r="AS3">
        <v>1.0001595744680849</v>
      </c>
      <c r="AT3">
        <v>1.0002213858755811</v>
      </c>
      <c r="AU3">
        <v>1.000270551508845</v>
      </c>
      <c r="AV3">
        <v>1.000286697247706</v>
      </c>
      <c r="AW3" s="1">
        <v>1.000278164116829</v>
      </c>
      <c r="AX3" s="1">
        <v>1.0002115282919091</v>
      </c>
      <c r="AY3" s="1">
        <v>1.000344736144259</v>
      </c>
      <c r="AZ3" s="1">
        <v>1.0004999999999999</v>
      </c>
      <c r="BA3" s="1">
        <v>1.000336700336701</v>
      </c>
      <c r="BB3" s="1">
        <v>1.0002935420743639</v>
      </c>
      <c r="BC3" s="1">
        <v>1.0006504065040649</v>
      </c>
      <c r="BD3" s="1">
        <v>1.000329760923331</v>
      </c>
      <c r="BF3">
        <f t="shared" ref="BF3:BF20" si="0">AVERAGE(B3:BD3)</f>
        <v>1.0002765741064277</v>
      </c>
      <c r="BG3">
        <f>BF3/BF2</f>
        <v>1.0002765741064277</v>
      </c>
      <c r="BH3" s="2">
        <f>1-BG3</f>
        <v>-2.7657410642767388E-4</v>
      </c>
      <c r="BI3" t="str">
        <f>A3</f>
        <v>01_prev_aca_chargeoff</v>
      </c>
    </row>
    <row r="4" spans="1:61" x14ac:dyDescent="0.35">
      <c r="A4" s="4" t="s">
        <v>57</v>
      </c>
      <c r="B4">
        <v>1.0021720613287901</v>
      </c>
      <c r="C4">
        <v>1.0006982156710631</v>
      </c>
      <c r="D4">
        <v>1.0007857142857139</v>
      </c>
      <c r="E4">
        <v>1.000303490136571</v>
      </c>
      <c r="F4">
        <v>1.0001511030522821</v>
      </c>
      <c r="G4">
        <v>1.001286426883697</v>
      </c>
      <c r="H4">
        <v>1.0003802281368821</v>
      </c>
      <c r="I4">
        <v>1.001038225578103</v>
      </c>
      <c r="J4">
        <v>1.000592592592592</v>
      </c>
      <c r="K4">
        <v>1.000056866647711</v>
      </c>
      <c r="L4">
        <v>1.0010455997676451</v>
      </c>
      <c r="M4">
        <v>1.000590318772137</v>
      </c>
      <c r="N4">
        <v>1.000794777178541</v>
      </c>
      <c r="O4">
        <v>1.000746825989544</v>
      </c>
      <c r="P4">
        <v>1.000196008553101</v>
      </c>
      <c r="Q4">
        <v>1.000998474552766</v>
      </c>
      <c r="R4">
        <v>1.0005662020905921</v>
      </c>
      <c r="S4">
        <v>1.000655584172325</v>
      </c>
      <c r="T4">
        <v>1.000485142510612</v>
      </c>
      <c r="U4">
        <v>1.000147897739277</v>
      </c>
      <c r="V4">
        <v>1.0011217359323279</v>
      </c>
      <c r="W4">
        <v>1.000858369098713</v>
      </c>
      <c r="X4">
        <v>1.0008939974457221</v>
      </c>
      <c r="Y4">
        <v>1.0008506616257089</v>
      </c>
      <c r="Z4">
        <v>1.00013698630137</v>
      </c>
      <c r="AA4">
        <v>1.0003471017007981</v>
      </c>
      <c r="AB4">
        <v>1.000248756218906</v>
      </c>
      <c r="AC4">
        <v>1.0001916932907351</v>
      </c>
      <c r="AD4">
        <v>1.0004085801838609</v>
      </c>
      <c r="AE4">
        <v>1.0001513622603431</v>
      </c>
      <c r="AF4">
        <v>1.0003382318637739</v>
      </c>
      <c r="AG4">
        <v>1.0003201707577369</v>
      </c>
      <c r="AH4">
        <v>1.000342811050615</v>
      </c>
      <c r="AI4">
        <v>1.0005480817140009</v>
      </c>
      <c r="AJ4">
        <v>1.0001764446404939</v>
      </c>
      <c r="AK4">
        <v>1.000569476082005</v>
      </c>
      <c r="AL4">
        <v>1.000474279460051</v>
      </c>
      <c r="AM4">
        <v>1.000368625844767</v>
      </c>
      <c r="AN4">
        <v>1.0004226096143689</v>
      </c>
      <c r="AO4">
        <v>1.000140523449851</v>
      </c>
      <c r="AP4">
        <v>1.00029752583777</v>
      </c>
      <c r="AQ4">
        <v>1.0003931847968539</v>
      </c>
      <c r="AR4">
        <v>1.000240706071142</v>
      </c>
      <c r="AS4">
        <v>1.0001595744680849</v>
      </c>
      <c r="AT4">
        <v>1.0002213858755811</v>
      </c>
      <c r="AU4">
        <v>1.000270551508845</v>
      </c>
      <c r="AV4">
        <v>1.000286697247706</v>
      </c>
      <c r="AW4" s="1">
        <v>1.000278164116829</v>
      </c>
      <c r="AX4" s="1">
        <v>1.0002115282919091</v>
      </c>
      <c r="AY4" s="1">
        <v>1.000344736144259</v>
      </c>
      <c r="AZ4" s="1">
        <v>1.0004999999999999</v>
      </c>
      <c r="BA4" s="1">
        <v>1.000336700336701</v>
      </c>
      <c r="BB4" s="1">
        <v>1.0002935420743639</v>
      </c>
      <c r="BC4" s="1">
        <v>1.0006504065040649</v>
      </c>
      <c r="BD4" s="1">
        <v>1.000329760923331</v>
      </c>
      <c r="BF4">
        <f t="shared" si="0"/>
        <v>1.0004984857886097</v>
      </c>
      <c r="BG4">
        <f t="shared" ref="BG4:BG20" si="1">BF4/BF3</f>
        <v>1.0002218503241269</v>
      </c>
      <c r="BH4" s="2">
        <f t="shared" ref="BH4:BH20" si="2">1-BG4</f>
        <v>-2.2185032412691541E-4</v>
      </c>
      <c r="BI4" t="str">
        <f t="shared" ref="BI4:BI20" si="3">A4</f>
        <v>02_small_amt_financed</v>
      </c>
    </row>
    <row r="5" spans="1:61" x14ac:dyDescent="0.35">
      <c r="A5" s="4" t="s">
        <v>58</v>
      </c>
      <c r="B5">
        <v>1.002947189097104</v>
      </c>
      <c r="C5">
        <v>1.0022498060512031</v>
      </c>
      <c r="D5">
        <v>1.00315</v>
      </c>
      <c r="E5">
        <v>1.0022761760242791</v>
      </c>
      <c r="F5">
        <v>1.006829857963131</v>
      </c>
      <c r="G5">
        <v>1.002231556839065</v>
      </c>
      <c r="H5">
        <v>1.0035487959442331</v>
      </c>
      <c r="I5">
        <v>1.003690420009439</v>
      </c>
      <c r="J5">
        <v>1.0040148148148149</v>
      </c>
      <c r="K5">
        <v>1.0070230309923229</v>
      </c>
      <c r="L5">
        <v>1.0014260819053149</v>
      </c>
      <c r="M5">
        <v>1.0032664305391581</v>
      </c>
      <c r="N5">
        <v>1.0028129435140509</v>
      </c>
      <c r="O5">
        <v>1.0028379387602691</v>
      </c>
      <c r="P5">
        <v>1.004330007127584</v>
      </c>
      <c r="Q5">
        <v>1.001651643322701</v>
      </c>
      <c r="R5">
        <v>1.002482578397212</v>
      </c>
      <c r="S5">
        <v>1.0029805666120351</v>
      </c>
      <c r="T5">
        <v>1.0046088538508191</v>
      </c>
      <c r="U5">
        <v>1.0036763152334669</v>
      </c>
      <c r="V5">
        <v>1.0018609783008461</v>
      </c>
      <c r="W5">
        <v>1.003004291845494</v>
      </c>
      <c r="X5">
        <v>1.0031002554278421</v>
      </c>
      <c r="Y5">
        <v>1.0035066162570889</v>
      </c>
      <c r="Z5">
        <v>1.0061369863013701</v>
      </c>
      <c r="AA5">
        <v>1.0003471017007981</v>
      </c>
      <c r="AB5">
        <v>1.000248756218906</v>
      </c>
      <c r="AC5">
        <v>1.0001916932907351</v>
      </c>
      <c r="AD5">
        <v>1.0004085801838609</v>
      </c>
      <c r="AE5">
        <v>1.0001513622603431</v>
      </c>
      <c r="AF5">
        <v>1.0003382318637739</v>
      </c>
      <c r="AG5">
        <v>1.0003201707577369</v>
      </c>
      <c r="AH5">
        <v>1.000342811050615</v>
      </c>
      <c r="AI5">
        <v>1.0005480817140009</v>
      </c>
      <c r="AJ5">
        <v>1.0001764446404939</v>
      </c>
      <c r="AK5">
        <v>1.000569476082005</v>
      </c>
      <c r="AL5">
        <v>1.000474279460051</v>
      </c>
      <c r="AM5">
        <v>1.000368625844767</v>
      </c>
      <c r="AN5">
        <v>1.0004226096143689</v>
      </c>
      <c r="AO5">
        <v>1.000140523449851</v>
      </c>
      <c r="AP5">
        <v>1.00029752583777</v>
      </c>
      <c r="AQ5">
        <v>1.0003931847968539</v>
      </c>
      <c r="AR5">
        <v>1.000240706071142</v>
      </c>
      <c r="AS5">
        <v>1.0001595744680849</v>
      </c>
      <c r="AT5">
        <v>1.0002213858755811</v>
      </c>
      <c r="AU5">
        <v>1.000270551508845</v>
      </c>
      <c r="AV5">
        <v>1.000286697247706</v>
      </c>
      <c r="AW5" s="1">
        <v>1.000278164116829</v>
      </c>
      <c r="AX5" s="1">
        <v>1.0002115282919091</v>
      </c>
      <c r="AY5" s="1">
        <v>1.000344736144259</v>
      </c>
      <c r="AZ5" s="1">
        <v>1.0004999999999999</v>
      </c>
      <c r="BA5" s="1">
        <v>1.000336700336701</v>
      </c>
      <c r="BB5" s="1">
        <v>1.0002935420743639</v>
      </c>
      <c r="BC5" s="1">
        <v>1.0006504065040649</v>
      </c>
      <c r="BD5" s="1">
        <v>1.000329760923331</v>
      </c>
      <c r="BF5">
        <f t="shared" si="0"/>
        <v>1.0017364972265563</v>
      </c>
      <c r="BG5">
        <f t="shared" si="1"/>
        <v>1.0012373946143165</v>
      </c>
      <c r="BH5" s="2">
        <f t="shared" si="2"/>
        <v>-1.2373946143164893E-3</v>
      </c>
      <c r="BI5" t="str">
        <f t="shared" si="3"/>
        <v>03_zero_cash_down</v>
      </c>
    </row>
    <row r="6" spans="1:61" x14ac:dyDescent="0.35">
      <c r="A6" s="4" t="s">
        <v>59</v>
      </c>
      <c r="B6">
        <v>1.004701873935264</v>
      </c>
      <c r="C6">
        <v>1.0068269976726141</v>
      </c>
      <c r="D6">
        <v>1.0064007142857141</v>
      </c>
      <c r="E6">
        <v>1.002731411229135</v>
      </c>
      <c r="F6">
        <v>1.006829857963131</v>
      </c>
      <c r="G6">
        <v>1.0034392228931479</v>
      </c>
      <c r="H6">
        <v>1.0079277566539919</v>
      </c>
      <c r="I6">
        <v>1.006616328456819</v>
      </c>
      <c r="J6">
        <v>1.0043259259259261</v>
      </c>
      <c r="K6">
        <v>1.0070230309923229</v>
      </c>
      <c r="L6">
        <v>1.0030685448736569</v>
      </c>
      <c r="M6">
        <v>1.0066627312081859</v>
      </c>
      <c r="N6">
        <v>1.005603462957706</v>
      </c>
      <c r="O6">
        <v>1.0032113517550409</v>
      </c>
      <c r="P6">
        <v>1.004330007127584</v>
      </c>
      <c r="Q6">
        <v>1.002457356815976</v>
      </c>
      <c r="R6">
        <v>1.004320557491289</v>
      </c>
      <c r="S6">
        <v>1.0046387262936081</v>
      </c>
      <c r="T6">
        <v>1.004972710733778</v>
      </c>
      <c r="U6">
        <v>1.0036763152334669</v>
      </c>
      <c r="V6">
        <v>1.0022140492828251</v>
      </c>
      <c r="W6">
        <v>1.004604537093807</v>
      </c>
      <c r="X6">
        <v>1.004294380587484</v>
      </c>
      <c r="Y6">
        <v>1.0036956521739131</v>
      </c>
      <c r="Z6">
        <v>1.0061369863013701</v>
      </c>
      <c r="AA6">
        <v>1.0010933703575149</v>
      </c>
      <c r="AB6">
        <v>1.003109452736318</v>
      </c>
      <c r="AC6">
        <v>1.002268370607029</v>
      </c>
      <c r="AD6">
        <v>1.000715015321757</v>
      </c>
      <c r="AE6">
        <v>1.0001513622603431</v>
      </c>
      <c r="AF6">
        <v>1.0007347795661301</v>
      </c>
      <c r="AG6">
        <v>1.0017075773746</v>
      </c>
      <c r="AH6">
        <v>1.001835047388586</v>
      </c>
      <c r="AI6">
        <v>1.0012954658694571</v>
      </c>
      <c r="AJ6">
        <v>1.0001764446404939</v>
      </c>
      <c r="AK6">
        <v>1.0008099215388511</v>
      </c>
      <c r="AL6">
        <v>1.0011674571324329</v>
      </c>
      <c r="AM6">
        <v>1.0009215646119189</v>
      </c>
      <c r="AN6">
        <v>1.000581088219757</v>
      </c>
      <c r="AO6">
        <v>1.000140523449851</v>
      </c>
      <c r="AP6">
        <v>1.0005637331663011</v>
      </c>
      <c r="AQ6">
        <v>1.0011795543905631</v>
      </c>
      <c r="AR6">
        <v>1.000909334046536</v>
      </c>
      <c r="AS6">
        <v>1.0002127659574469</v>
      </c>
      <c r="AT6">
        <v>1.0002213858755811</v>
      </c>
      <c r="AU6">
        <v>1.0005827263267431</v>
      </c>
      <c r="AV6">
        <v>1.0009747706422021</v>
      </c>
      <c r="AW6" s="1">
        <v>1.00076495132128</v>
      </c>
      <c r="AX6" s="1">
        <v>1.0002115282919091</v>
      </c>
      <c r="AY6" s="1">
        <v>1.000344736144259</v>
      </c>
      <c r="AZ6" s="1">
        <v>1.0009375</v>
      </c>
      <c r="BA6" s="1">
        <v>1.0010101010101009</v>
      </c>
      <c r="BB6" s="1">
        <v>1.0005870841487281</v>
      </c>
      <c r="BC6" s="1">
        <v>1.000813008130081</v>
      </c>
      <c r="BD6" s="1">
        <v>1.000329760923331</v>
      </c>
      <c r="BF6">
        <f t="shared" si="0"/>
        <v>1.0026738340252337</v>
      </c>
      <c r="BG6">
        <f t="shared" si="1"/>
        <v>1.0009357119374931</v>
      </c>
      <c r="BH6" s="2">
        <f t="shared" si="2"/>
        <v>-9.357119374930889E-4</v>
      </c>
      <c r="BI6" t="str">
        <f t="shared" si="3"/>
        <v>04_high_mileage</v>
      </c>
    </row>
    <row r="7" spans="1:61" x14ac:dyDescent="0.35">
      <c r="A7" s="4" t="s">
        <v>60</v>
      </c>
      <c r="B7">
        <v>1.0049999999999999</v>
      </c>
      <c r="C7">
        <v>1.007455391776571</v>
      </c>
      <c r="D7">
        <v>1.006686428571429</v>
      </c>
      <c r="E7">
        <v>1.0047040971168439</v>
      </c>
      <c r="F7">
        <v>1.008890903596253</v>
      </c>
      <c r="G7">
        <v>1.0036755053819899</v>
      </c>
      <c r="H7">
        <v>1.008117870722433</v>
      </c>
      <c r="I7">
        <v>1.006757904672015</v>
      </c>
      <c r="J7">
        <v>1.005066666666667</v>
      </c>
      <c r="K7">
        <v>1.0085641171452939</v>
      </c>
      <c r="L7">
        <v>1.003228289282603</v>
      </c>
      <c r="M7">
        <v>1.0070995670995671</v>
      </c>
      <c r="N7">
        <v>1.005745387453874</v>
      </c>
      <c r="O7">
        <v>1.0036594473487681</v>
      </c>
      <c r="P7">
        <v>1.005258374910905</v>
      </c>
      <c r="Q7">
        <v>1.002623769241437</v>
      </c>
      <c r="R7">
        <v>1.0045818815331009</v>
      </c>
      <c r="S7">
        <v>1.005060173261531</v>
      </c>
      <c r="T7">
        <v>1.0055184960582171</v>
      </c>
      <c r="U7">
        <v>1.004944010141559</v>
      </c>
      <c r="V7">
        <v>1.0024531077602059</v>
      </c>
      <c r="W7">
        <v>1.005229920294298</v>
      </c>
      <c r="X7">
        <v>1.004805236270754</v>
      </c>
      <c r="Y7">
        <v>1.0042627599243861</v>
      </c>
      <c r="Z7">
        <v>1.0073726027397261</v>
      </c>
      <c r="AA7">
        <v>1.0010933703575149</v>
      </c>
      <c r="AB7">
        <v>1.003109452736318</v>
      </c>
      <c r="AC7">
        <v>1.002268370607029</v>
      </c>
      <c r="AD7">
        <v>1.000715015321757</v>
      </c>
      <c r="AE7">
        <v>1.0001513622603431</v>
      </c>
      <c r="AF7">
        <v>1.0007347795661301</v>
      </c>
      <c r="AG7">
        <v>1.0017075773746</v>
      </c>
      <c r="AH7">
        <v>1.001835047388586</v>
      </c>
      <c r="AI7">
        <v>1.0012954658694571</v>
      </c>
      <c r="AJ7">
        <v>1.0001764446404939</v>
      </c>
      <c r="AK7">
        <v>1.0008099215388511</v>
      </c>
      <c r="AL7">
        <v>1.0011674571324329</v>
      </c>
      <c r="AM7">
        <v>1.0009215646119189</v>
      </c>
      <c r="AN7">
        <v>1.000581088219757</v>
      </c>
      <c r="AO7">
        <v>1.000140523449851</v>
      </c>
      <c r="AP7">
        <v>1.0005637331663011</v>
      </c>
      <c r="AQ7">
        <v>1.0011795543905631</v>
      </c>
      <c r="AR7">
        <v>1.000909334046536</v>
      </c>
      <c r="AS7">
        <v>1.0002127659574469</v>
      </c>
      <c r="AT7">
        <v>1.0002213858755811</v>
      </c>
      <c r="AU7">
        <v>1.0005827263267431</v>
      </c>
      <c r="AV7">
        <v>1.0009747706422021</v>
      </c>
      <c r="AW7" s="1">
        <v>1.00076495132128</v>
      </c>
      <c r="AX7" s="1">
        <v>1.0002115282919091</v>
      </c>
      <c r="AY7" s="1">
        <v>1.000344736144259</v>
      </c>
      <c r="AZ7" s="1">
        <v>1.0009375</v>
      </c>
      <c r="BA7" s="1">
        <v>1.0010101010101009</v>
      </c>
      <c r="BB7" s="1">
        <v>1.0005870841487281</v>
      </c>
      <c r="BC7" s="1">
        <v>1.000813008130081</v>
      </c>
      <c r="BD7" s="1">
        <v>1.000329760923331</v>
      </c>
      <c r="BF7">
        <f t="shared" si="0"/>
        <v>1.0029656780076461</v>
      </c>
      <c r="BG7">
        <f t="shared" si="1"/>
        <v>1.000291065720984</v>
      </c>
      <c r="BH7" s="2">
        <f t="shared" si="2"/>
        <v>-2.910657209840295E-4</v>
      </c>
      <c r="BI7" t="str">
        <f t="shared" si="3"/>
        <v>05_high_pti</v>
      </c>
    </row>
    <row r="8" spans="1:61" x14ac:dyDescent="0.35">
      <c r="A8" s="4" t="s">
        <v>61</v>
      </c>
      <c r="B8">
        <v>0.99313841567291317</v>
      </c>
      <c r="C8">
        <v>0.9927618308766486</v>
      </c>
      <c r="D8">
        <v>0.99315142857142857</v>
      </c>
      <c r="E8">
        <v>0.9888922610015175</v>
      </c>
      <c r="F8">
        <v>1.005581746751284</v>
      </c>
      <c r="G8">
        <v>0.99313993174061432</v>
      </c>
      <c r="H8">
        <v>0.99085551330798471</v>
      </c>
      <c r="I8">
        <v>0.99152855120339778</v>
      </c>
      <c r="J8">
        <v>0.99149629629629632</v>
      </c>
      <c r="K8">
        <v>1.001703156098948</v>
      </c>
      <c r="L8">
        <v>0.99376706360731915</v>
      </c>
      <c r="M8">
        <v>0.99028335301062587</v>
      </c>
      <c r="N8">
        <v>0.98902756173715589</v>
      </c>
      <c r="O8">
        <v>0.99066467513069456</v>
      </c>
      <c r="P8">
        <v>0.99998218104062719</v>
      </c>
      <c r="Q8">
        <v>0.99012883095271109</v>
      </c>
      <c r="R8">
        <v>0.98488240418118467</v>
      </c>
      <c r="S8">
        <v>0.98679747131819251</v>
      </c>
      <c r="T8">
        <v>0.99226804123711343</v>
      </c>
      <c r="U8">
        <v>0.99738854848933012</v>
      </c>
      <c r="V8">
        <v>0.98722692166237591</v>
      </c>
      <c r="W8">
        <v>0.98341446965052115</v>
      </c>
      <c r="X8">
        <v>0.98321519795657741</v>
      </c>
      <c r="Y8">
        <v>0.98811909262759934</v>
      </c>
      <c r="Z8">
        <v>0.99749041095890412</v>
      </c>
      <c r="AA8">
        <v>0.95653592502603269</v>
      </c>
      <c r="AB8">
        <v>0.95429726368159218</v>
      </c>
      <c r="AC8">
        <v>0.95338019169329069</v>
      </c>
      <c r="AD8">
        <v>0.95903983656792657</v>
      </c>
      <c r="AE8">
        <v>0.97126639757820388</v>
      </c>
      <c r="AF8">
        <v>0.95198973641240969</v>
      </c>
      <c r="AG8">
        <v>0.95488794023479207</v>
      </c>
      <c r="AH8">
        <v>0.95291389393022785</v>
      </c>
      <c r="AI8">
        <v>0.96003986048829104</v>
      </c>
      <c r="AJ8">
        <v>0.96465813850904281</v>
      </c>
      <c r="AK8">
        <v>0.94916983042267777</v>
      </c>
      <c r="AL8">
        <v>0.94931047063115648</v>
      </c>
      <c r="AM8">
        <v>0.94437845586729463</v>
      </c>
      <c r="AN8">
        <v>0.95186476492340211</v>
      </c>
      <c r="AO8">
        <v>0.94753205691199738</v>
      </c>
      <c r="AP8">
        <v>0.94559348575007818</v>
      </c>
      <c r="AQ8">
        <v>0.94131935342944506</v>
      </c>
      <c r="AR8">
        <v>0.94292859053222799</v>
      </c>
      <c r="AS8">
        <v>0.95110638297872341</v>
      </c>
      <c r="AT8">
        <v>0.94359973433694921</v>
      </c>
      <c r="AU8">
        <v>0.93593756503642045</v>
      </c>
      <c r="AV8">
        <v>0.93788417431192661</v>
      </c>
      <c r="AW8" s="1">
        <v>0.9306988873435329</v>
      </c>
      <c r="AX8" s="1">
        <v>0.9498677948175569</v>
      </c>
      <c r="AY8" s="1">
        <v>0.93300981172102904</v>
      </c>
      <c r="AZ8" s="1">
        <v>0.93656249999999996</v>
      </c>
      <c r="BA8" s="1">
        <v>0.93232323232323222</v>
      </c>
      <c r="BB8" s="1">
        <v>0.92189823874755383</v>
      </c>
      <c r="BC8" s="1">
        <v>0.95138211382113802</v>
      </c>
      <c r="BD8" s="1">
        <v>0.93404781533388292</v>
      </c>
      <c r="BF8">
        <f t="shared" si="0"/>
        <v>0.9673878145171636</v>
      </c>
      <c r="BG8">
        <f t="shared" si="1"/>
        <v>0.96452733700603133</v>
      </c>
      <c r="BH8" s="2">
        <f t="shared" si="2"/>
        <v>3.5472662993968673E-2</v>
      </c>
      <c r="BI8" s="3" t="str">
        <f t="shared" si="3"/>
        <v>06_car_make</v>
      </c>
    </row>
    <row r="9" spans="1:61" x14ac:dyDescent="0.35">
      <c r="A9" s="4" t="s">
        <v>62</v>
      </c>
      <c r="B9">
        <v>0.98567514608177176</v>
      </c>
      <c r="C9">
        <v>0.98457167571761051</v>
      </c>
      <c r="D9">
        <v>0.98585517428571423</v>
      </c>
      <c r="E9">
        <v>0.98309735963581191</v>
      </c>
      <c r="F9">
        <v>1.010535321849501</v>
      </c>
      <c r="G9">
        <v>0.98598353636124958</v>
      </c>
      <c r="H9">
        <v>0.98301849809885944</v>
      </c>
      <c r="I9">
        <v>0.98345552760736188</v>
      </c>
      <c r="J9">
        <v>0.985221511111111</v>
      </c>
      <c r="K9">
        <v>0.99970415979528005</v>
      </c>
      <c r="L9">
        <v>0.98820336334591929</v>
      </c>
      <c r="M9">
        <v>0.9831525265643446</v>
      </c>
      <c r="N9">
        <v>0.98249293973885876</v>
      </c>
      <c r="O9">
        <v>0.9863921583271098</v>
      </c>
      <c r="P9">
        <v>0.99572694226657155</v>
      </c>
      <c r="Q9">
        <v>0.98351484579115234</v>
      </c>
      <c r="R9">
        <v>0.97718415940766545</v>
      </c>
      <c r="S9">
        <v>0.97895039662842409</v>
      </c>
      <c r="T9">
        <v>0.98816388720436632</v>
      </c>
      <c r="U9">
        <v>0.9914296809634483</v>
      </c>
      <c r="V9">
        <v>0.98038066936373658</v>
      </c>
      <c r="W9">
        <v>0.97453909442060083</v>
      </c>
      <c r="X9">
        <v>0.97363541187739444</v>
      </c>
      <c r="Y9">
        <v>0.98117798676748569</v>
      </c>
      <c r="Z9">
        <v>0.98851015890410954</v>
      </c>
      <c r="AA9">
        <v>0.95653592502603269</v>
      </c>
      <c r="AB9">
        <v>0.95429726368159218</v>
      </c>
      <c r="AC9">
        <v>0.95338019169329069</v>
      </c>
      <c r="AD9">
        <v>0.95903983656792657</v>
      </c>
      <c r="AE9">
        <v>0.97126639757820388</v>
      </c>
      <c r="AF9">
        <v>0.95198973641240969</v>
      </c>
      <c r="AG9">
        <v>0.95488794023479207</v>
      </c>
      <c r="AH9">
        <v>0.95291389393022785</v>
      </c>
      <c r="AI9">
        <v>0.96003986048829104</v>
      </c>
      <c r="AJ9">
        <v>0.96465813850904281</v>
      </c>
      <c r="AK9">
        <v>0.94916983042267777</v>
      </c>
      <c r="AL9">
        <v>0.94931047063115648</v>
      </c>
      <c r="AM9">
        <v>0.94437845586729463</v>
      </c>
      <c r="AN9">
        <v>0.95186476492340211</v>
      </c>
      <c r="AO9">
        <v>0.94753205691199738</v>
      </c>
      <c r="AP9">
        <v>0.94559348575007818</v>
      </c>
      <c r="AQ9">
        <v>0.94131935342944506</v>
      </c>
      <c r="AR9">
        <v>0.94292859053222799</v>
      </c>
      <c r="AS9">
        <v>0.95110638297872341</v>
      </c>
      <c r="AT9">
        <v>0.94359973433694921</v>
      </c>
      <c r="AU9">
        <v>0.93593756503642045</v>
      </c>
      <c r="AV9">
        <v>0.93788417431192661</v>
      </c>
      <c r="AW9" s="1">
        <v>0.9306988873435329</v>
      </c>
      <c r="AX9" s="1">
        <v>0.9498677948175569</v>
      </c>
      <c r="AY9" s="1">
        <v>0.93300981172102904</v>
      </c>
      <c r="AZ9" s="1">
        <v>0.93656249999999996</v>
      </c>
      <c r="BA9" s="1">
        <v>0.93232323232323222</v>
      </c>
      <c r="BB9" s="1">
        <v>0.92189823874755383</v>
      </c>
      <c r="BC9" s="1">
        <v>0.95138211382113802</v>
      </c>
      <c r="BD9" s="1">
        <v>0.93404781533388292</v>
      </c>
      <c r="BF9">
        <f t="shared" si="0"/>
        <v>0.96454539228140868</v>
      </c>
      <c r="BG9">
        <f t="shared" si="1"/>
        <v>0.99706175517915363</v>
      </c>
      <c r="BH9" s="2">
        <f t="shared" si="2"/>
        <v>2.9382448208463696E-3</v>
      </c>
      <c r="BI9" s="3" t="str">
        <f t="shared" si="3"/>
        <v>07_theft_risk</v>
      </c>
    </row>
    <row r="10" spans="1:61" x14ac:dyDescent="0.35">
      <c r="A10" s="4" t="s">
        <v>63</v>
      </c>
      <c r="B10">
        <v>0.98567514608177176</v>
      </c>
      <c r="C10">
        <v>0.98457167571761051</v>
      </c>
      <c r="D10">
        <v>0.98585517428571423</v>
      </c>
      <c r="E10">
        <v>0.98309735963581191</v>
      </c>
      <c r="F10">
        <v>1.010535321849501</v>
      </c>
      <c r="G10">
        <v>0.98598353636124958</v>
      </c>
      <c r="H10">
        <v>0.98301849809885944</v>
      </c>
      <c r="I10">
        <v>0.98345552760736188</v>
      </c>
      <c r="J10">
        <v>0.985221511111111</v>
      </c>
      <c r="K10">
        <v>0.99970415979528005</v>
      </c>
      <c r="L10">
        <v>0.98820336334591929</v>
      </c>
      <c r="M10">
        <v>0.9831525265643446</v>
      </c>
      <c r="N10">
        <v>0.98249293973885876</v>
      </c>
      <c r="O10">
        <v>0.9863921583271098</v>
      </c>
      <c r="P10">
        <v>0.99572694226657155</v>
      </c>
      <c r="Q10">
        <v>0.98351484579115234</v>
      </c>
      <c r="R10">
        <v>0.97718415940766545</v>
      </c>
      <c r="S10">
        <v>0.97895039662842409</v>
      </c>
      <c r="T10">
        <v>0.98816388720436632</v>
      </c>
      <c r="U10">
        <v>0.9914296809634483</v>
      </c>
      <c r="V10">
        <v>0.98038066936373658</v>
      </c>
      <c r="W10">
        <v>0.97453909442060083</v>
      </c>
      <c r="X10">
        <v>0.97363541187739444</v>
      </c>
      <c r="Y10">
        <v>0.98117798676748569</v>
      </c>
      <c r="Z10">
        <v>0.98851015890410954</v>
      </c>
      <c r="AA10">
        <v>0.95653592502603269</v>
      </c>
      <c r="AB10">
        <v>0.95429726368159218</v>
      </c>
      <c r="AC10">
        <v>0.95338019169329069</v>
      </c>
      <c r="AD10">
        <v>0.95903983656792657</v>
      </c>
      <c r="AE10">
        <v>0.97126639757820388</v>
      </c>
      <c r="AF10">
        <v>0.95198973641240969</v>
      </c>
      <c r="AG10">
        <v>0.95488794023479207</v>
      </c>
      <c r="AH10">
        <v>0.95291389393022785</v>
      </c>
      <c r="AI10">
        <v>0.96003986048829104</v>
      </c>
      <c r="AJ10">
        <v>0.96465813850904281</v>
      </c>
      <c r="AK10">
        <v>0.94916983042267777</v>
      </c>
      <c r="AL10">
        <v>0.94931047063115648</v>
      </c>
      <c r="AM10">
        <v>0.94437845586729463</v>
      </c>
      <c r="AN10">
        <v>0.95186476492340211</v>
      </c>
      <c r="AO10">
        <v>0.94753205691199738</v>
      </c>
      <c r="AP10">
        <v>0.94559348575007818</v>
      </c>
      <c r="AQ10">
        <v>0.94131935342944506</v>
      </c>
      <c r="AR10">
        <v>0.94292859053222799</v>
      </c>
      <c r="AS10">
        <v>0.95110638297872341</v>
      </c>
      <c r="AT10">
        <v>0.94359973433694921</v>
      </c>
      <c r="AU10">
        <v>0.93593756503642045</v>
      </c>
      <c r="AV10">
        <v>0.93788417431192661</v>
      </c>
      <c r="AW10" s="1">
        <v>0.9306988873435329</v>
      </c>
      <c r="AX10" s="1">
        <v>0.9498677948175569</v>
      </c>
      <c r="AY10" s="1">
        <v>0.93300981172102904</v>
      </c>
      <c r="AZ10" s="1">
        <v>0.93656249999999996</v>
      </c>
      <c r="BA10" s="1">
        <v>0.93232323232323222</v>
      </c>
      <c r="BB10" s="1">
        <v>0.92189823874755383</v>
      </c>
      <c r="BC10" s="1">
        <v>0.95138211382113802</v>
      </c>
      <c r="BD10" s="1">
        <v>0.93404781533388292</v>
      </c>
      <c r="BF10">
        <f t="shared" si="0"/>
        <v>0.96454539228140868</v>
      </c>
      <c r="BG10">
        <f t="shared" si="1"/>
        <v>1</v>
      </c>
      <c r="BH10" s="2">
        <f t="shared" si="2"/>
        <v>0</v>
      </c>
      <c r="BI10" t="str">
        <f t="shared" si="3"/>
        <v>08_mcy_low_mileage</v>
      </c>
    </row>
    <row r="11" spans="1:61" x14ac:dyDescent="0.35">
      <c r="A11" s="4" t="s">
        <v>64</v>
      </c>
      <c r="B11">
        <v>0.98992933077086886</v>
      </c>
      <c r="C11">
        <v>0.98466665213343685</v>
      </c>
      <c r="D11">
        <v>0.98884726277142865</v>
      </c>
      <c r="E11">
        <v>0.98143538103186634</v>
      </c>
      <c r="F11">
        <v>1.018941965729828</v>
      </c>
      <c r="G11">
        <v>0.99078407658178014</v>
      </c>
      <c r="H11">
        <v>0.98369106996197719</v>
      </c>
      <c r="I11">
        <v>0.9852327709579991</v>
      </c>
      <c r="J11">
        <v>0.98307150577777769</v>
      </c>
      <c r="K11">
        <v>1.0046721220073931</v>
      </c>
      <c r="L11">
        <v>0.99221672248039516</v>
      </c>
      <c r="M11">
        <v>0.98378183164108612</v>
      </c>
      <c r="N11">
        <v>0.98432433310644363</v>
      </c>
      <c r="O11">
        <v>0.98769016624346528</v>
      </c>
      <c r="P11">
        <v>1.0005353163399859</v>
      </c>
      <c r="Q11">
        <v>0.98723080231035931</v>
      </c>
      <c r="R11">
        <v>0.97725955570557488</v>
      </c>
      <c r="S11">
        <v>0.98063285010302026</v>
      </c>
      <c r="T11">
        <v>0.98930004523953918</v>
      </c>
      <c r="U11">
        <v>0.99800376630044374</v>
      </c>
      <c r="V11">
        <v>0.98304946495034939</v>
      </c>
      <c r="W11">
        <v>0.97511320892703868</v>
      </c>
      <c r="X11">
        <v>0.975291667816092</v>
      </c>
      <c r="Y11">
        <v>0.98519393960302448</v>
      </c>
      <c r="Z11">
        <v>0.99366322347945213</v>
      </c>
      <c r="AA11">
        <v>0.95864068031933347</v>
      </c>
      <c r="AB11">
        <v>0.95385024875621893</v>
      </c>
      <c r="AC11">
        <v>0.95451169329073471</v>
      </c>
      <c r="AD11">
        <v>0.95922267620020429</v>
      </c>
      <c r="AE11">
        <v>0.976167255297679</v>
      </c>
      <c r="AF11">
        <v>0.9521905994868205</v>
      </c>
      <c r="AG11">
        <v>0.9520199928850942</v>
      </c>
      <c r="AH11">
        <v>0.9524795926598103</v>
      </c>
      <c r="AI11">
        <v>0.95886497259591408</v>
      </c>
      <c r="AJ11">
        <v>0.96746069695632986</v>
      </c>
      <c r="AK11">
        <v>0.9502351050366995</v>
      </c>
      <c r="AL11">
        <v>0.94754210142283823</v>
      </c>
      <c r="AM11">
        <v>0.94430294900675826</v>
      </c>
      <c r="AN11">
        <v>0.95162525092445838</v>
      </c>
      <c r="AO11">
        <v>0.95143632531178646</v>
      </c>
      <c r="AP11">
        <v>0.94641255872220476</v>
      </c>
      <c r="AQ11">
        <v>0.94097754477937956</v>
      </c>
      <c r="AR11">
        <v>0.94326384059909052</v>
      </c>
      <c r="AS11">
        <v>0.95100510638297864</v>
      </c>
      <c r="AT11">
        <v>0.94806105822448516</v>
      </c>
      <c r="AU11">
        <v>0.93569877211238306</v>
      </c>
      <c r="AV11">
        <v>0.93547769495412825</v>
      </c>
      <c r="AW11" s="1">
        <v>0.92964641863699571</v>
      </c>
      <c r="AX11" s="1">
        <v>0.94915335801163392</v>
      </c>
      <c r="AY11" s="1">
        <v>0.93691821797931574</v>
      </c>
      <c r="AZ11" s="1">
        <v>0.93589499999999992</v>
      </c>
      <c r="BA11" s="1">
        <v>0.92927441077441086</v>
      </c>
      <c r="BB11" s="1">
        <v>0.92076771037181993</v>
      </c>
      <c r="BC11" s="1">
        <v>0.95096910569105697</v>
      </c>
      <c r="BD11" s="1">
        <v>0.93661665292662821</v>
      </c>
      <c r="BF11">
        <f t="shared" si="0"/>
        <v>0.96591357495068764</v>
      </c>
      <c r="BG11">
        <f t="shared" si="1"/>
        <v>1.0014184741124965</v>
      </c>
      <c r="BH11" s="2">
        <f t="shared" si="2"/>
        <v>-1.418474112496515E-3</v>
      </c>
      <c r="BI11" t="str">
        <f t="shared" si="3"/>
        <v>09_weekend_weekday</v>
      </c>
    </row>
    <row r="12" spans="1:61" x14ac:dyDescent="0.35">
      <c r="A12" s="4" t="s">
        <v>65</v>
      </c>
      <c r="B12">
        <v>0.96375789292972736</v>
      </c>
      <c r="C12">
        <v>0.96362678029992244</v>
      </c>
      <c r="D12">
        <v>0.9656426874227142</v>
      </c>
      <c r="E12">
        <v>0.95708832434749602</v>
      </c>
      <c r="F12">
        <v>0.99478959978023562</v>
      </c>
      <c r="G12">
        <v>0.97269094496550246</v>
      </c>
      <c r="H12">
        <v>0.97726536808060827</v>
      </c>
      <c r="I12">
        <v>0.97264451881223213</v>
      </c>
      <c r="J12">
        <v>0.96724633548088879</v>
      </c>
      <c r="K12">
        <v>0.99513250390560126</v>
      </c>
      <c r="L12">
        <v>0.98904730306459476</v>
      </c>
      <c r="M12">
        <v>0.98667274944415584</v>
      </c>
      <c r="N12">
        <v>0.98139297607238152</v>
      </c>
      <c r="O12">
        <v>0.98640216523823743</v>
      </c>
      <c r="P12">
        <v>1.005663276159301</v>
      </c>
      <c r="Q12">
        <v>0.9800602087943695</v>
      </c>
      <c r="R12">
        <v>0.97732748478998266</v>
      </c>
      <c r="S12">
        <v>0.9768837880950596</v>
      </c>
      <c r="T12">
        <v>0.98973458130200098</v>
      </c>
      <c r="U12">
        <v>1.0021768049112609</v>
      </c>
      <c r="V12">
        <v>0.9753167322828612</v>
      </c>
      <c r="W12">
        <v>0.972427328613366</v>
      </c>
      <c r="X12">
        <v>0.97066346119521052</v>
      </c>
      <c r="Y12">
        <v>0.98606400098109648</v>
      </c>
      <c r="Z12">
        <v>0.99887112751397245</v>
      </c>
      <c r="AA12">
        <v>0.95480678340853853</v>
      </c>
      <c r="AB12">
        <v>0.9552870062189055</v>
      </c>
      <c r="AC12">
        <v>0.95610359258785937</v>
      </c>
      <c r="AD12">
        <v>0.96356744433094987</v>
      </c>
      <c r="AE12">
        <v>0.98602205045408675</v>
      </c>
      <c r="AF12">
        <v>0.94890956543037086</v>
      </c>
      <c r="AG12">
        <v>0.95482543436499479</v>
      </c>
      <c r="AH12">
        <v>0.95448673200242007</v>
      </c>
      <c r="AI12">
        <v>0.96747191031390123</v>
      </c>
      <c r="AJ12">
        <v>0.97844841611527722</v>
      </c>
      <c r="AK12">
        <v>0.94064359427992916</v>
      </c>
      <c r="AL12">
        <v>0.94276080189711786</v>
      </c>
      <c r="AM12">
        <v>0.93932856727421676</v>
      </c>
      <c r="AN12">
        <v>0.9547269212889592</v>
      </c>
      <c r="AO12">
        <v>0.95446239838398028</v>
      </c>
      <c r="AP12">
        <v>0.9375981534606953</v>
      </c>
      <c r="AQ12">
        <v>0.93690099432066398</v>
      </c>
      <c r="AR12">
        <v>0.93848496442899165</v>
      </c>
      <c r="AS12">
        <v>0.95095226276595746</v>
      </c>
      <c r="AT12">
        <v>0.94942214832853666</v>
      </c>
      <c r="AU12">
        <v>0.91420600291363163</v>
      </c>
      <c r="AV12">
        <v>0.91685786467889907</v>
      </c>
      <c r="AW12" s="1">
        <v>0.91137914812239218</v>
      </c>
      <c r="AX12" s="1">
        <v>0.93407026652564773</v>
      </c>
      <c r="AY12" s="1">
        <v>0.92053774383452658</v>
      </c>
      <c r="AZ12" s="1">
        <v>0.90913712250000001</v>
      </c>
      <c r="BA12" s="1">
        <v>0.90418222895622902</v>
      </c>
      <c r="BB12" s="1">
        <v>0.89476512524461838</v>
      </c>
      <c r="BC12" s="1">
        <v>0.92396943739837389</v>
      </c>
      <c r="BD12" s="1">
        <v>0.90963169002473221</v>
      </c>
      <c r="BF12">
        <f t="shared" si="0"/>
        <v>0.95840973302433063</v>
      </c>
      <c r="BG12">
        <f t="shared" si="1"/>
        <v>0.99223135265829543</v>
      </c>
      <c r="BH12" s="2">
        <f t="shared" si="2"/>
        <v>7.7686473417045709E-3</v>
      </c>
      <c r="BI12" s="3" t="str">
        <f t="shared" si="3"/>
        <v>10_student_loans</v>
      </c>
    </row>
    <row r="13" spans="1:61" x14ac:dyDescent="0.35">
      <c r="A13" s="4" t="s">
        <v>66</v>
      </c>
      <c r="B13">
        <v>0.95651152534339001</v>
      </c>
      <c r="C13">
        <v>0.9568578707790536</v>
      </c>
      <c r="D13">
        <v>0.95992400263435684</v>
      </c>
      <c r="E13">
        <v>0.95334967938874027</v>
      </c>
      <c r="F13">
        <v>0.99478959978023562</v>
      </c>
      <c r="G13">
        <v>0.9663913472757335</v>
      </c>
      <c r="H13">
        <v>0.97215947688741433</v>
      </c>
      <c r="I13">
        <v>0.9683992162288404</v>
      </c>
      <c r="J13">
        <v>0.96464190604088862</v>
      </c>
      <c r="K13">
        <v>0.99513250390560126</v>
      </c>
      <c r="L13">
        <v>0.98297830504801031</v>
      </c>
      <c r="M13">
        <v>0.97969789356805204</v>
      </c>
      <c r="N13">
        <v>0.97648637219518009</v>
      </c>
      <c r="O13">
        <v>0.98033686008595966</v>
      </c>
      <c r="P13">
        <v>1.005663276159301</v>
      </c>
      <c r="Q13">
        <v>0.97277836475772006</v>
      </c>
      <c r="R13">
        <v>0.96905691939108463</v>
      </c>
      <c r="S13">
        <v>0.97102069906708954</v>
      </c>
      <c r="T13">
        <v>0.98170573572880526</v>
      </c>
      <c r="U13">
        <v>1.0021768049112609</v>
      </c>
      <c r="V13">
        <v>0.96750678219654263</v>
      </c>
      <c r="W13">
        <v>0.96506194765162467</v>
      </c>
      <c r="X13">
        <v>0.96469929886883121</v>
      </c>
      <c r="Y13">
        <v>0.97818641236758019</v>
      </c>
      <c r="Z13">
        <v>0.99887112751397245</v>
      </c>
      <c r="AA13">
        <v>0.9474598064213815</v>
      </c>
      <c r="AB13">
        <v>0.94749252300995024</v>
      </c>
      <c r="AC13">
        <v>0.95045223081150165</v>
      </c>
      <c r="AD13">
        <v>0.95645351521961175</v>
      </c>
      <c r="AE13">
        <v>0.98602205045408675</v>
      </c>
      <c r="AF13">
        <v>0.94106472446466061</v>
      </c>
      <c r="AG13">
        <v>0.94732140917822849</v>
      </c>
      <c r="AH13">
        <v>0.94816785292196015</v>
      </c>
      <c r="AI13">
        <v>0.9613123680717488</v>
      </c>
      <c r="AJ13">
        <v>0.97844841611527722</v>
      </c>
      <c r="AK13">
        <v>0.93419153210073402</v>
      </c>
      <c r="AL13">
        <v>0.93447132940532651</v>
      </c>
      <c r="AM13">
        <v>0.93410232889617029</v>
      </c>
      <c r="AN13">
        <v>0.94695669872160593</v>
      </c>
      <c r="AO13">
        <v>0.95446239838398028</v>
      </c>
      <c r="AP13">
        <v>0.93165775912934523</v>
      </c>
      <c r="AQ13">
        <v>0.93003212661424206</v>
      </c>
      <c r="AR13">
        <v>0.93279091753944898</v>
      </c>
      <c r="AS13">
        <v>0.94391430961702127</v>
      </c>
      <c r="AT13">
        <v>0.94942214832853666</v>
      </c>
      <c r="AU13">
        <v>0.9090226059354839</v>
      </c>
      <c r="AV13">
        <v>0.91094621880733939</v>
      </c>
      <c r="AW13" s="1">
        <v>0.90573378796940207</v>
      </c>
      <c r="AX13" s="1">
        <v>0.92772105510312008</v>
      </c>
      <c r="AY13" s="1">
        <v>0.92053774383452658</v>
      </c>
      <c r="AZ13" s="1">
        <v>0.90352854787499992</v>
      </c>
      <c r="BA13" s="1">
        <v>0.89864238451178435</v>
      </c>
      <c r="BB13" s="1">
        <v>0.88890782485322883</v>
      </c>
      <c r="BC13" s="1">
        <v>0.91882024715447141</v>
      </c>
      <c r="BD13" s="1">
        <v>0.90963169002473221</v>
      </c>
      <c r="BF13">
        <f t="shared" si="0"/>
        <v>0.95334677234998511</v>
      </c>
      <c r="BG13">
        <f t="shared" si="1"/>
        <v>0.99471733174248034</v>
      </c>
      <c r="BH13" s="2">
        <f>1-BG13</f>
        <v>5.2826682575196626E-3</v>
      </c>
      <c r="BI13" s="3" t="str">
        <f t="shared" si="3"/>
        <v>11_low_pti</v>
      </c>
    </row>
    <row r="14" spans="1:61" x14ac:dyDescent="0.35">
      <c r="A14" s="4" t="s">
        <v>67</v>
      </c>
      <c r="B14">
        <v>0.94937799441996784</v>
      </c>
      <c r="C14">
        <v>0.94154554439303872</v>
      </c>
      <c r="D14">
        <v>0.94614666460431296</v>
      </c>
      <c r="E14">
        <v>0.94072803804083727</v>
      </c>
      <c r="F14">
        <v>0.98677490196507855</v>
      </c>
      <c r="G14">
        <v>0.96394220960726251</v>
      </c>
      <c r="H14">
        <v>0.96016134809140585</v>
      </c>
      <c r="I14">
        <v>0.95466082868695812</v>
      </c>
      <c r="J14">
        <v>0.94721577847579197</v>
      </c>
      <c r="K14">
        <v>0.99054527381446744</v>
      </c>
      <c r="L14">
        <v>0.99602841593052749</v>
      </c>
      <c r="M14">
        <v>0.97590468878059911</v>
      </c>
      <c r="N14">
        <v>0.97914289196864068</v>
      </c>
      <c r="O14">
        <v>0.97727244823639614</v>
      </c>
      <c r="P14">
        <v>1.016237569985734</v>
      </c>
      <c r="Q14">
        <v>0.97448819021125721</v>
      </c>
      <c r="R14">
        <v>0.96231921407188514</v>
      </c>
      <c r="S14">
        <v>0.96559251623312081</v>
      </c>
      <c r="T14">
        <v>0.97385396804248003</v>
      </c>
      <c r="U14">
        <v>1.0053772924129769</v>
      </c>
      <c r="V14">
        <v>0.96388582498962638</v>
      </c>
      <c r="W14">
        <v>0.95813585465259377</v>
      </c>
      <c r="X14">
        <v>0.95842054523189169</v>
      </c>
      <c r="Y14">
        <v>0.96968518532810821</v>
      </c>
      <c r="Z14">
        <v>1.001732097097326</v>
      </c>
      <c r="AA14">
        <v>0.94856637287868795</v>
      </c>
      <c r="AB14">
        <v>0.94993654859328358</v>
      </c>
      <c r="AC14">
        <v>0.9503671187130095</v>
      </c>
      <c r="AD14">
        <v>0.96159925875628194</v>
      </c>
      <c r="AE14">
        <v>0.99900394025933392</v>
      </c>
      <c r="AF14">
        <v>0.96409848237007689</v>
      </c>
      <c r="AG14">
        <v>0.96038477323842042</v>
      </c>
      <c r="AH14">
        <v>0.96401729651184509</v>
      </c>
      <c r="AI14">
        <v>0.98965496147449927</v>
      </c>
      <c r="AJ14">
        <v>1.0143376552880461</v>
      </c>
      <c r="AK14">
        <v>0.93967073490832198</v>
      </c>
      <c r="AL14">
        <v>0.93247252838340011</v>
      </c>
      <c r="AM14">
        <v>0.93399205458450951</v>
      </c>
      <c r="AN14">
        <v>0.95636661568931847</v>
      </c>
      <c r="AO14">
        <v>0.97041512094572291</v>
      </c>
      <c r="AP14">
        <v>0.94022284279984336</v>
      </c>
      <c r="AQ14">
        <v>0.93162769408733959</v>
      </c>
      <c r="AR14">
        <v>0.93598614532727464</v>
      </c>
      <c r="AS14">
        <v>0.95896019495068074</v>
      </c>
      <c r="AT14">
        <v>0.96481016464024805</v>
      </c>
      <c r="AU14">
        <v>0.91023309720821644</v>
      </c>
      <c r="AV14">
        <v>0.91026815514426618</v>
      </c>
      <c r="AW14" s="1">
        <v>0.9041971721766342</v>
      </c>
      <c r="AX14" s="1">
        <v>0.94085958795864622</v>
      </c>
      <c r="AY14" s="1">
        <v>0.92922103376610987</v>
      </c>
      <c r="AZ14" s="1">
        <v>0.90164902393912483</v>
      </c>
      <c r="BA14" s="1">
        <v>0.89688635214747481</v>
      </c>
      <c r="BB14" s="1">
        <v>0.88491548985616442</v>
      </c>
      <c r="BC14" s="1">
        <v>0.9261049361951218</v>
      </c>
      <c r="BD14" s="1">
        <v>0.91317505607584504</v>
      </c>
      <c r="BF14">
        <f t="shared" si="0"/>
        <v>0.9553304671661822</v>
      </c>
      <c r="BG14">
        <f t="shared" si="1"/>
        <v>1.0020807694259113</v>
      </c>
      <c r="BH14" s="2">
        <f t="shared" si="2"/>
        <v>-2.0807694259112886E-3</v>
      </c>
      <c r="BI14" s="3" t="str">
        <f t="shared" si="3"/>
        <v>12_chime</v>
      </c>
    </row>
    <row r="15" spans="1:61" x14ac:dyDescent="0.35">
      <c r="A15" s="4" t="s">
        <v>68</v>
      </c>
      <c r="B15">
        <v>0.94937799441996784</v>
      </c>
      <c r="C15">
        <v>0.94154554439303872</v>
      </c>
      <c r="D15">
        <v>0.94614666460431296</v>
      </c>
      <c r="E15">
        <v>0.94072803804083727</v>
      </c>
      <c r="F15">
        <v>0.98677490196507855</v>
      </c>
      <c r="G15">
        <v>0.96394220960726251</v>
      </c>
      <c r="H15">
        <v>0.96016134809140585</v>
      </c>
      <c r="I15">
        <v>0.95466082868695812</v>
      </c>
      <c r="J15">
        <v>0.94721577847579197</v>
      </c>
      <c r="K15">
        <v>0.99054527381446744</v>
      </c>
      <c r="L15">
        <v>0.99602841593052749</v>
      </c>
      <c r="M15">
        <v>0.97590468878059911</v>
      </c>
      <c r="N15">
        <v>0.97914289196864068</v>
      </c>
      <c r="O15">
        <v>0.97727244823639614</v>
      </c>
      <c r="P15">
        <v>1.016237569985734</v>
      </c>
      <c r="Q15">
        <v>0.97448819021125721</v>
      </c>
      <c r="R15">
        <v>0.96231921407188514</v>
      </c>
      <c r="S15">
        <v>0.96559251623312081</v>
      </c>
      <c r="T15">
        <v>0.97385396804248003</v>
      </c>
      <c r="U15">
        <v>1.0053772924129769</v>
      </c>
      <c r="V15">
        <v>0.96388582498962638</v>
      </c>
      <c r="W15">
        <v>0.95813585465259377</v>
      </c>
      <c r="X15">
        <v>0.95842054523189169</v>
      </c>
      <c r="Y15">
        <v>0.96968518532810821</v>
      </c>
      <c r="Z15">
        <v>1.001732097097326</v>
      </c>
      <c r="AA15">
        <v>0.94856637287868795</v>
      </c>
      <c r="AB15">
        <v>0.94993654859328358</v>
      </c>
      <c r="AC15">
        <v>0.9503671187130095</v>
      </c>
      <c r="AD15">
        <v>0.96159925875628194</v>
      </c>
      <c r="AE15">
        <v>0.99900394025933392</v>
      </c>
      <c r="AF15">
        <v>0.96362809715825049</v>
      </c>
      <c r="AG15">
        <v>0.95950104547227322</v>
      </c>
      <c r="AH15">
        <v>0.96319121619436188</v>
      </c>
      <c r="AI15">
        <v>0.98898568074849025</v>
      </c>
      <c r="AJ15">
        <v>1.0135510147348921</v>
      </c>
      <c r="AK15">
        <v>0.93946570754807135</v>
      </c>
      <c r="AL15">
        <v>0.93174243010364821</v>
      </c>
      <c r="AM15">
        <v>0.93353650160859314</v>
      </c>
      <c r="AN15">
        <v>0.95531879534288433</v>
      </c>
      <c r="AO15">
        <v>0.96963853612085016</v>
      </c>
      <c r="AP15">
        <v>0.94070664520241154</v>
      </c>
      <c r="AQ15">
        <v>0.93086110322128435</v>
      </c>
      <c r="AR15">
        <v>0.93563222652994926</v>
      </c>
      <c r="AS15">
        <v>0.95791288749919146</v>
      </c>
      <c r="AT15">
        <v>0.96436416238166911</v>
      </c>
      <c r="AU15">
        <v>0.91077037835566688</v>
      </c>
      <c r="AV15">
        <v>0.91030820650321098</v>
      </c>
      <c r="AW15" s="1">
        <v>0.90373834722417246</v>
      </c>
      <c r="AX15" s="1">
        <v>0.94010432727414073</v>
      </c>
      <c r="AY15" s="1">
        <v>0.92873404099284007</v>
      </c>
      <c r="AZ15" s="1">
        <v>0.9016308894285</v>
      </c>
      <c r="BA15" s="1">
        <v>0.89656739984848488</v>
      </c>
      <c r="BB15" s="1">
        <v>0.88478315352739723</v>
      </c>
      <c r="BC15" s="1">
        <v>0.92598774742087808</v>
      </c>
      <c r="BD15" s="1">
        <v>0.91263021109315734</v>
      </c>
      <c r="BF15">
        <f t="shared" si="0"/>
        <v>0.95512616865469346</v>
      </c>
      <c r="BG15">
        <f t="shared" si="1"/>
        <v>0.99978614885789763</v>
      </c>
      <c r="BH15" s="2">
        <f t="shared" si="2"/>
        <v>2.1385114210237255E-4</v>
      </c>
      <c r="BI15" t="str">
        <f t="shared" si="3"/>
        <v>13_employment_type</v>
      </c>
    </row>
    <row r="16" spans="1:61" x14ac:dyDescent="0.35">
      <c r="A16" s="4" t="s">
        <v>69</v>
      </c>
      <c r="B16">
        <v>0.951351111747613</v>
      </c>
      <c r="C16">
        <v>0.94391769435286865</v>
      </c>
      <c r="D16">
        <v>0.94730951136917696</v>
      </c>
      <c r="E16">
        <v>0.94208019145744804</v>
      </c>
      <c r="F16">
        <v>0.98883398389621247</v>
      </c>
      <c r="G16">
        <v>0.96571796010616573</v>
      </c>
      <c r="H16">
        <v>0.96160756689574745</v>
      </c>
      <c r="I16">
        <v>0.95658188799192101</v>
      </c>
      <c r="J16">
        <v>0.94864568450261855</v>
      </c>
      <c r="K16">
        <v>0.99243339122193819</v>
      </c>
      <c r="L16">
        <v>0.99780019431914013</v>
      </c>
      <c r="M16">
        <v>0.97806353525615808</v>
      </c>
      <c r="N16">
        <v>0.98085382182753056</v>
      </c>
      <c r="O16">
        <v>0.97941874043881738</v>
      </c>
      <c r="P16">
        <v>1.01772503092121</v>
      </c>
      <c r="Q16">
        <v>0.97625265123020455</v>
      </c>
      <c r="R16">
        <v>0.96467091686954065</v>
      </c>
      <c r="S16">
        <v>0.96769166859159628</v>
      </c>
      <c r="T16">
        <v>0.97636954894312522</v>
      </c>
      <c r="U16">
        <v>1.006933769468155</v>
      </c>
      <c r="V16">
        <v>0.96585609099294467</v>
      </c>
      <c r="W16">
        <v>0.96103982183722902</v>
      </c>
      <c r="X16">
        <v>0.96054801614012197</v>
      </c>
      <c r="Y16">
        <v>0.9716199841180343</v>
      </c>
      <c r="Z16">
        <v>1.0035900562424021</v>
      </c>
      <c r="AA16">
        <v>0.95031512798809437</v>
      </c>
      <c r="AB16">
        <v>0.95168922654514931</v>
      </c>
      <c r="AC16">
        <v>0.9522815317484089</v>
      </c>
      <c r="AD16">
        <v>0.96481748846414706</v>
      </c>
      <c r="AE16">
        <v>1.000702201634712</v>
      </c>
      <c r="AF16">
        <v>0.96555499600720096</v>
      </c>
      <c r="AG16">
        <v>0.96146890630194237</v>
      </c>
      <c r="AH16">
        <v>0.9651236804922928</v>
      </c>
      <c r="AI16">
        <v>0.99073610612750374</v>
      </c>
      <c r="AJ16">
        <v>1.0149558210281431</v>
      </c>
      <c r="AK16">
        <v>0.94128336305034932</v>
      </c>
      <c r="AL16">
        <v>0.93356979578099231</v>
      </c>
      <c r="AM16">
        <v>0.93531048154486174</v>
      </c>
      <c r="AN16">
        <v>0.95766248804795573</v>
      </c>
      <c r="AO16">
        <v>0.97135729531881265</v>
      </c>
      <c r="AP16">
        <v>0.94256280135051673</v>
      </c>
      <c r="AQ16">
        <v>0.93329272845614686</v>
      </c>
      <c r="AR16">
        <v>0.9379970108076171</v>
      </c>
      <c r="AS16">
        <v>0.96005434653919153</v>
      </c>
      <c r="AT16">
        <v>0.96589404770555687</v>
      </c>
      <c r="AU16">
        <v>0.91311153143217061</v>
      </c>
      <c r="AV16">
        <v>0.91256032988669733</v>
      </c>
      <c r="AW16" s="1">
        <v>0.90536691676381087</v>
      </c>
      <c r="AX16" s="1">
        <v>0.94210437225150712</v>
      </c>
      <c r="AY16" s="1">
        <v>0.93041328773715193</v>
      </c>
      <c r="AZ16" s="1">
        <v>0.90285373566675009</v>
      </c>
      <c r="BA16" s="1">
        <v>0.8975863412020203</v>
      </c>
      <c r="BB16" s="1">
        <v>0.88651801724794532</v>
      </c>
      <c r="BC16" s="1">
        <v>0.92812820774868288</v>
      </c>
      <c r="BD16" s="1">
        <v>0.91406773190107171</v>
      </c>
      <c r="BF16">
        <f t="shared" si="0"/>
        <v>0.95702277722755125</v>
      </c>
      <c r="BG16">
        <f t="shared" si="1"/>
        <v>1.0019857152228686</v>
      </c>
      <c r="BH16" s="2">
        <f t="shared" si="2"/>
        <v>-1.9857152228686115E-3</v>
      </c>
      <c r="BI16" t="str">
        <f t="shared" si="3"/>
        <v>14_auth_tradelines</v>
      </c>
    </row>
    <row r="17" spans="1:61" x14ac:dyDescent="0.35">
      <c r="A17" s="4" t="s">
        <v>70</v>
      </c>
      <c r="B17">
        <v>0.9583601102118039</v>
      </c>
      <c r="C17">
        <v>0.95533972667638645</v>
      </c>
      <c r="D17">
        <v>0.95605449214570271</v>
      </c>
      <c r="E17">
        <v>0.93740747887278741</v>
      </c>
      <c r="F17">
        <v>0.99301719436860214</v>
      </c>
      <c r="G17">
        <v>0.96995934053555699</v>
      </c>
      <c r="H17">
        <v>0.97668055508016893</v>
      </c>
      <c r="I17">
        <v>0.97348793004044176</v>
      </c>
      <c r="J17">
        <v>0.95351966526315513</v>
      </c>
      <c r="K17">
        <v>0.98558149051835986</v>
      </c>
      <c r="L17">
        <v>0.99692177134794269</v>
      </c>
      <c r="M17">
        <v>0.97988396028557345</v>
      </c>
      <c r="N17">
        <v>0.99079904264547347</v>
      </c>
      <c r="O17">
        <v>0.97759832007658953</v>
      </c>
      <c r="P17">
        <v>1.00300506700852</v>
      </c>
      <c r="Q17">
        <v>0.9697725605176678</v>
      </c>
      <c r="R17">
        <v>0.97147218077872821</v>
      </c>
      <c r="S17">
        <v>0.97958705021563042</v>
      </c>
      <c r="T17">
        <v>0.96720585350311683</v>
      </c>
      <c r="U17">
        <v>0.9926562067914424</v>
      </c>
      <c r="V17">
        <v>0.96227046093689939</v>
      </c>
      <c r="W17">
        <v>0.96418279398770745</v>
      </c>
      <c r="X17">
        <v>0.96645819552822887</v>
      </c>
      <c r="Y17">
        <v>0.96032844828820385</v>
      </c>
      <c r="Z17">
        <v>0.99060577999659249</v>
      </c>
      <c r="AA17">
        <v>0.94650143947823329</v>
      </c>
      <c r="AB17">
        <v>0.95138080470007458</v>
      </c>
      <c r="AC17">
        <v>0.95681447886612281</v>
      </c>
      <c r="AD17">
        <v>0.94863402231517879</v>
      </c>
      <c r="AE17">
        <v>0.99216235807129161</v>
      </c>
      <c r="AF17">
        <v>0.96829514998479538</v>
      </c>
      <c r="AG17">
        <v>0.95636346948882167</v>
      </c>
      <c r="AH17">
        <v>0.95760403151337936</v>
      </c>
      <c r="AI17">
        <v>0.98215521815317497</v>
      </c>
      <c r="AJ17">
        <v>1.014964842876215</v>
      </c>
      <c r="AK17">
        <v>0.94049576915430255</v>
      </c>
      <c r="AL17">
        <v>0.92176445698285581</v>
      </c>
      <c r="AM17">
        <v>0.92700563158941562</v>
      </c>
      <c r="AN17">
        <v>0.94936241475781935</v>
      </c>
      <c r="AO17">
        <v>0.96534260636073066</v>
      </c>
      <c r="AP17">
        <v>0.93363387647071427</v>
      </c>
      <c r="AQ17">
        <v>0.91640528053652104</v>
      </c>
      <c r="AR17">
        <v>0.9229955827330879</v>
      </c>
      <c r="AS17">
        <v>0.94934802366865856</v>
      </c>
      <c r="AT17">
        <v>0.95942584927354879</v>
      </c>
      <c r="AU17">
        <v>0.90725286190247934</v>
      </c>
      <c r="AV17">
        <v>0.90070775407746684</v>
      </c>
      <c r="AW17" s="1">
        <v>0.8936307419664492</v>
      </c>
      <c r="AX17" s="1">
        <v>0.93513295063477297</v>
      </c>
      <c r="AY17" s="1">
        <v>0.92887490611498802</v>
      </c>
      <c r="AZ17" s="1">
        <v>0.90094564762345497</v>
      </c>
      <c r="BA17" s="1">
        <v>0.88297476085890914</v>
      </c>
      <c r="BB17" s="1">
        <v>0.8747404541149314</v>
      </c>
      <c r="BC17" s="1">
        <v>0.92201500380653667</v>
      </c>
      <c r="BD17" s="1">
        <v>0.90779720016474863</v>
      </c>
      <c r="BF17">
        <f t="shared" si="0"/>
        <v>0.95357969570656276</v>
      </c>
      <c r="BG17">
        <f t="shared" si="1"/>
        <v>0.99640229929431468</v>
      </c>
      <c r="BH17" s="2">
        <f t="shared" si="2"/>
        <v>3.597700705685325E-3</v>
      </c>
      <c r="BI17" s="3" t="str">
        <f t="shared" si="3"/>
        <v>15_fraud</v>
      </c>
    </row>
    <row r="18" spans="1:61" x14ac:dyDescent="0.35">
      <c r="A18" s="4" t="s">
        <v>71</v>
      </c>
      <c r="B18">
        <v>0.96203724564163251</v>
      </c>
      <c r="C18">
        <v>0.95813083845079927</v>
      </c>
      <c r="D18">
        <v>0.95913104542111893</v>
      </c>
      <c r="E18">
        <v>0.94142083539037125</v>
      </c>
      <c r="F18">
        <v>0.99492910418808911</v>
      </c>
      <c r="G18">
        <v>0.97301672814144546</v>
      </c>
      <c r="H18">
        <v>0.98010343174085568</v>
      </c>
      <c r="I18">
        <v>0.97779728426836243</v>
      </c>
      <c r="J18">
        <v>0.95584317698976962</v>
      </c>
      <c r="K18">
        <v>0.98684173964992616</v>
      </c>
      <c r="L18">
        <v>1.0000668750428079</v>
      </c>
      <c r="M18">
        <v>0.98283025203938235</v>
      </c>
      <c r="N18">
        <v>0.99347085385711453</v>
      </c>
      <c r="O18">
        <v>0.97977911324247768</v>
      </c>
      <c r="P18">
        <v>1.004570158880129</v>
      </c>
      <c r="Q18">
        <v>0.97425838597422598</v>
      </c>
      <c r="R18">
        <v>0.97462815863931229</v>
      </c>
      <c r="S18">
        <v>0.9825116870184083</v>
      </c>
      <c r="T18">
        <v>0.96966045607058016</v>
      </c>
      <c r="U18">
        <v>0.99414492438495183</v>
      </c>
      <c r="V18">
        <v>0.96920962994178539</v>
      </c>
      <c r="W18">
        <v>0.96754917438668031</v>
      </c>
      <c r="X18">
        <v>0.96934400358034223</v>
      </c>
      <c r="Y18">
        <v>0.96197682951533547</v>
      </c>
      <c r="Z18">
        <v>0.99246191348235191</v>
      </c>
      <c r="AA18">
        <v>0.95481594769832501</v>
      </c>
      <c r="AB18">
        <v>0.95489538124384332</v>
      </c>
      <c r="AC18">
        <v>0.95960884238511945</v>
      </c>
      <c r="AD18">
        <v>0.95085715552345251</v>
      </c>
      <c r="AE18">
        <v>0.99382641972566088</v>
      </c>
      <c r="AF18">
        <v>0.9746002709597299</v>
      </c>
      <c r="AG18">
        <v>0.96032439097909916</v>
      </c>
      <c r="AH18">
        <v>0.96057725660614701</v>
      </c>
      <c r="AI18">
        <v>0.98480654409093271</v>
      </c>
      <c r="AJ18">
        <v>1.0167151542764741</v>
      </c>
      <c r="AK18">
        <v>0.94756971464825879</v>
      </c>
      <c r="AL18">
        <v>0.92623122911351186</v>
      </c>
      <c r="AM18">
        <v>0.93029465953130763</v>
      </c>
      <c r="AN18">
        <v>0.95241482627750229</v>
      </c>
      <c r="AO18">
        <v>0.96724167487265766</v>
      </c>
      <c r="AP18">
        <v>0.93967844940703338</v>
      </c>
      <c r="AQ18">
        <v>0.92075430748558518</v>
      </c>
      <c r="AR18">
        <v>0.92663626649476549</v>
      </c>
      <c r="AS18">
        <v>0.95359008096344999</v>
      </c>
      <c r="AT18">
        <v>0.96158620030530106</v>
      </c>
      <c r="AU18">
        <v>0.91368968228051173</v>
      </c>
      <c r="AV18">
        <v>0.90439886898750688</v>
      </c>
      <c r="AW18" s="1">
        <v>0.89719213206993043</v>
      </c>
      <c r="AX18" s="1">
        <v>0.93885957479407534</v>
      </c>
      <c r="AY18" s="1">
        <v>0.93091483178112644</v>
      </c>
      <c r="AZ18" s="1">
        <v>0.90754075545535495</v>
      </c>
      <c r="BA18" s="1">
        <v>0.88643123381527256</v>
      </c>
      <c r="BB18" s="1">
        <v>0.87944105684958895</v>
      </c>
      <c r="BC18" s="1">
        <v>0.92598798799004867</v>
      </c>
      <c r="BD18" s="1">
        <v>0.91038991841698247</v>
      </c>
      <c r="BF18">
        <f t="shared" si="0"/>
        <v>0.95704699383576031</v>
      </c>
      <c r="BG18">
        <f t="shared" si="1"/>
        <v>1.0036360863646834</v>
      </c>
      <c r="BH18" s="2">
        <f t="shared" si="2"/>
        <v>-3.6360863646833774E-3</v>
      </c>
      <c r="BI18" s="3" t="str">
        <f t="shared" si="3"/>
        <v>16_driver_flag</v>
      </c>
    </row>
    <row r="19" spans="1:61" x14ac:dyDescent="0.35">
      <c r="A19" s="4" t="s">
        <v>72</v>
      </c>
      <c r="B19">
        <v>0.95611375565310941</v>
      </c>
      <c r="C19">
        <v>0.97211209045620417</v>
      </c>
      <c r="D19">
        <v>0.94086329444471051</v>
      </c>
      <c r="E19">
        <v>0.92459198180265068</v>
      </c>
      <c r="F19">
        <v>1.0329536992229711</v>
      </c>
      <c r="G19">
        <v>0.98541336718644346</v>
      </c>
      <c r="H19">
        <v>0.98331255467739354</v>
      </c>
      <c r="I19">
        <v>0.96195684828836248</v>
      </c>
      <c r="J19">
        <v>0.9296137432884044</v>
      </c>
      <c r="K19">
        <v>1.000560790596551</v>
      </c>
      <c r="L19">
        <v>1.028868340997342</v>
      </c>
      <c r="M19">
        <v>0.97696014881766746</v>
      </c>
      <c r="N19">
        <v>0.96925981169078002</v>
      </c>
      <c r="O19">
        <v>0.93693749290520201</v>
      </c>
      <c r="P19">
        <v>1.0342959532441209</v>
      </c>
      <c r="Q19">
        <v>0.99986246527316947</v>
      </c>
      <c r="R19">
        <v>0.95516653731756751</v>
      </c>
      <c r="S19">
        <v>0.92730681819000138</v>
      </c>
      <c r="T19">
        <v>0.89030374232236731</v>
      </c>
      <c r="U19">
        <v>1.0236796184025581</v>
      </c>
      <c r="V19">
        <v>0.97992424415784829</v>
      </c>
      <c r="W19">
        <v>0.96706899802967072</v>
      </c>
      <c r="X19">
        <v>0.92242490684514977</v>
      </c>
      <c r="Y19">
        <v>0.85996988611969449</v>
      </c>
      <c r="Z19">
        <v>1.02691371125308</v>
      </c>
      <c r="AA19">
        <v>0.98440083088311769</v>
      </c>
      <c r="AB19">
        <v>0.96105982384108524</v>
      </c>
      <c r="AC19">
        <v>0.9242765350320844</v>
      </c>
      <c r="AD19">
        <v>0.87872875703879982</v>
      </c>
      <c r="AE19">
        <v>1.0163963638786919</v>
      </c>
      <c r="AF19">
        <v>0.98324256920036168</v>
      </c>
      <c r="AG19">
        <v>0.94242813124238145</v>
      </c>
      <c r="AH19">
        <v>0.93284452140947305</v>
      </c>
      <c r="AI19">
        <v>0.90056203445730965</v>
      </c>
      <c r="AJ19">
        <v>1.050028830188007</v>
      </c>
      <c r="AK19">
        <v>0.9558366427707613</v>
      </c>
      <c r="AL19">
        <v>0.90037026761795069</v>
      </c>
      <c r="AM19">
        <v>0.91980003698539436</v>
      </c>
      <c r="AN19">
        <v>0.89641000608744958</v>
      </c>
      <c r="AO19">
        <v>0.99739036937285286</v>
      </c>
      <c r="AP19">
        <v>0.92595292961168985</v>
      </c>
      <c r="AQ19">
        <v>0.88075515052215225</v>
      </c>
      <c r="AR19">
        <v>0.90885011856864795</v>
      </c>
      <c r="AS19">
        <v>0.87033256682680293</v>
      </c>
      <c r="AT19">
        <v>0.99974657955802249</v>
      </c>
      <c r="AU19">
        <v>0.87675067960098774</v>
      </c>
      <c r="AV19">
        <v>0.86057938681376678</v>
      </c>
      <c r="AW19" s="1">
        <v>0.8785870980195023</v>
      </c>
      <c r="AX19" s="1">
        <v>0.91954263442425621</v>
      </c>
      <c r="AY19" s="1">
        <v>0.93622188489552582</v>
      </c>
      <c r="AZ19" s="1">
        <v>0.90558643043766185</v>
      </c>
      <c r="BA19" s="1">
        <v>0.90905581718422901</v>
      </c>
      <c r="BB19" s="1">
        <v>0.9032643193222113</v>
      </c>
      <c r="BC19" s="1">
        <v>0.93921541450338208</v>
      </c>
      <c r="BD19" s="1">
        <v>0.92507302626014842</v>
      </c>
      <c r="BF19">
        <f t="shared" si="0"/>
        <v>0.9467222646861404</v>
      </c>
      <c r="BG19">
        <f t="shared" si="1"/>
        <v>0.98921188905443469</v>
      </c>
      <c r="BH19" s="2">
        <f t="shared" si="2"/>
        <v>1.078811094556531E-2</v>
      </c>
      <c r="BI19" s="3" t="str">
        <f t="shared" si="3"/>
        <v>17_pricing_scalar</v>
      </c>
    </row>
    <row r="20" spans="1:61" x14ac:dyDescent="0.35">
      <c r="A20" s="4" t="s">
        <v>73</v>
      </c>
      <c r="B20">
        <v>0.95125989018429002</v>
      </c>
      <c r="C20">
        <v>0.96625873028796472</v>
      </c>
      <c r="D20">
        <v>0.939649219774641</v>
      </c>
      <c r="E20">
        <v>0.92675109594219718</v>
      </c>
      <c r="F20">
        <v>1.027706554452424</v>
      </c>
      <c r="G20">
        <v>0.97809223274760893</v>
      </c>
      <c r="H20">
        <v>0.97807378608091533</v>
      </c>
      <c r="I20">
        <v>0.95813530998246321</v>
      </c>
      <c r="J20">
        <v>0.92738080845044657</v>
      </c>
      <c r="K20">
        <v>0.99719084215997922</v>
      </c>
      <c r="L20">
        <v>1.0126311038563229</v>
      </c>
      <c r="M20">
        <v>0.9724921449442302</v>
      </c>
      <c r="N20">
        <v>0.96349126559517528</v>
      </c>
      <c r="O20">
        <v>0.93314371903078974</v>
      </c>
      <c r="P20">
        <v>1.027678503566551</v>
      </c>
      <c r="Q20">
        <v>0.99119964962557106</v>
      </c>
      <c r="R20">
        <v>0.951589068100129</v>
      </c>
      <c r="S20">
        <v>0.92619344668733006</v>
      </c>
      <c r="T20">
        <v>0.8962471281997425</v>
      </c>
      <c r="U20">
        <v>1.016450032900668</v>
      </c>
      <c r="V20">
        <v>0.97481236347654932</v>
      </c>
      <c r="W20">
        <v>0.96310724193801278</v>
      </c>
      <c r="X20">
        <v>0.92270771006574559</v>
      </c>
      <c r="Y20">
        <v>0.86813670080400696</v>
      </c>
      <c r="Z20">
        <v>1.0209875109541811</v>
      </c>
      <c r="AA20">
        <v>0.97731936532695607</v>
      </c>
      <c r="AB20">
        <v>0.95871445054619453</v>
      </c>
      <c r="AC20">
        <v>0.92330815046572345</v>
      </c>
      <c r="AD20">
        <v>0.88179160535271184</v>
      </c>
      <c r="AE20">
        <v>1.011704681933818</v>
      </c>
      <c r="AF20">
        <v>0.97506719583552703</v>
      </c>
      <c r="AG20">
        <v>0.94013461299243073</v>
      </c>
      <c r="AH20">
        <v>0.93140450414360143</v>
      </c>
      <c r="AI20">
        <v>0.9040556170766354</v>
      </c>
      <c r="AJ20">
        <v>1.0417165213899671</v>
      </c>
      <c r="AK20">
        <v>0.9511477285054023</v>
      </c>
      <c r="AL20">
        <v>0.900886876036738</v>
      </c>
      <c r="AM20">
        <v>0.91907672296776177</v>
      </c>
      <c r="AN20">
        <v>0.90020497059228832</v>
      </c>
      <c r="AO20">
        <v>0.99276335717339692</v>
      </c>
      <c r="AP20">
        <v>0.92777098048362727</v>
      </c>
      <c r="AQ20">
        <v>0.88416204974092905</v>
      </c>
      <c r="AR20">
        <v>0.90848079676317084</v>
      </c>
      <c r="AS20">
        <v>0.88113244273899638</v>
      </c>
      <c r="AT20">
        <v>0.99479150304853647</v>
      </c>
      <c r="AU20">
        <v>0.88446654006700909</v>
      </c>
      <c r="AV20">
        <v>0.86584410509551235</v>
      </c>
      <c r="AW20" s="1">
        <v>0.88116935062879576</v>
      </c>
      <c r="AX20" s="1">
        <v>0.92068792512082787</v>
      </c>
      <c r="AY20" s="1">
        <v>0.9351357096005537</v>
      </c>
      <c r="AZ20" s="1">
        <v>0.90402803851308111</v>
      </c>
      <c r="BA20" s="1">
        <v>0.90903940878355549</v>
      </c>
      <c r="BB20" s="1">
        <v>0.90287471155563603</v>
      </c>
      <c r="BC20" s="1">
        <v>0.93872584685889415</v>
      </c>
      <c r="BD20" s="1">
        <v>0.92394564379653765</v>
      </c>
      <c r="BF20">
        <f t="shared" si="0"/>
        <v>0.94478031768986814</v>
      </c>
      <c r="BG20">
        <f t="shared" si="1"/>
        <v>0.99794876800862387</v>
      </c>
      <c r="BH20" s="2">
        <f t="shared" si="2"/>
        <v>2.0512319913761345E-3</v>
      </c>
      <c r="BI20" t="str">
        <f t="shared" si="3"/>
        <v>18_final</v>
      </c>
    </row>
    <row r="21" spans="1:61" x14ac:dyDescent="0.35">
      <c r="A21" s="4" t="s">
        <v>74</v>
      </c>
      <c r="B21">
        <v>0.95125989018429002</v>
      </c>
      <c r="C21">
        <v>0.96625873028796472</v>
      </c>
      <c r="D21">
        <v>0.939649219774641</v>
      </c>
      <c r="E21">
        <v>0.92675109594219718</v>
      </c>
      <c r="F21">
        <v>1.027706554452424</v>
      </c>
      <c r="G21">
        <v>0.97809223274760893</v>
      </c>
      <c r="H21">
        <v>0.97807378608091533</v>
      </c>
      <c r="I21">
        <v>0.95813530998246321</v>
      </c>
      <c r="J21">
        <v>0.92738080845044657</v>
      </c>
      <c r="K21">
        <v>0.99719084215997922</v>
      </c>
      <c r="L21">
        <v>1.0126311038563229</v>
      </c>
      <c r="M21">
        <v>0.9724921449442302</v>
      </c>
      <c r="N21">
        <v>0.96349126559517528</v>
      </c>
      <c r="O21">
        <v>0.93314371903078974</v>
      </c>
      <c r="P21">
        <v>1.027678503566551</v>
      </c>
      <c r="Q21">
        <v>0.99119964962557106</v>
      </c>
      <c r="R21">
        <v>0.951589068100129</v>
      </c>
      <c r="S21">
        <v>0.92619344668733006</v>
      </c>
      <c r="T21">
        <v>0.8962471281997425</v>
      </c>
      <c r="U21">
        <v>1.016450032900668</v>
      </c>
      <c r="V21">
        <v>0.97481236347654932</v>
      </c>
      <c r="W21">
        <v>0.96310724193801278</v>
      </c>
      <c r="X21">
        <v>0.92270771006574559</v>
      </c>
      <c r="Y21">
        <v>0.86813670080400696</v>
      </c>
      <c r="Z21">
        <v>1.0209875109541811</v>
      </c>
      <c r="AA21">
        <v>0.97731936532695607</v>
      </c>
      <c r="AB21">
        <v>0.95871445054619453</v>
      </c>
      <c r="AC21">
        <v>0.92330815046572345</v>
      </c>
      <c r="AD21">
        <v>0.88179160535271184</v>
      </c>
      <c r="AE21">
        <v>1.011704681933818</v>
      </c>
      <c r="AF21">
        <v>0.97506719583552703</v>
      </c>
      <c r="AG21">
        <v>0.94013461299243073</v>
      </c>
      <c r="AH21">
        <v>0.93140450414360143</v>
      </c>
      <c r="AI21">
        <v>0.9040556170766354</v>
      </c>
      <c r="AJ21">
        <v>1.0417165213899671</v>
      </c>
      <c r="AK21">
        <v>0.9511477285054023</v>
      </c>
      <c r="AL21">
        <v>0.900886876036738</v>
      </c>
      <c r="AM21">
        <v>0.91907672296776177</v>
      </c>
      <c r="AN21">
        <v>0.90020497059228832</v>
      </c>
      <c r="AO21">
        <v>0.99276335717339692</v>
      </c>
      <c r="AP21">
        <v>0.92777098048362727</v>
      </c>
      <c r="AQ21">
        <v>0.88416204974092905</v>
      </c>
      <c r="AR21">
        <v>0.90848079676317084</v>
      </c>
      <c r="AS21">
        <v>0.88113244273899638</v>
      </c>
      <c r="AT21">
        <v>0.99479150304853647</v>
      </c>
      <c r="AU21">
        <v>0.88446654006700909</v>
      </c>
      <c r="AV21">
        <v>0.86584410509551235</v>
      </c>
      <c r="AW21" s="1">
        <v>0.88116935062879576</v>
      </c>
      <c r="AX21" s="1">
        <v>0.92068792512082787</v>
      </c>
      <c r="AY21" s="1">
        <v>0.9351357096005537</v>
      </c>
      <c r="AZ21" s="1">
        <v>0.90402803851308111</v>
      </c>
      <c r="BA21" s="1">
        <v>0.90903940878355549</v>
      </c>
      <c r="BB21" s="1">
        <v>0.90287471155563603</v>
      </c>
      <c r="BC21" s="1">
        <v>0.93872584685889415</v>
      </c>
      <c r="BD21" s="1">
        <v>0.92394564379653765</v>
      </c>
    </row>
    <row r="22" spans="1:61" x14ac:dyDescent="0.35">
      <c r="A22" s="4" t="s">
        <v>75</v>
      </c>
      <c r="B22">
        <v>0.93416491674289159</v>
      </c>
      <c r="C22">
        <v>0.97011248410297735</v>
      </c>
      <c r="D22">
        <v>0.94043708860979569</v>
      </c>
      <c r="E22">
        <v>0.95665522335482978</v>
      </c>
      <c r="F22">
        <v>1.025486596965866</v>
      </c>
      <c r="G22">
        <v>0.96790748952129246</v>
      </c>
      <c r="H22">
        <v>0.97740448476125341</v>
      </c>
      <c r="I22">
        <v>0.95498596445732675</v>
      </c>
      <c r="J22">
        <v>0.94377928492666774</v>
      </c>
      <c r="K22">
        <v>0.99370718433431449</v>
      </c>
      <c r="L22">
        <v>1.005008602423664</v>
      </c>
      <c r="M22">
        <v>0.97285905635213565</v>
      </c>
      <c r="N22">
        <v>0.95747762096690336</v>
      </c>
      <c r="O22">
        <v>0.93615451904363944</v>
      </c>
      <c r="P22">
        <v>1.0235931805848539</v>
      </c>
      <c r="Q22">
        <v>0.98722768514244896</v>
      </c>
      <c r="R22">
        <v>0.95249232923870442</v>
      </c>
      <c r="S22">
        <v>0.91901778478642793</v>
      </c>
      <c r="T22">
        <v>0.90241156227590691</v>
      </c>
      <c r="U22">
        <v>1.0130421057269889</v>
      </c>
      <c r="V22">
        <v>0.96954731984472098</v>
      </c>
      <c r="W22">
        <v>0.96113891825372511</v>
      </c>
      <c r="X22">
        <v>0.90906477697746135</v>
      </c>
      <c r="Y22">
        <v>0.86869643224474136</v>
      </c>
      <c r="Z22">
        <v>1.019045083647524</v>
      </c>
      <c r="AA22">
        <v>0.9788218473246717</v>
      </c>
      <c r="AB22">
        <v>0.95278864003429653</v>
      </c>
      <c r="AC22">
        <v>0.91732283738692455</v>
      </c>
      <c r="AD22">
        <v>0.88122984821563211</v>
      </c>
      <c r="AE22">
        <v>1.0111520959120219</v>
      </c>
      <c r="AF22">
        <v>0.97259071479206438</v>
      </c>
      <c r="AG22">
        <v>0.94126799114793402</v>
      </c>
      <c r="AH22">
        <v>0.92582634827010901</v>
      </c>
      <c r="AI22">
        <v>0.90346963941332048</v>
      </c>
      <c r="AJ22">
        <v>1.0383536302055061</v>
      </c>
      <c r="AK22">
        <v>0.94886111359286418</v>
      </c>
      <c r="AL22">
        <v>0.90089589303073847</v>
      </c>
      <c r="AM22">
        <v>0.91864971976950527</v>
      </c>
      <c r="AN22">
        <v>0.90019013082221655</v>
      </c>
      <c r="AO22">
        <v>0.99138752960244136</v>
      </c>
      <c r="AP22">
        <v>0.92778970409198214</v>
      </c>
      <c r="AQ22">
        <v>0.88246942350821478</v>
      </c>
      <c r="AR22">
        <v>0.90961688902588678</v>
      </c>
      <c r="AS22">
        <v>0.87931433214283705</v>
      </c>
      <c r="AT22">
        <v>0.99218522637304551</v>
      </c>
      <c r="AU22">
        <v>0.8824391138677159</v>
      </c>
      <c r="AV22">
        <v>0.86015399763708966</v>
      </c>
      <c r="AW22" s="1">
        <v>0.87540852769155475</v>
      </c>
      <c r="AX22" s="1">
        <v>0.92541048777575696</v>
      </c>
      <c r="AY22" s="1">
        <v>0.93276028501905006</v>
      </c>
      <c r="AZ22" s="1">
        <v>0.89794118767601894</v>
      </c>
      <c r="BA22" s="1">
        <v>0.90667180631039801</v>
      </c>
      <c r="BB22" s="1">
        <v>0.8960818293052798</v>
      </c>
      <c r="BC22" s="1">
        <v>0.93596495060699181</v>
      </c>
      <c r="BD22" s="1">
        <v>0.92095416039413658</v>
      </c>
    </row>
    <row r="23" spans="1:61" x14ac:dyDescent="0.35">
      <c r="A23" s="4" t="s">
        <v>76</v>
      </c>
      <c r="B23">
        <v>1.6458770814277099</v>
      </c>
      <c r="C23">
        <v>0.74718789742556635</v>
      </c>
      <c r="D23">
        <v>1.489072784755108</v>
      </c>
      <c r="E23">
        <v>1.0836194161292561</v>
      </c>
      <c r="F23">
        <v>-0.63716492414663817</v>
      </c>
      <c r="G23">
        <v>0.80231276196768841</v>
      </c>
      <c r="H23">
        <v>0.56488788096866471</v>
      </c>
      <c r="I23">
        <v>1.1253508885668311</v>
      </c>
      <c r="J23">
        <v>1.405517876833307</v>
      </c>
      <c r="K23">
        <v>0.15732039164213779</v>
      </c>
      <c r="L23">
        <v>-0.12521506059159909</v>
      </c>
      <c r="M23">
        <v>0.67852359119660866</v>
      </c>
      <c r="N23">
        <v>1.0630594758274159</v>
      </c>
      <c r="O23">
        <v>1.596137023909014</v>
      </c>
      <c r="P23">
        <v>-0.58982951462134281</v>
      </c>
      <c r="Q23">
        <v>0.31930787143877593</v>
      </c>
      <c r="R23">
        <v>1.18769176903239</v>
      </c>
      <c r="S23">
        <v>2.0245553803393022</v>
      </c>
      <c r="T23">
        <v>2.4397109431023272</v>
      </c>
      <c r="U23">
        <v>-0.32605264317472898</v>
      </c>
      <c r="V23">
        <v>0.76131700388197554</v>
      </c>
      <c r="W23">
        <v>0.97152704365687237</v>
      </c>
      <c r="X23">
        <v>2.2733805755634662</v>
      </c>
      <c r="Y23">
        <v>3.2825891938814662</v>
      </c>
      <c r="Z23">
        <v>-0.47612709118809438</v>
      </c>
      <c r="AA23">
        <v>0.52945381688320747</v>
      </c>
      <c r="AB23">
        <v>1.1802839991425871</v>
      </c>
      <c r="AC23">
        <v>2.0669290653268861</v>
      </c>
      <c r="AD23">
        <v>2.9692537946091968</v>
      </c>
      <c r="AE23">
        <v>-0.27880239780055383</v>
      </c>
      <c r="AF23">
        <v>0.68523213019839047</v>
      </c>
      <c r="AG23">
        <v>1.4683002213016489</v>
      </c>
      <c r="AH23">
        <v>1.8543412932472749</v>
      </c>
      <c r="AI23">
        <v>2.4132590146669881</v>
      </c>
      <c r="AJ23">
        <v>-0.958840755137641</v>
      </c>
      <c r="AK23">
        <v>1.278472160178395</v>
      </c>
      <c r="AL23">
        <v>2.4776026742315378</v>
      </c>
      <c r="AM23">
        <v>2.033757005762368</v>
      </c>
      <c r="AN23">
        <v>2.4952467294445859</v>
      </c>
      <c r="AO23">
        <v>0.2153117599389659</v>
      </c>
      <c r="AP23">
        <v>1.805257397700446</v>
      </c>
      <c r="AQ23">
        <v>2.9382644122946311</v>
      </c>
      <c r="AR23">
        <v>2.25957777435283</v>
      </c>
      <c r="AS23">
        <v>3.017141696429074</v>
      </c>
      <c r="AT23">
        <v>0.19536934067386211</v>
      </c>
      <c r="AU23">
        <v>2.939022153307103</v>
      </c>
      <c r="AV23">
        <v>3.4961500590727579</v>
      </c>
      <c r="AW23" s="1">
        <v>3.1147868077111309</v>
      </c>
      <c r="AX23" s="1">
        <v>1.8647378056060759</v>
      </c>
      <c r="AY23" s="1">
        <v>1.6809928745237479</v>
      </c>
      <c r="AZ23" s="1">
        <v>2.551470308099526</v>
      </c>
      <c r="BA23" s="1">
        <v>2.33320484224005</v>
      </c>
      <c r="BB23" s="1">
        <v>2.5979542673680052</v>
      </c>
      <c r="BC23" s="1">
        <v>1.600876234825205</v>
      </c>
      <c r="BD23" s="1">
        <v>1.976145990146585</v>
      </c>
    </row>
    <row r="24" spans="1:61" x14ac:dyDescent="0.35">
      <c r="A24" s="4" t="s">
        <v>77</v>
      </c>
      <c r="B24">
        <v>2348</v>
      </c>
      <c r="C24">
        <v>1289</v>
      </c>
      <c r="D24">
        <v>1400</v>
      </c>
      <c r="E24">
        <v>659</v>
      </c>
      <c r="F24">
        <v>3309</v>
      </c>
      <c r="G24">
        <v>3809</v>
      </c>
      <c r="H24">
        <v>1578</v>
      </c>
      <c r="I24">
        <v>2119</v>
      </c>
      <c r="J24">
        <v>675</v>
      </c>
      <c r="K24">
        <v>3517</v>
      </c>
      <c r="L24">
        <v>6886</v>
      </c>
      <c r="M24">
        <v>2541</v>
      </c>
      <c r="N24">
        <v>3523</v>
      </c>
      <c r="O24">
        <v>1339</v>
      </c>
      <c r="P24">
        <v>5612</v>
      </c>
      <c r="Q24">
        <v>7211</v>
      </c>
      <c r="R24">
        <v>2296</v>
      </c>
      <c r="S24">
        <v>4271</v>
      </c>
      <c r="T24">
        <v>1649</v>
      </c>
      <c r="U24">
        <v>4733</v>
      </c>
      <c r="V24">
        <v>5438</v>
      </c>
      <c r="W24">
        <v>1631</v>
      </c>
      <c r="X24">
        <v>3132</v>
      </c>
      <c r="Y24">
        <v>1058</v>
      </c>
      <c r="Z24">
        <v>3650</v>
      </c>
      <c r="AA24">
        <v>5762</v>
      </c>
      <c r="AB24">
        <v>1608</v>
      </c>
      <c r="AC24">
        <v>3130</v>
      </c>
      <c r="AD24">
        <v>979</v>
      </c>
      <c r="AE24">
        <v>3964</v>
      </c>
      <c r="AF24">
        <v>8574</v>
      </c>
      <c r="AG24">
        <v>2811</v>
      </c>
      <c r="AH24">
        <v>4959</v>
      </c>
      <c r="AI24">
        <v>2007</v>
      </c>
      <c r="AJ24">
        <v>6801</v>
      </c>
      <c r="AK24">
        <v>7902</v>
      </c>
      <c r="AL24">
        <v>2741</v>
      </c>
      <c r="AM24">
        <v>4883</v>
      </c>
      <c r="AN24">
        <v>1893</v>
      </c>
      <c r="AO24">
        <v>5693</v>
      </c>
      <c r="AP24">
        <v>6386</v>
      </c>
      <c r="AQ24">
        <v>2289</v>
      </c>
      <c r="AR24">
        <v>3739</v>
      </c>
      <c r="AS24">
        <v>1880</v>
      </c>
      <c r="AT24">
        <v>4517</v>
      </c>
      <c r="AU24">
        <v>4805</v>
      </c>
      <c r="AV24">
        <v>1744</v>
      </c>
      <c r="AW24">
        <v>2876</v>
      </c>
      <c r="AX24">
        <v>1891</v>
      </c>
      <c r="AY24">
        <v>3771</v>
      </c>
      <c r="AZ24">
        <v>1600</v>
      </c>
      <c r="BA24">
        <v>594</v>
      </c>
      <c r="BB24">
        <v>1022</v>
      </c>
      <c r="BC24">
        <v>615</v>
      </c>
      <c r="BD24">
        <v>1213</v>
      </c>
    </row>
  </sheetData>
  <conditionalFormatting sqref="BH3:BH2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E0D16-96A3-44E1-A1DC-D0E36B040D21}">
  <dimension ref="D7:F281"/>
  <sheetViews>
    <sheetView topLeftCell="A7" workbookViewId="0">
      <selection activeCell="D44" sqref="D44"/>
    </sheetView>
  </sheetViews>
  <sheetFormatPr defaultRowHeight="14.5" x14ac:dyDescent="0.35"/>
  <sheetData>
    <row r="7" spans="4:6" x14ac:dyDescent="0.35">
      <c r="D7" t="s">
        <v>149</v>
      </c>
      <c r="E7" t="s">
        <v>127</v>
      </c>
      <c r="F7">
        <v>0.59436276355186102</v>
      </c>
    </row>
    <row r="8" spans="4:6" x14ac:dyDescent="0.35">
      <c r="D8" t="s">
        <v>199</v>
      </c>
      <c r="E8" t="s">
        <v>127</v>
      </c>
      <c r="F8">
        <v>0.58413573575764699</v>
      </c>
    </row>
    <row r="9" spans="4:6" x14ac:dyDescent="0.35">
      <c r="D9" t="s">
        <v>122</v>
      </c>
      <c r="E9" t="s">
        <v>127</v>
      </c>
      <c r="F9">
        <v>0.58828207917666697</v>
      </c>
    </row>
    <row r="10" spans="4:6" x14ac:dyDescent="0.35">
      <c r="D10" t="s">
        <v>153</v>
      </c>
      <c r="E10" t="s">
        <v>127</v>
      </c>
      <c r="F10">
        <v>0.62237092013769602</v>
      </c>
    </row>
    <row r="11" spans="4:6" x14ac:dyDescent="0.35">
      <c r="D11" t="s">
        <v>155</v>
      </c>
      <c r="E11" t="s">
        <v>127</v>
      </c>
      <c r="F11">
        <v>0.55035777550142895</v>
      </c>
    </row>
    <row r="12" spans="4:6" x14ac:dyDescent="0.35">
      <c r="D12" t="s">
        <v>151</v>
      </c>
      <c r="E12" t="s">
        <v>127</v>
      </c>
      <c r="F12">
        <v>0.564677651714378</v>
      </c>
    </row>
    <row r="13" spans="4:6" x14ac:dyDescent="0.35">
      <c r="D13" t="s">
        <v>318</v>
      </c>
      <c r="E13" t="s">
        <v>127</v>
      </c>
      <c r="F13">
        <v>0.55919660609793997</v>
      </c>
    </row>
    <row r="14" spans="4:6" x14ac:dyDescent="0.35">
      <c r="D14" t="s">
        <v>153</v>
      </c>
      <c r="E14" t="s">
        <v>131</v>
      </c>
      <c r="F14">
        <v>0.62960143806402402</v>
      </c>
    </row>
    <row r="15" spans="4:6" x14ac:dyDescent="0.35">
      <c r="D15" t="s">
        <v>149</v>
      </c>
      <c r="E15" t="s">
        <v>131</v>
      </c>
      <c r="F15">
        <v>0.59415849777694096</v>
      </c>
    </row>
    <row r="16" spans="4:6" x14ac:dyDescent="0.35">
      <c r="D16" t="s">
        <v>122</v>
      </c>
      <c r="E16" t="s">
        <v>131</v>
      </c>
      <c r="F16">
        <v>0.59914568731490403</v>
      </c>
    </row>
    <row r="17" spans="4:6" x14ac:dyDescent="0.35">
      <c r="D17" t="s">
        <v>155</v>
      </c>
      <c r="E17" t="s">
        <v>131</v>
      </c>
      <c r="F17">
        <v>0.56760503925226802</v>
      </c>
    </row>
    <row r="18" spans="4:6" x14ac:dyDescent="0.35">
      <c r="D18" t="s">
        <v>199</v>
      </c>
      <c r="E18" t="s">
        <v>131</v>
      </c>
      <c r="F18">
        <v>0.58679747484051503</v>
      </c>
    </row>
    <row r="19" spans="4:6" x14ac:dyDescent="0.35">
      <c r="D19" t="s">
        <v>151</v>
      </c>
      <c r="E19" t="s">
        <v>131</v>
      </c>
      <c r="F19">
        <v>0.57150601155901803</v>
      </c>
    </row>
    <row r="20" spans="4:6" x14ac:dyDescent="0.35">
      <c r="D20" t="s">
        <v>318</v>
      </c>
      <c r="E20" t="s">
        <v>131</v>
      </c>
      <c r="F20">
        <v>0.56486432764452998</v>
      </c>
    </row>
    <row r="21" spans="4:6" x14ac:dyDescent="0.35">
      <c r="D21" t="s">
        <v>149</v>
      </c>
      <c r="E21" t="s">
        <v>130</v>
      </c>
      <c r="F21">
        <v>0.59278107956472503</v>
      </c>
    </row>
    <row r="22" spans="4:6" x14ac:dyDescent="0.35">
      <c r="D22" t="s">
        <v>199</v>
      </c>
      <c r="E22" t="s">
        <v>130</v>
      </c>
      <c r="F22">
        <v>0.58176076622000295</v>
      </c>
    </row>
    <row r="23" spans="4:6" x14ac:dyDescent="0.35">
      <c r="D23" t="s">
        <v>318</v>
      </c>
      <c r="E23" t="s">
        <v>130</v>
      </c>
      <c r="F23">
        <v>0.554920128553966</v>
      </c>
    </row>
    <row r="24" spans="4:6" x14ac:dyDescent="0.35">
      <c r="D24" t="s">
        <v>153</v>
      </c>
      <c r="E24" t="s">
        <v>130</v>
      </c>
      <c r="F24">
        <v>0.61367964060615998</v>
      </c>
    </row>
    <row r="25" spans="4:6" x14ac:dyDescent="0.35">
      <c r="D25" t="s">
        <v>155</v>
      </c>
      <c r="E25" t="s">
        <v>130</v>
      </c>
      <c r="F25">
        <v>0.559572704743595</v>
      </c>
    </row>
    <row r="26" spans="4:6" x14ac:dyDescent="0.35">
      <c r="D26" t="s">
        <v>122</v>
      </c>
      <c r="E26" t="s">
        <v>130</v>
      </c>
      <c r="F26">
        <v>0.587439950665816</v>
      </c>
    </row>
    <row r="27" spans="4:6" x14ac:dyDescent="0.35">
      <c r="D27" t="s">
        <v>151</v>
      </c>
      <c r="E27" t="s">
        <v>130</v>
      </c>
      <c r="F27">
        <v>0.55699311211284097</v>
      </c>
    </row>
    <row r="28" spans="4:6" x14ac:dyDescent="0.35">
      <c r="D28" t="s">
        <v>149</v>
      </c>
      <c r="E28" t="s">
        <v>129</v>
      </c>
      <c r="F28">
        <v>0.58480065555778504</v>
      </c>
    </row>
    <row r="29" spans="4:6" x14ac:dyDescent="0.35">
      <c r="D29" t="s">
        <v>122</v>
      </c>
      <c r="E29" t="s">
        <v>129</v>
      </c>
      <c r="F29">
        <v>0.58872849865285803</v>
      </c>
    </row>
    <row r="30" spans="4:6" x14ac:dyDescent="0.35">
      <c r="D30" t="s">
        <v>155</v>
      </c>
      <c r="E30" t="s">
        <v>129</v>
      </c>
      <c r="F30">
        <v>0.55023857875998905</v>
      </c>
    </row>
    <row r="31" spans="4:6" x14ac:dyDescent="0.35">
      <c r="D31" t="s">
        <v>151</v>
      </c>
      <c r="E31" t="s">
        <v>129</v>
      </c>
      <c r="F31">
        <v>0.55063594494632495</v>
      </c>
    </row>
    <row r="32" spans="4:6" x14ac:dyDescent="0.35">
      <c r="D32" t="s">
        <v>153</v>
      </c>
      <c r="E32" t="s">
        <v>129</v>
      </c>
      <c r="F32">
        <v>0.614556257527342</v>
      </c>
    </row>
    <row r="33" spans="4:6" x14ac:dyDescent="0.35">
      <c r="D33" t="s">
        <v>318</v>
      </c>
      <c r="E33" t="s">
        <v>129</v>
      </c>
      <c r="F33">
        <v>0.55294213880133403</v>
      </c>
    </row>
    <row r="34" spans="4:6" x14ac:dyDescent="0.35">
      <c r="D34" t="s">
        <v>199</v>
      </c>
      <c r="E34" t="s">
        <v>129</v>
      </c>
      <c r="F34">
        <v>0.57625449769549697</v>
      </c>
    </row>
    <row r="35" spans="4:6" x14ac:dyDescent="0.35">
      <c r="D35" t="s">
        <v>153</v>
      </c>
      <c r="E35" t="s">
        <v>128</v>
      </c>
      <c r="F35">
        <v>0.60699831952619299</v>
      </c>
    </row>
    <row r="36" spans="4:6" x14ac:dyDescent="0.35">
      <c r="D36" t="s">
        <v>151</v>
      </c>
      <c r="E36" t="s">
        <v>128</v>
      </c>
      <c r="F36">
        <v>0.54525221466289997</v>
      </c>
    </row>
    <row r="37" spans="4:6" x14ac:dyDescent="0.35">
      <c r="D37" t="s">
        <v>122</v>
      </c>
      <c r="E37" t="s">
        <v>128</v>
      </c>
      <c r="F37">
        <v>0.59854621289262999</v>
      </c>
    </row>
    <row r="38" spans="4:6" x14ac:dyDescent="0.35">
      <c r="D38" t="s">
        <v>149</v>
      </c>
      <c r="E38" t="s">
        <v>128</v>
      </c>
      <c r="F38">
        <v>0.57755300932072895</v>
      </c>
    </row>
    <row r="39" spans="4:6" x14ac:dyDescent="0.35">
      <c r="D39" t="s">
        <v>155</v>
      </c>
      <c r="E39" t="s">
        <v>128</v>
      </c>
      <c r="F39">
        <v>0.56067567557752296</v>
      </c>
    </row>
    <row r="40" spans="4:6" x14ac:dyDescent="0.35">
      <c r="D40" t="s">
        <v>318</v>
      </c>
      <c r="E40" t="s">
        <v>128</v>
      </c>
      <c r="F40">
        <v>0.55348242640965295</v>
      </c>
    </row>
    <row r="41" spans="4:6" x14ac:dyDescent="0.35">
      <c r="D41" t="s">
        <v>199</v>
      </c>
      <c r="E41" t="s">
        <v>128</v>
      </c>
      <c r="F41">
        <v>0.56573289972186003</v>
      </c>
    </row>
    <row r="42" spans="4:6" x14ac:dyDescent="0.35">
      <c r="D42" t="s">
        <v>199</v>
      </c>
      <c r="E42" t="s">
        <v>126</v>
      </c>
      <c r="F42">
        <v>0.56593890699240701</v>
      </c>
    </row>
    <row r="43" spans="4:6" x14ac:dyDescent="0.35">
      <c r="D43" t="s">
        <v>151</v>
      </c>
      <c r="E43" t="s">
        <v>126</v>
      </c>
      <c r="F43">
        <v>0.54577289539896001</v>
      </c>
    </row>
    <row r="44" spans="4:6" x14ac:dyDescent="0.35">
      <c r="D44" t="s">
        <v>318</v>
      </c>
      <c r="E44" t="s">
        <v>126</v>
      </c>
      <c r="F44">
        <v>0.56095064171692499</v>
      </c>
    </row>
    <row r="45" spans="4:6" x14ac:dyDescent="0.35">
      <c r="D45" t="s">
        <v>122</v>
      </c>
      <c r="E45" t="s">
        <v>126</v>
      </c>
      <c r="F45">
        <v>0.58300683746050797</v>
      </c>
    </row>
    <row r="46" spans="4:6" x14ac:dyDescent="0.35">
      <c r="D46" t="s">
        <v>153</v>
      </c>
      <c r="E46" t="s">
        <v>126</v>
      </c>
      <c r="F46">
        <v>0.613749564040041</v>
      </c>
    </row>
    <row r="47" spans="4:6" x14ac:dyDescent="0.35">
      <c r="D47" t="s">
        <v>155</v>
      </c>
      <c r="E47" t="s">
        <v>126</v>
      </c>
      <c r="F47">
        <v>0.55854278982073102</v>
      </c>
    </row>
    <row r="48" spans="4:6" x14ac:dyDescent="0.35">
      <c r="D48" t="s">
        <v>149</v>
      </c>
      <c r="E48" t="s">
        <v>126</v>
      </c>
      <c r="F48">
        <v>0.58431497800276599</v>
      </c>
    </row>
    <row r="49" spans="4:6" x14ac:dyDescent="0.35">
      <c r="D49" t="s">
        <v>318</v>
      </c>
      <c r="E49" t="s">
        <v>160</v>
      </c>
      <c r="F49">
        <v>0.57118249633217599</v>
      </c>
    </row>
    <row r="50" spans="4:6" x14ac:dyDescent="0.35">
      <c r="D50" t="s">
        <v>151</v>
      </c>
      <c r="E50" t="s">
        <v>160</v>
      </c>
      <c r="F50">
        <v>0.52697441723122795</v>
      </c>
    </row>
    <row r="51" spans="4:6" x14ac:dyDescent="0.35">
      <c r="D51" t="s">
        <v>149</v>
      </c>
      <c r="E51" t="s">
        <v>160</v>
      </c>
      <c r="F51">
        <v>0.574505689105965</v>
      </c>
    </row>
    <row r="52" spans="4:6" x14ac:dyDescent="0.35">
      <c r="D52" t="s">
        <v>122</v>
      </c>
      <c r="E52" t="s">
        <v>160</v>
      </c>
      <c r="F52">
        <v>0.54269307946580903</v>
      </c>
    </row>
    <row r="53" spans="4:6" x14ac:dyDescent="0.35">
      <c r="D53" t="s">
        <v>153</v>
      </c>
      <c r="E53" t="s">
        <v>160</v>
      </c>
      <c r="F53">
        <v>0.59579504004816297</v>
      </c>
    </row>
    <row r="54" spans="4:6" x14ac:dyDescent="0.35">
      <c r="D54" t="s">
        <v>199</v>
      </c>
      <c r="E54" t="s">
        <v>160</v>
      </c>
      <c r="F54">
        <v>0.56665477034713596</v>
      </c>
    </row>
    <row r="55" spans="4:6" x14ac:dyDescent="0.35">
      <c r="D55" t="s">
        <v>155</v>
      </c>
      <c r="E55" t="s">
        <v>160</v>
      </c>
      <c r="F55">
        <v>0.53117552457745698</v>
      </c>
    </row>
    <row r="56" spans="4:6" x14ac:dyDescent="0.35">
      <c r="D56" t="s">
        <v>122</v>
      </c>
      <c r="E56" t="s">
        <v>163</v>
      </c>
      <c r="F56">
        <v>0.530500025716233</v>
      </c>
    </row>
    <row r="57" spans="4:6" x14ac:dyDescent="0.35">
      <c r="D57" t="s">
        <v>199</v>
      </c>
      <c r="E57" t="s">
        <v>163</v>
      </c>
      <c r="F57">
        <v>0.57604462644126797</v>
      </c>
    </row>
    <row r="58" spans="4:6" x14ac:dyDescent="0.35">
      <c r="D58" t="s">
        <v>149</v>
      </c>
      <c r="E58" t="s">
        <v>163</v>
      </c>
      <c r="F58">
        <v>0.56728592525181099</v>
      </c>
    </row>
    <row r="59" spans="4:6" x14ac:dyDescent="0.35">
      <c r="D59" t="s">
        <v>155</v>
      </c>
      <c r="E59" t="s">
        <v>163</v>
      </c>
      <c r="F59">
        <v>0.53236886696414498</v>
      </c>
    </row>
    <row r="60" spans="4:6" x14ac:dyDescent="0.35">
      <c r="D60" t="s">
        <v>153</v>
      </c>
      <c r="E60" t="s">
        <v>163</v>
      </c>
      <c r="F60">
        <v>0.59126616284849598</v>
      </c>
    </row>
    <row r="61" spans="4:6" x14ac:dyDescent="0.35">
      <c r="D61" t="s">
        <v>318</v>
      </c>
      <c r="E61" t="s">
        <v>163</v>
      </c>
      <c r="F61">
        <v>0.55201684851492305</v>
      </c>
    </row>
    <row r="62" spans="4:6" x14ac:dyDescent="0.35">
      <c r="D62" t="s">
        <v>151</v>
      </c>
      <c r="E62" t="s">
        <v>163</v>
      </c>
      <c r="F62">
        <v>0.52002296432002304</v>
      </c>
    </row>
    <row r="63" spans="4:6" x14ac:dyDescent="0.35">
      <c r="D63" t="s">
        <v>153</v>
      </c>
      <c r="E63" t="s">
        <v>167</v>
      </c>
      <c r="F63">
        <v>0.57465174722486301</v>
      </c>
    </row>
    <row r="64" spans="4:6" x14ac:dyDescent="0.35">
      <c r="D64" t="s">
        <v>155</v>
      </c>
      <c r="E64" t="s">
        <v>167</v>
      </c>
      <c r="F64">
        <v>0.52588428824566702</v>
      </c>
    </row>
    <row r="65" spans="4:6" x14ac:dyDescent="0.35">
      <c r="D65" t="s">
        <v>122</v>
      </c>
      <c r="E65" t="s">
        <v>167</v>
      </c>
      <c r="F65">
        <v>0.52085975229311599</v>
      </c>
    </row>
    <row r="66" spans="4:6" x14ac:dyDescent="0.35">
      <c r="D66" t="s">
        <v>151</v>
      </c>
      <c r="E66" t="s">
        <v>167</v>
      </c>
      <c r="F66">
        <v>0.51442193516428802</v>
      </c>
    </row>
    <row r="67" spans="4:6" x14ac:dyDescent="0.35">
      <c r="D67" t="s">
        <v>149</v>
      </c>
      <c r="E67" t="s">
        <v>167</v>
      </c>
      <c r="F67">
        <v>0.56049944674753305</v>
      </c>
    </row>
    <row r="68" spans="4:6" x14ac:dyDescent="0.35">
      <c r="D68" t="s">
        <v>199</v>
      </c>
      <c r="E68" t="s">
        <v>167</v>
      </c>
      <c r="F68">
        <v>0.57231115480809303</v>
      </c>
    </row>
    <row r="69" spans="4:6" x14ac:dyDescent="0.35">
      <c r="D69" t="s">
        <v>149</v>
      </c>
      <c r="E69" t="s">
        <v>166</v>
      </c>
      <c r="F69">
        <v>0.55829879217860401</v>
      </c>
    </row>
    <row r="70" spans="4:6" x14ac:dyDescent="0.35">
      <c r="D70" t="s">
        <v>122</v>
      </c>
      <c r="E70" t="s">
        <v>166</v>
      </c>
      <c r="F70">
        <v>0.52922510634230302</v>
      </c>
    </row>
    <row r="71" spans="4:6" x14ac:dyDescent="0.35">
      <c r="D71" t="s">
        <v>199</v>
      </c>
      <c r="E71" t="s">
        <v>166</v>
      </c>
      <c r="F71">
        <v>0.58055106145061297</v>
      </c>
    </row>
    <row r="72" spans="4:6" x14ac:dyDescent="0.35">
      <c r="D72" t="s">
        <v>155</v>
      </c>
      <c r="E72" t="s">
        <v>166</v>
      </c>
      <c r="F72">
        <v>0.53607875740090005</v>
      </c>
    </row>
    <row r="73" spans="4:6" x14ac:dyDescent="0.35">
      <c r="D73" t="s">
        <v>151</v>
      </c>
      <c r="E73" t="s">
        <v>166</v>
      </c>
      <c r="F73">
        <v>0.51574955090833996</v>
      </c>
    </row>
    <row r="74" spans="4:6" x14ac:dyDescent="0.35">
      <c r="D74" t="s">
        <v>153</v>
      </c>
      <c r="E74" t="s">
        <v>166</v>
      </c>
      <c r="F74">
        <v>0.57892092656245797</v>
      </c>
    </row>
    <row r="75" spans="4:6" x14ac:dyDescent="0.35">
      <c r="D75" t="s">
        <v>151</v>
      </c>
      <c r="E75" t="s">
        <v>152</v>
      </c>
      <c r="F75">
        <v>0.51820015909319495</v>
      </c>
    </row>
    <row r="76" spans="4:6" x14ac:dyDescent="0.35">
      <c r="D76" t="s">
        <v>155</v>
      </c>
      <c r="E76" t="s">
        <v>152</v>
      </c>
      <c r="F76">
        <v>0.53367604561667004</v>
      </c>
    </row>
    <row r="77" spans="4:6" x14ac:dyDescent="0.35">
      <c r="D77" t="s">
        <v>149</v>
      </c>
      <c r="E77" t="s">
        <v>152</v>
      </c>
      <c r="F77">
        <v>0.55971360756202704</v>
      </c>
    </row>
    <row r="78" spans="4:6" x14ac:dyDescent="0.35">
      <c r="D78" t="s">
        <v>153</v>
      </c>
      <c r="E78" t="s">
        <v>152</v>
      </c>
      <c r="F78">
        <v>0.571843252473899</v>
      </c>
    </row>
    <row r="79" spans="4:6" x14ac:dyDescent="0.35">
      <c r="D79" t="s">
        <v>199</v>
      </c>
      <c r="E79" t="s">
        <v>152</v>
      </c>
      <c r="F79">
        <v>0.57146276286883602</v>
      </c>
    </row>
    <row r="80" spans="4:6" x14ac:dyDescent="0.35">
      <c r="D80" t="s">
        <v>122</v>
      </c>
      <c r="E80" t="s">
        <v>152</v>
      </c>
      <c r="F80">
        <v>0.51899420725780898</v>
      </c>
    </row>
    <row r="81" spans="4:6" x14ac:dyDescent="0.35">
      <c r="D81" t="s">
        <v>153</v>
      </c>
      <c r="E81" t="s">
        <v>165</v>
      </c>
      <c r="F81">
        <v>0.57200315450196004</v>
      </c>
    </row>
    <row r="82" spans="4:6" x14ac:dyDescent="0.35">
      <c r="D82" t="s">
        <v>199</v>
      </c>
      <c r="E82" t="s">
        <v>165</v>
      </c>
      <c r="F82">
        <v>0.57247221756951205</v>
      </c>
    </row>
    <row r="83" spans="4:6" x14ac:dyDescent="0.35">
      <c r="D83" t="s">
        <v>122</v>
      </c>
      <c r="E83" t="s">
        <v>165</v>
      </c>
      <c r="F83">
        <v>0.51507549708390898</v>
      </c>
    </row>
    <row r="84" spans="4:6" x14ac:dyDescent="0.35">
      <c r="D84" t="s">
        <v>151</v>
      </c>
      <c r="E84" t="s">
        <v>165</v>
      </c>
      <c r="F84">
        <v>0.51735729082897197</v>
      </c>
    </row>
    <row r="85" spans="4:6" x14ac:dyDescent="0.35">
      <c r="D85" t="s">
        <v>155</v>
      </c>
      <c r="E85" t="s">
        <v>165</v>
      </c>
      <c r="F85">
        <v>0.52600557262265102</v>
      </c>
    </row>
    <row r="86" spans="4:6" x14ac:dyDescent="0.35">
      <c r="D86" t="s">
        <v>149</v>
      </c>
      <c r="E86" t="s">
        <v>165</v>
      </c>
      <c r="F86">
        <v>0.55519988313601698</v>
      </c>
    </row>
    <row r="87" spans="4:6" x14ac:dyDescent="0.35">
      <c r="D87" t="s">
        <v>153</v>
      </c>
      <c r="E87" t="s">
        <v>172</v>
      </c>
      <c r="F87">
        <v>0.57073379522323697</v>
      </c>
    </row>
    <row r="88" spans="4:6" x14ac:dyDescent="0.35">
      <c r="D88" t="s">
        <v>151</v>
      </c>
      <c r="E88" t="s">
        <v>172</v>
      </c>
      <c r="F88">
        <v>0.51101433242852501</v>
      </c>
    </row>
    <row r="89" spans="4:6" x14ac:dyDescent="0.35">
      <c r="D89" t="s">
        <v>149</v>
      </c>
      <c r="E89" t="s">
        <v>172</v>
      </c>
      <c r="F89">
        <v>0.55206166860874295</v>
      </c>
    </row>
    <row r="90" spans="4:6" x14ac:dyDescent="0.35">
      <c r="D90" t="s">
        <v>122</v>
      </c>
      <c r="E90" t="s">
        <v>172</v>
      </c>
      <c r="F90">
        <v>0.50648931397214403</v>
      </c>
    </row>
    <row r="91" spans="4:6" x14ac:dyDescent="0.35">
      <c r="D91" t="s">
        <v>155</v>
      </c>
      <c r="E91" t="s">
        <v>172</v>
      </c>
      <c r="F91">
        <v>0.53300188711365404</v>
      </c>
    </row>
    <row r="92" spans="4:6" x14ac:dyDescent="0.35">
      <c r="D92" t="s">
        <v>199</v>
      </c>
      <c r="E92" t="s">
        <v>172</v>
      </c>
      <c r="F92">
        <v>0.56198046033605598</v>
      </c>
    </row>
    <row r="93" spans="4:6" x14ac:dyDescent="0.35">
      <c r="D93" t="s">
        <v>155</v>
      </c>
      <c r="E93" t="s">
        <v>176</v>
      </c>
      <c r="F93">
        <v>0.52270730129437903</v>
      </c>
    </row>
    <row r="94" spans="4:6" x14ac:dyDescent="0.35">
      <c r="D94" t="s">
        <v>153</v>
      </c>
      <c r="E94" t="s">
        <v>176</v>
      </c>
      <c r="F94">
        <v>0.57144027875245995</v>
      </c>
    </row>
    <row r="95" spans="4:6" x14ac:dyDescent="0.35">
      <c r="D95" t="s">
        <v>151</v>
      </c>
      <c r="E95" t="s">
        <v>176</v>
      </c>
      <c r="F95">
        <v>0.51549886228935604</v>
      </c>
    </row>
    <row r="96" spans="4:6" x14ac:dyDescent="0.35">
      <c r="D96" t="s">
        <v>199</v>
      </c>
      <c r="E96" t="s">
        <v>176</v>
      </c>
      <c r="F96">
        <v>0.56739163377780399</v>
      </c>
    </row>
    <row r="97" spans="4:6" x14ac:dyDescent="0.35">
      <c r="D97" t="s">
        <v>149</v>
      </c>
      <c r="E97" t="s">
        <v>176</v>
      </c>
      <c r="F97">
        <v>0.56231509279486502</v>
      </c>
    </row>
    <row r="98" spans="4:6" x14ac:dyDescent="0.35">
      <c r="D98" t="s">
        <v>122</v>
      </c>
      <c r="E98" t="s">
        <v>176</v>
      </c>
      <c r="F98">
        <v>0.49889990539522799</v>
      </c>
    </row>
    <row r="99" spans="4:6" x14ac:dyDescent="0.35">
      <c r="D99" t="s">
        <v>151</v>
      </c>
      <c r="E99" t="s">
        <v>162</v>
      </c>
      <c r="F99">
        <v>0.51263873255562797</v>
      </c>
    </row>
    <row r="100" spans="4:6" x14ac:dyDescent="0.35">
      <c r="D100" t="s">
        <v>122</v>
      </c>
      <c r="E100" t="s">
        <v>162</v>
      </c>
      <c r="F100">
        <v>0.50177017786586597</v>
      </c>
    </row>
    <row r="101" spans="4:6" x14ac:dyDescent="0.35">
      <c r="D101" t="s">
        <v>199</v>
      </c>
      <c r="E101" t="s">
        <v>162</v>
      </c>
      <c r="F101">
        <v>0.56857299393917504</v>
      </c>
    </row>
    <row r="102" spans="4:6" x14ac:dyDescent="0.35">
      <c r="D102" t="s">
        <v>153</v>
      </c>
      <c r="E102" t="s">
        <v>162</v>
      </c>
      <c r="F102">
        <v>0.56842525670058697</v>
      </c>
    </row>
    <row r="103" spans="4:6" x14ac:dyDescent="0.35">
      <c r="D103" t="s">
        <v>149</v>
      </c>
      <c r="E103" t="s">
        <v>162</v>
      </c>
      <c r="F103">
        <v>0.54663132207256904</v>
      </c>
    </row>
    <row r="104" spans="4:6" x14ac:dyDescent="0.35">
      <c r="D104" t="s">
        <v>155</v>
      </c>
      <c r="E104" t="s">
        <v>162</v>
      </c>
      <c r="F104">
        <v>0.51633359752682295</v>
      </c>
    </row>
    <row r="105" spans="4:6" x14ac:dyDescent="0.35">
      <c r="D105" t="s">
        <v>199</v>
      </c>
      <c r="E105" t="s">
        <v>164</v>
      </c>
      <c r="F105">
        <v>0.57625924962126795</v>
      </c>
    </row>
    <row r="106" spans="4:6" x14ac:dyDescent="0.35">
      <c r="D106" t="s">
        <v>149</v>
      </c>
      <c r="E106" t="s">
        <v>164</v>
      </c>
      <c r="F106">
        <v>0.55141297818936896</v>
      </c>
    </row>
    <row r="107" spans="4:6" x14ac:dyDescent="0.35">
      <c r="D107" t="s">
        <v>153</v>
      </c>
      <c r="E107" t="s">
        <v>164</v>
      </c>
      <c r="F107">
        <v>0.57066102963066101</v>
      </c>
    </row>
    <row r="108" spans="4:6" x14ac:dyDescent="0.35">
      <c r="D108" t="s">
        <v>151</v>
      </c>
      <c r="E108" t="s">
        <v>164</v>
      </c>
      <c r="F108">
        <v>0.512472529992818</v>
      </c>
    </row>
    <row r="109" spans="4:6" x14ac:dyDescent="0.35">
      <c r="D109" t="s">
        <v>155</v>
      </c>
      <c r="E109" t="s">
        <v>164</v>
      </c>
      <c r="F109">
        <v>0.50986598125540505</v>
      </c>
    </row>
    <row r="110" spans="4:6" x14ac:dyDescent="0.35">
      <c r="D110" t="s">
        <v>122</v>
      </c>
      <c r="E110" t="s">
        <v>164</v>
      </c>
      <c r="F110">
        <v>0.51590956067075899</v>
      </c>
    </row>
    <row r="111" spans="4:6" x14ac:dyDescent="0.35">
      <c r="D111" t="s">
        <v>153</v>
      </c>
      <c r="E111" t="s">
        <v>178</v>
      </c>
      <c r="F111">
        <v>0.56763081349634503</v>
      </c>
    </row>
    <row r="112" spans="4:6" x14ac:dyDescent="0.35">
      <c r="D112" t="s">
        <v>155</v>
      </c>
      <c r="E112" t="s">
        <v>178</v>
      </c>
      <c r="F112">
        <v>0.52098332031283501</v>
      </c>
    </row>
    <row r="113" spans="4:6" x14ac:dyDescent="0.35">
      <c r="D113" t="s">
        <v>149</v>
      </c>
      <c r="E113" t="s">
        <v>178</v>
      </c>
      <c r="F113">
        <v>0.55199395518498595</v>
      </c>
    </row>
    <row r="114" spans="4:6" x14ac:dyDescent="0.35">
      <c r="D114" t="s">
        <v>199</v>
      </c>
      <c r="E114" t="s">
        <v>178</v>
      </c>
      <c r="F114">
        <v>0.58475474360302604</v>
      </c>
    </row>
    <row r="115" spans="4:6" x14ac:dyDescent="0.35">
      <c r="D115" t="s">
        <v>151</v>
      </c>
      <c r="E115" t="s">
        <v>178</v>
      </c>
      <c r="F115">
        <v>0.51107435933339296</v>
      </c>
    </row>
    <row r="116" spans="4:6" x14ac:dyDescent="0.35">
      <c r="D116" t="s">
        <v>122</v>
      </c>
      <c r="E116" t="s">
        <v>178</v>
      </c>
      <c r="F116">
        <v>0.51955662343184394</v>
      </c>
    </row>
    <row r="117" spans="4:6" x14ac:dyDescent="0.35">
      <c r="D117" t="s">
        <v>155</v>
      </c>
      <c r="E117" t="s">
        <v>168</v>
      </c>
      <c r="F117">
        <v>0.53349664794491902</v>
      </c>
    </row>
    <row r="118" spans="4:6" x14ac:dyDescent="0.35">
      <c r="D118" t="s">
        <v>153</v>
      </c>
      <c r="E118" t="s">
        <v>168</v>
      </c>
      <c r="F118">
        <v>0.57719738804046905</v>
      </c>
    </row>
    <row r="119" spans="4:6" x14ac:dyDescent="0.35">
      <c r="D119" t="s">
        <v>149</v>
      </c>
      <c r="E119" t="s">
        <v>168</v>
      </c>
      <c r="F119">
        <v>0.561007173327151</v>
      </c>
    </row>
    <row r="120" spans="4:6" x14ac:dyDescent="0.35">
      <c r="D120" t="s">
        <v>151</v>
      </c>
      <c r="E120" t="s">
        <v>168</v>
      </c>
      <c r="F120">
        <v>0.51999324548298897</v>
      </c>
    </row>
    <row r="121" spans="4:6" x14ac:dyDescent="0.35">
      <c r="D121" t="s">
        <v>122</v>
      </c>
      <c r="E121" t="s">
        <v>168</v>
      </c>
      <c r="F121">
        <v>0.53685702816172598</v>
      </c>
    </row>
    <row r="122" spans="4:6" x14ac:dyDescent="0.35">
      <c r="D122" t="s">
        <v>199</v>
      </c>
      <c r="E122" t="s">
        <v>168</v>
      </c>
      <c r="F122">
        <v>0.58784263611467802</v>
      </c>
    </row>
    <row r="123" spans="4:6" x14ac:dyDescent="0.35">
      <c r="D123" t="s">
        <v>199</v>
      </c>
      <c r="E123" t="s">
        <v>175</v>
      </c>
      <c r="F123">
        <v>0.599737295594447</v>
      </c>
    </row>
    <row r="124" spans="4:6" x14ac:dyDescent="0.35">
      <c r="D124" t="s">
        <v>153</v>
      </c>
      <c r="E124" t="s">
        <v>175</v>
      </c>
      <c r="F124">
        <v>0.57720210796944205</v>
      </c>
    </row>
    <row r="125" spans="4:6" x14ac:dyDescent="0.35">
      <c r="D125" t="s">
        <v>122</v>
      </c>
      <c r="E125" t="s">
        <v>175</v>
      </c>
      <c r="F125">
        <v>0.53457395719289502</v>
      </c>
    </row>
    <row r="126" spans="4:6" x14ac:dyDescent="0.35">
      <c r="D126" t="s">
        <v>155</v>
      </c>
      <c r="E126" t="s">
        <v>175</v>
      </c>
      <c r="F126">
        <v>0.53442263359568598</v>
      </c>
    </row>
    <row r="127" spans="4:6" x14ac:dyDescent="0.35">
      <c r="D127" t="s">
        <v>151</v>
      </c>
      <c r="E127" t="s">
        <v>175</v>
      </c>
      <c r="F127">
        <v>0.531437805642207</v>
      </c>
    </row>
    <row r="128" spans="4:6" x14ac:dyDescent="0.35">
      <c r="D128" t="s">
        <v>149</v>
      </c>
      <c r="E128" t="s">
        <v>175</v>
      </c>
      <c r="F128">
        <v>0.56688298607282095</v>
      </c>
    </row>
    <row r="129" spans="4:6" x14ac:dyDescent="0.35">
      <c r="D129" t="s">
        <v>151</v>
      </c>
      <c r="E129" t="s">
        <v>181</v>
      </c>
      <c r="F129">
        <v>0.53502125375590603</v>
      </c>
    </row>
    <row r="130" spans="4:6" x14ac:dyDescent="0.35">
      <c r="D130" t="s">
        <v>153</v>
      </c>
      <c r="E130" t="s">
        <v>181</v>
      </c>
      <c r="F130">
        <v>0.58146266931467006</v>
      </c>
    </row>
    <row r="131" spans="4:6" x14ac:dyDescent="0.35">
      <c r="D131" t="s">
        <v>149</v>
      </c>
      <c r="E131" t="s">
        <v>181</v>
      </c>
      <c r="F131">
        <v>0.57434615716745097</v>
      </c>
    </row>
    <row r="132" spans="4:6" x14ac:dyDescent="0.35">
      <c r="D132" t="s">
        <v>122</v>
      </c>
      <c r="E132" t="s">
        <v>181</v>
      </c>
      <c r="F132">
        <v>0.54732995918952099</v>
      </c>
    </row>
    <row r="133" spans="4:6" x14ac:dyDescent="0.35">
      <c r="D133" t="s">
        <v>155</v>
      </c>
      <c r="E133" t="s">
        <v>181</v>
      </c>
      <c r="F133">
        <v>0.53640778522753396</v>
      </c>
    </row>
    <row r="134" spans="4:6" x14ac:dyDescent="0.35">
      <c r="D134" t="s">
        <v>199</v>
      </c>
      <c r="E134" t="s">
        <v>181</v>
      </c>
      <c r="F134">
        <v>0.58996884128918203</v>
      </c>
    </row>
    <row r="135" spans="4:6" x14ac:dyDescent="0.35">
      <c r="D135" t="s">
        <v>151</v>
      </c>
      <c r="E135" t="s">
        <v>185</v>
      </c>
      <c r="F135">
        <v>0.53512282391722199</v>
      </c>
    </row>
    <row r="136" spans="4:6" x14ac:dyDescent="0.35">
      <c r="D136" t="s">
        <v>199</v>
      </c>
      <c r="E136" t="s">
        <v>185</v>
      </c>
      <c r="F136">
        <v>0.58461846322099897</v>
      </c>
    </row>
    <row r="137" spans="4:6" x14ac:dyDescent="0.35">
      <c r="D137" t="s">
        <v>149</v>
      </c>
      <c r="E137" t="s">
        <v>185</v>
      </c>
      <c r="F137">
        <v>0.57188793816116001</v>
      </c>
    </row>
    <row r="138" spans="4:6" x14ac:dyDescent="0.35">
      <c r="D138" t="s">
        <v>153</v>
      </c>
      <c r="E138" t="s">
        <v>185</v>
      </c>
      <c r="F138">
        <v>0.57734753748521395</v>
      </c>
    </row>
    <row r="139" spans="4:6" x14ac:dyDescent="0.35">
      <c r="D139" t="s">
        <v>155</v>
      </c>
      <c r="E139" t="s">
        <v>185</v>
      </c>
      <c r="F139">
        <v>0.54479523514189798</v>
      </c>
    </row>
    <row r="140" spans="4:6" x14ac:dyDescent="0.35">
      <c r="D140" t="s">
        <v>122</v>
      </c>
      <c r="E140" t="s">
        <v>185</v>
      </c>
      <c r="F140">
        <v>0.53625190949614898</v>
      </c>
    </row>
    <row r="141" spans="4:6" x14ac:dyDescent="0.35">
      <c r="D141" t="s">
        <v>151</v>
      </c>
      <c r="E141" t="s">
        <v>177</v>
      </c>
      <c r="F141">
        <v>0.543619236051893</v>
      </c>
    </row>
    <row r="142" spans="4:6" x14ac:dyDescent="0.35">
      <c r="D142" t="s">
        <v>122</v>
      </c>
      <c r="E142" t="s">
        <v>177</v>
      </c>
      <c r="F142">
        <v>0.53480632420455299</v>
      </c>
    </row>
    <row r="143" spans="4:6" x14ac:dyDescent="0.35">
      <c r="D143" t="s">
        <v>199</v>
      </c>
      <c r="E143" t="s">
        <v>177</v>
      </c>
      <c r="F143">
        <v>0.58322034005691803</v>
      </c>
    </row>
    <row r="144" spans="4:6" x14ac:dyDescent="0.35">
      <c r="D144" t="s">
        <v>153</v>
      </c>
      <c r="E144" t="s">
        <v>177</v>
      </c>
      <c r="F144">
        <v>0.58326443227826796</v>
      </c>
    </row>
    <row r="145" spans="4:6" x14ac:dyDescent="0.35">
      <c r="D145" t="s">
        <v>149</v>
      </c>
      <c r="E145" t="s">
        <v>177</v>
      </c>
      <c r="F145">
        <v>0.57671555354732595</v>
      </c>
    </row>
    <row r="146" spans="4:6" x14ac:dyDescent="0.35">
      <c r="D146" t="s">
        <v>155</v>
      </c>
      <c r="E146" t="s">
        <v>177</v>
      </c>
      <c r="F146">
        <v>0.54061426052441297</v>
      </c>
    </row>
    <row r="147" spans="4:6" x14ac:dyDescent="0.35">
      <c r="D147" t="s">
        <v>199</v>
      </c>
      <c r="E147" t="s">
        <v>180</v>
      </c>
      <c r="F147">
        <v>0.57821020904973297</v>
      </c>
    </row>
    <row r="148" spans="4:6" x14ac:dyDescent="0.35">
      <c r="D148" t="s">
        <v>155</v>
      </c>
      <c r="E148" t="s">
        <v>180</v>
      </c>
      <c r="F148">
        <v>0.53381971491466296</v>
      </c>
    </row>
    <row r="149" spans="4:6" x14ac:dyDescent="0.35">
      <c r="D149" t="s">
        <v>153</v>
      </c>
      <c r="E149" t="s">
        <v>180</v>
      </c>
      <c r="F149">
        <v>0.57910933389213803</v>
      </c>
    </row>
    <row r="150" spans="4:6" x14ac:dyDescent="0.35">
      <c r="D150" t="s">
        <v>151</v>
      </c>
      <c r="E150" t="s">
        <v>180</v>
      </c>
      <c r="F150">
        <v>0.53195179519310098</v>
      </c>
    </row>
    <row r="151" spans="4:6" x14ac:dyDescent="0.35">
      <c r="D151" t="s">
        <v>149</v>
      </c>
      <c r="E151" t="s">
        <v>180</v>
      </c>
      <c r="F151">
        <v>0.56787679000543601</v>
      </c>
    </row>
    <row r="152" spans="4:6" x14ac:dyDescent="0.35">
      <c r="D152" t="s">
        <v>122</v>
      </c>
      <c r="E152" t="s">
        <v>180</v>
      </c>
      <c r="F152">
        <v>0.53843073965941202</v>
      </c>
    </row>
    <row r="153" spans="4:6" x14ac:dyDescent="0.35">
      <c r="D153" t="s">
        <v>153</v>
      </c>
      <c r="E153" t="s">
        <v>161</v>
      </c>
      <c r="F153">
        <v>0.57193479267113401</v>
      </c>
    </row>
    <row r="154" spans="4:6" x14ac:dyDescent="0.35">
      <c r="D154" t="s">
        <v>122</v>
      </c>
      <c r="E154" t="s">
        <v>161</v>
      </c>
      <c r="F154">
        <v>0.53302234758422395</v>
      </c>
    </row>
    <row r="155" spans="4:6" x14ac:dyDescent="0.35">
      <c r="D155" t="s">
        <v>155</v>
      </c>
      <c r="E155" t="s">
        <v>161</v>
      </c>
      <c r="F155">
        <v>0.52226159908934799</v>
      </c>
    </row>
    <row r="156" spans="4:6" x14ac:dyDescent="0.35">
      <c r="D156" t="s">
        <v>151</v>
      </c>
      <c r="E156" t="s">
        <v>161</v>
      </c>
      <c r="F156">
        <v>0.52997622889185303</v>
      </c>
    </row>
    <row r="157" spans="4:6" x14ac:dyDescent="0.35">
      <c r="D157" t="s">
        <v>149</v>
      </c>
      <c r="E157" t="s">
        <v>161</v>
      </c>
      <c r="F157">
        <v>0.56044237868880897</v>
      </c>
    </row>
    <row r="158" spans="4:6" x14ac:dyDescent="0.35">
      <c r="D158" t="s">
        <v>199</v>
      </c>
      <c r="E158" t="s">
        <v>161</v>
      </c>
      <c r="F158">
        <v>0.58403514682440105</v>
      </c>
    </row>
    <row r="159" spans="4:6" x14ac:dyDescent="0.35">
      <c r="D159" t="s">
        <v>151</v>
      </c>
      <c r="E159" t="s">
        <v>171</v>
      </c>
      <c r="F159">
        <v>0.52638259684488997</v>
      </c>
    </row>
    <row r="160" spans="4:6" x14ac:dyDescent="0.35">
      <c r="D160" t="s">
        <v>149</v>
      </c>
      <c r="E160" t="s">
        <v>171</v>
      </c>
      <c r="F160">
        <v>0.56244334819563302</v>
      </c>
    </row>
    <row r="161" spans="4:6" x14ac:dyDescent="0.35">
      <c r="D161" t="s">
        <v>155</v>
      </c>
      <c r="E161" t="s">
        <v>171</v>
      </c>
      <c r="F161">
        <v>0.52198704813376096</v>
      </c>
    </row>
    <row r="162" spans="4:6" x14ac:dyDescent="0.35">
      <c r="D162" t="s">
        <v>199</v>
      </c>
      <c r="E162" t="s">
        <v>171</v>
      </c>
      <c r="F162">
        <v>0.57793670778123596</v>
      </c>
    </row>
    <row r="163" spans="4:6" x14ac:dyDescent="0.35">
      <c r="D163" t="s">
        <v>153</v>
      </c>
      <c r="E163" t="s">
        <v>171</v>
      </c>
      <c r="F163">
        <v>0.57208362831231796</v>
      </c>
    </row>
    <row r="164" spans="4:6" x14ac:dyDescent="0.35">
      <c r="D164" t="s">
        <v>122</v>
      </c>
      <c r="E164" t="s">
        <v>171</v>
      </c>
      <c r="F164">
        <v>0.52643025586661896</v>
      </c>
    </row>
    <row r="165" spans="4:6" x14ac:dyDescent="0.35">
      <c r="D165" t="s">
        <v>149</v>
      </c>
      <c r="E165" t="s">
        <v>169</v>
      </c>
      <c r="F165">
        <v>0.563036981450737</v>
      </c>
    </row>
    <row r="166" spans="4:6" x14ac:dyDescent="0.35">
      <c r="D166" t="s">
        <v>199</v>
      </c>
      <c r="E166" t="s">
        <v>169</v>
      </c>
      <c r="F166">
        <v>0.58409481452409195</v>
      </c>
    </row>
    <row r="167" spans="4:6" x14ac:dyDescent="0.35">
      <c r="D167" t="s">
        <v>153</v>
      </c>
      <c r="E167" t="s">
        <v>169</v>
      </c>
      <c r="F167">
        <v>0.57360865502001601</v>
      </c>
    </row>
    <row r="168" spans="4:6" x14ac:dyDescent="0.35">
      <c r="D168" t="s">
        <v>155</v>
      </c>
      <c r="E168" t="s">
        <v>169</v>
      </c>
      <c r="F168">
        <v>0.52605551160039499</v>
      </c>
    </row>
    <row r="169" spans="4:6" x14ac:dyDescent="0.35">
      <c r="D169" t="s">
        <v>151</v>
      </c>
      <c r="E169" t="s">
        <v>169</v>
      </c>
      <c r="F169">
        <v>0.52718810830052598</v>
      </c>
    </row>
    <row r="170" spans="4:6" x14ac:dyDescent="0.35">
      <c r="D170" t="s">
        <v>122</v>
      </c>
      <c r="E170" t="s">
        <v>169</v>
      </c>
      <c r="F170">
        <v>0.53852857978757995</v>
      </c>
    </row>
    <row r="171" spans="4:6" x14ac:dyDescent="0.35">
      <c r="D171" t="s">
        <v>151</v>
      </c>
      <c r="E171" t="s">
        <v>159</v>
      </c>
      <c r="F171">
        <v>0.51847381745684995</v>
      </c>
    </row>
    <row r="172" spans="4:6" x14ac:dyDescent="0.35">
      <c r="D172" t="s">
        <v>155</v>
      </c>
      <c r="E172" t="s">
        <v>159</v>
      </c>
      <c r="F172">
        <v>0.52840820048400905</v>
      </c>
    </row>
    <row r="173" spans="4:6" x14ac:dyDescent="0.35">
      <c r="D173" t="s">
        <v>153</v>
      </c>
      <c r="E173" t="s">
        <v>159</v>
      </c>
      <c r="F173">
        <v>0.57193775782012202</v>
      </c>
    </row>
    <row r="174" spans="4:6" x14ac:dyDescent="0.35">
      <c r="D174" t="s">
        <v>199</v>
      </c>
      <c r="E174" t="s">
        <v>159</v>
      </c>
      <c r="F174">
        <v>0.58845120938682405</v>
      </c>
    </row>
    <row r="175" spans="4:6" x14ac:dyDescent="0.35">
      <c r="D175" t="s">
        <v>149</v>
      </c>
      <c r="E175" t="s">
        <v>159</v>
      </c>
      <c r="F175">
        <v>0.56293616301188898</v>
      </c>
    </row>
    <row r="176" spans="4:6" x14ac:dyDescent="0.35">
      <c r="D176" t="s">
        <v>149</v>
      </c>
      <c r="E176" t="s">
        <v>148</v>
      </c>
      <c r="F176">
        <v>0.56714135353476502</v>
      </c>
    </row>
    <row r="177" spans="4:6" x14ac:dyDescent="0.35">
      <c r="D177" t="s">
        <v>153</v>
      </c>
      <c r="E177" t="s">
        <v>148</v>
      </c>
      <c r="F177">
        <v>0.57197334541797096</v>
      </c>
    </row>
    <row r="178" spans="4:6" x14ac:dyDescent="0.35">
      <c r="D178" t="s">
        <v>199</v>
      </c>
      <c r="E178" t="s">
        <v>148</v>
      </c>
      <c r="F178">
        <v>0.590116349515306</v>
      </c>
    </row>
    <row r="179" spans="4:6" x14ac:dyDescent="0.35">
      <c r="D179" t="s">
        <v>155</v>
      </c>
      <c r="E179" t="s">
        <v>148</v>
      </c>
      <c r="F179">
        <v>0.53745315705358299</v>
      </c>
    </row>
    <row r="180" spans="4:6" x14ac:dyDescent="0.35">
      <c r="D180" t="s">
        <v>151</v>
      </c>
      <c r="E180" t="s">
        <v>148</v>
      </c>
      <c r="F180">
        <v>0.51089436573232505</v>
      </c>
    </row>
    <row r="181" spans="4:6" x14ac:dyDescent="0.35">
      <c r="D181" t="s">
        <v>151</v>
      </c>
      <c r="E181" t="s">
        <v>174</v>
      </c>
      <c r="F181">
        <v>0.50842382997787605</v>
      </c>
    </row>
    <row r="182" spans="4:6" x14ac:dyDescent="0.35">
      <c r="D182" t="s">
        <v>199</v>
      </c>
      <c r="E182" t="s">
        <v>174</v>
      </c>
      <c r="F182">
        <v>0.58705713542165205</v>
      </c>
    </row>
    <row r="183" spans="4:6" x14ac:dyDescent="0.35">
      <c r="D183" t="s">
        <v>153</v>
      </c>
      <c r="E183" t="s">
        <v>174</v>
      </c>
      <c r="F183">
        <v>0.56919589366108403</v>
      </c>
    </row>
    <row r="184" spans="4:6" x14ac:dyDescent="0.35">
      <c r="D184" t="s">
        <v>149</v>
      </c>
      <c r="E184" t="s">
        <v>174</v>
      </c>
      <c r="F184">
        <v>0.55558113369039397</v>
      </c>
    </row>
    <row r="185" spans="4:6" x14ac:dyDescent="0.35">
      <c r="D185" t="s">
        <v>155</v>
      </c>
      <c r="E185" t="s">
        <v>174</v>
      </c>
      <c r="F185">
        <v>0.55024467323404003</v>
      </c>
    </row>
    <row r="186" spans="4:6" x14ac:dyDescent="0.35">
      <c r="D186" t="s">
        <v>149</v>
      </c>
      <c r="E186" t="s">
        <v>154</v>
      </c>
      <c r="F186">
        <v>0.55853779142680204</v>
      </c>
    </row>
    <row r="187" spans="4:6" x14ac:dyDescent="0.35">
      <c r="D187" t="s">
        <v>199</v>
      </c>
      <c r="E187" t="s">
        <v>154</v>
      </c>
      <c r="F187">
        <v>0.59179607435171799</v>
      </c>
    </row>
    <row r="188" spans="4:6" x14ac:dyDescent="0.35">
      <c r="D188" t="s">
        <v>153</v>
      </c>
      <c r="E188" t="s">
        <v>154</v>
      </c>
      <c r="F188">
        <v>0.56771224851083502</v>
      </c>
    </row>
    <row r="189" spans="4:6" x14ac:dyDescent="0.35">
      <c r="D189" t="s">
        <v>155</v>
      </c>
      <c r="E189" t="s">
        <v>154</v>
      </c>
      <c r="F189">
        <v>0.54972046909142502</v>
      </c>
    </row>
    <row r="190" spans="4:6" x14ac:dyDescent="0.35">
      <c r="D190" t="s">
        <v>151</v>
      </c>
      <c r="E190" t="s">
        <v>154</v>
      </c>
      <c r="F190">
        <v>0.51168732163622199</v>
      </c>
    </row>
    <row r="191" spans="4:6" x14ac:dyDescent="0.35">
      <c r="D191" t="s">
        <v>151</v>
      </c>
      <c r="E191" t="s">
        <v>170</v>
      </c>
      <c r="F191">
        <v>0.50646201986772899</v>
      </c>
    </row>
    <row r="192" spans="4:6" x14ac:dyDescent="0.35">
      <c r="D192" t="s">
        <v>155</v>
      </c>
      <c r="E192" t="s">
        <v>170</v>
      </c>
      <c r="F192">
        <v>0.55025048746845595</v>
      </c>
    </row>
    <row r="193" spans="4:6" x14ac:dyDescent="0.35">
      <c r="D193" t="s">
        <v>153</v>
      </c>
      <c r="E193" t="s">
        <v>170</v>
      </c>
      <c r="F193">
        <v>0.57067761617031998</v>
      </c>
    </row>
    <row r="194" spans="4:6" x14ac:dyDescent="0.35">
      <c r="D194" t="s">
        <v>149</v>
      </c>
      <c r="E194" t="s">
        <v>170</v>
      </c>
      <c r="F194">
        <v>0.55888612778540803</v>
      </c>
    </row>
    <row r="195" spans="4:6" x14ac:dyDescent="0.35">
      <c r="D195" t="s">
        <v>199</v>
      </c>
      <c r="E195" t="s">
        <v>170</v>
      </c>
      <c r="F195">
        <v>0.59365258042745195</v>
      </c>
    </row>
    <row r="196" spans="4:6" x14ac:dyDescent="0.35">
      <c r="D196" t="s">
        <v>199</v>
      </c>
      <c r="E196" t="s">
        <v>157</v>
      </c>
      <c r="F196">
        <v>0.59200020796417496</v>
      </c>
    </row>
    <row r="197" spans="4:6" x14ac:dyDescent="0.35">
      <c r="D197" t="s">
        <v>151</v>
      </c>
      <c r="E197" t="s">
        <v>157</v>
      </c>
      <c r="F197">
        <v>0.50809336946442196</v>
      </c>
    </row>
    <row r="198" spans="4:6" x14ac:dyDescent="0.35">
      <c r="D198" t="s">
        <v>153</v>
      </c>
      <c r="E198" t="s">
        <v>157</v>
      </c>
      <c r="F198">
        <v>0.57071044027398998</v>
      </c>
    </row>
    <row r="199" spans="4:6" x14ac:dyDescent="0.35">
      <c r="D199" t="s">
        <v>155</v>
      </c>
      <c r="E199" t="s">
        <v>157</v>
      </c>
      <c r="F199">
        <v>0.557410869164779</v>
      </c>
    </row>
    <row r="200" spans="4:6" x14ac:dyDescent="0.35">
      <c r="D200" t="s">
        <v>149</v>
      </c>
      <c r="E200" t="s">
        <v>157</v>
      </c>
      <c r="F200">
        <v>0.55962199608018104</v>
      </c>
    </row>
    <row r="201" spans="4:6" x14ac:dyDescent="0.35">
      <c r="D201" t="s">
        <v>153</v>
      </c>
      <c r="E201" t="s">
        <v>150</v>
      </c>
      <c r="F201">
        <v>0.56948218176237497</v>
      </c>
    </row>
    <row r="202" spans="4:6" x14ac:dyDescent="0.35">
      <c r="D202" t="s">
        <v>199</v>
      </c>
      <c r="E202" t="s">
        <v>150</v>
      </c>
      <c r="F202">
        <v>0.59235580034055202</v>
      </c>
    </row>
    <row r="203" spans="4:6" x14ac:dyDescent="0.35">
      <c r="D203" t="s">
        <v>149</v>
      </c>
      <c r="E203" t="s">
        <v>150</v>
      </c>
      <c r="F203">
        <v>0.55959279431780495</v>
      </c>
    </row>
    <row r="204" spans="4:6" x14ac:dyDescent="0.35">
      <c r="D204" t="s">
        <v>151</v>
      </c>
      <c r="E204" t="s">
        <v>150</v>
      </c>
      <c r="F204">
        <v>0.50659613398676795</v>
      </c>
    </row>
    <row r="205" spans="4:6" x14ac:dyDescent="0.35">
      <c r="D205" t="s">
        <v>155</v>
      </c>
      <c r="E205" t="s">
        <v>150</v>
      </c>
      <c r="F205">
        <v>0.55401396100824596</v>
      </c>
    </row>
    <row r="206" spans="4:6" x14ac:dyDescent="0.35">
      <c r="D206" t="s">
        <v>153</v>
      </c>
      <c r="E206" t="s">
        <v>173</v>
      </c>
      <c r="F206">
        <v>0.57675518213896504</v>
      </c>
    </row>
    <row r="207" spans="4:6" x14ac:dyDescent="0.35">
      <c r="D207" t="s">
        <v>199</v>
      </c>
      <c r="E207" t="s">
        <v>173</v>
      </c>
      <c r="F207">
        <v>0.59717737104975299</v>
      </c>
    </row>
    <row r="208" spans="4:6" x14ac:dyDescent="0.35">
      <c r="D208" t="s">
        <v>149</v>
      </c>
      <c r="E208" t="s">
        <v>173</v>
      </c>
      <c r="F208">
        <v>0.56398332209375301</v>
      </c>
    </row>
    <row r="209" spans="4:6" x14ac:dyDescent="0.35">
      <c r="D209" t="s">
        <v>155</v>
      </c>
      <c r="E209" t="s">
        <v>173</v>
      </c>
      <c r="F209">
        <v>0.55714200179914997</v>
      </c>
    </row>
    <row r="210" spans="4:6" x14ac:dyDescent="0.35">
      <c r="D210" t="s">
        <v>151</v>
      </c>
      <c r="E210" t="s">
        <v>173</v>
      </c>
      <c r="F210">
        <v>0.51002307112383805</v>
      </c>
    </row>
    <row r="211" spans="4:6" x14ac:dyDescent="0.35">
      <c r="D211" t="s">
        <v>155</v>
      </c>
      <c r="E211" t="s">
        <v>186</v>
      </c>
      <c r="F211">
        <v>0.55113366857081003</v>
      </c>
    </row>
    <row r="212" spans="4:6" x14ac:dyDescent="0.35">
      <c r="D212" t="s">
        <v>153</v>
      </c>
      <c r="E212" t="s">
        <v>186</v>
      </c>
      <c r="F212">
        <v>0.57518052239449702</v>
      </c>
    </row>
    <row r="213" spans="4:6" x14ac:dyDescent="0.35">
      <c r="D213" t="s">
        <v>149</v>
      </c>
      <c r="E213" t="s">
        <v>186</v>
      </c>
      <c r="F213">
        <v>0.56268994184261401</v>
      </c>
    </row>
    <row r="214" spans="4:6" x14ac:dyDescent="0.35">
      <c r="D214" t="s">
        <v>199</v>
      </c>
      <c r="E214" t="s">
        <v>186</v>
      </c>
      <c r="F214">
        <v>0.59719755483652404</v>
      </c>
    </row>
    <row r="215" spans="4:6" x14ac:dyDescent="0.35">
      <c r="D215" t="s">
        <v>151</v>
      </c>
      <c r="E215" t="s">
        <v>186</v>
      </c>
      <c r="F215">
        <v>0.51160614990613895</v>
      </c>
    </row>
    <row r="216" spans="4:6" x14ac:dyDescent="0.35">
      <c r="D216" t="s">
        <v>149</v>
      </c>
      <c r="E216" t="s">
        <v>179</v>
      </c>
      <c r="F216">
        <v>0.56493487463660197</v>
      </c>
    </row>
    <row r="217" spans="4:6" x14ac:dyDescent="0.35">
      <c r="D217" t="s">
        <v>199</v>
      </c>
      <c r="E217" t="s">
        <v>179</v>
      </c>
      <c r="F217">
        <v>0.59406825233676697</v>
      </c>
    </row>
    <row r="218" spans="4:6" x14ac:dyDescent="0.35">
      <c r="D218" t="s">
        <v>153</v>
      </c>
      <c r="E218" t="s">
        <v>179</v>
      </c>
      <c r="F218">
        <v>0.57464530262596802</v>
      </c>
    </row>
    <row r="219" spans="4:6" x14ac:dyDescent="0.35">
      <c r="D219" t="s">
        <v>155</v>
      </c>
      <c r="E219" t="s">
        <v>179</v>
      </c>
      <c r="F219">
        <v>0.54198337524296103</v>
      </c>
    </row>
    <row r="220" spans="4:6" x14ac:dyDescent="0.35">
      <c r="D220" t="s">
        <v>151</v>
      </c>
      <c r="E220" t="s">
        <v>179</v>
      </c>
      <c r="F220">
        <v>0.512878593594712</v>
      </c>
    </row>
    <row r="221" spans="4:6" x14ac:dyDescent="0.35">
      <c r="D221" t="s">
        <v>151</v>
      </c>
      <c r="E221" t="s">
        <v>184</v>
      </c>
      <c r="F221">
        <v>0.50788241262177203</v>
      </c>
    </row>
    <row r="222" spans="4:6" x14ac:dyDescent="0.35">
      <c r="D222" t="s">
        <v>149</v>
      </c>
      <c r="E222" t="s">
        <v>184</v>
      </c>
      <c r="F222">
        <v>0.5579537351353</v>
      </c>
    </row>
    <row r="223" spans="4:6" x14ac:dyDescent="0.35">
      <c r="D223" t="s">
        <v>155</v>
      </c>
      <c r="E223" t="s">
        <v>184</v>
      </c>
      <c r="F223">
        <v>0.53667066444359401</v>
      </c>
    </row>
    <row r="224" spans="4:6" x14ac:dyDescent="0.35">
      <c r="D224" t="s">
        <v>199</v>
      </c>
      <c r="E224" t="s">
        <v>184</v>
      </c>
      <c r="F224">
        <v>0.59341316860557403</v>
      </c>
    </row>
    <row r="225" spans="4:6" x14ac:dyDescent="0.35">
      <c r="D225" t="s">
        <v>153</v>
      </c>
      <c r="E225" t="s">
        <v>184</v>
      </c>
      <c r="F225">
        <v>0.57082445029161799</v>
      </c>
    </row>
    <row r="226" spans="4:6" x14ac:dyDescent="0.35">
      <c r="D226" t="s">
        <v>151</v>
      </c>
      <c r="E226" t="s">
        <v>156</v>
      </c>
      <c r="F226">
        <v>0.513304898807599</v>
      </c>
    </row>
    <row r="227" spans="4:6" x14ac:dyDescent="0.35">
      <c r="D227" t="s">
        <v>149</v>
      </c>
      <c r="E227" t="s">
        <v>156</v>
      </c>
      <c r="F227">
        <v>0.56829813455968003</v>
      </c>
    </row>
    <row r="228" spans="4:6" x14ac:dyDescent="0.35">
      <c r="D228" t="s">
        <v>155</v>
      </c>
      <c r="E228" t="s">
        <v>156</v>
      </c>
      <c r="F228">
        <v>0.53125692697447902</v>
      </c>
    </row>
    <row r="229" spans="4:6" x14ac:dyDescent="0.35">
      <c r="D229" t="s">
        <v>199</v>
      </c>
      <c r="E229" t="s">
        <v>156</v>
      </c>
      <c r="F229">
        <v>0.60461494850146102</v>
      </c>
    </row>
    <row r="230" spans="4:6" x14ac:dyDescent="0.35">
      <c r="D230" t="s">
        <v>153</v>
      </c>
      <c r="E230" t="s">
        <v>156</v>
      </c>
      <c r="F230">
        <v>0.57359403138602405</v>
      </c>
    </row>
    <row r="231" spans="4:6" x14ac:dyDescent="0.35">
      <c r="D231" t="s">
        <v>149</v>
      </c>
      <c r="E231" t="s">
        <v>182</v>
      </c>
      <c r="F231">
        <v>0.56793935773141402</v>
      </c>
    </row>
    <row r="232" spans="4:6" x14ac:dyDescent="0.35">
      <c r="D232" t="s">
        <v>151</v>
      </c>
      <c r="E232" t="s">
        <v>182</v>
      </c>
      <c r="F232">
        <v>0.51392103505652798</v>
      </c>
    </row>
    <row r="233" spans="4:6" x14ac:dyDescent="0.35">
      <c r="D233" t="s">
        <v>199</v>
      </c>
      <c r="E233" t="s">
        <v>182</v>
      </c>
      <c r="F233">
        <v>0.600074398421508</v>
      </c>
    </row>
    <row r="234" spans="4:6" x14ac:dyDescent="0.35">
      <c r="D234" t="s">
        <v>155</v>
      </c>
      <c r="E234" t="s">
        <v>182</v>
      </c>
      <c r="F234">
        <v>0.51914955590378997</v>
      </c>
    </row>
    <row r="235" spans="4:6" x14ac:dyDescent="0.35">
      <c r="D235" t="s">
        <v>153</v>
      </c>
      <c r="E235" t="s">
        <v>182</v>
      </c>
      <c r="F235">
        <v>0.57439844668765505</v>
      </c>
    </row>
    <row r="236" spans="4:6" x14ac:dyDescent="0.35">
      <c r="D236" t="s">
        <v>149</v>
      </c>
      <c r="E236" t="s">
        <v>158</v>
      </c>
      <c r="F236">
        <v>0.56054119363583799</v>
      </c>
    </row>
    <row r="237" spans="4:6" x14ac:dyDescent="0.35">
      <c r="D237" t="s">
        <v>155</v>
      </c>
      <c r="E237" t="s">
        <v>158</v>
      </c>
      <c r="F237">
        <v>0.51719084039830099</v>
      </c>
    </row>
    <row r="238" spans="4:6" x14ac:dyDescent="0.35">
      <c r="D238" t="s">
        <v>199</v>
      </c>
      <c r="E238" t="s">
        <v>158</v>
      </c>
      <c r="F238">
        <v>0.60395677020146099</v>
      </c>
    </row>
    <row r="239" spans="4:6" x14ac:dyDescent="0.35">
      <c r="D239" t="s">
        <v>153</v>
      </c>
      <c r="E239" t="s">
        <v>158</v>
      </c>
      <c r="F239">
        <v>0.57072879817482602</v>
      </c>
    </row>
    <row r="240" spans="4:6" x14ac:dyDescent="0.35">
      <c r="D240" t="s">
        <v>151</v>
      </c>
      <c r="E240" t="s">
        <v>158</v>
      </c>
      <c r="F240">
        <v>0.512343805590874</v>
      </c>
    </row>
    <row r="241" spans="4:6" x14ac:dyDescent="0.35">
      <c r="D241" t="s">
        <v>155</v>
      </c>
      <c r="E241" t="s">
        <v>183</v>
      </c>
      <c r="F241">
        <v>0.53066854962417398</v>
      </c>
    </row>
    <row r="242" spans="4:6" x14ac:dyDescent="0.35">
      <c r="D242" t="s">
        <v>199</v>
      </c>
      <c r="E242" t="s">
        <v>183</v>
      </c>
      <c r="F242">
        <v>0.60094491192480903</v>
      </c>
    </row>
    <row r="243" spans="4:6" x14ac:dyDescent="0.35">
      <c r="D243" t="s">
        <v>151</v>
      </c>
      <c r="E243" t="s">
        <v>183</v>
      </c>
      <c r="F243">
        <v>0.50837649714302802</v>
      </c>
    </row>
    <row r="244" spans="4:6" x14ac:dyDescent="0.35">
      <c r="D244" t="s">
        <v>149</v>
      </c>
      <c r="E244" t="s">
        <v>183</v>
      </c>
      <c r="F244">
        <v>0.55248922203796103</v>
      </c>
    </row>
    <row r="245" spans="4:6" x14ac:dyDescent="0.35">
      <c r="D245" t="s">
        <v>153</v>
      </c>
      <c r="E245" t="s">
        <v>183</v>
      </c>
      <c r="F245">
        <v>0.56560239308702398</v>
      </c>
    </row>
    <row r="246" spans="4:6" x14ac:dyDescent="0.35">
      <c r="D246" t="s">
        <v>153</v>
      </c>
      <c r="E246" t="s">
        <v>319</v>
      </c>
      <c r="F246">
        <v>0.56995750249210597</v>
      </c>
    </row>
    <row r="247" spans="4:6" x14ac:dyDescent="0.35">
      <c r="D247" t="s">
        <v>155</v>
      </c>
      <c r="E247" t="s">
        <v>319</v>
      </c>
      <c r="F247">
        <v>0.53055955849830005</v>
      </c>
    </row>
    <row r="248" spans="4:6" x14ac:dyDescent="0.35">
      <c r="D248" t="s">
        <v>149</v>
      </c>
      <c r="E248" t="s">
        <v>319</v>
      </c>
      <c r="F248">
        <v>0.55523860919896095</v>
      </c>
    </row>
    <row r="249" spans="4:6" x14ac:dyDescent="0.35">
      <c r="D249" t="s">
        <v>151</v>
      </c>
      <c r="E249" t="s">
        <v>319</v>
      </c>
      <c r="F249">
        <v>0.51465074837691305</v>
      </c>
    </row>
    <row r="250" spans="4:6" x14ac:dyDescent="0.35">
      <c r="D250" t="s">
        <v>151</v>
      </c>
      <c r="E250" t="s">
        <v>320</v>
      </c>
      <c r="F250">
        <v>0.5108638195138</v>
      </c>
    </row>
    <row r="251" spans="4:6" x14ac:dyDescent="0.35">
      <c r="D251" t="s">
        <v>149</v>
      </c>
      <c r="E251" t="s">
        <v>320</v>
      </c>
      <c r="F251">
        <v>0.55507027476024895</v>
      </c>
    </row>
    <row r="252" spans="4:6" x14ac:dyDescent="0.35">
      <c r="D252" t="s">
        <v>153</v>
      </c>
      <c r="E252" t="s">
        <v>320</v>
      </c>
      <c r="F252">
        <v>0.56687400472332194</v>
      </c>
    </row>
    <row r="253" spans="4:6" x14ac:dyDescent="0.35">
      <c r="D253" t="s">
        <v>155</v>
      </c>
      <c r="E253" t="s">
        <v>320</v>
      </c>
      <c r="F253">
        <v>0.51655147541703705</v>
      </c>
    </row>
    <row r="254" spans="4:6" x14ac:dyDescent="0.35">
      <c r="D254" t="s">
        <v>149</v>
      </c>
      <c r="E254" t="s">
        <v>321</v>
      </c>
      <c r="F254">
        <v>0.55695282944884394</v>
      </c>
    </row>
    <row r="255" spans="4:6" x14ac:dyDescent="0.35">
      <c r="D255" t="s">
        <v>151</v>
      </c>
      <c r="E255" t="s">
        <v>321</v>
      </c>
      <c r="F255">
        <v>0.51032204954643501</v>
      </c>
    </row>
    <row r="256" spans="4:6" x14ac:dyDescent="0.35">
      <c r="D256" t="s">
        <v>155</v>
      </c>
      <c r="E256" t="s">
        <v>321</v>
      </c>
      <c r="F256">
        <v>0.52091199404029698</v>
      </c>
    </row>
    <row r="257" spans="4:6" x14ac:dyDescent="0.35">
      <c r="D257" t="s">
        <v>153</v>
      </c>
      <c r="E257" t="s">
        <v>321</v>
      </c>
      <c r="F257">
        <v>0.57080297358819199</v>
      </c>
    </row>
    <row r="258" spans="4:6" x14ac:dyDescent="0.35">
      <c r="D258" t="s">
        <v>155</v>
      </c>
      <c r="E258" t="s">
        <v>322</v>
      </c>
      <c r="F258">
        <v>0.49443365700136599</v>
      </c>
    </row>
    <row r="259" spans="4:6" x14ac:dyDescent="0.35">
      <c r="D259" t="s">
        <v>153</v>
      </c>
      <c r="E259" t="s">
        <v>322</v>
      </c>
      <c r="F259">
        <v>0.56545253304742804</v>
      </c>
    </row>
    <row r="260" spans="4:6" x14ac:dyDescent="0.35">
      <c r="D260" t="s">
        <v>149</v>
      </c>
      <c r="E260" t="s">
        <v>322</v>
      </c>
      <c r="F260">
        <v>0.551631277145615</v>
      </c>
    </row>
    <row r="261" spans="4:6" x14ac:dyDescent="0.35">
      <c r="D261" t="s">
        <v>151</v>
      </c>
      <c r="E261" t="s">
        <v>322</v>
      </c>
      <c r="F261">
        <v>0.50764090995422895</v>
      </c>
    </row>
    <row r="262" spans="4:6" x14ac:dyDescent="0.35">
      <c r="D262" t="s">
        <v>151</v>
      </c>
      <c r="E262" t="s">
        <v>323</v>
      </c>
      <c r="F262">
        <v>0.51022288389571002</v>
      </c>
    </row>
    <row r="263" spans="4:6" x14ac:dyDescent="0.35">
      <c r="D263" t="s">
        <v>155</v>
      </c>
      <c r="E263" t="s">
        <v>323</v>
      </c>
      <c r="F263">
        <v>0.51792474214039896</v>
      </c>
    </row>
    <row r="264" spans="4:6" x14ac:dyDescent="0.35">
      <c r="D264" t="s">
        <v>153</v>
      </c>
      <c r="E264" t="s">
        <v>323</v>
      </c>
      <c r="F264">
        <v>0.56817753061338905</v>
      </c>
    </row>
    <row r="265" spans="4:6" x14ac:dyDescent="0.35">
      <c r="D265" t="s">
        <v>149</v>
      </c>
      <c r="E265" t="s">
        <v>323</v>
      </c>
      <c r="F265">
        <v>0.54925346749575799</v>
      </c>
    </row>
    <row r="266" spans="4:6" x14ac:dyDescent="0.35">
      <c r="D266" t="s">
        <v>149</v>
      </c>
      <c r="E266" t="s">
        <v>324</v>
      </c>
      <c r="F266">
        <v>0.55256746757106701</v>
      </c>
    </row>
    <row r="267" spans="4:6" x14ac:dyDescent="0.35">
      <c r="D267" t="s">
        <v>151</v>
      </c>
      <c r="E267" t="s">
        <v>324</v>
      </c>
      <c r="F267">
        <v>0.50639924336223896</v>
      </c>
    </row>
    <row r="268" spans="4:6" x14ac:dyDescent="0.35">
      <c r="D268" t="s">
        <v>153</v>
      </c>
      <c r="E268" t="s">
        <v>324</v>
      </c>
      <c r="F268">
        <v>0.56505291476848796</v>
      </c>
    </row>
    <row r="269" spans="4:6" x14ac:dyDescent="0.35">
      <c r="D269" t="s">
        <v>155</v>
      </c>
      <c r="E269" t="s">
        <v>324</v>
      </c>
      <c r="F269">
        <v>0.545094821558336</v>
      </c>
    </row>
    <row r="270" spans="4:6" x14ac:dyDescent="0.35">
      <c r="D270" t="s">
        <v>151</v>
      </c>
      <c r="E270" t="s">
        <v>325</v>
      </c>
      <c r="F270">
        <v>0.50639320741569205</v>
      </c>
    </row>
    <row r="271" spans="4:6" x14ac:dyDescent="0.35">
      <c r="D271" t="s">
        <v>153</v>
      </c>
      <c r="E271" t="s">
        <v>325</v>
      </c>
      <c r="F271">
        <v>0.56502912549298401</v>
      </c>
    </row>
    <row r="272" spans="4:6" x14ac:dyDescent="0.35">
      <c r="D272" t="s">
        <v>149</v>
      </c>
      <c r="E272" t="s">
        <v>325</v>
      </c>
      <c r="F272">
        <v>0.54649202521231299</v>
      </c>
    </row>
    <row r="273" spans="4:6" x14ac:dyDescent="0.35">
      <c r="D273" t="s">
        <v>155</v>
      </c>
      <c r="E273" t="s">
        <v>325</v>
      </c>
      <c r="F273">
        <v>0.53491273058615396</v>
      </c>
    </row>
    <row r="274" spans="4:6" x14ac:dyDescent="0.35">
      <c r="D274" t="s">
        <v>153</v>
      </c>
      <c r="E274" t="s">
        <v>326</v>
      </c>
      <c r="F274">
        <v>0.56834181231712999</v>
      </c>
    </row>
    <row r="275" spans="4:6" x14ac:dyDescent="0.35">
      <c r="D275" t="s">
        <v>155</v>
      </c>
      <c r="E275" t="s">
        <v>326</v>
      </c>
      <c r="F275">
        <v>0.56765508493580197</v>
      </c>
    </row>
    <row r="276" spans="4:6" x14ac:dyDescent="0.35">
      <c r="D276" t="s">
        <v>151</v>
      </c>
      <c r="E276" t="s">
        <v>326</v>
      </c>
      <c r="F276">
        <v>0.50016250956731001</v>
      </c>
    </row>
    <row r="277" spans="4:6" x14ac:dyDescent="0.35">
      <c r="D277" t="s">
        <v>149</v>
      </c>
      <c r="E277" t="s">
        <v>326</v>
      </c>
      <c r="F277">
        <v>0.54977696838775902</v>
      </c>
    </row>
    <row r="278" spans="4:6" x14ac:dyDescent="0.35">
      <c r="D278" t="s">
        <v>151</v>
      </c>
      <c r="E278" t="s">
        <v>327</v>
      </c>
      <c r="F278">
        <v>0.50594662432291604</v>
      </c>
    </row>
    <row r="279" spans="4:6" x14ac:dyDescent="0.35">
      <c r="D279" t="s">
        <v>153</v>
      </c>
      <c r="E279" t="s">
        <v>327</v>
      </c>
      <c r="F279">
        <v>0.56518074118804396</v>
      </c>
    </row>
    <row r="280" spans="4:6" x14ac:dyDescent="0.35">
      <c r="D280" t="s">
        <v>149</v>
      </c>
      <c r="E280" t="s">
        <v>327</v>
      </c>
      <c r="F280">
        <v>0.54348456986374205</v>
      </c>
    </row>
    <row r="281" spans="4:6" x14ac:dyDescent="0.35">
      <c r="D281" t="s">
        <v>151</v>
      </c>
      <c r="E281" t="s">
        <v>328</v>
      </c>
      <c r="F281">
        <v>0.49485578146694398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32"/>
  <sheetViews>
    <sheetView zoomScale="160" zoomScaleNormal="160" workbookViewId="0">
      <pane xSplit="21" topLeftCell="V1" activePane="topRight" state="frozen"/>
      <selection pane="topRight" activeCell="A23" sqref="A23"/>
    </sheetView>
  </sheetViews>
  <sheetFormatPr defaultRowHeight="14.5" x14ac:dyDescent="0.35"/>
  <cols>
    <col min="1" max="1" width="27.453125" customWidth="1"/>
    <col min="2" max="4" width="13.453125" hidden="1" customWidth="1"/>
    <col min="5" max="5" width="12.6328125" hidden="1" customWidth="1"/>
    <col min="6" max="9" width="13.453125" hidden="1" customWidth="1"/>
    <col min="10" max="10" width="12.6328125" hidden="1" customWidth="1"/>
    <col min="11" max="21" width="13.453125" hidden="1" customWidth="1"/>
    <col min="22" max="22" width="15.36328125" customWidth="1"/>
    <col min="23" max="23" width="14.54296875" customWidth="1"/>
    <col min="24" max="24" width="15.08984375" customWidth="1"/>
    <col min="25" max="25" width="15" customWidth="1"/>
    <col min="26" max="26" width="15.1796875" customWidth="1"/>
    <col min="27" max="27" width="15.36328125" customWidth="1"/>
    <col min="28" max="28" width="14.54296875" customWidth="1"/>
    <col min="29" max="29" width="15.08984375" customWidth="1"/>
    <col min="30" max="30" width="15" customWidth="1"/>
    <col min="31" max="31" width="15.1796875" customWidth="1"/>
    <col min="32" max="32" width="15.36328125" customWidth="1"/>
    <col min="33" max="33" width="14.54296875" customWidth="1"/>
    <col min="34" max="34" width="15.08984375" customWidth="1"/>
    <col min="35" max="35" width="15" customWidth="1"/>
    <col min="36" max="36" width="15.1796875" customWidth="1"/>
    <col min="37" max="37" width="15.36328125" customWidth="1"/>
    <col min="38" max="38" width="14.54296875" customWidth="1"/>
    <col min="39" max="39" width="15.08984375" customWidth="1"/>
    <col min="40" max="40" width="15" customWidth="1"/>
    <col min="41" max="41" width="15.1796875" customWidth="1"/>
    <col min="42" max="42" width="15.36328125" customWidth="1"/>
    <col min="43" max="43" width="14.54296875" customWidth="1"/>
    <col min="44" max="44" width="15.08984375" customWidth="1"/>
    <col min="45" max="45" width="15" customWidth="1"/>
    <col min="46" max="46" width="15.1796875" customWidth="1"/>
    <col min="47" max="47" width="15.36328125" customWidth="1"/>
    <col min="48" max="48" width="14.54296875" customWidth="1"/>
    <col min="49" max="49" width="15.08984375" customWidth="1"/>
    <col min="50" max="50" width="15" customWidth="1"/>
    <col min="51" max="51" width="15.1796875" customWidth="1"/>
    <col min="52" max="52" width="15.36328125" customWidth="1"/>
    <col min="53" max="53" width="14.54296875" customWidth="1"/>
    <col min="54" max="54" width="15.08984375" customWidth="1"/>
    <col min="55" max="55" width="15" customWidth="1"/>
    <col min="56" max="56" width="15.1796875" customWidth="1"/>
  </cols>
  <sheetData>
    <row r="1" spans="1:56" x14ac:dyDescent="0.35">
      <c r="A1" t="s">
        <v>132</v>
      </c>
      <c r="B1" s="4" t="s">
        <v>0</v>
      </c>
      <c r="C1" s="4" t="s">
        <v>1</v>
      </c>
      <c r="D1" s="4" t="s">
        <v>2</v>
      </c>
      <c r="E1" s="4" t="s">
        <v>3</v>
      </c>
      <c r="F1" s="6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</row>
    <row r="2" spans="1:56" x14ac:dyDescent="0.35">
      <c r="A2" s="4" t="s">
        <v>78</v>
      </c>
      <c r="B2" s="1">
        <v>1.7035775127768309E-3</v>
      </c>
      <c r="C2" s="1">
        <v>2.3273855702094651E-3</v>
      </c>
      <c r="D2" s="1">
        <v>1.428571428571429E-3</v>
      </c>
      <c r="E2" s="1">
        <v>1.5174506828528069E-3</v>
      </c>
      <c r="F2" s="1">
        <v>1.5110305228165611E-3</v>
      </c>
      <c r="G2" s="1">
        <v>2.3628248884221578E-3</v>
      </c>
      <c r="H2" s="1">
        <v>1.9011406844106459E-3</v>
      </c>
      <c r="I2" s="1">
        <v>2.3596035865974521E-3</v>
      </c>
      <c r="J2" s="1">
        <v>1.481481481481481E-3</v>
      </c>
      <c r="K2" s="1">
        <v>5.6866647711117425E-4</v>
      </c>
      <c r="L2" s="1">
        <v>2.033110659308742E-3</v>
      </c>
      <c r="M2" s="1">
        <v>3.1483667847304209E-3</v>
      </c>
      <c r="N2" s="1">
        <v>8.515469770082316E-4</v>
      </c>
      <c r="O2" s="1">
        <v>2.2404779686333079E-3</v>
      </c>
      <c r="P2" s="1">
        <v>1.960085531004989E-3</v>
      </c>
      <c r="Q2" s="1">
        <v>1.8028012758285949E-3</v>
      </c>
      <c r="R2" s="1">
        <v>3.0487804878048782E-3</v>
      </c>
      <c r="S2" s="1">
        <v>2.341372044017795E-3</v>
      </c>
      <c r="T2" s="1">
        <v>1.2128562765312311E-3</v>
      </c>
      <c r="U2" s="1">
        <v>1.478977392774139E-3</v>
      </c>
      <c r="V2" s="10">
        <v>2.942258183155572E-3</v>
      </c>
      <c r="W2" s="10">
        <v>3.678724708767627E-3</v>
      </c>
      <c r="X2" s="10">
        <v>1.596424010217114E-3</v>
      </c>
      <c r="Y2" s="10">
        <v>6.6162570888468808E-3</v>
      </c>
      <c r="Z2" s="10">
        <v>1.3698630136986299E-3</v>
      </c>
      <c r="AA2" s="10">
        <v>3.4710170079833391E-3</v>
      </c>
      <c r="AB2" s="10">
        <v>2.4875621890547259E-3</v>
      </c>
      <c r="AC2" s="10">
        <v>1.9169329073482431E-3</v>
      </c>
      <c r="AD2" s="10">
        <v>4.0858018386108266E-3</v>
      </c>
      <c r="AE2" s="10">
        <v>1.513622603430878E-3</v>
      </c>
      <c r="AF2" s="10">
        <v>3.3823186377420112E-3</v>
      </c>
      <c r="AG2" s="10">
        <v>3.2017075773746002E-3</v>
      </c>
      <c r="AH2" s="10">
        <v>3.428110506150433E-3</v>
      </c>
      <c r="AI2" s="10">
        <v>5.4808171400099652E-3</v>
      </c>
      <c r="AJ2" s="10">
        <v>1.7644464049404499E-3</v>
      </c>
      <c r="AK2" s="10">
        <v>5.6947608200455576E-3</v>
      </c>
      <c r="AL2" s="10">
        <v>4.7427946005107616E-3</v>
      </c>
      <c r="AM2" s="10">
        <v>3.6862584476756088E-3</v>
      </c>
      <c r="AN2" s="10">
        <v>4.226096143687269E-3</v>
      </c>
      <c r="AO2" s="10">
        <v>1.405234498506938E-3</v>
      </c>
      <c r="AP2" s="10">
        <v>2.975258377701222E-3</v>
      </c>
      <c r="AQ2" s="10">
        <v>3.9318479685452159E-3</v>
      </c>
      <c r="AR2" s="10">
        <v>2.4070607114201662E-3</v>
      </c>
      <c r="AS2" s="10">
        <v>1.595744680851064E-3</v>
      </c>
      <c r="AT2" s="10">
        <v>2.2138587558113792E-3</v>
      </c>
      <c r="AU2" s="10">
        <v>2.7055150884495319E-3</v>
      </c>
      <c r="AV2" s="10">
        <v>2.8669724770642199E-3</v>
      </c>
      <c r="AW2" s="10">
        <v>2.781641168289291E-3</v>
      </c>
      <c r="AX2" s="10">
        <v>2.1152829190904279E-3</v>
      </c>
      <c r="AY2" s="10">
        <v>3.4473614425881731E-3</v>
      </c>
      <c r="AZ2" s="10">
        <v>5.0000000000000001E-3</v>
      </c>
      <c r="BA2" s="10">
        <v>3.3670033670033669E-3</v>
      </c>
      <c r="BB2" s="10">
        <v>2.935420743639922E-3</v>
      </c>
      <c r="BC2" s="10">
        <v>6.5040650406504056E-3</v>
      </c>
      <c r="BD2" s="10">
        <v>3.2976092333058529E-3</v>
      </c>
    </row>
    <row r="3" spans="1:56" x14ac:dyDescent="0.35">
      <c r="A3" s="4" t="s">
        <v>79</v>
      </c>
      <c r="B3" s="1">
        <v>2.001703577512777E-2</v>
      </c>
      <c r="C3" s="1">
        <v>4.6547711404189293E-3</v>
      </c>
      <c r="D3" s="1">
        <v>6.4285714285714276E-3</v>
      </c>
      <c r="E3" s="1">
        <v>1.5174506828528069E-3</v>
      </c>
      <c r="F3" s="1">
        <v>0</v>
      </c>
      <c r="G3" s="1">
        <v>1.050144394854292E-2</v>
      </c>
      <c r="H3" s="1">
        <v>1.9011406844106459E-3</v>
      </c>
      <c r="I3" s="1">
        <v>8.0226521944313355E-3</v>
      </c>
      <c r="J3" s="1">
        <v>4.4444444444444436E-3</v>
      </c>
      <c r="K3" s="1">
        <v>0</v>
      </c>
      <c r="L3" s="1">
        <v>8.4228870171362182E-3</v>
      </c>
      <c r="M3" s="1">
        <v>2.754820936639119E-3</v>
      </c>
      <c r="N3" s="1">
        <v>7.0962248084019304E-3</v>
      </c>
      <c r="O3" s="1">
        <v>5.2277819268110532E-3</v>
      </c>
      <c r="P3" s="1">
        <v>0</v>
      </c>
      <c r="Q3" s="1">
        <v>8.181944251837471E-3</v>
      </c>
      <c r="R3" s="1">
        <v>2.6132404181184671E-3</v>
      </c>
      <c r="S3" s="1">
        <v>4.2144696792320302E-3</v>
      </c>
      <c r="T3" s="1">
        <v>3.6385688295936928E-3</v>
      </c>
      <c r="U3" s="1">
        <v>0</v>
      </c>
      <c r="V3" s="10">
        <v>8.2751011401250452E-3</v>
      </c>
      <c r="W3" s="10">
        <v>4.904966278356836E-3</v>
      </c>
      <c r="X3" s="10">
        <v>7.3435504469987227E-3</v>
      </c>
      <c r="Y3" s="10">
        <v>1.890359168241966E-3</v>
      </c>
      <c r="Z3" s="10">
        <v>0</v>
      </c>
      <c r="AA3" s="10">
        <v>1.110725442554669E-2</v>
      </c>
      <c r="AB3" s="10">
        <v>1.865671641791045E-3</v>
      </c>
      <c r="AC3" s="10">
        <v>6.0702875399361034E-3</v>
      </c>
      <c r="AD3" s="10">
        <v>4.0858018386108266E-3</v>
      </c>
      <c r="AE3" s="10">
        <v>0</v>
      </c>
      <c r="AF3" s="10">
        <v>8.0475857242827149E-3</v>
      </c>
      <c r="AG3" s="10">
        <v>2.8459622909996441E-3</v>
      </c>
      <c r="AH3" s="10">
        <v>7.4611816898568261E-3</v>
      </c>
      <c r="AI3" s="10">
        <v>4.9825610363726954E-4</v>
      </c>
      <c r="AJ3" s="10">
        <v>0</v>
      </c>
      <c r="AK3" s="10">
        <v>8.2257656289546951E-3</v>
      </c>
      <c r="AL3" s="10">
        <v>4.3779642466253189E-3</v>
      </c>
      <c r="AM3" s="10">
        <v>5.5293876715134136E-3</v>
      </c>
      <c r="AN3" s="10">
        <v>1.5847860538827259E-3</v>
      </c>
      <c r="AO3" s="10">
        <v>0</v>
      </c>
      <c r="AP3" s="10">
        <v>7.5164422173504544E-3</v>
      </c>
      <c r="AQ3" s="10">
        <v>3.4949759720401918E-3</v>
      </c>
      <c r="AR3" s="10">
        <v>7.2211821342604973E-3</v>
      </c>
      <c r="AS3" s="10">
        <v>2.1276595744680851E-3</v>
      </c>
      <c r="AT3" s="10">
        <v>0</v>
      </c>
      <c r="AU3" s="10">
        <v>8.5327783558792926E-3</v>
      </c>
      <c r="AV3" s="10">
        <v>4.0137614678899076E-3</v>
      </c>
      <c r="AW3" s="10">
        <v>9.3880389429763563E-3</v>
      </c>
      <c r="AX3" s="10">
        <v>5.2882072977260709E-4</v>
      </c>
      <c r="AY3" s="10">
        <v>0</v>
      </c>
      <c r="AZ3" s="10">
        <v>1.125E-2</v>
      </c>
      <c r="BA3" s="10">
        <v>5.0505050505050509E-3</v>
      </c>
      <c r="BB3" s="10">
        <v>1.0763209393346381E-2</v>
      </c>
      <c r="BC3" s="10">
        <v>3.2520325203252028E-3</v>
      </c>
      <c r="BD3" s="10">
        <v>0</v>
      </c>
    </row>
    <row r="4" spans="1:56" x14ac:dyDescent="0.35">
      <c r="A4" s="4" t="s">
        <v>80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1</v>
      </c>
      <c r="AB4" s="10">
        <v>1</v>
      </c>
      <c r="AC4" s="10">
        <v>1</v>
      </c>
      <c r="AD4" s="10">
        <v>1</v>
      </c>
      <c r="AE4" s="10">
        <v>1</v>
      </c>
      <c r="AF4" s="10">
        <v>1</v>
      </c>
      <c r="AG4" s="10">
        <v>1</v>
      </c>
      <c r="AH4" s="10">
        <v>1</v>
      </c>
      <c r="AI4" s="10">
        <v>1</v>
      </c>
      <c r="AJ4" s="10">
        <v>1</v>
      </c>
      <c r="AK4" s="10">
        <v>1</v>
      </c>
      <c r="AL4" s="10">
        <v>1</v>
      </c>
      <c r="AM4" s="10">
        <v>1</v>
      </c>
      <c r="AN4" s="10">
        <v>1</v>
      </c>
      <c r="AO4" s="10">
        <v>1</v>
      </c>
      <c r="AP4" s="10">
        <v>1</v>
      </c>
      <c r="AQ4" s="10">
        <v>1</v>
      </c>
      <c r="AR4" s="10">
        <v>1</v>
      </c>
      <c r="AS4" s="10">
        <v>1</v>
      </c>
      <c r="AT4" s="10">
        <v>1</v>
      </c>
      <c r="AU4" s="10">
        <v>1</v>
      </c>
      <c r="AV4" s="10">
        <v>1</v>
      </c>
      <c r="AW4" s="10">
        <v>1</v>
      </c>
      <c r="AX4" s="10">
        <v>1</v>
      </c>
      <c r="AY4" s="10">
        <v>1</v>
      </c>
      <c r="AZ4" s="10">
        <v>1</v>
      </c>
      <c r="BA4" s="10">
        <v>1</v>
      </c>
      <c r="BB4" s="10">
        <v>1</v>
      </c>
      <c r="BC4" s="10">
        <v>1</v>
      </c>
      <c r="BD4" s="10">
        <v>1</v>
      </c>
    </row>
    <row r="5" spans="1:56" x14ac:dyDescent="0.35">
      <c r="A5" s="4" t="s">
        <v>81</v>
      </c>
      <c r="B5" s="1">
        <v>7.6660988074957409E-3</v>
      </c>
      <c r="C5" s="1">
        <v>1.5515903801396429E-2</v>
      </c>
      <c r="D5" s="1">
        <v>2.357142857142857E-2</v>
      </c>
      <c r="E5" s="1">
        <v>1.972685887708649E-2</v>
      </c>
      <c r="F5" s="1">
        <v>6.6787549108491995E-2</v>
      </c>
      <c r="G5" s="1">
        <v>9.4512995536886329E-3</v>
      </c>
      <c r="H5" s="1">
        <v>3.1685678073510783E-2</v>
      </c>
      <c r="I5" s="1">
        <v>2.6427560169891461E-2</v>
      </c>
      <c r="J5" s="1">
        <v>3.4074074074074083E-2</v>
      </c>
      <c r="K5" s="1">
        <v>6.9661643446118846E-2</v>
      </c>
      <c r="L5" s="1">
        <v>3.775776938716236E-3</v>
      </c>
      <c r="M5" s="1">
        <v>2.6761117670208581E-2</v>
      </c>
      <c r="N5" s="1">
        <v>2.0153278455861481E-2</v>
      </c>
      <c r="O5" s="1">
        <v>2.0911127707244209E-2</v>
      </c>
      <c r="P5" s="1">
        <v>4.1339985744832497E-2</v>
      </c>
      <c r="Q5" s="1">
        <v>6.5178199972264596E-3</v>
      </c>
      <c r="R5" s="1">
        <v>1.9163763066202089E-2</v>
      </c>
      <c r="S5" s="1">
        <v>2.317958323577617E-2</v>
      </c>
      <c r="T5" s="1">
        <v>4.1237113402061848E-2</v>
      </c>
      <c r="U5" s="1">
        <v>3.5284174941897319E-2</v>
      </c>
      <c r="V5" s="10">
        <v>7.35564545788893E-3</v>
      </c>
      <c r="W5" s="10">
        <v>2.1459227467811159E-2</v>
      </c>
      <c r="X5" s="10">
        <v>2.2030651340996171E-2</v>
      </c>
      <c r="Y5" s="10">
        <v>2.646502835538752E-2</v>
      </c>
      <c r="Z5" s="10">
        <v>0.06</v>
      </c>
      <c r="AA5" s="10">
        <v>2.1173203748698369E-2</v>
      </c>
      <c r="AB5" s="10">
        <v>5.2238805970149252E-2</v>
      </c>
      <c r="AC5" s="10">
        <v>4.9201277955271558E-2</v>
      </c>
      <c r="AD5" s="10">
        <v>6.2308478038815118E-2</v>
      </c>
      <c r="AE5" s="10">
        <v>0.12512613521695259</v>
      </c>
      <c r="AF5" s="10">
        <v>1.1663167716351759E-2</v>
      </c>
      <c r="AG5" s="10">
        <v>3.8776236214870162E-2</v>
      </c>
      <c r="AH5" s="10">
        <v>3.6902601330913491E-2</v>
      </c>
      <c r="AI5" s="10">
        <v>6.9755854509217743E-2</v>
      </c>
      <c r="AJ5" s="10">
        <v>0.1024849286869578</v>
      </c>
      <c r="AK5" s="10">
        <v>1.37939762085548E-2</v>
      </c>
      <c r="AL5" s="10">
        <v>4.5968624589565847E-2</v>
      </c>
      <c r="AM5" s="10">
        <v>4.5054269916035221E-2</v>
      </c>
      <c r="AN5" s="10">
        <v>6.8145800316957217E-2</v>
      </c>
      <c r="AO5" s="10">
        <v>0.12032320393465661</v>
      </c>
      <c r="AP5" s="10">
        <v>2.4898214844973381E-2</v>
      </c>
      <c r="AQ5" s="10">
        <v>8.1695063346439487E-2</v>
      </c>
      <c r="AR5" s="10">
        <v>5.5362396362663817E-2</v>
      </c>
      <c r="AS5" s="10">
        <v>0.1143617021276596</v>
      </c>
      <c r="AT5" s="10">
        <v>0.16980296657073279</v>
      </c>
      <c r="AU5" s="10">
        <v>2.601456815816857E-2</v>
      </c>
      <c r="AV5" s="10">
        <v>7.8555045871559634E-2</v>
      </c>
      <c r="AW5" s="10">
        <v>5.7371349095966619E-2</v>
      </c>
      <c r="AX5" s="10">
        <v>0.133262823902697</v>
      </c>
      <c r="AY5" s="10">
        <v>0.17104216388225929</v>
      </c>
      <c r="AZ5" s="10">
        <v>3.125E-2</v>
      </c>
      <c r="BA5" s="10">
        <v>0.10101010101010099</v>
      </c>
      <c r="BB5" s="10">
        <v>8.0234833659491189E-2</v>
      </c>
      <c r="BC5" s="10">
        <v>0.167479674796748</v>
      </c>
      <c r="BD5" s="10">
        <v>0.16735366859027209</v>
      </c>
    </row>
    <row r="6" spans="1:56" x14ac:dyDescent="0.35">
      <c r="A6" s="4" t="s">
        <v>82</v>
      </c>
      <c r="B6" s="1">
        <v>1.7461669505962521E-2</v>
      </c>
      <c r="C6" s="1">
        <v>4.5771916214119468E-2</v>
      </c>
      <c r="D6" s="1">
        <v>3.214285714285714E-2</v>
      </c>
      <c r="E6" s="1">
        <v>4.552352048558422E-3</v>
      </c>
      <c r="F6" s="1">
        <v>0</v>
      </c>
      <c r="G6" s="1">
        <v>1.207666054082436E-2</v>
      </c>
      <c r="H6" s="1">
        <v>4.3726235741444873E-2</v>
      </c>
      <c r="I6" s="1">
        <v>2.92590844738084E-2</v>
      </c>
      <c r="J6" s="1">
        <v>2.9629629629629628E-3</v>
      </c>
      <c r="K6" s="1">
        <v>0</v>
      </c>
      <c r="L6" s="1">
        <v>1.6410107464420561E-2</v>
      </c>
      <c r="M6" s="1">
        <v>3.3844942935852017E-2</v>
      </c>
      <c r="N6" s="1">
        <v>2.781720124893557E-2</v>
      </c>
      <c r="O6" s="1">
        <v>3.7341299477221812E-3</v>
      </c>
      <c r="P6" s="1">
        <v>0</v>
      </c>
      <c r="Q6" s="1">
        <v>8.0432672306198858E-3</v>
      </c>
      <c r="R6" s="1">
        <v>1.8292682926829271E-2</v>
      </c>
      <c r="S6" s="1">
        <v>1.6389604308124559E-2</v>
      </c>
      <c r="T6" s="1">
        <v>3.6385688295936928E-3</v>
      </c>
      <c r="U6" s="1">
        <v>0</v>
      </c>
      <c r="V6" s="10">
        <v>3.4939315924972418E-3</v>
      </c>
      <c r="W6" s="10">
        <v>1.5941140404659718E-2</v>
      </c>
      <c r="X6" s="10">
        <v>1.1813537675606641E-2</v>
      </c>
      <c r="Y6" s="10">
        <v>1.890359168241966E-3</v>
      </c>
      <c r="Z6" s="10">
        <v>0</v>
      </c>
      <c r="AA6" s="10">
        <v>7.462686567164179E-3</v>
      </c>
      <c r="AB6" s="10">
        <v>2.8606965174129351E-2</v>
      </c>
      <c r="AC6" s="10">
        <v>2.07667731629393E-2</v>
      </c>
      <c r="AD6" s="10">
        <v>3.06435137895812E-3</v>
      </c>
      <c r="AE6" s="10">
        <v>0</v>
      </c>
      <c r="AF6" s="10">
        <v>3.965477023559599E-3</v>
      </c>
      <c r="AG6" s="10">
        <v>1.3874066168623271E-2</v>
      </c>
      <c r="AH6" s="10">
        <v>1.492236337971365E-2</v>
      </c>
      <c r="AI6" s="10">
        <v>7.4738415545590429E-3</v>
      </c>
      <c r="AJ6" s="10">
        <v>0</v>
      </c>
      <c r="AK6" s="10">
        <v>2.4044545684636801E-3</v>
      </c>
      <c r="AL6" s="10">
        <v>6.9317767238234219E-3</v>
      </c>
      <c r="AM6" s="10">
        <v>5.5293876715134136E-3</v>
      </c>
      <c r="AN6" s="10">
        <v>1.5847860538827259E-3</v>
      </c>
      <c r="AO6" s="10">
        <v>0</v>
      </c>
      <c r="AP6" s="10">
        <v>2.662073285311619E-3</v>
      </c>
      <c r="AQ6" s="10">
        <v>7.8636959370904317E-3</v>
      </c>
      <c r="AR6" s="10">
        <v>6.6862797539449046E-3</v>
      </c>
      <c r="AS6" s="10">
        <v>5.3191489361702129E-4</v>
      </c>
      <c r="AT6" s="10">
        <v>0</v>
      </c>
      <c r="AU6" s="10">
        <v>3.1217481789802288E-3</v>
      </c>
      <c r="AV6" s="10">
        <v>6.8807339449541288E-3</v>
      </c>
      <c r="AW6" s="10">
        <v>4.8678720445062586E-3</v>
      </c>
      <c r="AX6" s="10">
        <v>0</v>
      </c>
      <c r="AY6" s="10">
        <v>0</v>
      </c>
      <c r="AZ6" s="10">
        <v>4.3750000000000004E-3</v>
      </c>
      <c r="BA6" s="10">
        <v>6.7340067340067337E-3</v>
      </c>
      <c r="BB6" s="10">
        <v>2.935420743639922E-3</v>
      </c>
      <c r="BC6" s="10">
        <v>1.6260162601626021E-3</v>
      </c>
      <c r="BD6" s="10">
        <v>0</v>
      </c>
    </row>
    <row r="7" spans="1:56" x14ac:dyDescent="0.35">
      <c r="A7" s="4" t="s">
        <v>83</v>
      </c>
      <c r="B7" s="1">
        <v>2.981260647359455E-3</v>
      </c>
      <c r="C7" s="1">
        <v>6.2063615205585716E-3</v>
      </c>
      <c r="D7" s="1">
        <v>2.8571428571428571E-3</v>
      </c>
      <c r="E7" s="1">
        <v>1.972685887708649E-2</v>
      </c>
      <c r="F7" s="1">
        <v>2.0550015110305232E-2</v>
      </c>
      <c r="G7" s="1">
        <v>2.3628248884221578E-3</v>
      </c>
      <c r="H7" s="1">
        <v>1.9011406844106459E-3</v>
      </c>
      <c r="I7" s="1">
        <v>1.4157621519584711E-3</v>
      </c>
      <c r="J7" s="1">
        <v>7.4074074074074077E-3</v>
      </c>
      <c r="K7" s="1">
        <v>1.5353994882001711E-2</v>
      </c>
      <c r="L7" s="1">
        <v>1.5974440894568689E-3</v>
      </c>
      <c r="M7" s="1">
        <v>4.329004329004329E-3</v>
      </c>
      <c r="N7" s="1">
        <v>1.419244961680386E-3</v>
      </c>
      <c r="O7" s="1">
        <v>4.4809559372666168E-3</v>
      </c>
      <c r="P7" s="1">
        <v>9.2658588738417681E-3</v>
      </c>
      <c r="Q7" s="1">
        <v>1.664124254611011E-3</v>
      </c>
      <c r="R7" s="1">
        <v>2.6132404181184671E-3</v>
      </c>
      <c r="S7" s="1">
        <v>4.2144696792320302E-3</v>
      </c>
      <c r="T7" s="1">
        <v>5.4578532443905394E-3</v>
      </c>
      <c r="U7" s="1">
        <v>1.267694908092119E-2</v>
      </c>
      <c r="V7" s="10">
        <v>2.3905847738139021E-3</v>
      </c>
      <c r="W7" s="10">
        <v>6.1312078479460446E-3</v>
      </c>
      <c r="X7" s="10">
        <v>5.108556832694764E-3</v>
      </c>
      <c r="Y7" s="10">
        <v>5.6710775047258983E-3</v>
      </c>
      <c r="Z7" s="10">
        <v>1.2328767123287669E-2</v>
      </c>
      <c r="AA7" s="10">
        <v>4.6858729607775077E-3</v>
      </c>
      <c r="AB7" s="10">
        <v>6.8407960199004976E-3</v>
      </c>
      <c r="AC7" s="10">
        <v>6.7092651757188499E-3</v>
      </c>
      <c r="AD7" s="10">
        <v>5.1072522982635342E-3</v>
      </c>
      <c r="AE7" s="10">
        <v>1.8668012108980829E-2</v>
      </c>
      <c r="AF7" s="10">
        <v>4.4320037322136694E-3</v>
      </c>
      <c r="AG7" s="10">
        <v>4.2689434364994666E-3</v>
      </c>
      <c r="AH7" s="10">
        <v>5.8479532163742687E-3</v>
      </c>
      <c r="AI7" s="10">
        <v>9.9651220727453912E-3</v>
      </c>
      <c r="AJ7" s="10">
        <v>1.5880017644464051E-2</v>
      </c>
      <c r="AK7" s="10">
        <v>5.821311060491015E-3</v>
      </c>
      <c r="AL7" s="10">
        <v>6.5669463699379784E-3</v>
      </c>
      <c r="AM7" s="10">
        <v>1.0034814663116939E-2</v>
      </c>
      <c r="AN7" s="10">
        <v>8.9804543053354467E-3</v>
      </c>
      <c r="AO7" s="10">
        <v>2.0551554540663972E-2</v>
      </c>
      <c r="AP7" s="10">
        <v>7.986219855934857E-3</v>
      </c>
      <c r="AQ7" s="10">
        <v>5.2424639580602884E-3</v>
      </c>
      <c r="AR7" s="10">
        <v>8.2909868948916818E-3</v>
      </c>
      <c r="AS7" s="10">
        <v>1.223404255319149E-2</v>
      </c>
      <c r="AT7" s="10">
        <v>1.815364179765331E-2</v>
      </c>
      <c r="AU7" s="10">
        <v>7.2840790842872011E-3</v>
      </c>
      <c r="AV7" s="10">
        <v>5.1605504587155966E-3</v>
      </c>
      <c r="AW7" s="10">
        <v>7.9972183588317113E-3</v>
      </c>
      <c r="AX7" s="10">
        <v>1.322051824431518E-2</v>
      </c>
      <c r="AY7" s="10">
        <v>1.4319809069212409E-2</v>
      </c>
      <c r="AZ7" s="10">
        <v>2.5000000000000001E-3</v>
      </c>
      <c r="BA7" s="10">
        <v>6.7340067340067337E-3</v>
      </c>
      <c r="BB7" s="10">
        <v>3.9138943248532287E-3</v>
      </c>
      <c r="BC7" s="10">
        <v>6.5040650406504056E-3</v>
      </c>
      <c r="BD7" s="10">
        <v>1.8136850783182189E-2</v>
      </c>
    </row>
    <row r="8" spans="1:56" x14ac:dyDescent="0.35">
      <c r="A8" s="4" t="s">
        <v>84</v>
      </c>
      <c r="B8" s="1">
        <v>2.5553662691652468E-3</v>
      </c>
      <c r="C8" s="1">
        <v>6.9821567106283936E-3</v>
      </c>
      <c r="D8" s="1">
        <v>1.428571428571429E-3</v>
      </c>
      <c r="E8" s="1">
        <v>1.5174506828528069E-3</v>
      </c>
      <c r="F8" s="1">
        <v>6.0441220912662444E-3</v>
      </c>
      <c r="G8" s="1">
        <v>2.3628248884221578E-3</v>
      </c>
      <c r="H8" s="1">
        <v>5.7034220532319393E-3</v>
      </c>
      <c r="I8" s="1">
        <v>5.6630486078338843E-3</v>
      </c>
      <c r="J8" s="1">
        <v>2.9629629629629628E-3</v>
      </c>
      <c r="K8" s="1">
        <v>1.1373329542223489E-3</v>
      </c>
      <c r="L8" s="1">
        <v>6.0993319779262273E-3</v>
      </c>
      <c r="M8" s="1">
        <v>7.4773711137347499E-3</v>
      </c>
      <c r="N8" s="1">
        <v>3.690036900369004E-3</v>
      </c>
      <c r="O8" s="1">
        <v>2.2404779686333079E-3</v>
      </c>
      <c r="P8" s="1">
        <v>1.7818959372772631E-3</v>
      </c>
      <c r="Q8" s="1">
        <v>1.9414782970461791E-3</v>
      </c>
      <c r="R8" s="1">
        <v>8.710801393728223E-4</v>
      </c>
      <c r="S8" s="1">
        <v>1.404823226410677E-3</v>
      </c>
      <c r="T8" s="1">
        <v>0</v>
      </c>
      <c r="U8" s="1">
        <v>1.478977392774139E-3</v>
      </c>
      <c r="V8" s="10">
        <v>0</v>
      </c>
      <c r="W8" s="10">
        <v>3.0656039239730232E-3</v>
      </c>
      <c r="X8" s="10">
        <v>6.3856960408684551E-4</v>
      </c>
      <c r="Y8" s="10">
        <v>9.4517958412098301E-4</v>
      </c>
      <c r="Z8" s="10">
        <v>2.7397260273972601E-4</v>
      </c>
      <c r="AA8" s="10">
        <v>1.7355085039916701E-4</v>
      </c>
      <c r="AB8" s="10">
        <v>1.865671641791045E-3</v>
      </c>
      <c r="AC8" s="10">
        <v>6.3897763578274762E-4</v>
      </c>
      <c r="AD8" s="10">
        <v>0</v>
      </c>
      <c r="AE8" s="10">
        <v>1.2613521695257321E-3</v>
      </c>
      <c r="AF8" s="10">
        <v>5.8315838581758802E-4</v>
      </c>
      <c r="AG8" s="10">
        <v>1.4229811454998221E-3</v>
      </c>
      <c r="AH8" s="10">
        <v>1.613228473482557E-3</v>
      </c>
      <c r="AI8" s="10">
        <v>0</v>
      </c>
      <c r="AJ8" s="10">
        <v>1.4703720041170419E-4</v>
      </c>
      <c r="AK8" s="10">
        <v>2.531004808909137E-4</v>
      </c>
      <c r="AL8" s="10">
        <v>1.8241517694272159E-3</v>
      </c>
      <c r="AM8" s="10">
        <v>1.0239606799098909E-3</v>
      </c>
      <c r="AN8" s="10">
        <v>0</v>
      </c>
      <c r="AO8" s="10">
        <v>5.2696293694010185E-4</v>
      </c>
      <c r="AP8" s="10">
        <v>0</v>
      </c>
      <c r="AQ8" s="10">
        <v>0</v>
      </c>
      <c r="AR8" s="10">
        <v>1.0698047606311849E-3</v>
      </c>
      <c r="AS8" s="10">
        <v>5.3191489361702129E-4</v>
      </c>
      <c r="AT8" s="10">
        <v>2.2138587558113789E-4</v>
      </c>
      <c r="AU8" s="10">
        <v>8.3246618106139442E-4</v>
      </c>
      <c r="AV8" s="10">
        <v>1.1467889908256879E-3</v>
      </c>
      <c r="AW8" s="10">
        <v>1.043115438108484E-3</v>
      </c>
      <c r="AX8" s="10">
        <v>0</v>
      </c>
      <c r="AY8" s="10">
        <v>2.6518164942985952E-4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</row>
    <row r="9" spans="1:56" x14ac:dyDescent="0.35">
      <c r="A9" s="4" t="s">
        <v>85</v>
      </c>
      <c r="B9" s="1">
        <v>0.12095400340715499</v>
      </c>
      <c r="C9" s="1">
        <v>0.1536074476338247</v>
      </c>
      <c r="D9" s="1">
        <v>0.1364285714285714</v>
      </c>
      <c r="E9" s="1">
        <v>0.15933232169954481</v>
      </c>
      <c r="F9" s="1">
        <v>3.8984587488667267E-2</v>
      </c>
      <c r="G9" s="1">
        <v>0.10763980047256499</v>
      </c>
      <c r="H9" s="1">
        <v>0.17743979721166031</v>
      </c>
      <c r="I9" s="1">
        <v>0.1571495988673903</v>
      </c>
      <c r="J9" s="1">
        <v>0.1377777777777778</v>
      </c>
      <c r="K9" s="1">
        <v>6.880864373045209E-2</v>
      </c>
      <c r="L9" s="1">
        <v>0.1004937554458321</v>
      </c>
      <c r="M9" s="1">
        <v>0.1751279024006297</v>
      </c>
      <c r="N9" s="1">
        <v>0.17059324439398241</v>
      </c>
      <c r="O9" s="1">
        <v>0.1314413741598208</v>
      </c>
      <c r="P9" s="1">
        <v>5.3991446899501069E-2</v>
      </c>
      <c r="Q9" s="1">
        <v>0.1266121203716544</v>
      </c>
      <c r="R9" s="1">
        <v>0.1968641114982578</v>
      </c>
      <c r="S9" s="1">
        <v>0.1833294310465933</v>
      </c>
      <c r="T9" s="1">
        <v>0.1315949060036386</v>
      </c>
      <c r="U9" s="1">
        <v>7.6484259454891193E-2</v>
      </c>
      <c r="V9" s="10">
        <v>0.15189407870540639</v>
      </c>
      <c r="W9" s="10">
        <v>0.220110361741263</v>
      </c>
      <c r="X9" s="10">
        <v>0.2155172413793103</v>
      </c>
      <c r="Y9" s="10">
        <v>0.16162570888468811</v>
      </c>
      <c r="Z9" s="10">
        <v>9.808219178082192E-2</v>
      </c>
      <c r="AA9" s="10">
        <v>0.22283929191253041</v>
      </c>
      <c r="AB9" s="10">
        <v>0.24502487562189049</v>
      </c>
      <c r="AC9" s="10">
        <v>0.24472843450479231</v>
      </c>
      <c r="AD9" s="10">
        <v>0.20837589376915219</v>
      </c>
      <c r="AE9" s="10">
        <v>0.14505549949545909</v>
      </c>
      <c r="AF9" s="10">
        <v>0.24399346862607879</v>
      </c>
      <c r="AG9" s="10">
        <v>0.23479188900747061</v>
      </c>
      <c r="AH9" s="10">
        <v>0.24541238152853401</v>
      </c>
      <c r="AI9" s="10">
        <v>0.20627802690582961</v>
      </c>
      <c r="AJ9" s="10">
        <v>0.17762093809733859</v>
      </c>
      <c r="AK9" s="10">
        <v>0.25828904074917741</v>
      </c>
      <c r="AL9" s="10">
        <v>0.26012404232032099</v>
      </c>
      <c r="AM9" s="10">
        <v>0.283227524063076</v>
      </c>
      <c r="AN9" s="10">
        <v>0.2435287902799789</v>
      </c>
      <c r="AO9" s="10">
        <v>0.26330581415773763</v>
      </c>
      <c r="AP9" s="10">
        <v>0.27481991857187599</v>
      </c>
      <c r="AQ9" s="10">
        <v>0.29925731760594149</v>
      </c>
      <c r="AR9" s="10">
        <v>0.29045199251136672</v>
      </c>
      <c r="AS9" s="10">
        <v>0.2457446808510638</v>
      </c>
      <c r="AT9" s="10">
        <v>0.28315253486827541</v>
      </c>
      <c r="AU9" s="10">
        <v>0.32362122788761699</v>
      </c>
      <c r="AV9" s="10">
        <v>0.31594036697247713</v>
      </c>
      <c r="AW9" s="10">
        <v>0.3508344923504868</v>
      </c>
      <c r="AX9" s="10">
        <v>0.25171866737176102</v>
      </c>
      <c r="AY9" s="10">
        <v>0.33678069477592149</v>
      </c>
      <c r="AZ9" s="10">
        <v>0.32187500000000002</v>
      </c>
      <c r="BA9" s="10">
        <v>0.34343434343434343</v>
      </c>
      <c r="BB9" s="10">
        <v>0.39334637964774949</v>
      </c>
      <c r="BC9" s="10">
        <v>0.24715447154471551</v>
      </c>
      <c r="BD9" s="10">
        <v>0.33140972794723828</v>
      </c>
    </row>
    <row r="10" spans="1:56" x14ac:dyDescent="0.35">
      <c r="A10" s="4" t="s">
        <v>86</v>
      </c>
      <c r="B10" s="1">
        <v>5.4940374787052812E-2</v>
      </c>
      <c r="C10" s="1">
        <v>4.7323506594259122E-2</v>
      </c>
      <c r="D10" s="1">
        <v>5.6428571428571432E-2</v>
      </c>
      <c r="E10" s="1">
        <v>7.1320182094081946E-2</v>
      </c>
      <c r="F10" s="1">
        <v>0.1801148383197341</v>
      </c>
      <c r="G10" s="1">
        <v>5.8020477815699661E-2</v>
      </c>
      <c r="H10" s="1">
        <v>5.0697084917617243E-2</v>
      </c>
      <c r="I10" s="1">
        <v>4.8607833883907513E-2</v>
      </c>
      <c r="J10" s="1">
        <v>6.6666666666666666E-2</v>
      </c>
      <c r="K10" s="1">
        <v>0.11032129655956779</v>
      </c>
      <c r="L10" s="1">
        <v>7.4208539064769097E-2</v>
      </c>
      <c r="M10" s="1">
        <v>5.7851239669421489E-2</v>
      </c>
      <c r="N10" s="1">
        <v>6.3582174283281293E-2</v>
      </c>
      <c r="O10" s="1">
        <v>8.6631814787154593E-2</v>
      </c>
      <c r="P10" s="1">
        <v>8.7847469707769063E-2</v>
      </c>
      <c r="Q10" s="1">
        <v>6.3098044654000832E-2</v>
      </c>
      <c r="R10" s="1">
        <v>5.1393728222996517E-2</v>
      </c>
      <c r="S10" s="1">
        <v>5.0105361741980797E-2</v>
      </c>
      <c r="T10" s="1">
        <v>8.8538508186779871E-2</v>
      </c>
      <c r="U10" s="1">
        <v>7.0357067399112613E-2</v>
      </c>
      <c r="V10" s="10">
        <v>6.0316292754689221E-2</v>
      </c>
      <c r="W10" s="10">
        <v>3.9239730226854688E-2</v>
      </c>
      <c r="X10" s="10">
        <v>3.2247765006385702E-2</v>
      </c>
      <c r="Y10" s="10">
        <v>5.9546313799621928E-2</v>
      </c>
      <c r="Z10" s="10">
        <v>0.04</v>
      </c>
      <c r="AA10" s="10">
        <v>5.5536272127733433E-2</v>
      </c>
      <c r="AB10" s="10">
        <v>5.2860696517412938E-2</v>
      </c>
      <c r="AC10" s="10">
        <v>4.2811501597444089E-2</v>
      </c>
      <c r="AD10" s="10">
        <v>4.0858018386108273E-2</v>
      </c>
      <c r="AE10" s="10">
        <v>2.5731584258324929E-2</v>
      </c>
      <c r="AF10" s="10">
        <v>5.5749941684161419E-2</v>
      </c>
      <c r="AG10" s="10">
        <v>5.2650302383493421E-2</v>
      </c>
      <c r="AH10" s="10">
        <v>4.7590239967735433E-2</v>
      </c>
      <c r="AI10" s="10">
        <v>6.4275037369207769E-2</v>
      </c>
      <c r="AJ10" s="10">
        <v>9.263343625937363E-3</v>
      </c>
      <c r="AK10" s="10">
        <v>5.0366995697291833E-2</v>
      </c>
      <c r="AL10" s="10">
        <v>4.6333454943451292E-2</v>
      </c>
      <c r="AM10" s="10">
        <v>4.5668646323981162E-2</v>
      </c>
      <c r="AN10" s="10">
        <v>6.550449022715267E-2</v>
      </c>
      <c r="AO10" s="10">
        <v>7.5531354294747933E-3</v>
      </c>
      <c r="AP10" s="10">
        <v>3.8678358910115881E-2</v>
      </c>
      <c r="AQ10" s="10">
        <v>3.7134119702927043E-2</v>
      </c>
      <c r="AR10" s="10">
        <v>4.4396897566194173E-2</v>
      </c>
      <c r="AS10" s="10">
        <v>5.8510638297872342E-2</v>
      </c>
      <c r="AT10" s="10">
        <v>4.4277175116227583E-3</v>
      </c>
      <c r="AU10" s="10">
        <v>2.4765868886576479E-2</v>
      </c>
      <c r="AV10" s="10">
        <v>4.7591743119266047E-2</v>
      </c>
      <c r="AW10" s="10">
        <v>3.129346314325452E-2</v>
      </c>
      <c r="AX10" s="10">
        <v>3.6488630354309888E-2</v>
      </c>
      <c r="AY10" s="10">
        <v>2.6518164942985951E-3</v>
      </c>
      <c r="AZ10" s="10">
        <v>2.8125000000000001E-2</v>
      </c>
      <c r="BA10" s="10">
        <v>4.3771043771043773E-2</v>
      </c>
      <c r="BB10" s="10">
        <v>3.4246575342465752E-2</v>
      </c>
      <c r="BC10" s="10">
        <v>3.9024390243902439E-2</v>
      </c>
      <c r="BD10" s="10">
        <v>3.2976092333058529E-3</v>
      </c>
    </row>
    <row r="11" spans="1:56" x14ac:dyDescent="0.35">
      <c r="A11" s="4" t="s">
        <v>87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</row>
    <row r="12" spans="1:56" x14ac:dyDescent="0.35">
      <c r="A12" s="4" t="s">
        <v>88</v>
      </c>
      <c r="B12" s="1">
        <v>0.22359454855195909</v>
      </c>
      <c r="C12" s="1">
        <v>0.28394103956555472</v>
      </c>
      <c r="D12" s="1">
        <v>0.2421428571428571</v>
      </c>
      <c r="E12" s="1">
        <v>0.30955993930197268</v>
      </c>
      <c r="F12" s="1">
        <v>0.16651556361438499</v>
      </c>
      <c r="G12" s="1">
        <v>0.21606720924127071</v>
      </c>
      <c r="H12" s="1">
        <v>0.27629911280101388</v>
      </c>
      <c r="I12" s="1">
        <v>0.25908447380840022</v>
      </c>
      <c r="J12" s="1">
        <v>0.31555555555555548</v>
      </c>
      <c r="K12" s="1">
        <v>0.2143872618709127</v>
      </c>
      <c r="L12" s="1">
        <v>0.2274179494626779</v>
      </c>
      <c r="M12" s="1">
        <v>0.27587563951200322</v>
      </c>
      <c r="N12" s="1">
        <v>0.25915413000283849</v>
      </c>
      <c r="O12" s="1">
        <v>0.26661687826736369</v>
      </c>
      <c r="P12" s="1">
        <v>0.21650035637918749</v>
      </c>
      <c r="Q12" s="1">
        <v>0.2318679794758009</v>
      </c>
      <c r="R12" s="1">
        <v>0.28397212543554012</v>
      </c>
      <c r="S12" s="1">
        <v>0.26106298290798408</v>
      </c>
      <c r="T12" s="1">
        <v>0.26986052152819889</v>
      </c>
      <c r="U12" s="1">
        <v>0.19099936615254601</v>
      </c>
      <c r="V12" s="10">
        <v>0.24696579624862081</v>
      </c>
      <c r="W12" s="10">
        <v>0.27835683629675051</v>
      </c>
      <c r="X12" s="10">
        <v>0.2614942528735632</v>
      </c>
      <c r="Y12" s="10">
        <v>0.22684310018903589</v>
      </c>
      <c r="Z12" s="10">
        <v>0.21095890410958901</v>
      </c>
      <c r="AA12" s="10">
        <v>0.25529330093717462</v>
      </c>
      <c r="AB12" s="10">
        <v>0.29166666666666669</v>
      </c>
      <c r="AC12" s="10">
        <v>0.26805111821086258</v>
      </c>
      <c r="AD12" s="10">
        <v>0.28396322778345251</v>
      </c>
      <c r="AE12" s="10">
        <v>0.21316851664984859</v>
      </c>
      <c r="AF12" s="10">
        <v>0.28283181712153022</v>
      </c>
      <c r="AG12" s="10">
        <v>0.32692991817858408</v>
      </c>
      <c r="AH12" s="10">
        <v>0.29118773946360149</v>
      </c>
      <c r="AI12" s="10">
        <v>0.30293971101145989</v>
      </c>
      <c r="AJ12" s="10">
        <v>0.2427584178797236</v>
      </c>
      <c r="AK12" s="10">
        <v>0.26955201214882307</v>
      </c>
      <c r="AL12" s="10">
        <v>0.31229478292593937</v>
      </c>
      <c r="AM12" s="10">
        <v>0.28507065328691378</v>
      </c>
      <c r="AN12" s="10">
        <v>0.28843106180665612</v>
      </c>
      <c r="AO12" s="10">
        <v>0.2255401370103636</v>
      </c>
      <c r="AP12" s="10">
        <v>0.27309740056373322</v>
      </c>
      <c r="AQ12" s="10">
        <v>0.29008300567933598</v>
      </c>
      <c r="AR12" s="10">
        <v>0.27895159133458142</v>
      </c>
      <c r="AS12" s="10">
        <v>0.28510638297872343</v>
      </c>
      <c r="AT12" s="10">
        <v>0.2165153863183529</v>
      </c>
      <c r="AU12" s="10">
        <v>0.28969823100936531</v>
      </c>
      <c r="AV12" s="10">
        <v>0.32224770642201828</v>
      </c>
      <c r="AW12" s="10">
        <v>0.30180806675938798</v>
      </c>
      <c r="AX12" s="10">
        <v>0.29613960867265998</v>
      </c>
      <c r="AY12" s="10">
        <v>0.22460885706709099</v>
      </c>
      <c r="AZ12" s="10">
        <v>0.294375</v>
      </c>
      <c r="BA12" s="10">
        <v>0.33333333333333331</v>
      </c>
      <c r="BB12" s="10">
        <v>0.30332681017612517</v>
      </c>
      <c r="BC12" s="10">
        <v>0.29105691056910571</v>
      </c>
      <c r="BD12" s="10">
        <v>0.2448474855729596</v>
      </c>
    </row>
    <row r="13" spans="1:56" x14ac:dyDescent="0.35">
      <c r="A13" s="4" t="s">
        <v>89</v>
      </c>
      <c r="B13" s="1">
        <v>0.77640545144804085</v>
      </c>
      <c r="C13" s="1">
        <v>0.71605896043444528</v>
      </c>
      <c r="D13" s="1">
        <v>0.7578571428571429</v>
      </c>
      <c r="E13" s="1">
        <v>0.69044006069802732</v>
      </c>
      <c r="F13" s="1">
        <v>0.83348443638561498</v>
      </c>
      <c r="G13" s="1">
        <v>0.78393279075872935</v>
      </c>
      <c r="H13" s="1">
        <v>0.72370088719898606</v>
      </c>
      <c r="I13" s="1">
        <v>0.74091552619159984</v>
      </c>
      <c r="J13" s="1">
        <v>0.68444444444444441</v>
      </c>
      <c r="K13" s="1">
        <v>0.78561273812908727</v>
      </c>
      <c r="L13" s="1">
        <v>0.7725820505373221</v>
      </c>
      <c r="M13" s="1">
        <v>0.72412436048799689</v>
      </c>
      <c r="N13" s="1">
        <v>0.74084586999716151</v>
      </c>
      <c r="O13" s="1">
        <v>0.73338312173263631</v>
      </c>
      <c r="P13" s="1">
        <v>0.78349964362081259</v>
      </c>
      <c r="Q13" s="1">
        <v>0.76813202052419915</v>
      </c>
      <c r="R13" s="1">
        <v>0.71602787456445993</v>
      </c>
      <c r="S13" s="1">
        <v>0.73893701709201587</v>
      </c>
      <c r="T13" s="1">
        <v>0.73013947847180105</v>
      </c>
      <c r="U13" s="1">
        <v>0.80900063384745402</v>
      </c>
      <c r="V13" s="10">
        <v>0.75303420375137919</v>
      </c>
      <c r="W13" s="10">
        <v>0.72164316370324955</v>
      </c>
      <c r="X13" s="10">
        <v>0.7385057471264368</v>
      </c>
      <c r="Y13" s="10">
        <v>0.77315689981096414</v>
      </c>
      <c r="Z13" s="10">
        <v>0.78904109589041094</v>
      </c>
      <c r="AA13" s="10">
        <v>0.74470669906282538</v>
      </c>
      <c r="AB13" s="10">
        <v>0.70833333333333337</v>
      </c>
      <c r="AC13" s="10">
        <v>0.73194888178913742</v>
      </c>
      <c r="AD13" s="10">
        <v>0.71603677221654749</v>
      </c>
      <c r="AE13" s="10">
        <v>0.78683148335015141</v>
      </c>
      <c r="AF13" s="10">
        <v>0.71716818287846984</v>
      </c>
      <c r="AG13" s="10">
        <v>0.67307008182141581</v>
      </c>
      <c r="AH13" s="10">
        <v>0.70881226053639845</v>
      </c>
      <c r="AI13" s="10">
        <v>0.69706028898854011</v>
      </c>
      <c r="AJ13" s="10">
        <v>0.75724158212027648</v>
      </c>
      <c r="AK13" s="10">
        <v>0.73044798785117693</v>
      </c>
      <c r="AL13" s="10">
        <v>0.68770521707406052</v>
      </c>
      <c r="AM13" s="10">
        <v>0.71492934671308617</v>
      </c>
      <c r="AN13" s="10">
        <v>0.71156893819334388</v>
      </c>
      <c r="AO13" s="10">
        <v>0.77445986298963643</v>
      </c>
      <c r="AP13" s="10">
        <v>0.72690259943626678</v>
      </c>
      <c r="AQ13" s="10">
        <v>0.70991699432066402</v>
      </c>
      <c r="AR13" s="10">
        <v>0.72104840866541853</v>
      </c>
      <c r="AS13" s="10">
        <v>0.71489361702127663</v>
      </c>
      <c r="AT13" s="10">
        <v>0.78348461368164712</v>
      </c>
      <c r="AU13" s="10">
        <v>0.7103017689906348</v>
      </c>
      <c r="AV13" s="10">
        <v>0.67775229357798161</v>
      </c>
      <c r="AW13" s="10">
        <v>0.69819193324061191</v>
      </c>
      <c r="AX13" s="10">
        <v>0.70386039132734002</v>
      </c>
      <c r="AY13" s="10">
        <v>0.77539114293290901</v>
      </c>
      <c r="AZ13" s="10">
        <v>0.70562499999999995</v>
      </c>
      <c r="BA13" s="10">
        <v>0.66666666666666663</v>
      </c>
      <c r="BB13" s="10">
        <v>0.69667318982387472</v>
      </c>
      <c r="BC13" s="10">
        <v>0.70894308943089435</v>
      </c>
      <c r="BD13" s="10">
        <v>0.75515251442704034</v>
      </c>
    </row>
    <row r="14" spans="1:56" x14ac:dyDescent="0.35">
      <c r="A14" s="4" t="s">
        <v>90</v>
      </c>
      <c r="B14" s="10">
        <v>4.6848381601362864E-3</v>
      </c>
      <c r="C14" s="10">
        <v>2.3273855702094651E-3</v>
      </c>
      <c r="D14" s="10">
        <v>0</v>
      </c>
      <c r="E14" s="10">
        <v>1.5174506828528069E-3</v>
      </c>
      <c r="F14" s="10">
        <v>1.5110305228165611E-3</v>
      </c>
      <c r="G14" s="10">
        <v>5.8545550013126807E-2</v>
      </c>
      <c r="H14" s="10">
        <v>0.12927756653992389</v>
      </c>
      <c r="I14" s="10">
        <v>8.2586125530910812E-2</v>
      </c>
      <c r="J14" s="10">
        <v>8.2962962962962961E-2</v>
      </c>
      <c r="K14" s="10">
        <v>0.132214955928348</v>
      </c>
      <c r="L14" s="10">
        <v>0.17049085100203309</v>
      </c>
      <c r="M14" s="10">
        <v>0.20661157024793389</v>
      </c>
      <c r="N14" s="10">
        <v>0.16009083167754751</v>
      </c>
      <c r="O14" s="10">
        <v>0.19940253920836451</v>
      </c>
      <c r="P14" s="10">
        <v>0.25784034212402002</v>
      </c>
      <c r="Q14" s="10">
        <v>0.15781445014561091</v>
      </c>
      <c r="R14" s="10">
        <v>0.19425087108013939</v>
      </c>
      <c r="S14" s="10">
        <v>0.16319363146804031</v>
      </c>
      <c r="T14" s="10">
        <v>0.21285627653123099</v>
      </c>
      <c r="U14" s="10">
        <v>0.25375026410310592</v>
      </c>
      <c r="V14" s="10">
        <v>0.15943361529974259</v>
      </c>
      <c r="W14" s="10">
        <v>0.1784181483752299</v>
      </c>
      <c r="X14" s="10">
        <v>0.16602809706257979</v>
      </c>
      <c r="Y14" s="10">
        <v>0.22495274102079399</v>
      </c>
      <c r="Z14" s="10">
        <v>0.25808219178082192</v>
      </c>
      <c r="AA14" s="10">
        <v>0.1768483165567511</v>
      </c>
      <c r="AB14" s="10">
        <v>0.20087064676616909</v>
      </c>
      <c r="AC14" s="10">
        <v>0.20063897763578281</v>
      </c>
      <c r="AD14" s="10">
        <v>0.23493360572012259</v>
      </c>
      <c r="AE14" s="10">
        <v>0.27371342078708383</v>
      </c>
      <c r="AF14" s="10">
        <v>0.18381152320970379</v>
      </c>
      <c r="AG14" s="10">
        <v>0.2134471718249733</v>
      </c>
      <c r="AH14" s="10">
        <v>0.2020568663036903</v>
      </c>
      <c r="AI14" s="10">
        <v>0.25909317389138009</v>
      </c>
      <c r="AJ14" s="10">
        <v>0.27745919717688577</v>
      </c>
      <c r="AK14" s="10">
        <v>0.1365477094406479</v>
      </c>
      <c r="AL14" s="10">
        <v>0.15943086464793871</v>
      </c>
      <c r="AM14" s="10">
        <v>0.15584681548228549</v>
      </c>
      <c r="AN14" s="10">
        <v>0.23296354992076071</v>
      </c>
      <c r="AO14" s="10">
        <v>0.23713332162304579</v>
      </c>
      <c r="AP14" s="10">
        <v>0.14453492013780139</v>
      </c>
      <c r="AQ14" s="10">
        <v>0.16819571865443431</v>
      </c>
      <c r="AR14" s="10">
        <v>0.16127306766515109</v>
      </c>
      <c r="AS14" s="10">
        <v>0.1984042553191489</v>
      </c>
      <c r="AT14" s="10">
        <v>0.22736329422182869</v>
      </c>
      <c r="AU14" s="10">
        <v>3.870967741935484E-2</v>
      </c>
      <c r="AV14" s="10">
        <v>4.5871559633027532E-2</v>
      </c>
      <c r="AW14" s="10">
        <v>5.0764951321279547E-2</v>
      </c>
      <c r="AX14" s="10">
        <v>7.615018508725542E-2</v>
      </c>
      <c r="AY14" s="10">
        <v>8.0084858127817557E-2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</row>
    <row r="15" spans="1:56" x14ac:dyDescent="0.35">
      <c r="A15" s="4" t="s">
        <v>91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0">
        <v>1</v>
      </c>
      <c r="W15" s="10">
        <v>1</v>
      </c>
      <c r="X15" s="10">
        <v>1</v>
      </c>
      <c r="Y15" s="10">
        <v>1</v>
      </c>
      <c r="Z15" s="10">
        <v>1</v>
      </c>
      <c r="AA15" s="10">
        <v>1</v>
      </c>
      <c r="AB15" s="10">
        <v>1</v>
      </c>
      <c r="AC15" s="10">
        <v>1</v>
      </c>
      <c r="AD15" s="10">
        <v>1</v>
      </c>
      <c r="AE15" s="10">
        <v>1</v>
      </c>
      <c r="AF15" s="10">
        <v>1</v>
      </c>
      <c r="AG15" s="10">
        <v>1</v>
      </c>
      <c r="AH15" s="10">
        <v>1</v>
      </c>
      <c r="AI15" s="10">
        <v>1</v>
      </c>
      <c r="AJ15" s="10">
        <v>1</v>
      </c>
      <c r="AK15" s="10">
        <v>1</v>
      </c>
      <c r="AL15" s="10">
        <v>1</v>
      </c>
      <c r="AM15" s="10">
        <v>1</v>
      </c>
      <c r="AN15" s="10">
        <v>1</v>
      </c>
      <c r="AO15" s="10">
        <v>1</v>
      </c>
      <c r="AP15" s="10">
        <v>1</v>
      </c>
      <c r="AQ15" s="10">
        <v>1</v>
      </c>
      <c r="AR15" s="10">
        <v>1</v>
      </c>
      <c r="AS15" s="10">
        <v>1</v>
      </c>
      <c r="AT15" s="10">
        <v>1</v>
      </c>
      <c r="AU15" s="10">
        <v>1</v>
      </c>
      <c r="AV15" s="10">
        <v>1</v>
      </c>
      <c r="AW15" s="10">
        <v>1</v>
      </c>
      <c r="AX15" s="10">
        <v>1</v>
      </c>
      <c r="AY15" s="10">
        <v>1</v>
      </c>
      <c r="AZ15" s="10">
        <v>1</v>
      </c>
      <c r="BA15" s="10">
        <v>1</v>
      </c>
      <c r="BB15" s="10">
        <v>1</v>
      </c>
      <c r="BC15" s="10">
        <v>1</v>
      </c>
      <c r="BD15" s="10">
        <v>1</v>
      </c>
    </row>
    <row r="16" spans="1:56" x14ac:dyDescent="0.35">
      <c r="A16" s="4" t="s">
        <v>92</v>
      </c>
      <c r="B16" s="1">
        <v>5.2810902896081771E-2</v>
      </c>
      <c r="C16" s="1">
        <v>5.4305663304887508E-2</v>
      </c>
      <c r="D16" s="1">
        <v>4.4285714285714282E-2</v>
      </c>
      <c r="E16" s="1">
        <v>2.8831562974203341E-2</v>
      </c>
      <c r="F16" s="1">
        <v>0</v>
      </c>
      <c r="G16" s="1">
        <v>4.463113678130743E-2</v>
      </c>
      <c r="H16" s="1">
        <v>4.1191381495564013E-2</v>
      </c>
      <c r="I16" s="1">
        <v>3.303445021236432E-2</v>
      </c>
      <c r="J16" s="1">
        <v>1.7777777777777781E-2</v>
      </c>
      <c r="K16" s="1">
        <v>0</v>
      </c>
      <c r="L16" s="1">
        <v>4.3857101365088587E-2</v>
      </c>
      <c r="M16" s="1">
        <v>5.2735143644234553E-2</v>
      </c>
      <c r="N16" s="1">
        <v>3.9455009934714728E-2</v>
      </c>
      <c r="O16" s="1">
        <v>4.2569081404032857E-2</v>
      </c>
      <c r="P16" s="1">
        <v>0</v>
      </c>
      <c r="Q16" s="1">
        <v>5.1033143808071002E-2</v>
      </c>
      <c r="R16" s="1">
        <v>6.0540069686411152E-2</v>
      </c>
      <c r="S16" s="1">
        <v>4.1442285179114961E-2</v>
      </c>
      <c r="T16" s="1">
        <v>5.7004244996967858E-2</v>
      </c>
      <c r="U16" s="1">
        <v>0</v>
      </c>
      <c r="V16" s="10">
        <v>5.3512320706141973E-2</v>
      </c>
      <c r="W16" s="10">
        <v>5.2728387492335993E-2</v>
      </c>
      <c r="X16" s="10">
        <v>4.4699872286079183E-2</v>
      </c>
      <c r="Y16" s="10">
        <v>5.4820415879017023E-2</v>
      </c>
      <c r="Z16" s="10">
        <v>0</v>
      </c>
      <c r="AA16" s="10">
        <v>5.189170426935092E-2</v>
      </c>
      <c r="AB16" s="10">
        <v>5.6592039800995017E-2</v>
      </c>
      <c r="AC16" s="10">
        <v>4.3769968051118213E-2</v>
      </c>
      <c r="AD16" s="10">
        <v>4.8008171603677222E-2</v>
      </c>
      <c r="AE16" s="10">
        <v>0</v>
      </c>
      <c r="AF16" s="10">
        <v>5.5633310006997901E-2</v>
      </c>
      <c r="AG16" s="10">
        <v>5.4073283528993238E-2</v>
      </c>
      <c r="AH16" s="10">
        <v>4.7388586408550107E-2</v>
      </c>
      <c r="AI16" s="10">
        <v>4.5341305430991533E-2</v>
      </c>
      <c r="AJ16" s="10">
        <v>0</v>
      </c>
      <c r="AK16" s="10">
        <v>4.4672234877246267E-2</v>
      </c>
      <c r="AL16" s="10">
        <v>5.8372856621670917E-2</v>
      </c>
      <c r="AM16" s="10">
        <v>3.8091337292647957E-2</v>
      </c>
      <c r="AN16" s="10">
        <v>5.4410987849973592E-2</v>
      </c>
      <c r="AO16" s="10">
        <v>0</v>
      </c>
      <c r="AP16" s="10">
        <v>4.1340432195427497E-2</v>
      </c>
      <c r="AQ16" s="10">
        <v>5.0677151594582789E-2</v>
      </c>
      <c r="AR16" s="10">
        <v>4.0652580903985019E-2</v>
      </c>
      <c r="AS16" s="10">
        <v>5.0531914893617018E-2</v>
      </c>
      <c r="AT16" s="10">
        <v>0</v>
      </c>
      <c r="AU16" s="10">
        <v>3.7252861602497397E-2</v>
      </c>
      <c r="AV16" s="10">
        <v>4.3004587155963302E-2</v>
      </c>
      <c r="AW16" s="10">
        <v>4.1029207232267037E-2</v>
      </c>
      <c r="AX16" s="10">
        <v>4.4949762030671601E-2</v>
      </c>
      <c r="AY16" s="10">
        <v>0</v>
      </c>
      <c r="AZ16" s="10">
        <v>0.04</v>
      </c>
      <c r="BA16" s="10">
        <v>4.0404040404040407E-2</v>
      </c>
      <c r="BB16" s="10">
        <v>4.2074363992172209E-2</v>
      </c>
      <c r="BC16" s="10">
        <v>3.7398373983739838E-2</v>
      </c>
      <c r="BD16" s="10">
        <v>0</v>
      </c>
    </row>
    <row r="17" spans="1:56" x14ac:dyDescent="0.35">
      <c r="A17" s="4" t="s">
        <v>93</v>
      </c>
      <c r="B17" s="11">
        <v>9.5826235093696768E-2</v>
      </c>
      <c r="C17" s="11">
        <v>6.5166795965865013E-2</v>
      </c>
      <c r="D17" s="11">
        <v>7.1428571428571425E-2</v>
      </c>
      <c r="E17" s="11">
        <v>7.5872534142640363E-2</v>
      </c>
      <c r="F17" s="11">
        <v>9.5194922937443333E-2</v>
      </c>
      <c r="G17" s="11">
        <v>0.1136781307429772</v>
      </c>
      <c r="H17" s="11">
        <v>7.731305449936629E-2</v>
      </c>
      <c r="I17" s="11">
        <v>7.1731949032562525E-2</v>
      </c>
      <c r="J17" s="11">
        <v>5.7777777777777782E-2</v>
      </c>
      <c r="K17" s="11">
        <v>0.1074779641740119</v>
      </c>
      <c r="L17" s="11">
        <v>0.16947429567237871</v>
      </c>
      <c r="M17" s="11">
        <v>0.1078315623770169</v>
      </c>
      <c r="N17" s="11">
        <v>0.1319897814362759</v>
      </c>
      <c r="O17" s="11">
        <v>0.1127707244212099</v>
      </c>
      <c r="P17" s="11">
        <v>0.16233071988595871</v>
      </c>
      <c r="Q17" s="11">
        <v>0.12910830675357091</v>
      </c>
      <c r="R17" s="11">
        <v>9.7125435540069679E-2</v>
      </c>
      <c r="S17" s="11">
        <v>0.1023179583235776</v>
      </c>
      <c r="T17" s="11">
        <v>9.4602789569436019E-2</v>
      </c>
      <c r="U17" s="11">
        <v>0.13564335516585671</v>
      </c>
      <c r="V17" s="10">
        <v>0.1083118793674145</v>
      </c>
      <c r="W17" s="10">
        <v>9.6873083997547516E-2</v>
      </c>
      <c r="X17" s="10">
        <v>9.8339719029374204E-2</v>
      </c>
      <c r="Y17" s="10">
        <v>8.9792060491493381E-2</v>
      </c>
      <c r="Z17" s="10">
        <v>0.13479452054794519</v>
      </c>
      <c r="AA17" s="10">
        <v>0.12582436653939599</v>
      </c>
      <c r="AB17" s="10">
        <v>0.12935323383084579</v>
      </c>
      <c r="AC17" s="10">
        <v>0.1217252396166134</v>
      </c>
      <c r="AD17" s="10">
        <v>0.14402451481103171</v>
      </c>
      <c r="AE17" s="10">
        <v>0.17230070635721489</v>
      </c>
      <c r="AF17" s="10">
        <v>0.21308607417774669</v>
      </c>
      <c r="AG17" s="10">
        <v>0.1725364638918534</v>
      </c>
      <c r="AH17" s="10">
        <v>0.18249647106271419</v>
      </c>
      <c r="AI17" s="10">
        <v>0.22720478325859489</v>
      </c>
      <c r="AJ17" s="10">
        <v>0.25922658432583451</v>
      </c>
      <c r="AK17" s="10">
        <v>0.14527967603138439</v>
      </c>
      <c r="AL17" s="10">
        <v>0.11492156147391459</v>
      </c>
      <c r="AM17" s="10">
        <v>0.12328486586115089</v>
      </c>
      <c r="AN17" s="10">
        <v>0.16481774960380349</v>
      </c>
      <c r="AO17" s="10">
        <v>0.1900579659230634</v>
      </c>
      <c r="AP17" s="10">
        <v>0.1554963983714375</v>
      </c>
      <c r="AQ17" s="10">
        <v>0.12975098296199211</v>
      </c>
      <c r="AR17" s="10">
        <v>0.1350628510296871</v>
      </c>
      <c r="AS17" s="10">
        <v>0.18191489361702129</v>
      </c>
      <c r="AT17" s="10">
        <v>0.18729245074164269</v>
      </c>
      <c r="AU17" s="10">
        <v>0.1317377731529657</v>
      </c>
      <c r="AV17" s="10">
        <v>0.12327981651376151</v>
      </c>
      <c r="AW17" s="10">
        <v>0.1182197496522949</v>
      </c>
      <c r="AX17" s="10">
        <v>0.18085668958223161</v>
      </c>
      <c r="AY17" s="10">
        <v>0.1646778042959427</v>
      </c>
      <c r="AZ17" s="10">
        <v>0.11812499999999999</v>
      </c>
      <c r="BA17" s="10">
        <v>0.1161616161616162</v>
      </c>
      <c r="BB17" s="10">
        <v>0.1066536203522505</v>
      </c>
      <c r="BC17" s="10">
        <v>0.15284552845528451</v>
      </c>
      <c r="BD17" s="10">
        <v>0.14344600164880461</v>
      </c>
    </row>
    <row r="18" spans="1:56" x14ac:dyDescent="0.35">
      <c r="A18" s="4" t="s">
        <v>94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1.049685094471658E-2</v>
      </c>
      <c r="AG18" s="10">
        <v>1.422981145499822E-2</v>
      </c>
      <c r="AH18" s="10">
        <v>1.0082677959265981E-2</v>
      </c>
      <c r="AI18" s="10">
        <v>6.9755854509217742E-3</v>
      </c>
      <c r="AJ18" s="10">
        <v>5.5874136156447594E-3</v>
      </c>
      <c r="AK18" s="10">
        <v>1.354087572766388E-2</v>
      </c>
      <c r="AL18" s="10">
        <v>1.4228383801532289E-2</v>
      </c>
      <c r="AM18" s="10">
        <v>1.4540241654720461E-2</v>
      </c>
      <c r="AN18" s="10">
        <v>9.5087163232963554E-3</v>
      </c>
      <c r="AO18" s="10">
        <v>8.4314069910416296E-3</v>
      </c>
      <c r="AP18" s="10">
        <v>1.6755402442843719E-2</v>
      </c>
      <c r="AQ18" s="10">
        <v>1.135867190913062E-2</v>
      </c>
      <c r="AR18" s="10">
        <v>1.3372559507889809E-2</v>
      </c>
      <c r="AS18" s="10">
        <v>7.4468085106382982E-3</v>
      </c>
      <c r="AT18" s="10">
        <v>9.9623644011512073E-3</v>
      </c>
      <c r="AU18" s="10">
        <v>1.727367325702393E-2</v>
      </c>
      <c r="AV18" s="10">
        <v>1.834862385321101E-2</v>
      </c>
      <c r="AW18" s="10">
        <v>9.7357440890125171E-3</v>
      </c>
      <c r="AX18" s="10">
        <v>1.1634056054997359E-2</v>
      </c>
      <c r="AY18" s="10">
        <v>1.060726597719438E-2</v>
      </c>
      <c r="AZ18" s="10">
        <v>6.875E-3</v>
      </c>
      <c r="BA18" s="10">
        <v>1.515151515151515E-2</v>
      </c>
      <c r="BB18" s="10">
        <v>3.9138943248532287E-3</v>
      </c>
      <c r="BC18" s="10">
        <v>3.2520325203252028E-3</v>
      </c>
      <c r="BD18" s="10">
        <v>4.1220115416323163E-3</v>
      </c>
    </row>
    <row r="19" spans="1:56" x14ac:dyDescent="0.35">
      <c r="A19" s="4" t="s">
        <v>95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1.481222299976674E-2</v>
      </c>
      <c r="AG19" s="10">
        <v>2.2056207755247241E-2</v>
      </c>
      <c r="AH19" s="10">
        <v>1.7745513208308129E-2</v>
      </c>
      <c r="AI19" s="10">
        <v>1.444942700548082E-2</v>
      </c>
      <c r="AJ19" s="10">
        <v>1.2939273636229969E-2</v>
      </c>
      <c r="AK19" s="10">
        <v>1.5439129334345729E-2</v>
      </c>
      <c r="AL19" s="10">
        <v>2.1524990879241149E-2</v>
      </c>
      <c r="AM19" s="10">
        <v>1.863608437436003E-2</v>
      </c>
      <c r="AN19" s="10">
        <v>2.1130480718436349E-2</v>
      </c>
      <c r="AO19" s="10">
        <v>1.5633233795889691E-2</v>
      </c>
      <c r="AP19" s="10">
        <v>1.1587848418415279E-2</v>
      </c>
      <c r="AQ19" s="10">
        <v>1.8785495849716029E-2</v>
      </c>
      <c r="AR19" s="10">
        <v>1.658197378978336E-2</v>
      </c>
      <c r="AS19" s="10">
        <v>1.861702127659574E-2</v>
      </c>
      <c r="AT19" s="10">
        <v>1.416869603719283E-2</v>
      </c>
      <c r="AU19" s="10">
        <v>1.1030176899063481E-2</v>
      </c>
      <c r="AV19" s="10">
        <v>1.548165137614679E-2</v>
      </c>
      <c r="AW19" s="10">
        <v>1.495132127955494E-2</v>
      </c>
      <c r="AX19" s="10">
        <v>1.8508725542041249E-2</v>
      </c>
      <c r="AY19" s="10">
        <v>1.5645717316361711E-2</v>
      </c>
      <c r="AZ19" s="10">
        <v>6.2500000000000003E-3</v>
      </c>
      <c r="BA19" s="10">
        <v>1.8518518518518521E-2</v>
      </c>
      <c r="BB19" s="10">
        <v>5.8708414872798431E-3</v>
      </c>
      <c r="BC19" s="10">
        <v>4.8780487804878049E-3</v>
      </c>
      <c r="BD19" s="10">
        <v>9.8928276999175595E-3</v>
      </c>
    </row>
    <row r="20" spans="1:56" x14ac:dyDescent="0.35">
      <c r="A20" s="4" t="s">
        <v>96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0">
        <v>1</v>
      </c>
      <c r="W20" s="10">
        <v>1</v>
      </c>
      <c r="X20" s="10">
        <v>1</v>
      </c>
      <c r="Y20" s="10">
        <v>1</v>
      </c>
      <c r="Z20" s="10">
        <v>1</v>
      </c>
      <c r="AA20" s="10">
        <v>1</v>
      </c>
      <c r="AB20" s="10">
        <v>1</v>
      </c>
      <c r="AC20" s="10">
        <v>1</v>
      </c>
      <c r="AD20" s="10">
        <v>1</v>
      </c>
      <c r="AE20" s="10">
        <v>1</v>
      </c>
      <c r="AF20" s="10">
        <v>0.97469092605551677</v>
      </c>
      <c r="AG20" s="10">
        <v>0.96371398078975457</v>
      </c>
      <c r="AH20" s="10">
        <v>0.97217180883242593</v>
      </c>
      <c r="AI20" s="10">
        <v>0.9785749875435974</v>
      </c>
      <c r="AJ20" s="10">
        <v>0.98147331274812533</v>
      </c>
      <c r="AK20" s="10">
        <v>0.97101999493799029</v>
      </c>
      <c r="AL20" s="10">
        <v>0.96424662531922656</v>
      </c>
      <c r="AM20" s="10">
        <v>0.96682367397091951</v>
      </c>
      <c r="AN20" s="10">
        <v>0.96936080295826732</v>
      </c>
      <c r="AO20" s="10">
        <v>0.97593535921306873</v>
      </c>
      <c r="AP20" s="10">
        <v>0.971656749138741</v>
      </c>
      <c r="AQ20" s="10">
        <v>0.96985583224115335</v>
      </c>
      <c r="AR20" s="10">
        <v>0.97004546670232683</v>
      </c>
      <c r="AS20" s="10">
        <v>0.97393617021276602</v>
      </c>
      <c r="AT20" s="10">
        <v>0.97586893956165599</v>
      </c>
      <c r="AU20" s="10">
        <v>0.97169614984391262</v>
      </c>
      <c r="AV20" s="10">
        <v>0.96616972477064222</v>
      </c>
      <c r="AW20" s="10">
        <v>0.97531293463143254</v>
      </c>
      <c r="AX20" s="10">
        <v>0.96985721840296146</v>
      </c>
      <c r="AY20" s="10">
        <v>0.97374701670644392</v>
      </c>
      <c r="AZ20" s="10">
        <v>0.98687500000000006</v>
      </c>
      <c r="BA20" s="10">
        <v>0.96632996632996637</v>
      </c>
      <c r="BB20" s="10">
        <v>0.99021526418786698</v>
      </c>
      <c r="BC20" s="10">
        <v>0.99186991869918695</v>
      </c>
      <c r="BD20" s="10">
        <v>0.98598516075845022</v>
      </c>
    </row>
    <row r="21" spans="1:56" x14ac:dyDescent="0.35">
      <c r="A21" s="4" t="s">
        <v>97</v>
      </c>
      <c r="B21" s="1">
        <v>2.1294718909710391E-2</v>
      </c>
      <c r="C21" s="1">
        <v>2.482544608223429E-2</v>
      </c>
      <c r="D21" s="1">
        <v>1.2142857142857139E-2</v>
      </c>
      <c r="E21" s="1">
        <v>1.3657056145675269E-2</v>
      </c>
      <c r="F21" s="1">
        <v>2.1154427319431849E-2</v>
      </c>
      <c r="G21" s="1">
        <v>1.864006300866369E-2</v>
      </c>
      <c r="H21" s="1">
        <v>1.5842839036755391E-2</v>
      </c>
      <c r="I21" s="1">
        <v>2.076451156205757E-2</v>
      </c>
      <c r="J21" s="1">
        <v>1.4814814814814821E-2</v>
      </c>
      <c r="K21" s="1">
        <v>1.9618993460335511E-2</v>
      </c>
      <c r="L21" s="1">
        <v>1.8443218123729309E-2</v>
      </c>
      <c r="M21" s="1">
        <v>2.282565918929555E-2</v>
      </c>
      <c r="N21" s="1">
        <v>1.8450184501845018E-2</v>
      </c>
      <c r="O21" s="1">
        <v>2.1657953696788652E-2</v>
      </c>
      <c r="P21" s="1">
        <v>1.5680684248039919E-2</v>
      </c>
      <c r="Q21" s="1">
        <v>1.8860074885591459E-2</v>
      </c>
      <c r="R21" s="1">
        <v>2.482578397212544E-2</v>
      </c>
      <c r="S21" s="1">
        <v>2.2477171622570829E-2</v>
      </c>
      <c r="T21" s="1">
        <v>2.6682838083687078E-2</v>
      </c>
      <c r="U21" s="1">
        <v>1.5846186351151492E-2</v>
      </c>
      <c r="V21" s="10">
        <v>2.0963589554983449E-2</v>
      </c>
      <c r="W21" s="10">
        <v>3.0656039239730232E-2</v>
      </c>
      <c r="X21" s="10">
        <v>2.2669220945083019E-2</v>
      </c>
      <c r="Y21" s="10">
        <v>1.9848771266540641E-2</v>
      </c>
      <c r="Z21" s="10">
        <v>1.9178082191780819E-2</v>
      </c>
      <c r="AA21" s="10">
        <v>1.9090593543908369E-2</v>
      </c>
      <c r="AB21" s="10">
        <v>1.9278606965174128E-2</v>
      </c>
      <c r="AC21" s="10">
        <v>2.07667731629393E-2</v>
      </c>
      <c r="AD21" s="10">
        <v>3.472931562819203E-2</v>
      </c>
      <c r="AE21" s="10">
        <v>1.7911200807265389E-2</v>
      </c>
      <c r="AF21" s="10">
        <v>2.0877070212269651E-2</v>
      </c>
      <c r="AG21" s="10">
        <v>2.098897189612238E-2</v>
      </c>
      <c r="AH21" s="10">
        <v>2.0971970155273242E-2</v>
      </c>
      <c r="AI21" s="10">
        <v>1.893373193821624E-2</v>
      </c>
      <c r="AJ21" s="10">
        <v>1.5144831642405531E-2</v>
      </c>
      <c r="AK21" s="10">
        <v>1.999493799038218E-2</v>
      </c>
      <c r="AL21" s="10">
        <v>2.0430499817584821E-2</v>
      </c>
      <c r="AM21" s="10">
        <v>1.925046078230596E-2</v>
      </c>
      <c r="AN21" s="10">
        <v>2.5356576862123611E-2</v>
      </c>
      <c r="AO21" s="10">
        <v>1.8795011417530299E-2</v>
      </c>
      <c r="AP21" s="10">
        <v>2.0357031005324148E-2</v>
      </c>
      <c r="AQ21" s="10">
        <v>2.664919178680647E-2</v>
      </c>
      <c r="AR21" s="10">
        <v>2.5942765445306229E-2</v>
      </c>
      <c r="AS21" s="10">
        <v>2.3936170212765961E-2</v>
      </c>
      <c r="AT21" s="10">
        <v>1.6825326544166481E-2</v>
      </c>
      <c r="AU21" s="10">
        <v>2.601456815816857E-2</v>
      </c>
      <c r="AV21" s="10">
        <v>2.5229357798165139E-2</v>
      </c>
      <c r="AW21" s="10">
        <v>1.842837273991655E-2</v>
      </c>
      <c r="AX21" s="10">
        <v>2.2210470650449499E-2</v>
      </c>
      <c r="AY21" s="10">
        <v>1.8827897109520021E-2</v>
      </c>
      <c r="AZ21" s="10">
        <v>1.4375000000000001E-2</v>
      </c>
      <c r="BA21" s="10">
        <v>1.1784511784511779E-2</v>
      </c>
      <c r="BB21" s="10">
        <v>2.0547945205479451E-2</v>
      </c>
      <c r="BC21" s="10">
        <v>2.2764227642276421E-2</v>
      </c>
      <c r="BD21" s="10">
        <v>1.5663643858202798E-2</v>
      </c>
    </row>
    <row r="22" spans="1:56" x14ac:dyDescent="0.35">
      <c r="A22" s="4" t="s">
        <v>98</v>
      </c>
      <c r="B22" s="1">
        <v>1.007478705281091</v>
      </c>
      <c r="C22" s="1">
        <v>1.011466252909232</v>
      </c>
      <c r="D22" s="1">
        <v>1.0089571428571431</v>
      </c>
      <c r="E22" s="1">
        <v>0.99509863429438561</v>
      </c>
      <c r="F22" s="1">
        <v>1.004170444242974</v>
      </c>
      <c r="G22" s="1">
        <v>1.0038934103439221</v>
      </c>
      <c r="H22" s="1">
        <v>1.0154752851711031</v>
      </c>
      <c r="I22" s="1">
        <v>1.017862199150543</v>
      </c>
      <c r="J22" s="1">
        <v>1.005125925925926</v>
      </c>
      <c r="K22" s="1">
        <v>0.99352573215808926</v>
      </c>
      <c r="L22" s="1">
        <v>0.99946267789718257</v>
      </c>
      <c r="M22" s="1">
        <v>1.0019165682802049</v>
      </c>
      <c r="N22" s="1">
        <v>1.010184501845018</v>
      </c>
      <c r="O22" s="1">
        <v>0.99893203883495163</v>
      </c>
      <c r="P22" s="1">
        <v>0.98619743406985028</v>
      </c>
      <c r="Q22" s="1">
        <v>0.99368742199417559</v>
      </c>
      <c r="R22" s="1">
        <v>1.0074608013937281</v>
      </c>
      <c r="S22" s="1">
        <v>1.01296651837977</v>
      </c>
      <c r="T22" s="1">
        <v>0.99130988477865378</v>
      </c>
      <c r="U22" s="1">
        <v>0.98650327487851275</v>
      </c>
      <c r="V22" s="10">
        <v>0.99722140492828248</v>
      </c>
      <c r="W22" s="10">
        <v>1.004175352544451</v>
      </c>
      <c r="X22" s="10">
        <v>1.0066155810983399</v>
      </c>
      <c r="Y22" s="10">
        <v>0.98942344045368613</v>
      </c>
      <c r="Z22" s="10">
        <v>0.98801917808219175</v>
      </c>
      <c r="AA22" s="10">
        <v>0.99625997917389797</v>
      </c>
      <c r="AB22" s="10">
        <v>0.99943407960199004</v>
      </c>
      <c r="AC22" s="10">
        <v>1.004466453674121</v>
      </c>
      <c r="AD22" s="10">
        <v>0.98312563840653733</v>
      </c>
      <c r="AE22" s="10">
        <v>0.99189959636730574</v>
      </c>
      <c r="AF22" s="10">
        <v>1.0027315138791699</v>
      </c>
      <c r="AG22" s="10">
        <v>0.99371753824261833</v>
      </c>
      <c r="AH22" s="10">
        <v>0.99172615446662638</v>
      </c>
      <c r="AI22" s="10">
        <v>0.99033881415047342</v>
      </c>
      <c r="AJ22" s="10">
        <v>0.99982943684752246</v>
      </c>
      <c r="AK22" s="10">
        <v>0.99888635788408009</v>
      </c>
      <c r="AL22" s="10">
        <v>0.9867420649398031</v>
      </c>
      <c r="AM22" s="10">
        <v>0.99047306983411831</v>
      </c>
      <c r="AN22" s="10">
        <v>0.99120972002113039</v>
      </c>
      <c r="AO22" s="10">
        <v>0.9938310205515547</v>
      </c>
      <c r="AP22" s="10">
        <v>0.99015189476980903</v>
      </c>
      <c r="AQ22" s="10">
        <v>0.98099606815203144</v>
      </c>
      <c r="AR22" s="10">
        <v>0.98321476330569668</v>
      </c>
      <c r="AS22" s="10">
        <v>0.98831914893617023</v>
      </c>
      <c r="AT22" s="10">
        <v>0.99330086340491475</v>
      </c>
      <c r="AU22" s="10">
        <v>0.99287617065556721</v>
      </c>
      <c r="AV22" s="10">
        <v>0.98639334862385319</v>
      </c>
      <c r="AW22" s="10">
        <v>0.98615438108483999</v>
      </c>
      <c r="AX22" s="10">
        <v>0.99207826546800648</v>
      </c>
      <c r="AY22" s="10">
        <v>0.99865287722089635</v>
      </c>
      <c r="AZ22" s="10">
        <v>0.99753124999999998</v>
      </c>
      <c r="BA22" s="10">
        <v>0.9832828282828282</v>
      </c>
      <c r="BB22" s="10">
        <v>0.98640900195694725</v>
      </c>
      <c r="BC22" s="10">
        <v>0.99343089430894316</v>
      </c>
      <c r="BD22" s="10">
        <v>0.99323990107172311</v>
      </c>
    </row>
    <row r="23" spans="1:56" x14ac:dyDescent="0.35">
      <c r="A23" s="4" t="s">
        <v>99</v>
      </c>
      <c r="B23" s="1">
        <v>2.6405451448040889E-2</v>
      </c>
      <c r="C23" s="1">
        <v>1.9394879751745541E-2</v>
      </c>
      <c r="D23" s="1">
        <v>2.1428571428571429E-2</v>
      </c>
      <c r="E23" s="1">
        <v>2.7314112291350529E-2</v>
      </c>
      <c r="F23" s="1">
        <v>1.2390450287095799E-2</v>
      </c>
      <c r="G23" s="1">
        <v>2.1265423995799421E-2</v>
      </c>
      <c r="H23" s="1">
        <v>2.2813688212927761E-2</v>
      </c>
      <c r="I23" s="1">
        <v>2.7843322321849929E-2</v>
      </c>
      <c r="J23" s="1">
        <v>1.6296296296296291E-2</v>
      </c>
      <c r="K23" s="1">
        <v>8.8143303952232018E-3</v>
      </c>
      <c r="L23" s="1">
        <v>2.1783328492593668E-2</v>
      </c>
      <c r="M23" s="1">
        <v>1.967729240456513E-2</v>
      </c>
      <c r="N23" s="1">
        <v>1.8166335509508941E-2</v>
      </c>
      <c r="O23" s="1">
        <v>1.4189693801344289E-2</v>
      </c>
      <c r="P23" s="1">
        <v>1.051318602993585E-2</v>
      </c>
      <c r="Q23" s="1">
        <v>3.1618360837609209E-2</v>
      </c>
      <c r="R23" s="1">
        <v>2.221254355400697E-2</v>
      </c>
      <c r="S23" s="1">
        <v>1.9901662374151249E-2</v>
      </c>
      <c r="T23" s="1">
        <v>1.758641600970285E-2</v>
      </c>
      <c r="U23" s="1">
        <v>1.0141559264736951E-2</v>
      </c>
      <c r="V23" s="10">
        <v>4.7995586612725273E-2</v>
      </c>
      <c r="W23" s="10">
        <v>2.3911710606989579E-2</v>
      </c>
      <c r="X23" s="10">
        <v>2.043422733077906E-2</v>
      </c>
      <c r="Y23" s="10">
        <v>1.13421550094518E-2</v>
      </c>
      <c r="Z23" s="10">
        <v>1.315068493150685E-2</v>
      </c>
      <c r="AA23" s="10">
        <v>6.2998958694897605E-2</v>
      </c>
      <c r="AB23" s="10">
        <v>2.36318407960199E-2</v>
      </c>
      <c r="AC23" s="10">
        <v>1.94888178913738E-2</v>
      </c>
      <c r="AD23" s="10">
        <v>1.634320735444331E-2</v>
      </c>
      <c r="AE23" s="10">
        <v>1.1856710393541881E-2</v>
      </c>
      <c r="AF23" s="10">
        <v>4.5836249125262421E-2</v>
      </c>
      <c r="AG23" s="10">
        <v>2.845962290999644E-2</v>
      </c>
      <c r="AH23" s="10">
        <v>2.1576930832829199E-2</v>
      </c>
      <c r="AI23" s="10">
        <v>1.9431988041853511E-2</v>
      </c>
      <c r="AJ23" s="10">
        <v>1.205705043375974E-2</v>
      </c>
      <c r="AK23" s="10">
        <v>5.3151100987091873E-2</v>
      </c>
      <c r="AL23" s="10">
        <v>3.2469901495804449E-2</v>
      </c>
      <c r="AM23" s="10">
        <v>2.4165472045873441E-2</v>
      </c>
      <c r="AN23" s="10">
        <v>2.165874273639725E-2</v>
      </c>
      <c r="AO23" s="10">
        <v>1.3701036360442649E-2</v>
      </c>
      <c r="AP23" s="10">
        <v>4.713435640463514E-2</v>
      </c>
      <c r="AQ23" s="10">
        <v>3.1891655744866763E-2</v>
      </c>
      <c r="AR23" s="10">
        <v>2.728002139609521E-2</v>
      </c>
      <c r="AS23" s="10">
        <v>3.0319148936170211E-2</v>
      </c>
      <c r="AT23" s="10">
        <v>1.5497011290679661E-2</v>
      </c>
      <c r="AU23" s="10">
        <v>5.1404786680541097E-2</v>
      </c>
      <c r="AV23" s="10">
        <v>2.8096330275229359E-2</v>
      </c>
      <c r="AW23" s="10">
        <v>2.7468706536856749E-2</v>
      </c>
      <c r="AX23" s="10">
        <v>2.6969857218402959E-2</v>
      </c>
      <c r="AY23" s="10">
        <v>1.511535401750199E-2</v>
      </c>
      <c r="AZ23" s="10">
        <v>5.1249999999999997E-2</v>
      </c>
      <c r="BA23" s="10">
        <v>2.6936026936026931E-2</v>
      </c>
      <c r="BB23" s="10">
        <v>3.6203522504892373E-2</v>
      </c>
      <c r="BC23" s="10">
        <v>2.9268292682926831E-2</v>
      </c>
      <c r="BD23" s="10">
        <v>1.8961253091508659E-2</v>
      </c>
    </row>
    <row r="24" spans="1:56" x14ac:dyDescent="0.35">
      <c r="A24" s="4" t="s">
        <v>100</v>
      </c>
      <c r="B24" s="1">
        <v>0.9888426320272572</v>
      </c>
      <c r="C24" s="1">
        <v>1.010628394103956</v>
      </c>
      <c r="D24" s="1">
        <v>0.9781428571428572</v>
      </c>
      <c r="E24" s="1">
        <v>0.9789074355083458</v>
      </c>
      <c r="F24" s="1">
        <v>1.0386974916893319</v>
      </c>
      <c r="G24" s="1">
        <v>1.0088980047256499</v>
      </c>
      <c r="H24" s="1">
        <v>1.00063371356147</v>
      </c>
      <c r="I24" s="1">
        <v>0.98312883435582821</v>
      </c>
      <c r="J24" s="1">
        <v>0.96940740740740727</v>
      </c>
      <c r="K24" s="1">
        <v>1.014728461757179</v>
      </c>
      <c r="L24" s="1">
        <v>1.0255522073772869</v>
      </c>
      <c r="M24" s="1">
        <v>0.99114521841794567</v>
      </c>
      <c r="N24" s="1">
        <v>0.97319046267385756</v>
      </c>
      <c r="O24" s="1">
        <v>0.95552651232262864</v>
      </c>
      <c r="P24" s="1">
        <v>1.0296418389166071</v>
      </c>
      <c r="Q24" s="1">
        <v>1.0233015531826379</v>
      </c>
      <c r="R24" s="1">
        <v>0.97724303135888502</v>
      </c>
      <c r="S24" s="1">
        <v>0.94198080074923907</v>
      </c>
      <c r="T24" s="1">
        <v>0.91743480897513641</v>
      </c>
      <c r="U24" s="1">
        <v>1.030530319036552</v>
      </c>
      <c r="V24" s="10">
        <v>1.0078751379183519</v>
      </c>
      <c r="W24" s="10">
        <v>0.99595340282035549</v>
      </c>
      <c r="X24" s="10">
        <v>0.94749361430395918</v>
      </c>
      <c r="Y24" s="10">
        <v>0.89215500945179582</v>
      </c>
      <c r="Z24" s="10">
        <v>1.0360410958904109</v>
      </c>
      <c r="AA24" s="10">
        <v>1.018992971190559</v>
      </c>
      <c r="AB24" s="10">
        <v>0.99225746268656723</v>
      </c>
      <c r="AC24" s="10">
        <v>0.95231629392971229</v>
      </c>
      <c r="AD24" s="10">
        <v>0.91537282941777309</v>
      </c>
      <c r="AE24" s="10">
        <v>1.01813824419778</v>
      </c>
      <c r="AF24" s="10">
        <v>0.99765920223932802</v>
      </c>
      <c r="AG24" s="10">
        <v>0.96775168979011028</v>
      </c>
      <c r="AH24" s="10">
        <v>0.95596188747731392</v>
      </c>
      <c r="AI24" s="10">
        <v>0.9053064275037368</v>
      </c>
      <c r="AJ24" s="10">
        <v>1.0278047345978529</v>
      </c>
      <c r="AK24" s="10">
        <v>0.99360763097949878</v>
      </c>
      <c r="AL24" s="10">
        <v>0.95512586647209052</v>
      </c>
      <c r="AM24" s="10">
        <v>0.97015615400368604</v>
      </c>
      <c r="AN24" s="10">
        <v>0.93074484944532465</v>
      </c>
      <c r="AO24" s="10">
        <v>1.022501317407343</v>
      </c>
      <c r="AP24" s="10">
        <v>0.97141050735984968</v>
      </c>
      <c r="AQ24" s="10">
        <v>0.9385321100917432</v>
      </c>
      <c r="AR24" s="10">
        <v>0.96277881786573938</v>
      </c>
      <c r="AS24" s="10">
        <v>0.90031914893617015</v>
      </c>
      <c r="AT24" s="10">
        <v>1.029267212751827</v>
      </c>
      <c r="AU24" s="10">
        <v>0.94254370447450586</v>
      </c>
      <c r="AV24" s="10">
        <v>0.93107798165137601</v>
      </c>
      <c r="AW24" s="10">
        <v>0.95377520862308762</v>
      </c>
      <c r="AX24" s="10">
        <v>0.96488630354309879</v>
      </c>
      <c r="AY24" s="10">
        <v>0.99284009546539387</v>
      </c>
      <c r="AZ24" s="10">
        <v>0.97912499999999991</v>
      </c>
      <c r="BA24" s="10">
        <v>1</v>
      </c>
      <c r="BB24" s="10">
        <v>0.99970645792563606</v>
      </c>
      <c r="BC24" s="10">
        <v>1</v>
      </c>
      <c r="BD24" s="10">
        <v>1</v>
      </c>
    </row>
    <row r="25" spans="1:56" x14ac:dyDescent="0.35">
      <c r="A25" s="4" t="s">
        <v>77</v>
      </c>
      <c r="B25" s="1">
        <v>2348</v>
      </c>
      <c r="C25" s="1">
        <v>1289</v>
      </c>
      <c r="D25" s="1">
        <v>1400</v>
      </c>
      <c r="E25" s="1">
        <v>659</v>
      </c>
      <c r="F25" s="1">
        <v>3309</v>
      </c>
      <c r="G25" s="1">
        <v>3809</v>
      </c>
      <c r="H25" s="1">
        <v>1578</v>
      </c>
      <c r="I25" s="1">
        <v>2119</v>
      </c>
      <c r="J25" s="1">
        <v>675</v>
      </c>
      <c r="K25" s="1">
        <v>3517</v>
      </c>
      <c r="L25" s="1">
        <v>6886</v>
      </c>
      <c r="M25" s="1">
        <v>2541</v>
      </c>
      <c r="N25" s="1">
        <v>3523</v>
      </c>
      <c r="O25" s="1">
        <v>1339</v>
      </c>
      <c r="P25" s="1">
        <v>5612</v>
      </c>
      <c r="Q25" s="1">
        <v>7211</v>
      </c>
      <c r="R25" s="1">
        <v>2296</v>
      </c>
      <c r="S25" s="1">
        <v>4271</v>
      </c>
      <c r="T25" s="1">
        <v>1649</v>
      </c>
      <c r="U25" s="1">
        <v>4733</v>
      </c>
      <c r="V25" s="1">
        <v>5438</v>
      </c>
      <c r="W25" s="1">
        <v>1631</v>
      </c>
      <c r="X25" s="1">
        <v>3132</v>
      </c>
      <c r="Y25" s="1">
        <v>1058</v>
      </c>
      <c r="Z25" s="1">
        <v>3650</v>
      </c>
      <c r="AA25" s="1">
        <v>5762</v>
      </c>
      <c r="AB25" s="1">
        <v>1608</v>
      </c>
      <c r="AC25" s="1">
        <v>3130</v>
      </c>
      <c r="AD25" s="1">
        <v>979</v>
      </c>
      <c r="AE25" s="1">
        <v>3964</v>
      </c>
      <c r="AF25" s="1">
        <v>8574</v>
      </c>
      <c r="AG25" s="1">
        <v>2811</v>
      </c>
      <c r="AH25" s="1">
        <v>4959</v>
      </c>
      <c r="AI25" s="1">
        <v>2007</v>
      </c>
      <c r="AJ25" s="1">
        <v>6801</v>
      </c>
      <c r="AK25" s="1">
        <v>7902</v>
      </c>
      <c r="AL25" s="1">
        <v>2741</v>
      </c>
      <c r="AM25" s="1">
        <v>4883</v>
      </c>
      <c r="AN25" s="1">
        <v>1893</v>
      </c>
      <c r="AO25" s="1">
        <v>5693</v>
      </c>
      <c r="AP25" s="1">
        <v>6386</v>
      </c>
      <c r="AQ25" s="1">
        <v>2289</v>
      </c>
      <c r="AR25" s="1">
        <v>3739</v>
      </c>
      <c r="AS25" s="1">
        <v>1880</v>
      </c>
      <c r="AT25" s="1">
        <v>4517</v>
      </c>
      <c r="AU25" s="1">
        <v>4805</v>
      </c>
      <c r="AV25" s="1">
        <v>1744</v>
      </c>
      <c r="AW25" s="1">
        <v>2876</v>
      </c>
      <c r="AX25" s="1">
        <v>1891</v>
      </c>
      <c r="AY25" s="1">
        <v>3771</v>
      </c>
      <c r="AZ25" s="1">
        <v>1600</v>
      </c>
      <c r="BA25" s="1">
        <v>594</v>
      </c>
      <c r="BB25" s="1">
        <v>1022</v>
      </c>
      <c r="BC25" s="1">
        <v>615</v>
      </c>
      <c r="BD25" s="1">
        <v>1213</v>
      </c>
    </row>
    <row r="27" spans="1:56" x14ac:dyDescent="0.35">
      <c r="V27" t="s">
        <v>237</v>
      </c>
    </row>
    <row r="28" spans="1:56" x14ac:dyDescent="0.35">
      <c r="V28" t="s">
        <v>238</v>
      </c>
    </row>
    <row r="29" spans="1:56" x14ac:dyDescent="0.35">
      <c r="V29" t="s">
        <v>239</v>
      </c>
    </row>
    <row r="30" spans="1:56" x14ac:dyDescent="0.35">
      <c r="V30" t="s">
        <v>240</v>
      </c>
    </row>
    <row r="31" spans="1:56" x14ac:dyDescent="0.35">
      <c r="V31" t="s">
        <v>241</v>
      </c>
    </row>
    <row r="32" spans="1:56" x14ac:dyDescent="0.35">
      <c r="V32" t="s">
        <v>242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B48A1-C878-4114-BC42-6897C0679578}">
  <dimension ref="A1:CA71"/>
  <sheetViews>
    <sheetView topLeftCell="A35" zoomScale="115" zoomScaleNormal="115" workbookViewId="0">
      <selection activeCell="L61" sqref="L61"/>
    </sheetView>
  </sheetViews>
  <sheetFormatPr defaultRowHeight="14.5" x14ac:dyDescent="0.35"/>
  <cols>
    <col min="1" max="1" width="50.81640625" bestFit="1" customWidth="1"/>
    <col min="2" max="2" width="12.6328125" bestFit="1" customWidth="1"/>
    <col min="3" max="12" width="15" bestFit="1" customWidth="1"/>
    <col min="34" max="34" width="15.36328125" bestFit="1" customWidth="1"/>
    <col min="35" max="35" width="15.08984375" customWidth="1"/>
    <col min="36" max="36" width="15.36328125" bestFit="1" customWidth="1"/>
    <col min="46" max="46" width="11.54296875" bestFit="1" customWidth="1"/>
    <col min="56" max="56" width="11.54296875" bestFit="1" customWidth="1"/>
    <col min="57" max="68" width="11.54296875" customWidth="1"/>
    <col min="69" max="70" width="12.6328125" bestFit="1" customWidth="1"/>
    <col min="71" max="71" width="12" bestFit="1" customWidth="1"/>
    <col min="72" max="79" width="12.6328125" bestFit="1" customWidth="1"/>
  </cols>
  <sheetData>
    <row r="1" spans="1:79" x14ac:dyDescent="0.35">
      <c r="A1" t="s">
        <v>251</v>
      </c>
      <c r="B1" t="str">
        <f>_xlfn.CONCAT($A$2," ",B2)</f>
        <v>AN 2023 Q3</v>
      </c>
      <c r="C1" t="str">
        <f t="shared" ref="C1:L1" si="0">_xlfn.CONCAT($A$2," ",C2)</f>
        <v>AN 2023 Q4</v>
      </c>
      <c r="D1" t="str">
        <f t="shared" si="0"/>
        <v>AN 2024 Q1</v>
      </c>
      <c r="E1" t="str">
        <f t="shared" si="0"/>
        <v>AN 2024 Q2</v>
      </c>
      <c r="F1" t="str">
        <f t="shared" si="0"/>
        <v>AN 2024 Q3</v>
      </c>
      <c r="G1" t="str">
        <f t="shared" si="0"/>
        <v>AN 2024 Q4</v>
      </c>
      <c r="H1" t="str">
        <f t="shared" si="0"/>
        <v>AN 2025 Q1</v>
      </c>
      <c r="I1" t="str">
        <f t="shared" si="0"/>
        <v>AN 2025 Q2</v>
      </c>
      <c r="J1" t="str">
        <f t="shared" si="0"/>
        <v>AN 2025 Q3</v>
      </c>
      <c r="K1" t="str">
        <f t="shared" si="0"/>
        <v>AN 2025 Q4</v>
      </c>
      <c r="L1" t="str">
        <f t="shared" si="0"/>
        <v>AN 2026 Q1</v>
      </c>
      <c r="M1" t="str">
        <f>_xlfn.CONCAT($A$11," ",M2)</f>
        <v>FRN 2023 Q3</v>
      </c>
      <c r="N1" t="str">
        <f t="shared" ref="N1:W1" si="1">_xlfn.CONCAT($A$11," ",N2)</f>
        <v>FRN 2023 Q4</v>
      </c>
      <c r="O1" t="str">
        <f t="shared" si="1"/>
        <v>FRN 2024 Q1</v>
      </c>
      <c r="P1" t="str">
        <f t="shared" si="1"/>
        <v>FRN 2024 Q2</v>
      </c>
      <c r="Q1" t="str">
        <f t="shared" si="1"/>
        <v>FRN 2024 Q3</v>
      </c>
      <c r="R1" t="str">
        <f t="shared" si="1"/>
        <v>FRN 2024 Q4</v>
      </c>
      <c r="S1" t="str">
        <f t="shared" si="1"/>
        <v>FRN 2025 Q1</v>
      </c>
      <c r="T1" t="str">
        <f t="shared" si="1"/>
        <v>FRN 2025 Q2</v>
      </c>
      <c r="U1" t="str">
        <f t="shared" si="1"/>
        <v>FRN 2025 Q3</v>
      </c>
      <c r="V1" t="str">
        <f t="shared" si="1"/>
        <v>FRN 2025 Q4</v>
      </c>
      <c r="W1" t="str">
        <f t="shared" si="1"/>
        <v>FRN 2026 Q1</v>
      </c>
      <c r="X1" t="str">
        <f>_xlfn.CONCAT($A$21," ",X2)</f>
        <v>STG 2023 Q3</v>
      </c>
      <c r="Y1" t="str">
        <f t="shared" ref="Y1:AH1" si="2">_xlfn.CONCAT($A$21," ",Y2)</f>
        <v>STG 2023 Q4</v>
      </c>
      <c r="Z1" t="str">
        <f t="shared" si="2"/>
        <v>STG 2024 Q1</v>
      </c>
      <c r="AA1" t="str">
        <f t="shared" si="2"/>
        <v>STG 2024 Q2</v>
      </c>
      <c r="AB1" t="str">
        <f t="shared" si="2"/>
        <v>STG 2024 Q3</v>
      </c>
      <c r="AC1" t="str">
        <f t="shared" si="2"/>
        <v>STG 2024 Q4</v>
      </c>
      <c r="AD1" t="str">
        <f t="shared" si="2"/>
        <v>STG 2025 Q1</v>
      </c>
      <c r="AE1" t="str">
        <f t="shared" si="2"/>
        <v>STG 2025 Q2</v>
      </c>
      <c r="AF1" t="str">
        <f t="shared" si="2"/>
        <v>STG 2025 Q3</v>
      </c>
      <c r="AG1" t="str">
        <f t="shared" si="2"/>
        <v>STG 2025 Q4</v>
      </c>
      <c r="AH1" t="str">
        <f t="shared" si="2"/>
        <v>STG 2026 Q1</v>
      </c>
      <c r="AI1" t="str">
        <f>_xlfn.CONCAT($A$30," ",AI2)</f>
        <v>FLD 2023 Q3</v>
      </c>
      <c r="AJ1" t="str">
        <f t="shared" ref="AJ1:AS1" si="3">_xlfn.CONCAT($A$30," ",AJ2)</f>
        <v>FLD 2023 Q4</v>
      </c>
      <c r="AK1" t="str">
        <f t="shared" si="3"/>
        <v>FLD 2024 Q1</v>
      </c>
      <c r="AL1" t="str">
        <f t="shared" si="3"/>
        <v>FLD 2024 Q2</v>
      </c>
      <c r="AM1" t="str">
        <f t="shared" si="3"/>
        <v>FLD 2024 Q3</v>
      </c>
      <c r="AN1" t="str">
        <f t="shared" si="3"/>
        <v>FLD 2024 Q4</v>
      </c>
      <c r="AO1" t="str">
        <f t="shared" si="3"/>
        <v>FLD 2025 Q1</v>
      </c>
      <c r="AP1" t="str">
        <f t="shared" si="3"/>
        <v>FLD 2025 Q2</v>
      </c>
      <c r="AQ1" t="str">
        <f t="shared" si="3"/>
        <v>FLD 2025 Q3</v>
      </c>
      <c r="AR1" t="str">
        <f t="shared" si="3"/>
        <v>FLD 2025 Q4</v>
      </c>
      <c r="AS1" t="str">
        <f t="shared" si="3"/>
        <v>FLD 2026 Q1</v>
      </c>
      <c r="AT1" t="str">
        <f>_xlfn.CONCAT($A$41," ",AT2)</f>
        <v>ENT 2023 Q3</v>
      </c>
      <c r="AU1" t="str">
        <f t="shared" ref="AU1:BD1" si="4">_xlfn.CONCAT($A$41," ",AU2)</f>
        <v>ENT 2023 Q4</v>
      </c>
      <c r="AV1" t="str">
        <f t="shared" si="4"/>
        <v>ENT 2024 Q1</v>
      </c>
      <c r="AW1" t="str">
        <f t="shared" si="4"/>
        <v>ENT 2024 Q2</v>
      </c>
      <c r="AX1" t="str">
        <f t="shared" si="4"/>
        <v>ENT 2024 Q3</v>
      </c>
      <c r="AY1" t="str">
        <f t="shared" si="4"/>
        <v>ENT 2024 Q4</v>
      </c>
      <c r="AZ1" t="str">
        <f t="shared" si="4"/>
        <v>ENT 2025 Q1</v>
      </c>
      <c r="BA1" t="str">
        <f t="shared" si="4"/>
        <v>ENT 2025 Q2</v>
      </c>
      <c r="BB1" t="str">
        <f t="shared" si="4"/>
        <v>ENT 2025 Q3</v>
      </c>
      <c r="BC1" t="str">
        <f t="shared" si="4"/>
        <v>ENT 2025 Q4</v>
      </c>
      <c r="BD1" t="str">
        <f t="shared" si="4"/>
        <v>ENT 2026 Q1</v>
      </c>
      <c r="BQ1" t="str">
        <f>_xlfn.CONCAT($A$51," ",BQ2)</f>
        <v>POS 2023 Q3</v>
      </c>
      <c r="BR1" t="str">
        <f t="shared" ref="BR1:CA1" si="5">_xlfn.CONCAT($A$51," ",BR2)</f>
        <v>POS 2023 Q4</v>
      </c>
      <c r="BS1" t="str">
        <f t="shared" si="5"/>
        <v>POS 2024 Q1</v>
      </c>
      <c r="BT1" t="str">
        <f t="shared" si="5"/>
        <v>POS 2024 Q2</v>
      </c>
      <c r="BU1" t="str">
        <f t="shared" si="5"/>
        <v>POS 2024 Q3</v>
      </c>
      <c r="BV1" t="str">
        <f t="shared" si="5"/>
        <v>POS 2024 Q4</v>
      </c>
      <c r="BW1" t="str">
        <f t="shared" si="5"/>
        <v>POS 2025 Q1</v>
      </c>
      <c r="BX1" t="str">
        <f t="shared" si="5"/>
        <v>POS 2025 Q2</v>
      </c>
      <c r="BY1" t="str">
        <f t="shared" si="5"/>
        <v>POS 2025 Q3</v>
      </c>
      <c r="BZ1" t="str">
        <f t="shared" si="5"/>
        <v>POS 2025 Q4</v>
      </c>
      <c r="CA1" t="str">
        <f t="shared" si="5"/>
        <v>POS 2026 Q1</v>
      </c>
    </row>
    <row r="2" spans="1:79" x14ac:dyDescent="0.35">
      <c r="A2" t="s">
        <v>149</v>
      </c>
      <c r="B2" t="s">
        <v>152</v>
      </c>
      <c r="C2" t="s">
        <v>166</v>
      </c>
      <c r="D2" t="s">
        <v>167</v>
      </c>
      <c r="E2" t="s">
        <v>163</v>
      </c>
      <c r="F2" t="s">
        <v>160</v>
      </c>
      <c r="G2" t="s">
        <v>126</v>
      </c>
      <c r="H2" t="s">
        <v>128</v>
      </c>
      <c r="I2" t="s">
        <v>129</v>
      </c>
      <c r="J2" t="s">
        <v>130</v>
      </c>
      <c r="K2" t="s">
        <v>131</v>
      </c>
      <c r="L2" t="s">
        <v>127</v>
      </c>
      <c r="M2" s="1" t="s">
        <v>152</v>
      </c>
      <c r="N2" s="1" t="s">
        <v>166</v>
      </c>
      <c r="O2" s="1" t="s">
        <v>167</v>
      </c>
      <c r="P2" s="1" t="s">
        <v>163</v>
      </c>
      <c r="Q2" s="1" t="s">
        <v>160</v>
      </c>
      <c r="R2" s="1" t="s">
        <v>126</v>
      </c>
      <c r="S2" s="1" t="s">
        <v>128</v>
      </c>
      <c r="T2" s="1" t="s">
        <v>129</v>
      </c>
      <c r="U2" s="1" t="s">
        <v>130</v>
      </c>
      <c r="V2" s="1" t="s">
        <v>131</v>
      </c>
      <c r="W2" s="1" t="s">
        <v>127</v>
      </c>
      <c r="X2" s="1" t="s">
        <v>152</v>
      </c>
      <c r="Y2" s="1" t="s">
        <v>166</v>
      </c>
      <c r="Z2" s="1" t="s">
        <v>167</v>
      </c>
      <c r="AA2" s="1" t="s">
        <v>163</v>
      </c>
      <c r="AB2" s="1" t="s">
        <v>160</v>
      </c>
      <c r="AC2" s="1" t="s">
        <v>126</v>
      </c>
      <c r="AD2" s="1" t="s">
        <v>128</v>
      </c>
      <c r="AE2" s="1" t="s">
        <v>129</v>
      </c>
      <c r="AF2" s="1" t="s">
        <v>130</v>
      </c>
      <c r="AG2" s="1" t="s">
        <v>131</v>
      </c>
      <c r="AH2" s="1" t="s">
        <v>127</v>
      </c>
      <c r="AI2" s="1" t="s">
        <v>152</v>
      </c>
      <c r="AJ2" s="1" t="s">
        <v>166</v>
      </c>
      <c r="AK2" s="1" t="s">
        <v>167</v>
      </c>
      <c r="AL2" s="1" t="s">
        <v>163</v>
      </c>
      <c r="AM2" s="1" t="s">
        <v>160</v>
      </c>
      <c r="AN2" s="1" t="s">
        <v>126</v>
      </c>
      <c r="AO2" s="1" t="s">
        <v>128</v>
      </c>
      <c r="AP2" s="1" t="s">
        <v>129</v>
      </c>
      <c r="AQ2" s="1" t="s">
        <v>130</v>
      </c>
      <c r="AR2" s="1" t="s">
        <v>131</v>
      </c>
      <c r="AS2" s="1" t="s">
        <v>127</v>
      </c>
      <c r="AT2" s="1" t="s">
        <v>152</v>
      </c>
      <c r="AU2" s="1" t="s">
        <v>166</v>
      </c>
      <c r="AV2" s="1" t="s">
        <v>167</v>
      </c>
      <c r="AW2" s="1" t="s">
        <v>163</v>
      </c>
      <c r="AX2" s="1" t="s">
        <v>160</v>
      </c>
      <c r="AY2" s="1" t="s">
        <v>126</v>
      </c>
      <c r="AZ2" s="1" t="s">
        <v>128</v>
      </c>
      <c r="BA2" s="1" t="s">
        <v>129</v>
      </c>
      <c r="BB2" s="1" t="s">
        <v>130</v>
      </c>
      <c r="BC2" s="1" t="s">
        <v>131</v>
      </c>
      <c r="BD2" s="1" t="s">
        <v>127</v>
      </c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t="s">
        <v>152</v>
      </c>
      <c r="BR2" t="s">
        <v>166</v>
      </c>
      <c r="BS2" t="s">
        <v>167</v>
      </c>
      <c r="BT2" t="s">
        <v>163</v>
      </c>
      <c r="BU2" t="s">
        <v>160</v>
      </c>
      <c r="BV2" t="s">
        <v>126</v>
      </c>
      <c r="BW2" t="s">
        <v>128</v>
      </c>
      <c r="BX2" t="s">
        <v>129</v>
      </c>
      <c r="BY2" t="s">
        <v>130</v>
      </c>
      <c r="BZ2" t="s">
        <v>131</v>
      </c>
      <c r="CA2" t="s">
        <v>127</v>
      </c>
    </row>
    <row r="3" spans="1:79" x14ac:dyDescent="0.35">
      <c r="A3" t="s">
        <v>221</v>
      </c>
      <c r="B3" s="1">
        <v>136.43849356660581</v>
      </c>
      <c r="C3" s="1">
        <v>137.02135091300229</v>
      </c>
      <c r="D3" s="1">
        <v>136.3721183056237</v>
      </c>
      <c r="E3" s="1">
        <v>137.12198326493359</v>
      </c>
      <c r="F3" s="1">
        <v>138.09052083542991</v>
      </c>
      <c r="G3" s="1">
        <v>136.80135565802021</v>
      </c>
      <c r="H3" s="1">
        <v>136.83702494495719</v>
      </c>
      <c r="I3" s="1">
        <v>138.03381902691669</v>
      </c>
      <c r="J3" s="1">
        <v>138.55808093396249</v>
      </c>
      <c r="K3" s="1">
        <v>139.3761012547063</v>
      </c>
      <c r="L3" s="1">
        <v>140.44072894001849</v>
      </c>
      <c r="M3" s="1">
        <v>140.72102580751559</v>
      </c>
      <c r="N3" s="1">
        <v>139.02514228651111</v>
      </c>
      <c r="O3" s="1">
        <v>138.131634820861</v>
      </c>
      <c r="P3" s="1">
        <v>140.1735622972094</v>
      </c>
      <c r="Q3" s="1">
        <v>141.55375224123731</v>
      </c>
      <c r="R3" s="1">
        <v>139.97097369283409</v>
      </c>
      <c r="S3" s="1">
        <v>139.83315040104489</v>
      </c>
      <c r="T3" s="1">
        <v>140.63433560368551</v>
      </c>
      <c r="U3" s="1">
        <v>140.9638839291236</v>
      </c>
      <c r="V3" s="1">
        <v>141.85748818430829</v>
      </c>
      <c r="W3" s="1">
        <v>142.91143686042631</v>
      </c>
      <c r="X3" s="1">
        <v>138.53983622019501</v>
      </c>
      <c r="Y3" s="1">
        <v>137.48747271961969</v>
      </c>
      <c r="Z3" s="1">
        <v>136.76023284432631</v>
      </c>
      <c r="AA3" s="1">
        <v>137.47802427838079</v>
      </c>
      <c r="AB3" s="1">
        <v>138.54353569478641</v>
      </c>
      <c r="AC3" s="1">
        <v>137.2090482829978</v>
      </c>
      <c r="AD3" s="1">
        <v>136.66839841462689</v>
      </c>
      <c r="AE3" s="1">
        <v>137.94719223853701</v>
      </c>
      <c r="AF3" s="1">
        <v>138.66054717924419</v>
      </c>
      <c r="AG3" s="1">
        <v>140.0375169754368</v>
      </c>
      <c r="AH3" s="1">
        <v>141.56614258067501</v>
      </c>
      <c r="AI3" s="1">
        <v>137.9566586474825</v>
      </c>
      <c r="AJ3" s="1">
        <v>139.56619914782399</v>
      </c>
      <c r="AK3" s="1">
        <v>138.52439991139249</v>
      </c>
      <c r="AL3" s="1">
        <v>138.4097814248108</v>
      </c>
      <c r="AM3" s="1">
        <v>140.3633073736207</v>
      </c>
      <c r="AN3" s="1">
        <v>138.38768592238731</v>
      </c>
      <c r="AO3" s="1">
        <v>136.70742932031769</v>
      </c>
      <c r="AP3" s="1">
        <v>138.34779673954839</v>
      </c>
      <c r="AQ3" s="1">
        <v>138.10209621539431</v>
      </c>
      <c r="AR3" s="1">
        <v>138.94555151202141</v>
      </c>
      <c r="AS3" s="1">
        <v>141.13319974873141</v>
      </c>
      <c r="AT3" s="1">
        <v>133.76755452848761</v>
      </c>
      <c r="AU3" s="1">
        <v>135.3136659257851</v>
      </c>
      <c r="AV3" s="1">
        <v>136.174564953763</v>
      </c>
      <c r="AW3" s="1">
        <v>136.81709999339159</v>
      </c>
      <c r="AX3" s="1">
        <v>136.69241262670499</v>
      </c>
      <c r="AY3" s="1">
        <v>134.948750294055</v>
      </c>
      <c r="AZ3" s="1">
        <v>134.57147996843619</v>
      </c>
      <c r="BA3" s="1">
        <v>136.4179223286813</v>
      </c>
      <c r="BB3" s="1">
        <v>137.00629562165429</v>
      </c>
      <c r="BC3" s="1">
        <v>137.20721483911191</v>
      </c>
      <c r="BD3" s="1">
        <v>139.551505877495</v>
      </c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>
        <v>139.0741242161609</v>
      </c>
      <c r="BR3" s="1">
        <v>138.9460991900871</v>
      </c>
      <c r="BS3" s="1">
        <v>138.3496798172151</v>
      </c>
      <c r="BT3" s="1">
        <v>139.22435957276809</v>
      </c>
      <c r="BU3" s="1">
        <v>139.53563273517111</v>
      </c>
      <c r="BV3" s="1">
        <v>138.60919585111591</v>
      </c>
      <c r="BW3" s="1">
        <v>138.29935729461579</v>
      </c>
      <c r="BX3" s="1">
        <v>139.1018874982006</v>
      </c>
      <c r="BY3" s="1">
        <v>139.4159554086358</v>
      </c>
      <c r="BZ3" s="1">
        <v>140.31999546557549</v>
      </c>
      <c r="CA3" s="1">
        <v>141.62087522505081</v>
      </c>
    </row>
    <row r="4" spans="1:79" x14ac:dyDescent="0.35">
      <c r="A4" t="s">
        <v>222</v>
      </c>
      <c r="B4" s="1">
        <v>0.74718789742556169</v>
      </c>
      <c r="C4" s="1">
        <v>0.56488788096865505</v>
      </c>
      <c r="D4" s="1">
        <v>0.67852359119660832</v>
      </c>
      <c r="E4" s="1">
        <v>1.187691769032398</v>
      </c>
      <c r="F4" s="1">
        <v>0.97152704365686304</v>
      </c>
      <c r="G4" s="1">
        <v>1.180283999142574</v>
      </c>
      <c r="H4" s="1">
        <v>1.4683002213016609</v>
      </c>
      <c r="I4" s="1">
        <v>2.477602674231548</v>
      </c>
      <c r="J4" s="1">
        <v>2.9382644122946431</v>
      </c>
      <c r="K4" s="1">
        <v>3.496150059072761</v>
      </c>
      <c r="L4" s="1">
        <v>2.3332048422400362</v>
      </c>
      <c r="M4" s="1">
        <v>1.6458770814276991</v>
      </c>
      <c r="N4" s="1">
        <v>0.80231276196769841</v>
      </c>
      <c r="O4" s="1">
        <v>-0.1252150605915858</v>
      </c>
      <c r="P4" s="1">
        <v>0.31930787143878092</v>
      </c>
      <c r="Q4" s="1">
        <v>0.76131700388197032</v>
      </c>
      <c r="R4" s="1">
        <v>0.52945381688320481</v>
      </c>
      <c r="S4" s="1">
        <v>0.68523213019838636</v>
      </c>
      <c r="T4" s="1">
        <v>1.2784721601783819</v>
      </c>
      <c r="U4" s="1">
        <v>1.805257397700444</v>
      </c>
      <c r="V4" s="1">
        <v>2.9390221533070928</v>
      </c>
      <c r="W4" s="1">
        <v>2.5514703080995389</v>
      </c>
      <c r="X4" s="1">
        <v>1.4890727847551091</v>
      </c>
      <c r="Y4" s="1">
        <v>1.125350888566828</v>
      </c>
      <c r="Z4" s="1">
        <v>1.0630594758274301</v>
      </c>
      <c r="AA4" s="1">
        <v>2.0245553803393079</v>
      </c>
      <c r="AB4" s="1">
        <v>2.2733805755634648</v>
      </c>
      <c r="AC4" s="1">
        <v>2.0669290653268888</v>
      </c>
      <c r="AD4" s="1">
        <v>1.8543412932472729</v>
      </c>
      <c r="AE4" s="1">
        <v>2.033757005762368</v>
      </c>
      <c r="AF4" s="1">
        <v>2.259577774352834</v>
      </c>
      <c r="AG4" s="1">
        <v>3.1147868077111411</v>
      </c>
      <c r="AH4" s="1">
        <v>2.5979542673680101</v>
      </c>
      <c r="AI4" s="1">
        <v>1.0836194161292669</v>
      </c>
      <c r="AJ4" s="1">
        <v>1.405517876833301</v>
      </c>
      <c r="AK4" s="1">
        <v>1.5961370239090229</v>
      </c>
      <c r="AL4" s="1">
        <v>2.4397109431023409</v>
      </c>
      <c r="AM4" s="1">
        <v>3.2825891938814782</v>
      </c>
      <c r="AN4" s="1">
        <v>2.969253794609187</v>
      </c>
      <c r="AO4" s="1">
        <v>2.413259014666977</v>
      </c>
      <c r="AP4" s="1">
        <v>2.4952467294445739</v>
      </c>
      <c r="AQ4" s="1">
        <v>3.0171416964290638</v>
      </c>
      <c r="AR4" s="1">
        <v>1.8647378056060691</v>
      </c>
      <c r="AS4" s="1">
        <v>1.600876234825193</v>
      </c>
      <c r="AT4" s="1">
        <v>-0.63716492414664572</v>
      </c>
      <c r="AU4" s="1">
        <v>0.15732039164214481</v>
      </c>
      <c r="AV4" s="1">
        <v>-0.5898295146213286</v>
      </c>
      <c r="AW4" s="1">
        <v>-0.3260526431747337</v>
      </c>
      <c r="AX4" s="1">
        <v>-0.47612709118808988</v>
      </c>
      <c r="AY4" s="1">
        <v>-0.27880239780054689</v>
      </c>
      <c r="AZ4" s="1">
        <v>-0.95884075513762923</v>
      </c>
      <c r="BA4" s="1">
        <v>0.2153117599389702</v>
      </c>
      <c r="BB4" s="1">
        <v>0.19536934067386369</v>
      </c>
      <c r="BC4" s="1">
        <v>1.680992874523753</v>
      </c>
      <c r="BD4" s="1">
        <v>1.976145990146591</v>
      </c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>
        <v>0.93343131935540669</v>
      </c>
      <c r="BR4" s="1">
        <v>1.1629460271077221</v>
      </c>
      <c r="BS4" s="1">
        <v>0.7294940976174189</v>
      </c>
      <c r="BT4" s="1">
        <v>1.423840198924154</v>
      </c>
      <c r="BU4" s="1">
        <v>1.453811646099979</v>
      </c>
      <c r="BV4" s="1">
        <v>0.86334078508050993</v>
      </c>
      <c r="BW4" s="1">
        <v>0.2113162499471741</v>
      </c>
      <c r="BX4" s="1">
        <v>1.402325721041791</v>
      </c>
      <c r="BY4" s="1">
        <v>1.548302933279444</v>
      </c>
      <c r="BZ4" s="1">
        <v>1.9565456161171819</v>
      </c>
      <c r="CA4" s="1">
        <v>2.0743527280351941</v>
      </c>
    </row>
    <row r="5" spans="1:79" x14ac:dyDescent="0.35">
      <c r="A5" t="s">
        <v>223</v>
      </c>
      <c r="B5" s="1">
        <v>-1.4136353782085389</v>
      </c>
      <c r="C5" s="1">
        <v>-1.547276519445631</v>
      </c>
      <c r="D5" s="1">
        <v>-1.710954222899574</v>
      </c>
      <c r="E5" s="1">
        <v>-0.9372902043276099</v>
      </c>
      <c r="F5" s="1">
        <v>-0.87902048470331806</v>
      </c>
      <c r="G5" s="1">
        <v>0.28454546267386149</v>
      </c>
      <c r="H5" s="1">
        <v>0.1954039121930862</v>
      </c>
      <c r="I5" s="1">
        <v>0.7670126606856229</v>
      </c>
      <c r="J5" s="1">
        <v>0.75510153055648743</v>
      </c>
      <c r="K5" s="1">
        <v>1.4463265444025519</v>
      </c>
      <c r="L5" s="1">
        <v>0.88900846548980894</v>
      </c>
      <c r="M5" s="1">
        <v>-1.499374136103796</v>
      </c>
      <c r="N5" s="1">
        <v>-1.1772882109584939</v>
      </c>
      <c r="O5" s="1">
        <v>-1.6266920552803299</v>
      </c>
      <c r="P5" s="1">
        <v>-1.1902043554766519</v>
      </c>
      <c r="Q5" s="1">
        <v>-0.52517726473530502</v>
      </c>
      <c r="R5" s="1">
        <v>0.13442814082148399</v>
      </c>
      <c r="S5" s="1">
        <v>0.25848634103269319</v>
      </c>
      <c r="T5" s="1">
        <v>0.3710951563345759</v>
      </c>
      <c r="U5" s="1">
        <v>1.0144540789516721</v>
      </c>
      <c r="V5" s="1">
        <v>1.6876202408983541</v>
      </c>
      <c r="W5" s="1">
        <v>1.507433932902245</v>
      </c>
      <c r="X5" s="1">
        <v>-1.602003264603582</v>
      </c>
      <c r="Y5" s="1">
        <v>-1.3403708854876579</v>
      </c>
      <c r="Z5" s="1">
        <v>-1.393875278698488</v>
      </c>
      <c r="AA5" s="1">
        <v>-1.026304282028548</v>
      </c>
      <c r="AB5" s="1">
        <v>-0.61440042470786693</v>
      </c>
      <c r="AC5" s="1">
        <v>0.52383900486719881</v>
      </c>
      <c r="AD5" s="1">
        <v>0.2378777955592852</v>
      </c>
      <c r="AE5" s="1">
        <v>0.49356391727096138</v>
      </c>
      <c r="AF5" s="1">
        <v>0.99568501341289561</v>
      </c>
      <c r="AG5" s="1">
        <v>1.466777705310506</v>
      </c>
      <c r="AH5" s="1">
        <v>1.3030209323074191</v>
      </c>
      <c r="AI5" s="1">
        <v>-1.515339213572986</v>
      </c>
      <c r="AJ5" s="1">
        <v>-1.4320807438415391</v>
      </c>
      <c r="AK5" s="1">
        <v>-1.5909144117584899</v>
      </c>
      <c r="AL5" s="1">
        <v>-0.76823536298203976</v>
      </c>
      <c r="AM5" s="1">
        <v>-0.58192996556013554</v>
      </c>
      <c r="AN5" s="1">
        <v>0.44232335840652581</v>
      </c>
      <c r="AO5" s="1">
        <v>0.15029169317469379</v>
      </c>
      <c r="AP5" s="1">
        <v>0.2472083951752779</v>
      </c>
      <c r="AQ5" s="1">
        <v>0.50401655658083655</v>
      </c>
      <c r="AR5" s="1">
        <v>1.6058712731256719</v>
      </c>
      <c r="AS5" s="1">
        <v>1.3832903723121319</v>
      </c>
      <c r="AT5" s="1">
        <v>-3.52871450035525</v>
      </c>
      <c r="AU5" s="1">
        <v>-2.9984759116015312</v>
      </c>
      <c r="AV5" s="1">
        <v>-3.5895939376582651</v>
      </c>
      <c r="AW5" s="1">
        <v>-3.2046889984176521</v>
      </c>
      <c r="AX5" s="1">
        <v>-2.4202093546071239</v>
      </c>
      <c r="AY5" s="1">
        <v>0.13834392106284099</v>
      </c>
      <c r="AZ5" s="1">
        <v>1.1069597534657309</v>
      </c>
      <c r="BA5" s="1">
        <v>9.9570656598132246E-2</v>
      </c>
      <c r="BB5" s="1">
        <v>0.32921503719407502</v>
      </c>
      <c r="BC5" s="1">
        <v>1.211526218874468</v>
      </c>
      <c r="BD5" s="1">
        <v>0.62228186315516609</v>
      </c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>
        <v>-3.0640586521140278</v>
      </c>
      <c r="BR5" s="1">
        <v>-2.3321053084908949</v>
      </c>
      <c r="BS5" s="1">
        <v>-2.8143853796180172</v>
      </c>
      <c r="BT5" s="1">
        <v>-2.314409115212527</v>
      </c>
      <c r="BU5" s="1">
        <v>-2.3932678800449878</v>
      </c>
      <c r="BV5" s="1">
        <v>-1.6793889395463</v>
      </c>
      <c r="BW5" s="1">
        <v>-1.59871193549705</v>
      </c>
      <c r="BX5" s="1">
        <v>-1.2958987880010111</v>
      </c>
      <c r="BY5" s="1">
        <v>-1.072918578319644</v>
      </c>
      <c r="BZ5" s="1">
        <v>-0.59155056963581387</v>
      </c>
      <c r="CA5" s="1">
        <v>-1.113224645334014</v>
      </c>
    </row>
    <row r="6" spans="1:79" x14ac:dyDescent="0.35">
      <c r="A6" t="s">
        <v>224</v>
      </c>
      <c r="B6" s="1">
        <v>2.707214768640378</v>
      </c>
      <c r="C6" s="1">
        <v>2.2880394682777583</v>
      </c>
      <c r="D6" s="1">
        <v>2.0027206956794088</v>
      </c>
      <c r="E6" s="1">
        <v>2.5931536524031129</v>
      </c>
      <c r="F6" s="1">
        <v>3.7446501775596372</v>
      </c>
      <c r="G6" s="1">
        <v>3.388185742525025</v>
      </c>
      <c r="H6" s="1">
        <v>3.5073792754688773</v>
      </c>
      <c r="I6" s="1">
        <v>4.0402815976930837</v>
      </c>
      <c r="J6" s="1">
        <v>3.9702313423319389</v>
      </c>
      <c r="K6" s="1">
        <v>4.2537913348033802</v>
      </c>
      <c r="L6" s="1">
        <v>4.0861473316218193</v>
      </c>
      <c r="M6" s="1">
        <v>5.0332926220815501</v>
      </c>
      <c r="N6" s="1">
        <v>5.567832149584941</v>
      </c>
      <c r="O6" s="1">
        <v>5.235130974919084</v>
      </c>
      <c r="P6" s="1">
        <v>5.328628903686397</v>
      </c>
      <c r="Q6" s="1">
        <v>5.1245756487105352</v>
      </c>
      <c r="R6" s="1">
        <v>5.2098344148380225</v>
      </c>
      <c r="S6" s="1">
        <v>5.1666469020677797</v>
      </c>
      <c r="T6" s="1">
        <v>6.0848515660240068</v>
      </c>
      <c r="U6" s="1">
        <v>6.1510730999353918</v>
      </c>
      <c r="V6" s="1">
        <v>6.2080978319684919</v>
      </c>
      <c r="W6" s="1">
        <v>5.6750127825983183</v>
      </c>
      <c r="X6" s="1">
        <v>6.1354790625042446</v>
      </c>
      <c r="Y6" s="1">
        <v>6.0717535469953345</v>
      </c>
      <c r="Z6" s="1">
        <v>4.5804623728311995</v>
      </c>
      <c r="AA6" s="1">
        <v>5.137836553915891</v>
      </c>
      <c r="AB6" s="1">
        <v>5.7066458856648099</v>
      </c>
      <c r="AC6" s="1">
        <v>5.548369545177378</v>
      </c>
      <c r="AD6" s="1">
        <v>5.2166812565387151</v>
      </c>
      <c r="AE6" s="1">
        <v>6.1403636923522242</v>
      </c>
      <c r="AF6" s="1">
        <v>6.0382608264494451</v>
      </c>
      <c r="AG6" s="1">
        <v>6.2534722946385761</v>
      </c>
      <c r="AH6" s="1">
        <v>5.2901017903815886</v>
      </c>
      <c r="AI6" s="1">
        <v>2.4767311998545218</v>
      </c>
      <c r="AJ6" s="1">
        <v>2.1566316817629261</v>
      </c>
      <c r="AK6" s="1">
        <v>0.82751226950812695</v>
      </c>
      <c r="AL6" s="1">
        <v>1.0685351494916295</v>
      </c>
      <c r="AM6" s="1">
        <v>1.3239600171902748</v>
      </c>
      <c r="AN6" s="1">
        <v>1.3976667268150658</v>
      </c>
      <c r="AO6" s="1">
        <v>0.8663164569306705</v>
      </c>
      <c r="AP6" s="1">
        <v>0.4739865492493105</v>
      </c>
      <c r="AQ6" s="1">
        <v>0.45527757409375336</v>
      </c>
      <c r="AR6" s="1">
        <v>0.48685779217732339</v>
      </c>
      <c r="AS6" s="1">
        <v>-0.27871139471859308</v>
      </c>
      <c r="AT6" s="1">
        <v>2.6273818982727835</v>
      </c>
      <c r="AU6" s="1">
        <v>1.8482391078753926</v>
      </c>
      <c r="AV6" s="1">
        <v>1.7170447605410009</v>
      </c>
      <c r="AW6" s="1">
        <v>1.9627113056735983</v>
      </c>
      <c r="AX6" s="1">
        <v>1.7519385388946547</v>
      </c>
      <c r="AY6" s="1">
        <v>1.3235352056190524</v>
      </c>
      <c r="AZ6" s="1">
        <v>1.5176980264090763</v>
      </c>
      <c r="BA6" s="1">
        <v>1.9215073095841555</v>
      </c>
      <c r="BB6" s="1">
        <v>1.8477536230552478</v>
      </c>
      <c r="BC6" s="1">
        <v>1.6963272774335136</v>
      </c>
      <c r="BD6" s="1">
        <v>1.2163820877261886</v>
      </c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</row>
    <row r="7" spans="1:79" x14ac:dyDescent="0.35">
      <c r="A7" t="s">
        <v>225</v>
      </c>
      <c r="B7" s="1">
        <f>B5+B6</f>
        <v>1.2935793904318391</v>
      </c>
      <c r="C7" s="1">
        <f t="shared" ref="C7:BD7" si="6">C5+C6</f>
        <v>0.74076294883212723</v>
      </c>
      <c r="D7" s="1">
        <f t="shared" si="6"/>
        <v>0.29176647277983481</v>
      </c>
      <c r="E7" s="1">
        <f t="shared" si="6"/>
        <v>1.655863448075503</v>
      </c>
      <c r="F7" s="1">
        <f t="shared" si="6"/>
        <v>2.8656296928563192</v>
      </c>
      <c r="G7" s="1">
        <f t="shared" si="6"/>
        <v>3.6727312051988865</v>
      </c>
      <c r="H7" s="1">
        <f t="shared" si="6"/>
        <v>3.7027831876619635</v>
      </c>
      <c r="I7" s="1">
        <f t="shared" si="6"/>
        <v>4.8072942583787066</v>
      </c>
      <c r="J7" s="1">
        <f t="shared" si="6"/>
        <v>4.7253328728884263</v>
      </c>
      <c r="K7" s="1">
        <f t="shared" si="6"/>
        <v>5.7001178792059317</v>
      </c>
      <c r="L7" s="1">
        <f t="shared" si="6"/>
        <v>4.9751557971116283</v>
      </c>
      <c r="M7" s="1">
        <f t="shared" si="6"/>
        <v>3.5339184859777539</v>
      </c>
      <c r="N7" s="1">
        <f t="shared" si="6"/>
        <v>4.3905439386264469</v>
      </c>
      <c r="O7" s="1">
        <f t="shared" si="6"/>
        <v>3.6084389196387541</v>
      </c>
      <c r="P7" s="1">
        <f t="shared" si="6"/>
        <v>4.1384245482097448</v>
      </c>
      <c r="Q7" s="1">
        <f t="shared" si="6"/>
        <v>4.5993983839752302</v>
      </c>
      <c r="R7" s="1">
        <f t="shared" si="6"/>
        <v>5.3442625556595065</v>
      </c>
      <c r="S7" s="1">
        <f t="shared" si="6"/>
        <v>5.4251332431004728</v>
      </c>
      <c r="T7" s="1">
        <f t="shared" si="6"/>
        <v>6.4559467223585827</v>
      </c>
      <c r="U7" s="1">
        <f t="shared" si="6"/>
        <v>7.1655271788870643</v>
      </c>
      <c r="V7" s="1">
        <f t="shared" si="6"/>
        <v>7.8957180728668455</v>
      </c>
      <c r="W7" s="1">
        <f t="shared" si="6"/>
        <v>7.1824467155005634</v>
      </c>
      <c r="X7" s="1">
        <f t="shared" si="6"/>
        <v>4.5334757979006621</v>
      </c>
      <c r="Y7" s="1">
        <f t="shared" si="6"/>
        <v>4.7313826615076771</v>
      </c>
      <c r="Z7" s="1">
        <f t="shared" si="6"/>
        <v>3.1865870941327117</v>
      </c>
      <c r="AA7" s="1">
        <f t="shared" si="6"/>
        <v>4.1115322718873433</v>
      </c>
      <c r="AB7" s="1">
        <f t="shared" si="6"/>
        <v>5.092245460956943</v>
      </c>
      <c r="AC7" s="1">
        <f t="shared" si="6"/>
        <v>6.0722085500445768</v>
      </c>
      <c r="AD7" s="1">
        <f t="shared" si="6"/>
        <v>5.4545590520980003</v>
      </c>
      <c r="AE7" s="1">
        <f t="shared" si="6"/>
        <v>6.6339276096231856</v>
      </c>
      <c r="AF7" s="1">
        <f t="shared" si="6"/>
        <v>7.0339458398623407</v>
      </c>
      <c r="AG7" s="1">
        <f t="shared" si="6"/>
        <v>7.7202499999490826</v>
      </c>
      <c r="AH7" s="1">
        <f t="shared" si="6"/>
        <v>6.5931227226890075</v>
      </c>
      <c r="AI7" s="1">
        <f t="shared" si="6"/>
        <v>0.96139198628153588</v>
      </c>
      <c r="AJ7" s="1">
        <f t="shared" si="6"/>
        <v>0.72455093792138703</v>
      </c>
      <c r="AK7" s="1">
        <f t="shared" si="6"/>
        <v>-0.76340214225036296</v>
      </c>
      <c r="AL7" s="1">
        <f t="shared" si="6"/>
        <v>0.30029978650958977</v>
      </c>
      <c r="AM7" s="1">
        <f t="shared" si="6"/>
        <v>0.74203005163013924</v>
      </c>
      <c r="AN7" s="1">
        <f t="shared" si="6"/>
        <v>1.8399900852215916</v>
      </c>
      <c r="AO7" s="1">
        <f t="shared" si="6"/>
        <v>1.0166081501053643</v>
      </c>
      <c r="AP7" s="1">
        <f t="shared" si="6"/>
        <v>0.72119494442458842</v>
      </c>
      <c r="AQ7" s="1">
        <f t="shared" si="6"/>
        <v>0.95929413067458991</v>
      </c>
      <c r="AR7" s="1">
        <f t="shared" si="6"/>
        <v>2.0927290653029953</v>
      </c>
      <c r="AS7" s="1">
        <f t="shared" si="6"/>
        <v>1.1045789775935388</v>
      </c>
      <c r="AT7" s="1">
        <f t="shared" si="6"/>
        <v>-0.90133260208246657</v>
      </c>
      <c r="AU7" s="1">
        <f t="shared" si="6"/>
        <v>-1.1502368037261386</v>
      </c>
      <c r="AV7" s="1">
        <f t="shared" si="6"/>
        <v>-1.8725491771172642</v>
      </c>
      <c r="AW7" s="1">
        <f t="shared" si="6"/>
        <v>-1.2419776927440538</v>
      </c>
      <c r="AX7" s="1">
        <f t="shared" si="6"/>
        <v>-0.66827081571246927</v>
      </c>
      <c r="AY7" s="1">
        <f t="shared" si="6"/>
        <v>1.4618791266818933</v>
      </c>
      <c r="AZ7" s="1">
        <f t="shared" si="6"/>
        <v>2.6246577798748074</v>
      </c>
      <c r="BA7" s="1">
        <f t="shared" si="6"/>
        <v>2.021077966182288</v>
      </c>
      <c r="BB7" s="1">
        <f t="shared" si="6"/>
        <v>2.1769686602493228</v>
      </c>
      <c r="BC7" s="1">
        <f t="shared" si="6"/>
        <v>2.9078534963079816</v>
      </c>
      <c r="BD7" s="1">
        <f t="shared" si="6"/>
        <v>1.8386639508813547</v>
      </c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CA7" s="1"/>
    </row>
    <row r="8" spans="1:79" x14ac:dyDescent="0.35">
      <c r="A8" t="s">
        <v>215</v>
      </c>
      <c r="B8" s="1">
        <v>138.47926085446321</v>
      </c>
      <c r="C8" s="1">
        <v>138.32700174280308</v>
      </c>
      <c r="D8" s="1">
        <v>137.34240836960015</v>
      </c>
      <c r="E8" s="1">
        <v>139.9655384820415</v>
      </c>
      <c r="F8" s="1">
        <v>141.92767757194309</v>
      </c>
      <c r="G8" s="1">
        <v>141.65437086236167</v>
      </c>
      <c r="H8" s="1">
        <v>142.00810835392082</v>
      </c>
      <c r="I8" s="1">
        <v>145.31871595952694</v>
      </c>
      <c r="J8" s="1">
        <v>146.22167821914556</v>
      </c>
      <c r="K8" s="1">
        <v>148.57236919298498</v>
      </c>
      <c r="L8" s="1">
        <v>147.74908957937015</v>
      </c>
      <c r="M8" s="1">
        <v>145.90082137492104</v>
      </c>
      <c r="N8" s="1">
        <v>144.21799898710526</v>
      </c>
      <c r="O8" s="1">
        <v>141.61485867990817</v>
      </c>
      <c r="P8" s="1">
        <v>144.63129471685792</v>
      </c>
      <c r="Q8" s="1">
        <v>146.9144676290945</v>
      </c>
      <c r="R8" s="1">
        <v>145.8446900653768</v>
      </c>
      <c r="S8" s="1">
        <v>145.94351577434375</v>
      </c>
      <c r="T8" s="1">
        <v>148.36875448622249</v>
      </c>
      <c r="U8" s="1">
        <v>149.9346685057111</v>
      </c>
      <c r="V8" s="1">
        <v>152.69222841048224</v>
      </c>
      <c r="W8" s="1">
        <v>152.64535388402641</v>
      </c>
      <c r="X8" s="1">
        <v>144.56238480285077</v>
      </c>
      <c r="Y8" s="1">
        <v>143.34420626969418</v>
      </c>
      <c r="Z8" s="1">
        <v>141.00987941428644</v>
      </c>
      <c r="AA8" s="1">
        <v>143.61411193060744</v>
      </c>
      <c r="AB8" s="1">
        <v>145.90916173130682</v>
      </c>
      <c r="AC8" s="1">
        <v>145.34818589836925</v>
      </c>
      <c r="AD8" s="1">
        <v>143.97729875997217</v>
      </c>
      <c r="AE8" s="1">
        <v>146.61487685392257</v>
      </c>
      <c r="AF8" s="1">
        <v>147.95407079345938</v>
      </c>
      <c r="AG8" s="1">
        <v>150.87255378309703</v>
      </c>
      <c r="AH8" s="1">
        <v>150.75721957073202</v>
      </c>
      <c r="AI8" s="1">
        <v>140.00167004989331</v>
      </c>
      <c r="AJ8" s="1">
        <v>141.69626796257867</v>
      </c>
      <c r="AK8" s="1">
        <v>139.35713479305116</v>
      </c>
      <c r="AL8" s="1">
        <v>141.14979215442273</v>
      </c>
      <c r="AM8" s="1">
        <v>144.38792661913232</v>
      </c>
      <c r="AN8" s="1">
        <v>143.19692980221808</v>
      </c>
      <c r="AO8" s="1">
        <v>140.13729648509002</v>
      </c>
      <c r="AP8" s="1">
        <v>141.56423841341754</v>
      </c>
      <c r="AQ8" s="1">
        <v>142.07853204249795</v>
      </c>
      <c r="AR8" s="1">
        <v>142.90301838293047</v>
      </c>
      <c r="AS8" s="1">
        <v>143.83865496115016</v>
      </c>
      <c r="AT8" s="1">
        <v>132.22905700225849</v>
      </c>
      <c r="AU8" s="1">
        <v>134.32074951370112</v>
      </c>
      <c r="AV8" s="1">
        <v>133.7121862620244</v>
      </c>
      <c r="AW8" s="1">
        <v>135.2490696574728</v>
      </c>
      <c r="AX8" s="1">
        <v>135.54801471980443</v>
      </c>
      <c r="AY8" s="1">
        <v>136.13182702293636</v>
      </c>
      <c r="AZ8" s="1">
        <v>136.23729699317337</v>
      </c>
      <c r="BA8" s="1">
        <v>138.65431205480255</v>
      </c>
      <c r="BB8" s="1">
        <v>139.37863362257747</v>
      </c>
      <c r="BC8" s="1">
        <v>141.79606120994364</v>
      </c>
      <c r="BD8" s="1">
        <v>143.36631581852296</v>
      </c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</row>
    <row r="9" spans="1:79" x14ac:dyDescent="0.35"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1" spans="1:79" x14ac:dyDescent="0.35">
      <c r="A11" t="s">
        <v>151</v>
      </c>
    </row>
    <row r="12" spans="1:79" x14ac:dyDescent="0.35">
      <c r="A12" t="s">
        <v>216</v>
      </c>
    </row>
    <row r="13" spans="1:79" x14ac:dyDescent="0.35">
      <c r="A13" t="s">
        <v>217</v>
      </c>
    </row>
    <row r="14" spans="1:79" x14ac:dyDescent="0.35">
      <c r="A14" t="s">
        <v>218</v>
      </c>
    </row>
    <row r="15" spans="1:79" x14ac:dyDescent="0.35">
      <c r="A15" t="s">
        <v>219</v>
      </c>
    </row>
    <row r="16" spans="1:79" x14ac:dyDescent="0.35">
      <c r="A16" t="s">
        <v>220</v>
      </c>
    </row>
    <row r="17" spans="1:12" x14ac:dyDescent="0.35">
      <c r="A17" t="s">
        <v>215</v>
      </c>
    </row>
    <row r="18" spans="1:12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1" spans="1:12" x14ac:dyDescent="0.35">
      <c r="A21" t="s">
        <v>153</v>
      </c>
    </row>
    <row r="22" spans="1:12" x14ac:dyDescent="0.35">
      <c r="A22" t="s">
        <v>216</v>
      </c>
    </row>
    <row r="23" spans="1:12" x14ac:dyDescent="0.35">
      <c r="A23" t="s">
        <v>217</v>
      </c>
    </row>
    <row r="24" spans="1:12" x14ac:dyDescent="0.35">
      <c r="A24" t="s">
        <v>218</v>
      </c>
    </row>
    <row r="25" spans="1:12" x14ac:dyDescent="0.35">
      <c r="A25" t="s">
        <v>219</v>
      </c>
    </row>
    <row r="26" spans="1:12" x14ac:dyDescent="0.35">
      <c r="A26" t="s">
        <v>220</v>
      </c>
    </row>
    <row r="27" spans="1:12" x14ac:dyDescent="0.35">
      <c r="A27" t="s">
        <v>215</v>
      </c>
    </row>
    <row r="28" spans="1:12" x14ac:dyDescent="0.3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30" spans="1:12" x14ac:dyDescent="0.35">
      <c r="A30" t="s">
        <v>155</v>
      </c>
    </row>
    <row r="31" spans="1:12" x14ac:dyDescent="0.35">
      <c r="A31" t="s">
        <v>216</v>
      </c>
    </row>
    <row r="32" spans="1:12" x14ac:dyDescent="0.35">
      <c r="A32" t="s">
        <v>217</v>
      </c>
    </row>
    <row r="33" spans="1:12" x14ac:dyDescent="0.35">
      <c r="A33" t="s">
        <v>218</v>
      </c>
    </row>
    <row r="34" spans="1:12" x14ac:dyDescent="0.35">
      <c r="A34" t="s">
        <v>219</v>
      </c>
    </row>
    <row r="35" spans="1:12" x14ac:dyDescent="0.35">
      <c r="A35" t="s">
        <v>220</v>
      </c>
    </row>
    <row r="36" spans="1:12" x14ac:dyDescent="0.35">
      <c r="A36" t="s">
        <v>215</v>
      </c>
    </row>
    <row r="37" spans="1:12" x14ac:dyDescent="0.3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3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3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1" spans="1:12" x14ac:dyDescent="0.35">
      <c r="A41" t="s">
        <v>122</v>
      </c>
    </row>
    <row r="42" spans="1:12" x14ac:dyDescent="0.35">
      <c r="A42" t="s">
        <v>216</v>
      </c>
    </row>
    <row r="43" spans="1:12" x14ac:dyDescent="0.35">
      <c r="A43" t="s">
        <v>217</v>
      </c>
    </row>
    <row r="44" spans="1:12" x14ac:dyDescent="0.35">
      <c r="A44" t="s">
        <v>218</v>
      </c>
    </row>
    <row r="45" spans="1:12" x14ac:dyDescent="0.35">
      <c r="A45" t="s">
        <v>219</v>
      </c>
    </row>
    <row r="46" spans="1:12" x14ac:dyDescent="0.35">
      <c r="A46" t="s">
        <v>220</v>
      </c>
    </row>
    <row r="47" spans="1:12" x14ac:dyDescent="0.35">
      <c r="A47" t="s">
        <v>215</v>
      </c>
    </row>
    <row r="51" spans="1:12" x14ac:dyDescent="0.35">
      <c r="A51" t="s">
        <v>243</v>
      </c>
      <c r="B51" s="94" t="s">
        <v>152</v>
      </c>
      <c r="C51" s="94" t="s">
        <v>166</v>
      </c>
      <c r="D51" s="94" t="s">
        <v>167</v>
      </c>
      <c r="E51" s="94" t="s">
        <v>163</v>
      </c>
      <c r="F51" s="94" t="s">
        <v>160</v>
      </c>
      <c r="G51" s="94" t="s">
        <v>126</v>
      </c>
      <c r="H51" s="95" t="s">
        <v>128</v>
      </c>
      <c r="I51" s="95" t="s">
        <v>129</v>
      </c>
      <c r="J51" s="95" t="s">
        <v>130</v>
      </c>
      <c r="K51" s="95" t="s">
        <v>131</v>
      </c>
      <c r="L51" s="95" t="s">
        <v>127</v>
      </c>
    </row>
    <row r="52" spans="1:12" x14ac:dyDescent="0.35">
      <c r="A52" t="s">
        <v>244</v>
      </c>
      <c r="B52">
        <v>139.0741242161609</v>
      </c>
      <c r="C52">
        <v>138.9460991900871</v>
      </c>
      <c r="D52">
        <v>138.3496798172151</v>
      </c>
      <c r="E52">
        <v>139.22435957276809</v>
      </c>
      <c r="F52">
        <v>139.53563273517111</v>
      </c>
      <c r="G52">
        <v>138.60919585111591</v>
      </c>
      <c r="H52">
        <v>138.29935729461579</v>
      </c>
      <c r="I52">
        <v>139.1018874982006</v>
      </c>
      <c r="J52">
        <v>139.4159554086358</v>
      </c>
      <c r="K52" s="2">
        <v>140.31999546557549</v>
      </c>
      <c r="L52">
        <v>141.62087522505081</v>
      </c>
    </row>
    <row r="53" spans="1:12" x14ac:dyDescent="0.35">
      <c r="A53" t="s">
        <v>193</v>
      </c>
      <c r="B53">
        <v>-0.63837415122463881</v>
      </c>
      <c r="C53">
        <v>-0.50461170268121691</v>
      </c>
      <c r="D53">
        <v>4.0064066696174896E-3</v>
      </c>
      <c r="E53">
        <v>1.942319146166938E-3</v>
      </c>
      <c r="F53">
        <v>-1.1499062556765689E-3</v>
      </c>
      <c r="G53">
        <v>-3.2891709162186089E-3</v>
      </c>
      <c r="H53">
        <v>-1.086627136345442E-3</v>
      </c>
      <c r="I53">
        <v>-1.1151166987332321E-2</v>
      </c>
      <c r="J53">
        <v>-9.1706183814892483E-3</v>
      </c>
      <c r="K53">
        <v>-9.5421664075558965E-3</v>
      </c>
      <c r="L53">
        <v>-3.0232510198402451E-5</v>
      </c>
    </row>
    <row r="54" spans="1:12" x14ac:dyDescent="0.35">
      <c r="A54" t="s">
        <v>245</v>
      </c>
      <c r="B54">
        <v>0.93343131935540669</v>
      </c>
      <c r="C54">
        <v>1.1629460271077221</v>
      </c>
      <c r="D54">
        <v>0.7294940976174189</v>
      </c>
      <c r="E54">
        <v>1.423840198924154</v>
      </c>
      <c r="F54">
        <v>1.453811646099979</v>
      </c>
      <c r="G54">
        <v>0.86334078508050993</v>
      </c>
      <c r="H54">
        <v>0.2113162499471741</v>
      </c>
      <c r="I54">
        <v>1.402325721041791</v>
      </c>
      <c r="J54">
        <v>1.548302933279444</v>
      </c>
      <c r="K54">
        <v>1.9565456161171819</v>
      </c>
      <c r="L54">
        <v>2.0743527280351941</v>
      </c>
    </row>
    <row r="55" spans="1:12" x14ac:dyDescent="0.35">
      <c r="A55" t="s">
        <v>246</v>
      </c>
      <c r="B55">
        <v>-3.0640586521140278</v>
      </c>
      <c r="C55">
        <v>-2.3321053084908949</v>
      </c>
      <c r="D55">
        <v>-2.8143853796180172</v>
      </c>
      <c r="E55">
        <v>-2.314409115212527</v>
      </c>
      <c r="F55">
        <v>-2.3932678800449878</v>
      </c>
      <c r="G55">
        <v>-1.6793889395463</v>
      </c>
      <c r="H55">
        <v>-1.59871193549705</v>
      </c>
      <c r="I55">
        <v>-1.2958987880010111</v>
      </c>
      <c r="J55">
        <v>-1.072918578319644</v>
      </c>
      <c r="K55">
        <v>-0.59155056963581387</v>
      </c>
      <c r="L55">
        <v>-1.113224645334014</v>
      </c>
    </row>
    <row r="56" spans="1:12" x14ac:dyDescent="0.35">
      <c r="A56" t="s">
        <v>247</v>
      </c>
      <c r="B56">
        <v>3.0640586521140278</v>
      </c>
      <c r="C56">
        <v>2.3321053084908949</v>
      </c>
      <c r="D56">
        <v>2.8143853796180172</v>
      </c>
      <c r="E56">
        <v>2.314409115212527</v>
      </c>
      <c r="F56">
        <v>2.3932678800449878</v>
      </c>
      <c r="G56">
        <v>1.6793889395463</v>
      </c>
      <c r="H56">
        <v>1.59871193549705</v>
      </c>
      <c r="I56">
        <v>1.2958987880010111</v>
      </c>
      <c r="J56">
        <v>1.072918578319644</v>
      </c>
      <c r="K56">
        <v>0.59155056963581387</v>
      </c>
      <c r="L56">
        <v>1.113224645334014</v>
      </c>
    </row>
    <row r="57" spans="1:12" x14ac:dyDescent="0.35">
      <c r="A57" t="s">
        <v>215</v>
      </c>
      <c r="B57">
        <v>139.36918138429169</v>
      </c>
      <c r="C57">
        <v>139.6044335145136</v>
      </c>
      <c r="D57">
        <v>139.08318032150211</v>
      </c>
      <c r="E57">
        <v>140.65014209083839</v>
      </c>
      <c r="F57">
        <v>140.98829447501541</v>
      </c>
      <c r="G57">
        <v>139.46924746528009</v>
      </c>
      <c r="H57">
        <v>138.50958691742659</v>
      </c>
      <c r="I57">
        <v>140.49306205225511</v>
      </c>
      <c r="J57">
        <v>140.95508772353381</v>
      </c>
      <c r="K57">
        <v>142.26699891528509</v>
      </c>
      <c r="L57">
        <v>143.69519772057581</v>
      </c>
    </row>
    <row r="58" spans="1:12" x14ac:dyDescent="0.35">
      <c r="A58" t="s">
        <v>248</v>
      </c>
    </row>
    <row r="65" spans="1:12" x14ac:dyDescent="0.35">
      <c r="A65" t="s">
        <v>199</v>
      </c>
      <c r="B65" t="s">
        <v>152</v>
      </c>
      <c r="C65" t="s">
        <v>166</v>
      </c>
      <c r="D65" t="s">
        <v>167</v>
      </c>
      <c r="E65" t="s">
        <v>163</v>
      </c>
      <c r="F65" t="s">
        <v>160</v>
      </c>
      <c r="G65" t="s">
        <v>126</v>
      </c>
      <c r="H65" t="s">
        <v>128</v>
      </c>
      <c r="I65" t="s">
        <v>129</v>
      </c>
      <c r="J65" t="s">
        <v>130</v>
      </c>
      <c r="K65" t="s">
        <v>131</v>
      </c>
      <c r="L65" t="s">
        <v>127</v>
      </c>
    </row>
    <row r="66" spans="1:12" x14ac:dyDescent="0.35">
      <c r="A66" t="s">
        <v>314</v>
      </c>
      <c r="B66">
        <v>140.50459471793889</v>
      </c>
      <c r="C66">
        <v>140.5607805151966</v>
      </c>
      <c r="D66">
        <v>139.56825037479661</v>
      </c>
      <c r="E66">
        <v>140.43211833884561</v>
      </c>
      <c r="F66">
        <v>139.88511483115639</v>
      </c>
      <c r="G66">
        <v>139.76781802522791</v>
      </c>
      <c r="H66">
        <v>139.70876763492191</v>
      </c>
      <c r="I66">
        <v>139.86672280884679</v>
      </c>
      <c r="J66">
        <v>139.91790875779989</v>
      </c>
      <c r="K66">
        <v>140.94205426095121</v>
      </c>
      <c r="L66">
        <v>141.88010144614779</v>
      </c>
    </row>
    <row r="67" spans="1:12" x14ac:dyDescent="0.35">
      <c r="A67" t="s">
        <v>315</v>
      </c>
      <c r="B67">
        <v>0</v>
      </c>
      <c r="C67">
        <v>0</v>
      </c>
      <c r="F67">
        <v>0</v>
      </c>
      <c r="G67">
        <v>0</v>
      </c>
      <c r="H67">
        <v>0</v>
      </c>
    </row>
    <row r="68" spans="1:12" x14ac:dyDescent="0.35">
      <c r="A68" t="s">
        <v>316</v>
      </c>
      <c r="B68">
        <v>1.5001869575874309</v>
      </c>
      <c r="C68">
        <v>1.7611724405662981</v>
      </c>
      <c r="D68">
        <v>1.3266459899973599</v>
      </c>
      <c r="E68">
        <v>2.2203144511825879</v>
      </c>
      <c r="F68">
        <v>1.9527826553908769</v>
      </c>
      <c r="G68">
        <v>0.8836291908923215</v>
      </c>
      <c r="H68">
        <v>-0.34039322521121562</v>
      </c>
      <c r="I68">
        <v>1.3978450923279411</v>
      </c>
      <c r="J68">
        <v>1.319868434605155</v>
      </c>
      <c r="K68">
        <v>1.489744982764222</v>
      </c>
      <c r="L68">
        <v>2.081079420824949</v>
      </c>
    </row>
    <row r="70" spans="1:12" x14ac:dyDescent="0.35">
      <c r="A70" t="s">
        <v>317</v>
      </c>
      <c r="B70">
        <v>-3.6345132077500981</v>
      </c>
      <c r="C70">
        <v>-4.8715328774611431</v>
      </c>
      <c r="D70">
        <v>-4.1022630301616312</v>
      </c>
      <c r="E70">
        <v>-0.95598475255187942</v>
      </c>
      <c r="F70">
        <v>-1.5608471127860803</v>
      </c>
      <c r="G70">
        <v>-1.5029131915825447</v>
      </c>
      <c r="H70">
        <v>-0.72557977561130504</v>
      </c>
      <c r="I70">
        <v>-0.32987472346966068</v>
      </c>
      <c r="J70">
        <v>-0.51543799816335323</v>
      </c>
      <c r="K70">
        <v>-0.24231637373345924</v>
      </c>
      <c r="L70">
        <v>0.42686356744984133</v>
      </c>
    </row>
    <row r="71" spans="1:12" x14ac:dyDescent="0.35">
      <c r="A71" t="s">
        <v>215</v>
      </c>
      <c r="B71">
        <v>138.37026846777621</v>
      </c>
      <c r="C71">
        <v>137.45042007830176</v>
      </c>
      <c r="D71">
        <v>136.79263333463234</v>
      </c>
      <c r="E71">
        <v>141.69644803747633</v>
      </c>
      <c r="F71">
        <v>140.27705037376117</v>
      </c>
      <c r="G71">
        <v>139.1485340245377</v>
      </c>
      <c r="H71">
        <v>138.6427946340994</v>
      </c>
      <c r="I71">
        <v>140.93469317770507</v>
      </c>
      <c r="J71">
        <v>140.7223391942417</v>
      </c>
      <c r="K71">
        <v>142.18948286998196</v>
      </c>
      <c r="L71">
        <v>144.38804443442257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C20FB-FF53-4A1B-BA53-69E43A9C6D26}">
  <dimension ref="A3:AB70"/>
  <sheetViews>
    <sheetView workbookViewId="0">
      <selection activeCell="U8" sqref="U8"/>
    </sheetView>
  </sheetViews>
  <sheetFormatPr defaultRowHeight="14.5" x14ac:dyDescent="0.35"/>
  <cols>
    <col min="1" max="1" width="15.7265625" bestFit="1" customWidth="1"/>
    <col min="2" max="2" width="12.453125" bestFit="1" customWidth="1"/>
    <col min="4" max="4" width="26.1796875" bestFit="1" customWidth="1"/>
  </cols>
  <sheetData>
    <row r="3" spans="1:28" x14ac:dyDescent="0.35">
      <c r="A3" s="96" t="s">
        <v>249</v>
      </c>
      <c r="B3" t="s">
        <v>307</v>
      </c>
    </row>
    <row r="4" spans="1:28" x14ac:dyDescent="0.35">
      <c r="A4" s="97" t="s">
        <v>152</v>
      </c>
      <c r="B4">
        <v>18.980099551353479</v>
      </c>
      <c r="R4" t="s">
        <v>152</v>
      </c>
      <c r="S4" t="s">
        <v>166</v>
      </c>
      <c r="T4" t="s">
        <v>167</v>
      </c>
      <c r="U4" t="s">
        <v>163</v>
      </c>
      <c r="V4" t="s">
        <v>160</v>
      </c>
      <c r="W4" t="s">
        <v>126</v>
      </c>
      <c r="X4" t="s">
        <v>128</v>
      </c>
      <c r="Y4" t="s">
        <v>129</v>
      </c>
      <c r="Z4" t="s">
        <v>130</v>
      </c>
      <c r="AA4" t="s">
        <v>131</v>
      </c>
      <c r="AB4" t="s">
        <v>127</v>
      </c>
    </row>
    <row r="5" spans="1:28" x14ac:dyDescent="0.35">
      <c r="A5" s="98" t="s">
        <v>252</v>
      </c>
      <c r="B5">
        <v>2.707214768640378</v>
      </c>
      <c r="Q5" t="s">
        <v>308</v>
      </c>
      <c r="R5">
        <v>0.1317305498686332</v>
      </c>
      <c r="S5">
        <v>0.2073668582733707</v>
      </c>
      <c r="T5">
        <v>0.16866511162666251</v>
      </c>
      <c r="U5">
        <v>0.19601918938864771</v>
      </c>
      <c r="V5">
        <v>0.1773209215365501</v>
      </c>
      <c r="W5">
        <v>0.19095899226360921</v>
      </c>
      <c r="X5">
        <v>0.17853916488824051</v>
      </c>
      <c r="Y5">
        <v>0.1950319601457646</v>
      </c>
      <c r="Z5">
        <v>0.1828477355565602</v>
      </c>
      <c r="AA5">
        <v>0.1668126137121313</v>
      </c>
      <c r="AB5">
        <v>0.14694297384284499</v>
      </c>
    </row>
    <row r="6" spans="1:28" x14ac:dyDescent="0.35">
      <c r="A6" s="98" t="s">
        <v>296</v>
      </c>
      <c r="B6">
        <v>2.6273818982727835</v>
      </c>
      <c r="Q6" t="s">
        <v>309</v>
      </c>
      <c r="R6">
        <v>7.0929096082523402E-2</v>
      </c>
      <c r="S6">
        <v>7.429194501826232E-2</v>
      </c>
      <c r="T6">
        <v>5.8184072063265223E-2</v>
      </c>
      <c r="U6">
        <v>5.8338772293575931E-2</v>
      </c>
      <c r="V6">
        <v>5.0205911118965101E-2</v>
      </c>
      <c r="W6">
        <v>5.1413163167684267E-2</v>
      </c>
      <c r="X6">
        <v>5.7133573729529832E-2</v>
      </c>
      <c r="Y6">
        <v>6.3714886358649164E-2</v>
      </c>
      <c r="Z6">
        <v>6.2308989397738247E-2</v>
      </c>
      <c r="AA6">
        <v>5.5795476351844051E-2</v>
      </c>
      <c r="AB6">
        <v>4.9035237222300618E-2</v>
      </c>
    </row>
    <row r="7" spans="1:28" x14ac:dyDescent="0.35">
      <c r="A7" s="98" t="s">
        <v>285</v>
      </c>
      <c r="B7">
        <v>2.4767311998545218</v>
      </c>
      <c r="Q7" t="s">
        <v>310</v>
      </c>
      <c r="R7">
        <v>8.7174269311795435E-2</v>
      </c>
      <c r="S7">
        <v>0.12225414446894881</v>
      </c>
      <c r="T7">
        <v>8.8081451349582673E-2</v>
      </c>
      <c r="U7">
        <v>0.12671234431625741</v>
      </c>
      <c r="V7">
        <v>0.1131325524517437</v>
      </c>
      <c r="W7">
        <v>0.11311045405246239</v>
      </c>
      <c r="X7">
        <v>0.11209916269303249</v>
      </c>
      <c r="Y7">
        <v>0.12922527589808519</v>
      </c>
      <c r="Z7">
        <v>0.11076504667552969</v>
      </c>
      <c r="AA7">
        <v>0.10202235989070831</v>
      </c>
      <c r="AB7">
        <v>9.6488174922191597E-2</v>
      </c>
    </row>
    <row r="8" spans="1:28" x14ac:dyDescent="0.35">
      <c r="A8" s="98" t="s">
        <v>263</v>
      </c>
      <c r="B8">
        <v>5.0332926220815501</v>
      </c>
      <c r="Q8" t="s">
        <v>312</v>
      </c>
      <c r="R8">
        <v>0.22533796143163601</v>
      </c>
      <c r="S8">
        <v>0.21369114861516841</v>
      </c>
      <c r="T8">
        <v>0.14808641137821399</v>
      </c>
      <c r="U8">
        <v>0.13590997185151679</v>
      </c>
      <c r="V8">
        <v>0.13206646699845589</v>
      </c>
      <c r="W8">
        <v>0.14770705183858349</v>
      </c>
      <c r="X8">
        <v>0.15456059560638671</v>
      </c>
      <c r="Y8">
        <v>0.1429237756485181</v>
      </c>
      <c r="Z8">
        <v>0.13160230952889199</v>
      </c>
      <c r="AA8">
        <v>0.129088827019124</v>
      </c>
      <c r="AB8">
        <v>9.9454987618177448E-2</v>
      </c>
    </row>
    <row r="9" spans="1:28" x14ac:dyDescent="0.35">
      <c r="A9" s="98" t="s">
        <v>274</v>
      </c>
      <c r="B9">
        <v>6.1354790625042446</v>
      </c>
      <c r="Q9" t="s">
        <v>311</v>
      </c>
      <c r="R9">
        <v>4.6925459706192982E-2</v>
      </c>
      <c r="S9">
        <v>4.1137795296558387E-2</v>
      </c>
      <c r="T9">
        <v>3.487117737274846E-2</v>
      </c>
      <c r="U9">
        <v>4.7661721904924577E-2</v>
      </c>
      <c r="V9">
        <v>3.5567416804721502E-2</v>
      </c>
      <c r="W9">
        <v>3.4023292576800791E-2</v>
      </c>
      <c r="X9">
        <v>4.4575499491699408E-2</v>
      </c>
      <c r="Y9">
        <v>4.4732128323094283E-2</v>
      </c>
      <c r="Z9">
        <v>5.2429384796528207E-2</v>
      </c>
      <c r="AA9">
        <v>6.136967495261033E-2</v>
      </c>
      <c r="AB9">
        <v>5.3852931327414297E-2</v>
      </c>
    </row>
    <row r="10" spans="1:28" x14ac:dyDescent="0.35">
      <c r="A10" s="97" t="s">
        <v>166</v>
      </c>
      <c r="B10">
        <v>17.932495954496353</v>
      </c>
    </row>
    <row r="11" spans="1:28" x14ac:dyDescent="0.35">
      <c r="A11" s="98" t="s">
        <v>253</v>
      </c>
      <c r="B11">
        <v>2.2880394682777583</v>
      </c>
      <c r="Q11" t="s">
        <v>313</v>
      </c>
      <c r="R11">
        <v>0.43790266359921892</v>
      </c>
      <c r="S11">
        <v>0.3412581083276916</v>
      </c>
      <c r="T11">
        <v>0.50211177620952718</v>
      </c>
      <c r="U11">
        <v>0.4353580002450777</v>
      </c>
      <c r="V11">
        <v>0.4917067310895637</v>
      </c>
      <c r="W11">
        <v>0.46278704610086002</v>
      </c>
      <c r="X11">
        <v>0.45309200359111113</v>
      </c>
      <c r="Y11">
        <v>0.42437197362588869</v>
      </c>
      <c r="Z11">
        <v>0.4600465340447516</v>
      </c>
      <c r="AA11">
        <v>0.48491104807358187</v>
      </c>
      <c r="AB11">
        <v>0.55422569506707109</v>
      </c>
    </row>
    <row r="12" spans="1:28" x14ac:dyDescent="0.35">
      <c r="A12" s="98" t="s">
        <v>297</v>
      </c>
      <c r="B12">
        <v>1.8482391078753926</v>
      </c>
    </row>
    <row r="13" spans="1:28" x14ac:dyDescent="0.35">
      <c r="A13" s="98" t="s">
        <v>286</v>
      </c>
      <c r="B13">
        <v>2.1566316817629261</v>
      </c>
    </row>
    <row r="14" spans="1:28" x14ac:dyDescent="0.35">
      <c r="A14" s="98" t="s">
        <v>264</v>
      </c>
      <c r="B14">
        <v>5.567832149584941</v>
      </c>
    </row>
    <row r="15" spans="1:28" x14ac:dyDescent="0.35">
      <c r="A15" s="98" t="s">
        <v>275</v>
      </c>
      <c r="B15">
        <v>6.0717535469953345</v>
      </c>
    </row>
    <row r="16" spans="1:28" x14ac:dyDescent="0.35">
      <c r="A16" s="97" t="s">
        <v>167</v>
      </c>
      <c r="B16">
        <v>14.36287107347882</v>
      </c>
    </row>
    <row r="17" spans="1:2" x14ac:dyDescent="0.35">
      <c r="A17" s="98" t="s">
        <v>254</v>
      </c>
      <c r="B17">
        <v>2.0027206956794088</v>
      </c>
    </row>
    <row r="18" spans="1:2" x14ac:dyDescent="0.35">
      <c r="A18" s="98" t="s">
        <v>298</v>
      </c>
      <c r="B18">
        <v>1.7170447605410009</v>
      </c>
    </row>
    <row r="19" spans="1:2" x14ac:dyDescent="0.35">
      <c r="A19" s="98" t="s">
        <v>287</v>
      </c>
      <c r="B19">
        <v>0.82751226950812695</v>
      </c>
    </row>
    <row r="20" spans="1:2" x14ac:dyDescent="0.35">
      <c r="A20" s="98" t="s">
        <v>265</v>
      </c>
      <c r="B20">
        <v>5.235130974919084</v>
      </c>
    </row>
    <row r="21" spans="1:2" x14ac:dyDescent="0.35">
      <c r="A21" s="98" t="s">
        <v>276</v>
      </c>
      <c r="B21">
        <v>4.5804623728311995</v>
      </c>
    </row>
    <row r="22" spans="1:2" x14ac:dyDescent="0.35">
      <c r="A22" s="97" t="s">
        <v>163</v>
      </c>
      <c r="B22">
        <v>16.090865565170631</v>
      </c>
    </row>
    <row r="23" spans="1:2" x14ac:dyDescent="0.35">
      <c r="A23" s="98" t="s">
        <v>255</v>
      </c>
      <c r="B23">
        <v>2.5931536524031129</v>
      </c>
    </row>
    <row r="24" spans="1:2" x14ac:dyDescent="0.35">
      <c r="A24" s="98" t="s">
        <v>299</v>
      </c>
      <c r="B24">
        <v>1.9627113056735983</v>
      </c>
    </row>
    <row r="25" spans="1:2" x14ac:dyDescent="0.35">
      <c r="A25" s="98" t="s">
        <v>288</v>
      </c>
      <c r="B25">
        <v>1.0685351494916295</v>
      </c>
    </row>
    <row r="26" spans="1:2" x14ac:dyDescent="0.35">
      <c r="A26" s="98" t="s">
        <v>266</v>
      </c>
      <c r="B26">
        <v>5.328628903686397</v>
      </c>
    </row>
    <row r="27" spans="1:2" x14ac:dyDescent="0.35">
      <c r="A27" s="98" t="s">
        <v>277</v>
      </c>
      <c r="B27">
        <v>5.137836553915891</v>
      </c>
    </row>
    <row r="28" spans="1:2" x14ac:dyDescent="0.35">
      <c r="A28" s="97" t="s">
        <v>160</v>
      </c>
      <c r="B28">
        <v>17.651770268019913</v>
      </c>
    </row>
    <row r="29" spans="1:2" x14ac:dyDescent="0.35">
      <c r="A29" s="98" t="s">
        <v>256</v>
      </c>
      <c r="B29">
        <v>3.7446501775596372</v>
      </c>
    </row>
    <row r="30" spans="1:2" x14ac:dyDescent="0.35">
      <c r="A30" s="98" t="s">
        <v>300</v>
      </c>
      <c r="B30">
        <v>1.7519385388946547</v>
      </c>
    </row>
    <row r="31" spans="1:2" x14ac:dyDescent="0.35">
      <c r="A31" s="98" t="s">
        <v>289</v>
      </c>
      <c r="B31">
        <v>1.3239600171902748</v>
      </c>
    </row>
    <row r="32" spans="1:2" x14ac:dyDescent="0.35">
      <c r="A32" s="98" t="s">
        <v>267</v>
      </c>
      <c r="B32">
        <v>5.1245756487105352</v>
      </c>
    </row>
    <row r="33" spans="1:2" x14ac:dyDescent="0.35">
      <c r="A33" s="98" t="s">
        <v>278</v>
      </c>
      <c r="B33">
        <v>5.7066458856648099</v>
      </c>
    </row>
    <row r="34" spans="1:2" x14ac:dyDescent="0.35">
      <c r="A34" s="97" t="s">
        <v>126</v>
      </c>
      <c r="B34">
        <v>16.867591634974545</v>
      </c>
    </row>
    <row r="35" spans="1:2" x14ac:dyDescent="0.35">
      <c r="A35" s="98" t="s">
        <v>257</v>
      </c>
      <c r="B35">
        <v>3.388185742525025</v>
      </c>
    </row>
    <row r="36" spans="1:2" x14ac:dyDescent="0.35">
      <c r="A36" s="98" t="s">
        <v>301</v>
      </c>
      <c r="B36">
        <v>1.3235352056190524</v>
      </c>
    </row>
    <row r="37" spans="1:2" x14ac:dyDescent="0.35">
      <c r="A37" s="98" t="s">
        <v>290</v>
      </c>
      <c r="B37">
        <v>1.3976667268150658</v>
      </c>
    </row>
    <row r="38" spans="1:2" x14ac:dyDescent="0.35">
      <c r="A38" s="98" t="s">
        <v>268</v>
      </c>
      <c r="B38">
        <v>5.2098344148380225</v>
      </c>
    </row>
    <row r="39" spans="1:2" x14ac:dyDescent="0.35">
      <c r="A39" s="98" t="s">
        <v>279</v>
      </c>
      <c r="B39">
        <v>5.548369545177378</v>
      </c>
    </row>
    <row r="40" spans="1:2" x14ac:dyDescent="0.35">
      <c r="A40" s="97" t="s">
        <v>128</v>
      </c>
      <c r="B40">
        <v>16.274721917415121</v>
      </c>
    </row>
    <row r="41" spans="1:2" x14ac:dyDescent="0.35">
      <c r="A41" s="98" t="s">
        <v>258</v>
      </c>
      <c r="B41">
        <v>3.5073792754688773</v>
      </c>
    </row>
    <row r="42" spans="1:2" x14ac:dyDescent="0.35">
      <c r="A42" s="98" t="s">
        <v>302</v>
      </c>
      <c r="B42">
        <v>1.5176980264090763</v>
      </c>
    </row>
    <row r="43" spans="1:2" x14ac:dyDescent="0.35">
      <c r="A43" s="98" t="s">
        <v>291</v>
      </c>
      <c r="B43">
        <v>0.8663164569306705</v>
      </c>
    </row>
    <row r="44" spans="1:2" x14ac:dyDescent="0.35">
      <c r="A44" s="98" t="s">
        <v>269</v>
      </c>
      <c r="B44">
        <v>5.1666469020677797</v>
      </c>
    </row>
    <row r="45" spans="1:2" x14ac:dyDescent="0.35">
      <c r="A45" s="98" t="s">
        <v>280</v>
      </c>
      <c r="B45">
        <v>5.2166812565387151</v>
      </c>
    </row>
    <row r="46" spans="1:2" x14ac:dyDescent="0.35">
      <c r="A46" s="97" t="s">
        <v>129</v>
      </c>
      <c r="B46">
        <v>18.66099071490278</v>
      </c>
    </row>
    <row r="47" spans="1:2" x14ac:dyDescent="0.35">
      <c r="A47" s="98" t="s">
        <v>259</v>
      </c>
      <c r="B47">
        <v>4.0402815976930837</v>
      </c>
    </row>
    <row r="48" spans="1:2" x14ac:dyDescent="0.35">
      <c r="A48" s="98" t="s">
        <v>303</v>
      </c>
      <c r="B48">
        <v>1.9215073095841555</v>
      </c>
    </row>
    <row r="49" spans="1:2" x14ac:dyDescent="0.35">
      <c r="A49" s="98" t="s">
        <v>292</v>
      </c>
      <c r="B49">
        <v>0.4739865492493105</v>
      </c>
    </row>
    <row r="50" spans="1:2" x14ac:dyDescent="0.35">
      <c r="A50" s="98" t="s">
        <v>270</v>
      </c>
      <c r="B50">
        <v>6.0848515660240068</v>
      </c>
    </row>
    <row r="51" spans="1:2" x14ac:dyDescent="0.35">
      <c r="A51" s="98" t="s">
        <v>281</v>
      </c>
      <c r="B51">
        <v>6.1403636923522242</v>
      </c>
    </row>
    <row r="52" spans="1:2" x14ac:dyDescent="0.35">
      <c r="A52" s="97" t="s">
        <v>130</v>
      </c>
      <c r="B52">
        <v>18.462596465865776</v>
      </c>
    </row>
    <row r="53" spans="1:2" x14ac:dyDescent="0.35">
      <c r="A53" s="98" t="s">
        <v>260</v>
      </c>
      <c r="B53">
        <v>3.9702313423319389</v>
      </c>
    </row>
    <row r="54" spans="1:2" x14ac:dyDescent="0.35">
      <c r="A54" s="98" t="s">
        <v>304</v>
      </c>
      <c r="B54">
        <v>1.8477536230552478</v>
      </c>
    </row>
    <row r="55" spans="1:2" x14ac:dyDescent="0.35">
      <c r="A55" s="98" t="s">
        <v>293</v>
      </c>
      <c r="B55">
        <v>0.45527757409375336</v>
      </c>
    </row>
    <row r="56" spans="1:2" x14ac:dyDescent="0.35">
      <c r="A56" s="98" t="s">
        <v>271</v>
      </c>
      <c r="B56">
        <v>6.1510730999353918</v>
      </c>
    </row>
    <row r="57" spans="1:2" x14ac:dyDescent="0.35">
      <c r="A57" s="98" t="s">
        <v>282</v>
      </c>
      <c r="B57">
        <v>6.0382608264494451</v>
      </c>
    </row>
    <row r="58" spans="1:2" x14ac:dyDescent="0.35">
      <c r="A58" s="97" t="s">
        <v>131</v>
      </c>
      <c r="B58">
        <v>18.898546531021285</v>
      </c>
    </row>
    <row r="59" spans="1:2" x14ac:dyDescent="0.35">
      <c r="A59" s="98" t="s">
        <v>261</v>
      </c>
      <c r="B59">
        <v>4.2537913348033802</v>
      </c>
    </row>
    <row r="60" spans="1:2" x14ac:dyDescent="0.35">
      <c r="A60" s="98" t="s">
        <v>305</v>
      </c>
      <c r="B60">
        <v>1.6963272774335136</v>
      </c>
    </row>
    <row r="61" spans="1:2" x14ac:dyDescent="0.35">
      <c r="A61" s="98" t="s">
        <v>294</v>
      </c>
      <c r="B61">
        <v>0.48685779217732339</v>
      </c>
    </row>
    <row r="62" spans="1:2" x14ac:dyDescent="0.35">
      <c r="A62" s="98" t="s">
        <v>272</v>
      </c>
      <c r="B62">
        <v>6.2080978319684919</v>
      </c>
    </row>
    <row r="63" spans="1:2" x14ac:dyDescent="0.35">
      <c r="A63" s="98" t="s">
        <v>283</v>
      </c>
      <c r="B63">
        <v>6.2534722946385761</v>
      </c>
    </row>
    <row r="64" spans="1:2" x14ac:dyDescent="0.35">
      <c r="A64" s="97" t="s">
        <v>127</v>
      </c>
      <c r="B64">
        <v>15.98893259760932</v>
      </c>
    </row>
    <row r="65" spans="1:2" x14ac:dyDescent="0.35">
      <c r="A65" s="98" t="s">
        <v>262</v>
      </c>
      <c r="B65">
        <v>4.0861473316218193</v>
      </c>
    </row>
    <row r="66" spans="1:2" x14ac:dyDescent="0.35">
      <c r="A66" s="98" t="s">
        <v>306</v>
      </c>
      <c r="B66">
        <v>1.2163820877261886</v>
      </c>
    </row>
    <row r="67" spans="1:2" x14ac:dyDescent="0.35">
      <c r="A67" s="98" t="s">
        <v>295</v>
      </c>
      <c r="B67">
        <v>-0.27871139471859308</v>
      </c>
    </row>
    <row r="68" spans="1:2" x14ac:dyDescent="0.35">
      <c r="A68" s="98" t="s">
        <v>273</v>
      </c>
      <c r="B68">
        <v>5.6750127825983183</v>
      </c>
    </row>
    <row r="69" spans="1:2" x14ac:dyDescent="0.35">
      <c r="A69" s="98" t="s">
        <v>284</v>
      </c>
      <c r="B69">
        <v>5.2901017903815886</v>
      </c>
    </row>
    <row r="70" spans="1:2" x14ac:dyDescent="0.35">
      <c r="A70" s="97" t="s">
        <v>250</v>
      </c>
      <c r="B70">
        <v>190.171482274308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6B48-79BB-4735-BA43-CADD3B5E63E6}">
  <dimension ref="B6:BE71"/>
  <sheetViews>
    <sheetView topLeftCell="A15" workbookViewId="0">
      <selection activeCell="C17" sqref="B16:I71"/>
    </sheetView>
  </sheetViews>
  <sheetFormatPr defaultRowHeight="14.5" x14ac:dyDescent="0.35"/>
  <sheetData>
    <row r="6" spans="2:57" x14ac:dyDescent="0.35">
      <c r="B6" t="s">
        <v>251</v>
      </c>
      <c r="C6" t="s">
        <v>252</v>
      </c>
      <c r="D6" t="s">
        <v>253</v>
      </c>
      <c r="E6" t="s">
        <v>254</v>
      </c>
      <c r="F6" t="s">
        <v>255</v>
      </c>
      <c r="G6" t="s">
        <v>256</v>
      </c>
      <c r="H6" t="s">
        <v>257</v>
      </c>
      <c r="I6" t="s">
        <v>258</v>
      </c>
      <c r="J6" t="s">
        <v>259</v>
      </c>
      <c r="K6" t="s">
        <v>260</v>
      </c>
      <c r="L6" t="s">
        <v>261</v>
      </c>
      <c r="M6" t="s">
        <v>262</v>
      </c>
      <c r="N6" t="s">
        <v>263</v>
      </c>
      <c r="O6" t="s">
        <v>264</v>
      </c>
      <c r="P6" t="s">
        <v>265</v>
      </c>
      <c r="Q6" t="s">
        <v>266</v>
      </c>
      <c r="R6" t="s">
        <v>267</v>
      </c>
      <c r="S6" t="s">
        <v>268</v>
      </c>
      <c r="T6" t="s">
        <v>269</v>
      </c>
      <c r="U6" t="s">
        <v>270</v>
      </c>
      <c r="V6" t="s">
        <v>271</v>
      </c>
      <c r="W6" t="s">
        <v>272</v>
      </c>
      <c r="X6" t="s">
        <v>273</v>
      </c>
      <c r="Y6" t="s">
        <v>274</v>
      </c>
      <c r="Z6" t="s">
        <v>275</v>
      </c>
      <c r="AA6" t="s">
        <v>276</v>
      </c>
      <c r="AB6" t="s">
        <v>277</v>
      </c>
      <c r="AC6" t="s">
        <v>278</v>
      </c>
      <c r="AD6" t="s">
        <v>279</v>
      </c>
      <c r="AE6" t="s">
        <v>280</v>
      </c>
      <c r="AF6" t="s">
        <v>281</v>
      </c>
      <c r="AG6" t="s">
        <v>282</v>
      </c>
      <c r="AH6" t="s">
        <v>283</v>
      </c>
      <c r="AI6" t="s">
        <v>284</v>
      </c>
      <c r="AJ6" t="s">
        <v>285</v>
      </c>
      <c r="AK6" t="s">
        <v>286</v>
      </c>
      <c r="AL6" t="s">
        <v>287</v>
      </c>
      <c r="AM6" t="s">
        <v>288</v>
      </c>
      <c r="AN6" t="s">
        <v>289</v>
      </c>
      <c r="AO6" t="s">
        <v>290</v>
      </c>
      <c r="AP6" t="s">
        <v>291</v>
      </c>
      <c r="AQ6" t="s">
        <v>292</v>
      </c>
      <c r="AR6" t="s">
        <v>293</v>
      </c>
      <c r="AS6" t="s">
        <v>294</v>
      </c>
      <c r="AT6" t="s">
        <v>295</v>
      </c>
      <c r="AU6" t="s">
        <v>296</v>
      </c>
      <c r="AV6" t="s">
        <v>297</v>
      </c>
      <c r="AW6" t="s">
        <v>298</v>
      </c>
      <c r="AX6" t="s">
        <v>299</v>
      </c>
      <c r="AY6" t="s">
        <v>300</v>
      </c>
      <c r="AZ6" t="s">
        <v>301</v>
      </c>
      <c r="BA6" t="s">
        <v>302</v>
      </c>
      <c r="BB6" t="s">
        <v>303</v>
      </c>
      <c r="BC6" t="s">
        <v>304</v>
      </c>
      <c r="BD6" t="s">
        <v>305</v>
      </c>
      <c r="BE6" t="s">
        <v>306</v>
      </c>
    </row>
    <row r="7" spans="2:57" x14ac:dyDescent="0.35">
      <c r="B7" t="s">
        <v>149</v>
      </c>
      <c r="C7" t="s">
        <v>152</v>
      </c>
      <c r="D7" t="s">
        <v>166</v>
      </c>
      <c r="E7" t="s">
        <v>167</v>
      </c>
      <c r="F7" t="s">
        <v>163</v>
      </c>
      <c r="G7" t="s">
        <v>160</v>
      </c>
      <c r="H7" t="s">
        <v>126</v>
      </c>
      <c r="I7" t="s">
        <v>128</v>
      </c>
      <c r="J7" t="s">
        <v>129</v>
      </c>
      <c r="K7" t="s">
        <v>130</v>
      </c>
      <c r="L7" t="s">
        <v>131</v>
      </c>
      <c r="M7" t="s">
        <v>127</v>
      </c>
      <c r="N7" t="s">
        <v>152</v>
      </c>
      <c r="O7" t="s">
        <v>166</v>
      </c>
      <c r="P7" t="s">
        <v>167</v>
      </c>
      <c r="Q7" t="s">
        <v>163</v>
      </c>
      <c r="R7" t="s">
        <v>160</v>
      </c>
      <c r="S7" t="s">
        <v>126</v>
      </c>
      <c r="T7" t="s">
        <v>128</v>
      </c>
      <c r="U7" t="s">
        <v>129</v>
      </c>
      <c r="V7" t="s">
        <v>130</v>
      </c>
      <c r="W7" t="s">
        <v>131</v>
      </c>
      <c r="X7" t="s">
        <v>127</v>
      </c>
      <c r="Y7" t="s">
        <v>152</v>
      </c>
      <c r="Z7" t="s">
        <v>166</v>
      </c>
      <c r="AA7" t="s">
        <v>167</v>
      </c>
      <c r="AB7" t="s">
        <v>163</v>
      </c>
      <c r="AC7" t="s">
        <v>160</v>
      </c>
      <c r="AD7" t="s">
        <v>126</v>
      </c>
      <c r="AE7" t="s">
        <v>128</v>
      </c>
      <c r="AF7" t="s">
        <v>129</v>
      </c>
      <c r="AG7" t="s">
        <v>130</v>
      </c>
      <c r="AH7" t="s">
        <v>131</v>
      </c>
      <c r="AI7" t="s">
        <v>127</v>
      </c>
      <c r="AJ7" t="s">
        <v>152</v>
      </c>
      <c r="AK7" t="s">
        <v>166</v>
      </c>
      <c r="AL7" t="s">
        <v>167</v>
      </c>
      <c r="AM7" t="s">
        <v>163</v>
      </c>
      <c r="AN7" t="s">
        <v>160</v>
      </c>
      <c r="AO7" t="s">
        <v>126</v>
      </c>
      <c r="AP7" t="s">
        <v>128</v>
      </c>
      <c r="AQ7" t="s">
        <v>129</v>
      </c>
      <c r="AR7" t="s">
        <v>130</v>
      </c>
      <c r="AS7" t="s">
        <v>131</v>
      </c>
      <c r="AT7" t="s">
        <v>127</v>
      </c>
      <c r="AU7" t="s">
        <v>152</v>
      </c>
      <c r="AV7" t="s">
        <v>166</v>
      </c>
      <c r="AW7" t="s">
        <v>167</v>
      </c>
      <c r="AX7" t="s">
        <v>163</v>
      </c>
      <c r="AY7" t="s">
        <v>160</v>
      </c>
      <c r="AZ7" t="s">
        <v>126</v>
      </c>
      <c r="BA7" t="s">
        <v>128</v>
      </c>
      <c r="BB7" t="s">
        <v>129</v>
      </c>
      <c r="BC7" t="s">
        <v>130</v>
      </c>
      <c r="BD7" t="s">
        <v>131</v>
      </c>
      <c r="BE7" t="s">
        <v>127</v>
      </c>
    </row>
    <row r="8" spans="2:57" x14ac:dyDescent="0.35">
      <c r="B8" t="s">
        <v>221</v>
      </c>
      <c r="C8">
        <v>136.43849356660581</v>
      </c>
      <c r="D8">
        <v>137.02135091300229</v>
      </c>
      <c r="E8">
        <v>136.3721183056237</v>
      </c>
      <c r="F8">
        <v>137.12198326493359</v>
      </c>
      <c r="G8">
        <v>138.09052083542991</v>
      </c>
      <c r="H8">
        <v>136.80135565802021</v>
      </c>
      <c r="I8">
        <v>136.83702494495719</v>
      </c>
      <c r="J8">
        <v>138.03381902691669</v>
      </c>
      <c r="K8">
        <v>138.55808093396249</v>
      </c>
      <c r="L8">
        <v>139.3761012547063</v>
      </c>
      <c r="M8">
        <v>140.44072894001849</v>
      </c>
      <c r="N8">
        <v>140.72102580751559</v>
      </c>
      <c r="O8">
        <v>139.02514228651111</v>
      </c>
      <c r="P8">
        <v>138.131634820861</v>
      </c>
      <c r="Q8">
        <v>140.1735622972094</v>
      </c>
      <c r="R8">
        <v>141.55375224123731</v>
      </c>
      <c r="S8">
        <v>139.97097369283409</v>
      </c>
      <c r="T8">
        <v>139.83315040104489</v>
      </c>
      <c r="U8">
        <v>140.63433560368551</v>
      </c>
      <c r="V8">
        <v>140.9638839291236</v>
      </c>
      <c r="W8">
        <v>141.85748818430829</v>
      </c>
      <c r="X8">
        <v>142.91143686042631</v>
      </c>
      <c r="Y8">
        <v>138.53983622019501</v>
      </c>
      <c r="Z8">
        <v>137.48747271961969</v>
      </c>
      <c r="AA8">
        <v>136.76023284432631</v>
      </c>
      <c r="AB8">
        <v>137.47802427838079</v>
      </c>
      <c r="AC8">
        <v>138.54353569478641</v>
      </c>
      <c r="AD8">
        <v>137.2090482829978</v>
      </c>
      <c r="AE8">
        <v>136.66839841462689</v>
      </c>
      <c r="AF8">
        <v>137.94719223853701</v>
      </c>
      <c r="AG8">
        <v>138.66054717924419</v>
      </c>
      <c r="AH8">
        <v>140.0375169754368</v>
      </c>
      <c r="AI8">
        <v>141.56614258067501</v>
      </c>
      <c r="AJ8">
        <v>137.9566586474825</v>
      </c>
      <c r="AK8">
        <v>139.56619914782399</v>
      </c>
      <c r="AL8">
        <v>138.52439991139249</v>
      </c>
      <c r="AM8">
        <v>138.4097814248108</v>
      </c>
      <c r="AN8">
        <v>140.3633073736207</v>
      </c>
      <c r="AO8">
        <v>138.38768592238731</v>
      </c>
      <c r="AP8">
        <v>136.70742932031769</v>
      </c>
      <c r="AQ8">
        <v>138.34779673954839</v>
      </c>
      <c r="AR8">
        <v>138.10209621539431</v>
      </c>
      <c r="AS8">
        <v>138.94555151202141</v>
      </c>
      <c r="AT8">
        <v>141.13319974873141</v>
      </c>
      <c r="AU8">
        <v>133.76755452848761</v>
      </c>
      <c r="AV8">
        <v>135.3136659257851</v>
      </c>
      <c r="AW8">
        <v>136.174564953763</v>
      </c>
      <c r="AX8">
        <v>136.81709999339159</v>
      </c>
      <c r="AY8">
        <v>136.69241262670499</v>
      </c>
      <c r="AZ8">
        <v>134.948750294055</v>
      </c>
      <c r="BA8">
        <v>134.57147996843619</v>
      </c>
      <c r="BB8">
        <v>136.4179223286813</v>
      </c>
      <c r="BC8">
        <v>137.00629562165429</v>
      </c>
      <c r="BD8">
        <v>137.20721483911191</v>
      </c>
      <c r="BE8">
        <v>139.551505877495</v>
      </c>
    </row>
    <row r="9" spans="2:57" x14ac:dyDescent="0.35">
      <c r="B9" t="s">
        <v>222</v>
      </c>
      <c r="C9">
        <v>0.74718789742556169</v>
      </c>
      <c r="D9">
        <v>0.56488788096865505</v>
      </c>
      <c r="E9">
        <v>0.67852359119660832</v>
      </c>
      <c r="F9">
        <v>1.187691769032398</v>
      </c>
      <c r="G9">
        <v>0.97152704365686304</v>
      </c>
      <c r="H9">
        <v>1.180283999142574</v>
      </c>
      <c r="I9">
        <v>1.4683002213016609</v>
      </c>
      <c r="J9">
        <v>2.477602674231548</v>
      </c>
      <c r="K9">
        <v>2.9382644122946431</v>
      </c>
      <c r="L9">
        <v>3.496150059072761</v>
      </c>
      <c r="M9">
        <v>2.3332048422400362</v>
      </c>
      <c r="N9">
        <v>1.6458770814276991</v>
      </c>
      <c r="O9">
        <v>0.80231276196769841</v>
      </c>
      <c r="P9">
        <v>-0.1252150605915858</v>
      </c>
      <c r="Q9">
        <v>0.31930787143878092</v>
      </c>
      <c r="R9">
        <v>0.76131700388197032</v>
      </c>
      <c r="S9">
        <v>0.52945381688320481</v>
      </c>
      <c r="T9">
        <v>0.68523213019838636</v>
      </c>
      <c r="U9">
        <v>1.2784721601783819</v>
      </c>
      <c r="V9">
        <v>1.805257397700444</v>
      </c>
      <c r="W9">
        <v>2.9390221533070928</v>
      </c>
      <c r="X9">
        <v>2.5514703080995389</v>
      </c>
      <c r="Y9">
        <v>1.4890727847551091</v>
      </c>
      <c r="Z9">
        <v>1.125350888566828</v>
      </c>
      <c r="AA9">
        <v>1.0630594758274301</v>
      </c>
      <c r="AB9">
        <v>2.0245553803393079</v>
      </c>
      <c r="AC9">
        <v>2.2733805755634648</v>
      </c>
      <c r="AD9">
        <v>2.0669290653268888</v>
      </c>
      <c r="AE9">
        <v>1.8543412932472729</v>
      </c>
      <c r="AF9">
        <v>2.033757005762368</v>
      </c>
      <c r="AG9">
        <v>2.259577774352834</v>
      </c>
      <c r="AH9">
        <v>3.1147868077111411</v>
      </c>
      <c r="AI9">
        <v>2.5979542673680101</v>
      </c>
      <c r="AJ9">
        <v>1.0836194161292669</v>
      </c>
      <c r="AK9">
        <v>1.405517876833301</v>
      </c>
      <c r="AL9">
        <v>1.5961370239090229</v>
      </c>
      <c r="AM9">
        <v>2.4397109431023409</v>
      </c>
      <c r="AN9">
        <v>3.2825891938814782</v>
      </c>
      <c r="AO9">
        <v>2.969253794609187</v>
      </c>
      <c r="AP9">
        <v>2.413259014666977</v>
      </c>
      <c r="AQ9">
        <v>2.4952467294445739</v>
      </c>
      <c r="AR9">
        <v>3.0171416964290638</v>
      </c>
      <c r="AS9">
        <v>1.8647378056060691</v>
      </c>
      <c r="AT9">
        <v>1.600876234825193</v>
      </c>
      <c r="AU9">
        <v>-0.63716492414664572</v>
      </c>
      <c r="AV9">
        <v>0.15732039164214481</v>
      </c>
      <c r="AW9">
        <v>-0.5898295146213286</v>
      </c>
      <c r="AX9">
        <v>-0.3260526431747337</v>
      </c>
      <c r="AY9">
        <v>-0.47612709118808988</v>
      </c>
      <c r="AZ9">
        <v>-0.27880239780054689</v>
      </c>
      <c r="BA9">
        <v>-0.95884075513762923</v>
      </c>
      <c r="BB9">
        <v>0.2153117599389702</v>
      </c>
      <c r="BC9">
        <v>0.19536934067386369</v>
      </c>
      <c r="BD9">
        <v>1.680992874523753</v>
      </c>
      <c r="BE9">
        <v>1.976145990146591</v>
      </c>
    </row>
    <row r="10" spans="2:57" x14ac:dyDescent="0.35">
      <c r="B10" t="s">
        <v>223</v>
      </c>
      <c r="C10">
        <v>-1.4136353782085389</v>
      </c>
      <c r="D10">
        <v>-1.547276519445631</v>
      </c>
      <c r="E10">
        <v>-1.710954222899574</v>
      </c>
      <c r="F10">
        <v>-0.9372902043276099</v>
      </c>
      <c r="G10">
        <v>-0.87902048470331806</v>
      </c>
      <c r="H10">
        <v>0.28454546267386149</v>
      </c>
      <c r="I10">
        <v>0.1954039121930862</v>
      </c>
      <c r="J10">
        <v>0.7670126606856229</v>
      </c>
      <c r="K10">
        <v>0.75510153055648743</v>
      </c>
      <c r="L10">
        <v>1.4463265444025519</v>
      </c>
      <c r="M10">
        <v>0.88900846548980894</v>
      </c>
      <c r="N10">
        <v>-1.499374136103796</v>
      </c>
      <c r="O10">
        <v>-1.1772882109584939</v>
      </c>
      <c r="P10">
        <v>-1.6266920552803299</v>
      </c>
      <c r="Q10">
        <v>-1.1902043554766519</v>
      </c>
      <c r="R10">
        <v>-0.52517726473530502</v>
      </c>
      <c r="S10">
        <v>0.13442814082148399</v>
      </c>
      <c r="T10">
        <v>0.25848634103269319</v>
      </c>
      <c r="U10">
        <v>0.3710951563345759</v>
      </c>
      <c r="V10">
        <v>1.0144540789516721</v>
      </c>
      <c r="W10">
        <v>1.6876202408983541</v>
      </c>
      <c r="X10">
        <v>1.507433932902245</v>
      </c>
      <c r="Y10">
        <v>-1.602003264603582</v>
      </c>
      <c r="Z10">
        <v>-1.3403708854876579</v>
      </c>
      <c r="AA10">
        <v>-1.393875278698488</v>
      </c>
      <c r="AB10">
        <v>-1.026304282028548</v>
      </c>
      <c r="AC10">
        <v>-0.61440042470786693</v>
      </c>
      <c r="AD10">
        <v>0.52383900486719881</v>
      </c>
      <c r="AE10">
        <v>0.2378777955592852</v>
      </c>
      <c r="AF10">
        <v>0.49356391727096138</v>
      </c>
      <c r="AG10">
        <v>0.99568501341289561</v>
      </c>
      <c r="AH10">
        <v>1.466777705310506</v>
      </c>
      <c r="AI10">
        <v>1.3030209323074191</v>
      </c>
      <c r="AJ10">
        <v>-1.515339213572986</v>
      </c>
      <c r="AK10">
        <v>-1.4320807438415391</v>
      </c>
      <c r="AL10">
        <v>-1.5909144117584899</v>
      </c>
      <c r="AM10">
        <v>-0.76823536298203976</v>
      </c>
      <c r="AN10">
        <v>-0.58192996556013554</v>
      </c>
      <c r="AO10">
        <v>0.44232335840652581</v>
      </c>
      <c r="AP10">
        <v>0.15029169317469379</v>
      </c>
      <c r="AQ10">
        <v>0.2472083951752779</v>
      </c>
      <c r="AR10">
        <v>0.50401655658083655</v>
      </c>
      <c r="AS10">
        <v>1.6058712731256719</v>
      </c>
      <c r="AT10">
        <v>1.3832903723121319</v>
      </c>
      <c r="AU10">
        <v>-3.52871450035525</v>
      </c>
      <c r="AV10">
        <v>-2.9984759116015312</v>
      </c>
      <c r="AW10">
        <v>-3.5895939376582651</v>
      </c>
      <c r="AX10">
        <v>-3.2046889984176521</v>
      </c>
      <c r="AY10">
        <v>-2.4202093546071239</v>
      </c>
      <c r="AZ10">
        <v>0.13834392106284099</v>
      </c>
      <c r="BA10">
        <v>1.1069597534657309</v>
      </c>
      <c r="BB10">
        <v>9.9570656598132246E-2</v>
      </c>
      <c r="BC10">
        <v>0.32921503719407502</v>
      </c>
      <c r="BD10">
        <v>1.211526218874468</v>
      </c>
      <c r="BE10">
        <v>0.62228186315516609</v>
      </c>
    </row>
    <row r="11" spans="2:57" x14ac:dyDescent="0.35">
      <c r="B11" t="s">
        <v>224</v>
      </c>
      <c r="C11">
        <v>2.707214768640378</v>
      </c>
      <c r="D11">
        <v>2.2880394682777583</v>
      </c>
      <c r="E11">
        <v>2.0027206956794088</v>
      </c>
      <c r="F11">
        <v>2.5931536524031129</v>
      </c>
      <c r="G11">
        <v>3.7446501775596372</v>
      </c>
      <c r="H11">
        <v>3.388185742525025</v>
      </c>
      <c r="I11">
        <v>3.5073792754688773</v>
      </c>
      <c r="J11">
        <v>4.0402815976930837</v>
      </c>
      <c r="K11">
        <v>3.9702313423319389</v>
      </c>
      <c r="L11">
        <v>4.2537913348033802</v>
      </c>
      <c r="M11">
        <v>4.0861473316218193</v>
      </c>
      <c r="N11">
        <v>5.0332926220815501</v>
      </c>
      <c r="O11">
        <v>5.567832149584941</v>
      </c>
      <c r="P11">
        <v>5.235130974919084</v>
      </c>
      <c r="Q11">
        <v>5.328628903686397</v>
      </c>
      <c r="R11">
        <v>5.1245756487105352</v>
      </c>
      <c r="S11">
        <v>5.2098344148380225</v>
      </c>
      <c r="T11">
        <v>5.1666469020677797</v>
      </c>
      <c r="U11">
        <v>6.0848515660240068</v>
      </c>
      <c r="V11">
        <v>6.1510730999353918</v>
      </c>
      <c r="W11">
        <v>6.2080978319684919</v>
      </c>
      <c r="X11">
        <v>5.6750127825983183</v>
      </c>
      <c r="Y11">
        <v>6.1354790625042446</v>
      </c>
      <c r="Z11">
        <v>6.0717535469953345</v>
      </c>
      <c r="AA11">
        <v>4.5804623728311995</v>
      </c>
      <c r="AB11">
        <v>5.137836553915891</v>
      </c>
      <c r="AC11">
        <v>5.7066458856648099</v>
      </c>
      <c r="AD11">
        <v>5.548369545177378</v>
      </c>
      <c r="AE11">
        <v>5.2166812565387151</v>
      </c>
      <c r="AF11">
        <v>6.1403636923522242</v>
      </c>
      <c r="AG11">
        <v>6.0382608264494451</v>
      </c>
      <c r="AH11">
        <v>6.2534722946385761</v>
      </c>
      <c r="AI11">
        <v>5.2901017903815886</v>
      </c>
      <c r="AJ11">
        <v>2.4767311998545218</v>
      </c>
      <c r="AK11">
        <v>2.1566316817629261</v>
      </c>
      <c r="AL11">
        <v>0.82751226950812695</v>
      </c>
      <c r="AM11">
        <v>1.0685351494916295</v>
      </c>
      <c r="AN11">
        <v>1.3239600171902748</v>
      </c>
      <c r="AO11">
        <v>1.3976667268150658</v>
      </c>
      <c r="AP11">
        <v>0.8663164569306705</v>
      </c>
      <c r="AQ11">
        <v>0.4739865492493105</v>
      </c>
      <c r="AR11">
        <v>0.45527757409375336</v>
      </c>
      <c r="AS11">
        <v>0.48685779217732339</v>
      </c>
      <c r="AT11">
        <v>-0.27871139471859308</v>
      </c>
      <c r="AU11">
        <v>2.6273818982727835</v>
      </c>
      <c r="AV11">
        <v>1.8482391078753926</v>
      </c>
      <c r="AW11">
        <v>1.7170447605410009</v>
      </c>
      <c r="AX11">
        <v>1.9627113056735983</v>
      </c>
      <c r="AY11">
        <v>1.7519385388946547</v>
      </c>
      <c r="AZ11">
        <v>1.3235352056190524</v>
      </c>
      <c r="BA11">
        <v>1.5176980264090763</v>
      </c>
      <c r="BB11">
        <v>1.9215073095841555</v>
      </c>
      <c r="BC11">
        <v>1.8477536230552478</v>
      </c>
      <c r="BD11">
        <v>1.6963272774335136</v>
      </c>
      <c r="BE11">
        <v>1.2163820877261886</v>
      </c>
    </row>
    <row r="12" spans="2:57" x14ac:dyDescent="0.35">
      <c r="B12" t="s">
        <v>225</v>
      </c>
      <c r="C12">
        <v>1.2935793904318391</v>
      </c>
      <c r="D12">
        <v>0.74076294883212723</v>
      </c>
      <c r="E12">
        <v>0.29176647277983481</v>
      </c>
      <c r="F12">
        <v>1.655863448075503</v>
      </c>
      <c r="G12">
        <v>2.8656296928563192</v>
      </c>
      <c r="H12">
        <v>3.6727312051988865</v>
      </c>
      <c r="I12">
        <v>3.7027831876619635</v>
      </c>
      <c r="J12">
        <v>4.8072942583787066</v>
      </c>
      <c r="K12">
        <v>4.7253328728884263</v>
      </c>
      <c r="L12">
        <v>5.7001178792059317</v>
      </c>
      <c r="M12">
        <v>4.9751557971116283</v>
      </c>
      <c r="N12">
        <v>3.5339184859777539</v>
      </c>
      <c r="O12">
        <v>4.3905439386264469</v>
      </c>
      <c r="P12">
        <v>3.6084389196387541</v>
      </c>
      <c r="Q12">
        <v>4.1384245482097448</v>
      </c>
      <c r="R12">
        <v>4.5993983839752302</v>
      </c>
      <c r="S12">
        <v>5.3442625556595065</v>
      </c>
      <c r="T12">
        <v>5.4251332431004728</v>
      </c>
      <c r="U12">
        <v>6.4559467223585827</v>
      </c>
      <c r="V12">
        <v>7.1655271788870643</v>
      </c>
      <c r="W12">
        <v>7.8957180728668455</v>
      </c>
      <c r="X12">
        <v>7.1824467155005634</v>
      </c>
      <c r="Y12">
        <v>4.5334757979006621</v>
      </c>
      <c r="Z12">
        <v>4.7313826615076771</v>
      </c>
      <c r="AA12">
        <v>3.1865870941327117</v>
      </c>
      <c r="AB12">
        <v>4.1115322718873433</v>
      </c>
      <c r="AC12">
        <v>5.092245460956943</v>
      </c>
      <c r="AD12">
        <v>6.0722085500445768</v>
      </c>
      <c r="AE12">
        <v>5.4545590520980003</v>
      </c>
      <c r="AF12">
        <v>6.6339276096231856</v>
      </c>
      <c r="AG12">
        <v>7.0339458398623407</v>
      </c>
      <c r="AH12">
        <v>7.7202499999490826</v>
      </c>
      <c r="AI12">
        <v>6.5931227226890075</v>
      </c>
      <c r="AJ12">
        <v>0.96139198628153588</v>
      </c>
      <c r="AK12">
        <v>0.72455093792138703</v>
      </c>
      <c r="AL12">
        <v>-0.76340214225036296</v>
      </c>
      <c r="AM12">
        <v>0.30029978650958977</v>
      </c>
      <c r="AN12">
        <v>0.74203005163013924</v>
      </c>
      <c r="AO12">
        <v>1.8399900852215916</v>
      </c>
      <c r="AP12">
        <v>1.0166081501053643</v>
      </c>
      <c r="AQ12">
        <v>0.72119494442458842</v>
      </c>
      <c r="AR12">
        <v>0.95929413067458991</v>
      </c>
      <c r="AS12">
        <v>2.0927290653029953</v>
      </c>
      <c r="AT12">
        <v>1.1045789775935388</v>
      </c>
      <c r="AU12">
        <v>-0.90133260208246657</v>
      </c>
      <c r="AV12">
        <v>-1.1502368037261386</v>
      </c>
      <c r="AW12">
        <v>-1.8725491771172642</v>
      </c>
      <c r="AX12">
        <v>-1.2419776927440538</v>
      </c>
      <c r="AY12">
        <v>-0.66827081571246927</v>
      </c>
      <c r="AZ12">
        <v>1.4618791266818933</v>
      </c>
      <c r="BA12">
        <v>2.6246577798748074</v>
      </c>
      <c r="BB12">
        <v>2.021077966182288</v>
      </c>
      <c r="BC12">
        <v>2.1769686602493228</v>
      </c>
      <c r="BD12">
        <v>2.9078534963079816</v>
      </c>
      <c r="BE12">
        <v>1.8386639508813547</v>
      </c>
    </row>
    <row r="13" spans="2:57" x14ac:dyDescent="0.35">
      <c r="B13" t="s">
        <v>215</v>
      </c>
      <c r="C13">
        <v>138.47926085446321</v>
      </c>
      <c r="D13">
        <v>138.32700174280308</v>
      </c>
      <c r="E13">
        <v>137.34240836960015</v>
      </c>
      <c r="F13">
        <v>139.9655384820415</v>
      </c>
      <c r="G13">
        <v>141.92767757194309</v>
      </c>
      <c r="H13">
        <v>141.65437086236167</v>
      </c>
      <c r="I13">
        <v>142.00810835392082</v>
      </c>
      <c r="J13">
        <v>145.31871595952694</v>
      </c>
      <c r="K13">
        <v>146.22167821914556</v>
      </c>
      <c r="L13">
        <v>148.57236919298498</v>
      </c>
      <c r="M13">
        <v>147.74908957937015</v>
      </c>
      <c r="N13">
        <v>145.90082137492104</v>
      </c>
      <c r="O13">
        <v>144.21799898710526</v>
      </c>
      <c r="P13">
        <v>141.61485867990817</v>
      </c>
      <c r="Q13">
        <v>144.63129471685792</v>
      </c>
      <c r="R13">
        <v>146.9144676290945</v>
      </c>
      <c r="S13">
        <v>145.8446900653768</v>
      </c>
      <c r="T13">
        <v>145.94351577434375</v>
      </c>
      <c r="U13">
        <v>148.36875448622249</v>
      </c>
      <c r="V13">
        <v>149.9346685057111</v>
      </c>
      <c r="W13">
        <v>152.69222841048224</v>
      </c>
      <c r="X13">
        <v>152.64535388402641</v>
      </c>
      <c r="Y13">
        <v>144.56238480285077</v>
      </c>
      <c r="Z13">
        <v>143.34420626969418</v>
      </c>
      <c r="AA13">
        <v>141.00987941428644</v>
      </c>
      <c r="AB13">
        <v>143.61411193060744</v>
      </c>
      <c r="AC13">
        <v>145.90916173130682</v>
      </c>
      <c r="AD13">
        <v>145.34818589836925</v>
      </c>
      <c r="AE13">
        <v>143.97729875997217</v>
      </c>
      <c r="AF13">
        <v>146.61487685392257</v>
      </c>
      <c r="AG13">
        <v>147.95407079345938</v>
      </c>
      <c r="AH13">
        <v>150.87255378309703</v>
      </c>
      <c r="AI13">
        <v>150.75721957073202</v>
      </c>
      <c r="AJ13">
        <v>140.00167004989331</v>
      </c>
      <c r="AK13">
        <v>141.69626796257867</v>
      </c>
      <c r="AL13">
        <v>139.35713479305116</v>
      </c>
      <c r="AM13">
        <v>141.14979215442273</v>
      </c>
      <c r="AN13">
        <v>144.38792661913232</v>
      </c>
      <c r="AO13">
        <v>143.19692980221808</v>
      </c>
      <c r="AP13">
        <v>140.13729648509002</v>
      </c>
      <c r="AQ13">
        <v>141.56423841341754</v>
      </c>
      <c r="AR13">
        <v>142.07853204249795</v>
      </c>
      <c r="AS13">
        <v>142.90301838293047</v>
      </c>
      <c r="AT13">
        <v>143.83865496115016</v>
      </c>
      <c r="AU13">
        <v>132.22905700225849</v>
      </c>
      <c r="AV13">
        <v>134.32074951370112</v>
      </c>
      <c r="AW13">
        <v>133.7121862620244</v>
      </c>
      <c r="AX13">
        <v>135.2490696574728</v>
      </c>
      <c r="AY13">
        <v>135.54801471980443</v>
      </c>
      <c r="AZ13">
        <v>136.13182702293636</v>
      </c>
      <c r="BA13">
        <v>136.23729699317337</v>
      </c>
      <c r="BB13">
        <v>138.65431205480255</v>
      </c>
      <c r="BC13">
        <v>139.37863362257747</v>
      </c>
      <c r="BD13">
        <v>141.79606120994364</v>
      </c>
      <c r="BE13">
        <v>143.36631581852296</v>
      </c>
    </row>
    <row r="16" spans="2:57" x14ac:dyDescent="0.35">
      <c r="B16" t="s">
        <v>251</v>
      </c>
      <c r="C16" t="s">
        <v>195</v>
      </c>
      <c r="D16" t="s">
        <v>221</v>
      </c>
      <c r="E16" t="s">
        <v>222</v>
      </c>
      <c r="F16" t="s">
        <v>223</v>
      </c>
      <c r="G16" t="s">
        <v>224</v>
      </c>
      <c r="H16" t="s">
        <v>225</v>
      </c>
      <c r="I16" t="s">
        <v>215</v>
      </c>
    </row>
    <row r="17" spans="2:9" x14ac:dyDescent="0.35">
      <c r="B17" t="s">
        <v>252</v>
      </c>
      <c r="C17" t="s">
        <v>152</v>
      </c>
      <c r="D17">
        <v>136.43849356660581</v>
      </c>
      <c r="E17">
        <v>0.74718789742556169</v>
      </c>
      <c r="F17">
        <v>-1.4136353782085389</v>
      </c>
      <c r="G17">
        <v>2.707214768640378</v>
      </c>
      <c r="H17">
        <v>1.2935793904318391</v>
      </c>
      <c r="I17">
        <v>138.47926085446321</v>
      </c>
    </row>
    <row r="18" spans="2:9" x14ac:dyDescent="0.35">
      <c r="B18" t="s">
        <v>253</v>
      </c>
      <c r="C18" t="s">
        <v>166</v>
      </c>
      <c r="D18">
        <v>137.02135091300229</v>
      </c>
      <c r="E18">
        <v>0.56488788096865505</v>
      </c>
      <c r="F18">
        <v>-1.547276519445631</v>
      </c>
      <c r="G18">
        <v>2.2880394682777583</v>
      </c>
      <c r="H18">
        <v>0.74076294883212723</v>
      </c>
      <c r="I18">
        <v>138.32700174280308</v>
      </c>
    </row>
    <row r="19" spans="2:9" x14ac:dyDescent="0.35">
      <c r="B19" t="s">
        <v>254</v>
      </c>
      <c r="C19" t="s">
        <v>167</v>
      </c>
      <c r="D19">
        <v>136.3721183056237</v>
      </c>
      <c r="E19">
        <v>0.67852359119660832</v>
      </c>
      <c r="F19">
        <v>-1.710954222899574</v>
      </c>
      <c r="G19">
        <v>2.0027206956794088</v>
      </c>
      <c r="H19">
        <v>0.29176647277983481</v>
      </c>
      <c r="I19">
        <v>137.34240836960015</v>
      </c>
    </row>
    <row r="20" spans="2:9" x14ac:dyDescent="0.35">
      <c r="B20" t="s">
        <v>255</v>
      </c>
      <c r="C20" t="s">
        <v>163</v>
      </c>
      <c r="D20">
        <v>137.12198326493359</v>
      </c>
      <c r="E20">
        <v>1.187691769032398</v>
      </c>
      <c r="F20">
        <v>-0.9372902043276099</v>
      </c>
      <c r="G20">
        <v>2.5931536524031129</v>
      </c>
      <c r="H20">
        <v>1.655863448075503</v>
      </c>
      <c r="I20">
        <v>139.9655384820415</v>
      </c>
    </row>
    <row r="21" spans="2:9" x14ac:dyDescent="0.35">
      <c r="B21" t="s">
        <v>256</v>
      </c>
      <c r="C21" t="s">
        <v>160</v>
      </c>
      <c r="D21">
        <v>138.09052083542991</v>
      </c>
      <c r="E21">
        <v>0.97152704365686304</v>
      </c>
      <c r="F21">
        <v>-0.87902048470331806</v>
      </c>
      <c r="G21">
        <v>3.7446501775596372</v>
      </c>
      <c r="H21">
        <v>2.8656296928563192</v>
      </c>
      <c r="I21">
        <v>141.92767757194309</v>
      </c>
    </row>
    <row r="22" spans="2:9" x14ac:dyDescent="0.35">
      <c r="B22" t="s">
        <v>257</v>
      </c>
      <c r="C22" t="s">
        <v>126</v>
      </c>
      <c r="D22">
        <v>136.80135565802021</v>
      </c>
      <c r="E22">
        <v>1.180283999142574</v>
      </c>
      <c r="F22">
        <v>0.28454546267386149</v>
      </c>
      <c r="G22">
        <v>3.388185742525025</v>
      </c>
      <c r="H22">
        <v>3.6727312051988865</v>
      </c>
      <c r="I22">
        <v>141.65437086236167</v>
      </c>
    </row>
    <row r="23" spans="2:9" x14ac:dyDescent="0.35">
      <c r="B23" t="s">
        <v>258</v>
      </c>
      <c r="C23" t="s">
        <v>128</v>
      </c>
      <c r="D23">
        <v>136.83702494495719</v>
      </c>
      <c r="E23">
        <v>1.4683002213016609</v>
      </c>
      <c r="F23">
        <v>0.1954039121930862</v>
      </c>
      <c r="G23">
        <v>3.5073792754688773</v>
      </c>
      <c r="H23">
        <v>3.7027831876619635</v>
      </c>
      <c r="I23">
        <v>142.00810835392082</v>
      </c>
    </row>
    <row r="24" spans="2:9" x14ac:dyDescent="0.35">
      <c r="B24" t="s">
        <v>259</v>
      </c>
      <c r="C24" t="s">
        <v>129</v>
      </c>
      <c r="D24">
        <v>138.03381902691669</v>
      </c>
      <c r="E24">
        <v>2.477602674231548</v>
      </c>
      <c r="F24">
        <v>0.7670126606856229</v>
      </c>
      <c r="G24">
        <v>4.0402815976930837</v>
      </c>
      <c r="H24">
        <v>4.8072942583787066</v>
      </c>
      <c r="I24">
        <v>145.31871595952694</v>
      </c>
    </row>
    <row r="25" spans="2:9" x14ac:dyDescent="0.35">
      <c r="B25" t="s">
        <v>260</v>
      </c>
      <c r="C25" t="s">
        <v>130</v>
      </c>
      <c r="D25">
        <v>138.55808093396249</v>
      </c>
      <c r="E25">
        <v>2.9382644122946431</v>
      </c>
      <c r="F25">
        <v>0.75510153055648743</v>
      </c>
      <c r="G25">
        <v>3.9702313423319389</v>
      </c>
      <c r="H25">
        <v>4.7253328728884263</v>
      </c>
      <c r="I25">
        <v>146.22167821914556</v>
      </c>
    </row>
    <row r="26" spans="2:9" x14ac:dyDescent="0.35">
      <c r="B26" t="s">
        <v>261</v>
      </c>
      <c r="C26" t="s">
        <v>131</v>
      </c>
      <c r="D26">
        <v>139.3761012547063</v>
      </c>
      <c r="E26">
        <v>3.496150059072761</v>
      </c>
      <c r="F26">
        <v>1.4463265444025519</v>
      </c>
      <c r="G26">
        <v>4.2537913348033802</v>
      </c>
      <c r="H26">
        <v>5.7001178792059317</v>
      </c>
      <c r="I26">
        <v>148.57236919298498</v>
      </c>
    </row>
    <row r="27" spans="2:9" x14ac:dyDescent="0.35">
      <c r="B27" t="s">
        <v>262</v>
      </c>
      <c r="C27" t="s">
        <v>127</v>
      </c>
      <c r="D27">
        <v>140.44072894001849</v>
      </c>
      <c r="E27">
        <v>2.3332048422400362</v>
      </c>
      <c r="F27">
        <v>0.88900846548980894</v>
      </c>
      <c r="G27">
        <v>4.0861473316218193</v>
      </c>
      <c r="H27">
        <v>4.9751557971116283</v>
      </c>
      <c r="I27">
        <v>147.74908957937015</v>
      </c>
    </row>
    <row r="28" spans="2:9" x14ac:dyDescent="0.35">
      <c r="B28" t="s">
        <v>263</v>
      </c>
      <c r="C28" t="s">
        <v>152</v>
      </c>
      <c r="D28">
        <v>140.72102580751559</v>
      </c>
      <c r="E28">
        <v>1.6458770814276991</v>
      </c>
      <c r="F28">
        <v>-1.499374136103796</v>
      </c>
      <c r="G28">
        <v>5.0332926220815501</v>
      </c>
      <c r="H28">
        <v>3.5339184859777539</v>
      </c>
      <c r="I28">
        <v>145.90082137492104</v>
      </c>
    </row>
    <row r="29" spans="2:9" x14ac:dyDescent="0.35">
      <c r="B29" t="s">
        <v>264</v>
      </c>
      <c r="C29" t="s">
        <v>166</v>
      </c>
      <c r="D29">
        <v>139.02514228651111</v>
      </c>
      <c r="E29">
        <v>0.80231276196769841</v>
      </c>
      <c r="F29">
        <v>-1.1772882109584939</v>
      </c>
      <c r="G29">
        <v>5.567832149584941</v>
      </c>
      <c r="H29">
        <v>4.3905439386264469</v>
      </c>
      <c r="I29">
        <v>144.21799898710526</v>
      </c>
    </row>
    <row r="30" spans="2:9" x14ac:dyDescent="0.35">
      <c r="B30" t="s">
        <v>265</v>
      </c>
      <c r="C30" t="s">
        <v>167</v>
      </c>
      <c r="D30">
        <v>138.131634820861</v>
      </c>
      <c r="E30">
        <v>-0.1252150605915858</v>
      </c>
      <c r="F30">
        <v>-1.6266920552803299</v>
      </c>
      <c r="G30">
        <v>5.235130974919084</v>
      </c>
      <c r="H30">
        <v>3.6084389196387541</v>
      </c>
      <c r="I30">
        <v>141.61485867990817</v>
      </c>
    </row>
    <row r="31" spans="2:9" x14ac:dyDescent="0.35">
      <c r="B31" t="s">
        <v>266</v>
      </c>
      <c r="C31" t="s">
        <v>163</v>
      </c>
      <c r="D31">
        <v>140.1735622972094</v>
      </c>
      <c r="E31">
        <v>0.31930787143878092</v>
      </c>
      <c r="F31">
        <v>-1.1902043554766519</v>
      </c>
      <c r="G31">
        <v>5.328628903686397</v>
      </c>
      <c r="H31">
        <v>4.1384245482097448</v>
      </c>
      <c r="I31">
        <v>144.63129471685792</v>
      </c>
    </row>
    <row r="32" spans="2:9" x14ac:dyDescent="0.35">
      <c r="B32" t="s">
        <v>267</v>
      </c>
      <c r="C32" t="s">
        <v>160</v>
      </c>
      <c r="D32">
        <v>141.55375224123731</v>
      </c>
      <c r="E32">
        <v>0.76131700388197032</v>
      </c>
      <c r="F32">
        <v>-0.52517726473530502</v>
      </c>
      <c r="G32">
        <v>5.1245756487105352</v>
      </c>
      <c r="H32">
        <v>4.5993983839752302</v>
      </c>
      <c r="I32">
        <v>146.9144676290945</v>
      </c>
    </row>
    <row r="33" spans="2:9" x14ac:dyDescent="0.35">
      <c r="B33" t="s">
        <v>268</v>
      </c>
      <c r="C33" t="s">
        <v>126</v>
      </c>
      <c r="D33">
        <v>139.97097369283409</v>
      </c>
      <c r="E33">
        <v>0.52945381688320481</v>
      </c>
      <c r="F33">
        <v>0.13442814082148399</v>
      </c>
      <c r="G33">
        <v>5.2098344148380225</v>
      </c>
      <c r="H33">
        <v>5.3442625556595065</v>
      </c>
      <c r="I33">
        <v>145.8446900653768</v>
      </c>
    </row>
    <row r="34" spans="2:9" x14ac:dyDescent="0.35">
      <c r="B34" t="s">
        <v>269</v>
      </c>
      <c r="C34" t="s">
        <v>128</v>
      </c>
      <c r="D34">
        <v>139.83315040104489</v>
      </c>
      <c r="E34">
        <v>0.68523213019838636</v>
      </c>
      <c r="F34">
        <v>0.25848634103269319</v>
      </c>
      <c r="G34">
        <v>5.1666469020677797</v>
      </c>
      <c r="H34">
        <v>5.4251332431004728</v>
      </c>
      <c r="I34">
        <v>145.94351577434375</v>
      </c>
    </row>
    <row r="35" spans="2:9" x14ac:dyDescent="0.35">
      <c r="B35" t="s">
        <v>270</v>
      </c>
      <c r="C35" t="s">
        <v>129</v>
      </c>
      <c r="D35">
        <v>140.63433560368551</v>
      </c>
      <c r="E35">
        <v>1.2784721601783819</v>
      </c>
      <c r="F35">
        <v>0.3710951563345759</v>
      </c>
      <c r="G35">
        <v>6.0848515660240068</v>
      </c>
      <c r="H35">
        <v>6.4559467223585827</v>
      </c>
      <c r="I35">
        <v>148.36875448622249</v>
      </c>
    </row>
    <row r="36" spans="2:9" x14ac:dyDescent="0.35">
      <c r="B36" t="s">
        <v>271</v>
      </c>
      <c r="C36" t="s">
        <v>130</v>
      </c>
      <c r="D36">
        <v>140.9638839291236</v>
      </c>
      <c r="E36">
        <v>1.805257397700444</v>
      </c>
      <c r="F36">
        <v>1.0144540789516721</v>
      </c>
      <c r="G36">
        <v>6.1510730999353918</v>
      </c>
      <c r="H36">
        <v>7.1655271788870643</v>
      </c>
      <c r="I36">
        <v>149.9346685057111</v>
      </c>
    </row>
    <row r="37" spans="2:9" x14ac:dyDescent="0.35">
      <c r="B37" t="s">
        <v>272</v>
      </c>
      <c r="C37" t="s">
        <v>131</v>
      </c>
      <c r="D37">
        <v>141.85748818430829</v>
      </c>
      <c r="E37">
        <v>2.9390221533070928</v>
      </c>
      <c r="F37">
        <v>1.6876202408983541</v>
      </c>
      <c r="G37">
        <v>6.2080978319684919</v>
      </c>
      <c r="H37">
        <v>7.8957180728668455</v>
      </c>
      <c r="I37">
        <v>152.69222841048224</v>
      </c>
    </row>
    <row r="38" spans="2:9" x14ac:dyDescent="0.35">
      <c r="B38" t="s">
        <v>273</v>
      </c>
      <c r="C38" t="s">
        <v>127</v>
      </c>
      <c r="D38">
        <v>142.91143686042631</v>
      </c>
      <c r="E38">
        <v>2.5514703080995389</v>
      </c>
      <c r="F38">
        <v>1.507433932902245</v>
      </c>
      <c r="G38">
        <v>5.6750127825983183</v>
      </c>
      <c r="H38">
        <v>7.1824467155005634</v>
      </c>
      <c r="I38">
        <v>152.64535388402641</v>
      </c>
    </row>
    <row r="39" spans="2:9" x14ac:dyDescent="0.35">
      <c r="B39" t="s">
        <v>274</v>
      </c>
      <c r="C39" t="s">
        <v>152</v>
      </c>
      <c r="D39">
        <v>138.53983622019501</v>
      </c>
      <c r="E39">
        <v>1.4890727847551091</v>
      </c>
      <c r="F39">
        <v>-1.602003264603582</v>
      </c>
      <c r="G39">
        <v>6.1354790625042446</v>
      </c>
      <c r="H39">
        <v>4.5334757979006621</v>
      </c>
      <c r="I39">
        <v>144.56238480285077</v>
      </c>
    </row>
    <row r="40" spans="2:9" x14ac:dyDescent="0.35">
      <c r="B40" t="s">
        <v>275</v>
      </c>
      <c r="C40" t="s">
        <v>166</v>
      </c>
      <c r="D40">
        <v>137.48747271961969</v>
      </c>
      <c r="E40">
        <v>1.125350888566828</v>
      </c>
      <c r="F40">
        <v>-1.3403708854876579</v>
      </c>
      <c r="G40">
        <v>6.0717535469953345</v>
      </c>
      <c r="H40">
        <v>4.7313826615076771</v>
      </c>
      <c r="I40">
        <v>143.34420626969418</v>
      </c>
    </row>
    <row r="41" spans="2:9" x14ac:dyDescent="0.35">
      <c r="B41" t="s">
        <v>276</v>
      </c>
      <c r="C41" t="s">
        <v>167</v>
      </c>
      <c r="D41">
        <v>136.76023284432631</v>
      </c>
      <c r="E41">
        <v>1.0630594758274301</v>
      </c>
      <c r="F41">
        <v>-1.393875278698488</v>
      </c>
      <c r="G41">
        <v>4.5804623728311995</v>
      </c>
      <c r="H41">
        <v>3.1865870941327117</v>
      </c>
      <c r="I41">
        <v>141.00987941428644</v>
      </c>
    </row>
    <row r="42" spans="2:9" x14ac:dyDescent="0.35">
      <c r="B42" t="s">
        <v>277</v>
      </c>
      <c r="C42" t="s">
        <v>163</v>
      </c>
      <c r="D42">
        <v>137.47802427838079</v>
      </c>
      <c r="E42">
        <v>2.0245553803393079</v>
      </c>
      <c r="F42">
        <v>-1.026304282028548</v>
      </c>
      <c r="G42">
        <v>5.137836553915891</v>
      </c>
      <c r="H42">
        <v>4.1115322718873433</v>
      </c>
      <c r="I42">
        <v>143.61411193060744</v>
      </c>
    </row>
    <row r="43" spans="2:9" x14ac:dyDescent="0.35">
      <c r="B43" t="s">
        <v>278</v>
      </c>
      <c r="C43" t="s">
        <v>160</v>
      </c>
      <c r="D43">
        <v>138.54353569478641</v>
      </c>
      <c r="E43">
        <v>2.2733805755634648</v>
      </c>
      <c r="F43">
        <v>-0.61440042470786693</v>
      </c>
      <c r="G43">
        <v>5.7066458856648099</v>
      </c>
      <c r="H43">
        <v>5.092245460956943</v>
      </c>
      <c r="I43">
        <v>145.90916173130682</v>
      </c>
    </row>
    <row r="44" spans="2:9" x14ac:dyDescent="0.35">
      <c r="B44" t="s">
        <v>279</v>
      </c>
      <c r="C44" t="s">
        <v>126</v>
      </c>
      <c r="D44">
        <v>137.2090482829978</v>
      </c>
      <c r="E44">
        <v>2.0669290653268888</v>
      </c>
      <c r="F44">
        <v>0.52383900486719881</v>
      </c>
      <c r="G44">
        <v>5.548369545177378</v>
      </c>
      <c r="H44">
        <v>6.0722085500445768</v>
      </c>
      <c r="I44">
        <v>145.34818589836925</v>
      </c>
    </row>
    <row r="45" spans="2:9" x14ac:dyDescent="0.35">
      <c r="B45" t="s">
        <v>280</v>
      </c>
      <c r="C45" t="s">
        <v>128</v>
      </c>
      <c r="D45">
        <v>136.66839841462689</v>
      </c>
      <c r="E45">
        <v>1.8543412932472729</v>
      </c>
      <c r="F45">
        <v>0.2378777955592852</v>
      </c>
      <c r="G45">
        <v>5.2166812565387151</v>
      </c>
      <c r="H45">
        <v>5.4545590520980003</v>
      </c>
      <c r="I45">
        <v>143.97729875997217</v>
      </c>
    </row>
    <row r="46" spans="2:9" x14ac:dyDescent="0.35">
      <c r="B46" t="s">
        <v>281</v>
      </c>
      <c r="C46" t="s">
        <v>129</v>
      </c>
      <c r="D46">
        <v>137.94719223853701</v>
      </c>
      <c r="E46">
        <v>2.033757005762368</v>
      </c>
      <c r="F46">
        <v>0.49356391727096138</v>
      </c>
      <c r="G46">
        <v>6.1403636923522242</v>
      </c>
      <c r="H46">
        <v>6.6339276096231856</v>
      </c>
      <c r="I46">
        <v>146.61487685392257</v>
      </c>
    </row>
    <row r="47" spans="2:9" x14ac:dyDescent="0.35">
      <c r="B47" t="s">
        <v>282</v>
      </c>
      <c r="C47" t="s">
        <v>130</v>
      </c>
      <c r="D47">
        <v>138.66054717924419</v>
      </c>
      <c r="E47">
        <v>2.259577774352834</v>
      </c>
      <c r="F47">
        <v>0.99568501341289561</v>
      </c>
      <c r="G47">
        <v>6.0382608264494451</v>
      </c>
      <c r="H47">
        <v>7.0339458398623407</v>
      </c>
      <c r="I47">
        <v>147.95407079345938</v>
      </c>
    </row>
    <row r="48" spans="2:9" x14ac:dyDescent="0.35">
      <c r="B48" t="s">
        <v>283</v>
      </c>
      <c r="C48" t="s">
        <v>131</v>
      </c>
      <c r="D48">
        <v>140.0375169754368</v>
      </c>
      <c r="E48">
        <v>3.1147868077111411</v>
      </c>
      <c r="F48">
        <v>1.466777705310506</v>
      </c>
      <c r="G48">
        <v>6.2534722946385761</v>
      </c>
      <c r="H48">
        <v>7.7202499999490826</v>
      </c>
      <c r="I48">
        <v>150.87255378309703</v>
      </c>
    </row>
    <row r="49" spans="2:9" x14ac:dyDescent="0.35">
      <c r="B49" t="s">
        <v>284</v>
      </c>
      <c r="C49" t="s">
        <v>127</v>
      </c>
      <c r="D49">
        <v>141.56614258067501</v>
      </c>
      <c r="E49">
        <v>2.5979542673680101</v>
      </c>
      <c r="F49">
        <v>1.3030209323074191</v>
      </c>
      <c r="G49">
        <v>5.2901017903815886</v>
      </c>
      <c r="H49">
        <v>6.5931227226890075</v>
      </c>
      <c r="I49">
        <v>150.75721957073202</v>
      </c>
    </row>
    <row r="50" spans="2:9" x14ac:dyDescent="0.35">
      <c r="B50" t="s">
        <v>285</v>
      </c>
      <c r="C50" t="s">
        <v>152</v>
      </c>
      <c r="D50">
        <v>137.9566586474825</v>
      </c>
      <c r="E50">
        <v>1.0836194161292669</v>
      </c>
      <c r="F50">
        <v>-1.515339213572986</v>
      </c>
      <c r="G50">
        <v>2.4767311998545218</v>
      </c>
      <c r="H50">
        <v>0.96139198628153588</v>
      </c>
      <c r="I50">
        <v>140.00167004989331</v>
      </c>
    </row>
    <row r="51" spans="2:9" x14ac:dyDescent="0.35">
      <c r="B51" t="s">
        <v>286</v>
      </c>
      <c r="C51" t="s">
        <v>166</v>
      </c>
      <c r="D51">
        <v>139.56619914782399</v>
      </c>
      <c r="E51">
        <v>1.405517876833301</v>
      </c>
      <c r="F51">
        <v>-1.4320807438415391</v>
      </c>
      <c r="G51">
        <v>2.1566316817629261</v>
      </c>
      <c r="H51">
        <v>0.72455093792138703</v>
      </c>
      <c r="I51">
        <v>141.69626796257867</v>
      </c>
    </row>
    <row r="52" spans="2:9" x14ac:dyDescent="0.35">
      <c r="B52" t="s">
        <v>287</v>
      </c>
      <c r="C52" t="s">
        <v>167</v>
      </c>
      <c r="D52">
        <v>138.52439991139249</v>
      </c>
      <c r="E52">
        <v>1.5961370239090229</v>
      </c>
      <c r="F52">
        <v>-1.5909144117584899</v>
      </c>
      <c r="G52">
        <v>0.82751226950812695</v>
      </c>
      <c r="H52">
        <v>-0.76340214225036296</v>
      </c>
      <c r="I52">
        <v>139.35713479305116</v>
      </c>
    </row>
    <row r="53" spans="2:9" x14ac:dyDescent="0.35">
      <c r="B53" t="s">
        <v>288</v>
      </c>
      <c r="C53" t="s">
        <v>163</v>
      </c>
      <c r="D53">
        <v>138.4097814248108</v>
      </c>
      <c r="E53">
        <v>2.4397109431023409</v>
      </c>
      <c r="F53">
        <v>-0.76823536298203976</v>
      </c>
      <c r="G53">
        <v>1.0685351494916295</v>
      </c>
      <c r="H53">
        <v>0.30029978650958977</v>
      </c>
      <c r="I53">
        <v>141.14979215442273</v>
      </c>
    </row>
    <row r="54" spans="2:9" x14ac:dyDescent="0.35">
      <c r="B54" t="s">
        <v>289</v>
      </c>
      <c r="C54" t="s">
        <v>160</v>
      </c>
      <c r="D54">
        <v>140.3633073736207</v>
      </c>
      <c r="E54">
        <v>3.2825891938814782</v>
      </c>
      <c r="F54">
        <v>-0.58192996556013554</v>
      </c>
      <c r="G54">
        <v>1.3239600171902748</v>
      </c>
      <c r="H54">
        <v>0.74203005163013924</v>
      </c>
      <c r="I54">
        <v>144.38792661913232</v>
      </c>
    </row>
    <row r="55" spans="2:9" x14ac:dyDescent="0.35">
      <c r="B55" t="s">
        <v>290</v>
      </c>
      <c r="C55" t="s">
        <v>126</v>
      </c>
      <c r="D55">
        <v>138.38768592238731</v>
      </c>
      <c r="E55">
        <v>2.969253794609187</v>
      </c>
      <c r="F55">
        <v>0.44232335840652581</v>
      </c>
      <c r="G55">
        <v>1.3976667268150658</v>
      </c>
      <c r="H55">
        <v>1.8399900852215916</v>
      </c>
      <c r="I55">
        <v>143.19692980221808</v>
      </c>
    </row>
    <row r="56" spans="2:9" x14ac:dyDescent="0.35">
      <c r="B56" t="s">
        <v>291</v>
      </c>
      <c r="C56" t="s">
        <v>128</v>
      </c>
      <c r="D56">
        <v>136.70742932031769</v>
      </c>
      <c r="E56">
        <v>2.413259014666977</v>
      </c>
      <c r="F56">
        <v>0.15029169317469379</v>
      </c>
      <c r="G56">
        <v>0.8663164569306705</v>
      </c>
      <c r="H56">
        <v>1.0166081501053643</v>
      </c>
      <c r="I56">
        <v>140.13729648509002</v>
      </c>
    </row>
    <row r="57" spans="2:9" x14ac:dyDescent="0.35">
      <c r="B57" t="s">
        <v>292</v>
      </c>
      <c r="C57" t="s">
        <v>129</v>
      </c>
      <c r="D57">
        <v>138.34779673954839</v>
      </c>
      <c r="E57">
        <v>2.4952467294445739</v>
      </c>
      <c r="F57">
        <v>0.2472083951752779</v>
      </c>
      <c r="G57">
        <v>0.4739865492493105</v>
      </c>
      <c r="H57">
        <v>0.72119494442458842</v>
      </c>
      <c r="I57">
        <v>141.56423841341754</v>
      </c>
    </row>
    <row r="58" spans="2:9" x14ac:dyDescent="0.35">
      <c r="B58" t="s">
        <v>293</v>
      </c>
      <c r="C58" t="s">
        <v>130</v>
      </c>
      <c r="D58">
        <v>138.10209621539431</v>
      </c>
      <c r="E58">
        <v>3.0171416964290638</v>
      </c>
      <c r="F58">
        <v>0.50401655658083655</v>
      </c>
      <c r="G58">
        <v>0.45527757409375336</v>
      </c>
      <c r="H58">
        <v>0.95929413067458991</v>
      </c>
      <c r="I58">
        <v>142.07853204249795</v>
      </c>
    </row>
    <row r="59" spans="2:9" x14ac:dyDescent="0.35">
      <c r="B59" t="s">
        <v>294</v>
      </c>
      <c r="C59" t="s">
        <v>131</v>
      </c>
      <c r="D59">
        <v>138.94555151202141</v>
      </c>
      <c r="E59">
        <v>1.8647378056060691</v>
      </c>
      <c r="F59">
        <v>1.6058712731256719</v>
      </c>
      <c r="G59">
        <v>0.48685779217732339</v>
      </c>
      <c r="H59">
        <v>2.0927290653029953</v>
      </c>
      <c r="I59">
        <v>142.90301838293047</v>
      </c>
    </row>
    <row r="60" spans="2:9" x14ac:dyDescent="0.35">
      <c r="B60" t="s">
        <v>295</v>
      </c>
      <c r="C60" t="s">
        <v>127</v>
      </c>
      <c r="D60">
        <v>141.13319974873141</v>
      </c>
      <c r="E60">
        <v>1.600876234825193</v>
      </c>
      <c r="F60">
        <v>1.3832903723121319</v>
      </c>
      <c r="G60">
        <v>-0.27871139471859308</v>
      </c>
      <c r="H60">
        <v>1.1045789775935388</v>
      </c>
      <c r="I60">
        <v>143.83865496115016</v>
      </c>
    </row>
    <row r="61" spans="2:9" x14ac:dyDescent="0.35">
      <c r="B61" t="s">
        <v>296</v>
      </c>
      <c r="C61" t="s">
        <v>152</v>
      </c>
      <c r="D61">
        <v>133.76755452848761</v>
      </c>
      <c r="E61">
        <v>-0.63716492414664572</v>
      </c>
      <c r="F61">
        <v>-3.52871450035525</v>
      </c>
      <c r="G61">
        <v>2.6273818982727835</v>
      </c>
      <c r="H61">
        <v>-0.90133260208246657</v>
      </c>
      <c r="I61">
        <v>132.22905700225849</v>
      </c>
    </row>
    <row r="62" spans="2:9" x14ac:dyDescent="0.35">
      <c r="B62" t="s">
        <v>297</v>
      </c>
      <c r="C62" t="s">
        <v>166</v>
      </c>
      <c r="D62">
        <v>135.3136659257851</v>
      </c>
      <c r="E62">
        <v>0.15732039164214481</v>
      </c>
      <c r="F62">
        <v>-2.9984759116015312</v>
      </c>
      <c r="G62">
        <v>1.8482391078753926</v>
      </c>
      <c r="H62">
        <v>-1.1502368037261386</v>
      </c>
      <c r="I62">
        <v>134.32074951370112</v>
      </c>
    </row>
    <row r="63" spans="2:9" x14ac:dyDescent="0.35">
      <c r="B63" t="s">
        <v>298</v>
      </c>
      <c r="C63" t="s">
        <v>167</v>
      </c>
      <c r="D63">
        <v>136.174564953763</v>
      </c>
      <c r="E63">
        <v>-0.5898295146213286</v>
      </c>
      <c r="F63">
        <v>-3.5895939376582651</v>
      </c>
      <c r="G63">
        <v>1.7170447605410009</v>
      </c>
      <c r="H63">
        <v>-1.8725491771172642</v>
      </c>
      <c r="I63">
        <v>133.7121862620244</v>
      </c>
    </row>
    <row r="64" spans="2:9" x14ac:dyDescent="0.35">
      <c r="B64" t="s">
        <v>299</v>
      </c>
      <c r="C64" t="s">
        <v>163</v>
      </c>
      <c r="D64">
        <v>136.81709999339159</v>
      </c>
      <c r="E64">
        <v>-0.3260526431747337</v>
      </c>
      <c r="F64">
        <v>-3.2046889984176521</v>
      </c>
      <c r="G64">
        <v>1.9627113056735983</v>
      </c>
      <c r="H64">
        <v>-1.2419776927440538</v>
      </c>
      <c r="I64">
        <v>135.2490696574728</v>
      </c>
    </row>
    <row r="65" spans="2:9" x14ac:dyDescent="0.35">
      <c r="B65" t="s">
        <v>300</v>
      </c>
      <c r="C65" t="s">
        <v>160</v>
      </c>
      <c r="D65">
        <v>136.69241262670499</v>
      </c>
      <c r="E65">
        <v>-0.47612709118808988</v>
      </c>
      <c r="F65">
        <v>-2.4202093546071239</v>
      </c>
      <c r="G65">
        <v>1.7519385388946547</v>
      </c>
      <c r="H65">
        <v>-0.66827081571246927</v>
      </c>
      <c r="I65">
        <v>135.54801471980443</v>
      </c>
    </row>
    <row r="66" spans="2:9" x14ac:dyDescent="0.35">
      <c r="B66" t="s">
        <v>301</v>
      </c>
      <c r="C66" t="s">
        <v>126</v>
      </c>
      <c r="D66">
        <v>134.948750294055</v>
      </c>
      <c r="E66">
        <v>-0.27880239780054689</v>
      </c>
      <c r="F66">
        <v>0.13834392106284099</v>
      </c>
      <c r="G66">
        <v>1.3235352056190524</v>
      </c>
      <c r="H66">
        <v>1.4618791266818933</v>
      </c>
      <c r="I66">
        <v>136.13182702293636</v>
      </c>
    </row>
    <row r="67" spans="2:9" x14ac:dyDescent="0.35">
      <c r="B67" t="s">
        <v>302</v>
      </c>
      <c r="C67" t="s">
        <v>128</v>
      </c>
      <c r="D67">
        <v>134.57147996843619</v>
      </c>
      <c r="E67">
        <v>-0.95884075513762923</v>
      </c>
      <c r="F67">
        <v>1.1069597534657309</v>
      </c>
      <c r="G67">
        <v>1.5176980264090763</v>
      </c>
      <c r="H67">
        <v>2.6246577798748074</v>
      </c>
      <c r="I67">
        <v>136.23729699317337</v>
      </c>
    </row>
    <row r="68" spans="2:9" x14ac:dyDescent="0.35">
      <c r="B68" t="s">
        <v>303</v>
      </c>
      <c r="C68" t="s">
        <v>129</v>
      </c>
      <c r="D68">
        <v>136.4179223286813</v>
      </c>
      <c r="E68">
        <v>0.2153117599389702</v>
      </c>
      <c r="F68">
        <v>9.9570656598132246E-2</v>
      </c>
      <c r="G68">
        <v>1.9215073095841555</v>
      </c>
      <c r="H68">
        <v>2.021077966182288</v>
      </c>
      <c r="I68">
        <v>138.65431205480255</v>
      </c>
    </row>
    <row r="69" spans="2:9" x14ac:dyDescent="0.35">
      <c r="B69" t="s">
        <v>304</v>
      </c>
      <c r="C69" t="s">
        <v>130</v>
      </c>
      <c r="D69">
        <v>137.00629562165429</v>
      </c>
      <c r="E69">
        <v>0.19536934067386369</v>
      </c>
      <c r="F69">
        <v>0.32921503719407502</v>
      </c>
      <c r="G69">
        <v>1.8477536230552478</v>
      </c>
      <c r="H69">
        <v>2.1769686602493228</v>
      </c>
      <c r="I69">
        <v>139.37863362257747</v>
      </c>
    </row>
    <row r="70" spans="2:9" x14ac:dyDescent="0.35">
      <c r="B70" t="s">
        <v>305</v>
      </c>
      <c r="C70" t="s">
        <v>131</v>
      </c>
      <c r="D70">
        <v>137.20721483911191</v>
      </c>
      <c r="E70">
        <v>1.680992874523753</v>
      </c>
      <c r="F70">
        <v>1.211526218874468</v>
      </c>
      <c r="G70">
        <v>1.6963272774335136</v>
      </c>
      <c r="H70">
        <v>2.9078534963079816</v>
      </c>
      <c r="I70">
        <v>141.79606120994364</v>
      </c>
    </row>
    <row r="71" spans="2:9" x14ac:dyDescent="0.35">
      <c r="B71" t="s">
        <v>306</v>
      </c>
      <c r="C71" t="s">
        <v>127</v>
      </c>
      <c r="D71">
        <v>139.551505877495</v>
      </c>
      <c r="E71">
        <v>1.976145990146591</v>
      </c>
      <c r="F71">
        <v>0.62228186315516609</v>
      </c>
      <c r="G71">
        <v>1.2163820877261886</v>
      </c>
      <c r="H71">
        <v>1.8386639508813547</v>
      </c>
      <c r="I71">
        <v>143.36631581852296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DB7F8-5FEC-4C62-A185-B2352FA6CBF6}">
  <sheetPr>
    <tabColor theme="6"/>
  </sheetPr>
  <dimension ref="A1:F68"/>
  <sheetViews>
    <sheetView zoomScale="190" zoomScaleNormal="190" workbookViewId="0">
      <selection activeCell="D5" sqref="D5"/>
    </sheetView>
  </sheetViews>
  <sheetFormatPr defaultRowHeight="14.5" x14ac:dyDescent="0.35"/>
  <cols>
    <col min="1" max="5" width="16.08984375" customWidth="1"/>
    <col min="6" max="6" width="12" bestFit="1" customWidth="1"/>
  </cols>
  <sheetData>
    <row r="1" spans="1:6" x14ac:dyDescent="0.35">
      <c r="A1" t="s">
        <v>195</v>
      </c>
      <c r="B1" t="s">
        <v>139</v>
      </c>
      <c r="C1" t="s">
        <v>196</v>
      </c>
      <c r="D1" t="s">
        <v>197</v>
      </c>
      <c r="E1" t="s">
        <v>198</v>
      </c>
      <c r="F1" t="s">
        <v>189</v>
      </c>
    </row>
    <row r="2" spans="1:6" x14ac:dyDescent="0.35">
      <c r="A2" t="s">
        <v>152</v>
      </c>
      <c r="B2" t="s">
        <v>151</v>
      </c>
      <c r="C2">
        <v>8.9099999999999999E-2</v>
      </c>
      <c r="D2">
        <v>0.26779999999999998</v>
      </c>
      <c r="E2">
        <v>0.64300000000000002</v>
      </c>
      <c r="F2" t="str">
        <f>_xlfn.CONCAT(fraud[[#This Row],[lob]], " ",fraud[[#This Row],[time]])</f>
        <v>FRN 2023 Q3</v>
      </c>
    </row>
    <row r="3" spans="1:6" x14ac:dyDescent="0.35">
      <c r="A3" t="s">
        <v>152</v>
      </c>
      <c r="B3" t="s">
        <v>155</v>
      </c>
      <c r="C3">
        <v>6.3399999999999998E-2</v>
      </c>
      <c r="D3">
        <v>0.26979999999999998</v>
      </c>
      <c r="E3">
        <v>0.66659999999999997</v>
      </c>
      <c r="F3" t="str">
        <f>_xlfn.CONCAT(fraud[[#This Row],[lob]], " ",fraud[[#This Row],[time]])</f>
        <v>FLD 2023 Q3</v>
      </c>
    </row>
    <row r="4" spans="1:6" x14ac:dyDescent="0.35">
      <c r="A4" t="s">
        <v>152</v>
      </c>
      <c r="B4" t="s">
        <v>199</v>
      </c>
      <c r="C4">
        <v>8.4000000000000005E-2</v>
      </c>
      <c r="D4">
        <v>0.26</v>
      </c>
      <c r="E4">
        <v>0.65580000000000005</v>
      </c>
      <c r="F4" t="str">
        <f>_xlfn.CONCAT(fraud[[#This Row],[lob]], " ",fraud[[#This Row],[time]])</f>
        <v>KMX 2023 Q3</v>
      </c>
    </row>
    <row r="5" spans="1:6" x14ac:dyDescent="0.35">
      <c r="A5" t="s">
        <v>152</v>
      </c>
      <c r="B5" t="s">
        <v>122</v>
      </c>
      <c r="C5">
        <v>5.8500000000000003E-2</v>
      </c>
      <c r="D5">
        <v>0.17230000000000001</v>
      </c>
      <c r="E5">
        <v>0.76900000000000002</v>
      </c>
      <c r="F5" t="str">
        <f>_xlfn.CONCAT(fraud[[#This Row],[lob]], " ",fraud[[#This Row],[time]])</f>
        <v>ENT 2023 Q3</v>
      </c>
    </row>
    <row r="6" spans="1:6" x14ac:dyDescent="0.35">
      <c r="A6" t="s">
        <v>152</v>
      </c>
      <c r="B6" t="s">
        <v>149</v>
      </c>
      <c r="C6">
        <v>7.9799999999999996E-2</v>
      </c>
      <c r="D6">
        <v>0.1857</v>
      </c>
      <c r="E6">
        <v>0.73429999999999995</v>
      </c>
      <c r="F6" t="str">
        <f>_xlfn.CONCAT(fraud[[#This Row],[lob]], " ",fraud[[#This Row],[time]])</f>
        <v>AN 2023 Q3</v>
      </c>
    </row>
    <row r="7" spans="1:6" x14ac:dyDescent="0.35">
      <c r="A7" t="s">
        <v>152</v>
      </c>
      <c r="B7" t="s">
        <v>153</v>
      </c>
      <c r="C7">
        <v>8.8099999999999998E-2</v>
      </c>
      <c r="D7">
        <v>0.22</v>
      </c>
      <c r="E7">
        <v>0.69169999999999998</v>
      </c>
      <c r="F7" t="str">
        <f>_xlfn.CONCAT(fraud[[#This Row],[lob]], " ",fraud[[#This Row],[time]])</f>
        <v>STG 2023 Q3</v>
      </c>
    </row>
    <row r="8" spans="1:6" x14ac:dyDescent="0.35">
      <c r="A8" t="s">
        <v>166</v>
      </c>
      <c r="B8" t="s">
        <v>149</v>
      </c>
      <c r="C8">
        <v>9.0499999999999997E-2</v>
      </c>
      <c r="D8">
        <v>0.1865</v>
      </c>
      <c r="E8">
        <v>0.72289999999999999</v>
      </c>
      <c r="F8" t="str">
        <f>_xlfn.CONCAT(fraud[[#This Row],[lob]], " ",fraud[[#This Row],[time]])</f>
        <v>AN 2023 Q4</v>
      </c>
    </row>
    <row r="9" spans="1:6" x14ac:dyDescent="0.35">
      <c r="A9" t="s">
        <v>166</v>
      </c>
      <c r="B9" t="s">
        <v>151</v>
      </c>
      <c r="C9">
        <v>7.9399999999999998E-2</v>
      </c>
      <c r="D9">
        <v>0.2455</v>
      </c>
      <c r="E9">
        <v>0.67500000000000004</v>
      </c>
      <c r="F9" t="str">
        <f>_xlfn.CONCAT(fraud[[#This Row],[lob]], " ",fraud[[#This Row],[time]])</f>
        <v>FRN 2023 Q4</v>
      </c>
    </row>
    <row r="10" spans="1:6" x14ac:dyDescent="0.35">
      <c r="A10" t="s">
        <v>166</v>
      </c>
      <c r="B10" t="s">
        <v>155</v>
      </c>
      <c r="C10">
        <v>9.3700000000000006E-2</v>
      </c>
      <c r="D10">
        <v>0.27550000000000002</v>
      </c>
      <c r="E10">
        <v>0.63060000000000005</v>
      </c>
      <c r="F10" t="str">
        <f>_xlfn.CONCAT(fraud[[#This Row],[lob]], " ",fraud[[#This Row],[time]])</f>
        <v>FLD 2023 Q4</v>
      </c>
    </row>
    <row r="11" spans="1:6" x14ac:dyDescent="0.35">
      <c r="A11" t="s">
        <v>166</v>
      </c>
      <c r="B11" t="s">
        <v>199</v>
      </c>
      <c r="C11">
        <v>8.5599999999999996E-2</v>
      </c>
      <c r="D11">
        <v>0.27750000000000002</v>
      </c>
      <c r="E11">
        <v>0.63680000000000003</v>
      </c>
      <c r="F11" t="str">
        <f>_xlfn.CONCAT(fraud[[#This Row],[lob]], " ",fraud[[#This Row],[time]])</f>
        <v>KMX 2023 Q4</v>
      </c>
    </row>
    <row r="12" spans="1:6" x14ac:dyDescent="0.35">
      <c r="A12" t="s">
        <v>166</v>
      </c>
      <c r="B12" t="s">
        <v>122</v>
      </c>
      <c r="C12">
        <v>5.0299999999999997E-2</v>
      </c>
      <c r="D12">
        <v>0.26879999999999998</v>
      </c>
      <c r="E12">
        <v>0.68069999999999997</v>
      </c>
      <c r="F12" t="str">
        <f>_xlfn.CONCAT(fraud[[#This Row],[lob]], " ",fraud[[#This Row],[time]])</f>
        <v>ENT 2023 Q4</v>
      </c>
    </row>
    <row r="13" spans="1:6" x14ac:dyDescent="0.35">
      <c r="A13" t="s">
        <v>166</v>
      </c>
      <c r="B13" t="s">
        <v>153</v>
      </c>
      <c r="C13">
        <v>9.3600000000000003E-2</v>
      </c>
      <c r="D13">
        <v>0.17730000000000001</v>
      </c>
      <c r="E13">
        <v>0.72889999999999999</v>
      </c>
      <c r="F13" t="str">
        <f>_xlfn.CONCAT(fraud[[#This Row],[lob]], " ",fraud[[#This Row],[time]])</f>
        <v>STG 2023 Q4</v>
      </c>
    </row>
    <row r="14" spans="1:6" x14ac:dyDescent="0.35">
      <c r="A14" t="s">
        <v>167</v>
      </c>
      <c r="B14" t="s">
        <v>199</v>
      </c>
      <c r="C14">
        <v>6.1400000000000003E-2</v>
      </c>
      <c r="D14">
        <v>0.30470000000000003</v>
      </c>
      <c r="E14">
        <v>0.63370000000000004</v>
      </c>
      <c r="F14" t="str">
        <f>_xlfn.CONCAT(fraud[[#This Row],[lob]], " ",fraud[[#This Row],[time]])</f>
        <v>KMX 2024 Q1</v>
      </c>
    </row>
    <row r="15" spans="1:6" x14ac:dyDescent="0.35">
      <c r="A15" t="s">
        <v>167</v>
      </c>
      <c r="B15" t="s">
        <v>151</v>
      </c>
      <c r="C15">
        <v>6.5600000000000006E-2</v>
      </c>
      <c r="D15">
        <v>0.26800000000000002</v>
      </c>
      <c r="E15">
        <v>0.66620000000000001</v>
      </c>
      <c r="F15" t="str">
        <f>_xlfn.CONCAT(fraud[[#This Row],[lob]], " ",fraud[[#This Row],[time]])</f>
        <v>FRN 2024 Q1</v>
      </c>
    </row>
    <row r="16" spans="1:6" x14ac:dyDescent="0.35">
      <c r="A16" t="s">
        <v>167</v>
      </c>
      <c r="B16" t="s">
        <v>122</v>
      </c>
      <c r="C16">
        <v>4.1599999999999998E-2</v>
      </c>
      <c r="D16">
        <v>0.31019999999999998</v>
      </c>
      <c r="E16">
        <v>0.64810000000000001</v>
      </c>
      <c r="F16" t="str">
        <f>_xlfn.CONCAT(fraud[[#This Row],[lob]], " ",fraud[[#This Row],[time]])</f>
        <v>ENT 2024 Q1</v>
      </c>
    </row>
    <row r="17" spans="1:6" x14ac:dyDescent="0.35">
      <c r="A17" t="s">
        <v>167</v>
      </c>
      <c r="B17" t="s">
        <v>149</v>
      </c>
      <c r="C17">
        <v>6.1699999999999998E-2</v>
      </c>
      <c r="D17">
        <v>0.19789999999999999</v>
      </c>
      <c r="E17">
        <v>0.74019999999999997</v>
      </c>
      <c r="F17" t="str">
        <f>_xlfn.CONCAT(fraud[[#This Row],[lob]], " ",fraud[[#This Row],[time]])</f>
        <v>AN 2024 Q1</v>
      </c>
    </row>
    <row r="18" spans="1:6" x14ac:dyDescent="0.35">
      <c r="A18" t="s">
        <v>167</v>
      </c>
      <c r="B18" t="s">
        <v>155</v>
      </c>
      <c r="C18">
        <v>6.4500000000000002E-2</v>
      </c>
      <c r="D18">
        <v>0.28189999999999998</v>
      </c>
      <c r="E18">
        <v>0.65349999999999997</v>
      </c>
      <c r="F18" t="str">
        <f>_xlfn.CONCAT(fraud[[#This Row],[lob]], " ",fraud[[#This Row],[time]])</f>
        <v>FLD 2024 Q1</v>
      </c>
    </row>
    <row r="19" spans="1:6" x14ac:dyDescent="0.35">
      <c r="A19" t="s">
        <v>167</v>
      </c>
      <c r="B19" t="s">
        <v>153</v>
      </c>
      <c r="C19">
        <v>8.3900000000000002E-2</v>
      </c>
      <c r="D19">
        <v>0.19850000000000001</v>
      </c>
      <c r="E19">
        <v>0.71740000000000004</v>
      </c>
      <c r="F19" t="str">
        <f>_xlfn.CONCAT(fraud[[#This Row],[lob]], " ",fraud[[#This Row],[time]])</f>
        <v>STG 2024 Q1</v>
      </c>
    </row>
    <row r="20" spans="1:6" x14ac:dyDescent="0.35">
      <c r="A20" t="s">
        <v>163</v>
      </c>
      <c r="B20" t="s">
        <v>122</v>
      </c>
      <c r="C20">
        <v>4.5400000000000003E-2</v>
      </c>
      <c r="D20">
        <v>0.3407</v>
      </c>
      <c r="E20">
        <v>0.61370000000000002</v>
      </c>
      <c r="F20" t="str">
        <f>_xlfn.CONCAT(fraud[[#This Row],[lob]], " ",fraud[[#This Row],[time]])</f>
        <v>ENT 2024 Q2</v>
      </c>
    </row>
    <row r="21" spans="1:6" x14ac:dyDescent="0.35">
      <c r="A21" t="s">
        <v>163</v>
      </c>
      <c r="B21" t="s">
        <v>199</v>
      </c>
      <c r="C21">
        <v>5.8099999999999999E-2</v>
      </c>
      <c r="D21">
        <v>0.3306</v>
      </c>
      <c r="E21">
        <v>0.61109999999999998</v>
      </c>
      <c r="F21" t="str">
        <f>_xlfn.CONCAT(fraud[[#This Row],[lob]], " ",fraud[[#This Row],[time]])</f>
        <v>KMX 2024 Q2</v>
      </c>
    </row>
    <row r="22" spans="1:6" x14ac:dyDescent="0.35">
      <c r="A22" t="s">
        <v>163</v>
      </c>
      <c r="B22" t="s">
        <v>155</v>
      </c>
      <c r="C22">
        <v>5.9799999999999999E-2</v>
      </c>
      <c r="D22">
        <v>0.30620000000000003</v>
      </c>
      <c r="E22">
        <v>0.63390000000000002</v>
      </c>
      <c r="F22" t="str">
        <f>_xlfn.CONCAT(fraud[[#This Row],[lob]], " ",fraud[[#This Row],[time]])</f>
        <v>FLD 2024 Q2</v>
      </c>
    </row>
    <row r="23" spans="1:6" x14ac:dyDescent="0.35">
      <c r="A23" t="s">
        <v>163</v>
      </c>
      <c r="B23" t="s">
        <v>149</v>
      </c>
      <c r="C23">
        <v>8.0600000000000005E-2</v>
      </c>
      <c r="D23">
        <v>0.21299999999999999</v>
      </c>
      <c r="E23">
        <v>0.70620000000000005</v>
      </c>
      <c r="F23" t="str">
        <f>_xlfn.CONCAT(fraud[[#This Row],[lob]], " ",fraud[[#This Row],[time]])</f>
        <v>AN 2024 Q2</v>
      </c>
    </row>
    <row r="24" spans="1:6" x14ac:dyDescent="0.35">
      <c r="A24" t="s">
        <v>163</v>
      </c>
      <c r="B24" t="s">
        <v>153</v>
      </c>
      <c r="C24">
        <v>9.1700000000000004E-2</v>
      </c>
      <c r="D24">
        <v>0.21190000000000001</v>
      </c>
      <c r="E24">
        <v>0.69620000000000004</v>
      </c>
      <c r="F24" t="str">
        <f>_xlfn.CONCAT(fraud[[#This Row],[lob]], " ",fraud[[#This Row],[time]])</f>
        <v>STG 2024 Q2</v>
      </c>
    </row>
    <row r="25" spans="1:6" x14ac:dyDescent="0.35">
      <c r="A25" t="s">
        <v>163</v>
      </c>
      <c r="B25" t="s">
        <v>151</v>
      </c>
      <c r="C25">
        <v>6.3799999999999996E-2</v>
      </c>
      <c r="D25">
        <v>0.32490000000000002</v>
      </c>
      <c r="E25">
        <v>0.61109999999999998</v>
      </c>
      <c r="F25" t="str">
        <f>_xlfn.CONCAT(fraud[[#This Row],[lob]], " ",fraud[[#This Row],[time]])</f>
        <v>FRN 2024 Q2</v>
      </c>
    </row>
    <row r="26" spans="1:6" x14ac:dyDescent="0.35">
      <c r="A26" t="s">
        <v>160</v>
      </c>
      <c r="B26" t="s">
        <v>122</v>
      </c>
      <c r="C26">
        <v>4.3999999999999997E-2</v>
      </c>
      <c r="D26">
        <v>0.33460000000000001</v>
      </c>
      <c r="E26">
        <v>0.62119999999999997</v>
      </c>
      <c r="F26" t="str">
        <f>_xlfn.CONCAT(fraud[[#This Row],[lob]], " ",fraud[[#This Row],[time]])</f>
        <v>ENT 2024 Q3</v>
      </c>
    </row>
    <row r="27" spans="1:6" x14ac:dyDescent="0.35">
      <c r="A27" t="s">
        <v>160</v>
      </c>
      <c r="B27" t="s">
        <v>151</v>
      </c>
      <c r="C27">
        <v>7.9799999999999996E-2</v>
      </c>
      <c r="D27">
        <v>0.3503</v>
      </c>
      <c r="E27">
        <v>0.56969999999999998</v>
      </c>
      <c r="F27" t="str">
        <f>_xlfn.CONCAT(fraud[[#This Row],[lob]], " ",fraud[[#This Row],[time]])</f>
        <v>FRN 2024 Q3</v>
      </c>
    </row>
    <row r="28" spans="1:6" x14ac:dyDescent="0.35">
      <c r="A28" t="s">
        <v>160</v>
      </c>
      <c r="B28" t="s">
        <v>153</v>
      </c>
      <c r="C28">
        <v>8.6400000000000005E-2</v>
      </c>
      <c r="D28">
        <v>0.22919999999999999</v>
      </c>
      <c r="E28">
        <v>0.68420000000000003</v>
      </c>
      <c r="F28" t="str">
        <f>_xlfn.CONCAT(fraud[[#This Row],[lob]], " ",fraud[[#This Row],[time]])</f>
        <v>STG 2024 Q3</v>
      </c>
    </row>
    <row r="29" spans="1:6" x14ac:dyDescent="0.35">
      <c r="A29" t="s">
        <v>160</v>
      </c>
      <c r="B29" t="s">
        <v>149</v>
      </c>
      <c r="C29">
        <v>8.3799999999999999E-2</v>
      </c>
      <c r="D29">
        <v>0.25159999999999999</v>
      </c>
      <c r="E29">
        <v>0.66439999999999999</v>
      </c>
      <c r="F29" t="str">
        <f>_xlfn.CONCAT(fraud[[#This Row],[lob]], " ",fraud[[#This Row],[time]])</f>
        <v>AN 2024 Q3</v>
      </c>
    </row>
    <row r="30" spans="1:6" x14ac:dyDescent="0.35">
      <c r="A30" t="s">
        <v>160</v>
      </c>
      <c r="B30" t="s">
        <v>155</v>
      </c>
      <c r="C30">
        <v>5.6899999999999999E-2</v>
      </c>
      <c r="D30">
        <v>0.33160000000000001</v>
      </c>
      <c r="E30">
        <v>0.61129999999999995</v>
      </c>
      <c r="F30" t="str">
        <f>_xlfn.CONCAT(fraud[[#This Row],[lob]], " ",fraud[[#This Row],[time]])</f>
        <v>FLD 2024 Q3</v>
      </c>
    </row>
    <row r="31" spans="1:6" x14ac:dyDescent="0.35">
      <c r="A31" t="s">
        <v>160</v>
      </c>
      <c r="B31" t="s">
        <v>199</v>
      </c>
      <c r="C31">
        <v>6.7299999999999999E-2</v>
      </c>
      <c r="D31">
        <v>0.30020000000000002</v>
      </c>
      <c r="E31">
        <v>0.63239999999999996</v>
      </c>
      <c r="F31" t="str">
        <f>_xlfn.CONCAT(fraud[[#This Row],[lob]], " ",fraud[[#This Row],[time]])</f>
        <v>KMX 2024 Q3</v>
      </c>
    </row>
    <row r="32" spans="1:6" x14ac:dyDescent="0.35">
      <c r="A32" t="s">
        <v>126</v>
      </c>
      <c r="B32" t="s">
        <v>151</v>
      </c>
      <c r="C32">
        <v>6.9000000000000006E-2</v>
      </c>
      <c r="D32">
        <v>0.26919999999999999</v>
      </c>
      <c r="E32">
        <v>0.66169999999999995</v>
      </c>
      <c r="F32" t="str">
        <f>_xlfn.CONCAT(fraud[[#This Row],[lob]], " ",fraud[[#This Row],[time]])</f>
        <v>FRN 2024 Q4</v>
      </c>
    </row>
    <row r="33" spans="1:6" x14ac:dyDescent="0.35">
      <c r="A33" t="s">
        <v>126</v>
      </c>
      <c r="B33" t="s">
        <v>153</v>
      </c>
      <c r="C33">
        <v>6.2799999999999995E-2</v>
      </c>
      <c r="D33">
        <v>0.21210000000000001</v>
      </c>
      <c r="E33">
        <v>0.72499999999999998</v>
      </c>
      <c r="F33" t="str">
        <f>_xlfn.CONCAT(fraud[[#This Row],[lob]], " ",fraud[[#This Row],[time]])</f>
        <v>STG 2024 Q4</v>
      </c>
    </row>
    <row r="34" spans="1:6" x14ac:dyDescent="0.35">
      <c r="A34" t="s">
        <v>126</v>
      </c>
      <c r="B34" t="s">
        <v>199</v>
      </c>
      <c r="C34">
        <v>6.08E-2</v>
      </c>
      <c r="D34">
        <v>0.2379</v>
      </c>
      <c r="E34">
        <v>0.70120000000000005</v>
      </c>
      <c r="F34" t="str">
        <f>_xlfn.CONCAT(fraud[[#This Row],[lob]], " ",fraud[[#This Row],[time]])</f>
        <v>KMX 2024 Q4</v>
      </c>
    </row>
    <row r="35" spans="1:6" x14ac:dyDescent="0.35">
      <c r="A35" t="s">
        <v>126</v>
      </c>
      <c r="B35" t="s">
        <v>149</v>
      </c>
      <c r="C35">
        <v>5.2299999999999999E-2</v>
      </c>
      <c r="D35">
        <v>0.18540000000000001</v>
      </c>
      <c r="E35">
        <v>0.76219999999999999</v>
      </c>
      <c r="F35" t="str">
        <f>_xlfn.CONCAT(fraud[[#This Row],[lob]], " ",fraud[[#This Row],[time]])</f>
        <v>AN 2024 Q4</v>
      </c>
    </row>
    <row r="36" spans="1:6" x14ac:dyDescent="0.35">
      <c r="A36" t="s">
        <v>126</v>
      </c>
      <c r="B36" t="s">
        <v>155</v>
      </c>
      <c r="C36">
        <v>2.58E-2</v>
      </c>
      <c r="D36">
        <v>0.26540000000000002</v>
      </c>
      <c r="E36">
        <v>0.70860000000000001</v>
      </c>
      <c r="F36" t="str">
        <f>_xlfn.CONCAT(fraud[[#This Row],[lob]], " ",fraud[[#This Row],[time]])</f>
        <v>FLD 2024 Q4</v>
      </c>
    </row>
    <row r="37" spans="1:6" x14ac:dyDescent="0.35">
      <c r="A37" t="s">
        <v>126</v>
      </c>
      <c r="B37" t="s">
        <v>122</v>
      </c>
      <c r="C37">
        <v>3.7999999999999999E-2</v>
      </c>
      <c r="D37">
        <v>0.21199999999999999</v>
      </c>
      <c r="E37">
        <v>0.74990000000000001</v>
      </c>
      <c r="F37" t="str">
        <f>_xlfn.CONCAT(fraud[[#This Row],[lob]], " ",fraud[[#This Row],[time]])</f>
        <v>ENT 2024 Q4</v>
      </c>
    </row>
    <row r="38" spans="1:6" x14ac:dyDescent="0.35">
      <c r="A38" t="s">
        <v>128</v>
      </c>
      <c r="B38" t="s">
        <v>151</v>
      </c>
      <c r="C38">
        <v>8.1500000000000003E-2</v>
      </c>
      <c r="D38">
        <v>0.20230000000000001</v>
      </c>
      <c r="E38">
        <v>0.71599999999999997</v>
      </c>
      <c r="F38" t="str">
        <f>_xlfn.CONCAT(fraud[[#This Row],[lob]], " ",fraud[[#This Row],[time]])</f>
        <v>FRN 2025 Q1</v>
      </c>
    </row>
    <row r="39" spans="1:6" x14ac:dyDescent="0.35">
      <c r="A39" t="s">
        <v>128</v>
      </c>
      <c r="B39" t="s">
        <v>122</v>
      </c>
      <c r="C39">
        <v>4.65E-2</v>
      </c>
      <c r="D39">
        <v>0.11849999999999999</v>
      </c>
      <c r="E39">
        <v>0.83479999999999999</v>
      </c>
      <c r="F39" t="str">
        <f>_xlfn.CONCAT(fraud[[#This Row],[lob]], " ",fraud[[#This Row],[time]])</f>
        <v>ENT 2025 Q1</v>
      </c>
    </row>
    <row r="40" spans="1:6" x14ac:dyDescent="0.35">
      <c r="A40" t="s">
        <v>128</v>
      </c>
      <c r="B40" t="s">
        <v>155</v>
      </c>
      <c r="C40">
        <v>3.2000000000000001E-2</v>
      </c>
      <c r="D40">
        <v>0.2137</v>
      </c>
      <c r="E40">
        <v>0.75409999999999999</v>
      </c>
      <c r="F40" t="str">
        <f>_xlfn.CONCAT(fraud[[#This Row],[lob]], " ",fraud[[#This Row],[time]])</f>
        <v>FLD 2025 Q1</v>
      </c>
    </row>
    <row r="41" spans="1:6" x14ac:dyDescent="0.35">
      <c r="A41" t="s">
        <v>128</v>
      </c>
      <c r="B41" t="s">
        <v>153</v>
      </c>
      <c r="C41">
        <v>4.2000000000000003E-2</v>
      </c>
      <c r="D41">
        <v>0.20250000000000001</v>
      </c>
      <c r="E41">
        <v>0.75529999999999997</v>
      </c>
      <c r="F41" t="str">
        <f>_xlfn.CONCAT(fraud[[#This Row],[lob]], " ",fraud[[#This Row],[time]])</f>
        <v>STG 2025 Q1</v>
      </c>
    </row>
    <row r="42" spans="1:6" x14ac:dyDescent="0.35">
      <c r="A42" t="s">
        <v>128</v>
      </c>
      <c r="B42" t="s">
        <v>149</v>
      </c>
      <c r="C42">
        <v>5.3100000000000001E-2</v>
      </c>
      <c r="D42">
        <v>0.19</v>
      </c>
      <c r="E42">
        <v>0.75670000000000004</v>
      </c>
      <c r="F42" t="str">
        <f>_xlfn.CONCAT(fraud[[#This Row],[lob]], " ",fraud[[#This Row],[time]])</f>
        <v>AN 2025 Q1</v>
      </c>
    </row>
    <row r="43" spans="1:6" x14ac:dyDescent="0.35">
      <c r="A43" t="s">
        <v>128</v>
      </c>
      <c r="B43" t="s">
        <v>199</v>
      </c>
      <c r="C43">
        <v>5.3199999999999997E-2</v>
      </c>
      <c r="D43">
        <v>0.1857</v>
      </c>
      <c r="E43">
        <v>0.76100000000000001</v>
      </c>
      <c r="F43" t="str">
        <f>_xlfn.CONCAT(fraud[[#This Row],[lob]], " ",fraud[[#This Row],[time]])</f>
        <v>KMX 2025 Q1</v>
      </c>
    </row>
    <row r="44" spans="1:6" x14ac:dyDescent="0.35">
      <c r="A44" t="s">
        <v>129</v>
      </c>
      <c r="B44" t="s">
        <v>122</v>
      </c>
      <c r="C44">
        <v>5.2900000000000003E-2</v>
      </c>
      <c r="D44">
        <v>0.14749999999999999</v>
      </c>
      <c r="E44">
        <v>0.7994</v>
      </c>
      <c r="F44" t="str">
        <f>_xlfn.CONCAT(fraud[[#This Row],[lob]], " ",fraud[[#This Row],[time]])</f>
        <v>ENT 2025 Q2</v>
      </c>
    </row>
    <row r="45" spans="1:6" x14ac:dyDescent="0.35">
      <c r="A45" t="s">
        <v>129</v>
      </c>
      <c r="B45" t="s">
        <v>149</v>
      </c>
      <c r="C45">
        <v>4.1399999999999999E-2</v>
      </c>
      <c r="D45">
        <v>0.2215</v>
      </c>
      <c r="E45">
        <v>0.7369</v>
      </c>
      <c r="F45" t="str">
        <f>_xlfn.CONCAT(fraud[[#This Row],[lob]], " ",fraud[[#This Row],[time]])</f>
        <v>AN 2025 Q2</v>
      </c>
    </row>
    <row r="46" spans="1:6" x14ac:dyDescent="0.35">
      <c r="A46" t="s">
        <v>129</v>
      </c>
      <c r="B46" t="s">
        <v>155</v>
      </c>
      <c r="C46">
        <v>5.3400000000000003E-2</v>
      </c>
      <c r="D46">
        <v>0.1971</v>
      </c>
      <c r="E46">
        <v>0.74929999999999997</v>
      </c>
      <c r="F46" t="str">
        <f>_xlfn.CONCAT(fraud[[#This Row],[lob]], " ",fraud[[#This Row],[time]])</f>
        <v>FLD 2025 Q2</v>
      </c>
    </row>
    <row r="47" spans="1:6" x14ac:dyDescent="0.35">
      <c r="A47" t="s">
        <v>129</v>
      </c>
      <c r="B47" t="s">
        <v>151</v>
      </c>
      <c r="C47">
        <v>8.6900000000000005E-2</v>
      </c>
      <c r="D47">
        <v>0.2228</v>
      </c>
      <c r="E47">
        <v>0.69010000000000005</v>
      </c>
      <c r="F47" t="str">
        <f>_xlfn.CONCAT(fraud[[#This Row],[lob]], " ",fraud[[#This Row],[time]])</f>
        <v>FRN 2025 Q2</v>
      </c>
    </row>
    <row r="48" spans="1:6" x14ac:dyDescent="0.35">
      <c r="A48" t="s">
        <v>129</v>
      </c>
      <c r="B48" t="s">
        <v>153</v>
      </c>
      <c r="C48">
        <v>5.8900000000000001E-2</v>
      </c>
      <c r="D48">
        <v>0.21879999999999999</v>
      </c>
      <c r="E48">
        <v>0.72209999999999996</v>
      </c>
      <c r="F48" t="str">
        <f>_xlfn.CONCAT(fraud[[#This Row],[lob]], " ",fraud[[#This Row],[time]])</f>
        <v>STG 2025 Q2</v>
      </c>
    </row>
    <row r="49" spans="1:6" x14ac:dyDescent="0.35">
      <c r="A49" t="s">
        <v>129</v>
      </c>
      <c r="B49" t="s">
        <v>199</v>
      </c>
      <c r="C49">
        <v>6.59E-2</v>
      </c>
      <c r="D49">
        <v>0.1875</v>
      </c>
      <c r="E49">
        <v>0.74650000000000005</v>
      </c>
      <c r="F49" t="str">
        <f>_xlfn.CONCAT(fraud[[#This Row],[lob]], " ",fraud[[#This Row],[time]])</f>
        <v>KMX 2025 Q2</v>
      </c>
    </row>
    <row r="50" spans="1:6" x14ac:dyDescent="0.35">
      <c r="A50" t="s">
        <v>130</v>
      </c>
      <c r="B50" t="s">
        <v>199</v>
      </c>
      <c r="C50">
        <v>0.1047</v>
      </c>
      <c r="D50">
        <v>0.16059999999999999</v>
      </c>
      <c r="E50">
        <v>0.73450000000000004</v>
      </c>
      <c r="F50" t="str">
        <f>_xlfn.CONCAT(fraud[[#This Row],[lob]], " ",fraud[[#This Row],[time]])</f>
        <v>KMX 2025 Q3</v>
      </c>
    </row>
    <row r="51" spans="1:6" x14ac:dyDescent="0.35">
      <c r="A51" t="s">
        <v>130</v>
      </c>
      <c r="B51" t="s">
        <v>155</v>
      </c>
      <c r="C51">
        <v>6.7699999999999996E-2</v>
      </c>
      <c r="D51">
        <v>0.16209999999999999</v>
      </c>
      <c r="E51">
        <v>0.77</v>
      </c>
      <c r="F51" t="str">
        <f>_xlfn.CONCAT(fraud[[#This Row],[lob]], " ",fraud[[#This Row],[time]])</f>
        <v>FLD 2025 Q3</v>
      </c>
    </row>
    <row r="52" spans="1:6" x14ac:dyDescent="0.35">
      <c r="A52" t="s">
        <v>130</v>
      </c>
      <c r="B52" t="s">
        <v>153</v>
      </c>
      <c r="C52">
        <v>4.9500000000000002E-2</v>
      </c>
      <c r="D52">
        <v>0.22170000000000001</v>
      </c>
      <c r="E52">
        <v>0.72870000000000001</v>
      </c>
      <c r="F52" t="str">
        <f>_xlfn.CONCAT(fraud[[#This Row],[lob]], " ",fraud[[#This Row],[time]])</f>
        <v>STG 2025 Q3</v>
      </c>
    </row>
    <row r="53" spans="1:6" x14ac:dyDescent="0.35">
      <c r="A53" t="s">
        <v>130</v>
      </c>
      <c r="B53" t="s">
        <v>122</v>
      </c>
      <c r="C53">
        <v>6.5799999999999997E-2</v>
      </c>
      <c r="D53">
        <v>0.13930000000000001</v>
      </c>
      <c r="E53">
        <v>0.79479999999999995</v>
      </c>
      <c r="F53" t="str">
        <f>_xlfn.CONCAT(fraud[[#This Row],[lob]], " ",fraud[[#This Row],[time]])</f>
        <v>ENT 2025 Q3</v>
      </c>
    </row>
    <row r="54" spans="1:6" x14ac:dyDescent="0.35">
      <c r="A54" t="s">
        <v>130</v>
      </c>
      <c r="B54" t="s">
        <v>151</v>
      </c>
      <c r="C54">
        <v>6.4699999999999994E-2</v>
      </c>
      <c r="D54">
        <v>0.2203</v>
      </c>
      <c r="E54">
        <v>0.71479999999999999</v>
      </c>
      <c r="F54" t="str">
        <f>_xlfn.CONCAT(fraud[[#This Row],[lob]], " ",fraud[[#This Row],[time]])</f>
        <v>FRN 2025 Q3</v>
      </c>
    </row>
    <row r="55" spans="1:6" x14ac:dyDescent="0.35">
      <c r="A55" t="s">
        <v>130</v>
      </c>
      <c r="B55" t="s">
        <v>149</v>
      </c>
      <c r="C55">
        <v>5.1900000000000002E-2</v>
      </c>
      <c r="D55">
        <v>0.23250000000000001</v>
      </c>
      <c r="E55">
        <v>0.71550000000000002</v>
      </c>
      <c r="F55" t="str">
        <f>_xlfn.CONCAT(fraud[[#This Row],[lob]], " ",fraud[[#This Row],[time]])</f>
        <v>AN 2025 Q3</v>
      </c>
    </row>
    <row r="56" spans="1:6" x14ac:dyDescent="0.35">
      <c r="A56" t="s">
        <v>131</v>
      </c>
      <c r="B56" t="s">
        <v>155</v>
      </c>
      <c r="C56">
        <v>7.3899999999999993E-2</v>
      </c>
      <c r="D56">
        <v>0.16589999999999999</v>
      </c>
      <c r="E56">
        <v>0.76</v>
      </c>
      <c r="F56" t="str">
        <f>_xlfn.CONCAT(fraud[[#This Row],[lob]], " ",fraud[[#This Row],[time]])</f>
        <v>FLD 2025 Q4</v>
      </c>
    </row>
    <row r="57" spans="1:6" x14ac:dyDescent="0.35">
      <c r="A57" t="s">
        <v>131</v>
      </c>
      <c r="B57" t="s">
        <v>149</v>
      </c>
      <c r="C57">
        <v>6.9400000000000003E-2</v>
      </c>
      <c r="D57">
        <v>0.2162</v>
      </c>
      <c r="E57">
        <v>0.71430000000000005</v>
      </c>
      <c r="F57" t="str">
        <f>_xlfn.CONCAT(fraud[[#This Row],[lob]], " ",fraud[[#This Row],[time]])</f>
        <v>AN 2025 Q4</v>
      </c>
    </row>
    <row r="58" spans="1:6" x14ac:dyDescent="0.35">
      <c r="A58" t="s">
        <v>131</v>
      </c>
      <c r="B58" t="s">
        <v>151</v>
      </c>
      <c r="C58">
        <v>8.2000000000000003E-2</v>
      </c>
      <c r="D58">
        <v>0.22040000000000001</v>
      </c>
      <c r="E58">
        <v>0.69750000000000001</v>
      </c>
      <c r="F58" t="str">
        <f>_xlfn.CONCAT(fraud[[#This Row],[lob]], " ",fraud[[#This Row],[time]])</f>
        <v>FRN 2025 Q4</v>
      </c>
    </row>
    <row r="59" spans="1:6" x14ac:dyDescent="0.35">
      <c r="A59" t="s">
        <v>131</v>
      </c>
      <c r="B59" t="s">
        <v>122</v>
      </c>
      <c r="C59">
        <v>7.8700000000000006E-2</v>
      </c>
      <c r="D59">
        <v>0.11509999999999999</v>
      </c>
      <c r="E59">
        <v>0.80600000000000005</v>
      </c>
      <c r="F59" t="str">
        <f>_xlfn.CONCAT(fraud[[#This Row],[lob]], " ",fraud[[#This Row],[time]])</f>
        <v>ENT 2025 Q4</v>
      </c>
    </row>
    <row r="60" spans="1:6" x14ac:dyDescent="0.35">
      <c r="A60" t="s">
        <v>131</v>
      </c>
      <c r="B60" t="s">
        <v>199</v>
      </c>
      <c r="C60">
        <v>0.11169999999999999</v>
      </c>
      <c r="D60">
        <v>0.13189999999999999</v>
      </c>
      <c r="E60">
        <v>0.75629999999999997</v>
      </c>
      <c r="F60" t="str">
        <f>_xlfn.CONCAT(fraud[[#This Row],[lob]], " ",fraud[[#This Row],[time]])</f>
        <v>KMX 2025 Q4</v>
      </c>
    </row>
    <row r="61" spans="1:6" x14ac:dyDescent="0.35">
      <c r="A61" t="s">
        <v>131</v>
      </c>
      <c r="B61" t="s">
        <v>153</v>
      </c>
      <c r="C61">
        <v>6.1600000000000002E-2</v>
      </c>
      <c r="D61">
        <v>0.2253</v>
      </c>
      <c r="E61">
        <v>0.71299999999999997</v>
      </c>
      <c r="F61" t="str">
        <f>_xlfn.CONCAT(fraud[[#This Row],[lob]], " ",fraud[[#This Row],[time]])</f>
        <v>STG 2025 Q4</v>
      </c>
    </row>
    <row r="62" spans="1:6" x14ac:dyDescent="0.35">
      <c r="A62" t="s">
        <v>127</v>
      </c>
      <c r="B62" t="s">
        <v>149</v>
      </c>
      <c r="C62">
        <v>4.24E-2</v>
      </c>
      <c r="D62">
        <v>0.19420000000000001</v>
      </c>
      <c r="E62">
        <v>0.76329999999999998</v>
      </c>
      <c r="F62" t="str">
        <f>_xlfn.CONCAT(fraud[[#This Row],[lob]], " ",fraud[[#This Row],[time]])</f>
        <v>AN 2026 Q1</v>
      </c>
    </row>
    <row r="63" spans="1:6" x14ac:dyDescent="0.35">
      <c r="A63" t="s">
        <v>127</v>
      </c>
      <c r="B63" t="s">
        <v>199</v>
      </c>
      <c r="C63">
        <v>6.7400000000000002E-2</v>
      </c>
      <c r="D63">
        <v>0.1211</v>
      </c>
      <c r="E63">
        <v>0.81140000000000001</v>
      </c>
      <c r="F63" t="str">
        <f>_xlfn.CONCAT(fraud[[#This Row],[lob]], " ",fraud[[#This Row],[time]])</f>
        <v>KMX 2026 Q1</v>
      </c>
    </row>
    <row r="64" spans="1:6" x14ac:dyDescent="0.35">
      <c r="A64" t="s">
        <v>127</v>
      </c>
      <c r="B64" t="s">
        <v>122</v>
      </c>
      <c r="C64">
        <v>6.8000000000000005E-2</v>
      </c>
      <c r="D64">
        <v>0.14169999999999999</v>
      </c>
      <c r="E64">
        <v>0.79010000000000002</v>
      </c>
      <c r="F64" t="str">
        <f>_xlfn.CONCAT(fraud[[#This Row],[lob]], " ",fraud[[#This Row],[time]])</f>
        <v>ENT 2026 Q1</v>
      </c>
    </row>
    <row r="65" spans="1:6" x14ac:dyDescent="0.35">
      <c r="A65" t="s">
        <v>127</v>
      </c>
      <c r="B65" t="s">
        <v>151</v>
      </c>
      <c r="C65">
        <v>0.10249999999999999</v>
      </c>
      <c r="D65">
        <v>0.21110000000000001</v>
      </c>
      <c r="E65">
        <v>0.68620000000000003</v>
      </c>
      <c r="F65" t="str">
        <f>_xlfn.CONCAT(fraud[[#This Row],[lob]], " ",fraud[[#This Row],[time]])</f>
        <v>FRN 2026 Q1</v>
      </c>
    </row>
    <row r="66" spans="1:6" x14ac:dyDescent="0.35">
      <c r="A66" t="s">
        <v>127</v>
      </c>
      <c r="B66" t="s">
        <v>153</v>
      </c>
      <c r="C66">
        <v>4.3900000000000002E-2</v>
      </c>
      <c r="D66">
        <v>0.2273</v>
      </c>
      <c r="E66">
        <v>0.72860000000000003</v>
      </c>
      <c r="F66" t="str">
        <f>_xlfn.CONCAT(fraud[[#This Row],[lob]], " ",fraud[[#This Row],[time]])</f>
        <v>STG 2026 Q1</v>
      </c>
    </row>
    <row r="67" spans="1:6" x14ac:dyDescent="0.35">
      <c r="A67" t="s">
        <v>127</v>
      </c>
      <c r="B67" t="s">
        <v>155</v>
      </c>
      <c r="C67">
        <v>5.6300000000000003E-2</v>
      </c>
      <c r="D67">
        <v>0.14369999999999999</v>
      </c>
      <c r="E67">
        <v>0.79979999999999996</v>
      </c>
      <c r="F67" t="str">
        <f>_xlfn.CONCAT(fraud[[#This Row],[lob]], " ",fraud[[#This Row],[time]])</f>
        <v>FLD 2026 Q1</v>
      </c>
    </row>
    <row r="68" spans="1:6" x14ac:dyDescent="0.35">
      <c r="A68" t="s">
        <v>127</v>
      </c>
      <c r="B68" t="s">
        <v>200</v>
      </c>
      <c r="C68">
        <v>0</v>
      </c>
      <c r="D68">
        <v>0</v>
      </c>
      <c r="E68">
        <v>1</v>
      </c>
      <c r="F68" t="str">
        <f>_xlfn.CONCAT(fraud[[#This Row],[lob]], " ",fraud[[#This Row],[time]])</f>
        <v>ORL 2026 Q1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85B8E-7280-4E24-A85D-F7827AC21E6D}">
  <dimension ref="A1:K188"/>
  <sheetViews>
    <sheetView topLeftCell="A153" zoomScale="175" zoomScaleNormal="175" workbookViewId="0">
      <selection activeCell="J29" sqref="J29"/>
    </sheetView>
  </sheetViews>
  <sheetFormatPr defaultRowHeight="14.5" x14ac:dyDescent="0.35"/>
  <cols>
    <col min="1" max="1" width="14.1796875" customWidth="1"/>
    <col min="3" max="3" width="11.08984375" customWidth="1"/>
    <col min="4" max="4" width="11.1796875" customWidth="1"/>
    <col min="5" max="5" width="10.90625" customWidth="1"/>
    <col min="6" max="7" width="11.1796875" customWidth="1"/>
    <col min="8" max="8" width="10.81640625" customWidth="1"/>
    <col min="9" max="9" width="13.54296875" customWidth="1"/>
    <col min="10" max="10" width="12.453125" customWidth="1"/>
    <col min="11" max="11" width="11.7265625" bestFit="1" customWidth="1"/>
  </cols>
  <sheetData>
    <row r="1" spans="1:11" x14ac:dyDescent="0.35">
      <c r="A1" t="s">
        <v>138</v>
      </c>
      <c r="B1" t="s">
        <v>139</v>
      </c>
      <c r="C1" t="s">
        <v>140</v>
      </c>
      <c r="D1" t="s">
        <v>141</v>
      </c>
      <c r="E1" t="s">
        <v>142</v>
      </c>
      <c r="F1" t="s">
        <v>143</v>
      </c>
      <c r="G1" t="s">
        <v>144</v>
      </c>
      <c r="H1" t="s">
        <v>145</v>
      </c>
      <c r="I1" t="s">
        <v>146</v>
      </c>
      <c r="J1" t="s">
        <v>147</v>
      </c>
      <c r="K1" t="s">
        <v>189</v>
      </c>
    </row>
    <row r="2" spans="1:11" x14ac:dyDescent="0.35">
      <c r="A2" t="s">
        <v>127</v>
      </c>
      <c r="B2" t="s">
        <v>122</v>
      </c>
      <c r="C2" s="8">
        <v>1.7000000000000001E-2</v>
      </c>
      <c r="D2" s="8">
        <v>0.17613636363636301</v>
      </c>
      <c r="E2" s="8">
        <v>0.68181818181818099</v>
      </c>
      <c r="F2" s="8">
        <v>0.125</v>
      </c>
      <c r="G2" s="8">
        <v>0</v>
      </c>
      <c r="H2" s="8">
        <v>0</v>
      </c>
      <c r="I2" s="8">
        <v>0.193136363636363</v>
      </c>
      <c r="J2" s="8" t="s">
        <v>101</v>
      </c>
      <c r="K2" s="8" t="str">
        <f>_xlfn.CONCAT(dll[[#This Row],[lob]], " ", dll[[#This Row],[valid_vintage]])</f>
        <v>ENT 2026 Q1</v>
      </c>
    </row>
    <row r="3" spans="1:11" x14ac:dyDescent="0.35">
      <c r="A3" t="s">
        <v>127</v>
      </c>
      <c r="B3" t="s">
        <v>153</v>
      </c>
      <c r="C3" s="8">
        <v>2.64E-2</v>
      </c>
      <c r="D3" s="8">
        <v>0.235894357743097</v>
      </c>
      <c r="E3" s="8">
        <v>0.59903961584633802</v>
      </c>
      <c r="F3" s="8">
        <v>8.5234093637454905E-2</v>
      </c>
      <c r="G3" s="8">
        <v>4.4417767106842698E-2</v>
      </c>
      <c r="H3" s="8">
        <v>9.00360144057623E-3</v>
      </c>
      <c r="I3" s="8">
        <v>0.26229435774309701</v>
      </c>
      <c r="J3" s="8">
        <v>0.13865546218487301</v>
      </c>
      <c r="K3" s="8" t="str">
        <f>_xlfn.CONCAT(dll[[#This Row],[lob]], " ", dll[[#This Row],[valid_vintage]])</f>
        <v>STG 2026 Q1</v>
      </c>
    </row>
    <row r="4" spans="1:11" x14ac:dyDescent="0.35">
      <c r="A4" t="s">
        <v>127</v>
      </c>
      <c r="B4" t="s">
        <v>151</v>
      </c>
      <c r="C4" s="8">
        <v>1.2E-2</v>
      </c>
      <c r="D4" s="8">
        <v>0.167465111435117</v>
      </c>
      <c r="E4" s="8">
        <v>0.75275984169964505</v>
      </c>
      <c r="F4" s="8">
        <v>4.0824828160799798E-2</v>
      </c>
      <c r="G4" s="8">
        <v>2.6036242449489599E-2</v>
      </c>
      <c r="H4" s="8">
        <v>8.3315975838366997E-4</v>
      </c>
      <c r="I4" s="8">
        <v>0.17946511143511701</v>
      </c>
      <c r="J4" s="8">
        <v>6.76942303686731E-2</v>
      </c>
      <c r="K4" s="8" t="str">
        <f>_xlfn.CONCAT(dll[[#This Row],[lob]], " ", dll[[#This Row],[valid_vintage]])</f>
        <v>FRN 2026 Q1</v>
      </c>
    </row>
    <row r="5" spans="1:11" x14ac:dyDescent="0.35">
      <c r="A5" t="s">
        <v>127</v>
      </c>
      <c r="B5" t="s">
        <v>149</v>
      </c>
      <c r="C5" s="8">
        <v>6.4299999999999996E-2</v>
      </c>
      <c r="D5" s="8">
        <v>0.251461988304093</v>
      </c>
      <c r="E5" s="8">
        <v>0.56725146198830401</v>
      </c>
      <c r="F5" s="8">
        <v>8.1871345029239706E-2</v>
      </c>
      <c r="G5" s="8">
        <v>3.5087719298245598E-2</v>
      </c>
      <c r="H5" s="8">
        <v>0</v>
      </c>
      <c r="I5" s="8">
        <v>0.31576198830409302</v>
      </c>
      <c r="J5" s="8">
        <v>0.116959064327485</v>
      </c>
      <c r="K5" s="8" t="str">
        <f>_xlfn.CONCAT(dll[[#This Row],[lob]], " ", dll[[#This Row],[valid_vintage]])</f>
        <v>AN 2026 Q1</v>
      </c>
    </row>
    <row r="6" spans="1:11" x14ac:dyDescent="0.35">
      <c r="A6" t="s">
        <v>127</v>
      </c>
      <c r="B6" t="s">
        <v>155</v>
      </c>
      <c r="C6" s="8">
        <v>0.11559999999999999</v>
      </c>
      <c r="D6" s="8">
        <v>0.34687499999999999</v>
      </c>
      <c r="E6" s="8">
        <v>0.47499999999999998</v>
      </c>
      <c r="F6" s="8">
        <v>3.7499999999999999E-2</v>
      </c>
      <c r="G6" s="8">
        <v>2.5000000000000001E-2</v>
      </c>
      <c r="H6" s="8">
        <v>0</v>
      </c>
      <c r="I6" s="8">
        <v>0.46247500000000002</v>
      </c>
      <c r="J6" s="8">
        <v>6.25E-2</v>
      </c>
      <c r="K6" s="8" t="str">
        <f>_xlfn.CONCAT(dll[[#This Row],[lob]], " ", dll[[#This Row],[valid_vintage]])</f>
        <v>FLD 2026 Q1</v>
      </c>
    </row>
    <row r="7" spans="1:11" x14ac:dyDescent="0.35">
      <c r="A7" t="s">
        <v>131</v>
      </c>
      <c r="B7" t="s">
        <v>153</v>
      </c>
      <c r="C7" s="8">
        <v>2.64E-2</v>
      </c>
      <c r="D7" s="8">
        <v>0.21248499399759899</v>
      </c>
      <c r="E7" s="8">
        <v>0.626050420168067</v>
      </c>
      <c r="F7" s="8">
        <v>8.3433373349339701E-2</v>
      </c>
      <c r="G7" s="8">
        <v>4.2617046818727397E-2</v>
      </c>
      <c r="H7" s="8">
        <v>9.00360144057623E-3</v>
      </c>
      <c r="I7" s="8">
        <v>0.23888499399759899</v>
      </c>
      <c r="J7" s="8">
        <v>0.13505402160864299</v>
      </c>
      <c r="K7" s="8" t="str">
        <f>_xlfn.CONCAT(dll[[#This Row],[lob]], " ", dll[[#This Row],[valid_vintage]])</f>
        <v>STG 2025 Q4</v>
      </c>
    </row>
    <row r="8" spans="1:11" x14ac:dyDescent="0.35">
      <c r="A8" t="s">
        <v>131</v>
      </c>
      <c r="B8" t="s">
        <v>151</v>
      </c>
      <c r="C8" s="8">
        <v>9.2999999999999992E-3</v>
      </c>
      <c r="D8" s="8">
        <v>0.17142262028743999</v>
      </c>
      <c r="E8" s="8">
        <v>0.757967090189543</v>
      </c>
      <c r="F8" s="8">
        <v>3.4784419912518197E-2</v>
      </c>
      <c r="G8" s="8">
        <v>2.6036242449489599E-2</v>
      </c>
      <c r="H8" s="8">
        <v>4.1657987919183E-4</v>
      </c>
      <c r="I8" s="8">
        <v>0.18072262028743999</v>
      </c>
      <c r="J8" s="8">
        <v>6.1237242241199703E-2</v>
      </c>
      <c r="K8" s="8" t="str">
        <f>_xlfn.CONCAT(dll[[#This Row],[lob]], " ", dll[[#This Row],[valid_vintage]])</f>
        <v>FRN 2025 Q4</v>
      </c>
    </row>
    <row r="9" spans="1:11" x14ac:dyDescent="0.35">
      <c r="A9" t="s">
        <v>131</v>
      </c>
      <c r="B9" t="s">
        <v>149</v>
      </c>
      <c r="C9" s="8">
        <v>6.7199999999999996E-2</v>
      </c>
      <c r="D9" s="8">
        <v>0.251461988304093</v>
      </c>
      <c r="E9" s="8">
        <v>0.54678362573099404</v>
      </c>
      <c r="F9" s="8">
        <v>9.9415204678362498E-2</v>
      </c>
      <c r="G9" s="8">
        <v>3.5087719298245598E-2</v>
      </c>
      <c r="H9" s="8">
        <v>0</v>
      </c>
      <c r="I9" s="8">
        <v>0.31866198830409298</v>
      </c>
      <c r="J9" s="8">
        <v>0.13450292397660801</v>
      </c>
      <c r="K9" s="8" t="str">
        <f>_xlfn.CONCAT(dll[[#This Row],[lob]], " ", dll[[#This Row],[valid_vintage]])</f>
        <v>AN 2025 Q4</v>
      </c>
    </row>
    <row r="10" spans="1:11" x14ac:dyDescent="0.35">
      <c r="A10" t="s">
        <v>131</v>
      </c>
      <c r="B10" t="s">
        <v>155</v>
      </c>
      <c r="C10" s="8">
        <v>0.10929999999999999</v>
      </c>
      <c r="D10" s="8">
        <v>0.42499999999999999</v>
      </c>
      <c r="E10" s="8">
        <v>0.40625</v>
      </c>
      <c r="F10" s="8">
        <v>3.7499999999999999E-2</v>
      </c>
      <c r="G10" s="8">
        <v>1.8749999999999999E-2</v>
      </c>
      <c r="H10" s="8">
        <v>3.1250000000000002E-3</v>
      </c>
      <c r="I10" s="8">
        <v>0.5343</v>
      </c>
      <c r="J10" s="8">
        <v>5.9374999999999997E-2</v>
      </c>
      <c r="K10" s="8" t="str">
        <f>_xlfn.CONCAT(dll[[#This Row],[lob]], " ", dll[[#This Row],[valid_vintage]])</f>
        <v>FLD 2025 Q4</v>
      </c>
    </row>
    <row r="11" spans="1:11" x14ac:dyDescent="0.35">
      <c r="A11" t="s">
        <v>131</v>
      </c>
      <c r="B11" t="s">
        <v>122</v>
      </c>
      <c r="C11" s="8">
        <v>0</v>
      </c>
      <c r="D11" s="8">
        <v>0.17613636363636301</v>
      </c>
      <c r="E11" s="8">
        <v>0.69318181818181801</v>
      </c>
      <c r="F11" s="8">
        <v>0.13068181818181801</v>
      </c>
      <c r="G11" s="8">
        <v>0</v>
      </c>
      <c r="H11" s="8">
        <v>0</v>
      </c>
      <c r="I11" s="8">
        <v>0.17613636363636301</v>
      </c>
      <c r="J11" s="8">
        <v>0.13068181818181801</v>
      </c>
      <c r="K11" s="8" t="str">
        <f>_xlfn.CONCAT(dll[[#This Row],[lob]], " ", dll[[#This Row],[valid_vintage]])</f>
        <v>ENT 2025 Q4</v>
      </c>
    </row>
    <row r="12" spans="1:11" x14ac:dyDescent="0.35">
      <c r="A12" t="s">
        <v>130</v>
      </c>
      <c r="B12" t="s">
        <v>149</v>
      </c>
      <c r="C12" s="8">
        <v>3.5099999999999999E-2</v>
      </c>
      <c r="D12" s="8">
        <v>0.28445747800586502</v>
      </c>
      <c r="E12" s="8">
        <v>0.56304985337243396</v>
      </c>
      <c r="F12" s="8">
        <v>9.0909090909090898E-2</v>
      </c>
      <c r="G12" s="8">
        <v>2.63929618768328E-2</v>
      </c>
      <c r="H12" s="8">
        <v>0</v>
      </c>
      <c r="I12" s="8">
        <v>0.31955747800586498</v>
      </c>
      <c r="J12" s="8">
        <v>0.117302052785923</v>
      </c>
      <c r="K12" s="8" t="str">
        <f>_xlfn.CONCAT(dll[[#This Row],[lob]], " ", dll[[#This Row],[valid_vintage]])</f>
        <v>AN 2025 Q3</v>
      </c>
    </row>
    <row r="13" spans="1:11" x14ac:dyDescent="0.35">
      <c r="A13" t="s">
        <v>130</v>
      </c>
      <c r="B13" t="s">
        <v>151</v>
      </c>
      <c r="C13" s="8">
        <v>9.9000000000000008E-3</v>
      </c>
      <c r="D13" s="8">
        <v>0.16060093101988901</v>
      </c>
      <c r="E13" s="8">
        <v>0.75243334743969503</v>
      </c>
      <c r="F13" s="8">
        <v>5.2475666525603003E-2</v>
      </c>
      <c r="G13" s="8">
        <v>2.4121878967414301E-2</v>
      </c>
      <c r="H13" s="8">
        <v>4.2319085907743998E-4</v>
      </c>
      <c r="I13" s="8">
        <v>0.170500931019889</v>
      </c>
      <c r="J13" s="8">
        <v>7.7020736352094707E-2</v>
      </c>
      <c r="K13" s="8" t="str">
        <f>_xlfn.CONCAT(dll[[#This Row],[lob]], " ", dll[[#This Row],[valid_vintage]])</f>
        <v>FRN 2025 Q3</v>
      </c>
    </row>
    <row r="14" spans="1:11" x14ac:dyDescent="0.35">
      <c r="A14" t="s">
        <v>130</v>
      </c>
      <c r="B14" t="s">
        <v>122</v>
      </c>
      <c r="C14" s="8">
        <v>0</v>
      </c>
      <c r="D14" s="8">
        <v>0.21590909090909</v>
      </c>
      <c r="E14" s="8">
        <v>0.51136363636363602</v>
      </c>
      <c r="F14" s="8">
        <v>0.24431818181818099</v>
      </c>
      <c r="G14" s="8">
        <v>2.8409090909090901E-2</v>
      </c>
      <c r="H14" s="8">
        <v>0</v>
      </c>
      <c r="I14" s="8">
        <v>0.21590909090909</v>
      </c>
      <c r="J14" s="8">
        <v>0.27272727272727199</v>
      </c>
      <c r="K14" s="8" t="str">
        <f>_xlfn.CONCAT(dll[[#This Row],[lob]], " ", dll[[#This Row],[valid_vintage]])</f>
        <v>ENT 2025 Q3</v>
      </c>
    </row>
    <row r="15" spans="1:11" x14ac:dyDescent="0.35">
      <c r="A15" t="s">
        <v>130</v>
      </c>
      <c r="B15" t="s">
        <v>155</v>
      </c>
      <c r="C15" s="8">
        <v>0.1163</v>
      </c>
      <c r="D15" s="8">
        <v>0.48113207547169801</v>
      </c>
      <c r="E15" s="8">
        <v>0.36792452830188599</v>
      </c>
      <c r="F15" s="8">
        <v>2.83018867924528E-2</v>
      </c>
      <c r="G15" s="8">
        <v>3.1446540880503099E-3</v>
      </c>
      <c r="H15" s="8">
        <v>3.1446540880503099E-3</v>
      </c>
      <c r="I15" s="8">
        <v>0.59743207547169797</v>
      </c>
      <c r="J15" s="8">
        <v>3.4591194968553403E-2</v>
      </c>
      <c r="K15" s="8" t="str">
        <f>_xlfn.CONCAT(dll[[#This Row],[lob]], " ", dll[[#This Row],[valid_vintage]])</f>
        <v>FLD 2025 Q3</v>
      </c>
    </row>
    <row r="16" spans="1:11" x14ac:dyDescent="0.35">
      <c r="A16" t="s">
        <v>130</v>
      </c>
      <c r="B16" t="s">
        <v>153</v>
      </c>
      <c r="C16" s="8">
        <v>1.3899999999999999E-2</v>
      </c>
      <c r="D16" s="8">
        <v>0.287530266343825</v>
      </c>
      <c r="E16" s="8">
        <v>0.59140435835351002</v>
      </c>
      <c r="F16" s="8">
        <v>8.1719128329297799E-2</v>
      </c>
      <c r="G16" s="8">
        <v>1.6343825665859499E-2</v>
      </c>
      <c r="H16" s="8">
        <v>9.0799031476997503E-3</v>
      </c>
      <c r="I16" s="8">
        <v>0.30143026634382503</v>
      </c>
      <c r="J16" s="8">
        <v>0.107142857142857</v>
      </c>
      <c r="K16" s="8" t="str">
        <f>_xlfn.CONCAT(dll[[#This Row],[lob]], " ", dll[[#This Row],[valid_vintage]])</f>
        <v>STG 2025 Q3</v>
      </c>
    </row>
    <row r="17" spans="1:11" x14ac:dyDescent="0.35">
      <c r="A17" t="s">
        <v>129</v>
      </c>
      <c r="B17" t="s">
        <v>151</v>
      </c>
      <c r="C17" s="8">
        <v>9.7999999999999997E-3</v>
      </c>
      <c r="D17" s="8">
        <v>0.17233856893542701</v>
      </c>
      <c r="E17" s="8">
        <v>0.73211169284467703</v>
      </c>
      <c r="F17" s="8">
        <v>4.9083769633507801E-2</v>
      </c>
      <c r="G17" s="8">
        <v>3.6212914485165698E-2</v>
      </c>
      <c r="H17" s="8">
        <v>4.3630017452006E-4</v>
      </c>
      <c r="I17" s="8">
        <v>0.18213856893542699</v>
      </c>
      <c r="J17" s="8">
        <v>8.5732984293193704E-2</v>
      </c>
      <c r="K17" s="8" t="str">
        <f>_xlfn.CONCAT(dll[[#This Row],[lob]], " ", dll[[#This Row],[valid_vintage]])</f>
        <v>FRN 2025 Q2</v>
      </c>
    </row>
    <row r="18" spans="1:11" x14ac:dyDescent="0.35">
      <c r="A18" t="s">
        <v>129</v>
      </c>
      <c r="B18" t="s">
        <v>149</v>
      </c>
      <c r="C18" s="8">
        <v>3.8199999999999998E-2</v>
      </c>
      <c r="D18" s="8">
        <v>0.27352941176470502</v>
      </c>
      <c r="E18" s="8">
        <v>0.52647058823529402</v>
      </c>
      <c r="F18" s="8">
        <v>0.15</v>
      </c>
      <c r="G18" s="8">
        <v>1.1764705882352899E-2</v>
      </c>
      <c r="H18" s="8">
        <v>0</v>
      </c>
      <c r="I18" s="8">
        <v>0.31172941176470498</v>
      </c>
      <c r="J18" s="8">
        <v>0.16176470588235201</v>
      </c>
      <c r="K18" s="8" t="str">
        <f>_xlfn.CONCAT(dll[[#This Row],[lob]], " ", dll[[#This Row],[valid_vintage]])</f>
        <v>AN 2025 Q2</v>
      </c>
    </row>
    <row r="19" spans="1:11" x14ac:dyDescent="0.35">
      <c r="A19" t="s">
        <v>129</v>
      </c>
      <c r="B19" t="s">
        <v>122</v>
      </c>
      <c r="C19" s="8">
        <v>0</v>
      </c>
      <c r="D19" s="8">
        <v>0.17142857142857101</v>
      </c>
      <c r="E19" s="8">
        <v>0.58285714285714196</v>
      </c>
      <c r="F19" s="8">
        <v>0.21142857142857099</v>
      </c>
      <c r="G19" s="8">
        <v>3.4285714285714197E-2</v>
      </c>
      <c r="H19" s="8">
        <v>0</v>
      </c>
      <c r="I19" s="8">
        <v>0.17142857142857101</v>
      </c>
      <c r="J19" s="8">
        <v>0.245714285714285</v>
      </c>
      <c r="K19" s="8" t="str">
        <f>_xlfn.CONCAT(dll[[#This Row],[lob]], " ", dll[[#This Row],[valid_vintage]])</f>
        <v>ENT 2025 Q2</v>
      </c>
    </row>
    <row r="20" spans="1:11" x14ac:dyDescent="0.35">
      <c r="A20" t="s">
        <v>129</v>
      </c>
      <c r="B20" t="s">
        <v>155</v>
      </c>
      <c r="C20" s="8">
        <v>3.7900000000000003E-2</v>
      </c>
      <c r="D20" s="8">
        <v>0.518987341772151</v>
      </c>
      <c r="E20" s="8">
        <v>0.341772151898734</v>
      </c>
      <c r="F20" s="8">
        <v>3.1645569620253097E-2</v>
      </c>
      <c r="G20" s="8">
        <v>6.6455696202531597E-2</v>
      </c>
      <c r="H20" s="8">
        <v>3.1645569620253099E-3</v>
      </c>
      <c r="I20" s="8">
        <v>0.55688734177215105</v>
      </c>
      <c r="J20" s="8">
        <v>0.10126582278481</v>
      </c>
      <c r="K20" s="8" t="str">
        <f>_xlfn.CONCAT(dll[[#This Row],[lob]], " ", dll[[#This Row],[valid_vintage]])</f>
        <v>FLD 2025 Q2</v>
      </c>
    </row>
    <row r="21" spans="1:11" x14ac:dyDescent="0.35">
      <c r="A21" t="s">
        <v>129</v>
      </c>
      <c r="B21" t="s">
        <v>153</v>
      </c>
      <c r="C21" s="8">
        <v>1.6E-2</v>
      </c>
      <c r="D21" s="8">
        <v>0.26946847960444897</v>
      </c>
      <c r="E21" s="8">
        <v>0.61928306551297796</v>
      </c>
      <c r="F21" s="8">
        <v>6.7367119901112396E-2</v>
      </c>
      <c r="G21" s="8">
        <v>2.10135970333745E-2</v>
      </c>
      <c r="H21" s="8">
        <v>6.7985166872682303E-3</v>
      </c>
      <c r="I21" s="8">
        <v>0.28546847960444899</v>
      </c>
      <c r="J21" s="8">
        <v>9.5179233621755205E-2</v>
      </c>
      <c r="K21" s="8" t="str">
        <f>_xlfn.CONCAT(dll[[#This Row],[lob]], " ", dll[[#This Row],[valid_vintage]])</f>
        <v>STG 2025 Q2</v>
      </c>
    </row>
    <row r="22" spans="1:11" x14ac:dyDescent="0.35">
      <c r="A22" t="s">
        <v>128</v>
      </c>
      <c r="B22" t="s">
        <v>149</v>
      </c>
      <c r="C22" s="8">
        <v>1.47E-2</v>
      </c>
      <c r="D22" s="8">
        <v>0.28994082840236601</v>
      </c>
      <c r="E22" s="8">
        <v>0.60059171597633099</v>
      </c>
      <c r="F22" s="8">
        <v>7.69230769230769E-2</v>
      </c>
      <c r="G22" s="8">
        <v>1.7751479289940801E-2</v>
      </c>
      <c r="H22" s="8">
        <v>0</v>
      </c>
      <c r="I22" s="8">
        <v>0.304640828402366</v>
      </c>
      <c r="J22" s="8">
        <v>9.4674556213017694E-2</v>
      </c>
      <c r="K22" s="8" t="str">
        <f>_xlfn.CONCAT(dll[[#This Row],[lob]], " ", dll[[#This Row],[valid_vintage]])</f>
        <v>AN 2025 Q1</v>
      </c>
    </row>
    <row r="23" spans="1:11" x14ac:dyDescent="0.35">
      <c r="A23" t="s">
        <v>128</v>
      </c>
      <c r="B23" t="s">
        <v>122</v>
      </c>
      <c r="C23" s="8">
        <v>0</v>
      </c>
      <c r="D23" s="8">
        <v>0.178160919540229</v>
      </c>
      <c r="E23" s="8">
        <v>0.52298850574712596</v>
      </c>
      <c r="F23" s="8">
        <v>0.29310344827586199</v>
      </c>
      <c r="G23" s="8">
        <v>5.7471264367815996E-3</v>
      </c>
      <c r="H23" s="8">
        <v>0</v>
      </c>
      <c r="I23" s="8">
        <v>0.178160919540229</v>
      </c>
      <c r="J23" s="8">
        <v>0.29885057471264298</v>
      </c>
      <c r="K23" s="8" t="str">
        <f>_xlfn.CONCAT(dll[[#This Row],[lob]], " ", dll[[#This Row],[valid_vintage]])</f>
        <v>ENT 2025 Q1</v>
      </c>
    </row>
    <row r="24" spans="1:11" x14ac:dyDescent="0.35">
      <c r="A24" t="s">
        <v>128</v>
      </c>
      <c r="B24" t="s">
        <v>151</v>
      </c>
      <c r="C24" s="8">
        <v>9.7000000000000003E-3</v>
      </c>
      <c r="D24" s="8">
        <v>0.16440217391304299</v>
      </c>
      <c r="E24" s="8">
        <v>0.74615036231884002</v>
      </c>
      <c r="F24" s="8">
        <v>4.4610507246376802E-2</v>
      </c>
      <c r="G24" s="8">
        <v>3.4420289855072402E-2</v>
      </c>
      <c r="H24" s="8">
        <v>6.7934782608695E-4</v>
      </c>
      <c r="I24" s="8">
        <v>0.174102173913043</v>
      </c>
      <c r="J24" s="8">
        <v>7.9710144927536197E-2</v>
      </c>
      <c r="K24" s="8" t="str">
        <f>_xlfn.CONCAT(dll[[#This Row],[lob]], " ", dll[[#This Row],[valid_vintage]])</f>
        <v>FRN 2025 Q1</v>
      </c>
    </row>
    <row r="25" spans="1:11" x14ac:dyDescent="0.35">
      <c r="A25" t="s">
        <v>128</v>
      </c>
      <c r="B25" t="s">
        <v>153</v>
      </c>
      <c r="C25" s="8">
        <v>2.3E-2</v>
      </c>
      <c r="D25" s="8">
        <v>0.30798004987531102</v>
      </c>
      <c r="E25" s="8">
        <v>0.56795511221945105</v>
      </c>
      <c r="F25" s="8">
        <v>7.6683291770573495E-2</v>
      </c>
      <c r="G25" s="8">
        <v>1.7456359102244301E-2</v>
      </c>
      <c r="H25" s="8">
        <v>6.857855361596E-3</v>
      </c>
      <c r="I25" s="8">
        <v>0.33098004987531099</v>
      </c>
      <c r="J25" s="8">
        <v>0.100997506234413</v>
      </c>
      <c r="K25" s="8" t="str">
        <f>_xlfn.CONCAT(dll[[#This Row],[lob]], " ", dll[[#This Row],[valid_vintage]])</f>
        <v>STG 2025 Q1</v>
      </c>
    </row>
    <row r="26" spans="1:11" x14ac:dyDescent="0.35">
      <c r="A26" t="s">
        <v>128</v>
      </c>
      <c r="B26" t="s">
        <v>155</v>
      </c>
      <c r="C26" s="8">
        <v>3.8399999999999997E-2</v>
      </c>
      <c r="D26" s="8">
        <v>0.44551282051281998</v>
      </c>
      <c r="E26" s="8">
        <v>0.46474358974358898</v>
      </c>
      <c r="F26" s="8">
        <v>4.1666666666666602E-2</v>
      </c>
      <c r="G26" s="8">
        <v>6.41025641025641E-3</v>
      </c>
      <c r="H26" s="8">
        <v>3.2051282051281998E-3</v>
      </c>
      <c r="I26" s="8">
        <v>0.48391282051281997</v>
      </c>
      <c r="J26" s="8">
        <v>5.1282051282051197E-2</v>
      </c>
      <c r="K26" s="8" t="str">
        <f>_xlfn.CONCAT(dll[[#This Row],[lob]], " ", dll[[#This Row],[valid_vintage]])</f>
        <v>FLD 2025 Q1</v>
      </c>
    </row>
    <row r="27" spans="1:11" x14ac:dyDescent="0.35">
      <c r="A27" t="s">
        <v>126</v>
      </c>
      <c r="B27" t="s">
        <v>149</v>
      </c>
      <c r="C27" s="8">
        <v>8.8999999999999999E-3</v>
      </c>
      <c r="D27" s="8">
        <v>0.27678571428571402</v>
      </c>
      <c r="E27" s="8">
        <v>0.53273809523809501</v>
      </c>
      <c r="F27" s="8">
        <v>0.16666666666666599</v>
      </c>
      <c r="G27" s="8">
        <v>1.48809523809523E-2</v>
      </c>
      <c r="H27" s="8">
        <v>0</v>
      </c>
      <c r="I27" s="8">
        <v>0.28568571428571399</v>
      </c>
      <c r="J27" s="8">
        <v>0.18154761904761901</v>
      </c>
      <c r="K27" s="8" t="str">
        <f>_xlfn.CONCAT(dll[[#This Row],[lob]], " ", dll[[#This Row],[valid_vintage]])</f>
        <v>AN 2024 Q4</v>
      </c>
    </row>
    <row r="28" spans="1:11" x14ac:dyDescent="0.35">
      <c r="A28" t="s">
        <v>126</v>
      </c>
      <c r="B28" t="s">
        <v>155</v>
      </c>
      <c r="C28" s="8">
        <v>1.29E-2</v>
      </c>
      <c r="D28" s="8">
        <v>0.44480519480519398</v>
      </c>
      <c r="E28" s="8">
        <v>0.48051948051948001</v>
      </c>
      <c r="F28" s="8">
        <v>4.8701298701298697E-2</v>
      </c>
      <c r="G28" s="8">
        <v>1.2987012987012899E-2</v>
      </c>
      <c r="H28" s="8">
        <v>0</v>
      </c>
      <c r="I28" s="8">
        <v>0.457705194805194</v>
      </c>
      <c r="J28" s="8">
        <v>6.1688311688311598E-2</v>
      </c>
      <c r="K28" s="8" t="str">
        <f>_xlfn.CONCAT(dll[[#This Row],[lob]], " ", dll[[#This Row],[valid_vintage]])</f>
        <v>FLD 2024 Q4</v>
      </c>
    </row>
    <row r="29" spans="1:11" x14ac:dyDescent="0.35">
      <c r="A29" t="s">
        <v>126</v>
      </c>
      <c r="B29" t="s">
        <v>122</v>
      </c>
      <c r="C29" s="8">
        <v>0</v>
      </c>
      <c r="D29" s="8">
        <v>0.27167630057803399</v>
      </c>
      <c r="E29" s="8">
        <v>0.51445086705202303</v>
      </c>
      <c r="F29" s="8">
        <v>0.17919075144508601</v>
      </c>
      <c r="G29" s="8">
        <v>3.4682080924855398E-2</v>
      </c>
      <c r="H29" s="8">
        <v>0</v>
      </c>
      <c r="I29" s="8">
        <v>0.27167630057803399</v>
      </c>
      <c r="J29" s="8">
        <v>0.21387283236994201</v>
      </c>
      <c r="K29" s="8" t="str">
        <f>_xlfn.CONCAT(dll[[#This Row],[lob]], " ", dll[[#This Row],[valid_vintage]])</f>
        <v>ENT 2024 Q4</v>
      </c>
    </row>
    <row r="30" spans="1:11" x14ac:dyDescent="0.35">
      <c r="A30" t="s">
        <v>126</v>
      </c>
      <c r="B30" t="s">
        <v>153</v>
      </c>
      <c r="C30" s="8">
        <v>2.1399999999999999E-2</v>
      </c>
      <c r="D30" s="8">
        <v>0.339848675914249</v>
      </c>
      <c r="E30" s="8">
        <v>0.52269861286254704</v>
      </c>
      <c r="F30" s="8">
        <v>6.6204287515762905E-2</v>
      </c>
      <c r="G30" s="8">
        <v>4.2875157629255901E-2</v>
      </c>
      <c r="H30" s="8">
        <v>6.9356872635561104E-3</v>
      </c>
      <c r="I30" s="8">
        <v>0.36124867591424897</v>
      </c>
      <c r="J30" s="8">
        <v>0.116015132408575</v>
      </c>
      <c r="K30" s="8" t="str">
        <f>_xlfn.CONCAT(dll[[#This Row],[lob]], " ", dll[[#This Row],[valid_vintage]])</f>
        <v>STG 2024 Q4</v>
      </c>
    </row>
    <row r="31" spans="1:11" x14ac:dyDescent="0.35">
      <c r="A31" t="s">
        <v>126</v>
      </c>
      <c r="B31" t="s">
        <v>151</v>
      </c>
      <c r="C31" s="8">
        <v>7.7000000000000002E-3</v>
      </c>
      <c r="D31" s="8">
        <v>0.14602500589761699</v>
      </c>
      <c r="E31" s="8">
        <v>0.77707006369426701</v>
      </c>
      <c r="F31" s="8">
        <v>2.3354564755838601E-2</v>
      </c>
      <c r="G31" s="8">
        <v>4.5293701344656698E-2</v>
      </c>
      <c r="H31" s="8">
        <v>4.7180938900683999E-4</v>
      </c>
      <c r="I31" s="8">
        <v>0.15372500589761701</v>
      </c>
      <c r="J31" s="8">
        <v>6.9120075489502206E-2</v>
      </c>
      <c r="K31" s="8" t="str">
        <f>_xlfn.CONCAT(dll[[#This Row],[lob]], " ", dll[[#This Row],[valid_vintage]])</f>
        <v>FRN 2024 Q4</v>
      </c>
    </row>
    <row r="32" spans="1:11" x14ac:dyDescent="0.35">
      <c r="A32" t="s">
        <v>160</v>
      </c>
      <c r="B32" t="s">
        <v>149</v>
      </c>
      <c r="C32" s="8">
        <v>8.8999999999999999E-3</v>
      </c>
      <c r="D32" s="8">
        <v>0.17365269461077801</v>
      </c>
      <c r="E32" s="8">
        <v>0.63473053892215503</v>
      </c>
      <c r="F32" s="8">
        <v>0.13173652694610699</v>
      </c>
      <c r="G32" s="8">
        <v>5.0898203592814301E-2</v>
      </c>
      <c r="H32" s="8">
        <v>0</v>
      </c>
      <c r="I32" s="8">
        <v>0.182552694610778</v>
      </c>
      <c r="J32" s="8">
        <v>0.18263473053892201</v>
      </c>
      <c r="K32" s="8" t="str">
        <f>_xlfn.CONCAT(dll[[#This Row],[lob]], " ", dll[[#This Row],[valid_vintage]])</f>
        <v>AN 2024 Q3</v>
      </c>
    </row>
    <row r="33" spans="1:11" x14ac:dyDescent="0.35">
      <c r="A33" t="s">
        <v>160</v>
      </c>
      <c r="B33" t="s">
        <v>155</v>
      </c>
      <c r="C33" s="8">
        <v>2.98E-2</v>
      </c>
      <c r="D33" s="8">
        <v>0.51986754966887405</v>
      </c>
      <c r="E33" s="8">
        <v>0.36754966887417201</v>
      </c>
      <c r="F33" s="8">
        <v>6.29139072847682E-2</v>
      </c>
      <c r="G33" s="8">
        <v>1.98675496688741E-2</v>
      </c>
      <c r="H33" s="8">
        <v>0</v>
      </c>
      <c r="I33" s="8">
        <v>0.54966754966887399</v>
      </c>
      <c r="J33" s="8">
        <v>8.2781456953642293E-2</v>
      </c>
      <c r="K33" s="8" t="str">
        <f>_xlfn.CONCAT(dll[[#This Row],[lob]], " ", dll[[#This Row],[valid_vintage]])</f>
        <v>FLD 2024 Q3</v>
      </c>
    </row>
    <row r="34" spans="1:11" x14ac:dyDescent="0.35">
      <c r="A34" t="s">
        <v>160</v>
      </c>
      <c r="B34" t="s">
        <v>122</v>
      </c>
      <c r="C34" s="8">
        <v>0</v>
      </c>
      <c r="D34" s="8">
        <v>0.21052631578947301</v>
      </c>
      <c r="E34" s="8">
        <v>0.502923976608187</v>
      </c>
      <c r="F34" s="8">
        <v>0.25730994152046699</v>
      </c>
      <c r="G34" s="8">
        <v>2.9239766081871298E-2</v>
      </c>
      <c r="H34" s="8">
        <v>0</v>
      </c>
      <c r="I34" s="8">
        <v>0.21052631578947301</v>
      </c>
      <c r="J34" s="8">
        <v>0.286549707602339</v>
      </c>
      <c r="K34" s="8" t="str">
        <f>_xlfn.CONCAT(dll[[#This Row],[lob]], " ", dll[[#This Row],[valid_vintage]])</f>
        <v>ENT 2024 Q3</v>
      </c>
    </row>
    <row r="35" spans="1:11" x14ac:dyDescent="0.35">
      <c r="A35" t="s">
        <v>160</v>
      </c>
      <c r="B35" t="s">
        <v>153</v>
      </c>
      <c r="C35" s="8">
        <v>2.46E-2</v>
      </c>
      <c r="D35" s="8">
        <v>0.27612412919569301</v>
      </c>
      <c r="E35" s="8">
        <v>0.59531348955034802</v>
      </c>
      <c r="F35" s="8">
        <v>7.0297656744775103E-2</v>
      </c>
      <c r="G35" s="8">
        <v>2.6599113362887901E-2</v>
      </c>
      <c r="H35" s="8">
        <v>6.9664344521849202E-3</v>
      </c>
      <c r="I35" s="8">
        <v>0.30072412919569302</v>
      </c>
      <c r="J35" s="8">
        <v>0.103863204559847</v>
      </c>
      <c r="K35" s="8" t="str">
        <f>_xlfn.CONCAT(dll[[#This Row],[lob]], " ", dll[[#This Row],[valid_vintage]])</f>
        <v>STG 2024 Q3</v>
      </c>
    </row>
    <row r="36" spans="1:11" x14ac:dyDescent="0.35">
      <c r="A36" t="s">
        <v>160</v>
      </c>
      <c r="B36" t="s">
        <v>151</v>
      </c>
      <c r="C36" s="8">
        <v>8.3999999999999995E-3</v>
      </c>
      <c r="D36" s="8">
        <v>0.13489298158287699</v>
      </c>
      <c r="E36" s="8">
        <v>0.78770532603285204</v>
      </c>
      <c r="F36" s="8">
        <v>4.08163265306122E-2</v>
      </c>
      <c r="G36" s="8">
        <v>2.76256844201095E-2</v>
      </c>
      <c r="H36" s="8">
        <v>4.9776007964161002E-4</v>
      </c>
      <c r="I36" s="8">
        <v>0.14329298158287701</v>
      </c>
      <c r="J36" s="8">
        <v>6.8939771030363306E-2</v>
      </c>
      <c r="K36" s="8" t="str">
        <f>_xlfn.CONCAT(dll[[#This Row],[lob]], " ", dll[[#This Row],[valid_vintage]])</f>
        <v>FRN 2024 Q3</v>
      </c>
    </row>
    <row r="37" spans="1:11" x14ac:dyDescent="0.35">
      <c r="A37" t="s">
        <v>163</v>
      </c>
      <c r="B37" t="s">
        <v>151</v>
      </c>
      <c r="C37" s="8">
        <v>8.8999999999999999E-3</v>
      </c>
      <c r="D37" s="8">
        <v>0.117940635671132</v>
      </c>
      <c r="E37" s="8">
        <v>0.80929866036248999</v>
      </c>
      <c r="F37" s="8">
        <v>4.675597583399E-2</v>
      </c>
      <c r="G37" s="8">
        <v>1.6548463356973901E-2</v>
      </c>
      <c r="H37" s="8">
        <v>5.2534804307853003E-4</v>
      </c>
      <c r="I37" s="8">
        <v>0.12684063567113199</v>
      </c>
      <c r="J37" s="8">
        <v>6.3829787234042507E-2</v>
      </c>
      <c r="K37" s="8" t="str">
        <f>_xlfn.CONCAT(dll[[#This Row],[lob]], " ", dll[[#This Row],[valid_vintage]])</f>
        <v>FRN 2024 Q2</v>
      </c>
    </row>
    <row r="38" spans="1:11" x14ac:dyDescent="0.35">
      <c r="A38" t="s">
        <v>163</v>
      </c>
      <c r="B38" t="s">
        <v>155</v>
      </c>
      <c r="C38" s="8">
        <v>2.6499999999999999E-2</v>
      </c>
      <c r="D38" s="8">
        <v>0.19269102990033199</v>
      </c>
      <c r="E38" s="8">
        <v>0.67774086378737497</v>
      </c>
      <c r="F38" s="8">
        <v>4.3189368770764097E-2</v>
      </c>
      <c r="G38" s="8">
        <v>5.9800664451827197E-2</v>
      </c>
      <c r="H38" s="8">
        <v>0</v>
      </c>
      <c r="I38" s="8">
        <v>0.21919102990033201</v>
      </c>
      <c r="J38" s="8">
        <v>0.102990033222591</v>
      </c>
      <c r="K38" s="8" t="str">
        <f>_xlfn.CONCAT(dll[[#This Row],[lob]], " ", dll[[#This Row],[valid_vintage]])</f>
        <v>FLD 2024 Q2</v>
      </c>
    </row>
    <row r="39" spans="1:11" x14ac:dyDescent="0.35">
      <c r="A39" t="s">
        <v>163</v>
      </c>
      <c r="B39" t="s">
        <v>122</v>
      </c>
      <c r="C39" s="8">
        <v>0</v>
      </c>
      <c r="D39" s="8">
        <v>0.29411764705882298</v>
      </c>
      <c r="E39" s="8">
        <v>0.41764705882352898</v>
      </c>
      <c r="F39" s="8">
        <v>0.22941176470588201</v>
      </c>
      <c r="G39" s="8">
        <v>5.8823529411764698E-2</v>
      </c>
      <c r="H39" s="8">
        <v>0</v>
      </c>
      <c r="I39" s="8">
        <v>0.29411764705882298</v>
      </c>
      <c r="J39" s="8">
        <v>0.28823529411764698</v>
      </c>
      <c r="K39" s="8" t="str">
        <f>_xlfn.CONCAT(dll[[#This Row],[lob]], " ", dll[[#This Row],[valid_vintage]])</f>
        <v>ENT 2024 Q2</v>
      </c>
    </row>
    <row r="40" spans="1:11" x14ac:dyDescent="0.35">
      <c r="A40" t="s">
        <v>163</v>
      </c>
      <c r="B40" t="s">
        <v>153</v>
      </c>
      <c r="C40" s="8">
        <v>3.1800000000000002E-2</v>
      </c>
      <c r="D40" s="8">
        <v>0.41374920432845302</v>
      </c>
      <c r="E40" s="8">
        <v>0.45894334818586802</v>
      </c>
      <c r="F40" s="8">
        <v>3.2463399108847803E-2</v>
      </c>
      <c r="G40" s="8">
        <v>5.6015276893698202E-2</v>
      </c>
      <c r="H40" s="8">
        <v>7.0019096117122804E-3</v>
      </c>
      <c r="I40" s="8">
        <v>0.44554920432845302</v>
      </c>
      <c r="J40" s="8">
        <v>9.5480585614258401E-2</v>
      </c>
      <c r="K40" s="8" t="str">
        <f>_xlfn.CONCAT(dll[[#This Row],[lob]], " ", dll[[#This Row],[valid_vintage]])</f>
        <v>STG 2024 Q2</v>
      </c>
    </row>
    <row r="41" spans="1:11" x14ac:dyDescent="0.35">
      <c r="A41" t="s">
        <v>163</v>
      </c>
      <c r="B41" t="s">
        <v>149</v>
      </c>
      <c r="C41" s="8">
        <v>2.8999999999999998E-3</v>
      </c>
      <c r="D41" s="8">
        <v>0.20658682634730499</v>
      </c>
      <c r="E41" s="8">
        <v>0.55688622754491002</v>
      </c>
      <c r="F41" s="8">
        <v>0.17664670658682599</v>
      </c>
      <c r="G41" s="8">
        <v>5.6886227544910101E-2</v>
      </c>
      <c r="H41" s="8">
        <v>0</v>
      </c>
      <c r="I41" s="8">
        <v>0.20948682634730501</v>
      </c>
      <c r="J41" s="8">
        <v>0.23353293413173601</v>
      </c>
      <c r="K41" s="8" t="str">
        <f>_xlfn.CONCAT(dll[[#This Row],[lob]], " ", dll[[#This Row],[valid_vintage]])</f>
        <v>AN 2024 Q2</v>
      </c>
    </row>
    <row r="42" spans="1:11" x14ac:dyDescent="0.35">
      <c r="A42" t="s">
        <v>167</v>
      </c>
      <c r="B42" t="s">
        <v>153</v>
      </c>
      <c r="C42" s="8">
        <v>3.6400000000000002E-2</v>
      </c>
      <c r="D42" s="8">
        <v>0.41677336747759203</v>
      </c>
      <c r="E42" s="8">
        <v>0.34891165172855299</v>
      </c>
      <c r="F42" s="8">
        <v>0.14404609475031999</v>
      </c>
      <c r="G42" s="8">
        <v>4.0973111395646598E-2</v>
      </c>
      <c r="H42" s="8">
        <v>1.28040973111395E-2</v>
      </c>
      <c r="I42" s="8">
        <v>0.45317336747759202</v>
      </c>
      <c r="J42" s="8">
        <v>0.197823303457106</v>
      </c>
      <c r="K42" s="8" t="str">
        <f>_xlfn.CONCAT(dll[[#This Row],[lob]], " ", dll[[#This Row],[valid_vintage]])</f>
        <v>STG 2024 Q1</v>
      </c>
    </row>
    <row r="43" spans="1:11" x14ac:dyDescent="0.35">
      <c r="A43" t="s">
        <v>167</v>
      </c>
      <c r="B43" t="s">
        <v>151</v>
      </c>
      <c r="C43" s="8">
        <v>1.2800000000000001E-2</v>
      </c>
      <c r="D43" s="8">
        <v>0.13618568232662101</v>
      </c>
      <c r="E43" s="8">
        <v>0.76621923937360104</v>
      </c>
      <c r="F43" s="8">
        <v>5.9563758389261701E-2</v>
      </c>
      <c r="G43" s="8">
        <v>2.4608501118568198E-2</v>
      </c>
      <c r="H43" s="8">
        <v>5.5928411633109E-4</v>
      </c>
      <c r="I43" s="8">
        <v>0.14898568232662099</v>
      </c>
      <c r="J43" s="8">
        <v>8.4731543624160993E-2</v>
      </c>
      <c r="K43" s="8" t="str">
        <f>_xlfn.CONCAT(dll[[#This Row],[lob]], " ", dll[[#This Row],[valid_vintage]])</f>
        <v>FRN 2024 Q1</v>
      </c>
    </row>
    <row r="44" spans="1:11" x14ac:dyDescent="0.35">
      <c r="A44" t="s">
        <v>167</v>
      </c>
      <c r="B44" t="s">
        <v>149</v>
      </c>
      <c r="C44" s="8">
        <v>2.3900000000000001E-2</v>
      </c>
      <c r="D44" s="8">
        <v>0.18862275449101701</v>
      </c>
      <c r="E44" s="8">
        <v>0.57485029940119703</v>
      </c>
      <c r="F44" s="8">
        <v>7.1856287425149698E-2</v>
      </c>
      <c r="G44" s="8">
        <v>0.140718562874251</v>
      </c>
      <c r="H44" s="8">
        <v>0</v>
      </c>
      <c r="I44" s="8">
        <v>0.21252275449101701</v>
      </c>
      <c r="J44" s="8">
        <v>0.21257485029940101</v>
      </c>
      <c r="K44" s="8" t="str">
        <f>_xlfn.CONCAT(dll[[#This Row],[lob]], " ", dll[[#This Row],[valid_vintage]])</f>
        <v>AN 2024 Q1</v>
      </c>
    </row>
    <row r="45" spans="1:11" x14ac:dyDescent="0.35">
      <c r="A45" t="s">
        <v>167</v>
      </c>
      <c r="B45" t="s">
        <v>122</v>
      </c>
      <c r="C45" s="8">
        <v>0</v>
      </c>
      <c r="D45" s="8">
        <v>0.152941176470588</v>
      </c>
      <c r="E45" s="8">
        <v>0.6</v>
      </c>
      <c r="F45" s="8">
        <v>0.188235294117647</v>
      </c>
      <c r="G45" s="8">
        <v>5.8823529411764698E-2</v>
      </c>
      <c r="H45" s="8">
        <v>0</v>
      </c>
      <c r="I45" s="8">
        <v>0.152941176470588</v>
      </c>
      <c r="J45" s="8">
        <v>0.247058823529411</v>
      </c>
      <c r="K45" s="8" t="str">
        <f>_xlfn.CONCAT(dll[[#This Row],[lob]], " ", dll[[#This Row],[valid_vintage]])</f>
        <v>ENT 2024 Q1</v>
      </c>
    </row>
    <row r="46" spans="1:11" x14ac:dyDescent="0.35">
      <c r="A46" t="s">
        <v>167</v>
      </c>
      <c r="B46" t="s">
        <v>155</v>
      </c>
      <c r="C46" s="8">
        <v>3.0200000000000001E-2</v>
      </c>
      <c r="D46" s="8">
        <v>0.16778523489932801</v>
      </c>
      <c r="E46" s="8">
        <v>0.68791946308724805</v>
      </c>
      <c r="F46" s="8">
        <v>3.3557046979865703E-2</v>
      </c>
      <c r="G46" s="8">
        <v>4.6979865771811999E-2</v>
      </c>
      <c r="H46" s="8">
        <v>3.3557046979865703E-2</v>
      </c>
      <c r="I46" s="8">
        <v>0.19798523489932801</v>
      </c>
      <c r="J46" s="8">
        <v>0.114093959731543</v>
      </c>
      <c r="K46" s="8" t="str">
        <f>_xlfn.CONCAT(dll[[#This Row],[lob]], " ", dll[[#This Row],[valid_vintage]])</f>
        <v>FLD 2024 Q1</v>
      </c>
    </row>
    <row r="47" spans="1:11" x14ac:dyDescent="0.35">
      <c r="A47" t="s">
        <v>166</v>
      </c>
      <c r="B47" t="s">
        <v>153</v>
      </c>
      <c r="C47" s="8">
        <v>4.4600000000000001E-2</v>
      </c>
      <c r="D47" s="8">
        <v>0.32988357050452699</v>
      </c>
      <c r="E47" s="8">
        <v>0.40944372574385501</v>
      </c>
      <c r="F47" s="8">
        <v>0.167529107373868</v>
      </c>
      <c r="G47" s="8">
        <v>3.9456662354463101E-2</v>
      </c>
      <c r="H47" s="8">
        <v>9.0556274256144795E-3</v>
      </c>
      <c r="I47" s="8">
        <v>0.37448357050452702</v>
      </c>
      <c r="J47" s="8">
        <v>0.21604139715394499</v>
      </c>
      <c r="K47" s="8" t="str">
        <f>_xlfn.CONCAT(dll[[#This Row],[lob]], " ", dll[[#This Row],[valid_vintage]])</f>
        <v>STG 2023 Q4</v>
      </c>
    </row>
    <row r="48" spans="1:11" x14ac:dyDescent="0.35">
      <c r="A48" t="s">
        <v>166</v>
      </c>
      <c r="B48" t="s">
        <v>149</v>
      </c>
      <c r="C48" s="8">
        <v>3.3300000000000003E-2</v>
      </c>
      <c r="D48" s="8">
        <v>0.15757575757575701</v>
      </c>
      <c r="E48" s="8">
        <v>0.57575757575757502</v>
      </c>
      <c r="F48" s="8">
        <v>8.4848484848484798E-2</v>
      </c>
      <c r="G48" s="8">
        <v>0.13030303030303</v>
      </c>
      <c r="H48" s="8">
        <v>1.8181818181818101E-2</v>
      </c>
      <c r="I48" s="8">
        <v>0.190875757575757</v>
      </c>
      <c r="J48" s="8">
        <v>0.233333333333333</v>
      </c>
      <c r="K48" s="8" t="str">
        <f>_xlfn.CONCAT(dll[[#This Row],[lob]], " ", dll[[#This Row],[valid_vintage]])</f>
        <v>AN 2023 Q4</v>
      </c>
    </row>
    <row r="49" spans="1:11" x14ac:dyDescent="0.35">
      <c r="A49" t="s">
        <v>166</v>
      </c>
      <c r="B49" t="s">
        <v>151</v>
      </c>
      <c r="C49" s="8">
        <v>1.2699999999999999E-2</v>
      </c>
      <c r="D49" s="8">
        <v>0.14133016627078299</v>
      </c>
      <c r="E49" s="8">
        <v>0.76454869358669797</v>
      </c>
      <c r="F49" s="8">
        <v>5.4038004750593803E-2</v>
      </c>
      <c r="G49" s="8">
        <v>2.6425178147268399E-2</v>
      </c>
      <c r="H49" s="8">
        <v>8.9073634204274996E-4</v>
      </c>
      <c r="I49" s="8">
        <v>0.154030166270783</v>
      </c>
      <c r="J49" s="8">
        <v>8.1353919239904898E-2</v>
      </c>
      <c r="K49" s="8" t="str">
        <f>_xlfn.CONCAT(dll[[#This Row],[lob]], " ", dll[[#This Row],[valid_vintage]])</f>
        <v>FRN 2023 Q4</v>
      </c>
    </row>
    <row r="50" spans="1:11" x14ac:dyDescent="0.35">
      <c r="A50" t="s">
        <v>166</v>
      </c>
      <c r="B50" t="s">
        <v>155</v>
      </c>
      <c r="C50" s="8">
        <v>3.3700000000000001E-2</v>
      </c>
      <c r="D50" s="8">
        <v>0.179054054054054</v>
      </c>
      <c r="E50" s="8">
        <v>0.67229729729729704</v>
      </c>
      <c r="F50" s="8">
        <v>2.3648648648648601E-2</v>
      </c>
      <c r="G50" s="8">
        <v>5.7432432432432401E-2</v>
      </c>
      <c r="H50" s="8">
        <v>3.3783783783783702E-2</v>
      </c>
      <c r="I50" s="8">
        <v>0.21275405405405401</v>
      </c>
      <c r="J50" s="8">
        <v>0.114864864864864</v>
      </c>
      <c r="K50" s="8" t="str">
        <f>_xlfn.CONCAT(dll[[#This Row],[lob]], " ", dll[[#This Row],[valid_vintage]])</f>
        <v>FLD 2023 Q4</v>
      </c>
    </row>
    <row r="51" spans="1:11" x14ac:dyDescent="0.35">
      <c r="A51" t="s">
        <v>166</v>
      </c>
      <c r="B51" t="s">
        <v>122</v>
      </c>
      <c r="C51" s="8">
        <v>0</v>
      </c>
      <c r="D51" s="8">
        <v>0.21686746987951799</v>
      </c>
      <c r="E51" s="8">
        <v>0.54216867469879504</v>
      </c>
      <c r="F51" s="8">
        <v>0.22891566265060201</v>
      </c>
      <c r="G51" s="8">
        <v>1.20481927710843E-2</v>
      </c>
      <c r="H51" s="8">
        <v>0</v>
      </c>
      <c r="I51" s="8">
        <v>0.21686746987951799</v>
      </c>
      <c r="J51" s="8">
        <v>0.240963855421686</v>
      </c>
      <c r="K51" s="8" t="str">
        <f>_xlfn.CONCAT(dll[[#This Row],[lob]], " ", dll[[#This Row],[valid_vintage]])</f>
        <v>ENT 2023 Q4</v>
      </c>
    </row>
    <row r="52" spans="1:11" x14ac:dyDescent="0.35">
      <c r="A52" t="s">
        <v>152</v>
      </c>
      <c r="B52" t="s">
        <v>153</v>
      </c>
      <c r="C52" s="8">
        <v>4.4999999999999998E-2</v>
      </c>
      <c r="D52" s="8">
        <v>0.34595300261096601</v>
      </c>
      <c r="E52" s="8">
        <v>0.39033942558746698</v>
      </c>
      <c r="F52" s="8">
        <v>0.16514360313315901</v>
      </c>
      <c r="G52" s="8">
        <v>4.1775456919059997E-2</v>
      </c>
      <c r="H52" s="8">
        <v>1.17493472584856E-2</v>
      </c>
      <c r="I52" s="8">
        <v>0.39095300261096599</v>
      </c>
      <c r="J52" s="8">
        <v>0.218668407310704</v>
      </c>
      <c r="K52" s="8" t="str">
        <f>_xlfn.CONCAT(dll[[#This Row],[lob]], " ", dll[[#This Row],[valid_vintage]])</f>
        <v>STG 2023 Q3</v>
      </c>
    </row>
    <row r="53" spans="1:11" x14ac:dyDescent="0.35">
      <c r="A53" t="s">
        <v>152</v>
      </c>
      <c r="B53" t="s">
        <v>151</v>
      </c>
      <c r="C53" s="8">
        <v>1.38E-2</v>
      </c>
      <c r="D53" s="8">
        <v>0.15655454259666701</v>
      </c>
      <c r="E53" s="8">
        <v>0.75510845646023195</v>
      </c>
      <c r="F53" s="8">
        <v>4.0867651681861003E-2</v>
      </c>
      <c r="G53" s="8">
        <v>3.2694121345488797E-2</v>
      </c>
      <c r="H53" s="8">
        <v>9.4309965419679003E-4</v>
      </c>
      <c r="I53" s="8">
        <v>0.17035454259666699</v>
      </c>
      <c r="J53" s="8">
        <v>7.4504872681546597E-2</v>
      </c>
      <c r="K53" s="8" t="str">
        <f>_xlfn.CONCAT(dll[[#This Row],[lob]], " ", dll[[#This Row],[valid_vintage]])</f>
        <v>FRN 2023 Q3</v>
      </c>
    </row>
    <row r="54" spans="1:11" x14ac:dyDescent="0.35">
      <c r="A54" t="s">
        <v>152</v>
      </c>
      <c r="B54" t="s">
        <v>155</v>
      </c>
      <c r="C54" s="8">
        <v>1.35E-2</v>
      </c>
      <c r="D54" s="8">
        <v>0.2</v>
      </c>
      <c r="E54" s="8">
        <v>0.66101694915254205</v>
      </c>
      <c r="F54" s="8">
        <v>5.76271186440677E-2</v>
      </c>
      <c r="G54" s="8">
        <v>6.7796610169491497E-2</v>
      </c>
      <c r="H54" s="8">
        <v>0</v>
      </c>
      <c r="I54" s="8">
        <v>0.2135</v>
      </c>
      <c r="J54" s="8">
        <v>0.12542372881355901</v>
      </c>
      <c r="K54" s="8" t="str">
        <f>_xlfn.CONCAT(dll[[#This Row],[lob]], " ", dll[[#This Row],[valid_vintage]])</f>
        <v>FLD 2023 Q3</v>
      </c>
    </row>
    <row r="55" spans="1:11" x14ac:dyDescent="0.35">
      <c r="A55" t="s">
        <v>152</v>
      </c>
      <c r="B55" t="s">
        <v>149</v>
      </c>
      <c r="C55" s="8">
        <v>3.6499999999999998E-2</v>
      </c>
      <c r="D55" s="8">
        <v>0.20426829268292601</v>
      </c>
      <c r="E55" s="8">
        <v>0.50304878048780399</v>
      </c>
      <c r="F55" s="8">
        <v>0.14024390243902399</v>
      </c>
      <c r="G55" s="8">
        <v>9.7560975609756004E-2</v>
      </c>
      <c r="H55" s="8">
        <v>1.8292682926829201E-2</v>
      </c>
      <c r="I55" s="8">
        <v>0.24076829268292599</v>
      </c>
      <c r="J55" s="8">
        <v>0.25609756097560898</v>
      </c>
      <c r="K55" s="8" t="str">
        <f>_xlfn.CONCAT(dll[[#This Row],[lob]], " ", dll[[#This Row],[valid_vintage]])</f>
        <v>AN 2023 Q3</v>
      </c>
    </row>
    <row r="56" spans="1:11" x14ac:dyDescent="0.35">
      <c r="A56" t="s">
        <v>152</v>
      </c>
      <c r="B56" t="s">
        <v>122</v>
      </c>
      <c r="C56" s="8">
        <v>0</v>
      </c>
      <c r="D56" s="8">
        <v>0.18181818181818099</v>
      </c>
      <c r="E56" s="8">
        <v>0.50303030303030305</v>
      </c>
      <c r="F56" s="8">
        <v>0.28484848484848402</v>
      </c>
      <c r="G56" s="8">
        <v>3.03030303030303E-2</v>
      </c>
      <c r="H56" s="8">
        <v>0</v>
      </c>
      <c r="I56" s="8">
        <v>0.18181818181818099</v>
      </c>
      <c r="J56" s="8">
        <v>0.31515151515151502</v>
      </c>
      <c r="K56" s="8" t="str">
        <f>_xlfn.CONCAT(dll[[#This Row],[lob]], " ", dll[[#This Row],[valid_vintage]])</f>
        <v>ENT 2023 Q3</v>
      </c>
    </row>
    <row r="57" spans="1:11" x14ac:dyDescent="0.35">
      <c r="A57" t="s">
        <v>165</v>
      </c>
      <c r="B57" t="s">
        <v>153</v>
      </c>
      <c r="C57" s="8">
        <v>5.0700000000000002E-2</v>
      </c>
      <c r="D57" s="8">
        <v>0.32036914963744201</v>
      </c>
      <c r="E57" s="8">
        <v>0.39419907712590602</v>
      </c>
      <c r="F57" s="8">
        <v>0.173368490441661</v>
      </c>
      <c r="G57" s="8">
        <v>5.0758075148319003E-2</v>
      </c>
      <c r="H57" s="8">
        <v>1.0547132498351999E-2</v>
      </c>
      <c r="I57" s="8">
        <v>0.37106914963744198</v>
      </c>
      <c r="J57" s="8">
        <v>0.23467369808833199</v>
      </c>
      <c r="K57" s="8" t="str">
        <f>_xlfn.CONCAT(dll[[#This Row],[lob]], " ", dll[[#This Row],[valid_vintage]])</f>
        <v>STG 2023 Q2</v>
      </c>
    </row>
    <row r="58" spans="1:11" x14ac:dyDescent="0.35">
      <c r="A58" t="s">
        <v>165</v>
      </c>
      <c r="B58" t="s">
        <v>149</v>
      </c>
      <c r="C58" s="8">
        <v>4.6399999999999997E-2</v>
      </c>
      <c r="D58" s="8">
        <v>0.20743034055727499</v>
      </c>
      <c r="E58" s="8">
        <v>0.47987616099071201</v>
      </c>
      <c r="F58" s="8">
        <v>0.123839009287925</v>
      </c>
      <c r="G58" s="8">
        <v>0.142414860681114</v>
      </c>
      <c r="H58" s="8">
        <v>0</v>
      </c>
      <c r="I58" s="8">
        <v>0.25383034055727499</v>
      </c>
      <c r="J58" s="8">
        <v>0.26625386996903999</v>
      </c>
      <c r="K58" s="8" t="str">
        <f>_xlfn.CONCAT(dll[[#This Row],[lob]], " ", dll[[#This Row],[valid_vintage]])</f>
        <v>AN 2023 Q2</v>
      </c>
    </row>
    <row r="59" spans="1:11" x14ac:dyDescent="0.35">
      <c r="A59" t="s">
        <v>165</v>
      </c>
      <c r="B59" t="s">
        <v>151</v>
      </c>
      <c r="C59" s="8">
        <v>1.5900000000000001E-2</v>
      </c>
      <c r="D59" s="8">
        <v>0.18633117987079201</v>
      </c>
      <c r="E59" s="8">
        <v>0.72356341380482803</v>
      </c>
      <c r="F59" s="8">
        <v>5.0323019381162799E-2</v>
      </c>
      <c r="G59" s="8">
        <v>2.2781366882012901E-2</v>
      </c>
      <c r="H59" s="8">
        <v>1.02006120367222E-3</v>
      </c>
      <c r="I59" s="8">
        <v>0.202231179870792</v>
      </c>
      <c r="J59" s="8">
        <v>7.4124447466848001E-2</v>
      </c>
      <c r="K59" s="8" t="str">
        <f>_xlfn.CONCAT(dll[[#This Row],[lob]], " ", dll[[#This Row],[valid_vintage]])</f>
        <v>FRN 2023 Q2</v>
      </c>
    </row>
    <row r="60" spans="1:11" x14ac:dyDescent="0.35">
      <c r="A60" t="s">
        <v>165</v>
      </c>
      <c r="B60" t="s">
        <v>122</v>
      </c>
      <c r="C60" s="8">
        <v>0</v>
      </c>
      <c r="D60" s="8">
        <v>0.20496894409937799</v>
      </c>
      <c r="E60" s="8">
        <v>0.440993788819875</v>
      </c>
      <c r="F60" s="8">
        <v>0.28571428571428498</v>
      </c>
      <c r="G60" s="8">
        <v>6.8322981366459604E-2</v>
      </c>
      <c r="H60" s="8">
        <v>0</v>
      </c>
      <c r="I60" s="8">
        <v>0.20496894409937799</v>
      </c>
      <c r="J60" s="8">
        <v>0.35403726708074501</v>
      </c>
      <c r="K60" s="8" t="str">
        <f>_xlfn.CONCAT(dll[[#This Row],[lob]], " ", dll[[#This Row],[valid_vintage]])</f>
        <v>ENT 2023 Q2</v>
      </c>
    </row>
    <row r="61" spans="1:11" x14ac:dyDescent="0.35">
      <c r="A61" t="s">
        <v>165</v>
      </c>
      <c r="B61" t="s">
        <v>155</v>
      </c>
      <c r="C61" s="8">
        <v>2.0500000000000001E-2</v>
      </c>
      <c r="D61" s="8">
        <v>0.19520547945205399</v>
      </c>
      <c r="E61" s="8">
        <v>0.61643835616438303</v>
      </c>
      <c r="F61" s="8">
        <v>0.116438356164383</v>
      </c>
      <c r="G61" s="8">
        <v>5.13698630136986E-2</v>
      </c>
      <c r="H61" s="8">
        <v>0</v>
      </c>
      <c r="I61" s="8">
        <v>0.21570547945205401</v>
      </c>
      <c r="J61" s="8">
        <v>0.167808219178082</v>
      </c>
      <c r="K61" s="8" t="str">
        <f>_xlfn.CONCAT(dll[[#This Row],[lob]], " ", dll[[#This Row],[valid_vintage]])</f>
        <v>FLD 2023 Q2</v>
      </c>
    </row>
    <row r="62" spans="1:11" x14ac:dyDescent="0.35">
      <c r="A62" t="s">
        <v>172</v>
      </c>
      <c r="B62" t="s">
        <v>151</v>
      </c>
      <c r="C62" s="8">
        <v>2.0400000000000001E-2</v>
      </c>
      <c r="D62" s="8">
        <v>0.16808905380333899</v>
      </c>
      <c r="E62" s="8">
        <v>0.73877551020408105</v>
      </c>
      <c r="F62" s="8">
        <v>4.1929499072356199E-2</v>
      </c>
      <c r="G62" s="8">
        <v>2.9684601113172501E-2</v>
      </c>
      <c r="H62" s="8">
        <v>1.1131725417439699E-3</v>
      </c>
      <c r="I62" s="8">
        <v>0.188489053803339</v>
      </c>
      <c r="J62" s="8">
        <v>7.2727272727272696E-2</v>
      </c>
      <c r="K62" s="8" t="str">
        <f>_xlfn.CONCAT(dll[[#This Row],[lob]], " ", dll[[#This Row],[valid_vintage]])</f>
        <v>FRN 2023 Q1</v>
      </c>
    </row>
    <row r="63" spans="1:11" x14ac:dyDescent="0.35">
      <c r="A63" t="s">
        <v>172</v>
      </c>
      <c r="B63" t="s">
        <v>122</v>
      </c>
      <c r="C63" s="8">
        <v>0</v>
      </c>
      <c r="D63" s="8">
        <v>0.16875000000000001</v>
      </c>
      <c r="E63" s="8">
        <v>0.45624999999999999</v>
      </c>
      <c r="F63" s="8">
        <v>0.3125</v>
      </c>
      <c r="G63" s="8">
        <v>6.25E-2</v>
      </c>
      <c r="H63" s="8">
        <v>0</v>
      </c>
      <c r="I63" s="8">
        <v>0.16875000000000001</v>
      </c>
      <c r="J63" s="8">
        <v>0.375</v>
      </c>
      <c r="K63" s="8" t="str">
        <f>_xlfn.CONCAT(dll[[#This Row],[lob]], " ", dll[[#This Row],[valid_vintage]])</f>
        <v>ENT 2023 Q1</v>
      </c>
    </row>
    <row r="64" spans="1:11" x14ac:dyDescent="0.35">
      <c r="A64" t="s">
        <v>172</v>
      </c>
      <c r="B64" t="s">
        <v>153</v>
      </c>
      <c r="C64" s="8">
        <v>6.3500000000000001E-2</v>
      </c>
      <c r="D64" s="8">
        <v>0.34916387959866202</v>
      </c>
      <c r="E64" s="8">
        <v>0.356521739130434</v>
      </c>
      <c r="F64" s="8">
        <v>0.16923076923076899</v>
      </c>
      <c r="G64" s="8">
        <v>5.2173913043478203E-2</v>
      </c>
      <c r="H64" s="8">
        <v>9.36454849498327E-3</v>
      </c>
      <c r="I64" s="8">
        <v>0.41266387959866202</v>
      </c>
      <c r="J64" s="8">
        <v>0.23076923076923</v>
      </c>
      <c r="K64" s="8" t="str">
        <f>_xlfn.CONCAT(dll[[#This Row],[lob]], " ", dll[[#This Row],[valid_vintage]])</f>
        <v>STG 2023 Q1</v>
      </c>
    </row>
    <row r="65" spans="1:11" x14ac:dyDescent="0.35">
      <c r="A65" t="s">
        <v>172</v>
      </c>
      <c r="B65" t="s">
        <v>149</v>
      </c>
      <c r="C65" s="8">
        <v>6.8500000000000005E-2</v>
      </c>
      <c r="D65" s="8">
        <v>0.18068535825545101</v>
      </c>
      <c r="E65" s="8">
        <v>0.52959501557632305</v>
      </c>
      <c r="F65" s="8">
        <v>9.9688473520249204E-2</v>
      </c>
      <c r="G65" s="8">
        <v>0.11526479750778799</v>
      </c>
      <c r="H65" s="8">
        <v>6.2305295950155701E-3</v>
      </c>
      <c r="I65" s="8">
        <v>0.24918535825545099</v>
      </c>
      <c r="J65" s="8">
        <v>0.22118380062305201</v>
      </c>
      <c r="K65" s="8" t="str">
        <f>_xlfn.CONCAT(dll[[#This Row],[lob]], " ", dll[[#This Row],[valid_vintage]])</f>
        <v>AN 2023 Q1</v>
      </c>
    </row>
    <row r="66" spans="1:11" x14ac:dyDescent="0.35">
      <c r="A66" t="s">
        <v>172</v>
      </c>
      <c r="B66" t="s">
        <v>155</v>
      </c>
      <c r="C66" s="8">
        <v>4.4900000000000002E-2</v>
      </c>
      <c r="D66" s="8">
        <v>0.19723183391003399</v>
      </c>
      <c r="E66" s="8">
        <v>0.58477508650518994</v>
      </c>
      <c r="F66" s="8">
        <v>0.10726643598615899</v>
      </c>
      <c r="G66" s="8">
        <v>5.8823529411764698E-2</v>
      </c>
      <c r="H66" s="8">
        <v>6.9204152249134898E-3</v>
      </c>
      <c r="I66" s="8">
        <v>0.24213183391003401</v>
      </c>
      <c r="J66" s="8">
        <v>0.173010380622837</v>
      </c>
      <c r="K66" s="8" t="str">
        <f>_xlfn.CONCAT(dll[[#This Row],[lob]], " ", dll[[#This Row],[valid_vintage]])</f>
        <v>FLD 2023 Q1</v>
      </c>
    </row>
    <row r="67" spans="1:11" x14ac:dyDescent="0.35">
      <c r="A67" t="s">
        <v>176</v>
      </c>
      <c r="B67" t="s">
        <v>153</v>
      </c>
      <c r="C67" s="8">
        <v>7.2800000000000004E-2</v>
      </c>
      <c r="D67" s="8">
        <v>0.372892784895482</v>
      </c>
      <c r="E67" s="8">
        <v>0.31827376938637802</v>
      </c>
      <c r="F67" s="8">
        <v>0.18341200269723501</v>
      </c>
      <c r="G67" s="8">
        <v>4.3830074173971598E-2</v>
      </c>
      <c r="H67" s="8">
        <v>8.7660148347943299E-3</v>
      </c>
      <c r="I67" s="8">
        <v>0.44569278489548197</v>
      </c>
      <c r="J67" s="8">
        <v>0.23600809170600101</v>
      </c>
      <c r="K67" s="8" t="str">
        <f>_xlfn.CONCAT(dll[[#This Row],[lob]], " ", dll[[#This Row],[valid_vintage]])</f>
        <v>STG 2022 Q4</v>
      </c>
    </row>
    <row r="68" spans="1:11" x14ac:dyDescent="0.35">
      <c r="A68" t="s">
        <v>176</v>
      </c>
      <c r="B68" t="s">
        <v>155</v>
      </c>
      <c r="C68" s="8">
        <v>5.6099999999999997E-2</v>
      </c>
      <c r="D68" s="8">
        <v>0.18947368421052599</v>
      </c>
      <c r="E68" s="8">
        <v>0.64561403508771897</v>
      </c>
      <c r="F68" s="8">
        <v>4.5614035087719197E-2</v>
      </c>
      <c r="G68" s="8">
        <v>4.9122807017543797E-2</v>
      </c>
      <c r="H68" s="8">
        <v>1.4035087719298201E-2</v>
      </c>
      <c r="I68" s="8">
        <v>0.245573684210526</v>
      </c>
      <c r="J68" s="8">
        <v>0.10877192982456101</v>
      </c>
      <c r="K68" s="8" t="str">
        <f>_xlfn.CONCAT(dll[[#This Row],[lob]], " ", dll[[#This Row],[valid_vintage]])</f>
        <v>FLD 2022 Q4</v>
      </c>
    </row>
    <row r="69" spans="1:11" x14ac:dyDescent="0.35">
      <c r="A69" t="s">
        <v>176</v>
      </c>
      <c r="B69" t="s">
        <v>151</v>
      </c>
      <c r="C69" s="8">
        <v>2.24E-2</v>
      </c>
      <c r="D69" s="8">
        <v>0.174979558462796</v>
      </c>
      <c r="E69" s="8">
        <v>0.71913327882256695</v>
      </c>
      <c r="F69" s="8">
        <v>4.9877350776778399E-2</v>
      </c>
      <c r="G69" s="8">
        <v>3.2297628781684302E-2</v>
      </c>
      <c r="H69" s="8">
        <v>1.2264922322158601E-3</v>
      </c>
      <c r="I69" s="8">
        <v>0.19737955846279601</v>
      </c>
      <c r="J69" s="8">
        <v>8.3401471790678597E-2</v>
      </c>
      <c r="K69" s="8" t="str">
        <f>_xlfn.CONCAT(dll[[#This Row],[lob]], " ", dll[[#This Row],[valid_vintage]])</f>
        <v>FRN 2022 Q4</v>
      </c>
    </row>
    <row r="70" spans="1:11" x14ac:dyDescent="0.35">
      <c r="A70" t="s">
        <v>176</v>
      </c>
      <c r="B70" t="s">
        <v>149</v>
      </c>
      <c r="C70" s="8">
        <v>6.6199999999999995E-2</v>
      </c>
      <c r="D70" s="8">
        <v>0.19558359621451099</v>
      </c>
      <c r="E70" s="8">
        <v>0.49842271293375301</v>
      </c>
      <c r="F70" s="8">
        <v>0.21766561514195501</v>
      </c>
      <c r="G70" s="8">
        <v>1.5772870662460501E-2</v>
      </c>
      <c r="H70" s="8">
        <v>6.30914826498422E-3</v>
      </c>
      <c r="I70" s="8">
        <v>0.26178359621451103</v>
      </c>
      <c r="J70" s="8">
        <v>0.2397476340694</v>
      </c>
      <c r="K70" s="8" t="str">
        <f>_xlfn.CONCAT(dll[[#This Row],[lob]], " ", dll[[#This Row],[valid_vintage]])</f>
        <v>AN 2022 Q4</v>
      </c>
    </row>
    <row r="71" spans="1:11" x14ac:dyDescent="0.35">
      <c r="A71" t="s">
        <v>176</v>
      </c>
      <c r="B71" t="s">
        <v>122</v>
      </c>
      <c r="C71" s="8">
        <v>0</v>
      </c>
      <c r="D71" s="8">
        <v>0.22292993630573199</v>
      </c>
      <c r="E71" s="8">
        <v>0.49044585987261102</v>
      </c>
      <c r="F71" s="8">
        <v>0.26751592356687798</v>
      </c>
      <c r="G71" s="8">
        <v>1.9108280254777E-2</v>
      </c>
      <c r="H71" s="8">
        <v>0</v>
      </c>
      <c r="I71" s="8">
        <v>0.22292993630573199</v>
      </c>
      <c r="J71" s="8">
        <v>0.28662420382165599</v>
      </c>
      <c r="K71" s="8" t="str">
        <f>_xlfn.CONCAT(dll[[#This Row],[lob]], " ", dll[[#This Row],[valid_vintage]])</f>
        <v>ENT 2022 Q4</v>
      </c>
    </row>
    <row r="72" spans="1:11" x14ac:dyDescent="0.35">
      <c r="A72" t="s">
        <v>162</v>
      </c>
      <c r="B72" t="s">
        <v>155</v>
      </c>
      <c r="C72" s="8">
        <v>5.6300000000000003E-2</v>
      </c>
      <c r="D72" s="8">
        <v>0.17957746478873199</v>
      </c>
      <c r="E72" s="8">
        <v>0.63732394366197098</v>
      </c>
      <c r="F72" s="8">
        <v>5.2816901408450703E-2</v>
      </c>
      <c r="G72" s="8">
        <v>6.3380281690140802E-2</v>
      </c>
      <c r="H72" s="8">
        <v>1.0563380281690101E-2</v>
      </c>
      <c r="I72" s="8">
        <v>0.23587746478873201</v>
      </c>
      <c r="J72" s="8">
        <v>0.12676056338028099</v>
      </c>
      <c r="K72" s="8" t="str">
        <f>_xlfn.CONCAT(dll[[#This Row],[lob]], " ", dll[[#This Row],[valid_vintage]])</f>
        <v>FLD 2022 Q3</v>
      </c>
    </row>
    <row r="73" spans="1:11" x14ac:dyDescent="0.35">
      <c r="A73" t="s">
        <v>162</v>
      </c>
      <c r="B73" t="s">
        <v>149</v>
      </c>
      <c r="C73" s="8">
        <v>2.23E-2</v>
      </c>
      <c r="D73" s="8">
        <v>0.34504792332268303</v>
      </c>
      <c r="E73" s="8">
        <v>0.40255591054313</v>
      </c>
      <c r="F73" s="8">
        <v>0.21725239616613401</v>
      </c>
      <c r="G73" s="8">
        <v>6.3897763578274697E-3</v>
      </c>
      <c r="H73" s="8">
        <v>6.3897763578274697E-3</v>
      </c>
      <c r="I73" s="8">
        <v>0.36734792332268301</v>
      </c>
      <c r="J73" s="8">
        <v>0.23003194888178899</v>
      </c>
      <c r="K73" s="8" t="str">
        <f>_xlfn.CONCAT(dll[[#This Row],[lob]], " ", dll[[#This Row],[valid_vintage]])</f>
        <v>AN 2022 Q3</v>
      </c>
    </row>
    <row r="74" spans="1:11" x14ac:dyDescent="0.35">
      <c r="A74" t="s">
        <v>162</v>
      </c>
      <c r="B74" t="s">
        <v>151</v>
      </c>
      <c r="C74" s="8">
        <v>2.5399999999999999E-2</v>
      </c>
      <c r="D74" s="8">
        <v>0.19490781387181699</v>
      </c>
      <c r="E74" s="8">
        <v>0.69622475856013999</v>
      </c>
      <c r="F74" s="8">
        <v>4.4776119402985003E-2</v>
      </c>
      <c r="G74" s="8">
        <v>3.5118525021949003E-2</v>
      </c>
      <c r="H74" s="8">
        <v>3.5118525021949E-3</v>
      </c>
      <c r="I74" s="8">
        <v>0.220307813871817</v>
      </c>
      <c r="J74" s="8">
        <v>8.3406496927128995E-2</v>
      </c>
      <c r="K74" s="8" t="str">
        <f>_xlfn.CONCAT(dll[[#This Row],[lob]], " ", dll[[#This Row],[valid_vintage]])</f>
        <v>FRN 2022 Q3</v>
      </c>
    </row>
    <row r="75" spans="1:11" x14ac:dyDescent="0.35">
      <c r="A75" t="s">
        <v>162</v>
      </c>
      <c r="B75" t="s">
        <v>122</v>
      </c>
      <c r="C75" s="8">
        <v>0</v>
      </c>
      <c r="D75" s="8">
        <v>0.243589743589743</v>
      </c>
      <c r="E75" s="8">
        <v>0.47435897435897401</v>
      </c>
      <c r="F75" s="8">
        <v>0.21794871794871701</v>
      </c>
      <c r="G75" s="8">
        <v>6.4102564102564097E-2</v>
      </c>
      <c r="H75" s="8">
        <v>0</v>
      </c>
      <c r="I75" s="8">
        <v>0.243589743589743</v>
      </c>
      <c r="J75" s="8">
        <v>0.28205128205128199</v>
      </c>
      <c r="K75" s="8" t="str">
        <f>_xlfn.CONCAT(dll[[#This Row],[lob]], " ", dll[[#This Row],[valid_vintage]])</f>
        <v>ENT 2022 Q3</v>
      </c>
    </row>
    <row r="76" spans="1:11" x14ac:dyDescent="0.35">
      <c r="A76" t="s">
        <v>162</v>
      </c>
      <c r="B76" t="s">
        <v>153</v>
      </c>
      <c r="C76" s="8">
        <v>6.3399999999999998E-2</v>
      </c>
      <c r="D76" s="8">
        <v>0.37241379310344802</v>
      </c>
      <c r="E76" s="8">
        <v>0.31517241379310301</v>
      </c>
      <c r="F76" s="8">
        <v>8.8275862068965497E-2</v>
      </c>
      <c r="G76" s="8">
        <v>0.15034482758620599</v>
      </c>
      <c r="H76" s="8">
        <v>1.0344827586206799E-2</v>
      </c>
      <c r="I76" s="8">
        <v>0.43581379310344798</v>
      </c>
      <c r="J76" s="8">
        <v>0.248965517241379</v>
      </c>
      <c r="K76" s="8" t="str">
        <f>_xlfn.CONCAT(dll[[#This Row],[lob]], " ", dll[[#This Row],[valid_vintage]])</f>
        <v>STG 2022 Q3</v>
      </c>
    </row>
    <row r="77" spans="1:11" x14ac:dyDescent="0.35">
      <c r="A77" t="s">
        <v>164</v>
      </c>
      <c r="B77" t="s">
        <v>153</v>
      </c>
      <c r="C77" s="8">
        <v>5.33E-2</v>
      </c>
      <c r="D77" s="8">
        <v>0.35884831460674099</v>
      </c>
      <c r="E77" s="8">
        <v>0.34339887640449401</v>
      </c>
      <c r="F77" s="8">
        <v>9.2696629213483095E-2</v>
      </c>
      <c r="G77" s="8">
        <v>0.14185393258426901</v>
      </c>
      <c r="H77" s="8">
        <v>9.8314606741572996E-3</v>
      </c>
      <c r="I77" s="8">
        <v>0.41214831460674101</v>
      </c>
      <c r="J77" s="8">
        <v>0.24438202247190999</v>
      </c>
      <c r="K77" s="8" t="str">
        <f>_xlfn.CONCAT(dll[[#This Row],[lob]], " ", dll[[#This Row],[valid_vintage]])</f>
        <v>STG 2022 Q2</v>
      </c>
    </row>
    <row r="78" spans="1:11" x14ac:dyDescent="0.35">
      <c r="A78" t="s">
        <v>164</v>
      </c>
      <c r="B78" t="s">
        <v>151</v>
      </c>
      <c r="C78" s="8">
        <v>3.7400000000000003E-2</v>
      </c>
      <c r="D78" s="8">
        <v>0.191734742912061</v>
      </c>
      <c r="E78" s="8">
        <v>0.68140317155213803</v>
      </c>
      <c r="F78" s="8">
        <v>5.2378664103796199E-2</v>
      </c>
      <c r="G78" s="8">
        <v>3.4118212397885601E-2</v>
      </c>
      <c r="H78" s="8">
        <v>2.8832292167227198E-3</v>
      </c>
      <c r="I78" s="8">
        <v>0.22913474291206101</v>
      </c>
      <c r="J78" s="8">
        <v>8.9380105718404601E-2</v>
      </c>
      <c r="K78" s="8" t="str">
        <f>_xlfn.CONCAT(dll[[#This Row],[lob]], " ", dll[[#This Row],[valid_vintage]])</f>
        <v>FRN 2022 Q2</v>
      </c>
    </row>
    <row r="79" spans="1:11" x14ac:dyDescent="0.35">
      <c r="A79" t="s">
        <v>164</v>
      </c>
      <c r="B79" t="s">
        <v>155</v>
      </c>
      <c r="C79" s="8">
        <v>6.8500000000000005E-2</v>
      </c>
      <c r="D79" s="8">
        <v>0.20938628158844699</v>
      </c>
      <c r="E79" s="8">
        <v>0.61010830324909704</v>
      </c>
      <c r="F79" s="8">
        <v>6.1371841155234599E-2</v>
      </c>
      <c r="G79" s="8">
        <v>4.3321299638989098E-2</v>
      </c>
      <c r="H79" s="8">
        <v>7.22021660649819E-3</v>
      </c>
      <c r="I79" s="8">
        <v>0.27788628158844703</v>
      </c>
      <c r="J79" s="8">
        <v>0.111913357400722</v>
      </c>
      <c r="K79" s="8" t="str">
        <f>_xlfn.CONCAT(dll[[#This Row],[lob]], " ", dll[[#This Row],[valid_vintage]])</f>
        <v>FLD 2022 Q2</v>
      </c>
    </row>
    <row r="80" spans="1:11" x14ac:dyDescent="0.35">
      <c r="A80" t="s">
        <v>164</v>
      </c>
      <c r="B80" t="s">
        <v>149</v>
      </c>
      <c r="C80" s="8">
        <v>4.1799999999999997E-2</v>
      </c>
      <c r="D80" s="8">
        <v>0.35048231511254002</v>
      </c>
      <c r="E80" s="8">
        <v>0.41479099678456499</v>
      </c>
      <c r="F80" s="8">
        <v>0.16398713826366501</v>
      </c>
      <c r="G80" s="8">
        <v>2.2508038585209E-2</v>
      </c>
      <c r="H80" s="8">
        <v>6.4308681672025697E-3</v>
      </c>
      <c r="I80" s="8">
        <v>0.39228231511254003</v>
      </c>
      <c r="J80" s="8">
        <v>0.19292604501607699</v>
      </c>
      <c r="K80" s="8" t="str">
        <f>_xlfn.CONCAT(dll[[#This Row],[lob]], " ", dll[[#This Row],[valid_vintage]])</f>
        <v>AN 2022 Q2</v>
      </c>
    </row>
    <row r="81" spans="1:11" x14ac:dyDescent="0.35">
      <c r="A81" t="s">
        <v>164</v>
      </c>
      <c r="B81" t="s">
        <v>122</v>
      </c>
      <c r="C81" s="8">
        <v>0</v>
      </c>
      <c r="D81" s="8">
        <v>0.21935483870967701</v>
      </c>
      <c r="E81" s="8">
        <v>0.47741935483870901</v>
      </c>
      <c r="F81" s="8">
        <v>0.23225806451612899</v>
      </c>
      <c r="G81" s="8">
        <v>7.0967741935483802E-2</v>
      </c>
      <c r="H81" s="8">
        <v>0</v>
      </c>
      <c r="I81" s="8">
        <v>0.21935483870967701</v>
      </c>
      <c r="J81" s="8">
        <v>0.30322580645161201</v>
      </c>
      <c r="K81" s="8" t="str">
        <f>_xlfn.CONCAT(dll[[#This Row],[lob]], " ", dll[[#This Row],[valid_vintage]])</f>
        <v>ENT 2022 Q2</v>
      </c>
    </row>
    <row r="82" spans="1:11" x14ac:dyDescent="0.35">
      <c r="A82" t="s">
        <v>178</v>
      </c>
      <c r="B82" t="s">
        <v>153</v>
      </c>
      <c r="C82" s="8">
        <v>4.7199999999999999E-2</v>
      </c>
      <c r="D82" s="8">
        <v>0.39012168933428698</v>
      </c>
      <c r="E82" s="8">
        <v>0.30064423765211101</v>
      </c>
      <c r="F82" s="8">
        <v>9.6635647816750103E-2</v>
      </c>
      <c r="G82" s="8">
        <v>0.15533285612025699</v>
      </c>
      <c r="H82" s="8">
        <v>1.00214745884037E-2</v>
      </c>
      <c r="I82" s="8">
        <v>0.437321689334287</v>
      </c>
      <c r="J82" s="8">
        <v>0.261989978525411</v>
      </c>
      <c r="K82" s="8" t="str">
        <f>_xlfn.CONCAT(dll[[#This Row],[lob]], " ", dll[[#This Row],[valid_vintage]])</f>
        <v>STG 2022 Q1</v>
      </c>
    </row>
    <row r="83" spans="1:11" x14ac:dyDescent="0.35">
      <c r="A83" t="s">
        <v>178</v>
      </c>
      <c r="B83" t="s">
        <v>155</v>
      </c>
      <c r="C83" s="8">
        <v>8.2699999999999996E-2</v>
      </c>
      <c r="D83" s="8">
        <v>0.19548872180451099</v>
      </c>
      <c r="E83" s="8">
        <v>0.28947368421052599</v>
      </c>
      <c r="F83" s="8">
        <v>0.278195488721804</v>
      </c>
      <c r="G83" s="8">
        <v>0.14661654135338301</v>
      </c>
      <c r="H83" s="8">
        <v>7.5187969924812E-3</v>
      </c>
      <c r="I83" s="8">
        <v>0.27818872180451099</v>
      </c>
      <c r="J83" s="8">
        <v>0.43233082706766901</v>
      </c>
      <c r="K83" s="8" t="str">
        <f>_xlfn.CONCAT(dll[[#This Row],[lob]], " ", dll[[#This Row],[valid_vintage]])</f>
        <v>FLD 2022 Q1</v>
      </c>
    </row>
    <row r="84" spans="1:11" x14ac:dyDescent="0.35">
      <c r="A84" t="s">
        <v>178</v>
      </c>
      <c r="B84" t="s">
        <v>149</v>
      </c>
      <c r="C84" s="8">
        <v>7.0699999999999999E-2</v>
      </c>
      <c r="D84" s="8">
        <v>0.33762057877813501</v>
      </c>
      <c r="E84" s="8">
        <v>0.43729903536977399</v>
      </c>
      <c r="F84" s="8">
        <v>0.11575562700964601</v>
      </c>
      <c r="G84" s="8">
        <v>3.8585209003215402E-2</v>
      </c>
      <c r="H84" s="8">
        <v>0</v>
      </c>
      <c r="I84" s="8">
        <v>0.40832057877813499</v>
      </c>
      <c r="J84" s="8">
        <v>0.154340836012861</v>
      </c>
      <c r="K84" s="8" t="str">
        <f>_xlfn.CONCAT(dll[[#This Row],[lob]], " ", dll[[#This Row],[valid_vintage]])</f>
        <v>AN 2022 Q1</v>
      </c>
    </row>
    <row r="85" spans="1:11" x14ac:dyDescent="0.35">
      <c r="A85" t="s">
        <v>178</v>
      </c>
      <c r="B85" t="s">
        <v>151</v>
      </c>
      <c r="C85" s="8">
        <v>2.9600000000000001E-2</v>
      </c>
      <c r="D85" s="8">
        <v>0.20156250000000001</v>
      </c>
      <c r="E85" s="8">
        <v>0.671875</v>
      </c>
      <c r="F85" s="8">
        <v>4.3749999999999997E-2</v>
      </c>
      <c r="G85" s="8">
        <v>5.1562499999999997E-2</v>
      </c>
      <c r="H85" s="8">
        <v>1.5625000000000001E-3</v>
      </c>
      <c r="I85" s="8">
        <v>0.23116249999999999</v>
      </c>
      <c r="J85" s="8">
        <v>9.6875000000000003E-2</v>
      </c>
      <c r="K85" s="8" t="str">
        <f>_xlfn.CONCAT(dll[[#This Row],[lob]], " ", dll[[#This Row],[valid_vintage]])</f>
        <v>FRN 2022 Q1</v>
      </c>
    </row>
    <row r="86" spans="1:11" x14ac:dyDescent="0.35">
      <c r="A86" t="s">
        <v>178</v>
      </c>
      <c r="B86" t="s">
        <v>122</v>
      </c>
      <c r="C86" s="8">
        <v>0</v>
      </c>
      <c r="D86" s="8">
        <v>0.30322580645161201</v>
      </c>
      <c r="E86" s="8">
        <v>0.41935483870967699</v>
      </c>
      <c r="F86" s="8">
        <v>0.225806451612903</v>
      </c>
      <c r="G86" s="8">
        <v>5.1612903225806403E-2</v>
      </c>
      <c r="H86" s="8">
        <v>0</v>
      </c>
      <c r="I86" s="8">
        <v>0.30322580645161201</v>
      </c>
      <c r="J86" s="8">
        <v>0.277419354838709</v>
      </c>
      <c r="K86" s="8" t="str">
        <f>_xlfn.CONCAT(dll[[#This Row],[lob]], " ", dll[[#This Row],[valid_vintage]])</f>
        <v>ENT 2022 Q1</v>
      </c>
    </row>
    <row r="87" spans="1:11" x14ac:dyDescent="0.35">
      <c r="A87" t="s">
        <v>168</v>
      </c>
      <c r="B87" t="s">
        <v>153</v>
      </c>
      <c r="C87" s="8">
        <v>5.5300000000000002E-2</v>
      </c>
      <c r="D87" s="8">
        <v>0.33807030665669402</v>
      </c>
      <c r="E87" s="8">
        <v>0.333582647718773</v>
      </c>
      <c r="F87" s="8">
        <v>0.112939416604338</v>
      </c>
      <c r="G87" s="8">
        <v>0.15258040388930399</v>
      </c>
      <c r="H87" s="8">
        <v>7.4794315632011896E-3</v>
      </c>
      <c r="I87" s="8">
        <v>0.39337030665669398</v>
      </c>
      <c r="J87" s="8">
        <v>0.272999252056843</v>
      </c>
      <c r="K87" s="8" t="str">
        <f>_xlfn.CONCAT(dll[[#This Row],[lob]], " ", dll[[#This Row],[valid_vintage]])</f>
        <v>STG 2021 Q4</v>
      </c>
    </row>
    <row r="88" spans="1:11" x14ac:dyDescent="0.35">
      <c r="A88" t="s">
        <v>168</v>
      </c>
      <c r="B88" t="s">
        <v>149</v>
      </c>
      <c r="C88" s="8">
        <v>9.4700000000000006E-2</v>
      </c>
      <c r="D88" s="8">
        <v>0.27777777777777701</v>
      </c>
      <c r="E88" s="8">
        <v>0.46405228758169897</v>
      </c>
      <c r="F88" s="8">
        <v>0.12745098039215599</v>
      </c>
      <c r="G88" s="8">
        <v>9.8039215686274508E-3</v>
      </c>
      <c r="H88" s="8">
        <v>2.61437908496732E-2</v>
      </c>
      <c r="I88" s="8">
        <v>0.37247777777777702</v>
      </c>
      <c r="J88" s="8">
        <v>0.16339869281045699</v>
      </c>
      <c r="K88" s="8" t="str">
        <f>_xlfn.CONCAT(dll[[#This Row],[lob]], " ", dll[[#This Row],[valid_vintage]])</f>
        <v>AN 2021 Q4</v>
      </c>
    </row>
    <row r="89" spans="1:11" x14ac:dyDescent="0.35">
      <c r="A89" t="s">
        <v>168</v>
      </c>
      <c r="B89" t="s">
        <v>155</v>
      </c>
      <c r="C89" s="8">
        <v>8.6599999999999996E-2</v>
      </c>
      <c r="D89" s="8">
        <v>0.232283464566929</v>
      </c>
      <c r="E89" s="8">
        <v>0.24015748031496001</v>
      </c>
      <c r="F89" s="8">
        <v>3.5433070866141697E-2</v>
      </c>
      <c r="G89" s="8">
        <v>0.39763779527559001</v>
      </c>
      <c r="H89" s="8">
        <v>7.8740157480314907E-3</v>
      </c>
      <c r="I89" s="8">
        <v>0.31888346456692901</v>
      </c>
      <c r="J89" s="8">
        <v>0.440944881889763</v>
      </c>
      <c r="K89" s="8" t="str">
        <f>_xlfn.CONCAT(dll[[#This Row],[lob]], " ", dll[[#This Row],[valid_vintage]])</f>
        <v>FLD 2021 Q4</v>
      </c>
    </row>
    <row r="90" spans="1:11" x14ac:dyDescent="0.35">
      <c r="A90" t="s">
        <v>168</v>
      </c>
      <c r="B90" t="s">
        <v>122</v>
      </c>
      <c r="C90" s="8">
        <v>0</v>
      </c>
      <c r="D90" s="8">
        <v>0.253246753246753</v>
      </c>
      <c r="E90" s="8">
        <v>0.493506493506493</v>
      </c>
      <c r="F90" s="8">
        <v>0.18181818181818099</v>
      </c>
      <c r="G90" s="8">
        <v>7.1428571428571397E-2</v>
      </c>
      <c r="H90" s="8">
        <v>0</v>
      </c>
      <c r="I90" s="8">
        <v>0.253246753246753</v>
      </c>
      <c r="J90" s="8">
        <v>0.253246753246753</v>
      </c>
      <c r="K90" s="8" t="str">
        <f>_xlfn.CONCAT(dll[[#This Row],[lob]], " ", dll[[#This Row],[valid_vintage]])</f>
        <v>ENT 2021 Q4</v>
      </c>
    </row>
    <row r="91" spans="1:11" x14ac:dyDescent="0.35">
      <c r="A91" t="s">
        <v>168</v>
      </c>
      <c r="B91" t="s">
        <v>151</v>
      </c>
      <c r="C91" s="8">
        <v>2.8299999999999999E-2</v>
      </c>
      <c r="D91" s="8">
        <v>0.18040089086859601</v>
      </c>
      <c r="E91" s="8">
        <v>0.71436525612472102</v>
      </c>
      <c r="F91" s="8">
        <v>3.5634743875278298E-2</v>
      </c>
      <c r="G91" s="8">
        <v>4.0089086859688101E-2</v>
      </c>
      <c r="H91" s="8">
        <v>1.1135857461024401E-3</v>
      </c>
      <c r="I91" s="8">
        <v>0.208700890868596</v>
      </c>
      <c r="J91" s="8">
        <v>7.6837416481068996E-2</v>
      </c>
      <c r="K91" s="8" t="str">
        <f>_xlfn.CONCAT(dll[[#This Row],[lob]], " ", dll[[#This Row],[valid_vintage]])</f>
        <v>FRN 2021 Q4</v>
      </c>
    </row>
    <row r="92" spans="1:11" x14ac:dyDescent="0.35">
      <c r="A92" t="s">
        <v>175</v>
      </c>
      <c r="B92" t="s">
        <v>155</v>
      </c>
      <c r="C92" s="8">
        <v>9.74E-2</v>
      </c>
      <c r="D92" s="8">
        <v>0.15677966101694901</v>
      </c>
      <c r="E92" s="8">
        <v>0.29237288135593198</v>
      </c>
      <c r="F92" s="8">
        <v>3.38983050847457E-2</v>
      </c>
      <c r="G92" s="8">
        <v>0.40677966101694901</v>
      </c>
      <c r="H92" s="8">
        <v>1.2711864406779599E-2</v>
      </c>
      <c r="I92" s="8">
        <v>0.254179661016949</v>
      </c>
      <c r="J92" s="8">
        <v>0.45338983050847398</v>
      </c>
      <c r="K92" s="8" t="str">
        <f>_xlfn.CONCAT(dll[[#This Row],[lob]], " ", dll[[#This Row],[valid_vintage]])</f>
        <v>FLD 2021 Q3</v>
      </c>
    </row>
    <row r="93" spans="1:11" x14ac:dyDescent="0.35">
      <c r="A93" t="s">
        <v>175</v>
      </c>
      <c r="B93" t="s">
        <v>151</v>
      </c>
      <c r="C93" s="8">
        <v>1.7999999999999999E-2</v>
      </c>
      <c r="D93" s="8">
        <v>0.17315514235909299</v>
      </c>
      <c r="E93" s="8">
        <v>0.74840209180708805</v>
      </c>
      <c r="F93" s="8">
        <v>3.6025566531086503E-2</v>
      </c>
      <c r="G93" s="8">
        <v>2.4404416037187598E-2</v>
      </c>
      <c r="H93" s="8">
        <v>0</v>
      </c>
      <c r="I93" s="8">
        <v>0.19115514235909301</v>
      </c>
      <c r="J93" s="8">
        <v>6.0429982568274199E-2</v>
      </c>
      <c r="K93" s="8" t="str">
        <f>_xlfn.CONCAT(dll[[#This Row],[lob]], " ", dll[[#This Row],[valid_vintage]])</f>
        <v>FRN 2021 Q3</v>
      </c>
    </row>
    <row r="94" spans="1:11" x14ac:dyDescent="0.35">
      <c r="A94" t="s">
        <v>175</v>
      </c>
      <c r="B94" t="s">
        <v>153</v>
      </c>
      <c r="C94" s="8">
        <v>3.1699999999999999E-2</v>
      </c>
      <c r="D94" s="8">
        <v>0.38314785373608901</v>
      </c>
      <c r="E94" s="8">
        <v>0.334658187599364</v>
      </c>
      <c r="F94" s="8">
        <v>0.194753577106518</v>
      </c>
      <c r="G94" s="8">
        <v>4.2130365659777402E-2</v>
      </c>
      <c r="H94" s="8">
        <v>1.35135135135135E-2</v>
      </c>
      <c r="I94" s="8">
        <v>0.41484785373608901</v>
      </c>
      <c r="J94" s="8">
        <v>0.25039745627980903</v>
      </c>
      <c r="K94" s="8" t="str">
        <f>_xlfn.CONCAT(dll[[#This Row],[lob]], " ", dll[[#This Row],[valid_vintage]])</f>
        <v>STG 2021 Q3</v>
      </c>
    </row>
    <row r="95" spans="1:11" x14ac:dyDescent="0.35">
      <c r="A95" t="s">
        <v>175</v>
      </c>
      <c r="B95" t="s">
        <v>122</v>
      </c>
      <c r="C95" s="8">
        <v>0</v>
      </c>
      <c r="D95" s="8">
        <v>0.26623376623376599</v>
      </c>
      <c r="E95" s="8">
        <v>0.40909090909090901</v>
      </c>
      <c r="F95" s="8">
        <v>0.19480519480519401</v>
      </c>
      <c r="G95" s="8">
        <v>0.129870129870129</v>
      </c>
      <c r="H95" s="8">
        <v>0</v>
      </c>
      <c r="I95" s="8">
        <v>0.26623376623376599</v>
      </c>
      <c r="J95" s="8">
        <v>0.32467532467532401</v>
      </c>
      <c r="K95" s="8" t="str">
        <f>_xlfn.CONCAT(dll[[#This Row],[lob]], " ", dll[[#This Row],[valid_vintage]])</f>
        <v>ENT 2021 Q3</v>
      </c>
    </row>
    <row r="96" spans="1:11" x14ac:dyDescent="0.35">
      <c r="A96" t="s">
        <v>175</v>
      </c>
      <c r="B96" t="s">
        <v>149</v>
      </c>
      <c r="C96" s="8">
        <v>5.1900000000000002E-2</v>
      </c>
      <c r="D96" s="8">
        <v>0.31141868512110699</v>
      </c>
      <c r="E96" s="8">
        <v>0.44290657439446302</v>
      </c>
      <c r="F96" s="8">
        <v>0.124567474048442</v>
      </c>
      <c r="G96" s="8">
        <v>3.4602076124567401E-2</v>
      </c>
      <c r="H96" s="8">
        <v>3.4602076124567401E-2</v>
      </c>
      <c r="I96" s="8">
        <v>0.36331868512110699</v>
      </c>
      <c r="J96" s="8">
        <v>0.19377162629757699</v>
      </c>
      <c r="K96" s="8" t="str">
        <f>_xlfn.CONCAT(dll[[#This Row],[lob]], " ", dll[[#This Row],[valid_vintage]])</f>
        <v>AN 2021 Q3</v>
      </c>
    </row>
    <row r="97" spans="1:11" x14ac:dyDescent="0.35">
      <c r="A97" t="s">
        <v>181</v>
      </c>
      <c r="B97" t="s">
        <v>149</v>
      </c>
      <c r="C97" s="8">
        <v>3.4799999999999998E-2</v>
      </c>
      <c r="D97" s="8">
        <v>0.27177700348431999</v>
      </c>
      <c r="E97" s="8">
        <v>0.51567944250871001</v>
      </c>
      <c r="F97" s="8">
        <v>0.12195121951219499</v>
      </c>
      <c r="G97" s="8">
        <v>5.5749128919860599E-2</v>
      </c>
      <c r="H97" s="8">
        <v>0</v>
      </c>
      <c r="I97" s="8">
        <v>0.30657700348431999</v>
      </c>
      <c r="J97" s="8">
        <v>0.17770034843205501</v>
      </c>
      <c r="K97" s="8" t="str">
        <f>_xlfn.CONCAT(dll[[#This Row],[lob]], " ", dll[[#This Row],[valid_vintage]])</f>
        <v>AN 2021 Q2</v>
      </c>
    </row>
    <row r="98" spans="1:11" x14ac:dyDescent="0.35">
      <c r="A98" t="s">
        <v>181</v>
      </c>
      <c r="B98" t="s">
        <v>155</v>
      </c>
      <c r="C98" s="8">
        <v>3.8600000000000002E-2</v>
      </c>
      <c r="D98" s="8">
        <v>0.21459227467811101</v>
      </c>
      <c r="E98" s="8">
        <v>0.28755364806866901</v>
      </c>
      <c r="F98" s="8">
        <v>5.1502145922746698E-2</v>
      </c>
      <c r="G98" s="8">
        <v>0.39484978540772497</v>
      </c>
      <c r="H98" s="8">
        <v>1.28755364806866E-2</v>
      </c>
      <c r="I98" s="8">
        <v>0.25319227467811101</v>
      </c>
      <c r="J98" s="8">
        <v>0.45922746781115797</v>
      </c>
      <c r="K98" s="8" t="str">
        <f>_xlfn.CONCAT(dll[[#This Row],[lob]], " ", dll[[#This Row],[valid_vintage]])</f>
        <v>FLD 2021 Q2</v>
      </c>
    </row>
    <row r="99" spans="1:11" x14ac:dyDescent="0.35">
      <c r="A99" t="s">
        <v>181</v>
      </c>
      <c r="B99" t="s">
        <v>151</v>
      </c>
      <c r="C99" s="8">
        <v>1.1299999999999999E-2</v>
      </c>
      <c r="D99" s="8">
        <v>0.18193303853442799</v>
      </c>
      <c r="E99" s="8">
        <v>0.75679090334807297</v>
      </c>
      <c r="F99" s="8">
        <v>3.34807327858496E-2</v>
      </c>
      <c r="G99" s="8">
        <v>1.4529374605179999E-2</v>
      </c>
      <c r="H99" s="8">
        <v>1.8951358180669599E-3</v>
      </c>
      <c r="I99" s="8">
        <v>0.193233038534428</v>
      </c>
      <c r="J99" s="8">
        <v>4.9905243209096603E-2</v>
      </c>
      <c r="K99" s="8" t="str">
        <f>_xlfn.CONCAT(dll[[#This Row],[lob]], " ", dll[[#This Row],[valid_vintage]])</f>
        <v>FRN 2021 Q2</v>
      </c>
    </row>
    <row r="100" spans="1:11" x14ac:dyDescent="0.35">
      <c r="A100" t="s">
        <v>181</v>
      </c>
      <c r="B100" t="s">
        <v>122</v>
      </c>
      <c r="C100" s="8">
        <v>0</v>
      </c>
      <c r="D100" s="8">
        <v>0.28758169934640498</v>
      </c>
      <c r="E100" s="8">
        <v>0.41176470588235198</v>
      </c>
      <c r="F100" s="8">
        <v>0.15686274509803899</v>
      </c>
      <c r="G100" s="8">
        <v>0.14379084967320199</v>
      </c>
      <c r="H100" s="8">
        <v>0</v>
      </c>
      <c r="I100" s="8">
        <v>0.28758169934640498</v>
      </c>
      <c r="J100" s="8">
        <v>0.30065359477124098</v>
      </c>
      <c r="K100" s="8" t="str">
        <f>_xlfn.CONCAT(dll[[#This Row],[lob]], " ", dll[[#This Row],[valid_vintage]])</f>
        <v>ENT 2021 Q2</v>
      </c>
    </row>
    <row r="101" spans="1:11" x14ac:dyDescent="0.35">
      <c r="A101" t="s">
        <v>181</v>
      </c>
      <c r="B101" t="s">
        <v>153</v>
      </c>
      <c r="C101" s="8">
        <v>2.6700000000000002E-2</v>
      </c>
      <c r="D101" s="8">
        <v>0.39546191247974</v>
      </c>
      <c r="E101" s="8">
        <v>0.34683954619124702</v>
      </c>
      <c r="F101" s="8">
        <v>0.176661264181523</v>
      </c>
      <c r="G101" s="8">
        <v>4.7811993517017801E-2</v>
      </c>
      <c r="H101" s="8">
        <v>6.4829821717990203E-3</v>
      </c>
      <c r="I101" s="8">
        <v>0.42216191247974</v>
      </c>
      <c r="J101" s="8">
        <v>0.23095623987034</v>
      </c>
      <c r="K101" s="8" t="str">
        <f>_xlfn.CONCAT(dll[[#This Row],[lob]], " ", dll[[#This Row],[valid_vintage]])</f>
        <v>STG 2021 Q2</v>
      </c>
    </row>
    <row r="102" spans="1:11" x14ac:dyDescent="0.35">
      <c r="A102" t="s">
        <v>185</v>
      </c>
      <c r="B102" t="s">
        <v>153</v>
      </c>
      <c r="C102" s="8">
        <v>3.1099999999999999E-2</v>
      </c>
      <c r="D102" s="8">
        <v>0.27104377104377098</v>
      </c>
      <c r="E102" s="8">
        <v>0.49494949494949397</v>
      </c>
      <c r="F102" s="8">
        <v>0.15404040404040401</v>
      </c>
      <c r="G102" s="8">
        <v>4.8821548821548801E-2</v>
      </c>
      <c r="H102" s="8">
        <v>0</v>
      </c>
      <c r="I102" s="8">
        <v>0.30214377104377099</v>
      </c>
      <c r="J102" s="8">
        <v>0.20286195286195199</v>
      </c>
      <c r="K102" s="8" t="str">
        <f>_xlfn.CONCAT(dll[[#This Row],[lob]], " ", dll[[#This Row],[valid_vintage]])</f>
        <v>STG 2021 Q1</v>
      </c>
    </row>
    <row r="103" spans="1:11" x14ac:dyDescent="0.35">
      <c r="A103" t="s">
        <v>185</v>
      </c>
      <c r="B103" t="s">
        <v>155</v>
      </c>
      <c r="C103" s="8">
        <v>2.6499999999999999E-2</v>
      </c>
      <c r="D103" s="8">
        <v>0.20353982300884901</v>
      </c>
      <c r="E103" s="8">
        <v>0.64159292035398197</v>
      </c>
      <c r="F103" s="8">
        <v>2.21238938053097E-2</v>
      </c>
      <c r="G103" s="8">
        <v>9.7345132743362803E-2</v>
      </c>
      <c r="H103" s="8">
        <v>8.8495575221238902E-3</v>
      </c>
      <c r="I103" s="8">
        <v>0.23003982300884901</v>
      </c>
      <c r="J103" s="8">
        <v>0.12831858407079599</v>
      </c>
      <c r="K103" s="8" t="str">
        <f>_xlfn.CONCAT(dll[[#This Row],[lob]], " ", dll[[#This Row],[valid_vintage]])</f>
        <v>FLD 2021 Q1</v>
      </c>
    </row>
    <row r="104" spans="1:11" x14ac:dyDescent="0.35">
      <c r="A104" t="s">
        <v>185</v>
      </c>
      <c r="B104" t="s">
        <v>149</v>
      </c>
      <c r="C104" s="8">
        <v>1.04E-2</v>
      </c>
      <c r="D104" s="8">
        <v>0.27622377622377597</v>
      </c>
      <c r="E104" s="8">
        <v>0.51048951048950997</v>
      </c>
      <c r="F104" s="8">
        <v>0.16783216783216701</v>
      </c>
      <c r="G104" s="8">
        <v>3.4965034965034898E-2</v>
      </c>
      <c r="H104" s="8">
        <v>0</v>
      </c>
      <c r="I104" s="8">
        <v>0.28662377622377599</v>
      </c>
      <c r="J104" s="8">
        <v>0.20279720279720201</v>
      </c>
      <c r="K104" s="8" t="str">
        <f>_xlfn.CONCAT(dll[[#This Row],[lob]], " ", dll[[#This Row],[valid_vintage]])</f>
        <v>AN 2021 Q1</v>
      </c>
    </row>
    <row r="105" spans="1:11" x14ac:dyDescent="0.35">
      <c r="A105" t="s">
        <v>185</v>
      </c>
      <c r="B105" t="s">
        <v>122</v>
      </c>
      <c r="C105" s="8">
        <v>0</v>
      </c>
      <c r="D105" s="8">
        <v>0.41830065359477098</v>
      </c>
      <c r="E105" s="8">
        <v>0.22875816993463999</v>
      </c>
      <c r="F105" s="8">
        <v>0.20261437908496699</v>
      </c>
      <c r="G105" s="8">
        <v>0.15032679738561999</v>
      </c>
      <c r="H105" s="8">
        <v>0</v>
      </c>
      <c r="I105" s="8">
        <v>0.41830065359477098</v>
      </c>
      <c r="J105" s="8">
        <v>0.35294117647058798</v>
      </c>
      <c r="K105" s="8" t="str">
        <f>_xlfn.CONCAT(dll[[#This Row],[lob]], " ", dll[[#This Row],[valid_vintage]])</f>
        <v>ENT 2021 Q1</v>
      </c>
    </row>
    <row r="106" spans="1:11" x14ac:dyDescent="0.35">
      <c r="A106" t="s">
        <v>185</v>
      </c>
      <c r="B106" t="s">
        <v>151</v>
      </c>
      <c r="C106" s="8">
        <v>9.7000000000000003E-3</v>
      </c>
      <c r="D106" s="8">
        <v>0.123869171885873</v>
      </c>
      <c r="E106" s="8">
        <v>0.80514961725817602</v>
      </c>
      <c r="F106" s="8">
        <v>4.2449547668754299E-2</v>
      </c>
      <c r="G106" s="8">
        <v>1.87891440501043E-2</v>
      </c>
      <c r="H106" s="8">
        <v>0</v>
      </c>
      <c r="I106" s="8">
        <v>0.133569171885873</v>
      </c>
      <c r="J106" s="8">
        <v>6.12386917188587E-2</v>
      </c>
      <c r="K106" s="8" t="str">
        <f>_xlfn.CONCAT(dll[[#This Row],[lob]], " ", dll[[#This Row],[valid_vintage]])</f>
        <v>FRN 2021 Q1</v>
      </c>
    </row>
    <row r="107" spans="1:11" x14ac:dyDescent="0.35">
      <c r="A107" t="s">
        <v>177</v>
      </c>
      <c r="B107" t="s">
        <v>153</v>
      </c>
      <c r="C107" s="8">
        <v>4.1200000000000001E-2</v>
      </c>
      <c r="D107" s="8">
        <v>0.20618556701030899</v>
      </c>
      <c r="E107" s="8">
        <v>0.53350515463917503</v>
      </c>
      <c r="F107" s="8">
        <v>0.17268041237113399</v>
      </c>
      <c r="G107" s="8">
        <v>4.6391752577319499E-2</v>
      </c>
      <c r="H107" s="8">
        <v>0</v>
      </c>
      <c r="I107" s="8">
        <v>0.247385567010309</v>
      </c>
      <c r="J107" s="8">
        <v>0.219072164948453</v>
      </c>
      <c r="K107" s="8" t="str">
        <f>_xlfn.CONCAT(dll[[#This Row],[lob]], " ", dll[[#This Row],[valid_vintage]])</f>
        <v>STG 2020 Q4</v>
      </c>
    </row>
    <row r="108" spans="1:11" x14ac:dyDescent="0.35">
      <c r="A108" t="s">
        <v>177</v>
      </c>
      <c r="B108" t="s">
        <v>149</v>
      </c>
      <c r="C108" s="8">
        <v>6.8999999999999999E-3</v>
      </c>
      <c r="D108" s="8">
        <v>0.33216783216783202</v>
      </c>
      <c r="E108" s="8">
        <v>0.43356643356643298</v>
      </c>
      <c r="F108" s="8">
        <v>0.16433566433566399</v>
      </c>
      <c r="G108" s="8">
        <v>6.2937062937062901E-2</v>
      </c>
      <c r="H108" s="8">
        <v>0</v>
      </c>
      <c r="I108" s="8">
        <v>0.33906783216783198</v>
      </c>
      <c r="J108" s="8">
        <v>0.22727272727272699</v>
      </c>
      <c r="K108" s="8" t="str">
        <f>_xlfn.CONCAT(dll[[#This Row],[lob]], " ", dll[[#This Row],[valid_vintage]])</f>
        <v>AN 2020 Q4</v>
      </c>
    </row>
    <row r="109" spans="1:11" x14ac:dyDescent="0.35">
      <c r="A109" t="s">
        <v>177</v>
      </c>
      <c r="B109" t="s">
        <v>122</v>
      </c>
      <c r="C109" s="8">
        <v>0</v>
      </c>
      <c r="D109" s="8">
        <v>0.24161073825503299</v>
      </c>
      <c r="E109" s="8">
        <v>0.38255033557046902</v>
      </c>
      <c r="F109" s="8">
        <v>0.20134228187919401</v>
      </c>
      <c r="G109" s="8">
        <v>0.17449664429530201</v>
      </c>
      <c r="H109" s="8">
        <v>0</v>
      </c>
      <c r="I109" s="8">
        <v>0.24161073825503299</v>
      </c>
      <c r="J109" s="8">
        <v>0.37583892617449599</v>
      </c>
      <c r="K109" s="8" t="str">
        <f>_xlfn.CONCAT(dll[[#This Row],[lob]], " ", dll[[#This Row],[valid_vintage]])</f>
        <v>ENT 2020 Q4</v>
      </c>
    </row>
    <row r="110" spans="1:11" x14ac:dyDescent="0.35">
      <c r="A110" t="s">
        <v>177</v>
      </c>
      <c r="B110" t="s">
        <v>155</v>
      </c>
      <c r="C110" s="8">
        <v>1.7999999999999999E-2</v>
      </c>
      <c r="D110" s="8">
        <v>0.23076923076923</v>
      </c>
      <c r="E110" s="8">
        <v>0.46606334841628899</v>
      </c>
      <c r="F110" s="8">
        <v>0.22624434389140199</v>
      </c>
      <c r="G110" s="8">
        <v>5.4298642533936597E-2</v>
      </c>
      <c r="H110" s="8">
        <v>4.5248868778280504E-3</v>
      </c>
      <c r="I110" s="8">
        <v>0.24876923076922999</v>
      </c>
      <c r="J110" s="8">
        <v>0.28506787330316702</v>
      </c>
      <c r="K110" s="8" t="str">
        <f>_xlfn.CONCAT(dll[[#This Row],[lob]], " ", dll[[#This Row],[valid_vintage]])</f>
        <v>FLD 2020 Q4</v>
      </c>
    </row>
    <row r="111" spans="1:11" x14ac:dyDescent="0.35">
      <c r="A111" t="s">
        <v>177</v>
      </c>
      <c r="B111" t="s">
        <v>151</v>
      </c>
      <c r="C111" s="8">
        <v>9.9000000000000008E-3</v>
      </c>
      <c r="D111" s="8">
        <v>0.10788064269319</v>
      </c>
      <c r="E111" s="8">
        <v>0.80948737566947204</v>
      </c>
      <c r="F111" s="8">
        <v>4.4376434583014497E-2</v>
      </c>
      <c r="G111" s="8">
        <v>2.83091048201989E-2</v>
      </c>
      <c r="H111" s="8">
        <v>0</v>
      </c>
      <c r="I111" s="8">
        <v>0.11778064269319</v>
      </c>
      <c r="J111" s="8">
        <v>7.2685539403213401E-2</v>
      </c>
      <c r="K111" s="8" t="str">
        <f>_xlfn.CONCAT(dll[[#This Row],[lob]], " ", dll[[#This Row],[valid_vintage]])</f>
        <v>FRN 2020 Q4</v>
      </c>
    </row>
    <row r="112" spans="1:11" x14ac:dyDescent="0.35">
      <c r="A112" t="s">
        <v>180</v>
      </c>
      <c r="B112" t="s">
        <v>149</v>
      </c>
      <c r="C112" s="8">
        <v>3.1399999999999997E-2</v>
      </c>
      <c r="D112" s="8">
        <v>0.27972027972027902</v>
      </c>
      <c r="E112" s="8">
        <v>0.42657342657342601</v>
      </c>
      <c r="F112" s="8">
        <v>0.188811188811188</v>
      </c>
      <c r="G112" s="8">
        <v>7.3426573426573397E-2</v>
      </c>
      <c r="H112" s="8">
        <v>0</v>
      </c>
      <c r="I112" s="8">
        <v>0.311120279720279</v>
      </c>
      <c r="J112" s="8">
        <v>0.26223776223776202</v>
      </c>
      <c r="K112" s="8" t="str">
        <f>_xlfn.CONCAT(dll[[#This Row],[lob]], " ", dll[[#This Row],[valid_vintage]])</f>
        <v>AN 2020 Q3</v>
      </c>
    </row>
    <row r="113" spans="1:11" x14ac:dyDescent="0.35">
      <c r="A113" t="s">
        <v>180</v>
      </c>
      <c r="B113" t="s">
        <v>122</v>
      </c>
      <c r="C113" s="8">
        <v>0</v>
      </c>
      <c r="D113" s="8">
        <v>0.19727891156462499</v>
      </c>
      <c r="E113" s="8">
        <v>0.68027210884353695</v>
      </c>
      <c r="F113" s="8">
        <v>6.1224489795918297E-2</v>
      </c>
      <c r="G113" s="8">
        <v>6.1224489795918297E-2</v>
      </c>
      <c r="H113" s="8">
        <v>0</v>
      </c>
      <c r="I113" s="8">
        <v>0.19727891156462499</v>
      </c>
      <c r="J113" s="8">
        <v>0.122448979591836</v>
      </c>
      <c r="K113" s="8" t="str">
        <f>_xlfn.CONCAT(dll[[#This Row],[lob]], " ", dll[[#This Row],[valid_vintage]])</f>
        <v>ENT 2020 Q3</v>
      </c>
    </row>
    <row r="114" spans="1:11" x14ac:dyDescent="0.35">
      <c r="A114" t="s">
        <v>180</v>
      </c>
      <c r="B114" t="s">
        <v>153</v>
      </c>
      <c r="C114" s="8">
        <v>3.6700000000000003E-2</v>
      </c>
      <c r="D114" s="8">
        <v>0.216097987751531</v>
      </c>
      <c r="E114" s="8">
        <v>0.57655293088363901</v>
      </c>
      <c r="F114" s="8">
        <v>0.139107611548556</v>
      </c>
      <c r="G114" s="8">
        <v>3.1496062992125901E-2</v>
      </c>
      <c r="H114" s="8">
        <v>0</v>
      </c>
      <c r="I114" s="8">
        <v>0.25279798775153101</v>
      </c>
      <c r="J114" s="8">
        <v>0.17060367454068201</v>
      </c>
      <c r="K114" s="8" t="str">
        <f>_xlfn.CONCAT(dll[[#This Row],[lob]], " ", dll[[#This Row],[valid_vintage]])</f>
        <v>STG 2020 Q3</v>
      </c>
    </row>
    <row r="115" spans="1:11" x14ac:dyDescent="0.35">
      <c r="A115" t="s">
        <v>180</v>
      </c>
      <c r="B115" t="s">
        <v>151</v>
      </c>
      <c r="C115" s="8">
        <v>9.4999999999999998E-3</v>
      </c>
      <c r="D115" s="8">
        <v>7.9722703639514697E-2</v>
      </c>
      <c r="E115" s="8">
        <v>0.85095320623916804</v>
      </c>
      <c r="F115" s="8">
        <v>2.51299826689774E-2</v>
      </c>
      <c r="G115" s="8">
        <v>3.4662045060658501E-2</v>
      </c>
      <c r="H115" s="8">
        <v>0</v>
      </c>
      <c r="I115" s="8">
        <v>8.9222703639514706E-2</v>
      </c>
      <c r="J115" s="8">
        <v>5.9792027729636002E-2</v>
      </c>
      <c r="K115" s="8" t="str">
        <f>_xlfn.CONCAT(dll[[#This Row],[lob]], " ", dll[[#This Row],[valid_vintage]])</f>
        <v>FRN 2020 Q3</v>
      </c>
    </row>
    <row r="116" spans="1:11" x14ac:dyDescent="0.35">
      <c r="A116" t="s">
        <v>180</v>
      </c>
      <c r="B116" t="s">
        <v>155</v>
      </c>
      <c r="C116" s="8">
        <v>9.1999999999999998E-3</v>
      </c>
      <c r="D116" s="8">
        <v>0.239631336405529</v>
      </c>
      <c r="E116" s="8">
        <v>0.483870967741935</v>
      </c>
      <c r="F116" s="8">
        <v>0.211981566820276</v>
      </c>
      <c r="G116" s="8">
        <v>5.5299539170506902E-2</v>
      </c>
      <c r="H116" s="8">
        <v>0</v>
      </c>
      <c r="I116" s="8">
        <v>0.24883133640552901</v>
      </c>
      <c r="J116" s="8">
        <v>0.26728110599078297</v>
      </c>
      <c r="K116" s="8" t="str">
        <f>_xlfn.CONCAT(dll[[#This Row],[lob]], " ", dll[[#This Row],[valid_vintage]])</f>
        <v>FLD 2020 Q3</v>
      </c>
    </row>
    <row r="117" spans="1:11" x14ac:dyDescent="0.35">
      <c r="A117" t="s">
        <v>161</v>
      </c>
      <c r="B117" t="s">
        <v>155</v>
      </c>
      <c r="C117" s="8">
        <v>1.41E-2</v>
      </c>
      <c r="D117" s="8">
        <v>0.17730496453900699</v>
      </c>
      <c r="E117" s="8">
        <v>0.30496453900709197</v>
      </c>
      <c r="F117" s="8">
        <v>0.44680851063829702</v>
      </c>
      <c r="G117" s="8">
        <v>5.6737588652482199E-2</v>
      </c>
      <c r="H117" s="8">
        <v>0</v>
      </c>
      <c r="I117" s="8">
        <v>0.19140496453900699</v>
      </c>
      <c r="J117" s="8">
        <v>0.50354609929077998</v>
      </c>
      <c r="K117" s="8" t="str">
        <f>_xlfn.CONCAT(dll[[#This Row],[lob]], " ", dll[[#This Row],[valid_vintage]])</f>
        <v>FLD 2020 Q2</v>
      </c>
    </row>
    <row r="118" spans="1:11" x14ac:dyDescent="0.35">
      <c r="A118" t="s">
        <v>161</v>
      </c>
      <c r="B118" t="s">
        <v>151</v>
      </c>
      <c r="C118" s="8">
        <v>4.7999999999999996E-3</v>
      </c>
      <c r="D118" s="8">
        <v>8.7584215591915301E-2</v>
      </c>
      <c r="E118" s="8">
        <v>0.82194417709335799</v>
      </c>
      <c r="F118" s="8">
        <v>5.5822906641000897E-2</v>
      </c>
      <c r="G118" s="8">
        <v>2.9836381135707399E-2</v>
      </c>
      <c r="H118" s="8">
        <v>0</v>
      </c>
      <c r="I118" s="8">
        <v>9.23842155919153E-2</v>
      </c>
      <c r="J118" s="8">
        <v>8.5659287776708296E-2</v>
      </c>
      <c r="K118" s="8" t="str">
        <f>_xlfn.CONCAT(dll[[#This Row],[lob]], " ", dll[[#This Row],[valid_vintage]])</f>
        <v>FRN 2020 Q2</v>
      </c>
    </row>
    <row r="119" spans="1:11" x14ac:dyDescent="0.35">
      <c r="A119" t="s">
        <v>161</v>
      </c>
      <c r="B119" t="s">
        <v>153</v>
      </c>
      <c r="C119" s="8">
        <v>3.0499999999999999E-2</v>
      </c>
      <c r="D119" s="8">
        <v>0.29380053908355702</v>
      </c>
      <c r="E119" s="8">
        <v>0.513027852650494</v>
      </c>
      <c r="F119" s="8">
        <v>0.12309074573225499</v>
      </c>
      <c r="G119" s="8">
        <v>3.9532794249775301E-2</v>
      </c>
      <c r="H119" s="8">
        <v>0</v>
      </c>
      <c r="I119" s="8">
        <v>0.32430053908355699</v>
      </c>
      <c r="J119" s="8">
        <v>0.16262353998203</v>
      </c>
      <c r="K119" s="8" t="str">
        <f>_xlfn.CONCAT(dll[[#This Row],[lob]], " ", dll[[#This Row],[valid_vintage]])</f>
        <v>STG 2020 Q2</v>
      </c>
    </row>
    <row r="120" spans="1:11" x14ac:dyDescent="0.35">
      <c r="A120" t="s">
        <v>161</v>
      </c>
      <c r="B120" t="s">
        <v>149</v>
      </c>
      <c r="C120" s="8">
        <v>3.85E-2</v>
      </c>
      <c r="D120" s="8">
        <v>0.23508771929824501</v>
      </c>
      <c r="E120" s="8">
        <v>0.55087719298245597</v>
      </c>
      <c r="F120" s="8">
        <v>9.8245614035087706E-2</v>
      </c>
      <c r="G120" s="8">
        <v>7.7192982456140299E-2</v>
      </c>
      <c r="H120" s="8">
        <v>0</v>
      </c>
      <c r="I120" s="8">
        <v>0.27358771929824499</v>
      </c>
      <c r="J120" s="8">
        <v>0.175438596491228</v>
      </c>
      <c r="K120" s="8" t="str">
        <f>_xlfn.CONCAT(dll[[#This Row],[lob]], " ", dll[[#This Row],[valid_vintage]])</f>
        <v>AN 2020 Q2</v>
      </c>
    </row>
    <row r="121" spans="1:11" x14ac:dyDescent="0.35">
      <c r="A121" t="s">
        <v>171</v>
      </c>
      <c r="B121" t="s">
        <v>155</v>
      </c>
      <c r="C121" s="8">
        <v>1.4500000000000001E-2</v>
      </c>
      <c r="D121" s="8">
        <v>8.0291970802919693E-2</v>
      </c>
      <c r="E121" s="8">
        <v>0.28467153284671498</v>
      </c>
      <c r="F121" s="8">
        <v>0.59854014598540095</v>
      </c>
      <c r="G121" s="8">
        <v>2.18978102189781E-2</v>
      </c>
      <c r="H121" s="8">
        <v>0</v>
      </c>
      <c r="I121" s="8">
        <v>9.4791970802919706E-2</v>
      </c>
      <c r="J121" s="8">
        <v>0.62043795620437903</v>
      </c>
      <c r="K121" s="8" t="str">
        <f>_xlfn.CONCAT(dll[[#This Row],[lob]], " ", dll[[#This Row],[valid_vintage]])</f>
        <v>FLD 2020 Q1</v>
      </c>
    </row>
    <row r="122" spans="1:11" x14ac:dyDescent="0.35">
      <c r="A122" t="s">
        <v>171</v>
      </c>
      <c r="B122" t="s">
        <v>153</v>
      </c>
      <c r="C122" s="8">
        <v>2.4400000000000002E-2</v>
      </c>
      <c r="D122" s="8">
        <v>0.33967391304347799</v>
      </c>
      <c r="E122" s="8">
        <v>0.44655797101449202</v>
      </c>
      <c r="F122" s="8">
        <v>0.13677536231883999</v>
      </c>
      <c r="G122" s="8">
        <v>5.2536231884057899E-2</v>
      </c>
      <c r="H122" s="8">
        <v>0</v>
      </c>
      <c r="I122" s="8">
        <v>0.36407391304347803</v>
      </c>
      <c r="J122" s="8">
        <v>0.189311594202898</v>
      </c>
      <c r="K122" s="8" t="str">
        <f>_xlfn.CONCAT(dll[[#This Row],[lob]], " ", dll[[#This Row],[valid_vintage]])</f>
        <v>STG 2020 Q1</v>
      </c>
    </row>
    <row r="123" spans="1:11" x14ac:dyDescent="0.35">
      <c r="A123" t="s">
        <v>171</v>
      </c>
      <c r="B123" t="s">
        <v>151</v>
      </c>
      <c r="C123" s="8">
        <v>5.1999999999999998E-3</v>
      </c>
      <c r="D123" s="8">
        <v>8.8449531737773104E-2</v>
      </c>
      <c r="E123" s="8">
        <v>0.83038501560874001</v>
      </c>
      <c r="F123" s="8">
        <v>3.1217481789802201E-2</v>
      </c>
      <c r="G123" s="8">
        <v>4.4745057232049898E-2</v>
      </c>
      <c r="H123" s="8">
        <v>0</v>
      </c>
      <c r="I123" s="8">
        <v>9.3649531737773101E-2</v>
      </c>
      <c r="J123" s="8">
        <v>7.5962539021852196E-2</v>
      </c>
      <c r="K123" s="8" t="str">
        <f>_xlfn.CONCAT(dll[[#This Row],[lob]], " ", dll[[#This Row],[valid_vintage]])</f>
        <v>FRN 2020 Q1</v>
      </c>
    </row>
    <row r="124" spans="1:11" x14ac:dyDescent="0.35">
      <c r="A124" t="s">
        <v>171</v>
      </c>
      <c r="B124" t="s">
        <v>149</v>
      </c>
      <c r="C124" s="8">
        <v>6.3100000000000003E-2</v>
      </c>
      <c r="D124" s="8">
        <v>0.21754385964912201</v>
      </c>
      <c r="E124" s="8">
        <v>0.49824561403508699</v>
      </c>
      <c r="F124" s="8">
        <v>0.17192982456140299</v>
      </c>
      <c r="G124" s="8">
        <v>4.9122807017543797E-2</v>
      </c>
      <c r="H124" s="8">
        <v>0</v>
      </c>
      <c r="I124" s="8">
        <v>0.28064385964912197</v>
      </c>
      <c r="J124" s="8">
        <v>0.221052631578947</v>
      </c>
      <c r="K124" s="8" t="str">
        <f>_xlfn.CONCAT(dll[[#This Row],[lob]], " ", dll[[#This Row],[valid_vintage]])</f>
        <v>AN 2020 Q1</v>
      </c>
    </row>
    <row r="125" spans="1:11" x14ac:dyDescent="0.35">
      <c r="A125" t="s">
        <v>169</v>
      </c>
      <c r="B125" t="s">
        <v>149</v>
      </c>
      <c r="C125" s="8">
        <v>0</v>
      </c>
      <c r="D125" s="8">
        <v>0.28112449799196698</v>
      </c>
      <c r="E125" s="8">
        <v>0.62650602409638501</v>
      </c>
      <c r="F125" s="8">
        <v>8.8353413654618407E-2</v>
      </c>
      <c r="G125" s="8">
        <v>4.0160642570281103E-3</v>
      </c>
      <c r="H125" s="8">
        <v>0</v>
      </c>
      <c r="I125" s="8">
        <v>0.28112449799196698</v>
      </c>
      <c r="J125" s="8">
        <v>9.23694779116465E-2</v>
      </c>
      <c r="K125" s="8" t="str">
        <f>_xlfn.CONCAT(dll[[#This Row],[lob]], " ", dll[[#This Row],[valid_vintage]])</f>
        <v>AN 2019 Q4</v>
      </c>
    </row>
    <row r="126" spans="1:11" x14ac:dyDescent="0.35">
      <c r="A126" t="s">
        <v>169</v>
      </c>
      <c r="B126" t="s">
        <v>151</v>
      </c>
      <c r="C126" s="8">
        <v>0</v>
      </c>
      <c r="D126" s="8">
        <v>3.0769230769230702E-2</v>
      </c>
      <c r="E126" s="8">
        <v>0.71538461538461495</v>
      </c>
      <c r="F126" s="8">
        <v>0.17692307692307599</v>
      </c>
      <c r="G126" s="8">
        <v>7.69230769230769E-2</v>
      </c>
      <c r="H126" s="8">
        <v>0</v>
      </c>
      <c r="I126" s="8">
        <v>3.0769230769230702E-2</v>
      </c>
      <c r="J126" s="8">
        <v>0.253846153846153</v>
      </c>
      <c r="K126" s="8" t="str">
        <f>_xlfn.CONCAT(dll[[#This Row],[lob]], " ", dll[[#This Row],[valid_vintage]])</f>
        <v>FRN 2019 Q4</v>
      </c>
    </row>
    <row r="127" spans="1:11" x14ac:dyDescent="0.35">
      <c r="A127" t="s">
        <v>169</v>
      </c>
      <c r="B127" t="s">
        <v>155</v>
      </c>
      <c r="C127" s="8">
        <v>0</v>
      </c>
      <c r="D127" s="8">
        <v>0.30769230769230699</v>
      </c>
      <c r="E127" s="8">
        <v>0.57692307692307598</v>
      </c>
      <c r="F127" s="8">
        <v>3.8461538461538401E-2</v>
      </c>
      <c r="G127" s="8">
        <v>7.69230769230769E-2</v>
      </c>
      <c r="H127" s="8">
        <v>0</v>
      </c>
      <c r="I127" s="8">
        <v>0.30769230769230699</v>
      </c>
      <c r="J127" s="8">
        <v>0.115384615384615</v>
      </c>
      <c r="K127" s="8" t="str">
        <f>_xlfn.CONCAT(dll[[#This Row],[lob]], " ", dll[[#This Row],[valid_vintage]])</f>
        <v>FLD 2019 Q4</v>
      </c>
    </row>
    <row r="128" spans="1:11" x14ac:dyDescent="0.35">
      <c r="A128" t="s">
        <v>169</v>
      </c>
      <c r="B128" t="s">
        <v>153</v>
      </c>
      <c r="C128" s="8">
        <v>1.2999999999999999E-2</v>
      </c>
      <c r="D128" s="8">
        <v>0.33333333333333298</v>
      </c>
      <c r="E128" s="8">
        <v>0.50260416666666596</v>
      </c>
      <c r="F128" s="8">
        <v>0.13151041666666599</v>
      </c>
      <c r="G128" s="8">
        <v>1.953125E-2</v>
      </c>
      <c r="H128" s="8">
        <v>0</v>
      </c>
      <c r="I128" s="8">
        <v>0.34633333333333299</v>
      </c>
      <c r="J128" s="8">
        <v>0.15104166666666599</v>
      </c>
      <c r="K128" s="8" t="str">
        <f>_xlfn.CONCAT(dll[[#This Row],[lob]], " ", dll[[#This Row],[valid_vintage]])</f>
        <v>STG 2019 Q4</v>
      </c>
    </row>
    <row r="129" spans="1:11" x14ac:dyDescent="0.35">
      <c r="A129" t="s">
        <v>159</v>
      </c>
      <c r="B129" t="s">
        <v>153</v>
      </c>
      <c r="C129" s="8">
        <v>3.1300000000000001E-2</v>
      </c>
      <c r="D129" s="8">
        <v>0.30457516339869201</v>
      </c>
      <c r="E129" s="8">
        <v>0.52941176470588203</v>
      </c>
      <c r="F129" s="8">
        <v>0.105882352941176</v>
      </c>
      <c r="G129" s="8">
        <v>2.8758169934640501E-2</v>
      </c>
      <c r="H129" s="8">
        <v>0</v>
      </c>
      <c r="I129" s="8">
        <v>0.335875163398692</v>
      </c>
      <c r="J129" s="8">
        <v>0.13464052287581599</v>
      </c>
      <c r="K129" s="8" t="str">
        <f>_xlfn.CONCAT(dll[[#This Row],[lob]], " ", dll[[#This Row],[valid_vintage]])</f>
        <v>STG 2019 Q3</v>
      </c>
    </row>
    <row r="130" spans="1:11" x14ac:dyDescent="0.35">
      <c r="A130" t="s">
        <v>159</v>
      </c>
      <c r="B130" t="s">
        <v>149</v>
      </c>
      <c r="C130" s="8">
        <v>4.0000000000000001E-3</v>
      </c>
      <c r="D130" s="8">
        <v>0.32800000000000001</v>
      </c>
      <c r="E130" s="8">
        <v>0.56799999999999995</v>
      </c>
      <c r="F130" s="8">
        <v>8.7999999999999995E-2</v>
      </c>
      <c r="G130" s="8">
        <v>1.2E-2</v>
      </c>
      <c r="H130" s="8">
        <v>0</v>
      </c>
      <c r="I130" s="8">
        <v>0.33200000000000002</v>
      </c>
      <c r="J130" s="8">
        <v>0.1</v>
      </c>
      <c r="K130" s="8" t="str">
        <f>_xlfn.CONCAT(dll[[#This Row],[lob]], " ", dll[[#This Row],[valid_vintage]])</f>
        <v>AN 2019 Q3</v>
      </c>
    </row>
    <row r="131" spans="1:11" x14ac:dyDescent="0.35">
      <c r="A131" t="s">
        <v>159</v>
      </c>
      <c r="B131" t="s">
        <v>155</v>
      </c>
      <c r="C131" s="8">
        <v>0</v>
      </c>
      <c r="D131" s="8">
        <v>0.27777777777777701</v>
      </c>
      <c r="E131" s="8">
        <v>0.55555555555555503</v>
      </c>
      <c r="F131" s="8">
        <v>0.16666666666666599</v>
      </c>
      <c r="G131" s="8">
        <v>0</v>
      </c>
      <c r="H131" s="8">
        <v>0</v>
      </c>
      <c r="I131" s="8">
        <v>0.27777777777777701</v>
      </c>
      <c r="J131" s="8">
        <v>0.16666666666666599</v>
      </c>
      <c r="K131" s="8" t="str">
        <f>_xlfn.CONCAT(dll[[#This Row],[lob]], " ", dll[[#This Row],[valid_vintage]])</f>
        <v>FLD 2019 Q3</v>
      </c>
    </row>
    <row r="132" spans="1:11" x14ac:dyDescent="0.35">
      <c r="A132" t="s">
        <v>159</v>
      </c>
      <c r="B132" t="s">
        <v>151</v>
      </c>
      <c r="C132" s="8">
        <v>0</v>
      </c>
      <c r="D132" s="8">
        <v>5.78313253012048E-2</v>
      </c>
      <c r="E132" s="8">
        <v>0.69879518072289104</v>
      </c>
      <c r="F132" s="8">
        <v>0.180722891566265</v>
      </c>
      <c r="G132" s="8">
        <v>6.2650602409638503E-2</v>
      </c>
      <c r="H132" s="8">
        <v>0</v>
      </c>
      <c r="I132" s="8">
        <v>5.78313253012048E-2</v>
      </c>
      <c r="J132" s="8">
        <v>0.24337349397590299</v>
      </c>
      <c r="K132" s="8" t="str">
        <f>_xlfn.CONCAT(dll[[#This Row],[lob]], " ", dll[[#This Row],[valid_vintage]])</f>
        <v>FRN 2019 Q3</v>
      </c>
    </row>
    <row r="133" spans="1:11" x14ac:dyDescent="0.35">
      <c r="A133" t="s">
        <v>148</v>
      </c>
      <c r="B133" t="s">
        <v>149</v>
      </c>
      <c r="C133" s="8">
        <v>0</v>
      </c>
      <c r="D133" s="8">
        <v>0.32677165354330701</v>
      </c>
      <c r="E133" s="8">
        <v>0.57480314960629897</v>
      </c>
      <c r="F133" s="8">
        <v>8.2677165354330701E-2</v>
      </c>
      <c r="G133" s="8">
        <v>1.5748031496062902E-2</v>
      </c>
      <c r="H133" s="8">
        <v>0</v>
      </c>
      <c r="I133" s="8">
        <v>0.32677165354330701</v>
      </c>
      <c r="J133" s="8">
        <v>9.8425196850393595E-2</v>
      </c>
      <c r="K133" s="8" t="str">
        <f>_xlfn.CONCAT(dll[[#This Row],[lob]], " ", dll[[#This Row],[valid_vintage]])</f>
        <v>AN 2019 Q2</v>
      </c>
    </row>
    <row r="134" spans="1:11" x14ac:dyDescent="0.35">
      <c r="A134" t="s">
        <v>148</v>
      </c>
      <c r="B134" t="s">
        <v>155</v>
      </c>
      <c r="C134" s="8">
        <v>0</v>
      </c>
      <c r="D134" s="8">
        <v>0.266666666666666</v>
      </c>
      <c r="E134" s="8">
        <v>0.53333333333333299</v>
      </c>
      <c r="F134" s="8">
        <v>0.2</v>
      </c>
      <c r="G134" s="8">
        <v>0</v>
      </c>
      <c r="H134" s="8">
        <v>0</v>
      </c>
      <c r="I134" s="8">
        <v>0.266666666666666</v>
      </c>
      <c r="J134" s="8">
        <v>0.2</v>
      </c>
      <c r="K134" s="8" t="str">
        <f>_xlfn.CONCAT(dll[[#This Row],[lob]], " ", dll[[#This Row],[valid_vintage]])</f>
        <v>FLD 2019 Q2</v>
      </c>
    </row>
    <row r="135" spans="1:11" x14ac:dyDescent="0.35">
      <c r="A135" t="s">
        <v>148</v>
      </c>
      <c r="B135" t="s">
        <v>151</v>
      </c>
      <c r="C135" s="8">
        <v>0</v>
      </c>
      <c r="D135" s="8">
        <v>6.9377990430621997E-2</v>
      </c>
      <c r="E135" s="8">
        <v>0.67224880382775098</v>
      </c>
      <c r="F135" s="8">
        <v>0.22248803827751101</v>
      </c>
      <c r="G135" s="8">
        <v>3.5885167464114798E-2</v>
      </c>
      <c r="H135" s="8">
        <v>0</v>
      </c>
      <c r="I135" s="8">
        <v>6.9377990430621997E-2</v>
      </c>
      <c r="J135" s="8">
        <v>0.25837320574162598</v>
      </c>
      <c r="K135" s="8" t="str">
        <f>_xlfn.CONCAT(dll[[#This Row],[lob]], " ", dll[[#This Row],[valid_vintage]])</f>
        <v>FRN 2019 Q2</v>
      </c>
    </row>
    <row r="136" spans="1:11" x14ac:dyDescent="0.35">
      <c r="A136" t="s">
        <v>148</v>
      </c>
      <c r="B136" t="s">
        <v>153</v>
      </c>
      <c r="C136" s="8">
        <v>3.0300000000000001E-2</v>
      </c>
      <c r="D136" s="8">
        <v>0.27704485488126601</v>
      </c>
      <c r="E136" s="8">
        <v>0.50131926121371995</v>
      </c>
      <c r="F136" s="8">
        <v>0.14379947229551401</v>
      </c>
      <c r="G136" s="8">
        <v>4.7493403693931298E-2</v>
      </c>
      <c r="H136" s="8">
        <v>0</v>
      </c>
      <c r="I136" s="8">
        <v>0.30734485488126601</v>
      </c>
      <c r="J136" s="8">
        <v>0.191292875989445</v>
      </c>
      <c r="K136" s="8" t="str">
        <f>_xlfn.CONCAT(dll[[#This Row],[lob]], " ", dll[[#This Row],[valid_vintage]])</f>
        <v>STG 2019 Q2</v>
      </c>
    </row>
    <row r="137" spans="1:11" x14ac:dyDescent="0.35">
      <c r="A137" t="s">
        <v>174</v>
      </c>
      <c r="B137" t="s">
        <v>153</v>
      </c>
      <c r="C137" s="8">
        <v>2.6800000000000001E-2</v>
      </c>
      <c r="D137" s="8">
        <v>0.29530201342281798</v>
      </c>
      <c r="E137" s="8">
        <v>0.50604026845637495</v>
      </c>
      <c r="F137" s="8">
        <v>0.12080536912751599</v>
      </c>
      <c r="G137" s="8">
        <v>5.1006711409395902E-2</v>
      </c>
      <c r="H137" s="8">
        <v>0</v>
      </c>
      <c r="I137" s="8">
        <v>0.32210201342281802</v>
      </c>
      <c r="J137" s="8">
        <v>0.17181208053691199</v>
      </c>
      <c r="K137" s="8" t="str">
        <f>_xlfn.CONCAT(dll[[#This Row],[lob]], " ", dll[[#This Row],[valid_vintage]])</f>
        <v>STG 2019 Q1</v>
      </c>
    </row>
    <row r="138" spans="1:11" x14ac:dyDescent="0.35">
      <c r="A138" t="s">
        <v>174</v>
      </c>
      <c r="B138" t="s">
        <v>149</v>
      </c>
      <c r="C138" s="8">
        <v>0</v>
      </c>
      <c r="D138" s="8">
        <v>0.32156862745098003</v>
      </c>
      <c r="E138" s="8">
        <v>0.58039215686274503</v>
      </c>
      <c r="F138" s="8">
        <v>8.2352941176470504E-2</v>
      </c>
      <c r="G138" s="8">
        <v>1.5686274509803901E-2</v>
      </c>
      <c r="H138" s="8">
        <v>0</v>
      </c>
      <c r="I138" s="8">
        <v>0.32156862745098003</v>
      </c>
      <c r="J138" s="8">
        <v>9.8039215686274495E-2</v>
      </c>
      <c r="K138" s="8" t="str">
        <f>_xlfn.CONCAT(dll[[#This Row],[lob]], " ", dll[[#This Row],[valid_vintage]])</f>
        <v>AN 2019 Q1</v>
      </c>
    </row>
    <row r="139" spans="1:11" x14ac:dyDescent="0.35">
      <c r="A139" t="s">
        <v>174</v>
      </c>
      <c r="B139" t="s">
        <v>155</v>
      </c>
      <c r="C139" s="8">
        <v>6.6600000000000006E-2</v>
      </c>
      <c r="D139" s="8">
        <v>0.33333333333333298</v>
      </c>
      <c r="E139" s="8">
        <v>0.6</v>
      </c>
      <c r="F139" s="8">
        <v>0</v>
      </c>
      <c r="G139" s="8">
        <v>0</v>
      </c>
      <c r="H139" s="8">
        <v>0</v>
      </c>
      <c r="I139" s="8">
        <v>0.39993333333333297</v>
      </c>
      <c r="J139" s="8">
        <v>0</v>
      </c>
      <c r="K139" s="8" t="str">
        <f>_xlfn.CONCAT(dll[[#This Row],[lob]], " ", dll[[#This Row],[valid_vintage]])</f>
        <v>FLD 2019 Q1</v>
      </c>
    </row>
    <row r="140" spans="1:11" x14ac:dyDescent="0.35">
      <c r="A140" t="s">
        <v>174</v>
      </c>
      <c r="B140" t="s">
        <v>151</v>
      </c>
      <c r="C140" s="8">
        <v>2.3999999999999998E-3</v>
      </c>
      <c r="D140" s="8">
        <v>7.9903147699757801E-2</v>
      </c>
      <c r="E140" s="8">
        <v>0.67554479418886104</v>
      </c>
      <c r="F140" s="8">
        <v>0.20096852300242099</v>
      </c>
      <c r="G140" s="8">
        <v>4.1162227602905499E-2</v>
      </c>
      <c r="H140" s="8">
        <v>0</v>
      </c>
      <c r="I140" s="8">
        <v>8.23031476997578E-2</v>
      </c>
      <c r="J140" s="8">
        <v>0.24213075060532599</v>
      </c>
      <c r="K140" s="8" t="str">
        <f>_xlfn.CONCAT(dll[[#This Row],[lob]], " ", dll[[#This Row],[valid_vintage]])</f>
        <v>FRN 2019 Q1</v>
      </c>
    </row>
    <row r="141" spans="1:11" x14ac:dyDescent="0.35">
      <c r="A141" t="s">
        <v>154</v>
      </c>
      <c r="B141" t="s">
        <v>155</v>
      </c>
      <c r="C141" s="8">
        <v>0</v>
      </c>
      <c r="D141" s="8">
        <v>0.3125</v>
      </c>
      <c r="E141" s="8">
        <v>0.625</v>
      </c>
      <c r="F141" s="8">
        <v>6.25E-2</v>
      </c>
      <c r="G141" s="8">
        <v>0</v>
      </c>
      <c r="H141" s="8">
        <v>0</v>
      </c>
      <c r="I141" s="8">
        <v>0.3125</v>
      </c>
      <c r="J141" s="8">
        <v>6.25E-2</v>
      </c>
      <c r="K141" s="8" t="str">
        <f>_xlfn.CONCAT(dll[[#This Row],[lob]], " ", dll[[#This Row],[valid_vintage]])</f>
        <v>FLD 2018 Q4</v>
      </c>
    </row>
    <row r="142" spans="1:11" x14ac:dyDescent="0.35">
      <c r="A142" t="s">
        <v>154</v>
      </c>
      <c r="B142" t="s">
        <v>149</v>
      </c>
      <c r="C142" s="8">
        <v>0</v>
      </c>
      <c r="D142" s="8">
        <v>0.37354085603112802</v>
      </c>
      <c r="E142" s="8">
        <v>0.52529182879377401</v>
      </c>
      <c r="F142" s="8">
        <v>7.3929961089494095E-2</v>
      </c>
      <c r="G142" s="8">
        <v>2.7237354085603099E-2</v>
      </c>
      <c r="H142" s="8">
        <v>0</v>
      </c>
      <c r="I142" s="8">
        <v>0.37354085603112802</v>
      </c>
      <c r="J142" s="8">
        <v>0.101167315175097</v>
      </c>
      <c r="K142" s="8" t="str">
        <f>_xlfn.CONCAT(dll[[#This Row],[lob]], " ", dll[[#This Row],[valid_vintage]])</f>
        <v>AN 2018 Q4</v>
      </c>
    </row>
    <row r="143" spans="1:11" x14ac:dyDescent="0.35">
      <c r="A143" t="s">
        <v>154</v>
      </c>
      <c r="B143" t="s">
        <v>151</v>
      </c>
      <c r="C143" s="8">
        <v>2.3E-3</v>
      </c>
      <c r="D143" s="8">
        <v>0.100238663484486</v>
      </c>
      <c r="E143" s="8">
        <v>0.64439140811455797</v>
      </c>
      <c r="F143" s="8">
        <v>0.21718377088305399</v>
      </c>
      <c r="G143" s="8">
        <v>3.5799522673030999E-2</v>
      </c>
      <c r="H143" s="8">
        <v>0</v>
      </c>
      <c r="I143" s="8">
        <v>0.102538663484486</v>
      </c>
      <c r="J143" s="8">
        <v>0.25298329355608501</v>
      </c>
      <c r="K143" s="8" t="str">
        <f>_xlfn.CONCAT(dll[[#This Row],[lob]], " ", dll[[#This Row],[valid_vintage]])</f>
        <v>FRN 2018 Q4</v>
      </c>
    </row>
    <row r="144" spans="1:11" x14ac:dyDescent="0.35">
      <c r="A144" t="s">
        <v>154</v>
      </c>
      <c r="B144" t="s">
        <v>153</v>
      </c>
      <c r="C144" s="8">
        <v>1.3899999999999999E-2</v>
      </c>
      <c r="D144" s="8">
        <v>0.28451882845188198</v>
      </c>
      <c r="E144" s="8">
        <v>0.49511854951185402</v>
      </c>
      <c r="F144" s="8">
        <v>0.16875871687587099</v>
      </c>
      <c r="G144" s="8">
        <v>3.7656903765690301E-2</v>
      </c>
      <c r="H144" s="8">
        <v>0</v>
      </c>
      <c r="I144" s="8">
        <v>0.298418828451882</v>
      </c>
      <c r="J144" s="8">
        <v>0.20641562064156199</v>
      </c>
      <c r="K144" s="8" t="str">
        <f>_xlfn.CONCAT(dll[[#This Row],[lob]], " ", dll[[#This Row],[valid_vintage]])</f>
        <v>STG 2018 Q4</v>
      </c>
    </row>
    <row r="145" spans="1:11" x14ac:dyDescent="0.35">
      <c r="A145" t="s">
        <v>170</v>
      </c>
      <c r="B145" t="s">
        <v>153</v>
      </c>
      <c r="C145" s="8">
        <v>1.46E-2</v>
      </c>
      <c r="D145" s="8">
        <v>0.30014641288433302</v>
      </c>
      <c r="E145" s="8">
        <v>0.54172767203513905</v>
      </c>
      <c r="F145" s="8">
        <v>0.115666178623718</v>
      </c>
      <c r="G145" s="8">
        <v>2.7818448023426E-2</v>
      </c>
      <c r="H145" s="8">
        <v>0</v>
      </c>
      <c r="I145" s="8">
        <v>0.31474641288433303</v>
      </c>
      <c r="J145" s="8">
        <v>0.14348462664714401</v>
      </c>
      <c r="K145" s="8" t="str">
        <f>_xlfn.CONCAT(dll[[#This Row],[lob]], " ", dll[[#This Row],[valid_vintage]])</f>
        <v>STG 2018 Q3</v>
      </c>
    </row>
    <row r="146" spans="1:11" x14ac:dyDescent="0.35">
      <c r="A146" t="s">
        <v>170</v>
      </c>
      <c r="B146" t="s">
        <v>151</v>
      </c>
      <c r="C146" s="8">
        <v>2.3E-3</v>
      </c>
      <c r="D146" s="8">
        <v>9.8321342925659402E-2</v>
      </c>
      <c r="E146" s="8">
        <v>0.63069544364508301</v>
      </c>
      <c r="F146" s="8">
        <v>0.22781774580335701</v>
      </c>
      <c r="G146" s="8">
        <v>4.0767386091126998E-2</v>
      </c>
      <c r="H146" s="8">
        <v>0</v>
      </c>
      <c r="I146" s="8">
        <v>0.100621342925659</v>
      </c>
      <c r="J146" s="8">
        <v>0.26858513189448402</v>
      </c>
      <c r="K146" s="8" t="str">
        <f>_xlfn.CONCAT(dll[[#This Row],[lob]], " ", dll[[#This Row],[valid_vintage]])</f>
        <v>FRN 2018 Q3</v>
      </c>
    </row>
    <row r="147" spans="1:11" x14ac:dyDescent="0.35">
      <c r="A147" t="s">
        <v>170</v>
      </c>
      <c r="B147" t="s">
        <v>149</v>
      </c>
      <c r="C147" s="8">
        <v>0</v>
      </c>
      <c r="D147" s="8">
        <v>0.36111111111111099</v>
      </c>
      <c r="E147" s="8">
        <v>0.57142857142857095</v>
      </c>
      <c r="F147" s="8">
        <v>4.7619047619047603E-2</v>
      </c>
      <c r="G147" s="8">
        <v>1.9841269841269799E-2</v>
      </c>
      <c r="H147" s="8">
        <v>0</v>
      </c>
      <c r="I147" s="8">
        <v>0.36111111111111099</v>
      </c>
      <c r="J147" s="8">
        <v>6.7460317460317401E-2</v>
      </c>
      <c r="K147" s="8" t="str">
        <f>_xlfn.CONCAT(dll[[#This Row],[lob]], " ", dll[[#This Row],[valid_vintage]])</f>
        <v>AN 2018 Q3</v>
      </c>
    </row>
    <row r="148" spans="1:11" x14ac:dyDescent="0.35">
      <c r="A148" t="s">
        <v>170</v>
      </c>
      <c r="B148" t="s">
        <v>155</v>
      </c>
      <c r="C148" s="8">
        <v>0</v>
      </c>
      <c r="D148" s="8">
        <v>0.25</v>
      </c>
      <c r="E148" s="8">
        <v>0.6875</v>
      </c>
      <c r="F148" s="8">
        <v>6.25E-2</v>
      </c>
      <c r="G148" s="8">
        <v>0</v>
      </c>
      <c r="H148" s="8">
        <v>0</v>
      </c>
      <c r="I148" s="8">
        <v>0.25</v>
      </c>
      <c r="J148" s="8">
        <v>6.25E-2</v>
      </c>
      <c r="K148" s="8" t="str">
        <f>_xlfn.CONCAT(dll[[#This Row],[lob]], " ", dll[[#This Row],[valid_vintage]])</f>
        <v>FLD 2018 Q3</v>
      </c>
    </row>
    <row r="149" spans="1:11" x14ac:dyDescent="0.35">
      <c r="A149" t="s">
        <v>157</v>
      </c>
      <c r="B149" t="s">
        <v>149</v>
      </c>
      <c r="C149" s="8">
        <v>4.0000000000000001E-3</v>
      </c>
      <c r="D149" s="8">
        <v>0.35199999999999998</v>
      </c>
      <c r="E149" s="8">
        <v>0.58399999999999996</v>
      </c>
      <c r="F149" s="8">
        <v>0.04</v>
      </c>
      <c r="G149" s="8">
        <v>0.02</v>
      </c>
      <c r="H149" s="8">
        <v>0</v>
      </c>
      <c r="I149" s="8">
        <v>0.35599999999999998</v>
      </c>
      <c r="J149" s="8">
        <v>0.06</v>
      </c>
      <c r="K149" s="8" t="str">
        <f>_xlfn.CONCAT(dll[[#This Row],[lob]], " ", dll[[#This Row],[valid_vintage]])</f>
        <v>AN 2018 Q2</v>
      </c>
    </row>
    <row r="150" spans="1:11" x14ac:dyDescent="0.35">
      <c r="A150" t="s">
        <v>157</v>
      </c>
      <c r="B150" t="s">
        <v>151</v>
      </c>
      <c r="C150" s="8">
        <v>2.3E-3</v>
      </c>
      <c r="D150" s="8">
        <v>9.7852028639618102E-2</v>
      </c>
      <c r="E150" s="8">
        <v>0.65155131264916399</v>
      </c>
      <c r="F150" s="8">
        <v>0.19570405727923601</v>
      </c>
      <c r="G150" s="8">
        <v>5.2505966587112103E-2</v>
      </c>
      <c r="H150" s="8">
        <v>0</v>
      </c>
      <c r="I150" s="8">
        <v>0.100152028639618</v>
      </c>
      <c r="J150" s="8">
        <v>0.248210023866348</v>
      </c>
      <c r="K150" s="8" t="str">
        <f>_xlfn.CONCAT(dll[[#This Row],[lob]], " ", dll[[#This Row],[valid_vintage]])</f>
        <v>FRN 2018 Q2</v>
      </c>
    </row>
    <row r="151" spans="1:11" x14ac:dyDescent="0.35">
      <c r="A151" t="s">
        <v>157</v>
      </c>
      <c r="B151" t="s">
        <v>153</v>
      </c>
      <c r="C151" s="8">
        <v>0</v>
      </c>
      <c r="D151" s="8">
        <v>0.32923076923076899</v>
      </c>
      <c r="E151" s="8">
        <v>0.54153846153846097</v>
      </c>
      <c r="F151" s="8">
        <v>0.1</v>
      </c>
      <c r="G151" s="8">
        <v>2.9230769230769199E-2</v>
      </c>
      <c r="H151" s="8">
        <v>0</v>
      </c>
      <c r="I151" s="8">
        <v>0.32923076923076899</v>
      </c>
      <c r="J151" s="8">
        <v>0.12923076923076901</v>
      </c>
      <c r="K151" s="8" t="str">
        <f>_xlfn.CONCAT(dll[[#This Row],[lob]], " ", dll[[#This Row],[valid_vintage]])</f>
        <v>STG 2018 Q2</v>
      </c>
    </row>
    <row r="152" spans="1:11" x14ac:dyDescent="0.35">
      <c r="A152" t="s">
        <v>157</v>
      </c>
      <c r="B152" t="s">
        <v>155</v>
      </c>
      <c r="C152" s="8">
        <v>0</v>
      </c>
      <c r="D152" s="8">
        <v>0.4375</v>
      </c>
      <c r="E152" s="8">
        <v>0.4375</v>
      </c>
      <c r="F152" s="8">
        <v>0.125</v>
      </c>
      <c r="G152" s="8">
        <v>0</v>
      </c>
      <c r="H152" s="8">
        <v>0</v>
      </c>
      <c r="I152" s="8">
        <v>0.4375</v>
      </c>
      <c r="J152" s="8">
        <v>0.125</v>
      </c>
      <c r="K152" s="8" t="str">
        <f>_xlfn.CONCAT(dll[[#This Row],[lob]], " ", dll[[#This Row],[valid_vintage]])</f>
        <v>FLD 2018 Q2</v>
      </c>
    </row>
    <row r="153" spans="1:11" x14ac:dyDescent="0.35">
      <c r="A153" t="s">
        <v>150</v>
      </c>
      <c r="B153" t="s">
        <v>151</v>
      </c>
      <c r="C153" s="8">
        <v>2.3E-3</v>
      </c>
      <c r="D153" s="8">
        <v>9.4339622641509399E-2</v>
      </c>
      <c r="E153" s="8">
        <v>0.64622641509433898</v>
      </c>
      <c r="F153" s="8">
        <v>0.219339622641509</v>
      </c>
      <c r="G153" s="8">
        <v>3.7735849056603703E-2</v>
      </c>
      <c r="H153" s="8">
        <v>0</v>
      </c>
      <c r="I153" s="8">
        <v>9.6639622641509396E-2</v>
      </c>
      <c r="J153" s="8">
        <v>0.25707547169811301</v>
      </c>
      <c r="K153" s="8" t="str">
        <f>_xlfn.CONCAT(dll[[#This Row],[lob]], " ", dll[[#This Row],[valid_vintage]])</f>
        <v>FRN 2018 Q1</v>
      </c>
    </row>
    <row r="154" spans="1:11" x14ac:dyDescent="0.35">
      <c r="A154" t="s">
        <v>150</v>
      </c>
      <c r="B154" t="s">
        <v>149</v>
      </c>
      <c r="C154" s="8">
        <v>0</v>
      </c>
      <c r="D154" s="8">
        <v>0.33603238866396701</v>
      </c>
      <c r="E154" s="8">
        <v>0.63157894736842102</v>
      </c>
      <c r="F154" s="8">
        <v>2.0242914979756998E-2</v>
      </c>
      <c r="G154" s="8">
        <v>1.2145748987854201E-2</v>
      </c>
      <c r="H154" s="8">
        <v>0</v>
      </c>
      <c r="I154" s="8">
        <v>0.33603238866396701</v>
      </c>
      <c r="J154" s="8">
        <v>3.2388663967611302E-2</v>
      </c>
      <c r="K154" s="8" t="str">
        <f>_xlfn.CONCAT(dll[[#This Row],[lob]], " ", dll[[#This Row],[valid_vintage]])</f>
        <v>AN 2018 Q1</v>
      </c>
    </row>
    <row r="155" spans="1:11" x14ac:dyDescent="0.35">
      <c r="A155" t="s">
        <v>150</v>
      </c>
      <c r="B155" t="s">
        <v>155</v>
      </c>
      <c r="C155" s="8">
        <v>0</v>
      </c>
      <c r="D155" s="8">
        <v>0.33333333333333298</v>
      </c>
      <c r="E155" s="8">
        <v>0.6</v>
      </c>
      <c r="F155" s="8">
        <v>6.6666666666666596E-2</v>
      </c>
      <c r="G155" s="8">
        <v>0</v>
      </c>
      <c r="H155" s="8">
        <v>0</v>
      </c>
      <c r="I155" s="8">
        <v>0.33333333333333298</v>
      </c>
      <c r="J155" s="8">
        <v>6.6666666666666596E-2</v>
      </c>
      <c r="K155" s="8" t="str">
        <f>_xlfn.CONCAT(dll[[#This Row],[lob]], " ", dll[[#This Row],[valid_vintage]])</f>
        <v>FLD 2018 Q1</v>
      </c>
    </row>
    <row r="156" spans="1:11" x14ac:dyDescent="0.35">
      <c r="A156" t="s">
        <v>150</v>
      </c>
      <c r="B156" t="s">
        <v>153</v>
      </c>
      <c r="C156" s="8">
        <v>0</v>
      </c>
      <c r="D156" s="8">
        <v>0.29593495934959302</v>
      </c>
      <c r="E156" s="8">
        <v>0.56422764227642197</v>
      </c>
      <c r="F156" s="8">
        <v>0.104065040650406</v>
      </c>
      <c r="G156" s="8">
        <v>3.5772357723577203E-2</v>
      </c>
      <c r="H156" s="8">
        <v>0</v>
      </c>
      <c r="I156" s="8">
        <v>0.29593495934959302</v>
      </c>
      <c r="J156" s="8">
        <v>0.13983739837398301</v>
      </c>
      <c r="K156" s="8" t="str">
        <f>_xlfn.CONCAT(dll[[#This Row],[lob]], " ", dll[[#This Row],[valid_vintage]])</f>
        <v>STG 2018 Q1</v>
      </c>
    </row>
    <row r="157" spans="1:11" x14ac:dyDescent="0.35">
      <c r="A157" t="s">
        <v>173</v>
      </c>
      <c r="B157" t="s">
        <v>149</v>
      </c>
      <c r="C157" s="8">
        <v>0</v>
      </c>
      <c r="D157" s="8">
        <v>0.31726907630522</v>
      </c>
      <c r="E157" s="8">
        <v>0.60642570281124397</v>
      </c>
      <c r="F157" s="8">
        <v>6.0240963855421603E-2</v>
      </c>
      <c r="G157" s="8">
        <v>1.60642570281124E-2</v>
      </c>
      <c r="H157" s="8">
        <v>0</v>
      </c>
      <c r="I157" s="8">
        <v>0.31726907630522</v>
      </c>
      <c r="J157" s="8">
        <v>7.63052208835341E-2</v>
      </c>
      <c r="K157" s="8" t="str">
        <f>_xlfn.CONCAT(dll[[#This Row],[lob]], " ", dll[[#This Row],[valid_vintage]])</f>
        <v>AN 2017 Q4</v>
      </c>
    </row>
    <row r="158" spans="1:11" x14ac:dyDescent="0.35">
      <c r="A158" t="s">
        <v>173</v>
      </c>
      <c r="B158" t="s">
        <v>151</v>
      </c>
      <c r="C158" s="8">
        <v>0</v>
      </c>
      <c r="D158" s="8">
        <v>9.4688221709006898E-2</v>
      </c>
      <c r="E158" s="8">
        <v>0.66281755196304804</v>
      </c>
      <c r="F158" s="8">
        <v>0.193995381062355</v>
      </c>
      <c r="G158" s="8">
        <v>4.8498845265588897E-2</v>
      </c>
      <c r="H158" s="8">
        <v>0</v>
      </c>
      <c r="I158" s="8">
        <v>9.4688221709006898E-2</v>
      </c>
      <c r="J158" s="8">
        <v>0.24249422632794401</v>
      </c>
      <c r="K158" s="8" t="str">
        <f>_xlfn.CONCAT(dll[[#This Row],[lob]], " ", dll[[#This Row],[valid_vintage]])</f>
        <v>FRN 2017 Q4</v>
      </c>
    </row>
    <row r="159" spans="1:11" x14ac:dyDescent="0.35">
      <c r="A159" t="s">
        <v>173</v>
      </c>
      <c r="B159" t="s">
        <v>153</v>
      </c>
      <c r="C159" s="8">
        <v>0</v>
      </c>
      <c r="D159" s="8">
        <v>0.28547297297297197</v>
      </c>
      <c r="E159" s="8">
        <v>0.58277027027026995</v>
      </c>
      <c r="F159" s="8">
        <v>0.10472972972972899</v>
      </c>
      <c r="G159" s="8">
        <v>2.7027027027027001E-2</v>
      </c>
      <c r="H159" s="8">
        <v>0</v>
      </c>
      <c r="I159" s="8">
        <v>0.28547297297297197</v>
      </c>
      <c r="J159" s="8">
        <v>0.13175675675675599</v>
      </c>
      <c r="K159" s="8" t="str">
        <f>_xlfn.CONCAT(dll[[#This Row],[lob]], " ", dll[[#This Row],[valid_vintage]])</f>
        <v>STG 2017 Q4</v>
      </c>
    </row>
    <row r="160" spans="1:11" x14ac:dyDescent="0.35">
      <c r="A160" t="s">
        <v>173</v>
      </c>
      <c r="B160" t="s">
        <v>155</v>
      </c>
      <c r="C160" s="8">
        <v>0</v>
      </c>
      <c r="D160" s="8">
        <v>0.61538461538461497</v>
      </c>
      <c r="E160" s="8">
        <v>0.38461538461538403</v>
      </c>
      <c r="F160" s="8">
        <v>0</v>
      </c>
      <c r="G160" s="8">
        <v>0</v>
      </c>
      <c r="H160" s="8">
        <v>0</v>
      </c>
      <c r="I160" s="8">
        <v>0.61538461538461497</v>
      </c>
      <c r="J160" s="8">
        <v>0</v>
      </c>
      <c r="K160" s="8" t="str">
        <f>_xlfn.CONCAT(dll[[#This Row],[lob]], " ", dll[[#This Row],[valid_vintage]])</f>
        <v>FLD 2017 Q4</v>
      </c>
    </row>
    <row r="161" spans="1:11" x14ac:dyDescent="0.35">
      <c r="A161" t="s">
        <v>186</v>
      </c>
      <c r="B161" t="s">
        <v>155</v>
      </c>
      <c r="C161" s="8">
        <v>0</v>
      </c>
      <c r="D161" s="8">
        <v>0.11111111111111099</v>
      </c>
      <c r="E161" s="8">
        <v>0.88888888888888795</v>
      </c>
      <c r="F161" s="8">
        <v>0</v>
      </c>
      <c r="G161" s="8">
        <v>0</v>
      </c>
      <c r="H161" s="8">
        <v>0</v>
      </c>
      <c r="I161" s="8">
        <v>0.11111111111111099</v>
      </c>
      <c r="J161" s="8">
        <v>0</v>
      </c>
      <c r="K161" s="8" t="str">
        <f>_xlfn.CONCAT(dll[[#This Row],[lob]], " ", dll[[#This Row],[valid_vintage]])</f>
        <v>FLD 2017 Q3</v>
      </c>
    </row>
    <row r="162" spans="1:11" x14ac:dyDescent="0.35">
      <c r="A162" t="s">
        <v>186</v>
      </c>
      <c r="B162" t="s">
        <v>149</v>
      </c>
      <c r="C162" s="8">
        <v>0</v>
      </c>
      <c r="D162" s="8">
        <v>0.252</v>
      </c>
      <c r="E162" s="8">
        <v>0.69599999999999995</v>
      </c>
      <c r="F162" s="8">
        <v>3.5999999999999997E-2</v>
      </c>
      <c r="G162" s="8">
        <v>1.6E-2</v>
      </c>
      <c r="H162" s="8">
        <v>0</v>
      </c>
      <c r="I162" s="8">
        <v>0.252</v>
      </c>
      <c r="J162" s="8">
        <v>5.1999999999999998E-2</v>
      </c>
      <c r="K162" s="8" t="str">
        <f>_xlfn.CONCAT(dll[[#This Row],[lob]], " ", dll[[#This Row],[valid_vintage]])</f>
        <v>AN 2017 Q3</v>
      </c>
    </row>
    <row r="163" spans="1:11" x14ac:dyDescent="0.35">
      <c r="A163" t="s">
        <v>186</v>
      </c>
      <c r="B163" t="s">
        <v>153</v>
      </c>
      <c r="C163" s="8">
        <v>5.3E-3</v>
      </c>
      <c r="D163" s="8">
        <v>0.330973451327433</v>
      </c>
      <c r="E163" s="8">
        <v>0.56637168141592897</v>
      </c>
      <c r="F163" s="8">
        <v>8.3185840707964601E-2</v>
      </c>
      <c r="G163" s="8">
        <v>1.41592920353982E-2</v>
      </c>
      <c r="H163" s="8">
        <v>0</v>
      </c>
      <c r="I163" s="8">
        <v>0.33627345132743303</v>
      </c>
      <c r="J163" s="8">
        <v>9.7345132743362803E-2</v>
      </c>
      <c r="K163" s="8" t="str">
        <f>_xlfn.CONCAT(dll[[#This Row],[lob]], " ", dll[[#This Row],[valid_vintage]])</f>
        <v>STG 2017 Q3</v>
      </c>
    </row>
    <row r="164" spans="1:11" x14ac:dyDescent="0.35">
      <c r="A164" t="s">
        <v>186</v>
      </c>
      <c r="B164" t="s">
        <v>151</v>
      </c>
      <c r="C164" s="8">
        <v>0</v>
      </c>
      <c r="D164" s="8">
        <v>7.9710144927536197E-2</v>
      </c>
      <c r="E164" s="8">
        <v>0.68599033816425103</v>
      </c>
      <c r="F164" s="8">
        <v>0.19806763285024101</v>
      </c>
      <c r="G164" s="8">
        <v>3.6231884057971002E-2</v>
      </c>
      <c r="H164" s="8">
        <v>0</v>
      </c>
      <c r="I164" s="8">
        <v>7.9710144927536197E-2</v>
      </c>
      <c r="J164" s="8">
        <v>0.23429951690821199</v>
      </c>
      <c r="K164" s="8" t="str">
        <f>_xlfn.CONCAT(dll[[#This Row],[lob]], " ", dll[[#This Row],[valid_vintage]])</f>
        <v>FRN 2017 Q3</v>
      </c>
    </row>
    <row r="165" spans="1:11" x14ac:dyDescent="0.35">
      <c r="A165" t="s">
        <v>179</v>
      </c>
      <c r="B165" t="s">
        <v>155</v>
      </c>
      <c r="C165" s="8">
        <v>0</v>
      </c>
      <c r="D165" s="8">
        <v>0.55555555555555503</v>
      </c>
      <c r="E165" s="8">
        <v>0.44444444444444398</v>
      </c>
      <c r="F165" s="8">
        <v>0</v>
      </c>
      <c r="G165" s="8">
        <v>0</v>
      </c>
      <c r="H165" s="8">
        <v>0</v>
      </c>
      <c r="I165" s="8">
        <v>0.55555555555555503</v>
      </c>
      <c r="J165" s="8">
        <v>0</v>
      </c>
      <c r="K165" s="8" t="str">
        <f>_xlfn.CONCAT(dll[[#This Row],[lob]], " ", dll[[#This Row],[valid_vintage]])</f>
        <v>FLD 2017 Q2</v>
      </c>
    </row>
    <row r="166" spans="1:11" x14ac:dyDescent="0.35">
      <c r="A166" t="s">
        <v>179</v>
      </c>
      <c r="B166" t="s">
        <v>149</v>
      </c>
      <c r="C166" s="8">
        <v>0</v>
      </c>
      <c r="D166" s="8">
        <v>0.303149606299212</v>
      </c>
      <c r="E166" s="8">
        <v>0.60629921259842501</v>
      </c>
      <c r="F166" s="8">
        <v>9.0551181102362197E-2</v>
      </c>
      <c r="G166" s="8">
        <v>0</v>
      </c>
      <c r="H166" s="8">
        <v>0</v>
      </c>
      <c r="I166" s="8">
        <v>0.303149606299212</v>
      </c>
      <c r="J166" s="8">
        <v>9.0551181102362197E-2</v>
      </c>
      <c r="K166" s="8" t="str">
        <f>_xlfn.CONCAT(dll[[#This Row],[lob]], " ", dll[[#This Row],[valid_vintage]])</f>
        <v>AN 2017 Q2</v>
      </c>
    </row>
    <row r="167" spans="1:11" x14ac:dyDescent="0.35">
      <c r="A167" t="s">
        <v>179</v>
      </c>
      <c r="B167" t="s">
        <v>151</v>
      </c>
      <c r="C167" s="8">
        <v>0</v>
      </c>
      <c r="D167" s="8">
        <v>8.9238845144356899E-2</v>
      </c>
      <c r="E167" s="8">
        <v>0.69553805774278199</v>
      </c>
      <c r="F167" s="8">
        <v>0.18897637795275499</v>
      </c>
      <c r="G167" s="8">
        <v>2.62467191601049E-2</v>
      </c>
      <c r="H167" s="8">
        <v>0</v>
      </c>
      <c r="I167" s="8">
        <v>8.9238845144356899E-2</v>
      </c>
      <c r="J167" s="8">
        <v>0.21522309711286</v>
      </c>
      <c r="K167" s="8" t="str">
        <f>_xlfn.CONCAT(dll[[#This Row],[lob]], " ", dll[[#This Row],[valid_vintage]])</f>
        <v>FRN 2017 Q2</v>
      </c>
    </row>
    <row r="168" spans="1:11" x14ac:dyDescent="0.35">
      <c r="A168" t="s">
        <v>179</v>
      </c>
      <c r="B168" t="s">
        <v>153</v>
      </c>
      <c r="C168" s="8">
        <v>1.3100000000000001E-2</v>
      </c>
      <c r="D168" s="8">
        <v>0.28947368421052599</v>
      </c>
      <c r="E168" s="8">
        <v>0.56578947368420995</v>
      </c>
      <c r="F168" s="8">
        <v>0.12030075187969901</v>
      </c>
      <c r="G168" s="8">
        <v>1.12781954887218E-2</v>
      </c>
      <c r="H168" s="8">
        <v>0</v>
      </c>
      <c r="I168" s="8">
        <v>0.30257368421052599</v>
      </c>
      <c r="J168" s="8">
        <v>0.13157894736842099</v>
      </c>
      <c r="K168" s="8" t="str">
        <f>_xlfn.CONCAT(dll[[#This Row],[lob]], " ", dll[[#This Row],[valid_vintage]])</f>
        <v>STG 2017 Q2</v>
      </c>
    </row>
    <row r="169" spans="1:11" x14ac:dyDescent="0.35">
      <c r="A169" t="s">
        <v>184</v>
      </c>
      <c r="B169" t="s">
        <v>153</v>
      </c>
      <c r="C169" s="8">
        <v>8.3000000000000001E-3</v>
      </c>
      <c r="D169" s="8">
        <v>0.34583333333333299</v>
      </c>
      <c r="E169" s="8">
        <v>0.56458333333333299</v>
      </c>
      <c r="F169" s="8">
        <v>6.6666666666666596E-2</v>
      </c>
      <c r="G169" s="8">
        <v>1.4583333333333301E-2</v>
      </c>
      <c r="H169" s="8">
        <v>0</v>
      </c>
      <c r="I169" s="8">
        <v>0.35413333333333302</v>
      </c>
      <c r="J169" s="8">
        <v>8.1249999999999906E-2</v>
      </c>
      <c r="K169" s="8" t="str">
        <f>_xlfn.CONCAT(dll[[#This Row],[lob]], " ", dll[[#This Row],[valid_vintage]])</f>
        <v>STG 2017 Q1</v>
      </c>
    </row>
    <row r="170" spans="1:11" x14ac:dyDescent="0.35">
      <c r="A170" t="s">
        <v>184</v>
      </c>
      <c r="B170" t="s">
        <v>155</v>
      </c>
      <c r="C170" s="8">
        <v>0</v>
      </c>
      <c r="D170" s="8">
        <v>0.25</v>
      </c>
      <c r="E170" s="8">
        <v>0.5</v>
      </c>
      <c r="F170" s="8">
        <v>0.25</v>
      </c>
      <c r="G170" s="8">
        <v>0</v>
      </c>
      <c r="H170" s="8">
        <v>0</v>
      </c>
      <c r="I170" s="8">
        <v>0.25</v>
      </c>
      <c r="J170" s="8">
        <v>0.25</v>
      </c>
      <c r="K170" s="8" t="str">
        <f>_xlfn.CONCAT(dll[[#This Row],[lob]], " ", dll[[#This Row],[valid_vintage]])</f>
        <v>FLD 2017 Q1</v>
      </c>
    </row>
    <row r="171" spans="1:11" x14ac:dyDescent="0.35">
      <c r="A171" t="s">
        <v>184</v>
      </c>
      <c r="B171" t="s">
        <v>149</v>
      </c>
      <c r="C171" s="8">
        <v>0</v>
      </c>
      <c r="D171" s="8">
        <v>0.37007874015747999</v>
      </c>
      <c r="E171" s="8">
        <v>0.535433070866141</v>
      </c>
      <c r="F171" s="8">
        <v>8.2677165354330701E-2</v>
      </c>
      <c r="G171" s="8">
        <v>1.1811023622047201E-2</v>
      </c>
      <c r="H171" s="8">
        <v>0</v>
      </c>
      <c r="I171" s="8">
        <v>0.37007874015747999</v>
      </c>
      <c r="J171" s="8">
        <v>9.4488188976377896E-2</v>
      </c>
      <c r="K171" s="8" t="str">
        <f>_xlfn.CONCAT(dll[[#This Row],[lob]], " ", dll[[#This Row],[valid_vintage]])</f>
        <v>AN 2017 Q1</v>
      </c>
    </row>
    <row r="172" spans="1:11" x14ac:dyDescent="0.35">
      <c r="A172" t="s">
        <v>184</v>
      </c>
      <c r="B172" t="s">
        <v>151</v>
      </c>
      <c r="C172" s="8">
        <v>0</v>
      </c>
      <c r="D172" s="8">
        <v>5.8011049723756897E-2</v>
      </c>
      <c r="E172" s="8">
        <v>0.74033149171270696</v>
      </c>
      <c r="F172" s="8">
        <v>0.17679558011049701</v>
      </c>
      <c r="G172" s="8">
        <v>2.48618784530386E-2</v>
      </c>
      <c r="H172" s="8">
        <v>0</v>
      </c>
      <c r="I172" s="8">
        <v>5.8011049723756897E-2</v>
      </c>
      <c r="J172" s="8">
        <v>0.20165745856353501</v>
      </c>
      <c r="K172" s="8" t="str">
        <f>_xlfn.CONCAT(dll[[#This Row],[lob]], " ", dll[[#This Row],[valid_vintage]])</f>
        <v>FRN 2017 Q1</v>
      </c>
    </row>
    <row r="173" spans="1:11" x14ac:dyDescent="0.35">
      <c r="A173" t="s">
        <v>156</v>
      </c>
      <c r="B173" t="s">
        <v>155</v>
      </c>
      <c r="C173" s="8">
        <v>0</v>
      </c>
      <c r="D173" s="8">
        <v>0.28571428571428498</v>
      </c>
      <c r="E173" s="8">
        <v>0.57142857142857095</v>
      </c>
      <c r="F173" s="8">
        <v>0</v>
      </c>
      <c r="G173" s="8">
        <v>0.14285714285714199</v>
      </c>
      <c r="H173" s="8">
        <v>0</v>
      </c>
      <c r="I173" s="8">
        <v>0.28571428571428498</v>
      </c>
      <c r="J173" s="8">
        <v>0.14285714285714199</v>
      </c>
      <c r="K173" s="8" t="str">
        <f>_xlfn.CONCAT(dll[[#This Row],[lob]], " ", dll[[#This Row],[valid_vintage]])</f>
        <v>FLD 2016 Q4</v>
      </c>
    </row>
    <row r="174" spans="1:11" x14ac:dyDescent="0.35">
      <c r="A174" t="s">
        <v>156</v>
      </c>
      <c r="B174" t="s">
        <v>153</v>
      </c>
      <c r="C174" s="8">
        <v>9.1000000000000004E-3</v>
      </c>
      <c r="D174" s="8">
        <v>0.26255707762557001</v>
      </c>
      <c r="E174" s="8">
        <v>0.66894977168949699</v>
      </c>
      <c r="F174" s="8">
        <v>5.4794520547945202E-2</v>
      </c>
      <c r="G174" s="8">
        <v>4.5662100456621002E-3</v>
      </c>
      <c r="H174" s="8">
        <v>0</v>
      </c>
      <c r="I174" s="8">
        <v>0.27165707762557001</v>
      </c>
      <c r="J174" s="8">
        <v>5.9360730593607303E-2</v>
      </c>
      <c r="K174" s="8" t="str">
        <f>_xlfn.CONCAT(dll[[#This Row],[lob]], " ", dll[[#This Row],[valid_vintage]])</f>
        <v>STG 2016 Q4</v>
      </c>
    </row>
    <row r="175" spans="1:11" x14ac:dyDescent="0.35">
      <c r="A175" t="s">
        <v>156</v>
      </c>
      <c r="B175" t="s">
        <v>151</v>
      </c>
      <c r="C175" s="8">
        <v>0</v>
      </c>
      <c r="D175" s="8">
        <v>5.2631578947368397E-2</v>
      </c>
      <c r="E175" s="8">
        <v>0.74853801169590595</v>
      </c>
      <c r="F175" s="8">
        <v>0.19298245614035001</v>
      </c>
      <c r="G175" s="8">
        <v>5.84795321637426E-3</v>
      </c>
      <c r="H175" s="8">
        <v>0</v>
      </c>
      <c r="I175" s="8">
        <v>5.2631578947368397E-2</v>
      </c>
      <c r="J175" s="8">
        <v>0.198830409356725</v>
      </c>
      <c r="K175" s="8" t="str">
        <f>_xlfn.CONCAT(dll[[#This Row],[lob]], " ", dll[[#This Row],[valid_vintage]])</f>
        <v>FRN 2016 Q4</v>
      </c>
    </row>
    <row r="176" spans="1:11" x14ac:dyDescent="0.35">
      <c r="A176" t="s">
        <v>156</v>
      </c>
      <c r="B176" t="s">
        <v>149</v>
      </c>
      <c r="C176" s="8">
        <v>0</v>
      </c>
      <c r="D176" s="8">
        <v>0.33466135458167301</v>
      </c>
      <c r="E176" s="8">
        <v>0.58565737051792799</v>
      </c>
      <c r="F176" s="8">
        <v>7.1713147410358502E-2</v>
      </c>
      <c r="G176" s="8">
        <v>7.9681274900398405E-3</v>
      </c>
      <c r="H176" s="8">
        <v>0</v>
      </c>
      <c r="I176" s="8">
        <v>0.33466135458167301</v>
      </c>
      <c r="J176" s="8">
        <v>7.9681274900398405E-2</v>
      </c>
      <c r="K176" s="8" t="str">
        <f>_xlfn.CONCAT(dll[[#This Row],[lob]], " ", dll[[#This Row],[valid_vintage]])</f>
        <v>AN 2016 Q4</v>
      </c>
    </row>
    <row r="177" spans="1:11" x14ac:dyDescent="0.35">
      <c r="A177" t="s">
        <v>182</v>
      </c>
      <c r="B177" t="s">
        <v>155</v>
      </c>
      <c r="C177" s="8">
        <v>0</v>
      </c>
      <c r="D177" s="8">
        <v>0.71428571428571397</v>
      </c>
      <c r="E177" s="8">
        <v>0.14285714285714199</v>
      </c>
      <c r="F177" s="8">
        <v>0.14285714285714199</v>
      </c>
      <c r="G177" s="8">
        <v>0</v>
      </c>
      <c r="H177" s="8">
        <v>0</v>
      </c>
      <c r="I177" s="8">
        <v>0.71428571428571397</v>
      </c>
      <c r="J177" s="8">
        <v>0.14285714285714199</v>
      </c>
      <c r="K177" s="8" t="str">
        <f>_xlfn.CONCAT(dll[[#This Row],[lob]], " ", dll[[#This Row],[valid_vintage]])</f>
        <v>FLD 2016 Q3</v>
      </c>
    </row>
    <row r="178" spans="1:11" x14ac:dyDescent="0.35">
      <c r="A178" t="s">
        <v>182</v>
      </c>
      <c r="B178" t="s">
        <v>149</v>
      </c>
      <c r="C178" s="8">
        <v>0</v>
      </c>
      <c r="D178" s="8">
        <v>0.318965517241379</v>
      </c>
      <c r="E178" s="8">
        <v>0.625</v>
      </c>
      <c r="F178" s="8">
        <v>4.7413793103448197E-2</v>
      </c>
      <c r="G178" s="8">
        <v>8.6206896551724102E-3</v>
      </c>
      <c r="H178" s="8">
        <v>0</v>
      </c>
      <c r="I178" s="8">
        <v>0.318965517241379</v>
      </c>
      <c r="J178" s="8">
        <v>5.60344827586206E-2</v>
      </c>
      <c r="K178" s="8" t="str">
        <f>_xlfn.CONCAT(dll[[#This Row],[lob]], " ", dll[[#This Row],[valid_vintage]])</f>
        <v>AN 2016 Q3</v>
      </c>
    </row>
    <row r="179" spans="1:11" x14ac:dyDescent="0.35">
      <c r="A179" t="s">
        <v>182</v>
      </c>
      <c r="B179" t="s">
        <v>151</v>
      </c>
      <c r="C179" s="8">
        <v>0</v>
      </c>
      <c r="D179" s="8">
        <v>5.9936908517350097E-2</v>
      </c>
      <c r="E179" s="8">
        <v>0.72555205047318605</v>
      </c>
      <c r="F179" s="8">
        <v>0.173501577287066</v>
      </c>
      <c r="G179" s="8">
        <v>4.1009463722397402E-2</v>
      </c>
      <c r="H179" s="8">
        <v>0</v>
      </c>
      <c r="I179" s="8">
        <v>5.9936908517350097E-2</v>
      </c>
      <c r="J179" s="8">
        <v>0.214511041009463</v>
      </c>
      <c r="K179" s="8" t="str">
        <f>_xlfn.CONCAT(dll[[#This Row],[lob]], " ", dll[[#This Row],[valid_vintage]])</f>
        <v>FRN 2016 Q3</v>
      </c>
    </row>
    <row r="180" spans="1:11" x14ac:dyDescent="0.35">
      <c r="A180" t="s">
        <v>182</v>
      </c>
      <c r="B180" t="s">
        <v>153</v>
      </c>
      <c r="C180" s="8">
        <v>0</v>
      </c>
      <c r="D180" s="8">
        <v>0.384210526315789</v>
      </c>
      <c r="E180" s="8">
        <v>0.53947368421052599</v>
      </c>
      <c r="F180" s="8">
        <v>7.3684210526315699E-2</v>
      </c>
      <c r="G180" s="8">
        <v>2.6315789473684201E-3</v>
      </c>
      <c r="H180" s="8">
        <v>0</v>
      </c>
      <c r="I180" s="8">
        <v>0.384210526315789</v>
      </c>
      <c r="J180" s="8">
        <v>7.6315789473684198E-2</v>
      </c>
      <c r="K180" s="8" t="str">
        <f>_xlfn.CONCAT(dll[[#This Row],[lob]], " ", dll[[#This Row],[valid_vintage]])</f>
        <v>STG 2016 Q3</v>
      </c>
    </row>
    <row r="181" spans="1:11" x14ac:dyDescent="0.35">
      <c r="A181" t="s">
        <v>158</v>
      </c>
      <c r="B181" t="s">
        <v>149</v>
      </c>
      <c r="C181" s="8">
        <v>0</v>
      </c>
      <c r="D181" s="8">
        <v>0.32599118942731198</v>
      </c>
      <c r="E181" s="8">
        <v>0.62114537444933904</v>
      </c>
      <c r="F181" s="8">
        <v>4.8458149779735601E-2</v>
      </c>
      <c r="G181" s="8">
        <v>4.40528634361233E-3</v>
      </c>
      <c r="H181" s="8">
        <v>0</v>
      </c>
      <c r="I181" s="8">
        <v>0.32599118942731198</v>
      </c>
      <c r="J181" s="8">
        <v>5.2863436123347998E-2</v>
      </c>
      <c r="K181" s="8" t="str">
        <f>_xlfn.CONCAT(dll[[#This Row],[lob]], " ", dll[[#This Row],[valid_vintage]])</f>
        <v>AN 2016 Q2</v>
      </c>
    </row>
    <row r="182" spans="1:11" x14ac:dyDescent="0.35">
      <c r="A182" t="s">
        <v>158</v>
      </c>
      <c r="B182" t="s">
        <v>151</v>
      </c>
      <c r="C182" s="8">
        <v>3.2000000000000002E-3</v>
      </c>
      <c r="D182" s="8">
        <v>4.5161290322580601E-2</v>
      </c>
      <c r="E182" s="8">
        <v>0.72258064516128995</v>
      </c>
      <c r="F182" s="8">
        <v>0.18387096774193501</v>
      </c>
      <c r="G182" s="8">
        <v>4.5161290322580601E-2</v>
      </c>
      <c r="H182" s="8">
        <v>0</v>
      </c>
      <c r="I182" s="8">
        <v>4.8361290322580602E-2</v>
      </c>
      <c r="J182" s="8">
        <v>0.22903225806451599</v>
      </c>
      <c r="K182" s="8" t="str">
        <f>_xlfn.CONCAT(dll[[#This Row],[lob]], " ", dll[[#This Row],[valid_vintage]])</f>
        <v>FRN 2016 Q2</v>
      </c>
    </row>
    <row r="183" spans="1:11" x14ac:dyDescent="0.35">
      <c r="A183" t="s">
        <v>158</v>
      </c>
      <c r="B183" t="s">
        <v>155</v>
      </c>
      <c r="C183" s="8">
        <v>0</v>
      </c>
      <c r="D183" s="8">
        <v>0.71428571428571397</v>
      </c>
      <c r="E183" s="8">
        <v>0.28571428571428498</v>
      </c>
      <c r="F183" s="8">
        <v>0</v>
      </c>
      <c r="G183" s="8">
        <v>0</v>
      </c>
      <c r="H183" s="8">
        <v>0</v>
      </c>
      <c r="I183" s="8">
        <v>0.71428571428571397</v>
      </c>
      <c r="J183" s="8">
        <v>0</v>
      </c>
      <c r="K183" s="8" t="str">
        <f>_xlfn.CONCAT(dll[[#This Row],[lob]], " ", dll[[#This Row],[valid_vintage]])</f>
        <v>FLD 2016 Q2</v>
      </c>
    </row>
    <row r="184" spans="1:11" x14ac:dyDescent="0.35">
      <c r="A184" t="s">
        <v>158</v>
      </c>
      <c r="B184" t="s">
        <v>153</v>
      </c>
      <c r="C184" s="8">
        <v>3.4200000000000001E-2</v>
      </c>
      <c r="D184" s="8">
        <v>0.41744548286604299</v>
      </c>
      <c r="E184" s="8">
        <v>0.47040498442367601</v>
      </c>
      <c r="F184" s="8">
        <v>7.1651090342679094E-2</v>
      </c>
      <c r="G184" s="8">
        <v>6.2305295950155701E-3</v>
      </c>
      <c r="H184" s="8">
        <v>0</v>
      </c>
      <c r="I184" s="8">
        <v>0.451645482866043</v>
      </c>
      <c r="J184" s="8">
        <v>7.7881619937694602E-2</v>
      </c>
      <c r="K184" s="8" t="str">
        <f>_xlfn.CONCAT(dll[[#This Row],[lob]], " ", dll[[#This Row],[valid_vintage]])</f>
        <v>STG 2016 Q2</v>
      </c>
    </row>
    <row r="185" spans="1:11" x14ac:dyDescent="0.35">
      <c r="A185" t="s">
        <v>183</v>
      </c>
      <c r="B185" t="s">
        <v>151</v>
      </c>
      <c r="C185" s="8">
        <v>3.2000000000000002E-3</v>
      </c>
      <c r="D185" s="8">
        <v>2.61437908496732E-2</v>
      </c>
      <c r="E185" s="8">
        <v>0.72549019607843102</v>
      </c>
      <c r="F185" s="8">
        <v>0.19934640522875799</v>
      </c>
      <c r="G185" s="8">
        <v>4.5751633986928102E-2</v>
      </c>
      <c r="H185" s="8">
        <v>0</v>
      </c>
      <c r="I185" s="8">
        <v>2.9343790849673201E-2</v>
      </c>
      <c r="J185" s="8">
        <v>0.24509803921568599</v>
      </c>
      <c r="K185" s="8" t="str">
        <f>_xlfn.CONCAT(dll[[#This Row],[lob]], " ", dll[[#This Row],[valid_vintage]])</f>
        <v>FRN 2016 Q1</v>
      </c>
    </row>
    <row r="186" spans="1:11" x14ac:dyDescent="0.35">
      <c r="A186" t="s">
        <v>183</v>
      </c>
      <c r="B186" t="s">
        <v>149</v>
      </c>
      <c r="C186" s="8">
        <v>0</v>
      </c>
      <c r="D186" s="8">
        <v>0.44052863436123302</v>
      </c>
      <c r="E186" s="8">
        <v>0.48017621145374401</v>
      </c>
      <c r="F186" s="8">
        <v>7.9295154185022004E-2</v>
      </c>
      <c r="G186" s="8">
        <v>0</v>
      </c>
      <c r="H186" s="8">
        <v>0</v>
      </c>
      <c r="I186" s="8">
        <v>0.44052863436123302</v>
      </c>
      <c r="J186" s="8">
        <v>7.9295154185022004E-2</v>
      </c>
      <c r="K186" s="8" t="str">
        <f>_xlfn.CONCAT(dll[[#This Row],[lob]], " ", dll[[#This Row],[valid_vintage]])</f>
        <v>AN 2016 Q1</v>
      </c>
    </row>
    <row r="187" spans="1:11" x14ac:dyDescent="0.35">
      <c r="A187" t="s">
        <v>183</v>
      </c>
      <c r="B187" t="s">
        <v>155</v>
      </c>
      <c r="C187" s="8">
        <v>0</v>
      </c>
      <c r="D187" s="8">
        <v>0.42857142857142799</v>
      </c>
      <c r="E187" s="8">
        <v>0.57142857142857095</v>
      </c>
      <c r="F187" s="8">
        <v>0</v>
      </c>
      <c r="G187" s="8">
        <v>0</v>
      </c>
      <c r="H187" s="8">
        <v>0</v>
      </c>
      <c r="I187" s="8">
        <v>0.42857142857142799</v>
      </c>
      <c r="J187" s="8">
        <v>0</v>
      </c>
      <c r="K187" s="8" t="str">
        <f>_xlfn.CONCAT(dll[[#This Row],[lob]], " ", dll[[#This Row],[valid_vintage]])</f>
        <v>FLD 2016 Q1</v>
      </c>
    </row>
    <row r="188" spans="1:11" x14ac:dyDescent="0.35">
      <c r="A188" t="s">
        <v>183</v>
      </c>
      <c r="B188" t="s">
        <v>153</v>
      </c>
      <c r="C188" s="8">
        <v>2.8299999999999999E-2</v>
      </c>
      <c r="D188" s="8">
        <v>0.35460992907801397</v>
      </c>
      <c r="E188" s="8">
        <v>0.54609929078014097</v>
      </c>
      <c r="F188" s="8">
        <v>6.3829787234042507E-2</v>
      </c>
      <c r="G188" s="8">
        <v>7.09219858156028E-3</v>
      </c>
      <c r="H188" s="8">
        <v>0</v>
      </c>
      <c r="I188" s="8">
        <v>0.38290992907801402</v>
      </c>
      <c r="J188" s="8">
        <v>7.09219858156028E-2</v>
      </c>
      <c r="K188" s="8" t="str">
        <f>_xlfn.CONCAT(dll[[#This Row],[lob]], " ", dll[[#This Row],[valid_vintage]])</f>
        <v>STG 2016 Q1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89B4A-0AD5-45AC-911F-37C38CF30598}">
  <sheetPr>
    <tabColor theme="5"/>
  </sheetPr>
  <dimension ref="A1:G55"/>
  <sheetViews>
    <sheetView zoomScale="175" zoomScaleNormal="175" workbookViewId="0">
      <selection activeCell="F29" sqref="F29"/>
    </sheetView>
  </sheetViews>
  <sheetFormatPr defaultRowHeight="14.5" x14ac:dyDescent="0.35"/>
  <cols>
    <col min="1" max="1" width="14.90625" customWidth="1"/>
    <col min="2" max="2" width="13.26953125" customWidth="1"/>
    <col min="3" max="6" width="10.81640625" customWidth="1"/>
    <col min="7" max="7" width="12.08984375" bestFit="1" customWidth="1"/>
  </cols>
  <sheetData>
    <row r="1" spans="1:7" x14ac:dyDescent="0.35">
      <c r="A1" t="s">
        <v>203</v>
      </c>
      <c r="B1" t="s">
        <v>139</v>
      </c>
      <c r="C1" t="s">
        <v>207</v>
      </c>
      <c r="D1" t="s">
        <v>208</v>
      </c>
      <c r="E1" t="s">
        <v>204</v>
      </c>
      <c r="F1" t="s">
        <v>205</v>
      </c>
      <c r="G1" t="s">
        <v>189</v>
      </c>
    </row>
    <row r="2" spans="1:7" x14ac:dyDescent="0.35">
      <c r="A2" t="s">
        <v>152</v>
      </c>
      <c r="B2" t="s">
        <v>149</v>
      </c>
      <c r="C2">
        <v>0.18459999999999999</v>
      </c>
      <c r="D2">
        <v>0.1658</v>
      </c>
      <c r="E2">
        <v>5.28E-2</v>
      </c>
      <c r="F2">
        <v>0.13220000000000001</v>
      </c>
      <c r="G2" t="str">
        <f>_xlfn.CONCAT(dq[[#This Row],[lob]]," ", dq[[#This Row],[vintage]])</f>
        <v>AN 2023 Q3</v>
      </c>
    </row>
    <row r="3" spans="1:7" x14ac:dyDescent="0.35">
      <c r="A3" t="s">
        <v>166</v>
      </c>
      <c r="B3" t="s">
        <v>149</v>
      </c>
      <c r="C3">
        <v>0.14779999999999999</v>
      </c>
      <c r="D3">
        <v>0.13800000000000001</v>
      </c>
      <c r="E3">
        <v>3.7999999999999999E-2</v>
      </c>
      <c r="F3">
        <v>0.1305</v>
      </c>
      <c r="G3" t="str">
        <f>_xlfn.CONCAT(dq[[#This Row],[lob]]," ", dq[[#This Row],[vintage]])</f>
        <v>AN 2023 Q4</v>
      </c>
    </row>
    <row r="4" spans="1:7" x14ac:dyDescent="0.35">
      <c r="A4" t="s">
        <v>167</v>
      </c>
      <c r="B4" t="s">
        <v>149</v>
      </c>
      <c r="C4">
        <v>0.15179999999999999</v>
      </c>
      <c r="D4">
        <v>0.16250000000000001</v>
      </c>
      <c r="E4">
        <v>3.6400000000000002E-2</v>
      </c>
      <c r="F4">
        <v>0.1368</v>
      </c>
      <c r="G4" t="str">
        <f>_xlfn.CONCAT(dq[[#This Row],[lob]]," ", dq[[#This Row],[vintage]])</f>
        <v>AN 2024 Q1</v>
      </c>
    </row>
    <row r="5" spans="1:7" x14ac:dyDescent="0.35">
      <c r="A5" t="s">
        <v>163</v>
      </c>
      <c r="B5" t="s">
        <v>149</v>
      </c>
      <c r="C5">
        <v>0.1709</v>
      </c>
      <c r="D5">
        <v>0.17469999999999999</v>
      </c>
      <c r="E5">
        <v>4.4600000000000001E-2</v>
      </c>
      <c r="F5">
        <v>0.1401</v>
      </c>
      <c r="G5" t="str">
        <f>_xlfn.CONCAT(dq[[#This Row],[lob]]," ", dq[[#This Row],[vintage]])</f>
        <v>AN 2024 Q2</v>
      </c>
    </row>
    <row r="6" spans="1:7" x14ac:dyDescent="0.35">
      <c r="A6" t="s">
        <v>160</v>
      </c>
      <c r="B6" t="s">
        <v>149</v>
      </c>
      <c r="C6">
        <v>0.16789999999999999</v>
      </c>
      <c r="D6">
        <v>0.16880000000000001</v>
      </c>
      <c r="E6">
        <v>4.4900000000000002E-2</v>
      </c>
      <c r="F6">
        <v>0.14199999999999999</v>
      </c>
      <c r="G6" t="str">
        <f>_xlfn.CONCAT(dq[[#This Row],[lob]]," ", dq[[#This Row],[vintage]])</f>
        <v>AN 2024 Q3</v>
      </c>
    </row>
    <row r="7" spans="1:7" x14ac:dyDescent="0.35">
      <c r="A7" t="s">
        <v>126</v>
      </c>
      <c r="B7" t="s">
        <v>149</v>
      </c>
      <c r="C7">
        <v>0.16830000000000001</v>
      </c>
      <c r="D7">
        <v>0.14940000000000001</v>
      </c>
      <c r="E7">
        <v>3.5799999999999998E-2</v>
      </c>
      <c r="F7">
        <v>0.15210000000000001</v>
      </c>
      <c r="G7" t="str">
        <f>_xlfn.CONCAT(dq[[#This Row],[lob]]," ", dq[[#This Row],[vintage]])</f>
        <v>AN 2024 Q4</v>
      </c>
    </row>
    <row r="8" spans="1:7" x14ac:dyDescent="0.35">
      <c r="A8" t="s">
        <v>128</v>
      </c>
      <c r="B8" t="s">
        <v>149</v>
      </c>
      <c r="C8">
        <v>0.1923</v>
      </c>
      <c r="D8">
        <v>0.18579999999999999</v>
      </c>
      <c r="E8">
        <v>4.8399999999999999E-2</v>
      </c>
      <c r="F8">
        <v>0.15790000000000001</v>
      </c>
      <c r="G8" t="str">
        <f>_xlfn.CONCAT(dq[[#This Row],[lob]]," ", dq[[#This Row],[vintage]])</f>
        <v>AN 2025 Q1</v>
      </c>
    </row>
    <row r="9" spans="1:7" x14ac:dyDescent="0.35">
      <c r="A9" t="s">
        <v>129</v>
      </c>
      <c r="B9" t="s">
        <v>149</v>
      </c>
      <c r="C9">
        <v>0.16830000000000001</v>
      </c>
      <c r="D9">
        <v>0.17749999999999999</v>
      </c>
      <c r="E9">
        <v>3.8199999999999998E-2</v>
      </c>
      <c r="G9" t="str">
        <f>_xlfn.CONCAT(dq[[#This Row],[lob]]," ", dq[[#This Row],[vintage]])</f>
        <v>AN 2025 Q2</v>
      </c>
    </row>
    <row r="10" spans="1:7" x14ac:dyDescent="0.35">
      <c r="A10" t="s">
        <v>130</v>
      </c>
      <c r="B10" t="s">
        <v>149</v>
      </c>
      <c r="C10">
        <v>0.1724</v>
      </c>
      <c r="D10">
        <v>0.16930000000000001</v>
      </c>
      <c r="E10">
        <v>2.6499999999999999E-2</v>
      </c>
      <c r="G10" t="str">
        <f>_xlfn.CONCAT(dq[[#This Row],[lob]]," ", dq[[#This Row],[vintage]])</f>
        <v>AN 2025 Q3</v>
      </c>
    </row>
    <row r="11" spans="1:7" x14ac:dyDescent="0.35">
      <c r="A11" t="s">
        <v>152</v>
      </c>
      <c r="B11" t="s">
        <v>122</v>
      </c>
      <c r="C11">
        <v>0.1628</v>
      </c>
      <c r="D11">
        <v>0.18140000000000001</v>
      </c>
      <c r="E11">
        <v>3.4799999999999998E-2</v>
      </c>
      <c r="F11">
        <v>0.1416</v>
      </c>
      <c r="G11" t="str">
        <f>_xlfn.CONCAT(dq[[#This Row],[lob]]," ", dq[[#This Row],[vintage]])</f>
        <v>ENT 2023 Q3</v>
      </c>
    </row>
    <row r="12" spans="1:7" x14ac:dyDescent="0.35">
      <c r="A12" t="s">
        <v>166</v>
      </c>
      <c r="B12" t="s">
        <v>122</v>
      </c>
      <c r="C12">
        <v>0.15609999999999999</v>
      </c>
      <c r="D12">
        <v>0.1573</v>
      </c>
      <c r="E12">
        <v>3.0700000000000002E-2</v>
      </c>
      <c r="F12">
        <v>0.1298</v>
      </c>
      <c r="G12" t="str">
        <f>_xlfn.CONCAT(dq[[#This Row],[lob]]," ", dq[[#This Row],[vintage]])</f>
        <v>ENT 2023 Q4</v>
      </c>
    </row>
    <row r="13" spans="1:7" x14ac:dyDescent="0.35">
      <c r="A13" t="s">
        <v>167</v>
      </c>
      <c r="B13" t="s">
        <v>122</v>
      </c>
      <c r="C13">
        <v>0.1618</v>
      </c>
      <c r="D13">
        <v>0.18099999999999999</v>
      </c>
      <c r="E13">
        <v>3.2199999999999999E-2</v>
      </c>
      <c r="F13">
        <v>0.13109999999999999</v>
      </c>
      <c r="G13" t="str">
        <f>_xlfn.CONCAT(dq[[#This Row],[lob]]," ", dq[[#This Row],[vintage]])</f>
        <v>ENT 2024 Q1</v>
      </c>
    </row>
    <row r="14" spans="1:7" x14ac:dyDescent="0.35">
      <c r="A14" t="s">
        <v>163</v>
      </c>
      <c r="B14" t="s">
        <v>122</v>
      </c>
      <c r="C14">
        <v>0.1946</v>
      </c>
      <c r="D14">
        <v>0.18390000000000001</v>
      </c>
      <c r="E14">
        <v>3.6600000000000001E-2</v>
      </c>
      <c r="F14">
        <v>0.12479999999999999</v>
      </c>
      <c r="G14" t="str">
        <f>_xlfn.CONCAT(dq[[#This Row],[lob]]," ", dq[[#This Row],[vintage]])</f>
        <v>ENT 2024 Q2</v>
      </c>
    </row>
    <row r="15" spans="1:7" x14ac:dyDescent="0.35">
      <c r="A15" t="s">
        <v>160</v>
      </c>
      <c r="B15" t="s">
        <v>122</v>
      </c>
      <c r="C15">
        <v>0.17330000000000001</v>
      </c>
      <c r="D15">
        <v>0.1842</v>
      </c>
      <c r="E15">
        <v>3.0300000000000001E-2</v>
      </c>
      <c r="F15">
        <v>0.1244</v>
      </c>
      <c r="G15" t="str">
        <f>_xlfn.CONCAT(dq[[#This Row],[lob]]," ", dq[[#This Row],[vintage]])</f>
        <v>ENT 2024 Q3</v>
      </c>
    </row>
    <row r="16" spans="1:7" x14ac:dyDescent="0.35">
      <c r="A16" t="s">
        <v>126</v>
      </c>
      <c r="B16" t="s">
        <v>122</v>
      </c>
      <c r="C16">
        <v>0.19769999999999999</v>
      </c>
      <c r="D16">
        <v>0.1731</v>
      </c>
      <c r="E16">
        <v>3.4099999999999998E-2</v>
      </c>
      <c r="F16">
        <v>0.1492</v>
      </c>
      <c r="G16" t="str">
        <f>_xlfn.CONCAT(dq[[#This Row],[lob]]," ", dq[[#This Row],[vintage]])</f>
        <v>ENT 2024 Q4</v>
      </c>
    </row>
    <row r="17" spans="1:7" x14ac:dyDescent="0.35">
      <c r="A17" t="s">
        <v>128</v>
      </c>
      <c r="B17" t="s">
        <v>122</v>
      </c>
      <c r="C17">
        <v>0.1988</v>
      </c>
      <c r="D17">
        <v>0.2152</v>
      </c>
      <c r="E17">
        <v>4.1200000000000001E-2</v>
      </c>
      <c r="F17">
        <v>0.1358</v>
      </c>
      <c r="G17" t="str">
        <f>_xlfn.CONCAT(dq[[#This Row],[lob]]," ", dq[[#This Row],[vintage]])</f>
        <v>ENT 2025 Q1</v>
      </c>
    </row>
    <row r="18" spans="1:7" x14ac:dyDescent="0.35">
      <c r="A18" t="s">
        <v>129</v>
      </c>
      <c r="B18" t="s">
        <v>122</v>
      </c>
      <c r="C18">
        <v>0.23569999999999999</v>
      </c>
      <c r="D18">
        <v>0.21790000000000001</v>
      </c>
      <c r="E18">
        <v>4.6800000000000001E-2</v>
      </c>
      <c r="G18" t="str">
        <f>_xlfn.CONCAT(dq[[#This Row],[lob]]," ", dq[[#This Row],[vintage]])</f>
        <v>ENT 2025 Q2</v>
      </c>
    </row>
    <row r="19" spans="1:7" x14ac:dyDescent="0.35">
      <c r="A19" t="s">
        <v>130</v>
      </c>
      <c r="B19" t="s">
        <v>122</v>
      </c>
      <c r="C19">
        <v>0.22539999999999999</v>
      </c>
      <c r="D19">
        <v>0.23019999999999999</v>
      </c>
      <c r="E19">
        <v>3.9800000000000002E-2</v>
      </c>
      <c r="G19" t="str">
        <f>_xlfn.CONCAT(dq[[#This Row],[lob]]," ", dq[[#This Row],[vintage]])</f>
        <v>ENT 2025 Q3</v>
      </c>
    </row>
    <row r="20" spans="1:7" x14ac:dyDescent="0.35">
      <c r="A20" t="s">
        <v>152</v>
      </c>
      <c r="B20" t="s">
        <v>155</v>
      </c>
      <c r="C20">
        <v>0.1258</v>
      </c>
      <c r="D20">
        <v>0.14019999999999999</v>
      </c>
      <c r="E20">
        <v>4.2900000000000001E-2</v>
      </c>
      <c r="F20">
        <v>0.12130000000000001</v>
      </c>
      <c r="G20" t="str">
        <f>_xlfn.CONCAT(dq[[#This Row],[lob]]," ", dq[[#This Row],[vintage]])</f>
        <v>FLD 2023 Q3</v>
      </c>
    </row>
    <row r="21" spans="1:7" x14ac:dyDescent="0.35">
      <c r="A21" t="s">
        <v>166</v>
      </c>
      <c r="B21" t="s">
        <v>155</v>
      </c>
      <c r="C21">
        <v>0.12180000000000001</v>
      </c>
      <c r="D21">
        <v>0.1206</v>
      </c>
      <c r="E21">
        <v>4.9200000000000001E-2</v>
      </c>
      <c r="F21">
        <v>0.11409999999999999</v>
      </c>
      <c r="G21" t="str">
        <f>_xlfn.CONCAT(dq[[#This Row],[lob]]," ", dq[[#This Row],[vintage]])</f>
        <v>FLD 2023 Q4</v>
      </c>
    </row>
    <row r="22" spans="1:7" x14ac:dyDescent="0.35">
      <c r="A22" t="s">
        <v>167</v>
      </c>
      <c r="B22" t="s">
        <v>155</v>
      </c>
      <c r="C22">
        <v>0.15</v>
      </c>
      <c r="D22">
        <v>0.15970000000000001</v>
      </c>
      <c r="E22">
        <v>4.0099999999999997E-2</v>
      </c>
      <c r="F22">
        <v>0.1216</v>
      </c>
      <c r="G22" t="str">
        <f>_xlfn.CONCAT(dq[[#This Row],[lob]]," ", dq[[#This Row],[vintage]])</f>
        <v>FLD 2024 Q1</v>
      </c>
    </row>
    <row r="23" spans="1:7" x14ac:dyDescent="0.35">
      <c r="A23" t="s">
        <v>163</v>
      </c>
      <c r="B23" t="s">
        <v>155</v>
      </c>
      <c r="C23">
        <v>0.15049999999999999</v>
      </c>
      <c r="D23">
        <v>0.12470000000000001</v>
      </c>
      <c r="E23">
        <v>2.8899999999999999E-2</v>
      </c>
      <c r="F23">
        <v>9.9199999999999997E-2</v>
      </c>
      <c r="G23" t="str">
        <f>_xlfn.CONCAT(dq[[#This Row],[lob]]," ", dq[[#This Row],[vintage]])</f>
        <v>FLD 2024 Q2</v>
      </c>
    </row>
    <row r="24" spans="1:7" x14ac:dyDescent="0.35">
      <c r="A24" t="s">
        <v>160</v>
      </c>
      <c r="B24" t="s">
        <v>155</v>
      </c>
      <c r="C24">
        <v>0.126</v>
      </c>
      <c r="D24">
        <v>0.128</v>
      </c>
      <c r="E24">
        <v>1.52E-2</v>
      </c>
      <c r="F24">
        <v>0.1019</v>
      </c>
      <c r="G24" t="str">
        <f>_xlfn.CONCAT(dq[[#This Row],[lob]]," ", dq[[#This Row],[vintage]])</f>
        <v>FLD 2024 Q3</v>
      </c>
    </row>
    <row r="25" spans="1:7" x14ac:dyDescent="0.35">
      <c r="A25" t="s">
        <v>126</v>
      </c>
      <c r="B25" t="s">
        <v>155</v>
      </c>
      <c r="C25">
        <v>0.15629999999999999</v>
      </c>
      <c r="D25">
        <v>0.14299999999999999</v>
      </c>
      <c r="E25">
        <v>2.29E-2</v>
      </c>
      <c r="F25">
        <v>0.105</v>
      </c>
      <c r="G25" t="str">
        <f>_xlfn.CONCAT(dq[[#This Row],[lob]]," ", dq[[#This Row],[vintage]])</f>
        <v>FLD 2024 Q4</v>
      </c>
    </row>
    <row r="26" spans="1:7" x14ac:dyDescent="0.35">
      <c r="A26" t="s">
        <v>128</v>
      </c>
      <c r="B26" t="s">
        <v>155</v>
      </c>
      <c r="C26">
        <v>0.186</v>
      </c>
      <c r="D26">
        <v>0.20910000000000001</v>
      </c>
      <c r="E26">
        <v>3.56E-2</v>
      </c>
      <c r="F26">
        <v>0.1288</v>
      </c>
      <c r="G26" t="str">
        <f>_xlfn.CONCAT(dq[[#This Row],[lob]]," ", dq[[#This Row],[vintage]])</f>
        <v>FLD 2025 Q1</v>
      </c>
    </row>
    <row r="27" spans="1:7" x14ac:dyDescent="0.35">
      <c r="A27" t="s">
        <v>129</v>
      </c>
      <c r="B27" t="s">
        <v>155</v>
      </c>
      <c r="C27">
        <v>0.18840000000000001</v>
      </c>
      <c r="D27">
        <v>0.19620000000000001</v>
      </c>
      <c r="E27">
        <v>5.0599999999999999E-2</v>
      </c>
      <c r="G27" t="str">
        <f>_xlfn.CONCAT(dq[[#This Row],[lob]]," ", dq[[#This Row],[vintage]])</f>
        <v>FLD 2025 Q2</v>
      </c>
    </row>
    <row r="28" spans="1:7" x14ac:dyDescent="0.35">
      <c r="A28" t="s">
        <v>130</v>
      </c>
      <c r="B28" t="s">
        <v>155</v>
      </c>
      <c r="C28">
        <v>0.19020000000000001</v>
      </c>
      <c r="D28">
        <v>0.15840000000000001</v>
      </c>
      <c r="E28">
        <v>2.9600000000000001E-2</v>
      </c>
      <c r="G28" t="str">
        <f>_xlfn.CONCAT(dq[[#This Row],[lob]]," ", dq[[#This Row],[vintage]])</f>
        <v>FLD 2025 Q3</v>
      </c>
    </row>
    <row r="29" spans="1:7" x14ac:dyDescent="0.35">
      <c r="A29" t="s">
        <v>152</v>
      </c>
      <c r="B29" t="s">
        <v>151</v>
      </c>
      <c r="C29">
        <v>0.1996</v>
      </c>
      <c r="D29">
        <v>0.21129999999999999</v>
      </c>
      <c r="E29">
        <v>6.4399999999999999E-2</v>
      </c>
      <c r="F29">
        <v>0.19420000000000001</v>
      </c>
      <c r="G29" t="str">
        <f>_xlfn.CONCAT(dq[[#This Row],[lob]]," ", dq[[#This Row],[vintage]])</f>
        <v>FRN 2023 Q3</v>
      </c>
    </row>
    <row r="30" spans="1:7" x14ac:dyDescent="0.35">
      <c r="A30" t="s">
        <v>166</v>
      </c>
      <c r="B30" t="s">
        <v>151</v>
      </c>
      <c r="C30">
        <v>0.1961</v>
      </c>
      <c r="D30">
        <v>0.1961</v>
      </c>
      <c r="E30">
        <v>5.1299999999999998E-2</v>
      </c>
      <c r="F30">
        <v>0.18759999999999999</v>
      </c>
      <c r="G30" t="str">
        <f>_xlfn.CONCAT(dq[[#This Row],[lob]]," ", dq[[#This Row],[vintage]])</f>
        <v>FRN 2023 Q4</v>
      </c>
    </row>
    <row r="31" spans="1:7" x14ac:dyDescent="0.35">
      <c r="A31" t="s">
        <v>167</v>
      </c>
      <c r="B31" t="s">
        <v>151</v>
      </c>
      <c r="C31">
        <v>0.20930000000000001</v>
      </c>
      <c r="D31">
        <v>0.23119999999999999</v>
      </c>
      <c r="E31">
        <v>5.7799999999999997E-2</v>
      </c>
      <c r="F31">
        <v>0.18709999999999999</v>
      </c>
      <c r="G31" t="str">
        <f>_xlfn.CONCAT(dq[[#This Row],[lob]]," ", dq[[#This Row],[vintage]])</f>
        <v>FRN 2024 Q1</v>
      </c>
    </row>
    <row r="32" spans="1:7" x14ac:dyDescent="0.35">
      <c r="A32" t="s">
        <v>163</v>
      </c>
      <c r="B32" t="s">
        <v>151</v>
      </c>
      <c r="C32">
        <v>0.19220000000000001</v>
      </c>
      <c r="D32">
        <v>0.20449999999999999</v>
      </c>
      <c r="E32">
        <v>5.5800000000000002E-2</v>
      </c>
      <c r="F32">
        <v>0.17560000000000001</v>
      </c>
      <c r="G32" t="str">
        <f>_xlfn.CONCAT(dq[[#This Row],[lob]]," ", dq[[#This Row],[vintage]])</f>
        <v>FRN 2024 Q2</v>
      </c>
    </row>
    <row r="33" spans="1:7" x14ac:dyDescent="0.35">
      <c r="A33" t="s">
        <v>160</v>
      </c>
      <c r="B33" t="s">
        <v>151</v>
      </c>
      <c r="C33">
        <v>0.182</v>
      </c>
      <c r="D33">
        <v>0.2</v>
      </c>
      <c r="E33">
        <v>4.9799999999999997E-2</v>
      </c>
      <c r="F33">
        <v>0.18210000000000001</v>
      </c>
      <c r="G33" t="str">
        <f>_xlfn.CONCAT(dq[[#This Row],[lob]]," ", dq[[#This Row],[vintage]])</f>
        <v>FRN 2024 Q3</v>
      </c>
    </row>
    <row r="34" spans="1:7" x14ac:dyDescent="0.35">
      <c r="A34" t="s">
        <v>126</v>
      </c>
      <c r="B34" t="s">
        <v>151</v>
      </c>
      <c r="C34">
        <v>0.2089</v>
      </c>
      <c r="D34">
        <v>0.21970000000000001</v>
      </c>
      <c r="E34">
        <v>6.6299999999999998E-2</v>
      </c>
      <c r="F34">
        <v>0.21390000000000001</v>
      </c>
      <c r="G34" t="str">
        <f>_xlfn.CONCAT(dq[[#This Row],[lob]]," ", dq[[#This Row],[vintage]])</f>
        <v>FRN 2024 Q4</v>
      </c>
    </row>
    <row r="35" spans="1:7" x14ac:dyDescent="0.35">
      <c r="A35" t="s">
        <v>128</v>
      </c>
      <c r="B35" t="s">
        <v>151</v>
      </c>
      <c r="C35">
        <v>0.216</v>
      </c>
      <c r="D35">
        <v>0.23960000000000001</v>
      </c>
      <c r="E35">
        <v>6.9000000000000006E-2</v>
      </c>
      <c r="F35">
        <v>0.2069</v>
      </c>
      <c r="G35" t="str">
        <f>_xlfn.CONCAT(dq[[#This Row],[lob]]," ", dq[[#This Row],[vintage]])</f>
        <v>FRN 2025 Q1</v>
      </c>
    </row>
    <row r="36" spans="1:7" x14ac:dyDescent="0.35">
      <c r="A36" t="s">
        <v>129</v>
      </c>
      <c r="B36" t="s">
        <v>151</v>
      </c>
      <c r="C36">
        <v>0.23860000000000001</v>
      </c>
      <c r="D36">
        <v>0.25</v>
      </c>
      <c r="E36">
        <v>7.8600000000000003E-2</v>
      </c>
      <c r="G36" t="str">
        <f>_xlfn.CONCAT(dq[[#This Row],[lob]]," ", dq[[#This Row],[vintage]])</f>
        <v>FRN 2025 Q2</v>
      </c>
    </row>
    <row r="37" spans="1:7" x14ac:dyDescent="0.35">
      <c r="A37" t="s">
        <v>130</v>
      </c>
      <c r="B37" t="s">
        <v>151</v>
      </c>
      <c r="C37">
        <v>0.2324</v>
      </c>
      <c r="D37">
        <v>0.2651</v>
      </c>
      <c r="E37">
        <v>7.3400000000000007E-2</v>
      </c>
      <c r="G37" t="str">
        <f>_xlfn.CONCAT(dq[[#This Row],[lob]]," ", dq[[#This Row],[vintage]])</f>
        <v>FRN 2025 Q3</v>
      </c>
    </row>
    <row r="38" spans="1:7" x14ac:dyDescent="0.35">
      <c r="A38" t="s">
        <v>152</v>
      </c>
      <c r="B38" t="s">
        <v>206</v>
      </c>
      <c r="C38">
        <v>0.1817</v>
      </c>
      <c r="D38">
        <v>0.24310000000000001</v>
      </c>
      <c r="E38">
        <v>0.1087</v>
      </c>
      <c r="F38">
        <v>0.219</v>
      </c>
      <c r="G38" t="str">
        <f>_xlfn.CONCAT(dq[[#This Row],[lob]]," ", dq[[#This Row],[vintage]])</f>
        <v>MCY 2023 Q3</v>
      </c>
    </row>
    <row r="39" spans="1:7" x14ac:dyDescent="0.35">
      <c r="A39" t="s">
        <v>166</v>
      </c>
      <c r="B39" t="s">
        <v>206</v>
      </c>
      <c r="C39">
        <v>0.17849999999999999</v>
      </c>
      <c r="D39">
        <v>0.2059</v>
      </c>
      <c r="E39">
        <v>8.1100000000000005E-2</v>
      </c>
      <c r="F39">
        <v>0.26229999999999998</v>
      </c>
      <c r="G39" t="str">
        <f>_xlfn.CONCAT(dq[[#This Row],[lob]]," ", dq[[#This Row],[vintage]])</f>
        <v>MCY 2023 Q4</v>
      </c>
    </row>
    <row r="40" spans="1:7" x14ac:dyDescent="0.35">
      <c r="A40" t="s">
        <v>167</v>
      </c>
      <c r="B40" t="s">
        <v>206</v>
      </c>
      <c r="C40">
        <v>0.1893</v>
      </c>
      <c r="D40">
        <v>0.2291</v>
      </c>
      <c r="E40">
        <v>9.4100000000000003E-2</v>
      </c>
      <c r="F40">
        <v>0.26400000000000001</v>
      </c>
      <c r="G40" t="str">
        <f>_xlfn.CONCAT(dq[[#This Row],[lob]]," ", dq[[#This Row],[vintage]])</f>
        <v>MCY 2024 Q1</v>
      </c>
    </row>
    <row r="41" spans="1:7" x14ac:dyDescent="0.35">
      <c r="A41" t="s">
        <v>163</v>
      </c>
      <c r="B41" t="s">
        <v>206</v>
      </c>
      <c r="C41">
        <v>0.18260000000000001</v>
      </c>
      <c r="D41">
        <v>0.2152</v>
      </c>
      <c r="E41">
        <v>9.64E-2</v>
      </c>
      <c r="F41">
        <v>0.28060000000000002</v>
      </c>
      <c r="G41" t="str">
        <f>_xlfn.CONCAT(dq[[#This Row],[lob]]," ", dq[[#This Row],[vintage]])</f>
        <v>MCY 2024 Q2</v>
      </c>
    </row>
    <row r="42" spans="1:7" x14ac:dyDescent="0.35">
      <c r="A42" t="s">
        <v>160</v>
      </c>
      <c r="B42" t="s">
        <v>206</v>
      </c>
      <c r="C42">
        <v>0.1966</v>
      </c>
      <c r="D42">
        <v>0.21210000000000001</v>
      </c>
      <c r="E42">
        <v>9.4E-2</v>
      </c>
      <c r="F42">
        <v>0.22850000000000001</v>
      </c>
      <c r="G42" t="str">
        <f>_xlfn.CONCAT(dq[[#This Row],[lob]]," ", dq[[#This Row],[vintage]])</f>
        <v>MCY 2024 Q3</v>
      </c>
    </row>
    <row r="43" spans="1:7" x14ac:dyDescent="0.35">
      <c r="A43" t="s">
        <v>126</v>
      </c>
      <c r="B43" t="s">
        <v>206</v>
      </c>
      <c r="C43">
        <v>0.19570000000000001</v>
      </c>
      <c r="D43">
        <v>0.21659999999999999</v>
      </c>
      <c r="E43">
        <v>9.5500000000000002E-2</v>
      </c>
      <c r="F43">
        <v>0.24490000000000001</v>
      </c>
      <c r="G43" t="str">
        <f>_xlfn.CONCAT(dq[[#This Row],[lob]]," ", dq[[#This Row],[vintage]])</f>
        <v>MCY 2024 Q4</v>
      </c>
    </row>
    <row r="44" spans="1:7" x14ac:dyDescent="0.35">
      <c r="A44" t="s">
        <v>128</v>
      </c>
      <c r="B44" t="s">
        <v>206</v>
      </c>
      <c r="C44">
        <v>0.1336</v>
      </c>
      <c r="D44">
        <v>0.193</v>
      </c>
      <c r="E44">
        <v>6.3399999999999998E-2</v>
      </c>
      <c r="F44">
        <v>0.2361</v>
      </c>
      <c r="G44" t="str">
        <f>_xlfn.CONCAT(dq[[#This Row],[lob]]," ", dq[[#This Row],[vintage]])</f>
        <v>MCY 2025 Q1</v>
      </c>
    </row>
    <row r="45" spans="1:7" x14ac:dyDescent="0.35">
      <c r="A45" t="s">
        <v>129</v>
      </c>
      <c r="B45" t="s">
        <v>206</v>
      </c>
      <c r="C45">
        <v>0.1744</v>
      </c>
      <c r="D45">
        <v>0.2301</v>
      </c>
      <c r="E45">
        <v>7.7700000000000005E-2</v>
      </c>
      <c r="G45" t="str">
        <f>_xlfn.CONCAT(dq[[#This Row],[lob]]," ", dq[[#This Row],[vintage]])</f>
        <v>MCY 2025 Q2</v>
      </c>
    </row>
    <row r="46" spans="1:7" x14ac:dyDescent="0.35">
      <c r="A46" t="s">
        <v>130</v>
      </c>
      <c r="B46" t="s">
        <v>206</v>
      </c>
      <c r="C46">
        <v>0.21479999999999999</v>
      </c>
      <c r="D46">
        <v>0.27529999999999999</v>
      </c>
      <c r="E46">
        <v>9.1800000000000007E-2</v>
      </c>
      <c r="G46" t="str">
        <f>_xlfn.CONCAT(dq[[#This Row],[lob]]," ", dq[[#This Row],[vintage]])</f>
        <v>MCY 2025 Q3</v>
      </c>
    </row>
    <row r="47" spans="1:7" x14ac:dyDescent="0.35">
      <c r="A47" t="s">
        <v>152</v>
      </c>
      <c r="B47" t="s">
        <v>153</v>
      </c>
      <c r="C47">
        <v>0.16789999999999999</v>
      </c>
      <c r="D47">
        <v>0.15759999999999999</v>
      </c>
      <c r="E47">
        <v>5.16E-2</v>
      </c>
      <c r="F47">
        <v>0.15140000000000001</v>
      </c>
      <c r="G47" t="str">
        <f>_xlfn.CONCAT(dq[[#This Row],[lob]]," ", dq[[#This Row],[vintage]])</f>
        <v>STG 2023 Q3</v>
      </c>
    </row>
    <row r="48" spans="1:7" x14ac:dyDescent="0.35">
      <c r="A48" t="s">
        <v>166</v>
      </c>
      <c r="B48" t="s">
        <v>153</v>
      </c>
      <c r="C48">
        <v>0.1774</v>
      </c>
      <c r="D48">
        <v>0.16750000000000001</v>
      </c>
      <c r="E48">
        <v>5.3699999999999998E-2</v>
      </c>
      <c r="F48">
        <v>0.16869999999999999</v>
      </c>
      <c r="G48" t="str">
        <f>_xlfn.CONCAT(dq[[#This Row],[lob]]," ", dq[[#This Row],[vintage]])</f>
        <v>STG 2023 Q4</v>
      </c>
    </row>
    <row r="49" spans="1:7" x14ac:dyDescent="0.35">
      <c r="A49" t="s">
        <v>167</v>
      </c>
      <c r="B49" t="s">
        <v>153</v>
      </c>
      <c r="C49">
        <v>0.15379999999999999</v>
      </c>
      <c r="D49">
        <v>0.17560000000000001</v>
      </c>
      <c r="E49">
        <v>4.1500000000000002E-2</v>
      </c>
      <c r="F49">
        <v>0.15579999999999999</v>
      </c>
      <c r="G49" t="str">
        <f>_xlfn.CONCAT(dq[[#This Row],[lob]]," ", dq[[#This Row],[vintage]])</f>
        <v>STG 2024 Q1</v>
      </c>
    </row>
    <row r="50" spans="1:7" x14ac:dyDescent="0.35">
      <c r="A50" t="s">
        <v>163</v>
      </c>
      <c r="B50" t="s">
        <v>153</v>
      </c>
      <c r="C50">
        <v>0.17369999999999999</v>
      </c>
      <c r="D50">
        <v>0.17599999999999999</v>
      </c>
      <c r="E50">
        <v>5.3499999999999999E-2</v>
      </c>
      <c r="F50">
        <v>0.1542</v>
      </c>
      <c r="G50" t="str">
        <f>_xlfn.CONCAT(dq[[#This Row],[lob]]," ", dq[[#This Row],[vintage]])</f>
        <v>STG 2024 Q2</v>
      </c>
    </row>
    <row r="51" spans="1:7" x14ac:dyDescent="0.35">
      <c r="A51" t="s">
        <v>160</v>
      </c>
      <c r="B51" t="s">
        <v>153</v>
      </c>
      <c r="C51">
        <v>0.1673</v>
      </c>
      <c r="D51">
        <v>0.17150000000000001</v>
      </c>
      <c r="E51">
        <v>4.8899999999999999E-2</v>
      </c>
      <c r="F51">
        <v>0.15909999999999999</v>
      </c>
      <c r="G51" t="str">
        <f>_xlfn.CONCAT(dq[[#This Row],[lob]]," ", dq[[#This Row],[vintage]])</f>
        <v>STG 2024 Q3</v>
      </c>
    </row>
    <row r="52" spans="1:7" x14ac:dyDescent="0.35">
      <c r="A52" t="s">
        <v>126</v>
      </c>
      <c r="B52" t="s">
        <v>153</v>
      </c>
      <c r="C52">
        <v>0.16880000000000001</v>
      </c>
      <c r="D52">
        <v>0.16220000000000001</v>
      </c>
      <c r="E52">
        <v>5.16E-2</v>
      </c>
      <c r="F52">
        <v>0.16750000000000001</v>
      </c>
      <c r="G52" t="str">
        <f>_xlfn.CONCAT(dq[[#This Row],[lob]]," ", dq[[#This Row],[vintage]])</f>
        <v>STG 2024 Q4</v>
      </c>
    </row>
    <row r="53" spans="1:7" x14ac:dyDescent="0.35">
      <c r="A53" t="s">
        <v>128</v>
      </c>
      <c r="B53" t="s">
        <v>153</v>
      </c>
      <c r="C53">
        <v>0.1719</v>
      </c>
      <c r="D53">
        <v>0.18509999999999999</v>
      </c>
      <c r="E53">
        <v>4.7899999999999998E-2</v>
      </c>
      <c r="F53">
        <v>0.1565</v>
      </c>
      <c r="G53" t="str">
        <f>_xlfn.CONCAT(dq[[#This Row],[lob]]," ", dq[[#This Row],[vintage]])</f>
        <v>STG 2025 Q1</v>
      </c>
    </row>
    <row r="54" spans="1:7" x14ac:dyDescent="0.35">
      <c r="A54" t="s">
        <v>129</v>
      </c>
      <c r="B54" t="s">
        <v>153</v>
      </c>
      <c r="C54">
        <v>0.20399999999999999</v>
      </c>
      <c r="D54">
        <v>0.1961</v>
      </c>
      <c r="E54">
        <v>5.2499999999999998E-2</v>
      </c>
      <c r="G54" t="str">
        <f>_xlfn.CONCAT(dq[[#This Row],[lob]]," ", dq[[#This Row],[vintage]])</f>
        <v>STG 2025 Q2</v>
      </c>
    </row>
    <row r="55" spans="1:7" x14ac:dyDescent="0.35">
      <c r="A55" t="s">
        <v>130</v>
      </c>
      <c r="B55" t="s">
        <v>153</v>
      </c>
      <c r="C55">
        <v>0.20580000000000001</v>
      </c>
      <c r="D55">
        <v>0.21540000000000001</v>
      </c>
      <c r="E55">
        <v>5.45E-2</v>
      </c>
      <c r="G55" t="str">
        <f>_xlfn.CONCAT(dq[[#This Row],[lob]]," ", dq[[#This Row],[vintage]])</f>
        <v>STG 2025 Q3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7055BF62EA51469C2F194260F7319E" ma:contentTypeVersion="18" ma:contentTypeDescription="Create a new document." ma:contentTypeScope="" ma:versionID="18df2f67ff85675faaa7949590c44638">
  <xsd:schema xmlns:xsd="http://www.w3.org/2001/XMLSchema" xmlns:xs="http://www.w3.org/2001/XMLSchema" xmlns:p="http://schemas.microsoft.com/office/2006/metadata/properties" xmlns:ns1="http://schemas.microsoft.com/sharepoint/v3" xmlns:ns2="1656b474-bc9c-41b0-a7dd-8c5877b9b3ae" xmlns:ns3="a679ee5a-1808-44ed-a317-05ab7d0badb3" targetNamespace="http://schemas.microsoft.com/office/2006/metadata/properties" ma:root="true" ma:fieldsID="b298bae2beaf776934d715f6b2c9e9e4" ns1:_="" ns2:_="" ns3:_="">
    <xsd:import namespace="http://schemas.microsoft.com/sharepoint/v3"/>
    <xsd:import namespace="1656b474-bc9c-41b0-a7dd-8c5877b9b3ae"/>
    <xsd:import namespace="a679ee5a-1808-44ed-a317-05ab7d0badb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6b474-bc9c-41b0-a7dd-8c5877b9b3a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267c62a-3843-4132-824a-87649e672d87}" ma:internalName="TaxCatchAll" ma:showField="CatchAllData" ma:web="1656b474-bc9c-41b0-a7dd-8c5877b9b3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9ee5a-1808-44ed-a317-05ab7d0bad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5b5ec89-0457-47a0-a80b-1c0e379d74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79ee5a-1808-44ed-a317-05ab7d0badb3">
      <Terms xmlns="http://schemas.microsoft.com/office/infopath/2007/PartnerControls"/>
    </lcf76f155ced4ddcb4097134ff3c332f>
    <TaxCatchAll xmlns="1656b474-bc9c-41b0-a7dd-8c5877b9b3ae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F4F6D3A-8507-4133-8229-E96B3827BFA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4DACAD2-31DC-4DA0-A482-834CAB4288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656b474-bc9c-41b0-a7dd-8c5877b9b3ae"/>
    <ds:schemaRef ds:uri="a679ee5a-1808-44ed-a317-05ab7d0bad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A4E1596-E6CB-4BC2-980F-59FF40945251}">
  <ds:schemaRefs>
    <ds:schemaRef ds:uri="http://schemas.microsoft.com/office/2006/metadata/properties"/>
    <ds:schemaRef ds:uri="http://schemas.microsoft.com/office/infopath/2007/PartnerControls"/>
    <ds:schemaRef ds:uri="a679ee5a-1808-44ed-a317-05ab7d0badb3"/>
    <ds:schemaRef ds:uri="1656b474-bc9c-41b0-a7dd-8c5877b9b3ae"/>
    <ds:schemaRef ds:uri="http://schemas.microsoft.com/sharepoint/v3"/>
  </ds:schemaRefs>
</ds:datastoreItem>
</file>

<file path=docMetadata/LabelInfo.xml><?xml version="1.0" encoding="utf-8"?>
<clbl:labelList xmlns:clbl="http://schemas.microsoft.com/office/2020/mipLabelMetadata">
  <clbl:label id="{1f1d8d9a-7a35-4aba-a8e8-9cedeaaa8c64}" enabled="0" method="" siteId="{1f1d8d9a-7a35-4aba-a8e8-9cedeaaa8c6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Main</vt:lpstr>
      <vt:lpstr>factory</vt:lpstr>
      <vt:lpstr>multipliers</vt:lpstr>
      <vt:lpstr>Sheet6</vt:lpstr>
      <vt:lpstr>populations</vt:lpstr>
      <vt:lpstr>ragu</vt:lpstr>
      <vt:lpstr>Sheet5</vt:lpstr>
      <vt:lpstr>Sheet4</vt:lpstr>
      <vt:lpstr>fraud</vt:lpstr>
      <vt:lpstr>dealer</vt:lpstr>
      <vt:lpstr>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Ali</cp:lastModifiedBy>
  <dcterms:created xsi:type="dcterms:W3CDTF">2026-02-10T20:56:36Z</dcterms:created>
  <dcterms:modified xsi:type="dcterms:W3CDTF">2026-05-06T17:47:29Z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0x0101002F7055BF62EA51469C2F194260F7319E</vt:lpwstr>
  </property>
</Properties>
</file>