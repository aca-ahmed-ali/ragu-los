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.ali\Desktop\Everything\RAGU\"/>
    </mc:Choice>
  </mc:AlternateContent>
  <xr:revisionPtr revIDLastSave="0" documentId="13_ncr:1_{48BCF389-2AAF-4DA8-B25D-BB075B83098B}" xr6:coauthVersionLast="47" xr6:coauthVersionMax="47" xr10:uidLastSave="{00000000-0000-0000-0000-000000000000}"/>
  <bookViews>
    <workbookView xWindow="-110" yWindow="-110" windowWidth="19420" windowHeight="11500" xr2:uid="{54B1DC9A-21A3-4DEF-A097-D1460E57C1C5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8" i="1" l="1"/>
  <c r="E56" i="1"/>
  <c r="H56" i="1"/>
  <c r="D49" i="1"/>
  <c r="D51" i="1" s="1"/>
  <c r="G50" i="1"/>
  <c r="F60" i="1"/>
  <c r="F66" i="1"/>
  <c r="H81" i="1"/>
  <c r="G78" i="1"/>
  <c r="F74" i="1"/>
  <c r="G74" i="1"/>
  <c r="H74" i="1"/>
  <c r="F75" i="1"/>
  <c r="G75" i="1"/>
  <c r="H75" i="1"/>
  <c r="F76" i="1"/>
  <c r="G76" i="1"/>
  <c r="H76" i="1"/>
  <c r="F77" i="1"/>
  <c r="G77" i="1"/>
  <c r="H77" i="1"/>
  <c r="F78" i="1"/>
  <c r="H78" i="1"/>
  <c r="F79" i="1"/>
  <c r="G79" i="1"/>
  <c r="H79" i="1"/>
  <c r="F80" i="1"/>
  <c r="G80" i="1"/>
  <c r="H80" i="1"/>
  <c r="F81" i="1"/>
  <c r="G81" i="1"/>
  <c r="E76" i="1"/>
  <c r="E77" i="1"/>
  <c r="E78" i="1"/>
  <c r="E79" i="1"/>
  <c r="E80" i="1"/>
  <c r="E81" i="1"/>
  <c r="E75" i="1"/>
  <c r="F73" i="1"/>
  <c r="G73" i="1"/>
  <c r="H73" i="1"/>
  <c r="E74" i="1"/>
  <c r="E73" i="1"/>
  <c r="H67" i="1"/>
  <c r="F68" i="1"/>
  <c r="G65" i="1" l="1"/>
  <c r="F64" i="1"/>
  <c r="G64" i="1"/>
  <c r="H64" i="1"/>
  <c r="F65" i="1"/>
  <c r="H65" i="1"/>
  <c r="G66" i="1"/>
  <c r="H66" i="1"/>
  <c r="F67" i="1"/>
  <c r="G67" i="1"/>
  <c r="G68" i="1"/>
  <c r="H68" i="1"/>
  <c r="F69" i="1"/>
  <c r="G69" i="1"/>
  <c r="H69" i="1"/>
  <c r="F70" i="1"/>
  <c r="G70" i="1"/>
  <c r="H70" i="1"/>
  <c r="E65" i="1"/>
  <c r="E66" i="1"/>
  <c r="E67" i="1"/>
  <c r="E68" i="1"/>
  <c r="E69" i="1"/>
  <c r="E70" i="1"/>
  <c r="E64" i="1"/>
  <c r="H61" i="1"/>
  <c r="F58" i="1"/>
  <c r="G58" i="1"/>
  <c r="F59" i="1"/>
  <c r="G59" i="1"/>
  <c r="H59" i="1"/>
  <c r="G60" i="1"/>
  <c r="H60" i="1"/>
  <c r="F61" i="1"/>
  <c r="G61" i="1"/>
  <c r="F62" i="1"/>
  <c r="G62" i="1"/>
  <c r="H62" i="1"/>
  <c r="F63" i="1"/>
  <c r="G63" i="1"/>
  <c r="H63" i="1"/>
  <c r="E59" i="1"/>
  <c r="E60" i="1"/>
  <c r="E61" i="1"/>
  <c r="E62" i="1"/>
  <c r="E63" i="1"/>
  <c r="E58" i="1"/>
  <c r="F56" i="1"/>
  <c r="G56" i="1"/>
  <c r="F57" i="1"/>
  <c r="G57" i="1"/>
  <c r="H57" i="1"/>
  <c r="E57" i="1"/>
  <c r="E50" i="1"/>
  <c r="F47" i="1"/>
  <c r="G47" i="1"/>
  <c r="H47" i="1"/>
  <c r="F48" i="1"/>
  <c r="G48" i="1"/>
  <c r="H48" i="1"/>
  <c r="F50" i="1"/>
  <c r="H50" i="1"/>
  <c r="F52" i="1"/>
  <c r="G52" i="1"/>
  <c r="H52" i="1"/>
  <c r="E48" i="1"/>
  <c r="E52" i="1"/>
  <c r="E47" i="1"/>
  <c r="E49" i="1" s="1"/>
  <c r="E51" i="1" s="1"/>
  <c r="E53" i="1" s="1"/>
  <c r="E89" i="1" s="1"/>
  <c r="D82" i="1"/>
  <c r="D8" i="1"/>
  <c r="H49" i="1" l="1"/>
  <c r="H51" i="1" s="1"/>
  <c r="H53" i="1" s="1"/>
  <c r="H89" i="1" s="1"/>
  <c r="G49" i="1"/>
  <c r="G51" i="1" s="1"/>
  <c r="G53" i="1" s="1"/>
  <c r="G89" i="1" s="1"/>
  <c r="F49" i="1"/>
  <c r="F51" i="1" s="1"/>
  <c r="F53" i="1" s="1"/>
  <c r="F89" i="1" s="1"/>
  <c r="E38" i="1"/>
  <c r="F38" i="1"/>
  <c r="G38" i="1"/>
  <c r="H38" i="1"/>
  <c r="D38" i="1"/>
  <c r="G82" i="1" l="1"/>
  <c r="F82" i="1"/>
  <c r="H82" i="1"/>
  <c r="E82" i="1"/>
  <c r="H22" i="1"/>
  <c r="E22" i="1"/>
  <c r="F22" i="1"/>
  <c r="G22" i="1"/>
  <c r="D22" i="1"/>
</calcChain>
</file>

<file path=xl/sharedStrings.xml><?xml version="1.0" encoding="utf-8"?>
<sst xmlns="http://schemas.openxmlformats.org/spreadsheetml/2006/main" count="134" uniqueCount="89">
  <si>
    <t>2023 Q3</t>
  </si>
  <si>
    <t>2024 Q2</t>
  </si>
  <si>
    <t>2025 Q1</t>
  </si>
  <si>
    <t>2026 Q1</t>
  </si>
  <si>
    <t>MS</t>
  </si>
  <si>
    <t>GL</t>
  </si>
  <si>
    <t>REC + LTV</t>
  </si>
  <si>
    <t>RAGU</t>
  </si>
  <si>
    <t>pos Ragu</t>
  </si>
  <si>
    <t>KMX GL</t>
  </si>
  <si>
    <t>nonKMX GL</t>
  </si>
  <si>
    <t>KMX Rec</t>
  </si>
  <si>
    <t>nonKMx rec</t>
  </si>
  <si>
    <t>GL decomp</t>
  </si>
  <si>
    <t>Rec Decomp</t>
  </si>
  <si>
    <t>KMX MS</t>
  </si>
  <si>
    <t>nonKMX MS</t>
  </si>
  <si>
    <t>MS decomp</t>
  </si>
  <si>
    <t>Chime population</t>
  </si>
  <si>
    <t>Student Loans population</t>
  </si>
  <si>
    <t>Toyho pop</t>
  </si>
  <si>
    <t>nonKMX GL context</t>
  </si>
  <si>
    <t>LTV</t>
  </si>
  <si>
    <t>Age</t>
  </si>
  <si>
    <t>Mileage</t>
  </si>
  <si>
    <t>nonKMx rec context</t>
  </si>
  <si>
    <t>KMX GL Context</t>
  </si>
  <si>
    <t>KMX REC Context</t>
  </si>
  <si>
    <t xml:space="preserve">Chime </t>
  </si>
  <si>
    <t>Jobtime</t>
  </si>
  <si>
    <t>Georgia %</t>
  </si>
  <si>
    <t>Texas California %</t>
  </si>
  <si>
    <t>Low CD %</t>
  </si>
  <si>
    <t>Low vantage %</t>
  </si>
  <si>
    <t>Gross loss</t>
  </si>
  <si>
    <t>Ragu</t>
  </si>
  <si>
    <t>Recovery</t>
  </si>
  <si>
    <t>2025 Q3</t>
  </si>
  <si>
    <t>Good Dealer %</t>
  </si>
  <si>
    <t>Bad Dealer %</t>
  </si>
  <si>
    <t>Low Fraud %</t>
  </si>
  <si>
    <t>High Fraud %</t>
  </si>
  <si>
    <t>DELTAS FIREWALL</t>
  </si>
  <si>
    <t>Chime %</t>
  </si>
  <si>
    <t>Job Time %</t>
  </si>
  <si>
    <t>Low Cash-Down %</t>
  </si>
  <si>
    <t>Low Vantage %</t>
  </si>
  <si>
    <t>Texas/California %</t>
  </si>
  <si>
    <t>MMI</t>
  </si>
  <si>
    <t>1a. POS RAGU Score</t>
  </si>
  <si>
    <t>2a. Gross Loss Impact to RAGU</t>
  </si>
  <si>
    <t>2b. KMX Gross Loss Drivers</t>
  </si>
  <si>
    <t>2c. nonKMX Gross Loss Drivers</t>
  </si>
  <si>
    <t>3a. Recovery Impact to RAGU</t>
  </si>
  <si>
    <t>3b. KMX Recovery Drivers</t>
  </si>
  <si>
    <t>3c. nonKMX Recovery Drivers</t>
  </si>
  <si>
    <t>3. Recovery</t>
  </si>
  <si>
    <t>LTV %</t>
  </si>
  <si>
    <t>Student Loans %</t>
  </si>
  <si>
    <t>Toyota/Honda %</t>
  </si>
  <si>
    <t xml:space="preserve"> </t>
  </si>
  <si>
    <t>KMX Gross Loss Mix</t>
  </si>
  <si>
    <t>nonKMX Gross Loss Mix</t>
  </si>
  <si>
    <t>KMX Recovery Mix</t>
  </si>
  <si>
    <t>nonKMX Recovery Mix</t>
  </si>
  <si>
    <t>2. Gross Loss</t>
  </si>
  <si>
    <t>31+ DPD @ 3MOB</t>
  </si>
  <si>
    <t>61+ DPD @ 6MOB</t>
  </si>
  <si>
    <t>Chargeoff @ 6MOB</t>
  </si>
  <si>
    <t>4. Actual Performance</t>
  </si>
  <si>
    <t>1. RAGU Score</t>
  </si>
  <si>
    <t>-360 bps</t>
  </si>
  <si>
    <t>-270 bps</t>
  </si>
  <si>
    <t>-350 bps</t>
  </si>
  <si>
    <t>-480 bps</t>
  </si>
  <si>
    <t>4b. POS Expected vs. RAGU Performance</t>
  </si>
  <si>
    <t>4c. KMX Performance</t>
  </si>
  <si>
    <t>4d. nonKMX Performance</t>
  </si>
  <si>
    <t>= tc RAGU Score</t>
  </si>
  <si>
    <t>= Gross Loss RAGU Score</t>
  </si>
  <si>
    <t>+ Gross Loss</t>
  </si>
  <si>
    <t>+ Recovery</t>
  </si>
  <si>
    <t>= RAGU Score</t>
  </si>
  <si>
    <t>+ MMI adjustments</t>
  </si>
  <si>
    <t>+ Model Score</t>
  </si>
  <si>
    <t>Actual Projected CNL</t>
  </si>
  <si>
    <t>CNL Delta relative to Baseline</t>
  </si>
  <si>
    <t>Ragu-Implied CNL Delta</t>
  </si>
  <si>
    <t>4a. POS Performance vs. Typical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</si>
</sst>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  <numFmt numFmtId="167" formatCode="\+0.0%;\-0.0%"/>
    <numFmt numFmtId="168" formatCode="\+0.0;\-0.0"/>
    <numFmt numFmtId="169" formatCode="\+0;\-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1"/>
      <color rgb="FF9C0006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86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220">
    <xf numFmtId="0" fontId="0" fillId="0" borderId="0" xfId="0"/>
    <xf numFmtId="0" fontId="0" fillId="0" borderId="3" xfId="0" applyBorder="1"/>
    <xf numFmtId="0" fontId="0" fillId="0" borderId="0" xfId="0" applyBorder="1"/>
    <xf numFmtId="0" fontId="0" fillId="0" borderId="8" xfId="0" applyBorder="1"/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3" xfId="0" applyFill="1" applyBorder="1"/>
    <xf numFmtId="0" fontId="0" fillId="0" borderId="0" xfId="0" applyFill="1"/>
    <xf numFmtId="0" fontId="0" fillId="0" borderId="0" xfId="0" applyFill="1" applyBorder="1"/>
    <xf numFmtId="0" fontId="0" fillId="0" borderId="8" xfId="0" applyFill="1" applyBorder="1"/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165" fontId="6" fillId="0" borderId="0" xfId="2" applyNumberFormat="1" applyFont="1" applyFill="1" applyBorder="1" applyAlignment="1">
      <alignment horizontal="center"/>
    </xf>
    <xf numFmtId="165" fontId="6" fillId="0" borderId="6" xfId="2" applyNumberFormat="1" applyFont="1" applyFill="1" applyBorder="1" applyAlignment="1">
      <alignment horizontal="center"/>
    </xf>
    <xf numFmtId="164" fontId="6" fillId="0" borderId="3" xfId="2" applyNumberFormat="1" applyFont="1" applyFill="1" applyBorder="1" applyAlignment="1">
      <alignment horizontal="center"/>
    </xf>
    <xf numFmtId="164" fontId="6" fillId="0" borderId="4" xfId="2" applyNumberFormat="1" applyFont="1" applyFill="1" applyBorder="1" applyAlignment="1">
      <alignment horizontal="center"/>
    </xf>
    <xf numFmtId="2" fontId="6" fillId="0" borderId="5" xfId="2" applyNumberFormat="1" applyFont="1" applyFill="1" applyBorder="1" applyAlignment="1">
      <alignment horizontal="center"/>
    </xf>
    <xf numFmtId="2" fontId="6" fillId="0" borderId="0" xfId="2" applyNumberFormat="1" applyFont="1" applyFill="1" applyBorder="1" applyAlignment="1">
      <alignment horizontal="center"/>
    </xf>
    <xf numFmtId="2" fontId="6" fillId="0" borderId="6" xfId="2" applyNumberFormat="1" applyFont="1" applyFill="1" applyBorder="1" applyAlignment="1">
      <alignment horizontal="center"/>
    </xf>
    <xf numFmtId="164" fontId="6" fillId="0" borderId="7" xfId="2" applyNumberFormat="1" applyFont="1" applyFill="1" applyBorder="1" applyAlignment="1">
      <alignment horizontal="center"/>
    </xf>
    <xf numFmtId="164" fontId="6" fillId="0" borderId="8" xfId="2" applyNumberFormat="1" applyFont="1" applyFill="1" applyBorder="1" applyAlignment="1">
      <alignment horizontal="center"/>
    </xf>
    <xf numFmtId="164" fontId="6" fillId="0" borderId="9" xfId="2" applyNumberFormat="1" applyFont="1" applyFill="1" applyBorder="1" applyAlignment="1">
      <alignment horizontal="center"/>
    </xf>
    <xf numFmtId="164" fontId="6" fillId="0" borderId="2" xfId="2" applyNumberFormat="1" applyFont="1" applyFill="1" applyBorder="1" applyAlignment="1">
      <alignment horizontal="center"/>
    </xf>
    <xf numFmtId="2" fontId="0" fillId="0" borderId="7" xfId="0" applyNumberFormat="1" applyFill="1" applyBorder="1" applyAlignment="1">
      <alignment horizontal="center"/>
    </xf>
    <xf numFmtId="2" fontId="0" fillId="0" borderId="8" xfId="0" applyNumberFormat="1" applyFill="1" applyBorder="1" applyAlignment="1">
      <alignment horizontal="center"/>
    </xf>
    <xf numFmtId="2" fontId="0" fillId="0" borderId="9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1" fillId="0" borderId="3" xfId="2" applyNumberFormat="1" applyFill="1" applyBorder="1" applyAlignment="1">
      <alignment horizontal="center"/>
    </xf>
    <xf numFmtId="165" fontId="1" fillId="0" borderId="4" xfId="2" applyNumberFormat="1" applyFill="1" applyBorder="1" applyAlignment="1">
      <alignment horizontal="center"/>
    </xf>
    <xf numFmtId="165" fontId="1" fillId="0" borderId="0" xfId="2" applyNumberFormat="1" applyFill="1" applyBorder="1" applyAlignment="1">
      <alignment horizontal="center"/>
    </xf>
    <xf numFmtId="165" fontId="1" fillId="0" borderId="6" xfId="2" applyNumberFormat="1" applyFill="1" applyBorder="1" applyAlignment="1">
      <alignment horizontal="center"/>
    </xf>
    <xf numFmtId="164" fontId="0" fillId="0" borderId="8" xfId="0" applyNumberFormat="1" applyFill="1" applyBorder="1" applyAlignment="1">
      <alignment horizontal="center"/>
    </xf>
    <xf numFmtId="164" fontId="0" fillId="0" borderId="9" xfId="0" applyNumberFormat="1" applyFill="1" applyBorder="1" applyAlignment="1">
      <alignment horizontal="center"/>
    </xf>
    <xf numFmtId="165" fontId="0" fillId="0" borderId="5" xfId="2" applyNumberFormat="1" applyFont="1" applyFill="1" applyBorder="1" applyAlignment="1">
      <alignment horizontal="center"/>
    </xf>
    <xf numFmtId="165" fontId="0" fillId="0" borderId="0" xfId="2" applyNumberFormat="1" applyFont="1" applyFill="1" applyBorder="1" applyAlignment="1">
      <alignment horizontal="center"/>
    </xf>
    <xf numFmtId="165" fontId="0" fillId="0" borderId="6" xfId="2" applyNumberFormat="1" applyFont="1" applyFill="1" applyBorder="1" applyAlignment="1">
      <alignment horizontal="center"/>
    </xf>
    <xf numFmtId="165" fontId="0" fillId="0" borderId="7" xfId="2" applyNumberFormat="1" applyFont="1" applyFill="1" applyBorder="1" applyAlignment="1">
      <alignment horizontal="center"/>
    </xf>
    <xf numFmtId="165" fontId="0" fillId="0" borderId="8" xfId="2" applyNumberFormat="1" applyFont="1" applyFill="1" applyBorder="1" applyAlignment="1">
      <alignment horizontal="center"/>
    </xf>
    <xf numFmtId="165" fontId="0" fillId="0" borderId="9" xfId="2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165" fontId="6" fillId="0" borderId="2" xfId="2" applyNumberFormat="1" applyFont="1" applyFill="1" applyBorder="1" applyAlignment="1">
      <alignment horizontal="center"/>
    </xf>
    <xf numFmtId="165" fontId="6" fillId="0" borderId="4" xfId="2" applyNumberFormat="1" applyFont="1" applyFill="1" applyBorder="1" applyAlignment="1">
      <alignment horizontal="center"/>
    </xf>
    <xf numFmtId="164" fontId="6" fillId="0" borderId="5" xfId="2" applyNumberFormat="1" applyFont="1" applyFill="1" applyBorder="1" applyAlignment="1">
      <alignment horizontal="center"/>
    </xf>
    <xf numFmtId="164" fontId="6" fillId="0" borderId="6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165" fontId="6" fillId="0" borderId="5" xfId="2" applyNumberFormat="1" applyFont="1" applyFill="1" applyBorder="1" applyAlignment="1">
      <alignment horizontal="center"/>
    </xf>
    <xf numFmtId="165" fontId="0" fillId="0" borderId="7" xfId="0" applyNumberFormat="1" applyFill="1" applyBorder="1" applyAlignment="1">
      <alignment horizontal="center"/>
    </xf>
    <xf numFmtId="165" fontId="0" fillId="0" borderId="8" xfId="0" applyNumberFormat="1" applyFill="1" applyBorder="1" applyAlignment="1">
      <alignment horizontal="center"/>
    </xf>
    <xf numFmtId="165" fontId="0" fillId="0" borderId="9" xfId="0" applyNumberFormat="1" applyFill="1" applyBorder="1" applyAlignment="1">
      <alignment horizontal="center"/>
    </xf>
    <xf numFmtId="0" fontId="0" fillId="0" borderId="0" xfId="0" applyFill="1" applyBorder="1" applyAlignment="1"/>
    <xf numFmtId="164" fontId="8" fillId="0" borderId="0" xfId="0" applyNumberFormat="1" applyFont="1" applyFill="1" applyAlignment="1">
      <alignment horizontal="center"/>
    </xf>
    <xf numFmtId="164" fontId="0" fillId="0" borderId="0" xfId="0" applyNumberFormat="1" applyFill="1" applyAlignment="1">
      <alignment horizontal="center"/>
    </xf>
    <xf numFmtId="165" fontId="0" fillId="0" borderId="2" xfId="2" applyNumberFormat="1" applyFont="1" applyFill="1" applyBorder="1" applyAlignment="1">
      <alignment horizontal="center"/>
    </xf>
    <xf numFmtId="165" fontId="0" fillId="0" borderId="3" xfId="2" applyNumberFormat="1" applyFont="1" applyFill="1" applyBorder="1" applyAlignment="1">
      <alignment horizontal="center"/>
    </xf>
    <xf numFmtId="165" fontId="0" fillId="0" borderId="4" xfId="2" applyNumberFormat="1" applyFont="1" applyFill="1" applyBorder="1" applyAlignment="1">
      <alignment horizontal="center"/>
    </xf>
    <xf numFmtId="165" fontId="0" fillId="0" borderId="2" xfId="0" applyNumberFormat="1" applyFill="1" applyBorder="1" applyAlignment="1">
      <alignment horizontal="center"/>
    </xf>
    <xf numFmtId="165" fontId="0" fillId="0" borderId="3" xfId="0" applyNumberFormat="1" applyFill="1" applyBorder="1" applyAlignment="1">
      <alignment horizontal="center"/>
    </xf>
    <xf numFmtId="165" fontId="0" fillId="0" borderId="4" xfId="0" applyNumberFormat="1" applyFill="1" applyBorder="1" applyAlignment="1">
      <alignment horizontal="center"/>
    </xf>
    <xf numFmtId="166" fontId="0" fillId="0" borderId="5" xfId="1" applyNumberFormat="1" applyFont="1" applyFill="1" applyBorder="1" applyAlignment="1">
      <alignment horizontal="center"/>
    </xf>
    <xf numFmtId="166" fontId="0" fillId="0" borderId="0" xfId="1" applyNumberFormat="1" applyFont="1" applyFill="1" applyBorder="1" applyAlignment="1">
      <alignment horizontal="center"/>
    </xf>
    <xf numFmtId="166" fontId="0" fillId="0" borderId="6" xfId="1" applyNumberFormat="1" applyFont="1" applyFill="1" applyBorder="1" applyAlignment="1">
      <alignment horizontal="center"/>
    </xf>
    <xf numFmtId="164" fontId="0" fillId="0" borderId="5" xfId="1" applyNumberFormat="1" applyFont="1" applyFill="1" applyBorder="1" applyAlignment="1">
      <alignment horizontal="center"/>
    </xf>
    <xf numFmtId="164" fontId="0" fillId="0" borderId="0" xfId="1" applyNumberFormat="1" applyFont="1" applyFill="1" applyBorder="1" applyAlignment="1">
      <alignment horizontal="center"/>
    </xf>
    <xf numFmtId="164" fontId="0" fillId="0" borderId="6" xfId="1" applyNumberFormat="1" applyFon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64" fontId="0" fillId="0" borderId="7" xfId="0" applyNumberFormat="1" applyFill="1" applyBorder="1" applyAlignment="1">
      <alignment horizontal="center"/>
    </xf>
    <xf numFmtId="2" fontId="6" fillId="0" borderId="2" xfId="2" applyNumberFormat="1" applyFont="1" applyFill="1" applyBorder="1" applyAlignment="1">
      <alignment horizontal="center"/>
    </xf>
    <xf numFmtId="2" fontId="6" fillId="0" borderId="3" xfId="2" applyNumberFormat="1" applyFont="1" applyFill="1" applyBorder="1" applyAlignment="1">
      <alignment horizontal="center"/>
    </xf>
    <xf numFmtId="2" fontId="6" fillId="0" borderId="4" xfId="2" applyNumberFormat="1" applyFont="1" applyFill="1" applyBorder="1" applyAlignment="1">
      <alignment horizontal="center"/>
    </xf>
    <xf numFmtId="168" fontId="6" fillId="0" borderId="0" xfId="2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Alignment="1">
      <alignment horizontal="left"/>
    </xf>
    <xf numFmtId="0" fontId="5" fillId="7" borderId="10" xfId="0" applyFont="1" applyFill="1" applyBorder="1" applyAlignment="1">
      <alignment horizontal="left"/>
    </xf>
    <xf numFmtId="0" fontId="5" fillId="7" borderId="12" xfId="0" applyFont="1" applyFill="1" applyBorder="1" applyAlignment="1">
      <alignment horizontal="left"/>
    </xf>
    <xf numFmtId="0" fontId="5" fillId="7" borderId="11" xfId="0" applyFont="1" applyFill="1" applyBorder="1" applyAlignment="1">
      <alignment horizontal="left"/>
    </xf>
    <xf numFmtId="0" fontId="5" fillId="0" borderId="0" xfId="0" applyFont="1" applyBorder="1" applyAlignment="1">
      <alignment horizontal="left" vertical="center" wrapText="1" indent="1"/>
    </xf>
    <xf numFmtId="0" fontId="5" fillId="0" borderId="0" xfId="0" applyFont="1" applyAlignment="1">
      <alignment horizontal="left" indent="1"/>
    </xf>
    <xf numFmtId="0" fontId="5" fillId="0" borderId="0" xfId="0" applyFont="1" applyFill="1" applyAlignment="1"/>
    <xf numFmtId="0" fontId="0" fillId="4" borderId="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4" fillId="0" borderId="0" xfId="0" applyFont="1" applyFill="1" applyBorder="1"/>
    <xf numFmtId="0" fontId="0" fillId="4" borderId="10" xfId="0" applyFill="1" applyBorder="1" applyAlignment="1">
      <alignment horizontal="center" vertical="center"/>
    </xf>
    <xf numFmtId="165" fontId="0" fillId="4" borderId="10" xfId="2" applyNumberFormat="1" applyFont="1" applyFill="1" applyBorder="1" applyAlignment="1">
      <alignment horizontal="center" vertical="center"/>
    </xf>
    <xf numFmtId="165" fontId="0" fillId="4" borderId="11" xfId="2" applyNumberFormat="1" applyFont="1" applyFill="1" applyBorder="1" applyAlignment="1">
      <alignment horizontal="center" vertical="center"/>
    </xf>
    <xf numFmtId="165" fontId="0" fillId="4" borderId="6" xfId="2" applyNumberFormat="1" applyFont="1" applyFill="1" applyBorder="1" applyAlignment="1">
      <alignment horizontal="center" vertical="center"/>
    </xf>
    <xf numFmtId="165" fontId="0" fillId="4" borderId="12" xfId="2" applyNumberFormat="1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5" fillId="7" borderId="5" xfId="0" applyFont="1" applyFill="1" applyBorder="1" applyAlignment="1">
      <alignment vertical="center"/>
    </xf>
    <xf numFmtId="2" fontId="7" fillId="4" borderId="10" xfId="2" applyNumberFormat="1" applyFont="1" applyFill="1" applyBorder="1" applyAlignment="1">
      <alignment horizontal="center" vertical="center"/>
    </xf>
    <xf numFmtId="168" fontId="7" fillId="0" borderId="3" xfId="2" applyNumberFormat="1" applyFont="1" applyFill="1" applyBorder="1" applyAlignment="1">
      <alignment horizontal="center" vertical="center"/>
    </xf>
    <xf numFmtId="168" fontId="7" fillId="0" borderId="4" xfId="2" applyNumberFormat="1" applyFont="1" applyFill="1" applyBorder="1" applyAlignment="1">
      <alignment horizontal="center" vertical="center"/>
    </xf>
    <xf numFmtId="2" fontId="4" fillId="4" borderId="12" xfId="0" applyNumberFormat="1" applyFont="1" applyFill="1" applyBorder="1" applyAlignment="1">
      <alignment horizontal="center" vertical="center"/>
    </xf>
    <xf numFmtId="168" fontId="7" fillId="0" borderId="8" xfId="2" applyNumberFormat="1" applyFont="1" applyFill="1" applyBorder="1" applyAlignment="1">
      <alignment horizontal="center" vertical="center"/>
    </xf>
    <xf numFmtId="168" fontId="7" fillId="0" borderId="9" xfId="2" applyNumberFormat="1" applyFont="1" applyFill="1" applyBorder="1" applyAlignment="1">
      <alignment horizontal="center" vertical="center"/>
    </xf>
    <xf numFmtId="168" fontId="9" fillId="0" borderId="2" xfId="3" applyNumberFormat="1" applyFont="1" applyFill="1" applyBorder="1" applyAlignment="1">
      <alignment horizontal="center" vertical="center"/>
    </xf>
    <xf numFmtId="168" fontId="9" fillId="0" borderId="3" xfId="3" applyNumberFormat="1" applyFont="1" applyFill="1" applyBorder="1" applyAlignment="1">
      <alignment horizontal="center" vertical="center"/>
    </xf>
    <xf numFmtId="168" fontId="9" fillId="0" borderId="4" xfId="3" applyNumberFormat="1" applyFont="1" applyFill="1" applyBorder="1" applyAlignment="1">
      <alignment horizontal="center" vertical="center"/>
    </xf>
    <xf numFmtId="165" fontId="1" fillId="4" borderId="11" xfId="2" applyNumberFormat="1" applyFill="1" applyBorder="1" applyAlignment="1">
      <alignment horizontal="center" vertical="center"/>
    </xf>
    <xf numFmtId="167" fontId="6" fillId="0" borderId="0" xfId="2" applyNumberFormat="1" applyFont="1" applyFill="1" applyBorder="1" applyAlignment="1">
      <alignment horizontal="center" vertical="center"/>
    </xf>
    <xf numFmtId="167" fontId="6" fillId="0" borderId="6" xfId="2" applyNumberFormat="1" applyFont="1" applyFill="1" applyBorder="1" applyAlignment="1">
      <alignment horizontal="center" vertical="center"/>
    </xf>
    <xf numFmtId="165" fontId="6" fillId="4" borderId="11" xfId="2" applyNumberFormat="1" applyFont="1" applyFill="1" applyBorder="1" applyAlignment="1">
      <alignment horizontal="center" vertical="center"/>
    </xf>
    <xf numFmtId="165" fontId="1" fillId="4" borderId="12" xfId="2" applyNumberFormat="1" applyFill="1" applyBorder="1" applyAlignment="1">
      <alignment horizontal="center" vertical="center"/>
    </xf>
    <xf numFmtId="167" fontId="6" fillId="0" borderId="8" xfId="2" applyNumberFormat="1" applyFont="1" applyFill="1" applyBorder="1" applyAlignment="1">
      <alignment horizontal="center" vertical="center"/>
    </xf>
    <xf numFmtId="167" fontId="6" fillId="0" borderId="9" xfId="2" applyNumberFormat="1" applyFont="1" applyFill="1" applyBorder="1" applyAlignment="1">
      <alignment horizontal="center" vertical="center"/>
    </xf>
    <xf numFmtId="167" fontId="6" fillId="0" borderId="3" xfId="2" applyNumberFormat="1" applyFont="1" applyFill="1" applyBorder="1" applyAlignment="1">
      <alignment horizontal="center" vertical="center"/>
    </xf>
    <xf numFmtId="167" fontId="6" fillId="0" borderId="4" xfId="2" applyNumberFormat="1" applyFont="1" applyFill="1" applyBorder="1" applyAlignment="1">
      <alignment horizontal="center" vertical="center"/>
    </xf>
    <xf numFmtId="168" fontId="7" fillId="0" borderId="2" xfId="2" applyNumberFormat="1" applyFont="1" applyFill="1" applyBorder="1" applyAlignment="1">
      <alignment horizontal="center" vertical="center"/>
    </xf>
    <xf numFmtId="168" fontId="7" fillId="0" borderId="7" xfId="2" applyNumberFormat="1" applyFont="1" applyFill="1" applyBorder="1" applyAlignment="1">
      <alignment horizontal="center" vertical="center"/>
    </xf>
    <xf numFmtId="164" fontId="6" fillId="4" borderId="11" xfId="2" applyNumberFormat="1" applyFont="1" applyFill="1" applyBorder="1" applyAlignment="1">
      <alignment horizontal="center" vertical="center"/>
    </xf>
    <xf numFmtId="168" fontId="6" fillId="0" borderId="0" xfId="2" applyNumberFormat="1" applyFont="1" applyFill="1" applyBorder="1" applyAlignment="1">
      <alignment horizontal="center" vertical="center"/>
    </xf>
    <xf numFmtId="168" fontId="6" fillId="0" borderId="6" xfId="2" applyNumberFormat="1" applyFont="1" applyFill="1" applyBorder="1" applyAlignment="1">
      <alignment horizontal="center" vertical="center"/>
    </xf>
    <xf numFmtId="3" fontId="6" fillId="4" borderId="11" xfId="2" applyNumberFormat="1" applyFont="1" applyFill="1" applyBorder="1" applyAlignment="1">
      <alignment horizontal="center" vertical="center"/>
    </xf>
    <xf numFmtId="169" fontId="6" fillId="0" borderId="0" xfId="2" applyNumberFormat="1" applyFont="1" applyFill="1" applyBorder="1" applyAlignment="1">
      <alignment horizontal="center" vertical="center"/>
    </xf>
    <xf numFmtId="169" fontId="6" fillId="0" borderId="6" xfId="2" applyNumberFormat="1" applyFont="1" applyFill="1" applyBorder="1" applyAlignment="1">
      <alignment horizontal="center" vertical="center"/>
    </xf>
    <xf numFmtId="165" fontId="6" fillId="4" borderId="12" xfId="2" applyNumberFormat="1" applyFont="1" applyFill="1" applyBorder="1" applyAlignment="1">
      <alignment horizontal="center" vertical="center"/>
    </xf>
    <xf numFmtId="165" fontId="6" fillId="0" borderId="3" xfId="2" applyNumberFormat="1" applyFont="1" applyFill="1" applyBorder="1" applyAlignment="1">
      <alignment horizontal="center" vertical="center"/>
    </xf>
    <xf numFmtId="165" fontId="6" fillId="0" borderId="4" xfId="2" applyNumberFormat="1" applyFont="1" applyFill="1" applyBorder="1" applyAlignment="1">
      <alignment horizontal="center" vertical="center"/>
    </xf>
    <xf numFmtId="164" fontId="0" fillId="4" borderId="11" xfId="1" applyNumberFormat="1" applyFont="1" applyFill="1" applyBorder="1" applyAlignment="1">
      <alignment horizontal="center" vertical="center"/>
    </xf>
    <xf numFmtId="1" fontId="0" fillId="4" borderId="11" xfId="1" applyNumberFormat="1" applyFont="1" applyFill="1" applyBorder="1" applyAlignment="1">
      <alignment horizontal="center" vertical="center"/>
    </xf>
    <xf numFmtId="165" fontId="0" fillId="4" borderId="12" xfId="0" applyNumberFormat="1" applyFill="1" applyBorder="1" applyAlignment="1">
      <alignment horizontal="center" vertical="center"/>
    </xf>
    <xf numFmtId="0" fontId="2" fillId="0" borderId="0" xfId="3" applyFill="1"/>
    <xf numFmtId="0" fontId="3" fillId="0" borderId="0" xfId="4" applyFill="1"/>
    <xf numFmtId="2" fontId="7" fillId="4" borderId="2" xfId="2" applyNumberFormat="1" applyFont="1" applyFill="1" applyBorder="1" applyAlignment="1">
      <alignment horizontal="center" vertical="center"/>
    </xf>
    <xf numFmtId="2" fontId="4" fillId="4" borderId="7" xfId="0" applyNumberFormat="1" applyFont="1" applyFill="1" applyBorder="1" applyAlignment="1">
      <alignment horizontal="center" vertical="center"/>
    </xf>
    <xf numFmtId="168" fontId="9" fillId="0" borderId="0" xfId="3" applyNumberFormat="1" applyFont="1" applyFill="1" applyBorder="1" applyAlignment="1">
      <alignment horizontal="center" vertical="center"/>
    </xf>
    <xf numFmtId="164" fontId="0" fillId="0" borderId="0" xfId="0" applyNumberFormat="1"/>
    <xf numFmtId="168" fontId="9" fillId="0" borderId="6" xfId="3" applyNumberFormat="1" applyFont="1" applyFill="1" applyBorder="1" applyAlignment="1">
      <alignment horizontal="center" vertical="center"/>
    </xf>
    <xf numFmtId="165" fontId="1" fillId="4" borderId="10" xfId="2" applyNumberFormat="1" applyFill="1" applyBorder="1" applyAlignment="1">
      <alignment horizontal="center" vertical="center"/>
    </xf>
    <xf numFmtId="9" fontId="6" fillId="0" borderId="3" xfId="2" applyFont="1" applyFill="1" applyBorder="1" applyAlignment="1">
      <alignment horizontal="center" vertical="center"/>
    </xf>
    <xf numFmtId="9" fontId="6" fillId="0" borderId="4" xfId="2" applyFont="1" applyFill="1" applyBorder="1" applyAlignment="1">
      <alignment horizontal="center" vertical="center"/>
    </xf>
    <xf numFmtId="165" fontId="6" fillId="4" borderId="10" xfId="2" applyNumberFormat="1" applyFont="1" applyFill="1" applyBorder="1" applyAlignment="1">
      <alignment horizontal="center" vertical="center"/>
    </xf>
    <xf numFmtId="165" fontId="0" fillId="4" borderId="11" xfId="0" applyNumberFormat="1" applyFill="1" applyBorder="1" applyAlignment="1">
      <alignment horizontal="center" vertical="center"/>
    </xf>
    <xf numFmtId="0" fontId="5" fillId="7" borderId="5" xfId="0" quotePrefix="1" applyFont="1" applyFill="1" applyBorder="1" applyAlignment="1">
      <alignment horizontal="left"/>
    </xf>
    <xf numFmtId="0" fontId="5" fillId="7" borderId="2" xfId="0" quotePrefix="1" applyFont="1" applyFill="1" applyBorder="1" applyAlignment="1">
      <alignment horizontal="left"/>
    </xf>
    <xf numFmtId="0" fontId="5" fillId="7" borderId="7" xfId="0" quotePrefix="1" applyFont="1" applyFill="1" applyBorder="1" applyAlignment="1">
      <alignment horizontal="left"/>
    </xf>
    <xf numFmtId="0" fontId="5" fillId="7" borderId="10" xfId="0" applyFont="1" applyFill="1" applyBorder="1" applyAlignment="1">
      <alignment vertical="center"/>
    </xf>
    <xf numFmtId="0" fontId="5" fillId="7" borderId="11" xfId="0" applyFont="1" applyFill="1" applyBorder="1" applyAlignment="1">
      <alignment vertical="center"/>
    </xf>
    <xf numFmtId="0" fontId="5" fillId="7" borderId="12" xfId="0" applyFont="1" applyFill="1" applyBorder="1" applyAlignment="1">
      <alignment vertical="center"/>
    </xf>
    <xf numFmtId="0" fontId="14" fillId="7" borderId="12" xfId="0" applyFont="1" applyFill="1" applyBorder="1" applyAlignment="1">
      <alignment horizontal="left" vertical="center"/>
    </xf>
    <xf numFmtId="168" fontId="3" fillId="3" borderId="3" xfId="4" applyNumberFormat="1" applyBorder="1" applyAlignment="1">
      <alignment horizontal="center" vertical="center"/>
    </xf>
    <xf numFmtId="168" fontId="3" fillId="3" borderId="0" xfId="4" applyNumberFormat="1" applyBorder="1" applyAlignment="1">
      <alignment horizontal="center" vertical="center"/>
    </xf>
    <xf numFmtId="164" fontId="8" fillId="4" borderId="10" xfId="0" applyNumberFormat="1" applyFont="1" applyFill="1" applyBorder="1" applyAlignment="1">
      <alignment horizontal="center" vertical="center"/>
    </xf>
    <xf numFmtId="2" fontId="6" fillId="4" borderId="11" xfId="2" applyNumberFormat="1" applyFont="1" applyFill="1" applyBorder="1" applyAlignment="1">
      <alignment horizontal="center" vertical="center"/>
    </xf>
    <xf numFmtId="2" fontId="6" fillId="4" borderId="10" xfId="2" applyNumberFormat="1" applyFont="1" applyFill="1" applyBorder="1" applyAlignment="1">
      <alignment horizontal="center" vertical="center"/>
    </xf>
    <xf numFmtId="165" fontId="9" fillId="4" borderId="0" xfId="3" applyNumberFormat="1" applyFont="1" applyFill="1" applyBorder="1" applyAlignment="1">
      <alignment horizontal="center" vertical="center"/>
    </xf>
    <xf numFmtId="165" fontId="9" fillId="4" borderId="0" xfId="4" applyNumberFormat="1" applyFont="1" applyFill="1" applyBorder="1" applyAlignment="1">
      <alignment horizontal="center" vertical="center"/>
    </xf>
    <xf numFmtId="165" fontId="9" fillId="4" borderId="2" xfId="4" applyNumberFormat="1" applyFont="1" applyFill="1" applyBorder="1" applyAlignment="1">
      <alignment horizontal="center" vertical="center"/>
    </xf>
    <xf numFmtId="165" fontId="9" fillId="4" borderId="3" xfId="4" applyNumberFormat="1" applyFont="1" applyFill="1" applyBorder="1" applyAlignment="1">
      <alignment horizontal="center" vertical="center"/>
    </xf>
    <xf numFmtId="165" fontId="9" fillId="4" borderId="5" xfId="4" applyNumberFormat="1" applyFont="1" applyFill="1" applyBorder="1" applyAlignment="1">
      <alignment horizontal="center" vertical="center"/>
    </xf>
    <xf numFmtId="165" fontId="9" fillId="4" borderId="7" xfId="3" applyNumberFormat="1" applyFont="1" applyFill="1" applyBorder="1" applyAlignment="1">
      <alignment horizontal="center" vertical="center"/>
    </xf>
    <xf numFmtId="165" fontId="9" fillId="4" borderId="8" xfId="4" applyNumberFormat="1" applyFont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164" fontId="7" fillId="4" borderId="12" xfId="2" applyNumberFormat="1" applyFont="1" applyFill="1" applyBorder="1" applyAlignment="1">
      <alignment horizontal="center" vertical="center"/>
    </xf>
    <xf numFmtId="168" fontId="13" fillId="0" borderId="7" xfId="3" applyNumberFormat="1" applyFont="1" applyFill="1" applyBorder="1" applyAlignment="1">
      <alignment horizontal="center" vertical="center"/>
    </xf>
    <xf numFmtId="168" fontId="13" fillId="0" borderId="8" xfId="3" applyNumberFormat="1" applyFont="1" applyFill="1" applyBorder="1" applyAlignment="1">
      <alignment horizontal="center" vertical="center"/>
    </xf>
    <xf numFmtId="168" fontId="13" fillId="0" borderId="9" xfId="3" applyNumberFormat="1" applyFont="1" applyFill="1" applyBorder="1" applyAlignment="1">
      <alignment horizontal="center" vertical="center"/>
    </xf>
    <xf numFmtId="0" fontId="15" fillId="2" borderId="3" xfId="3" quotePrefix="1" applyFont="1" applyBorder="1" applyAlignment="1">
      <alignment horizontal="center" vertical="center"/>
    </xf>
    <xf numFmtId="0" fontId="15" fillId="2" borderId="4" xfId="3" quotePrefix="1" applyFont="1" applyBorder="1" applyAlignment="1">
      <alignment horizontal="center" vertical="center"/>
    </xf>
    <xf numFmtId="167" fontId="2" fillId="2" borderId="3" xfId="3" applyNumberFormat="1" applyBorder="1" applyAlignment="1">
      <alignment horizontal="center" vertical="center"/>
    </xf>
    <xf numFmtId="167" fontId="3" fillId="3" borderId="3" xfId="4" applyNumberFormat="1" applyBorder="1" applyAlignment="1">
      <alignment horizontal="center" vertical="center"/>
    </xf>
    <xf numFmtId="167" fontId="2" fillId="2" borderId="0" xfId="3" applyNumberFormat="1" applyBorder="1" applyAlignment="1">
      <alignment horizontal="center" vertical="center"/>
    </xf>
    <xf numFmtId="167" fontId="3" fillId="3" borderId="0" xfId="4" applyNumberFormat="1" applyBorder="1" applyAlignment="1">
      <alignment horizontal="center" vertical="center"/>
    </xf>
    <xf numFmtId="167" fontId="0" fillId="4" borderId="0" xfId="2" applyNumberFormat="1" applyFont="1" applyFill="1" applyBorder="1" applyAlignment="1">
      <alignment horizontal="center" vertical="center"/>
    </xf>
    <xf numFmtId="2" fontId="15" fillId="2" borderId="0" xfId="3" applyNumberFormat="1" applyFont="1" applyBorder="1" applyAlignment="1">
      <alignment horizontal="center" vertical="center"/>
    </xf>
    <xf numFmtId="2" fontId="15" fillId="2" borderId="6" xfId="3" applyNumberFormat="1" applyFont="1" applyBorder="1" applyAlignment="1">
      <alignment horizontal="center" vertical="center"/>
    </xf>
    <xf numFmtId="165" fontId="4" fillId="4" borderId="10" xfId="0" applyNumberFormat="1" applyFont="1" applyFill="1" applyBorder="1" applyAlignment="1">
      <alignment horizontal="center" vertical="center"/>
    </xf>
    <xf numFmtId="165" fontId="4" fillId="4" borderId="11" xfId="0" applyNumberFormat="1" applyFont="1" applyFill="1" applyBorder="1" applyAlignment="1">
      <alignment horizontal="center" vertical="center"/>
    </xf>
    <xf numFmtId="0" fontId="15" fillId="2" borderId="2" xfId="3" quotePrefix="1" applyFont="1" applyBorder="1" applyAlignment="1">
      <alignment horizontal="center" vertical="center"/>
    </xf>
    <xf numFmtId="2" fontId="15" fillId="2" borderId="5" xfId="3" applyNumberFormat="1" applyFont="1" applyBorder="1" applyAlignment="1">
      <alignment horizontal="center" vertical="center"/>
    </xf>
    <xf numFmtId="165" fontId="9" fillId="4" borderId="7" xfId="2" applyNumberFormat="1" applyFont="1" applyFill="1" applyBorder="1" applyAlignment="1">
      <alignment horizontal="center" vertical="center"/>
    </xf>
    <xf numFmtId="165" fontId="9" fillId="4" borderId="8" xfId="2" applyNumberFormat="1" applyFont="1" applyFill="1" applyBorder="1" applyAlignment="1">
      <alignment horizontal="center" vertical="center"/>
    </xf>
    <xf numFmtId="165" fontId="9" fillId="4" borderId="9" xfId="2" applyNumberFormat="1" applyFont="1" applyFill="1" applyBorder="1" applyAlignment="1">
      <alignment horizontal="center" vertical="center"/>
    </xf>
    <xf numFmtId="165" fontId="0" fillId="4" borderId="12" xfId="0" applyNumberFormat="1" applyFont="1" applyFill="1" applyBorder="1" applyAlignment="1">
      <alignment horizontal="center" vertical="center"/>
    </xf>
    <xf numFmtId="0" fontId="12" fillId="7" borderId="7" xfId="0" quotePrefix="1" applyFont="1" applyFill="1" applyBorder="1"/>
    <xf numFmtId="164" fontId="4" fillId="4" borderId="12" xfId="0" applyNumberFormat="1" applyFont="1" applyFill="1" applyBorder="1" applyAlignment="1">
      <alignment horizontal="center"/>
    </xf>
    <xf numFmtId="168" fontId="16" fillId="3" borderId="8" xfId="4" applyNumberFormat="1" applyFont="1" applyBorder="1" applyAlignment="1">
      <alignment horizontal="center" vertical="center"/>
    </xf>
    <xf numFmtId="165" fontId="0" fillId="0" borderId="0" xfId="0" applyNumberFormat="1"/>
    <xf numFmtId="0" fontId="12" fillId="7" borderId="10" xfId="0" applyFont="1" applyFill="1" applyBorder="1" applyAlignment="1">
      <alignment vertical="center"/>
    </xf>
    <xf numFmtId="0" fontId="12" fillId="7" borderId="11" xfId="0" applyFont="1" applyFill="1" applyBorder="1" applyAlignment="1">
      <alignment horizontal="left" vertical="center"/>
    </xf>
    <xf numFmtId="0" fontId="10" fillId="6" borderId="10" xfId="0" applyFont="1" applyFill="1" applyBorder="1" applyAlignment="1">
      <alignment horizontal="left" vertical="center" wrapText="1" indent="1"/>
    </xf>
    <xf numFmtId="0" fontId="10" fillId="6" borderId="11" xfId="0" applyFont="1" applyFill="1" applyBorder="1" applyAlignment="1">
      <alignment horizontal="left" vertical="center" wrapText="1" indent="1"/>
    </xf>
    <xf numFmtId="0" fontId="10" fillId="6" borderId="12" xfId="0" applyFont="1" applyFill="1" applyBorder="1" applyAlignment="1">
      <alignment horizontal="left" vertical="center" wrapText="1" indent="1"/>
    </xf>
    <xf numFmtId="0" fontId="10" fillId="6" borderId="4" xfId="0" applyFont="1" applyFill="1" applyBorder="1" applyAlignment="1">
      <alignment horizontal="left" vertical="center" indent="1"/>
    </xf>
    <xf numFmtId="0" fontId="10" fillId="6" borderId="6" xfId="0" applyFont="1" applyFill="1" applyBorder="1" applyAlignment="1">
      <alignment horizontal="left" vertical="center" indent="1"/>
    </xf>
    <xf numFmtId="0" fontId="10" fillId="6" borderId="9" xfId="0" applyFont="1" applyFill="1" applyBorder="1" applyAlignment="1">
      <alignment horizontal="left" vertical="center" inden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1" fillId="5" borderId="13" xfId="0" applyFont="1" applyFill="1" applyBorder="1" applyAlignment="1">
      <alignment horizontal="left" vertical="center"/>
    </xf>
    <xf numFmtId="0" fontId="11" fillId="5" borderId="14" xfId="0" applyFont="1" applyFill="1" applyBorder="1" applyAlignment="1">
      <alignment horizontal="left" vertical="center"/>
    </xf>
    <xf numFmtId="0" fontId="11" fillId="5" borderId="4" xfId="0" applyFont="1" applyFill="1" applyBorder="1" applyAlignment="1">
      <alignment horizontal="left" vertical="center"/>
    </xf>
    <xf numFmtId="0" fontId="11" fillId="5" borderId="3" xfId="0" applyFont="1" applyFill="1" applyBorder="1" applyAlignment="1">
      <alignment horizontal="left" vertical="center"/>
    </xf>
    <xf numFmtId="0" fontId="10" fillId="6" borderId="0" xfId="0" applyFont="1" applyFill="1" applyBorder="1" applyAlignment="1">
      <alignment horizontal="left" vertical="center" wrapText="1" indent="1"/>
    </xf>
    <xf numFmtId="0" fontId="10" fillId="6" borderId="8" xfId="0" applyFont="1" applyFill="1" applyBorder="1" applyAlignment="1">
      <alignment horizontal="left" vertical="center" wrapText="1" indent="1"/>
    </xf>
    <xf numFmtId="0" fontId="10" fillId="6" borderId="4" xfId="0" applyFont="1" applyFill="1" applyBorder="1" applyAlignment="1">
      <alignment horizontal="left" vertical="center" wrapText="1" indent="1"/>
    </xf>
    <xf numFmtId="0" fontId="10" fillId="6" borderId="6" xfId="0" applyFont="1" applyFill="1" applyBorder="1" applyAlignment="1">
      <alignment horizontal="left" vertical="center" wrapText="1" indent="1"/>
    </xf>
    <xf numFmtId="0" fontId="10" fillId="6" borderId="9" xfId="0" applyFont="1" applyFill="1" applyBorder="1" applyAlignment="1">
      <alignment horizontal="left" vertical="center" wrapText="1" indent="1"/>
    </xf>
    <xf numFmtId="0" fontId="10" fillId="6" borderId="10" xfId="0" applyFont="1" applyFill="1" applyBorder="1" applyAlignment="1">
      <alignment horizontal="left" vertical="center" indent="1"/>
    </xf>
    <xf numFmtId="0" fontId="10" fillId="6" borderId="11" xfId="0" applyFont="1" applyFill="1" applyBorder="1" applyAlignment="1">
      <alignment horizontal="left" vertical="center" indent="1"/>
    </xf>
    <xf numFmtId="0" fontId="10" fillId="6" borderId="12" xfId="0" applyFont="1" applyFill="1" applyBorder="1" applyAlignment="1">
      <alignment horizontal="left" vertical="center" indent="1"/>
    </xf>
  </cellXfs>
  <cellStyles count="5">
    <cellStyle name="Bad" xfId="4" builtinId="27"/>
    <cellStyle name="Comma" xfId="1" builtinId="3"/>
    <cellStyle name="Good" xfId="3" builtinId="26"/>
    <cellStyle name="Normal" xfId="0" builtinId="0"/>
    <cellStyle name="Percent" xfId="2" builtinId="5"/>
  </cellStyles>
  <dxfs count="1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860000"/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A7F6A-3066-41C8-9DB8-04F16D8438B8}">
  <dimension ref="A1:Q99"/>
  <sheetViews>
    <sheetView tabSelected="1" topLeftCell="A41" zoomScale="85" zoomScaleNormal="85" workbookViewId="0">
      <selection activeCell="I51" sqref="I51"/>
    </sheetView>
  </sheetViews>
  <sheetFormatPr defaultRowHeight="14.5" x14ac:dyDescent="0.35"/>
  <cols>
    <col min="1" max="1" width="15.81640625" customWidth="1"/>
    <col min="2" max="2" width="34.7265625" customWidth="1"/>
    <col min="3" max="3" width="26.36328125" customWidth="1"/>
    <col min="4" max="8" width="10.453125" customWidth="1"/>
    <col min="9" max="9" width="21.54296875" bestFit="1" customWidth="1"/>
  </cols>
  <sheetData>
    <row r="1" spans="1:12" hidden="1" x14ac:dyDescent="0.35"/>
    <row r="2" spans="1:12" hidden="1" x14ac:dyDescent="0.35"/>
    <row r="3" spans="1:12" ht="15" hidden="1" thickBot="1" x14ac:dyDescent="0.4">
      <c r="D3" t="s">
        <v>0</v>
      </c>
      <c r="E3" t="s">
        <v>1</v>
      </c>
      <c r="F3" t="s">
        <v>2</v>
      </c>
      <c r="G3" t="s">
        <v>37</v>
      </c>
      <c r="H3" t="s">
        <v>3</v>
      </c>
    </row>
    <row r="4" spans="1:12" hidden="1" x14ac:dyDescent="0.35">
      <c r="A4" s="4" t="s">
        <v>35</v>
      </c>
      <c r="B4" s="13" t="s">
        <v>8</v>
      </c>
      <c r="C4" s="1" t="s">
        <v>4</v>
      </c>
      <c r="D4" s="54">
        <v>138.43575006493623</v>
      </c>
      <c r="E4" s="55">
        <v>139.22630189191423</v>
      </c>
      <c r="F4" s="17">
        <v>138.29935729461579</v>
      </c>
      <c r="G4" s="17">
        <v>139.41595540863571</v>
      </c>
      <c r="H4" s="18">
        <v>141.62420028079859</v>
      </c>
    </row>
    <row r="5" spans="1:12" hidden="1" x14ac:dyDescent="0.35">
      <c r="A5" s="5"/>
      <c r="B5" s="11"/>
      <c r="C5" s="2" t="s">
        <v>5</v>
      </c>
      <c r="D5" s="19">
        <v>0.93343131935540669</v>
      </c>
      <c r="E5" s="20">
        <v>1.423840198924154</v>
      </c>
      <c r="F5" s="20">
        <v>0.21131624994714571</v>
      </c>
      <c r="G5" s="20">
        <v>1.548302933279444</v>
      </c>
      <c r="H5" s="21">
        <v>2.0460009046815339</v>
      </c>
    </row>
    <row r="6" spans="1:12" hidden="1" x14ac:dyDescent="0.35">
      <c r="A6" s="5"/>
      <c r="B6" s="11"/>
      <c r="C6" s="2" t="s">
        <v>6</v>
      </c>
      <c r="D6" s="19">
        <v>-0.49490754880716614</v>
      </c>
      <c r="E6" s="20">
        <v>1.5047558943013541</v>
      </c>
      <c r="F6" s="20">
        <v>2.1597741063951048</v>
      </c>
      <c r="G6" s="20">
        <v>3.2449087190207706</v>
      </c>
      <c r="H6" s="21">
        <v>3.1506634486179053</v>
      </c>
    </row>
    <row r="7" spans="1:12" hidden="1" x14ac:dyDescent="0.35">
      <c r="A7" s="5"/>
      <c r="B7" s="11"/>
      <c r="C7" s="9" t="s">
        <v>48</v>
      </c>
      <c r="D7" s="19">
        <v>-1.8</v>
      </c>
      <c r="E7" s="20">
        <v>0</v>
      </c>
      <c r="F7" s="20">
        <v>0</v>
      </c>
      <c r="G7" s="20">
        <v>0</v>
      </c>
      <c r="H7" s="21">
        <v>0</v>
      </c>
    </row>
    <row r="8" spans="1:12" ht="15" hidden="1" thickBot="1" x14ac:dyDescent="0.4">
      <c r="A8" s="5"/>
      <c r="B8" s="12"/>
      <c r="C8" s="10" t="s">
        <v>7</v>
      </c>
      <c r="D8" s="22">
        <f>SUM(D4:D6)</f>
        <v>138.87427383548447</v>
      </c>
      <c r="E8" s="23">
        <v>142.1529556659936</v>
      </c>
      <c r="F8" s="23">
        <v>140.67044765095804</v>
      </c>
      <c r="G8" s="23">
        <v>144.20916706093593</v>
      </c>
      <c r="H8" s="24">
        <v>146.82086463409803</v>
      </c>
      <c r="J8" s="134"/>
      <c r="K8" s="134"/>
      <c r="L8" s="8"/>
    </row>
    <row r="9" spans="1:12" hidden="1" x14ac:dyDescent="0.35">
      <c r="A9" s="5"/>
      <c r="B9" s="203" t="s">
        <v>17</v>
      </c>
      <c r="C9" s="7" t="s">
        <v>15</v>
      </c>
      <c r="D9" s="25">
        <v>140.50459471793889</v>
      </c>
      <c r="E9" s="17">
        <v>140.43211833884561</v>
      </c>
      <c r="F9" s="17">
        <v>139.70876763492191</v>
      </c>
      <c r="G9" s="17">
        <v>139.91790875779989</v>
      </c>
      <c r="H9" s="18">
        <v>141.86952503622649</v>
      </c>
    </row>
    <row r="10" spans="1:12" ht="15" hidden="1" thickBot="1" x14ac:dyDescent="0.4">
      <c r="A10" s="5"/>
      <c r="B10" s="204"/>
      <c r="C10" s="10" t="s">
        <v>16</v>
      </c>
      <c r="D10" s="69">
        <v>136.82401393766003</v>
      </c>
      <c r="E10" s="34">
        <v>138.29657679667417</v>
      </c>
      <c r="F10" s="34">
        <v>137.12972878980707</v>
      </c>
      <c r="G10" s="34">
        <v>138.97130131887664</v>
      </c>
      <c r="H10" s="35">
        <v>141.32555720055365</v>
      </c>
    </row>
    <row r="11" spans="1:12" hidden="1" x14ac:dyDescent="0.35">
      <c r="A11" s="5"/>
      <c r="B11" s="206" t="s">
        <v>13</v>
      </c>
      <c r="C11" s="7" t="s">
        <v>9</v>
      </c>
      <c r="D11" s="70">
        <v>0.6569358646243445</v>
      </c>
      <c r="E11" s="71">
        <v>0.96663165938209861</v>
      </c>
      <c r="F11" s="71">
        <v>-0.15422944841979</v>
      </c>
      <c r="G11" s="71">
        <v>0.60720089873517347</v>
      </c>
      <c r="H11" s="72">
        <v>1.1228867621699434</v>
      </c>
    </row>
    <row r="12" spans="1:12" ht="15" hidden="1" thickBot="1" x14ac:dyDescent="0.4">
      <c r="A12" s="5"/>
      <c r="B12" s="207"/>
      <c r="C12" s="10" t="s">
        <v>10</v>
      </c>
      <c r="D12" s="26">
        <v>0.27649545473106379</v>
      </c>
      <c r="E12" s="27">
        <v>0.45720853954207408</v>
      </c>
      <c r="F12" s="27">
        <v>0.36554569836693163</v>
      </c>
      <c r="G12" s="27">
        <v>0.9411020345442741</v>
      </c>
      <c r="H12" s="28">
        <v>0.92311414251157387</v>
      </c>
    </row>
    <row r="13" spans="1:12" hidden="1" x14ac:dyDescent="0.35">
      <c r="A13" s="5"/>
      <c r="B13" s="206" t="s">
        <v>14</v>
      </c>
      <c r="C13" s="7" t="s">
        <v>11</v>
      </c>
      <c r="D13" s="19">
        <v>-2.0975739907451505</v>
      </c>
      <c r="E13" s="20">
        <v>-0.52331707630470403</v>
      </c>
      <c r="F13" s="20">
        <v>-0.95588292985341106</v>
      </c>
      <c r="G13" s="20">
        <v>-0.32271424108997604</v>
      </c>
      <c r="H13" s="21">
        <v>0.34527948103938116</v>
      </c>
    </row>
    <row r="14" spans="1:12" ht="15" hidden="1" thickBot="1" x14ac:dyDescent="0.4">
      <c r="A14" s="6"/>
      <c r="B14" s="207"/>
      <c r="C14" s="10" t="s">
        <v>12</v>
      </c>
      <c r="D14" s="26">
        <v>1.6026664419379844</v>
      </c>
      <c r="E14" s="27">
        <v>2.026130651459904</v>
      </c>
      <c r="F14" s="27">
        <v>3.1167436633848054</v>
      </c>
      <c r="G14" s="27">
        <v>3.5767935784921825</v>
      </c>
      <c r="H14" s="28">
        <v>2.8043128158176898</v>
      </c>
    </row>
    <row r="15" spans="1:12" ht="15" hidden="1" thickBot="1" x14ac:dyDescent="0.4">
      <c r="C15" s="8"/>
      <c r="D15" s="29"/>
      <c r="E15" s="29"/>
      <c r="F15" s="29"/>
      <c r="G15" s="29"/>
      <c r="H15" s="29"/>
    </row>
    <row r="16" spans="1:12" hidden="1" x14ac:dyDescent="0.35">
      <c r="A16" s="200" t="s">
        <v>34</v>
      </c>
      <c r="B16" s="203" t="s">
        <v>26</v>
      </c>
      <c r="C16" s="7" t="s">
        <v>28</v>
      </c>
      <c r="D16" s="30">
        <v>0.1508838383838384</v>
      </c>
      <c r="E16" s="30">
        <v>0.17156473391580621</v>
      </c>
      <c r="F16" s="30">
        <v>0.23263722833306771</v>
      </c>
      <c r="G16" s="30">
        <v>0.1743468557174741</v>
      </c>
      <c r="H16" s="31">
        <v>0.10957337298410159</v>
      </c>
    </row>
    <row r="17" spans="1:8" hidden="1" x14ac:dyDescent="0.35">
      <c r="A17" s="201"/>
      <c r="B17" s="205"/>
      <c r="C17" s="2" t="s">
        <v>29</v>
      </c>
      <c r="D17" s="15">
        <v>0.2356376262626263</v>
      </c>
      <c r="E17" s="15">
        <v>0.1636219221604448</v>
      </c>
      <c r="F17" s="15">
        <v>0.16212338593974171</v>
      </c>
      <c r="G17" s="15">
        <v>0.12642772745175271</v>
      </c>
      <c r="H17" s="16">
        <v>0.1098021274162187</v>
      </c>
    </row>
    <row r="18" spans="1:8" hidden="1" x14ac:dyDescent="0.35">
      <c r="A18" s="201"/>
      <c r="B18" s="205"/>
      <c r="C18" s="2" t="s">
        <v>32</v>
      </c>
      <c r="D18" s="15">
        <v>0.24779040404040401</v>
      </c>
      <c r="E18" s="15">
        <v>0.15914506462560471</v>
      </c>
      <c r="F18" s="15">
        <v>8.9324618736383449E-2</v>
      </c>
      <c r="G18" s="15">
        <v>0.17323093081265589</v>
      </c>
      <c r="H18" s="16">
        <v>0.16184376072286399</v>
      </c>
    </row>
    <row r="19" spans="1:8" hidden="1" x14ac:dyDescent="0.35">
      <c r="A19" s="201"/>
      <c r="B19" s="205"/>
      <c r="C19" s="2" t="s">
        <v>33</v>
      </c>
      <c r="D19" s="32">
        <v>0.1237373737373737</v>
      </c>
      <c r="E19" s="32">
        <v>0.10997183912195831</v>
      </c>
      <c r="F19" s="32">
        <v>1.7535469472341782E-2</v>
      </c>
      <c r="G19" s="32">
        <v>1.050282263358277E-2</v>
      </c>
      <c r="H19" s="33">
        <v>9.7220633649776969E-3</v>
      </c>
    </row>
    <row r="20" spans="1:8" hidden="1" x14ac:dyDescent="0.35">
      <c r="A20" s="201"/>
      <c r="B20" s="205"/>
      <c r="C20" s="2" t="s">
        <v>30</v>
      </c>
      <c r="D20" s="32">
        <v>0.10211489898989901</v>
      </c>
      <c r="E20" s="32">
        <v>9.6396851758249691E-2</v>
      </c>
      <c r="F20" s="32">
        <v>0.11584037409001539</v>
      </c>
      <c r="G20" s="32">
        <v>0.1003675987921754</v>
      </c>
      <c r="H20" s="33">
        <v>7.7090243623470209E-2</v>
      </c>
    </row>
    <row r="21" spans="1:8" hidden="1" x14ac:dyDescent="0.35">
      <c r="A21" s="201"/>
      <c r="B21" s="205"/>
      <c r="C21" s="2" t="s">
        <v>31</v>
      </c>
      <c r="D21" s="32">
        <v>0.26815025252525249</v>
      </c>
      <c r="E21" s="32">
        <v>0.27640984908657668</v>
      </c>
      <c r="F21" s="32">
        <v>0.25522078750199267</v>
      </c>
      <c r="G21" s="32">
        <v>0.2754365235657083</v>
      </c>
      <c r="H21" s="33">
        <v>0.33752716458881388</v>
      </c>
    </row>
    <row r="22" spans="1:8" ht="15" hidden="1" thickBot="1" x14ac:dyDescent="0.4">
      <c r="A22" s="201"/>
      <c r="B22" s="204"/>
      <c r="C22" s="3" t="s">
        <v>23</v>
      </c>
      <c r="D22" s="34">
        <f>D32</f>
        <v>7.5045499973699501</v>
      </c>
      <c r="E22" s="34">
        <f t="shared" ref="E22:H22" si="0">E32</f>
        <v>6.25772017233494</v>
      </c>
      <c r="F22" s="34">
        <f t="shared" si="0"/>
        <v>5.9169485458613202</v>
      </c>
      <c r="G22" s="34">
        <f t="shared" si="0"/>
        <v>6.3305224867724998</v>
      </c>
      <c r="H22" s="35">
        <f t="shared" si="0"/>
        <v>5.6914326647564097</v>
      </c>
    </row>
    <row r="23" spans="1:8" ht="14.5" hidden="1" customHeight="1" x14ac:dyDescent="0.35">
      <c r="A23" s="201"/>
      <c r="B23" s="194" t="s">
        <v>21</v>
      </c>
      <c r="C23" s="7" t="s">
        <v>18</v>
      </c>
      <c r="D23" s="56">
        <v>8.6254778972962159E-2</v>
      </c>
      <c r="E23" s="57">
        <v>0.11845213272348036</v>
      </c>
      <c r="F23" s="57">
        <v>0.2167704967999772</v>
      </c>
      <c r="G23" s="57">
        <v>0.15864860656208649</v>
      </c>
      <c r="H23" s="58">
        <v>9.6726824535063718E-2</v>
      </c>
    </row>
    <row r="24" spans="1:8" hidden="1" x14ac:dyDescent="0.35">
      <c r="A24" s="201"/>
      <c r="B24" s="195"/>
      <c r="C24" s="9" t="s">
        <v>19</v>
      </c>
      <c r="D24" s="36">
        <v>2.30864983464708E-2</v>
      </c>
      <c r="E24" s="37">
        <v>0.19249892671774779</v>
      </c>
      <c r="F24" s="37">
        <v>0.22896902912780009</v>
      </c>
      <c r="G24" s="37">
        <v>0.1802320878727923</v>
      </c>
      <c r="H24" s="38">
        <v>0.1404170664284897</v>
      </c>
    </row>
    <row r="25" spans="1:8" hidden="1" x14ac:dyDescent="0.35">
      <c r="A25" s="201"/>
      <c r="B25" s="195"/>
      <c r="C25" s="9" t="s">
        <v>20</v>
      </c>
      <c r="D25" s="36">
        <v>9.7817730436526779E-2</v>
      </c>
      <c r="E25" s="37">
        <v>0.1349533530313112</v>
      </c>
      <c r="F25" s="37">
        <v>0.22149165339622259</v>
      </c>
      <c r="G25" s="37">
        <v>0.28005435438455101</v>
      </c>
      <c r="H25" s="38">
        <v>0.31691124631679601</v>
      </c>
    </row>
    <row r="26" spans="1:8" hidden="1" x14ac:dyDescent="0.35">
      <c r="A26" s="201"/>
      <c r="B26" s="195"/>
      <c r="C26" s="9" t="s">
        <v>40</v>
      </c>
      <c r="D26" s="36">
        <v>7.3700000000000002E-2</v>
      </c>
      <c r="E26" s="37">
        <v>6.6400000000000001E-2</v>
      </c>
      <c r="F26" s="37">
        <v>5.8099999999999999E-2</v>
      </c>
      <c r="G26" s="37">
        <v>6.0900000000000003E-2</v>
      </c>
      <c r="H26" s="38">
        <v>6.4399999999999999E-2</v>
      </c>
    </row>
    <row r="27" spans="1:8" hidden="1" x14ac:dyDescent="0.35">
      <c r="A27" s="201"/>
      <c r="B27" s="195"/>
      <c r="C27" s="9" t="s">
        <v>41</v>
      </c>
      <c r="D27" s="36">
        <v>0.21429999999999999</v>
      </c>
      <c r="E27" s="37">
        <v>0.28989999999999999</v>
      </c>
      <c r="F27" s="37">
        <v>0.17369999999999999</v>
      </c>
      <c r="G27" s="37">
        <v>0.19320000000000001</v>
      </c>
      <c r="H27" s="38">
        <v>0.19689999999999999</v>
      </c>
    </row>
    <row r="28" spans="1:8" hidden="1" x14ac:dyDescent="0.35">
      <c r="A28" s="201"/>
      <c r="B28" s="195"/>
      <c r="C28" s="9" t="s">
        <v>38</v>
      </c>
      <c r="D28" s="36">
        <v>0.23863359389201899</v>
      </c>
      <c r="E28" s="37">
        <v>0.221372311175804</v>
      </c>
      <c r="F28" s="37">
        <v>0.231516715371127</v>
      </c>
      <c r="G28" s="37">
        <v>0.22740790239844699</v>
      </c>
      <c r="H28" s="38">
        <v>0.217471868583162</v>
      </c>
    </row>
    <row r="29" spans="1:8" ht="15" hidden="1" thickBot="1" x14ac:dyDescent="0.4">
      <c r="A29" s="202"/>
      <c r="B29" s="196"/>
      <c r="C29" s="10" t="s">
        <v>39</v>
      </c>
      <c r="D29" s="39">
        <v>0.135429921832394</v>
      </c>
      <c r="E29" s="40">
        <v>8.9115316189551902E-2</v>
      </c>
      <c r="F29" s="40">
        <v>8.9713617767387399E-2</v>
      </c>
      <c r="G29" s="40">
        <v>8.8728684319977796E-2</v>
      </c>
      <c r="H29" s="41">
        <v>8.7337440109513997E-2</v>
      </c>
    </row>
    <row r="30" spans="1:8" ht="15" hidden="1" thickBot="1" x14ac:dyDescent="0.4">
      <c r="D30" s="42"/>
      <c r="E30" s="42"/>
      <c r="F30" s="42"/>
      <c r="G30" s="42"/>
      <c r="H30" s="42"/>
    </row>
    <row r="31" spans="1:8" hidden="1" x14ac:dyDescent="0.35">
      <c r="A31" s="200" t="s">
        <v>36</v>
      </c>
      <c r="B31" s="197" t="s">
        <v>27</v>
      </c>
      <c r="C31" s="1" t="s">
        <v>22</v>
      </c>
      <c r="D31" s="43">
        <v>1.7691352620700269</v>
      </c>
      <c r="E31" s="44">
        <v>1.630388300861366</v>
      </c>
      <c r="F31" s="43">
        <v>1.604727867366883</v>
      </c>
      <c r="G31" s="44">
        <v>1.593156693265364</v>
      </c>
      <c r="H31" s="44">
        <v>1.547745545382337</v>
      </c>
    </row>
    <row r="32" spans="1:8" hidden="1" x14ac:dyDescent="0.35">
      <c r="A32" s="201"/>
      <c r="B32" s="198"/>
      <c r="C32" s="2" t="s">
        <v>23</v>
      </c>
      <c r="D32" s="45">
        <v>7.5045499973699501</v>
      </c>
      <c r="E32" s="46">
        <v>6.25772017233494</v>
      </c>
      <c r="F32" s="45">
        <v>5.9169485458613202</v>
      </c>
      <c r="G32" s="46">
        <v>6.3305224867724998</v>
      </c>
      <c r="H32" s="46">
        <v>5.6914326647564097</v>
      </c>
    </row>
    <row r="33" spans="1:10" hidden="1" x14ac:dyDescent="0.35">
      <c r="A33" s="201"/>
      <c r="B33" s="198"/>
      <c r="C33" s="2" t="s">
        <v>24</v>
      </c>
      <c r="D33" s="47">
        <v>68051</v>
      </c>
      <c r="E33" s="48">
        <v>62054</v>
      </c>
      <c r="F33" s="47">
        <v>60448</v>
      </c>
      <c r="G33" s="48">
        <v>62472</v>
      </c>
      <c r="H33" s="48">
        <v>55849</v>
      </c>
    </row>
    <row r="34" spans="1:10" ht="15" hidden="1" thickBot="1" x14ac:dyDescent="0.4">
      <c r="A34" s="201"/>
      <c r="B34" s="199"/>
      <c r="C34" s="3" t="s">
        <v>20</v>
      </c>
      <c r="D34" s="49">
        <v>0.152122455420546</v>
      </c>
      <c r="E34" s="16">
        <v>0.15777312441331501</v>
      </c>
      <c r="F34" s="49">
        <v>0.13852348993288499</v>
      </c>
      <c r="G34" s="16">
        <v>0.22632275132275101</v>
      </c>
      <c r="H34" s="16">
        <v>0.200343839541547</v>
      </c>
    </row>
    <row r="35" spans="1:10" ht="29" hidden="1" customHeight="1" x14ac:dyDescent="0.35">
      <c r="A35" s="201"/>
      <c r="B35" s="194" t="s">
        <v>25</v>
      </c>
      <c r="C35" s="1" t="s">
        <v>22</v>
      </c>
      <c r="D35" s="59">
        <v>1.4618543982449523</v>
      </c>
      <c r="E35" s="60">
        <v>1.4752438674768495</v>
      </c>
      <c r="F35" s="60">
        <v>1.4686037238373602</v>
      </c>
      <c r="G35" s="60">
        <v>1.440249565398064</v>
      </c>
      <c r="H35" s="61">
        <v>1.4873356921822505</v>
      </c>
    </row>
    <row r="36" spans="1:10" hidden="1" x14ac:dyDescent="0.35">
      <c r="A36" s="201"/>
      <c r="B36" s="195"/>
      <c r="C36" s="2" t="s">
        <v>23</v>
      </c>
      <c r="D36" s="65">
        <v>6.354728616122042</v>
      </c>
      <c r="E36" s="66">
        <v>6.4359991677137733</v>
      </c>
      <c r="F36" s="66">
        <v>6.0609055145865156</v>
      </c>
      <c r="G36" s="66">
        <v>5.7373468000161889</v>
      </c>
      <c r="H36" s="67">
        <v>5.4934206889597386</v>
      </c>
    </row>
    <row r="37" spans="1:10" hidden="1" x14ac:dyDescent="0.35">
      <c r="A37" s="201"/>
      <c r="B37" s="195"/>
      <c r="C37" s="2" t="s">
        <v>24</v>
      </c>
      <c r="D37" s="62">
        <v>84403.091238555338</v>
      </c>
      <c r="E37" s="63">
        <v>78638.434820069597</v>
      </c>
      <c r="F37" s="63">
        <v>74269.110600063388</v>
      </c>
      <c r="G37" s="63">
        <v>70122.919106096175</v>
      </c>
      <c r="H37" s="64">
        <v>67186.621358283155</v>
      </c>
    </row>
    <row r="38" spans="1:10" ht="15" hidden="1" thickBot="1" x14ac:dyDescent="0.4">
      <c r="A38" s="202"/>
      <c r="B38" s="196"/>
      <c r="C38" s="3" t="s">
        <v>20</v>
      </c>
      <c r="D38" s="50">
        <f>D25</f>
        <v>9.7817730436526779E-2</v>
      </c>
      <c r="E38" s="51">
        <f t="shared" ref="E38:H38" si="1">E25</f>
        <v>0.1349533530313112</v>
      </c>
      <c r="F38" s="51">
        <f t="shared" si="1"/>
        <v>0.22149165339622259</v>
      </c>
      <c r="G38" s="51">
        <f t="shared" si="1"/>
        <v>0.28005435438455101</v>
      </c>
      <c r="H38" s="52">
        <f t="shared" si="1"/>
        <v>0.31691124631679601</v>
      </c>
    </row>
    <row r="39" spans="1:10" hidden="1" x14ac:dyDescent="0.35"/>
    <row r="40" spans="1:10" hidden="1" x14ac:dyDescent="0.35"/>
    <row r="41" spans="1:10" x14ac:dyDescent="0.35">
      <c r="A41" s="9"/>
      <c r="B41" s="81" t="s">
        <v>42</v>
      </c>
      <c r="C41" s="81"/>
      <c r="D41" s="81"/>
      <c r="E41" s="81"/>
      <c r="F41" s="81"/>
      <c r="G41" s="81"/>
      <c r="H41" s="81"/>
      <c r="I41" s="81"/>
      <c r="J41" s="8"/>
    </row>
    <row r="42" spans="1:10" x14ac:dyDescent="0.35">
      <c r="A42" s="9"/>
    </row>
    <row r="43" spans="1:10" x14ac:dyDescent="0.35">
      <c r="A43" s="9"/>
    </row>
    <row r="44" spans="1:10" x14ac:dyDescent="0.35">
      <c r="A44" s="9"/>
    </row>
    <row r="45" spans="1:10" ht="15" thickBot="1" x14ac:dyDescent="0.4">
      <c r="A45" s="9"/>
    </row>
    <row r="46" spans="1:10" ht="19" thickBot="1" x14ac:dyDescent="0.4">
      <c r="A46" s="53"/>
      <c r="B46" s="208" t="s">
        <v>70</v>
      </c>
      <c r="C46" s="210"/>
      <c r="D46" s="88" t="s">
        <v>0</v>
      </c>
      <c r="E46" s="85" t="s">
        <v>1</v>
      </c>
      <c r="F46" s="85" t="s">
        <v>2</v>
      </c>
      <c r="G46" s="85" t="s">
        <v>37</v>
      </c>
      <c r="H46" s="86" t="s">
        <v>3</v>
      </c>
    </row>
    <row r="47" spans="1:10" ht="16" customHeight="1" x14ac:dyDescent="0.35">
      <c r="A47" s="53"/>
      <c r="B47" s="191" t="s">
        <v>49</v>
      </c>
      <c r="C47" s="142" t="s">
        <v>84</v>
      </c>
      <c r="D47" s="150">
        <v>138.43575006493623</v>
      </c>
      <c r="E47" s="104">
        <f>E4-$D4</f>
        <v>0.79055182697800319</v>
      </c>
      <c r="F47" s="148">
        <f t="shared" ref="F47:H47" si="2">F4-$D4</f>
        <v>-0.13639277032044106</v>
      </c>
      <c r="G47" s="104">
        <f t="shared" si="2"/>
        <v>0.98020534369948109</v>
      </c>
      <c r="H47" s="105">
        <f t="shared" si="2"/>
        <v>3.1884502158623604</v>
      </c>
    </row>
    <row r="48" spans="1:10" ht="16" customHeight="1" x14ac:dyDescent="0.35">
      <c r="A48" s="53"/>
      <c r="B48" s="192"/>
      <c r="C48" s="141" t="s">
        <v>80</v>
      </c>
      <c r="D48" s="151">
        <v>0.93343131935540669</v>
      </c>
      <c r="E48" s="133">
        <f>E5-$D5</f>
        <v>0.49040887956874735</v>
      </c>
      <c r="F48" s="149">
        <f t="shared" ref="F48:H48" si="3">F5-$D5</f>
        <v>-0.72211506940826098</v>
      </c>
      <c r="G48" s="133">
        <f t="shared" si="3"/>
        <v>0.61487161392403733</v>
      </c>
      <c r="H48" s="135">
        <f t="shared" si="3"/>
        <v>1.1125695853261273</v>
      </c>
    </row>
    <row r="49" spans="1:17" ht="16" customHeight="1" thickBot="1" x14ac:dyDescent="0.4">
      <c r="A49" s="53"/>
      <c r="B49" s="192"/>
      <c r="C49" s="182" t="s">
        <v>79</v>
      </c>
      <c r="D49" s="183">
        <f>SUM(D47:D48)</f>
        <v>139.36918138429164</v>
      </c>
      <c r="E49" s="163">
        <f t="shared" ref="E49:H49" si="4">SUM(E47:E48)</f>
        <v>1.2809607065467505</v>
      </c>
      <c r="F49" s="184">
        <f t="shared" si="4"/>
        <v>-0.85850783972870204</v>
      </c>
      <c r="G49" s="163">
        <f t="shared" si="4"/>
        <v>1.5950769576235184</v>
      </c>
      <c r="H49" s="164">
        <f t="shared" si="4"/>
        <v>4.3010198011884881</v>
      </c>
    </row>
    <row r="50" spans="1:17" ht="16" customHeight="1" x14ac:dyDescent="0.35">
      <c r="A50" s="53"/>
      <c r="B50" s="192"/>
      <c r="C50" s="142" t="s">
        <v>81</v>
      </c>
      <c r="D50" s="152">
        <v>-0.49490754880716614</v>
      </c>
      <c r="E50" s="104">
        <f>E6-$D6</f>
        <v>1.9996634431085203</v>
      </c>
      <c r="F50" s="104">
        <f>F6-$D6</f>
        <v>2.6546816552022712</v>
      </c>
      <c r="G50" s="104">
        <f>G6-$D6</f>
        <v>3.739816267827937</v>
      </c>
      <c r="H50" s="105">
        <f>H6-$D6</f>
        <v>3.6455709974250716</v>
      </c>
    </row>
    <row r="51" spans="1:17" ht="16" customHeight="1" thickBot="1" x14ac:dyDescent="0.4">
      <c r="A51" s="53"/>
      <c r="B51" s="192"/>
      <c r="C51" s="182" t="s">
        <v>82</v>
      </c>
      <c r="D51" s="183">
        <f>SUM(D49:D50)</f>
        <v>138.87427383548447</v>
      </c>
      <c r="E51" s="163">
        <f>SUM(E49:E50)</f>
        <v>3.2806241496552708</v>
      </c>
      <c r="F51" s="163">
        <f>SUM(F49:F50)</f>
        <v>1.7961738154735691</v>
      </c>
      <c r="G51" s="163">
        <f>SUM(G49:G50)</f>
        <v>5.3348932254514558</v>
      </c>
      <c r="H51" s="164">
        <f>SUM(H49:H50)</f>
        <v>7.9465907986135598</v>
      </c>
    </row>
    <row r="52" spans="1:17" ht="16" customHeight="1" x14ac:dyDescent="0.35">
      <c r="A52" s="53"/>
      <c r="B52" s="192"/>
      <c r="C52" s="142" t="s">
        <v>83</v>
      </c>
      <c r="D52" s="152">
        <v>-1.8</v>
      </c>
      <c r="E52" s="103">
        <f>E7-$D7</f>
        <v>1.8</v>
      </c>
      <c r="F52" s="104">
        <f>F7-$D7</f>
        <v>1.8</v>
      </c>
      <c r="G52" s="104">
        <f>G7-$D7</f>
        <v>1.8</v>
      </c>
      <c r="H52" s="105">
        <f>H7-$D7</f>
        <v>1.8</v>
      </c>
    </row>
    <row r="53" spans="1:17" ht="16" customHeight="1" thickBot="1" x14ac:dyDescent="0.4">
      <c r="A53" s="53"/>
      <c r="B53" s="193"/>
      <c r="C53" s="143" t="s">
        <v>78</v>
      </c>
      <c r="D53" s="161">
        <v>137.07400000000001</v>
      </c>
      <c r="E53" s="162">
        <f>E51+E52</f>
        <v>5.0806241496552706</v>
      </c>
      <c r="F53" s="163">
        <f t="shared" ref="F53:H53" si="5">F51+F52</f>
        <v>3.596173815473569</v>
      </c>
      <c r="G53" s="163">
        <f t="shared" si="5"/>
        <v>7.1348932254514557</v>
      </c>
      <c r="H53" s="164">
        <f t="shared" si="5"/>
        <v>9.7465907986135605</v>
      </c>
      <c r="L53" s="2"/>
      <c r="M53" s="2"/>
      <c r="N53" s="2"/>
      <c r="O53" s="2"/>
      <c r="P53" s="2"/>
      <c r="Q53" s="2"/>
    </row>
    <row r="54" spans="1:17" ht="16" customHeight="1" thickBot="1" x14ac:dyDescent="0.4">
      <c r="A54" s="53"/>
      <c r="B54" s="79"/>
      <c r="C54" s="74"/>
      <c r="D54" s="68"/>
      <c r="E54" s="73"/>
      <c r="F54" s="73"/>
      <c r="G54" s="73"/>
      <c r="H54" s="73"/>
      <c r="L54" s="2"/>
      <c r="M54" s="2"/>
      <c r="N54" s="2"/>
      <c r="O54" s="2"/>
      <c r="P54" s="2"/>
      <c r="Q54" s="2"/>
    </row>
    <row r="55" spans="1:17" ht="19" thickBot="1" x14ac:dyDescent="0.4">
      <c r="A55" s="53"/>
      <c r="B55" s="208" t="s">
        <v>65</v>
      </c>
      <c r="C55" s="209"/>
      <c r="D55" s="82" t="s">
        <v>0</v>
      </c>
      <c r="E55" s="160" t="s">
        <v>1</v>
      </c>
      <c r="F55" s="83" t="s">
        <v>2</v>
      </c>
      <c r="G55" s="83" t="s">
        <v>37</v>
      </c>
      <c r="H55" s="84" t="s">
        <v>3</v>
      </c>
      <c r="K55" s="2"/>
      <c r="L55" s="2"/>
      <c r="M55" s="2"/>
      <c r="N55" s="2"/>
      <c r="O55" s="2"/>
      <c r="P55" s="2"/>
      <c r="Q55" s="2"/>
    </row>
    <row r="56" spans="1:17" ht="16" customHeight="1" x14ac:dyDescent="0.35">
      <c r="A56" s="53"/>
      <c r="B56" s="212" t="s">
        <v>50</v>
      </c>
      <c r="C56" s="76" t="s">
        <v>61</v>
      </c>
      <c r="D56" s="97">
        <v>0.65693586462434495</v>
      </c>
      <c r="E56" s="98">
        <f>E11-$D11</f>
        <v>0.30969579475775411</v>
      </c>
      <c r="F56" s="98">
        <f t="shared" ref="F56:G56" si="6">F11-$D11</f>
        <v>-0.81116531304413453</v>
      </c>
      <c r="G56" s="98">
        <f t="shared" si="6"/>
        <v>-4.9734965889171034E-2</v>
      </c>
      <c r="H56" s="99">
        <f>H11-$D11</f>
        <v>0.46595089754559893</v>
      </c>
      <c r="L56" s="2"/>
      <c r="M56" s="2"/>
      <c r="N56" s="2"/>
      <c r="O56" s="2"/>
      <c r="P56" s="2"/>
      <c r="Q56" s="2"/>
    </row>
    <row r="57" spans="1:17" ht="16" customHeight="1" thickBot="1" x14ac:dyDescent="0.4">
      <c r="A57" s="53"/>
      <c r="B57" s="213"/>
      <c r="C57" s="77" t="s">
        <v>62</v>
      </c>
      <c r="D57" s="100">
        <v>0.27649545473106379</v>
      </c>
      <c r="E57" s="101">
        <f>E12-$D12</f>
        <v>0.18071308481101028</v>
      </c>
      <c r="F57" s="101">
        <f t="shared" ref="F57:H57" si="7">F12-$D12</f>
        <v>8.9050243635867832E-2</v>
      </c>
      <c r="G57" s="101">
        <f t="shared" si="7"/>
        <v>0.66460657981321036</v>
      </c>
      <c r="H57" s="102">
        <f t="shared" si="7"/>
        <v>0.64661868778051002</v>
      </c>
      <c r="L57" s="2"/>
      <c r="M57" s="2"/>
      <c r="N57" s="2"/>
      <c r="O57" s="2"/>
      <c r="P57" s="2"/>
      <c r="Q57" s="2"/>
    </row>
    <row r="58" spans="1:17" ht="16" customHeight="1" x14ac:dyDescent="0.35">
      <c r="A58" s="53"/>
      <c r="B58" s="214" t="s">
        <v>51</v>
      </c>
      <c r="C58" s="78" t="s">
        <v>43</v>
      </c>
      <c r="D58" s="136">
        <v>0.1508838383838384</v>
      </c>
      <c r="E58" s="113">
        <f>E16-$D16</f>
        <v>2.0680895531967808E-2</v>
      </c>
      <c r="F58" s="113">
        <f t="shared" ref="F58:G58" si="8">F16-$D16</f>
        <v>8.1753389949229316E-2</v>
      </c>
      <c r="G58" s="113">
        <f t="shared" si="8"/>
        <v>2.3463017333635705E-2</v>
      </c>
      <c r="H58" s="114">
        <f>H16-$D16</f>
        <v>-4.1310465399736804E-2</v>
      </c>
      <c r="L58" s="2"/>
      <c r="M58" s="2"/>
      <c r="N58" s="2"/>
      <c r="O58" s="2"/>
      <c r="P58" s="2"/>
      <c r="Q58" s="2"/>
    </row>
    <row r="59" spans="1:17" ht="16" customHeight="1" x14ac:dyDescent="0.35">
      <c r="A59" s="53"/>
      <c r="B59" s="215"/>
      <c r="C59" s="78" t="s">
        <v>44</v>
      </c>
      <c r="D59" s="109">
        <v>0.2356376262626263</v>
      </c>
      <c r="E59" s="107">
        <f t="shared" ref="E59:H63" si="9">E17-$D17</f>
        <v>-7.2015704102181499E-2</v>
      </c>
      <c r="F59" s="107">
        <f t="shared" si="9"/>
        <v>-7.3514240322884589E-2</v>
      </c>
      <c r="G59" s="107">
        <f t="shared" si="9"/>
        <v>-0.10920989881087359</v>
      </c>
      <c r="H59" s="108">
        <f t="shared" si="9"/>
        <v>-0.1258354988464076</v>
      </c>
      <c r="L59" s="2"/>
      <c r="M59" s="2"/>
      <c r="N59" s="2"/>
      <c r="O59" s="2"/>
      <c r="P59" s="2"/>
      <c r="Q59" s="2"/>
    </row>
    <row r="60" spans="1:17" ht="16" customHeight="1" x14ac:dyDescent="0.35">
      <c r="A60" s="53"/>
      <c r="B60" s="215"/>
      <c r="C60" s="78" t="s">
        <v>45</v>
      </c>
      <c r="D60" s="109">
        <v>0.24779040404040401</v>
      </c>
      <c r="E60" s="107">
        <f t="shared" si="9"/>
        <v>-8.8645339414799296E-2</v>
      </c>
      <c r="F60" s="107">
        <f>F18-$D18</f>
        <v>-0.15846578530402056</v>
      </c>
      <c r="G60" s="107">
        <f t="shared" si="9"/>
        <v>-7.4559473227748113E-2</v>
      </c>
      <c r="H60" s="108">
        <f t="shared" si="9"/>
        <v>-8.5946643317540011E-2</v>
      </c>
      <c r="L60" s="2"/>
      <c r="M60" s="2"/>
      <c r="N60" s="2"/>
      <c r="O60" s="2"/>
      <c r="P60" s="2"/>
      <c r="Q60" s="2"/>
    </row>
    <row r="61" spans="1:17" ht="16" customHeight="1" x14ac:dyDescent="0.35">
      <c r="A61" s="53"/>
      <c r="B61" s="215"/>
      <c r="C61" s="78" t="s">
        <v>46</v>
      </c>
      <c r="D61" s="106">
        <v>0.1237373737373737</v>
      </c>
      <c r="E61" s="107">
        <f t="shared" si="9"/>
        <v>-1.3765534615415395E-2</v>
      </c>
      <c r="F61" s="107">
        <f t="shared" si="9"/>
        <v>-0.10620190426503193</v>
      </c>
      <c r="G61" s="107">
        <f t="shared" si="9"/>
        <v>-0.11323455110379094</v>
      </c>
      <c r="H61" s="108">
        <f>H19-$D19</f>
        <v>-0.11401531037239601</v>
      </c>
      <c r="I61" s="8"/>
      <c r="L61" s="2"/>
      <c r="M61" s="2"/>
      <c r="N61" s="2"/>
      <c r="O61" s="2"/>
      <c r="P61" s="2"/>
      <c r="Q61" s="2"/>
    </row>
    <row r="62" spans="1:17" ht="16" customHeight="1" x14ac:dyDescent="0.35">
      <c r="A62" s="53"/>
      <c r="B62" s="215"/>
      <c r="C62" s="78" t="s">
        <v>30</v>
      </c>
      <c r="D62" s="106">
        <v>0.10211489898989901</v>
      </c>
      <c r="E62" s="107">
        <f t="shared" si="9"/>
        <v>-5.7180472316493147E-3</v>
      </c>
      <c r="F62" s="107">
        <f t="shared" si="9"/>
        <v>1.3725475100116388E-2</v>
      </c>
      <c r="G62" s="107">
        <f t="shared" si="9"/>
        <v>-1.7473001977236086E-3</v>
      </c>
      <c r="H62" s="108">
        <f t="shared" si="9"/>
        <v>-2.5024655366428797E-2</v>
      </c>
      <c r="I62" s="8"/>
    </row>
    <row r="63" spans="1:17" ht="16" customHeight="1" thickBot="1" x14ac:dyDescent="0.4">
      <c r="A63" s="53"/>
      <c r="B63" s="216"/>
      <c r="C63" s="77" t="s">
        <v>47</v>
      </c>
      <c r="D63" s="110">
        <v>0.26815025252525249</v>
      </c>
      <c r="E63" s="111">
        <f t="shared" si="9"/>
        <v>8.2595965613241895E-3</v>
      </c>
      <c r="F63" s="111">
        <f t="shared" si="9"/>
        <v>-1.2929465023259812E-2</v>
      </c>
      <c r="G63" s="111">
        <f t="shared" si="9"/>
        <v>7.2862710404558162E-3</v>
      </c>
      <c r="H63" s="112">
        <f t="shared" si="9"/>
        <v>6.9376912063561391E-2</v>
      </c>
      <c r="I63" s="8"/>
    </row>
    <row r="64" spans="1:17" ht="16" customHeight="1" x14ac:dyDescent="0.35">
      <c r="A64" s="53"/>
      <c r="B64" s="214" t="s">
        <v>52</v>
      </c>
      <c r="C64" s="76" t="s">
        <v>43</v>
      </c>
      <c r="D64" s="90">
        <v>8.6254778972962159E-2</v>
      </c>
      <c r="E64" s="113">
        <f>E23-$D23</f>
        <v>3.2197353750518201E-2</v>
      </c>
      <c r="F64" s="113">
        <f t="shared" ref="F64:H64" si="10">F23-$D23</f>
        <v>0.13051571782701504</v>
      </c>
      <c r="G64" s="113">
        <f t="shared" si="10"/>
        <v>7.2393827589124327E-2</v>
      </c>
      <c r="H64" s="114">
        <f t="shared" si="10"/>
        <v>1.0472045562101559E-2</v>
      </c>
      <c r="I64" s="8"/>
    </row>
    <row r="65" spans="1:9" ht="16" customHeight="1" x14ac:dyDescent="0.35">
      <c r="A65" s="53"/>
      <c r="B65" s="215"/>
      <c r="C65" s="78" t="s">
        <v>58</v>
      </c>
      <c r="D65" s="90">
        <v>8.6254778972962146E-2</v>
      </c>
      <c r="E65" s="107">
        <f t="shared" ref="E65:H70" si="11">E24-$D24</f>
        <v>0.16941242837127699</v>
      </c>
      <c r="F65" s="107">
        <f t="shared" si="11"/>
        <v>0.20588253078132929</v>
      </c>
      <c r="G65" s="107">
        <f>G24-$D24</f>
        <v>0.15714558952632149</v>
      </c>
      <c r="H65" s="108">
        <f t="shared" si="11"/>
        <v>0.11733056808201889</v>
      </c>
      <c r="I65" s="8"/>
    </row>
    <row r="66" spans="1:9" ht="16" customHeight="1" x14ac:dyDescent="0.35">
      <c r="A66" s="53"/>
      <c r="B66" s="215"/>
      <c r="C66" s="78" t="s">
        <v>59</v>
      </c>
      <c r="D66" s="90">
        <v>2.30864983464708E-2</v>
      </c>
      <c r="E66" s="107">
        <f t="shared" si="11"/>
        <v>3.7135622594784423E-2</v>
      </c>
      <c r="F66" s="107">
        <f>F25-$D25</f>
        <v>0.12367392295969581</v>
      </c>
      <c r="G66" s="107">
        <f t="shared" si="11"/>
        <v>0.18223662394802423</v>
      </c>
      <c r="H66" s="108">
        <f t="shared" si="11"/>
        <v>0.21909351588026924</v>
      </c>
      <c r="I66" s="8"/>
    </row>
    <row r="67" spans="1:9" ht="16" customHeight="1" x14ac:dyDescent="0.35">
      <c r="A67" s="53"/>
      <c r="B67" s="215"/>
      <c r="C67" s="78" t="s">
        <v>40</v>
      </c>
      <c r="D67" s="90">
        <v>7.3700000000000002E-2</v>
      </c>
      <c r="E67" s="107">
        <f t="shared" si="11"/>
        <v>-7.3000000000000009E-3</v>
      </c>
      <c r="F67" s="107">
        <f t="shared" si="11"/>
        <v>-1.5600000000000003E-2</v>
      </c>
      <c r="G67" s="107">
        <f t="shared" si="11"/>
        <v>-1.2799999999999999E-2</v>
      </c>
      <c r="H67" s="108">
        <f>H26-$D26</f>
        <v>-9.3000000000000027E-3</v>
      </c>
      <c r="I67" s="8"/>
    </row>
    <row r="68" spans="1:9" ht="16" customHeight="1" x14ac:dyDescent="0.35">
      <c r="A68" s="53"/>
      <c r="B68" s="215"/>
      <c r="C68" s="78" t="s">
        <v>41</v>
      </c>
      <c r="D68" s="90">
        <v>0.21429999999999999</v>
      </c>
      <c r="E68" s="107">
        <f t="shared" si="11"/>
        <v>7.5600000000000001E-2</v>
      </c>
      <c r="F68" s="107">
        <f>F27-$D27</f>
        <v>-4.0599999999999997E-2</v>
      </c>
      <c r="G68" s="107">
        <f t="shared" si="11"/>
        <v>-2.109999999999998E-2</v>
      </c>
      <c r="H68" s="108">
        <f t="shared" si="11"/>
        <v>-1.7399999999999999E-2</v>
      </c>
      <c r="I68" s="8"/>
    </row>
    <row r="69" spans="1:9" ht="16" customHeight="1" x14ac:dyDescent="0.35">
      <c r="A69" s="53"/>
      <c r="B69" s="215"/>
      <c r="C69" s="78" t="s">
        <v>38</v>
      </c>
      <c r="D69" s="90">
        <v>0.23863359389201899</v>
      </c>
      <c r="E69" s="107">
        <f t="shared" si="11"/>
        <v>-1.7261282716214993E-2</v>
      </c>
      <c r="F69" s="107">
        <f t="shared" si="11"/>
        <v>-7.1168785208919894E-3</v>
      </c>
      <c r="G69" s="107">
        <f t="shared" si="11"/>
        <v>-1.1225691493571999E-2</v>
      </c>
      <c r="H69" s="108">
        <f t="shared" si="11"/>
        <v>-2.1161725308856988E-2</v>
      </c>
      <c r="I69" s="8"/>
    </row>
    <row r="70" spans="1:9" ht="16" customHeight="1" thickBot="1" x14ac:dyDescent="0.4">
      <c r="A70" s="53"/>
      <c r="B70" s="216"/>
      <c r="C70" s="77" t="s">
        <v>39</v>
      </c>
      <c r="D70" s="92">
        <v>0.135429921832394</v>
      </c>
      <c r="E70" s="111">
        <f t="shared" si="11"/>
        <v>-4.6314605642842094E-2</v>
      </c>
      <c r="F70" s="111">
        <f t="shared" si="11"/>
        <v>-4.5716304065006597E-2</v>
      </c>
      <c r="G70" s="111">
        <f t="shared" si="11"/>
        <v>-4.6701237512416199E-2</v>
      </c>
      <c r="H70" s="112">
        <f t="shared" si="11"/>
        <v>-4.8092481722879998E-2</v>
      </c>
      <c r="I70" s="8"/>
    </row>
    <row r="71" spans="1:9" ht="16" customHeight="1" thickBot="1" x14ac:dyDescent="0.4">
      <c r="A71" s="53"/>
      <c r="B71" s="80"/>
      <c r="C71" s="75"/>
      <c r="I71" s="8"/>
    </row>
    <row r="72" spans="1:9" ht="19" thickBot="1" x14ac:dyDescent="0.4">
      <c r="A72" s="53"/>
      <c r="B72" s="208" t="s">
        <v>56</v>
      </c>
      <c r="C72" s="209"/>
      <c r="D72" s="82" t="s">
        <v>0</v>
      </c>
      <c r="E72" s="160" t="s">
        <v>1</v>
      </c>
      <c r="F72" s="83" t="s">
        <v>2</v>
      </c>
      <c r="G72" s="83" t="s">
        <v>37</v>
      </c>
      <c r="H72" s="84" t="s">
        <v>3</v>
      </c>
    </row>
    <row r="73" spans="1:9" ht="16" customHeight="1" x14ac:dyDescent="0.35">
      <c r="A73" s="53"/>
      <c r="B73" s="212" t="s">
        <v>53</v>
      </c>
      <c r="C73" s="76" t="s">
        <v>63</v>
      </c>
      <c r="D73" s="131">
        <v>-2.0975739907451505</v>
      </c>
      <c r="E73" s="115">
        <f>E13-$D13</f>
        <v>1.5742569144404466</v>
      </c>
      <c r="F73" s="98">
        <f t="shared" ref="F73:H73" si="12">F13-$D13</f>
        <v>1.1416910608917394</v>
      </c>
      <c r="G73" s="98">
        <f t="shared" si="12"/>
        <v>1.7748597496551746</v>
      </c>
      <c r="H73" s="99">
        <f t="shared" si="12"/>
        <v>2.4428534717845318</v>
      </c>
    </row>
    <row r="74" spans="1:9" ht="16" customHeight="1" thickBot="1" x14ac:dyDescent="0.4">
      <c r="A74" s="53"/>
      <c r="B74" s="213"/>
      <c r="C74" s="77" t="s">
        <v>64</v>
      </c>
      <c r="D74" s="132">
        <v>1.6026664419379844</v>
      </c>
      <c r="E74" s="116">
        <f>E14-$D14</f>
        <v>0.42346420952191965</v>
      </c>
      <c r="F74" s="101">
        <f t="shared" ref="F74:H74" si="13">F14-$D14</f>
        <v>1.514077221446821</v>
      </c>
      <c r="G74" s="101">
        <f t="shared" si="13"/>
        <v>1.9741271365541981</v>
      </c>
      <c r="H74" s="102">
        <f t="shared" si="13"/>
        <v>1.2016463738797054</v>
      </c>
    </row>
    <row r="75" spans="1:9" ht="16" customHeight="1" x14ac:dyDescent="0.35">
      <c r="A75" s="53"/>
      <c r="B75" s="214" t="s">
        <v>54</v>
      </c>
      <c r="C75" s="76" t="s">
        <v>57</v>
      </c>
      <c r="D75" s="139">
        <v>1.7691352620700269</v>
      </c>
      <c r="E75" s="137">
        <f>E31-$D31</f>
        <v>-0.13874696120866092</v>
      </c>
      <c r="F75" s="137">
        <f t="shared" ref="F75:H75" si="14">F31-$D31</f>
        <v>-0.16440739470314392</v>
      </c>
      <c r="G75" s="137">
        <f t="shared" si="14"/>
        <v>-0.17597856880466289</v>
      </c>
      <c r="H75" s="138">
        <f t="shared" si="14"/>
        <v>-0.22138971668768992</v>
      </c>
    </row>
    <row r="76" spans="1:9" ht="16" customHeight="1" x14ac:dyDescent="0.35">
      <c r="A76" s="53"/>
      <c r="B76" s="215"/>
      <c r="C76" s="78" t="s">
        <v>23</v>
      </c>
      <c r="D76" s="117">
        <v>7.5045499973699501</v>
      </c>
      <c r="E76" s="118">
        <f t="shared" ref="E76:H82" si="15">E32-$D32</f>
        <v>-1.2468298250350101</v>
      </c>
      <c r="F76" s="118">
        <f t="shared" si="15"/>
        <v>-1.5876014515086299</v>
      </c>
      <c r="G76" s="118">
        <f t="shared" si="15"/>
        <v>-1.1740275105974503</v>
      </c>
      <c r="H76" s="119">
        <f t="shared" si="15"/>
        <v>-1.8131173326135404</v>
      </c>
    </row>
    <row r="77" spans="1:9" ht="16" customHeight="1" x14ac:dyDescent="0.35">
      <c r="A77" s="53"/>
      <c r="B77" s="215"/>
      <c r="C77" s="78" t="s">
        <v>24</v>
      </c>
      <c r="D77" s="120">
        <v>68051</v>
      </c>
      <c r="E77" s="121">
        <f t="shared" si="15"/>
        <v>-5997</v>
      </c>
      <c r="F77" s="121">
        <f t="shared" si="15"/>
        <v>-7603</v>
      </c>
      <c r="G77" s="121">
        <f t="shared" si="15"/>
        <v>-5579</v>
      </c>
      <c r="H77" s="122">
        <f t="shared" si="15"/>
        <v>-12202</v>
      </c>
    </row>
    <row r="78" spans="1:9" ht="16" customHeight="1" thickBot="1" x14ac:dyDescent="0.4">
      <c r="A78" s="53"/>
      <c r="B78" s="216"/>
      <c r="C78" s="77" t="s">
        <v>59</v>
      </c>
      <c r="D78" s="123">
        <v>0.152122455420546</v>
      </c>
      <c r="E78" s="111">
        <f t="shared" si="15"/>
        <v>5.6506689927690035E-3</v>
      </c>
      <c r="F78" s="111">
        <f t="shared" si="15"/>
        <v>-1.3598965487661013E-2</v>
      </c>
      <c r="G78" s="111">
        <f>G34-$D34</f>
        <v>7.4200295902205005E-2</v>
      </c>
      <c r="H78" s="112">
        <f t="shared" si="15"/>
        <v>4.8221384121000993E-2</v>
      </c>
    </row>
    <row r="79" spans="1:9" ht="16" customHeight="1" x14ac:dyDescent="0.35">
      <c r="A79" s="53"/>
      <c r="B79" s="214" t="s">
        <v>55</v>
      </c>
      <c r="C79" s="76" t="s">
        <v>57</v>
      </c>
      <c r="D79" s="140">
        <v>1.4618543982449523</v>
      </c>
      <c r="E79" s="124">
        <f t="shared" si="15"/>
        <v>1.3389469231897211E-2</v>
      </c>
      <c r="F79" s="124">
        <f t="shared" si="15"/>
        <v>6.7493255924078177E-3</v>
      </c>
      <c r="G79" s="124">
        <f t="shared" si="15"/>
        <v>-2.16048328468883E-2</v>
      </c>
      <c r="H79" s="125">
        <f t="shared" si="15"/>
        <v>2.5481293937298144E-2</v>
      </c>
    </row>
    <row r="80" spans="1:9" ht="16" customHeight="1" x14ac:dyDescent="0.35">
      <c r="A80" s="53"/>
      <c r="B80" s="215"/>
      <c r="C80" s="78" t="s">
        <v>23</v>
      </c>
      <c r="D80" s="126">
        <v>6.354728616122042</v>
      </c>
      <c r="E80" s="118">
        <f t="shared" si="15"/>
        <v>8.1270551591731355E-2</v>
      </c>
      <c r="F80" s="118">
        <f t="shared" si="15"/>
        <v>-0.29382310153552638</v>
      </c>
      <c r="G80" s="118">
        <f t="shared" si="15"/>
        <v>-0.61738181610585308</v>
      </c>
      <c r="H80" s="119">
        <f t="shared" si="15"/>
        <v>-0.86130792716230342</v>
      </c>
    </row>
    <row r="81" spans="1:11" ht="16" customHeight="1" x14ac:dyDescent="0.35">
      <c r="A81" s="53"/>
      <c r="B81" s="215"/>
      <c r="C81" s="78" t="s">
        <v>24</v>
      </c>
      <c r="D81" s="127">
        <v>84403.091238555338</v>
      </c>
      <c r="E81" s="121">
        <f t="shared" si="15"/>
        <v>-5764.6564184857416</v>
      </c>
      <c r="F81" s="121">
        <f t="shared" si="15"/>
        <v>-10133.98063849195</v>
      </c>
      <c r="G81" s="121">
        <f t="shared" si="15"/>
        <v>-14280.172132459164</v>
      </c>
      <c r="H81" s="122">
        <f>H37-$D37</f>
        <v>-17216.469880272183</v>
      </c>
    </row>
    <row r="82" spans="1:11" ht="16" customHeight="1" thickBot="1" x14ac:dyDescent="0.4">
      <c r="A82" s="53"/>
      <c r="B82" s="216"/>
      <c r="C82" s="78" t="s">
        <v>59</v>
      </c>
      <c r="D82" s="128">
        <f>D66</f>
        <v>2.30864983464708E-2</v>
      </c>
      <c r="E82" s="111">
        <f t="shared" si="15"/>
        <v>3.7135622594784423E-2</v>
      </c>
      <c r="F82" s="111">
        <f t="shared" si="15"/>
        <v>0.12367392295969581</v>
      </c>
      <c r="G82" s="111">
        <f t="shared" si="15"/>
        <v>0.18223662394802423</v>
      </c>
      <c r="H82" s="112">
        <f>H38-$D38</f>
        <v>0.21909351588026924</v>
      </c>
      <c r="K82" s="129"/>
    </row>
    <row r="83" spans="1:11" ht="16" customHeight="1" thickBot="1" x14ac:dyDescent="0.4">
      <c r="A83" s="87"/>
      <c r="D83" s="14"/>
      <c r="E83" s="14"/>
      <c r="F83" s="14"/>
      <c r="G83" s="14"/>
      <c r="H83" s="14"/>
      <c r="K83" s="130"/>
    </row>
    <row r="84" spans="1:11" ht="19" thickBot="1" x14ac:dyDescent="0.4">
      <c r="A84" t="s">
        <v>60</v>
      </c>
      <c r="B84" s="211" t="s">
        <v>69</v>
      </c>
      <c r="C84" s="210"/>
      <c r="D84" s="88" t="s">
        <v>0</v>
      </c>
      <c r="E84" s="85" t="s">
        <v>1</v>
      </c>
      <c r="F84" s="85" t="s">
        <v>2</v>
      </c>
      <c r="G84" s="85" t="s">
        <v>37</v>
      </c>
      <c r="H84" s="86" t="s">
        <v>3</v>
      </c>
      <c r="K84" s="8"/>
    </row>
    <row r="85" spans="1:11" ht="19" customHeight="1" x14ac:dyDescent="0.35">
      <c r="B85" s="217" t="s">
        <v>88</v>
      </c>
      <c r="C85" s="95" t="s">
        <v>66</v>
      </c>
      <c r="D85" s="89">
        <v>-1.7864566561412665E-2</v>
      </c>
      <c r="E85" s="167">
        <v>-4.0289888075123459E-4</v>
      </c>
      <c r="F85" s="168">
        <v>3.523622728591741E-2</v>
      </c>
      <c r="G85" s="168">
        <v>2.8291692911973004E-2</v>
      </c>
      <c r="H85" s="86"/>
    </row>
    <row r="86" spans="1:11" ht="19" customHeight="1" x14ac:dyDescent="0.35">
      <c r="B86" s="218"/>
      <c r="C86" s="96" t="s">
        <v>67</v>
      </c>
      <c r="D86" s="90">
        <v>-2.6149733973943795E-2</v>
      </c>
      <c r="E86" s="169">
        <v>-1.7219167338445918E-2</v>
      </c>
      <c r="F86" s="170">
        <v>2.0959667605727983E-2</v>
      </c>
      <c r="G86" s="171"/>
      <c r="H86" s="93"/>
      <c r="J86" s="8"/>
      <c r="K86" s="8"/>
    </row>
    <row r="87" spans="1:11" ht="19" customHeight="1" thickBot="1" x14ac:dyDescent="0.4">
      <c r="B87" s="219"/>
      <c r="C87" s="96" t="s">
        <v>68</v>
      </c>
      <c r="D87" s="90">
        <v>-5.1213593194495283E-3</v>
      </c>
      <c r="E87" s="169">
        <v>-6.959539651294526E-3</v>
      </c>
      <c r="F87" s="170">
        <v>1.0957305171860332E-3</v>
      </c>
      <c r="G87" s="171"/>
      <c r="H87" s="93"/>
      <c r="K87" s="8"/>
    </row>
    <row r="88" spans="1:11" ht="19" customHeight="1" x14ac:dyDescent="0.35">
      <c r="B88" s="188" t="s">
        <v>75</v>
      </c>
      <c r="C88" s="186" t="s">
        <v>86</v>
      </c>
      <c r="D88" s="174">
        <v>0.315</v>
      </c>
      <c r="E88" s="176" t="s">
        <v>71</v>
      </c>
      <c r="F88" s="165" t="s">
        <v>72</v>
      </c>
      <c r="G88" s="165" t="s">
        <v>73</v>
      </c>
      <c r="H88" s="166" t="s">
        <v>74</v>
      </c>
      <c r="K88" s="8"/>
    </row>
    <row r="89" spans="1:11" ht="19" customHeight="1" x14ac:dyDescent="0.35">
      <c r="B89" s="189"/>
      <c r="C89" s="187" t="s">
        <v>87</v>
      </c>
      <c r="D89" s="175">
        <v>0.315</v>
      </c>
      <c r="E89" s="177" t="str">
        <f>_xlfn.CONCAT(ROUND(E53*-80,0), " bps")</f>
        <v>-406 bps</v>
      </c>
      <c r="F89" s="172" t="str">
        <f t="shared" ref="F89:H89" si="16">_xlfn.CONCAT(ROUND(F53*-80,0), " bps")</f>
        <v>-288 bps</v>
      </c>
      <c r="G89" s="172" t="str">
        <f>_xlfn.CONCAT(ROUND(G53*-80,0), " bps")</f>
        <v>-571 bps</v>
      </c>
      <c r="H89" s="173" t="str">
        <f t="shared" si="16"/>
        <v>-780 bps</v>
      </c>
      <c r="K89" s="8"/>
    </row>
    <row r="90" spans="1:11" ht="19" customHeight="1" thickBot="1" x14ac:dyDescent="0.4">
      <c r="B90" s="190"/>
      <c r="C90" s="147" t="s">
        <v>85</v>
      </c>
      <c r="D90" s="181">
        <v>0.315</v>
      </c>
      <c r="E90" s="178">
        <v>0.27900000000000003</v>
      </c>
      <c r="F90" s="179">
        <v>0.28799999999999998</v>
      </c>
      <c r="G90" s="179">
        <v>0.28000000000000003</v>
      </c>
      <c r="H90" s="180">
        <v>0.26700000000000002</v>
      </c>
      <c r="K90" s="8"/>
    </row>
    <row r="91" spans="1:11" ht="26.5" customHeight="1" x14ac:dyDescent="0.35">
      <c r="B91" s="188" t="s">
        <v>76</v>
      </c>
      <c r="C91" s="145" t="s">
        <v>66</v>
      </c>
      <c r="D91" s="90">
        <v>0.18540000000000001</v>
      </c>
      <c r="E91" s="153">
        <v>0.18140000000000001</v>
      </c>
      <c r="F91" s="153">
        <v>0.1807</v>
      </c>
      <c r="G91" s="154">
        <v>0.2102</v>
      </c>
      <c r="H91" s="91"/>
    </row>
    <row r="92" spans="1:11" ht="16" customHeight="1" x14ac:dyDescent="0.35">
      <c r="B92" s="189"/>
      <c r="C92" s="145" t="s">
        <v>67</v>
      </c>
      <c r="D92" s="90">
        <v>0.1847</v>
      </c>
      <c r="E92" s="153">
        <v>0.17319999999999999</v>
      </c>
      <c r="F92" s="154">
        <v>0.19289999999999999</v>
      </c>
      <c r="G92" s="154"/>
      <c r="H92" s="91"/>
    </row>
    <row r="93" spans="1:11" ht="16" customHeight="1" thickBot="1" x14ac:dyDescent="0.4">
      <c r="B93" s="190"/>
      <c r="C93" s="146" t="s">
        <v>68</v>
      </c>
      <c r="D93" s="90">
        <v>3.7900000000000003E-2</v>
      </c>
      <c r="E93" s="153">
        <v>3.2099999999999997E-2</v>
      </c>
      <c r="F93" s="153">
        <v>2.9100000000000001E-2</v>
      </c>
      <c r="G93" s="154"/>
      <c r="H93" s="91"/>
    </row>
    <row r="94" spans="1:11" ht="16" customHeight="1" x14ac:dyDescent="0.35">
      <c r="B94" s="188" t="s">
        <v>77</v>
      </c>
      <c r="C94" s="144" t="s">
        <v>66</v>
      </c>
      <c r="D94" s="89">
        <v>0.17219999999999999</v>
      </c>
      <c r="E94" s="155">
        <v>0.18279999999999999</v>
      </c>
      <c r="F94" s="156">
        <v>0.19600000000000001</v>
      </c>
      <c r="G94" s="156">
        <v>0.214</v>
      </c>
      <c r="H94" s="86"/>
    </row>
    <row r="95" spans="1:11" ht="16" customHeight="1" x14ac:dyDescent="0.35">
      <c r="B95" s="189"/>
      <c r="C95" s="145" t="s">
        <v>67</v>
      </c>
      <c r="D95" s="90">
        <v>0.18190000000000001</v>
      </c>
      <c r="E95" s="157">
        <v>0.1842</v>
      </c>
      <c r="F95" s="154">
        <v>0.21290000000000001</v>
      </c>
      <c r="G95" s="154"/>
      <c r="H95" s="93"/>
    </row>
    <row r="96" spans="1:11" ht="16" customHeight="1" thickBot="1" x14ac:dyDescent="0.4">
      <c r="B96" s="190"/>
      <c r="C96" s="146" t="s">
        <v>68</v>
      </c>
      <c r="D96" s="92">
        <v>5.0299999999999997E-2</v>
      </c>
      <c r="E96" s="158">
        <v>4.8800000000000003E-2</v>
      </c>
      <c r="F96" s="159">
        <v>5.2299999999999999E-2</v>
      </c>
      <c r="G96" s="159"/>
      <c r="H96" s="94"/>
    </row>
    <row r="99" spans="5:5" x14ac:dyDescent="0.35">
      <c r="E99" s="185"/>
    </row>
  </sheetData>
  <mergeCells count="24">
    <mergeCell ref="B91:B93"/>
    <mergeCell ref="A31:A38"/>
    <mergeCell ref="A16:A29"/>
    <mergeCell ref="B9:B10"/>
    <mergeCell ref="B16:B22"/>
    <mergeCell ref="B23:B29"/>
    <mergeCell ref="B11:B12"/>
    <mergeCell ref="B13:B14"/>
    <mergeCell ref="B94:B96"/>
    <mergeCell ref="B47:B53"/>
    <mergeCell ref="B88:B90"/>
    <mergeCell ref="B35:B38"/>
    <mergeCell ref="B31:B34"/>
    <mergeCell ref="B72:C72"/>
    <mergeCell ref="B55:C55"/>
    <mergeCell ref="B46:C46"/>
    <mergeCell ref="B84:C84"/>
    <mergeCell ref="B56:B57"/>
    <mergeCell ref="B73:B74"/>
    <mergeCell ref="B58:B63"/>
    <mergeCell ref="B64:B70"/>
    <mergeCell ref="B75:B78"/>
    <mergeCell ref="B79:B82"/>
    <mergeCell ref="B85:B87"/>
  </mergeCells>
  <conditionalFormatting sqref="E47:H53">
    <cfRule type="cellIs" dxfId="10" priority="11" operator="greaterThan">
      <formula>0</formula>
    </cfRule>
  </conditionalFormatting>
  <conditionalFormatting sqref="E56:H57 E73:H74">
    <cfRule type="cellIs" dxfId="9" priority="5" operator="lessThan">
      <formula>0</formula>
    </cfRule>
    <cfRule type="cellIs" dxfId="8" priority="6" operator="greaterThan">
      <formula>0</formula>
    </cfRule>
  </conditionalFormatting>
  <conditionalFormatting sqref="E58:H62 E64:H65 E68:H68 E70:H70">
    <cfRule type="cellIs" dxfId="7" priority="9" operator="lessThan">
      <formula>0</formula>
    </cfRule>
    <cfRule type="cellIs" dxfId="6" priority="10" operator="greaterThan">
      <formula>0</formula>
    </cfRule>
  </conditionalFormatting>
  <conditionalFormatting sqref="E63:H63 E66:H67 E69:H69">
    <cfRule type="cellIs" dxfId="5" priority="7" operator="lessThan">
      <formula>0</formula>
    </cfRule>
    <cfRule type="cellIs" dxfId="4" priority="8" operator="greaterThan">
      <formula>0</formula>
    </cfRule>
  </conditionalFormatting>
  <conditionalFormatting sqref="E75:H77 E79:H81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E78:H78 E82:H82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7055BF62EA51469C2F194260F7319E" ma:contentTypeVersion="18" ma:contentTypeDescription="Create a new document." ma:contentTypeScope="" ma:versionID="18df2f67ff85675faaa7949590c44638">
  <xsd:schema xmlns:xsd="http://www.w3.org/2001/XMLSchema" xmlns:xs="http://www.w3.org/2001/XMLSchema" xmlns:p="http://schemas.microsoft.com/office/2006/metadata/properties" xmlns:ns1="http://schemas.microsoft.com/sharepoint/v3" xmlns:ns2="1656b474-bc9c-41b0-a7dd-8c5877b9b3ae" xmlns:ns3="a679ee5a-1808-44ed-a317-05ab7d0badb3" targetNamespace="http://schemas.microsoft.com/office/2006/metadata/properties" ma:root="true" ma:fieldsID="b298bae2beaf776934d715f6b2c9e9e4" ns1:_="" ns2:_="" ns3:_="">
    <xsd:import namespace="http://schemas.microsoft.com/sharepoint/v3"/>
    <xsd:import namespace="1656b474-bc9c-41b0-a7dd-8c5877b9b3ae"/>
    <xsd:import namespace="a679ee5a-1808-44ed-a317-05ab7d0badb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6b474-bc9c-41b0-a7dd-8c5877b9b3a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267c62a-3843-4132-824a-87649e672d87}" ma:internalName="TaxCatchAll" ma:showField="CatchAllData" ma:web="1656b474-bc9c-41b0-a7dd-8c5877b9b3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9ee5a-1808-44ed-a317-05ab7d0bad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5b5ec89-0457-47a0-a80b-1c0e379d74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656b474-bc9c-41b0-a7dd-8c5877b9b3ae" xsi:nil="true"/>
    <lcf76f155ced4ddcb4097134ff3c332f xmlns="a679ee5a-1808-44ed-a317-05ab7d0badb3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751EBE6-6F72-4D90-B022-8F3DCF7FE143}"/>
</file>

<file path=customXml/itemProps2.xml><?xml version="1.0" encoding="utf-8"?>
<ds:datastoreItem xmlns:ds="http://schemas.openxmlformats.org/officeDocument/2006/customXml" ds:itemID="{4B95DEDC-EE2F-40A2-AEE5-9ED5BAAB049C}"/>
</file>

<file path=customXml/itemProps3.xml><?xml version="1.0" encoding="utf-8"?>
<ds:datastoreItem xmlns:ds="http://schemas.openxmlformats.org/officeDocument/2006/customXml" ds:itemID="{1C87614C-1190-4736-8D3E-9FB97C0ADC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Ali</dc:creator>
  <cp:lastModifiedBy>Ahmed Ali</cp:lastModifiedBy>
  <dcterms:created xsi:type="dcterms:W3CDTF">2026-02-25T14:06:22Z</dcterms:created>
  <dcterms:modified xsi:type="dcterms:W3CDTF">2026-03-03T15:11:58Z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0x0101002F7055BF62EA51469C2F194260F7319E</vt:lpwstr>
  </property>
</Properties>
</file>