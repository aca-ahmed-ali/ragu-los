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085" yWindow="-21840" windowWidth="38640" windowHeight="21120" tabRatio="600" firstSheet="0" activeTab="0" autoFilterDateGrouping="1"/>
  </bookViews>
  <sheets>
    <sheet xmlns:r="http://schemas.openxmlformats.org/officeDocument/2006/relationships" name="KMX" sheetId="1" state="visible" r:id="rId1"/>
    <sheet xmlns:r="http://schemas.openxmlformats.org/officeDocument/2006/relationships" name="FLD" sheetId="2" state="visible" r:id="rId2"/>
    <sheet xmlns:r="http://schemas.openxmlformats.org/officeDocument/2006/relationships" name="AN" sheetId="3" state="visible" r:id="rId3"/>
    <sheet xmlns:r="http://schemas.openxmlformats.org/officeDocument/2006/relationships" name="ENT" sheetId="4" state="visible" r:id="rId4"/>
    <sheet xmlns:r="http://schemas.openxmlformats.org/officeDocument/2006/relationships" name="FRN" sheetId="5" state="visible" r:id="rId5"/>
    <sheet xmlns:r="http://schemas.openxmlformats.org/officeDocument/2006/relationships" name="STG" sheetId="6" state="visible" r:id="rId6"/>
    <sheet xmlns:r="http://schemas.openxmlformats.org/officeDocument/2006/relationships" name="STE" sheetId="7" state="visible" r:id="rId7"/>
    <sheet xmlns:r="http://schemas.openxmlformats.org/officeDocument/2006/relationships" name="MCY" sheetId="8" state="visible" r:id="rId8"/>
    <sheet xmlns:r="http://schemas.openxmlformats.org/officeDocument/2006/relationships" name="tzero_results" sheetId="9" state="visible" r:id="rId9"/>
    <sheet xmlns:r="http://schemas.openxmlformats.org/officeDocument/2006/relationships" name="in house not funded" sheetId="10" state="visible" r:id="rId10"/>
    <sheet xmlns:r="http://schemas.openxmlformats.org/officeDocument/2006/relationships" name="tminusone" sheetId="11" state="visible" r:id="rId11"/>
    <sheet xmlns:r="http://schemas.openxmlformats.org/officeDocument/2006/relationships" name="POS 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"/>
    <numFmt numFmtId="165" formatCode="&quot;$&quot;#,##0"/>
    <numFmt numFmtId="166" formatCode="0.0%"/>
    <numFmt numFmtId="167" formatCode="[$-409]d\-mmm\-yy;@"/>
    <numFmt numFmtId="168" formatCode="yyyy\-mm\-dd\ hh:mm:ss"/>
    <numFmt numFmtId="169" formatCode="yyyy\-mm\-dd"/>
    <numFmt numFmtId="170" formatCode="yyyy-mm-dd h:mm:ss"/>
    <numFmt numFmtId="171" formatCode="YYYY-MM-DD HH:MM:SS"/>
    <numFmt numFmtId="172" formatCode="yyyy-mm-dd"/>
    <numFmt numFmtId="173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109">
    <xf numFmtId="0" fontId="0" fillId="0" borderId="0" pivotButton="0" quotePrefix="0" xfId="0"/>
    <xf numFmtId="0" fontId="4" fillId="0" borderId="1" pivotButton="0" quotePrefix="0" xfId="0"/>
    <xf numFmtId="0" fontId="5" fillId="0" borderId="3" pivotButton="0" quotePrefix="0" xfId="0"/>
    <xf numFmtId="0" fontId="3" fillId="0" borderId="3" pivotButton="0" quotePrefix="0" xfId="0"/>
    <xf numFmtId="0" fontId="5" fillId="0" borderId="3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3" applyAlignment="1" pivotButton="0" quotePrefix="1" xfId="0">
      <alignment vertical="center"/>
    </xf>
    <xf numFmtId="0" fontId="5" fillId="0" borderId="7" applyAlignment="1" pivotButton="0" quotePrefix="1" xfId="0">
      <alignment vertical="center"/>
    </xf>
    <xf numFmtId="15" fontId="5" fillId="0" borderId="2" applyAlignment="1" pivotButton="0" quotePrefix="0" xfId="0">
      <alignment horizontal="center"/>
    </xf>
    <xf numFmtId="15" fontId="5" fillId="2" borderId="1" applyAlignment="1" pivotButton="0" quotePrefix="0" xfId="0">
      <alignment horizontal="center"/>
    </xf>
    <xf numFmtId="15" fontId="5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0" fontId="3" fillId="0" borderId="3" applyAlignment="1" pivotButton="0" quotePrefix="0" xfId="1">
      <alignment horizontal="center"/>
    </xf>
    <xf numFmtId="10" fontId="3" fillId="0" borderId="3" applyAlignment="1" pivotButton="0" quotePrefix="0" xfId="0">
      <alignment horizontal="center"/>
    </xf>
    <xf numFmtId="0" fontId="5" fillId="0" borderId="5" pivotButton="0" quotePrefix="0" xfId="0"/>
    <xf numFmtId="0" fontId="5" fillId="0" borderId="7" pivotButton="0" quotePrefix="0" xfId="0"/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0" fontId="3" fillId="0" borderId="4" applyAlignment="1" pivotButton="0" quotePrefix="0" xfId="0">
      <alignment horizontal="center"/>
    </xf>
    <xf numFmtId="10" fontId="3" fillId="4" borderId="7" applyAlignment="1" pivotButton="0" quotePrefix="0" xfId="1">
      <alignment horizontal="center"/>
    </xf>
    <xf numFmtId="10" fontId="3" fillId="0" borderId="9" applyAlignment="1" pivotButton="0" quotePrefix="0" xfId="1">
      <alignment horizontal="center"/>
    </xf>
    <xf numFmtId="2" fontId="3" fillId="0" borderId="3" applyAlignment="1" pivotButton="0" quotePrefix="0" xfId="0">
      <alignment horizontal="center"/>
    </xf>
    <xf numFmtId="2" fontId="3" fillId="0" borderId="9" applyAlignment="1" pivotButton="0" quotePrefix="0" xfId="0">
      <alignment horizontal="center"/>
    </xf>
    <xf numFmtId="10" fontId="3" fillId="0" borderId="9" applyAlignment="1" pivotButton="0" quotePrefix="0" xfId="0">
      <alignment horizontal="center"/>
    </xf>
    <xf numFmtId="0" fontId="5" fillId="0" borderId="8" pivotButton="0" quotePrefix="0" xfId="0"/>
    <xf numFmtId="10" fontId="3" fillId="0" borderId="6" applyAlignment="1" pivotButton="0" quotePrefix="0" xfId="1">
      <alignment horizontal="center"/>
    </xf>
    <xf numFmtId="10" fontId="3" fillId="0" borderId="8" applyAlignment="1" pivotButton="0" quotePrefix="0" xfId="1">
      <alignment horizontal="center"/>
    </xf>
    <xf numFmtId="10" fontId="3" fillId="0" borderId="10" applyAlignment="1" pivotButton="0" quotePrefix="0" xfId="0">
      <alignment horizontal="center"/>
    </xf>
    <xf numFmtId="0" fontId="6" fillId="5" borderId="3" applyAlignment="1" pivotButton="0" quotePrefix="0" xfId="0">
      <alignment horizontal="right" vertical="center" wrapText="1" readingOrder="1"/>
    </xf>
    <xf numFmtId="0" fontId="6" fillId="7" borderId="3" applyAlignment="1" pivotButton="0" quotePrefix="0" xfId="0">
      <alignment horizontal="right" vertical="center" wrapText="1" readingOrder="1"/>
    </xf>
    <xf numFmtId="0" fontId="5" fillId="0" borderId="13" applyAlignment="1" pivotButton="0" quotePrefix="1" xfId="0">
      <alignment vertical="center"/>
    </xf>
    <xf numFmtId="0" fontId="5" fillId="0" borderId="14" pivotButton="0" quotePrefix="1" xfId="0"/>
    <xf numFmtId="0" fontId="5" fillId="0" borderId="15" applyAlignment="1" pivotButton="0" quotePrefix="1" xfId="0">
      <alignment vertical="center"/>
    </xf>
    <xf numFmtId="0" fontId="5" fillId="0" borderId="8" pivotButton="0" quotePrefix="1" xfId="0"/>
    <xf numFmtId="164" fontId="5" fillId="0" borderId="3" applyAlignment="1" pivotButton="0" quotePrefix="0" xfId="0">
      <alignment horizontal="center"/>
    </xf>
    <xf numFmtId="164" fontId="5" fillId="3" borderId="2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5" fillId="7" borderId="9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3" borderId="16" applyAlignment="1" pivotButton="0" quotePrefix="0" xfId="0">
      <alignment horizontal="center" vertical="center"/>
    </xf>
    <xf numFmtId="164" fontId="5" fillId="3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5" fillId="0" borderId="6" applyAlignment="1" pivotButton="0" quotePrefix="0" xfId="0">
      <alignment horizontal="center"/>
    </xf>
    <xf numFmtId="164" fontId="0" fillId="0" borderId="0" pivotButton="0" quotePrefix="0" xfId="0"/>
    <xf numFmtId="165" fontId="5" fillId="0" borderId="0" applyAlignment="1" pivotButton="0" quotePrefix="0" xfId="0">
      <alignment horizontal="center"/>
    </xf>
    <xf numFmtId="166" fontId="3" fillId="0" borderId="3" applyAlignment="1" pivotButton="0" quotePrefix="0" xfId="1">
      <alignment horizontal="center"/>
    </xf>
    <xf numFmtId="166" fontId="3" fillId="0" borderId="3" pivotButton="0" quotePrefix="0" xfId="0"/>
    <xf numFmtId="166" fontId="3" fillId="0" borderId="4" applyAlignment="1" pivotButton="0" quotePrefix="0" xfId="0">
      <alignment horizontal="center"/>
    </xf>
    <xf numFmtId="166" fontId="3" fillId="4" borderId="7" applyAlignment="1" pivotButton="0" quotePrefix="0" xfId="1">
      <alignment horizontal="center"/>
    </xf>
    <xf numFmtId="166" fontId="5" fillId="0" borderId="4" applyAlignment="1" pivotButton="0" quotePrefix="0" xfId="1">
      <alignment horizontal="center" vertical="center"/>
    </xf>
    <xf numFmtId="166" fontId="5" fillId="0" borderId="7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166" fontId="5" fillId="0" borderId="3" applyAlignment="1" pivotButton="0" quotePrefix="0" xfId="1">
      <alignment horizontal="center" vertical="center"/>
    </xf>
    <xf numFmtId="166" fontId="3" fillId="0" borderId="6" applyAlignment="1" pivotButton="0" quotePrefix="0" xfId="1">
      <alignment horizontal="center"/>
    </xf>
    <xf numFmtId="166" fontId="3" fillId="0" borderId="8" applyAlignment="1" pivotButton="0" quotePrefix="0" xfId="1">
      <alignment horizontal="center"/>
    </xf>
    <xf numFmtId="167" fontId="4" fillId="0" borderId="16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7" fontId="4" fillId="0" borderId="1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/>
    </xf>
    <xf numFmtId="166" fontId="5" fillId="0" borderId="15" applyAlignment="1" pivotButton="0" quotePrefix="0" xfId="1">
      <alignment horizontal="center" vertical="center"/>
    </xf>
    <xf numFmtId="166" fontId="5" fillId="0" borderId="12" applyAlignment="1" pivotButton="0" quotePrefix="0" xfId="1">
      <alignment horizontal="center" vertical="center"/>
    </xf>
    <xf numFmtId="166" fontId="5" fillId="0" borderId="13" applyAlignment="1" pivotButton="0" quotePrefix="0" xfId="1">
      <alignment horizontal="center" vertical="center"/>
    </xf>
    <xf numFmtId="166" fontId="5" fillId="0" borderId="9" applyAlignment="1" pivotButton="0" quotePrefix="0" xfId="1">
      <alignment horizontal="center" vertical="center"/>
    </xf>
    <xf numFmtId="166" fontId="3" fillId="0" borderId="14" applyAlignment="1" pivotButton="0" quotePrefix="0" xfId="1">
      <alignment horizontal="center"/>
    </xf>
    <xf numFmtId="166" fontId="3" fillId="0" borderId="10" applyAlignment="1" pivotButton="0" quotePrefix="0" xfId="1">
      <alignment horizontal="center"/>
    </xf>
    <xf numFmtId="166" fontId="0" fillId="0" borderId="0" pivotButton="0" quotePrefix="0" xfId="0"/>
    <xf numFmtId="164" fontId="5" fillId="7" borderId="13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" fontId="5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1" fontId="5" fillId="0" borderId="6" applyAlignment="1" pivotButton="0" quotePrefix="0" xfId="0">
      <alignment horizontal="center"/>
    </xf>
    <xf numFmtId="165" fontId="5" fillId="0" borderId="4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0" fontId="0" fillId="0" borderId="0" applyAlignment="1" pivotButton="0" quotePrefix="0" xfId="1">
      <alignment horizontal="center"/>
    </xf>
    <xf numFmtId="10" fontId="3" fillId="0" borderId="12" applyAlignment="1" pivotButton="0" quotePrefix="0" xfId="0">
      <alignment horizontal="center"/>
    </xf>
    <xf numFmtId="164" fontId="5" fillId="6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4" fontId="5" fillId="6" borderId="15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164" fontId="5" fillId="6" borderId="12" applyAlignment="1" pivotButton="0" quotePrefix="0" xfId="0">
      <alignment horizontal="center" vertical="center"/>
    </xf>
    <xf numFmtId="164" fontId="5" fillId="7" borderId="14" applyAlignment="1" pivotButton="0" quotePrefix="0" xfId="0">
      <alignment horizontal="center" vertical="center"/>
    </xf>
    <xf numFmtId="164" fontId="5" fillId="7" borderId="6" applyAlignment="1" pivotButton="0" quotePrefix="0" xfId="0">
      <alignment horizontal="center" vertical="center"/>
    </xf>
    <xf numFmtId="164" fontId="5" fillId="7" borderId="10" applyAlignment="1" pivotButton="0" quotePrefix="0" xfId="0">
      <alignment horizontal="center" vertical="center"/>
    </xf>
    <xf numFmtId="0" fontId="6" fillId="5" borderId="7" applyAlignment="1" pivotButton="0" quotePrefix="0" xfId="0">
      <alignment horizontal="right" vertical="center" wrapText="1" readingOrder="1"/>
    </xf>
    <xf numFmtId="0" fontId="6" fillId="7" borderId="8" applyAlignment="1" pivotButton="0" quotePrefix="0" xfId="0">
      <alignment horizontal="right" vertical="center" wrapText="1" readingOrder="1"/>
    </xf>
    <xf numFmtId="0" fontId="2" fillId="0" borderId="1" applyAlignment="1" pivotButton="0" quotePrefix="0" xfId="0">
      <alignment horizontal="center"/>
    </xf>
    <xf numFmtId="167" fontId="4" fillId="0" borderId="15" applyAlignment="1" pivotButton="0" quotePrefix="0" xfId="0">
      <alignment horizontal="center" vertical="center"/>
    </xf>
    <xf numFmtId="167" fontId="4" fillId="0" borderId="4" applyAlignment="1" pivotButton="0" quotePrefix="0" xfId="0">
      <alignment horizontal="center" vertical="center"/>
    </xf>
    <xf numFmtId="167" fontId="4" fillId="0" borderId="12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/>
    </xf>
    <xf numFmtId="164" fontId="3" fillId="0" borderId="9" applyAlignment="1" pivotButton="0" quotePrefix="0" xfId="0">
      <alignment horizontal="center"/>
    </xf>
    <xf numFmtId="164" fontId="5" fillId="0" borderId="4" applyAlignment="1" pivotButton="0" quotePrefix="0" xfId="0">
      <alignment horizontal="center"/>
    </xf>
    <xf numFmtId="166" fontId="1" fillId="0" borderId="0" pivotButton="0" quotePrefix="0" xfId="1"/>
    <xf numFmtId="168" fontId="0" fillId="0" borderId="0" pivotButton="0" quotePrefix="0" xfId="0"/>
    <xf numFmtId="169" fontId="0" fillId="0" borderId="0" pivotButton="0" quotePrefix="0" xfId="0"/>
    <xf numFmtId="0" fontId="0" fillId="0" borderId="7" pivotButton="0" quotePrefix="0" xfId="0"/>
    <xf numFmtId="2" fontId="3" fillId="0" borderId="8" applyAlignment="1" pivotButton="0" quotePrefix="0" xfId="0">
      <alignment horizontal="center"/>
    </xf>
    <xf numFmtId="0" fontId="0" fillId="0" borderId="0" pivotButton="0" quotePrefix="0" xfId="0"/>
    <xf numFmtId="2" fontId="0" fillId="0" borderId="0" pivotButton="0" quotePrefix="0" xfId="0"/>
    <xf numFmtId="0" fontId="3" fillId="0" borderId="7" applyAlignment="1" pivotButton="0" quotePrefix="0" xfId="0">
      <alignment horizontal="center"/>
    </xf>
    <xf numFmtId="0" fontId="0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0" fillId="0" borderId="0" pivotButton="0" quotePrefix="0" xfId="0"/>
    <xf numFmtId="171" fontId="0" fillId="0" borderId="0" pivotButton="0" quotePrefix="0" xfId="0"/>
    <xf numFmtId="173" fontId="0" fillId="0" borderId="0" pivotButton="0" quotePrefix="0" xfId="0"/>
  </cellXfs>
  <cellStyles count="2">
    <cellStyle name="Normal" xfId="0" builtinId="0"/>
    <cellStyle name="Percent" xfId="1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zoomScale="160" zoomScaleNormal="160" zoomScaleSheetLayoutView="130" workbookViewId="0">
      <selection activeCell="L18" sqref="L18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hidden="1" width="9.36328125" customWidth="1" style="104" min="10" max="10"/>
  </cols>
  <sheetData>
    <row r="1" ht="15" customHeight="1" s="104" thickBot="1">
      <c r="A1" s="1" t="inlineStr">
        <is>
          <t>KMX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tzero_results!C50</f>
        <v/>
      </c>
      <c r="C2" s="95">
        <f>tzero_results!D50</f>
        <v/>
      </c>
      <c r="D2" s="95">
        <f>tzero_results!E50</f>
        <v/>
      </c>
      <c r="E2" s="95">
        <f>tzero_results!F50</f>
        <v/>
      </c>
      <c r="F2" s="95">
        <f>tzero_results!G50</f>
        <v/>
      </c>
      <c r="G2" s="35">
        <f>tminusone!O6</f>
        <v/>
      </c>
      <c r="H2" s="35" t="n"/>
    </row>
    <row r="3">
      <c r="A3" s="2" t="inlineStr">
        <is>
          <t>Discount (Average)</t>
        </is>
      </c>
      <c r="B3" s="46">
        <f>tzero_results!C51</f>
        <v/>
      </c>
      <c r="C3" s="46">
        <f>tzero_results!D51</f>
        <v/>
      </c>
      <c r="D3" s="46">
        <f>tzero_results!E51</f>
        <v/>
      </c>
      <c r="E3" s="46">
        <f>tzero_results!F51</f>
        <v/>
      </c>
      <c r="F3" s="46">
        <f>tzero_results!G51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tzero_results!C52</f>
        <v/>
      </c>
      <c r="C4" s="93">
        <f>tzero_results!D52</f>
        <v/>
      </c>
      <c r="D4" s="93">
        <f>tzero_results!E52</f>
        <v/>
      </c>
      <c r="E4" s="93">
        <f>tzero_results!F52</f>
        <v/>
      </c>
      <c r="F4" s="93">
        <f>tzero_results!G52</f>
        <v/>
      </c>
      <c r="G4" s="47">
        <f>tminusone!V6</f>
        <v/>
      </c>
      <c r="H4" s="12" t="n"/>
    </row>
    <row r="5">
      <c r="A5" s="2" t="inlineStr">
        <is>
          <t>APR (Average)</t>
        </is>
      </c>
      <c r="B5" s="93">
        <f>tzero_results!C53</f>
        <v/>
      </c>
      <c r="C5" s="93">
        <f>tzero_results!D53</f>
        <v/>
      </c>
      <c r="D5" s="93">
        <f>tzero_results!E53</f>
        <v/>
      </c>
      <c r="E5" s="93">
        <f>tzero_results!F53</f>
        <v/>
      </c>
      <c r="F5" s="93">
        <f>tzero_results!G53</f>
        <v/>
      </c>
      <c r="G5" s="48" t="n"/>
      <c r="H5" s="12" t="n"/>
    </row>
    <row r="6">
      <c r="A6" s="2" t="inlineStr">
        <is>
          <t>APR (Weighted)</t>
        </is>
      </c>
      <c r="B6" s="93">
        <f>tzero_results!C54</f>
        <v/>
      </c>
      <c r="C6" s="93">
        <f>tzero_results!D54</f>
        <v/>
      </c>
      <c r="D6" s="93">
        <f>tzero_results!E54</f>
        <v/>
      </c>
      <c r="E6" s="93">
        <f>tzero_results!F54</f>
        <v/>
      </c>
      <c r="F6" s="93">
        <f>tzero_results!G54</f>
        <v/>
      </c>
      <c r="G6" s="47">
        <f>tminusone!T6</f>
        <v/>
      </c>
      <c r="H6" s="13" t="n"/>
    </row>
    <row r="7">
      <c r="A7" s="2" t="inlineStr">
        <is>
          <t>Applications</t>
        </is>
      </c>
      <c r="B7" s="72">
        <f>tzero_results!C55</f>
        <v/>
      </c>
      <c r="C7" s="72">
        <f>tzero_results!D55</f>
        <v/>
      </c>
      <c r="D7" s="72">
        <f>tzero_results!E55</f>
        <v/>
      </c>
      <c r="E7" s="72">
        <f>tzero_results!F55</f>
        <v/>
      </c>
      <c r="F7" s="72">
        <f>tzero_results!G55</f>
        <v/>
      </c>
      <c r="G7" s="11" t="n"/>
      <c r="H7" s="11" t="n"/>
      <c r="J7" t="inlineStr">
        <is>
          <t>tier 2.5</t>
        </is>
      </c>
    </row>
    <row r="8">
      <c r="A8" s="2" t="inlineStr">
        <is>
          <t>Contracts (In house, Not Funded)</t>
        </is>
      </c>
      <c r="B8" s="43">
        <f>tzero_results!C56</f>
        <v/>
      </c>
      <c r="C8" s="43">
        <f>tzero_results!D56</f>
        <v/>
      </c>
      <c r="D8" s="73">
        <f>tzero_results!E56</f>
        <v/>
      </c>
      <c r="E8" s="73">
        <f>tzero_results!F56</f>
        <v/>
      </c>
      <c r="F8" s="73">
        <f>tzero_results!G56</f>
        <v/>
      </c>
      <c r="G8" s="11" t="n"/>
      <c r="H8" s="11" t="n"/>
      <c r="J8" t="inlineStr">
        <is>
          <t>beeter apps</t>
        </is>
      </c>
    </row>
    <row r="9" ht="15" customHeight="1" s="104" thickBot="1">
      <c r="A9" s="14" t="inlineStr">
        <is>
          <t>Contracts</t>
        </is>
      </c>
      <c r="B9" s="74">
        <f>tzero_results!C57</f>
        <v/>
      </c>
      <c r="C9" s="74">
        <f>tzero_results!D57</f>
        <v/>
      </c>
      <c r="D9" s="74">
        <f>tzero_results!E57</f>
        <v/>
      </c>
      <c r="E9" s="74">
        <f>tzero_results!F57</f>
        <v/>
      </c>
      <c r="F9" s="74">
        <f>tzero_results!G57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tzero_results!C58</f>
        <v/>
      </c>
      <c r="C10" s="75">
        <f>tzero_results!D58</f>
        <v/>
      </c>
      <c r="D10" s="75">
        <f>tzero_results!E58</f>
        <v/>
      </c>
      <c r="E10" s="75">
        <f>tzero_results!F58</f>
        <v/>
      </c>
      <c r="F10" s="75">
        <f>tzero_results!G58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tzero_results!C59</f>
        <v/>
      </c>
      <c r="C11" s="93">
        <f>tzero_results!D59</f>
        <v/>
      </c>
      <c r="D11" s="93">
        <f>tzero_results!E59</f>
        <v/>
      </c>
      <c r="E11" s="93">
        <f>tzero_results!F59</f>
        <v/>
      </c>
      <c r="F11" s="93">
        <f>tzero_results!G59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tzero_results!C60</f>
        <v/>
      </c>
      <c r="C12" s="71">
        <f>tzero_results!D60</f>
        <v/>
      </c>
      <c r="D12" s="71">
        <f>tzero_results!E60</f>
        <v/>
      </c>
      <c r="E12" s="71">
        <f>tzero_results!F60</f>
        <v/>
      </c>
      <c r="F12" s="71">
        <f>tzero_results!G60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44">
        <f>tzero_results!C61</f>
        <v/>
      </c>
      <c r="C13" s="44">
        <f>tzero_results!D61</f>
        <v/>
      </c>
      <c r="D13" s="44">
        <f>tzero_results!E61</f>
        <v/>
      </c>
      <c r="E13" s="44">
        <f>tzero_results!F61</f>
        <v/>
      </c>
      <c r="F13" s="44">
        <f>tzero_results!G61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36">
        <f>B30</f>
        <v/>
      </c>
      <c r="C14" s="36">
        <f>C30</f>
        <v/>
      </c>
      <c r="D14" s="36">
        <f>D30</f>
        <v/>
      </c>
      <c r="E14" s="36">
        <f>E30</f>
        <v/>
      </c>
      <c r="F14" s="36">
        <f>F30</f>
        <v/>
      </c>
      <c r="G14" s="18">
        <f>tminusone!BD6</f>
        <v/>
      </c>
      <c r="H14" s="94" t="n"/>
    </row>
    <row r="15">
      <c r="A15" s="2" t="inlineStr">
        <is>
          <t>CNL</t>
        </is>
      </c>
      <c r="B15" s="49">
        <f>$G$15-(B14-$G$14)*0.0065</f>
        <v/>
      </c>
      <c r="C15" s="49">
        <f>$G$15-(C14-$G$14)*0.0065</f>
        <v/>
      </c>
      <c r="D15" s="49">
        <f>$G$15-(D14-$G$14)*0.0065</f>
        <v/>
      </c>
      <c r="E15" s="49">
        <f>$G$15-(E14-$G$14)*0.0065</f>
        <v/>
      </c>
      <c r="F15" s="49">
        <f>$G$15-(F14-$G$14)*0.0065</f>
        <v/>
      </c>
      <c r="G15" s="50">
        <f>tminusone!Z6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tminusone!Q6</f>
        <v/>
      </c>
      <c r="H16" s="23" t="n"/>
    </row>
    <row r="17">
      <c r="A17" s="7" t="inlineStr">
        <is>
          <t>+ Origination Yield</t>
        </is>
      </c>
      <c r="B17" s="51">
        <f>B6*tminusone!$U$6+B4/B16+tminusone!$W$6+tminusone!$X$6+tminusone!$Y$6</f>
        <v/>
      </c>
      <c r="C17" s="51">
        <f>C6*tminusone!$U$6+C4/C16+tminusone!$W$6+tminusone!$X$6+tminusone!$Y$6</f>
        <v/>
      </c>
      <c r="D17" s="51">
        <f>D6*tminusone!$U$6+D4/D16+tminusone!$W$6+tminusone!$X$6+tminusone!$Y$6</f>
        <v/>
      </c>
      <c r="E17" s="51">
        <f>E6*tminusone!$U$6+E4/E16+tminusone!$W$6+tminusone!$X$6+tminusone!$Y$6</f>
        <v/>
      </c>
      <c r="F17" s="51">
        <f>F6*tminusone!$U$6+F4/F16+tminusone!$W$6+tminusone!$X$6+tminusone!$Y$6</f>
        <v/>
      </c>
      <c r="G17" s="52">
        <f>G6*tminusone!$U$6+G4/G16+tminusone!$W$6+tminusone!$X$6+tminusone!$Y$6</f>
        <v/>
      </c>
      <c r="H17" s="78" t="n"/>
    </row>
    <row r="18">
      <c r="A18" s="6" t="inlineStr">
        <is>
          <t>- CNL Effect</t>
        </is>
      </c>
      <c r="B18" s="5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53">
        <f>F15/F16</f>
        <v/>
      </c>
      <c r="G18" s="54">
        <f>G15/G16</f>
        <v/>
      </c>
      <c r="H18" s="21" t="n"/>
    </row>
    <row r="19">
      <c r="A19" s="6" t="inlineStr">
        <is>
          <t>- Variable Cost</t>
        </is>
      </c>
      <c r="B19" s="53">
        <f>$G$19</f>
        <v/>
      </c>
      <c r="C19" s="53">
        <f>$G$19</f>
        <v/>
      </c>
      <c r="D19" s="53">
        <f>$G$19</f>
        <v/>
      </c>
      <c r="E19" s="53">
        <f>$G$19</f>
        <v/>
      </c>
      <c r="F19" s="53">
        <f>$G$19</f>
        <v/>
      </c>
      <c r="G19" s="47">
        <f>tminusone!L6</f>
        <v/>
      </c>
      <c r="H19" s="21" t="n"/>
    </row>
    <row r="20">
      <c r="A20" s="6" t="inlineStr">
        <is>
          <t>- Cost of Debt Effect (5.5% int rate)</t>
        </is>
      </c>
      <c r="B20" s="53">
        <f>$G$20</f>
        <v/>
      </c>
      <c r="C20" s="53">
        <f>$G$20</f>
        <v/>
      </c>
      <c r="D20" s="53">
        <f>$G$20</f>
        <v/>
      </c>
      <c r="E20" s="53">
        <f>$G$20</f>
        <v/>
      </c>
      <c r="F20" s="53">
        <f>$G$20</f>
        <v/>
      </c>
      <c r="G20" s="47">
        <f>tminusone!M6</f>
        <v/>
      </c>
      <c r="H20" s="24" t="n"/>
    </row>
    <row r="21" ht="15" customHeight="1" s="104" thickBot="1">
      <c r="A21" s="34" t="inlineStr">
        <is>
          <t>= mROA</t>
        </is>
      </c>
      <c r="B21" s="5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55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142.9413151934289</v>
      </c>
      <c r="C25" s="82" t="n">
        <v>142.7353213336829</v>
      </c>
      <c r="D25" s="82" t="n">
        <v>142.7795786148563</v>
      </c>
      <c r="E25" s="82" t="n">
        <v>142.8774628330088</v>
      </c>
      <c r="F25" s="83" t="n">
        <v>142.9209179710994</v>
      </c>
      <c r="H25" s="105" t="n"/>
    </row>
    <row r="26">
      <c r="A26" s="30" t="inlineStr">
        <is>
          <t>Gross Loss Adjustments</t>
        </is>
      </c>
      <c r="B26" s="68" t="n">
        <v>1.394995960464513</v>
      </c>
      <c r="C26" s="80" t="n">
        <v>0.8346599172926972</v>
      </c>
      <c r="D26" s="80" t="n">
        <v>0.5147879709394374</v>
      </c>
      <c r="E26" s="80" t="n">
        <v>0.3873317935096736</v>
      </c>
      <c r="F26" s="38" t="n">
        <v>0.3135805999801562</v>
      </c>
      <c r="H26" s="105" t="n"/>
    </row>
    <row r="27">
      <c r="A27" s="29" t="inlineStr">
        <is>
          <t>Recovery Adjustments</t>
        </is>
      </c>
      <c r="B27" s="69" t="n">
        <v>0.8249553686026354</v>
      </c>
      <c r="C27" s="79" t="n">
        <v>1.111815888129725</v>
      </c>
      <c r="D27" s="79" t="n">
        <v>1.262280322085138</v>
      </c>
      <c r="E27" s="79" t="n">
        <v>0.7732938203168142</v>
      </c>
      <c r="F27" s="37" t="n">
        <v>1.132172079192091</v>
      </c>
      <c r="H27" s="105" t="n"/>
    </row>
    <row r="28">
      <c r="A28" s="30" t="inlineStr">
        <is>
          <t>BBLTV Adjustments</t>
        </is>
      </c>
      <c r="B28" s="68" t="n">
        <v>0.1950927284270954</v>
      </c>
      <c r="C28" s="80" t="n">
        <v>0.6280403203036854</v>
      </c>
      <c r="D28" s="80" t="n">
        <v>0.6697184659683435</v>
      </c>
      <c r="E28" s="80" t="n">
        <v>0.6203965077971944</v>
      </c>
      <c r="F28" s="38" t="n">
        <v>1.09485523015439</v>
      </c>
      <c r="H28" s="105" t="n"/>
    </row>
    <row r="29">
      <c r="A29" s="29" t="inlineStr">
        <is>
          <t>APR Adjustments</t>
        </is>
      </c>
      <c r="B29" s="69" t="n">
        <v>0.6095057440862229</v>
      </c>
      <c r="C29" s="79" t="n">
        <v>0.6087532631667746</v>
      </c>
      <c r="D29" s="79" t="n">
        <v>0.6522105311991121</v>
      </c>
      <c r="E29" s="79" t="n">
        <v>0.7227999666500527</v>
      </c>
      <c r="F29" s="37" t="n">
        <v>0.6984126389476443</v>
      </c>
      <c r="H29" s="106" t="n"/>
    </row>
    <row r="30" ht="15" customHeight="1" s="104" thickBot="1">
      <c r="A30" s="88" t="inlineStr">
        <is>
          <t>RAGU Score</t>
        </is>
      </c>
      <c r="B30" s="84" t="n">
        <v>145.9658649950093</v>
      </c>
      <c r="C30" s="85" t="n">
        <v>145.9185907225758</v>
      </c>
      <c r="D30" s="85" t="n">
        <v>145.8785759050483</v>
      </c>
      <c r="E30" s="85" t="n">
        <v>145.3812849212826</v>
      </c>
      <c r="F30" s="86" t="n">
        <v>146.1599385193736</v>
      </c>
    </row>
    <row r="32">
      <c r="B32" s="96" t="n"/>
      <c r="C32" s="96" t="n"/>
      <c r="D32" s="96" t="n"/>
      <c r="E32" s="96" t="n"/>
      <c r="F32" s="96" t="n"/>
    </row>
    <row r="33">
      <c r="B33" s="96" t="n"/>
      <c r="C33" s="96" t="n"/>
      <c r="D33" s="96" t="n"/>
      <c r="E33" s="96" t="n"/>
      <c r="F33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zoomScale="85" zoomScaleNormal="85" zoomScaleSheetLayoutView="130" workbookViewId="0">
      <selection activeCell="E25" sqref="E25"/>
    </sheetView>
  </sheetViews>
  <sheetFormatPr baseColWidth="8" defaultRowHeight="14.5"/>
  <cols>
    <col width="31.36328125" bestFit="1" customWidth="1" style="104" min="1" max="1"/>
    <col width="10.08984375" customWidth="1" style="104" min="2" max="7"/>
    <col width="16.6328125" bestFit="1" customWidth="1" style="104" min="8" max="8"/>
    <col width="56.54296875" bestFit="1" customWidth="1" style="104" min="10" max="10"/>
  </cols>
  <sheetData>
    <row r="1" ht="15" customHeight="1" s="104" thickBot="1">
      <c r="A1" s="1" t="inlineStr">
        <is>
          <t>FLD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tzero_results!C26</f>
        <v/>
      </c>
      <c r="C2" s="95">
        <f>tzero_results!D26</f>
        <v/>
      </c>
      <c r="D2" s="95">
        <f>tzero_results!E26</f>
        <v/>
      </c>
      <c r="E2" s="95">
        <f>tzero_results!F26</f>
        <v/>
      </c>
      <c r="F2" s="95">
        <f>tzero_results!G26</f>
        <v/>
      </c>
      <c r="G2" s="35">
        <f>tminusone!O4</f>
        <v/>
      </c>
      <c r="H2" s="35" t="n"/>
    </row>
    <row r="3">
      <c r="A3" s="2" t="inlineStr">
        <is>
          <t>Discount (Average)</t>
        </is>
      </c>
      <c r="B3" s="46">
        <f>tzero_results!C27</f>
        <v/>
      </c>
      <c r="C3" s="46">
        <f>tzero_results!D27</f>
        <v/>
      </c>
      <c r="D3" s="46">
        <f>tzero_results!E27</f>
        <v/>
      </c>
      <c r="E3" s="46">
        <f>tzero_results!F27</f>
        <v/>
      </c>
      <c r="F3" s="46">
        <f>tzero_results!G27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tzero_results!C28</f>
        <v/>
      </c>
      <c r="C4" s="93">
        <f>tzero_results!D28</f>
        <v/>
      </c>
      <c r="D4" s="93">
        <f>tzero_results!E28</f>
        <v/>
      </c>
      <c r="E4" s="93">
        <f>tzero_results!F28</f>
        <v/>
      </c>
      <c r="F4" s="93">
        <f>tzero_results!G28</f>
        <v/>
      </c>
      <c r="G4" s="47">
        <f>tminusone!V4</f>
        <v/>
      </c>
      <c r="H4" s="12" t="n"/>
    </row>
    <row r="5">
      <c r="A5" s="2" t="inlineStr">
        <is>
          <t>APR (Average)</t>
        </is>
      </c>
      <c r="B5" s="93">
        <f>tzero_results!C29</f>
        <v/>
      </c>
      <c r="C5" s="93">
        <f>tzero_results!D29</f>
        <v/>
      </c>
      <c r="D5" s="93">
        <f>tzero_results!E29</f>
        <v/>
      </c>
      <c r="E5" s="93">
        <f>tzero_results!F29</f>
        <v/>
      </c>
      <c r="F5" s="93">
        <f>tzero_results!G29</f>
        <v/>
      </c>
      <c r="G5" s="48" t="n"/>
      <c r="H5" s="12" t="n"/>
    </row>
    <row r="6">
      <c r="A6" s="2" t="inlineStr">
        <is>
          <t>APR (Weighted)</t>
        </is>
      </c>
      <c r="B6" s="93">
        <f>tzero_results!C30</f>
        <v/>
      </c>
      <c r="C6" s="93">
        <f>tzero_results!D30</f>
        <v/>
      </c>
      <c r="D6" s="93">
        <f>tzero_results!E30</f>
        <v/>
      </c>
      <c r="E6" s="93">
        <f>tzero_results!F30</f>
        <v/>
      </c>
      <c r="F6" s="93">
        <f>tzero_results!G30</f>
        <v/>
      </c>
      <c r="G6" s="47">
        <f>tminusone!T4</f>
        <v/>
      </c>
      <c r="H6" s="13" t="n"/>
    </row>
    <row r="7">
      <c r="A7" s="2" t="inlineStr">
        <is>
          <t>Applications</t>
        </is>
      </c>
      <c r="B7" s="72">
        <f>tzero_results!C31</f>
        <v/>
      </c>
      <c r="C7" s="72">
        <f>tzero_results!D31</f>
        <v/>
      </c>
      <c r="D7" s="72">
        <f>tzero_results!E31</f>
        <v/>
      </c>
      <c r="E7" s="72">
        <f>tzero_results!F31</f>
        <v/>
      </c>
      <c r="F7" s="72">
        <f>tzero_results!G31</f>
        <v/>
      </c>
      <c r="G7" s="11" t="n"/>
      <c r="H7" s="11" t="n"/>
    </row>
    <row r="8">
      <c r="A8" s="2" t="inlineStr">
        <is>
          <t>Contracts (In house, Not Funded)</t>
        </is>
      </c>
      <c r="B8" s="73">
        <f>tzero_results!C32</f>
        <v/>
      </c>
      <c r="C8" s="73">
        <f>tzero_results!D32</f>
        <v/>
      </c>
      <c r="D8" s="73">
        <f>tzero_results!E32</f>
        <v/>
      </c>
      <c r="E8" s="73">
        <f>tzero_results!F32</f>
        <v/>
      </c>
      <c r="F8" s="73">
        <f>tzero_results!G32</f>
        <v/>
      </c>
      <c r="G8" s="11" t="n"/>
      <c r="H8" s="11" t="n"/>
    </row>
    <row r="9" ht="15" customHeight="1" s="104" thickBot="1">
      <c r="A9" s="14" t="inlineStr">
        <is>
          <t>Contracts</t>
        </is>
      </c>
      <c r="B9" s="74">
        <f>tzero_results!C33</f>
        <v/>
      </c>
      <c r="C9" s="74">
        <f>tzero_results!D33</f>
        <v/>
      </c>
      <c r="D9" s="74">
        <f>tzero_results!E33</f>
        <v/>
      </c>
      <c r="E9" s="74">
        <f>tzero_results!F33</f>
        <v/>
      </c>
      <c r="F9" s="74">
        <f>tzero_results!G33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tzero_results!C34</f>
        <v/>
      </c>
      <c r="C10" s="75">
        <f>tzero_results!D34</f>
        <v/>
      </c>
      <c r="D10" s="75">
        <f>tzero_results!E34</f>
        <v/>
      </c>
      <c r="E10" s="75">
        <f>tzero_results!F34</f>
        <v/>
      </c>
      <c r="F10" s="75">
        <f>tzero_results!G34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tzero_results!C35</f>
        <v/>
      </c>
      <c r="C11" s="93">
        <f>tzero_results!D35</f>
        <v/>
      </c>
      <c r="D11" s="93">
        <f>tzero_results!E35</f>
        <v/>
      </c>
      <c r="E11" s="93">
        <f>tzero_results!F35</f>
        <v/>
      </c>
      <c r="F11" s="93">
        <f>tzero_results!G35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tzero_results!C36</f>
        <v/>
      </c>
      <c r="C12" s="71">
        <f>tzero_results!D36</f>
        <v/>
      </c>
      <c r="D12" s="71">
        <f>tzero_results!E36</f>
        <v/>
      </c>
      <c r="E12" s="71">
        <f>tzero_results!F36</f>
        <v/>
      </c>
      <c r="F12" s="71">
        <f>tzero_results!G36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76">
        <f>tzero_results!C37</f>
        <v/>
      </c>
      <c r="C13" s="76">
        <f>tzero_results!D37</f>
        <v/>
      </c>
      <c r="D13" s="76">
        <f>tzero_results!E37</f>
        <v/>
      </c>
      <c r="E13" s="76">
        <f>tzero_results!F37</f>
        <v/>
      </c>
      <c r="F13" s="76">
        <f>tzero_results!G37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41">
        <f>B30</f>
        <v/>
      </c>
      <c r="C14" s="36">
        <f>C30</f>
        <v/>
      </c>
      <c r="D14" s="36">
        <f>D30</f>
        <v/>
      </c>
      <c r="E14" s="36">
        <f>E30</f>
        <v/>
      </c>
      <c r="F14" s="42">
        <f>F30</f>
        <v/>
      </c>
      <c r="G14" s="18">
        <f>tminusone!BD4</f>
        <v/>
      </c>
      <c r="H14" s="94" t="n"/>
    </row>
    <row r="15">
      <c r="A15" s="2" t="inlineStr">
        <is>
          <t>CNL</t>
        </is>
      </c>
      <c r="B15" s="60">
        <f>$G$15-(B14-$G$14)*0.01</f>
        <v/>
      </c>
      <c r="C15" s="60">
        <f>$G$15-(C14-$G$14)*0.01</f>
        <v/>
      </c>
      <c r="D15" s="60">
        <f>$G$15-(D14-$G$14)*0.01</f>
        <v/>
      </c>
      <c r="E15" s="60">
        <f>$G$15-(E14-$G$14)*0.01</f>
        <v/>
      </c>
      <c r="F15" s="60">
        <f>$G$15-(F14-$G$14)*0.01</f>
        <v/>
      </c>
      <c r="G15" s="50">
        <f>tminusone!Z4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tminusone!Q4</f>
        <v/>
      </c>
      <c r="H16" s="23" t="n"/>
    </row>
    <row r="17">
      <c r="A17" s="7" t="inlineStr">
        <is>
          <t>+ Origination Yield</t>
        </is>
      </c>
      <c r="B17" s="51">
        <f>B6*tminusone!$U$4+B4/B16+tminusone!$W$4+tminusone!$X$4+tminusone!$Y$4</f>
        <v/>
      </c>
      <c r="C17" s="51">
        <f>C6*tminusone!$U$4+C4/C16+tminusone!$W$4+tminusone!$X$4+tminusone!$Y$4</f>
        <v/>
      </c>
      <c r="D17" s="51">
        <f>D6*tminusone!$U$4+D4/D16+tminusone!$W$4+tminusone!$X$4+tminusone!$Y$4</f>
        <v/>
      </c>
      <c r="E17" s="51">
        <f>E6*tminusone!$U$4+E4/E16+tminusone!$W$4+tminusone!$X$4+tminusone!$Y$4</f>
        <v/>
      </c>
      <c r="F17" s="51">
        <f>F6*tminusone!$U$4+F4/F16+tminusone!$W$4+tminusone!$X$4+tminusone!$Y$4</f>
        <v/>
      </c>
      <c r="G17" s="52">
        <f>G6*tminusone!$U$4+G4/G16+tminusone!$W$4+tminusone!$X$4+tminusone!$Y$4</f>
        <v/>
      </c>
      <c r="H17" s="78" t="n"/>
    </row>
    <row r="18">
      <c r="A18" s="6" t="inlineStr">
        <is>
          <t>- CNL Effect</t>
        </is>
      </c>
      <c r="B18" s="5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53">
        <f>F15/F16</f>
        <v/>
      </c>
      <c r="G18" s="54">
        <f>G15/G16</f>
        <v/>
      </c>
      <c r="H18" s="21" t="n"/>
    </row>
    <row r="19">
      <c r="A19" s="6" t="inlineStr">
        <is>
          <t>- Variable Cost</t>
        </is>
      </c>
      <c r="B19" s="53">
        <f>$G$19</f>
        <v/>
      </c>
      <c r="C19" s="53">
        <f>$G$19</f>
        <v/>
      </c>
      <c r="D19" s="53">
        <f>$G$19</f>
        <v/>
      </c>
      <c r="E19" s="53">
        <f>$G$19</f>
        <v/>
      </c>
      <c r="F19" s="53">
        <f>$G$19</f>
        <v/>
      </c>
      <c r="G19" s="47">
        <f>tminusone!L4</f>
        <v/>
      </c>
      <c r="H19" s="21" t="n"/>
    </row>
    <row r="20">
      <c r="A20" s="6" t="inlineStr">
        <is>
          <t>- Cost of Debt Effect (5.5% int rate)</t>
        </is>
      </c>
      <c r="B20" s="53">
        <f>$G$20</f>
        <v/>
      </c>
      <c r="C20" s="53">
        <f>$G$20</f>
        <v/>
      </c>
      <c r="D20" s="53">
        <f>$G$20</f>
        <v/>
      </c>
      <c r="E20" s="53">
        <f>$G$20</f>
        <v/>
      </c>
      <c r="F20" s="53">
        <f>$G$20</f>
        <v/>
      </c>
      <c r="G20" s="47">
        <f>tminusone!M4</f>
        <v/>
      </c>
      <c r="H20" s="24" t="n"/>
    </row>
    <row r="21" ht="15" customHeight="1" s="104" thickBot="1">
      <c r="A21" s="34" t="inlineStr">
        <is>
          <t>= mROA</t>
        </is>
      </c>
      <c r="B21" s="5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55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141.7987045604709</v>
      </c>
      <c r="C25" s="82" t="n">
        <v>141.4581480879889</v>
      </c>
      <c r="D25" s="82" t="n">
        <v>141.1882704444113</v>
      </c>
      <c r="E25" s="82" t="n">
        <v>141.8057200680838</v>
      </c>
      <c r="F25" s="83" t="n">
        <v>141.4359743795147</v>
      </c>
    </row>
    <row r="26">
      <c r="A26" s="30" t="inlineStr">
        <is>
          <t>Gross Loss Adjustments</t>
        </is>
      </c>
      <c r="B26" s="68" t="n">
        <v>2.506275804436484</v>
      </c>
      <c r="C26" s="80" t="n">
        <v>2.319443732960536</v>
      </c>
      <c r="D26" s="80" t="n">
        <v>2.286814109108349</v>
      </c>
      <c r="E26" s="80" t="n">
        <v>2.604338082613083</v>
      </c>
      <c r="F26" s="38" t="n">
        <v>2.471590438695557</v>
      </c>
    </row>
    <row r="27">
      <c r="A27" s="29" t="inlineStr">
        <is>
          <t>Recovery Adjustments</t>
        </is>
      </c>
      <c r="B27" s="69" t="n">
        <v>0.0697948182997507</v>
      </c>
      <c r="C27" s="79" t="n">
        <v>0.2285385905810805</v>
      </c>
      <c r="D27" s="79" t="n">
        <v>0.5699206182101205</v>
      </c>
      <c r="E27" s="79" t="n">
        <v>0.1268954080012521</v>
      </c>
      <c r="F27" s="37" t="n">
        <v>0.7359200184354626</v>
      </c>
    </row>
    <row r="28">
      <c r="A28" s="30" t="inlineStr">
        <is>
          <t>BBLTV Adjustments</t>
        </is>
      </c>
      <c r="B28" s="68" t="n">
        <v>-0.3015682891468245</v>
      </c>
      <c r="C28" s="80" t="n">
        <v>-0.4086987445678696</v>
      </c>
      <c r="D28" s="80" t="n">
        <v>-0.6340148500076896</v>
      </c>
      <c r="E28" s="80" t="n">
        <v>-0.4724598342711466</v>
      </c>
      <c r="F28" s="38" t="n">
        <v>-0.1093357003513833</v>
      </c>
    </row>
    <row r="29">
      <c r="A29" s="29" t="inlineStr">
        <is>
          <t>APR Adjustments</t>
        </is>
      </c>
      <c r="B29" s="69" t="n">
        <v>-0.3932377984773811</v>
      </c>
      <c r="C29" s="79" t="n">
        <v>-0.2629383599738649</v>
      </c>
      <c r="D29" s="79" t="n">
        <v>-0.3421413311485574</v>
      </c>
      <c r="E29" s="79" t="n">
        <v>-0.3426124506148442</v>
      </c>
      <c r="F29" s="37" t="n">
        <v>-0.5219574489946427</v>
      </c>
      <c r="H29" s="106" t="n"/>
    </row>
    <row r="30" ht="15" customHeight="1" s="104" thickBot="1">
      <c r="A30" s="88" t="inlineStr">
        <is>
          <t>RAGU Score</t>
        </is>
      </c>
      <c r="B30" s="84" t="n">
        <v>143.679969095583</v>
      </c>
      <c r="C30" s="85" t="n">
        <v>143.3344933069888</v>
      </c>
      <c r="D30" s="85" t="n">
        <v>143.0688489905735</v>
      </c>
      <c r="E30" s="85" t="n">
        <v>143.7218812738121</v>
      </c>
      <c r="F30" s="86" t="n">
        <v>144.0121916872997</v>
      </c>
    </row>
    <row r="32">
      <c r="B32" s="96" t="n"/>
      <c r="C32" s="96" t="n"/>
      <c r="D32" s="96" t="n"/>
      <c r="E32" s="96" t="n"/>
      <c r="F32" s="96" t="n"/>
    </row>
    <row r="33">
      <c r="B33" s="96" t="n"/>
      <c r="C33" s="96" t="n"/>
      <c r="D33" s="96" t="n"/>
      <c r="E33" s="96" t="n"/>
      <c r="F33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93" zoomScaleNormal="205" zoomScaleSheetLayoutView="130" workbookViewId="0">
      <selection activeCell="E38" sqref="E38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width="9" bestFit="1" customWidth="1" style="104" min="10" max="10"/>
  </cols>
  <sheetData>
    <row r="1" ht="15" customHeight="1" s="104" thickBot="1">
      <c r="A1" s="1" t="inlineStr">
        <is>
          <t>AN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tzero_results!C2</f>
        <v/>
      </c>
      <c r="C2" s="95">
        <f>tzero_results!D2</f>
        <v/>
      </c>
      <c r="D2" s="95">
        <f>tzero_results!E2</f>
        <v/>
      </c>
      <c r="E2" s="95">
        <f>tzero_results!F2</f>
        <v/>
      </c>
      <c r="F2" s="95">
        <f>tzero_results!G2</f>
        <v/>
      </c>
      <c r="G2" s="35">
        <f>tminusone!O2</f>
        <v/>
      </c>
      <c r="H2" s="35" t="n"/>
    </row>
    <row r="3">
      <c r="A3" s="2" t="inlineStr">
        <is>
          <t>Discount (Average)</t>
        </is>
      </c>
      <c r="B3" s="46">
        <f>tzero_results!C3</f>
        <v/>
      </c>
      <c r="C3" s="46">
        <f>tzero_results!D3</f>
        <v/>
      </c>
      <c r="D3" s="46">
        <f>tzero_results!E3</f>
        <v/>
      </c>
      <c r="E3" s="46">
        <f>tzero_results!F3</f>
        <v/>
      </c>
      <c r="F3" s="46">
        <f>tzero_results!G3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tzero_results!C4</f>
        <v/>
      </c>
      <c r="C4" s="93">
        <f>tzero_results!D4</f>
        <v/>
      </c>
      <c r="D4" s="93">
        <f>tzero_results!E4</f>
        <v/>
      </c>
      <c r="E4" s="93">
        <f>tzero_results!F4</f>
        <v/>
      </c>
      <c r="F4" s="93">
        <f>tzero_results!G4</f>
        <v/>
      </c>
      <c r="G4" s="47">
        <f>tminusone!V2</f>
        <v/>
      </c>
      <c r="H4" s="12" t="n"/>
    </row>
    <row r="5">
      <c r="A5" s="2" t="inlineStr">
        <is>
          <t>APR (Average)</t>
        </is>
      </c>
      <c r="B5" s="93">
        <f>tzero_results!C5</f>
        <v/>
      </c>
      <c r="C5" s="93">
        <f>tzero_results!D5</f>
        <v/>
      </c>
      <c r="D5" s="93">
        <f>tzero_results!E5</f>
        <v/>
      </c>
      <c r="E5" s="93">
        <f>tzero_results!F5</f>
        <v/>
      </c>
      <c r="F5" s="93">
        <f>tzero_results!G5</f>
        <v/>
      </c>
      <c r="G5" s="48" t="n"/>
      <c r="H5" s="12" t="n"/>
    </row>
    <row r="6">
      <c r="A6" s="2" t="inlineStr">
        <is>
          <t>APR (Weighted)</t>
        </is>
      </c>
      <c r="B6" s="93">
        <f>tzero_results!C6</f>
        <v/>
      </c>
      <c r="C6" s="93">
        <f>tzero_results!D6</f>
        <v/>
      </c>
      <c r="D6" s="93">
        <f>tzero_results!E6</f>
        <v/>
      </c>
      <c r="E6" s="93">
        <f>tzero_results!F6</f>
        <v/>
      </c>
      <c r="F6" s="93">
        <f>tzero_results!G6</f>
        <v/>
      </c>
      <c r="G6" s="47">
        <f>tminusone!T2</f>
        <v/>
      </c>
      <c r="H6" s="13" t="n"/>
    </row>
    <row r="7">
      <c r="A7" s="2" t="inlineStr">
        <is>
          <t>Applications</t>
        </is>
      </c>
      <c r="B7" s="72">
        <f>tzero_results!C7</f>
        <v/>
      </c>
      <c r="C7" s="72">
        <f>tzero_results!D7</f>
        <v/>
      </c>
      <c r="D7" s="72">
        <f>tzero_results!E7</f>
        <v/>
      </c>
      <c r="E7" s="72">
        <f>tzero_results!F7</f>
        <v/>
      </c>
      <c r="F7" s="72">
        <f>tzero_results!G7</f>
        <v/>
      </c>
      <c r="G7" s="11" t="n"/>
      <c r="H7" s="11" t="n"/>
    </row>
    <row r="8">
      <c r="A8" s="2" t="inlineStr">
        <is>
          <t>Contracts (In house, Not Funded)</t>
        </is>
      </c>
      <c r="B8" s="73">
        <f>tzero_results!C8</f>
        <v/>
      </c>
      <c r="C8" s="73">
        <f>tzero_results!D8</f>
        <v/>
      </c>
      <c r="D8" s="73">
        <f>tzero_results!E8</f>
        <v/>
      </c>
      <c r="E8" s="73">
        <f>tzero_results!F8</f>
        <v/>
      </c>
      <c r="F8" s="73">
        <f>tzero_results!G8</f>
        <v/>
      </c>
      <c r="G8" s="11" t="n"/>
      <c r="H8" s="11" t="n"/>
    </row>
    <row r="9" ht="15" customHeight="1" s="104" thickBot="1">
      <c r="A9" s="14" t="inlineStr">
        <is>
          <t>Contracts</t>
        </is>
      </c>
      <c r="B9" s="74">
        <f>tzero_results!C9</f>
        <v/>
      </c>
      <c r="C9" s="74">
        <f>tzero_results!D9</f>
        <v/>
      </c>
      <c r="D9" s="74">
        <f>tzero_results!E9</f>
        <v/>
      </c>
      <c r="E9" s="74">
        <f>tzero_results!F9</f>
        <v/>
      </c>
      <c r="F9" s="74">
        <f>tzero_results!G9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tzero_results!C10</f>
        <v/>
      </c>
      <c r="C10" s="75">
        <f>tzero_results!D10</f>
        <v/>
      </c>
      <c r="D10" s="75">
        <f>tzero_results!E10</f>
        <v/>
      </c>
      <c r="E10" s="75">
        <f>tzero_results!F10</f>
        <v/>
      </c>
      <c r="F10" s="75">
        <f>tzero_results!G10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tzero_results!C11</f>
        <v/>
      </c>
      <c r="C11" s="93">
        <f>tzero_results!D11</f>
        <v/>
      </c>
      <c r="D11" s="93">
        <f>tzero_results!E11</f>
        <v/>
      </c>
      <c r="E11" s="93">
        <f>tzero_results!F11</f>
        <v/>
      </c>
      <c r="F11" s="93">
        <f>tzero_results!G11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tzero_results!C12</f>
        <v/>
      </c>
      <c r="C12" s="71">
        <f>tzero_results!D12</f>
        <v/>
      </c>
      <c r="D12" s="71">
        <f>tzero_results!E12</f>
        <v/>
      </c>
      <c r="E12" s="71">
        <f>tzero_results!F12</f>
        <v/>
      </c>
      <c r="F12" s="71">
        <f>tzero_results!G12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44">
        <f>tzero_results!C13</f>
        <v/>
      </c>
      <c r="C13" s="44">
        <f>tzero_results!D13</f>
        <v/>
      </c>
      <c r="D13" s="44">
        <f>tzero_results!E13</f>
        <v/>
      </c>
      <c r="E13" s="44">
        <f>tzero_results!F13</f>
        <v/>
      </c>
      <c r="F13" s="44">
        <f>tzero_results!G13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36">
        <f>B30</f>
        <v/>
      </c>
      <c r="C14" s="36">
        <f>C30</f>
        <v/>
      </c>
      <c r="D14" s="36">
        <f>D30</f>
        <v/>
      </c>
      <c r="E14" s="36">
        <f>E30</f>
        <v/>
      </c>
      <c r="F14" s="36">
        <f>F30</f>
        <v/>
      </c>
      <c r="G14" s="18">
        <f>tminusone!BD2</f>
        <v/>
      </c>
      <c r="H14" s="94" t="n"/>
    </row>
    <row r="15">
      <c r="A15" s="2" t="inlineStr">
        <is>
          <t>CNL</t>
        </is>
      </c>
      <c r="B15" s="49">
        <f>$G$15-(B14-$G$14)*0.01</f>
        <v/>
      </c>
      <c r="C15" s="49">
        <f>$G$15-(C14-$G$14)*0.01</f>
        <v/>
      </c>
      <c r="D15" s="49">
        <f>$G$15-(D14-$G$14)*0.01</f>
        <v/>
      </c>
      <c r="E15" s="49">
        <f>$G$15-(E14-$G$14)*0.01</f>
        <v/>
      </c>
      <c r="F15" s="49">
        <f>$G$15-(F14-$G$14)*0.01</f>
        <v/>
      </c>
      <c r="G15" s="50">
        <f>tminusone!Z2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tminusone!Q2</f>
        <v/>
      </c>
      <c r="H16" s="23" t="n"/>
    </row>
    <row r="17">
      <c r="A17" s="7" t="inlineStr">
        <is>
          <t>+ Origination Yield</t>
        </is>
      </c>
      <c r="B17" s="51">
        <f>B6*tminusone!$U$2+B4/B16+tminusone!$W$2+tminusone!$X$2+tminusone!$Y$2</f>
        <v/>
      </c>
      <c r="C17" s="51">
        <f>C6*tminusone!$U$2+C4/C16+tminusone!$W$2+tminusone!$X$2+tminusone!$Y$2</f>
        <v/>
      </c>
      <c r="D17" s="51">
        <f>D6*tminusone!$U$2+D4/D16+tminusone!$W$2+tminusone!$X$2+tminusone!$Y$2</f>
        <v/>
      </c>
      <c r="E17" s="51">
        <f>E6*tminusone!$U$2+E4/E16+tminusone!$W$2+tminusone!$X$2+tminusone!$Y$2</f>
        <v/>
      </c>
      <c r="F17" s="51">
        <f>F6*tminusone!$U$2+F4/F16+tminusone!$W$2+tminusone!$X$2+tminusone!$Y$2</f>
        <v/>
      </c>
      <c r="G17" s="52">
        <f>G6*tminusone!$U$2+G4/G16+tminusone!$W$2+tminusone!$X$2+tminusone!$Y$2</f>
        <v/>
      </c>
      <c r="H17" s="78" t="n"/>
    </row>
    <row r="18">
      <c r="A18" s="6" t="inlineStr">
        <is>
          <t>- CNL Effect</t>
        </is>
      </c>
      <c r="B18" s="5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53">
        <f>F15/F16</f>
        <v/>
      </c>
      <c r="G18" s="54">
        <f>G15/G16</f>
        <v/>
      </c>
      <c r="H18" s="21" t="n"/>
    </row>
    <row r="19">
      <c r="A19" s="6" t="inlineStr">
        <is>
          <t>- Variable Cost</t>
        </is>
      </c>
      <c r="B19" s="53">
        <f>$G$19</f>
        <v/>
      </c>
      <c r="C19" s="53">
        <f>$G$19</f>
        <v/>
      </c>
      <c r="D19" s="53">
        <f>$G$19</f>
        <v/>
      </c>
      <c r="E19" s="53">
        <f>$G$19</f>
        <v/>
      </c>
      <c r="F19" s="53">
        <f>$G$19</f>
        <v/>
      </c>
      <c r="G19" s="47">
        <f>tminusone!L2</f>
        <v/>
      </c>
      <c r="H19" s="21" t="n"/>
    </row>
    <row r="20">
      <c r="A20" s="6" t="inlineStr">
        <is>
          <t>- Cost of Debt Effect (5.5% int rate)</t>
        </is>
      </c>
      <c r="B20" s="53">
        <f>$G$20</f>
        <v/>
      </c>
      <c r="C20" s="53">
        <f>$G$20</f>
        <v/>
      </c>
      <c r="D20" s="53">
        <f>$G$20</f>
        <v/>
      </c>
      <c r="E20" s="53">
        <f>$G$20</f>
        <v/>
      </c>
      <c r="F20" s="53">
        <f>$G$20</f>
        <v/>
      </c>
      <c r="G20" s="47">
        <f>tminusone!M2</f>
        <v/>
      </c>
      <c r="H20" s="24" t="n"/>
    </row>
    <row r="21" ht="15" customHeight="1" s="104" thickBot="1">
      <c r="A21" s="34" t="inlineStr">
        <is>
          <t>= mROA</t>
        </is>
      </c>
      <c r="B21" s="5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55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AN!A1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139.7826755104174</v>
      </c>
      <c r="C25" s="82" t="n">
        <v>140.675133793601</v>
      </c>
      <c r="D25" s="82" t="n">
        <v>140.7310558698988</v>
      </c>
      <c r="E25" s="82" t="n">
        <v>140.8200224208472</v>
      </c>
      <c r="F25" s="83" t="n">
        <v>140.979667478069</v>
      </c>
    </row>
    <row r="26">
      <c r="A26" s="30" t="inlineStr">
        <is>
          <t>Gross Loss Adjustments</t>
        </is>
      </c>
      <c r="B26" s="68" t="n">
        <v>3.080612854491363</v>
      </c>
      <c r="C26" s="80" t="n">
        <v>3.346322091675887</v>
      </c>
      <c r="D26" s="80" t="n">
        <v>3.685779558135778</v>
      </c>
      <c r="E26" s="80" t="n">
        <v>3.415925100457173</v>
      </c>
      <c r="F26" s="38" t="n">
        <v>3.729854265864503</v>
      </c>
    </row>
    <row r="27">
      <c r="A27" s="29" t="inlineStr">
        <is>
          <t>Recovery Adjustments</t>
        </is>
      </c>
      <c r="B27" s="69" t="n">
        <v>1.417731060602295</v>
      </c>
      <c r="C27" s="79" t="n">
        <v>4.398507305164129</v>
      </c>
      <c r="D27" s="79" t="n">
        <v>3.365067681588899</v>
      </c>
      <c r="E27" s="79" t="n">
        <v>3.684920114490394</v>
      </c>
      <c r="F27" s="37" t="n">
        <v>3.545600751996192</v>
      </c>
    </row>
    <row r="28">
      <c r="A28" s="30" t="inlineStr">
        <is>
          <t>BBLTV Adjustments</t>
        </is>
      </c>
      <c r="B28" s="68" t="n">
        <v>3.110210385375991</v>
      </c>
      <c r="C28" s="80" t="n">
        <v>4.768792924544266</v>
      </c>
      <c r="D28" s="80" t="n">
        <v>3.48522779247683</v>
      </c>
      <c r="E28" s="80" t="n">
        <v>4.928074424127299</v>
      </c>
      <c r="F28" s="38" t="n">
        <v>4.066377682552508</v>
      </c>
    </row>
    <row r="29">
      <c r="A29" s="29" t="inlineStr">
        <is>
          <t>APR Adjustments</t>
        </is>
      </c>
      <c r="B29" s="69" t="n">
        <v>0.8618015460191519</v>
      </c>
      <c r="C29" s="79" t="n">
        <v>1.137746784603042</v>
      </c>
      <c r="D29" s="79" t="n">
        <v>1.011265687759354</v>
      </c>
      <c r="E29" s="79" t="n">
        <v>1.528780632019073</v>
      </c>
      <c r="F29" s="37" t="n">
        <v>1.767580055962631</v>
      </c>
      <c r="H29" s="106" t="n"/>
    </row>
    <row r="30" ht="15" customHeight="1" s="104" thickBot="1">
      <c r="A30" s="88" t="inlineStr">
        <is>
          <t>RAGU Score</t>
        </is>
      </c>
      <c r="B30" s="84" t="n">
        <v>148.2530313569062</v>
      </c>
      <c r="C30" s="85" t="n">
        <v>154.3265028995884</v>
      </c>
      <c r="D30" s="85" t="n">
        <v>152.2783965898597</v>
      </c>
      <c r="E30" s="85" t="n">
        <v>154.3777226919411</v>
      </c>
      <c r="F30" s="86" t="n">
        <v>154.0890802344448</v>
      </c>
    </row>
    <row r="31" ht="13" customHeight="1" s="104"/>
    <row r="32">
      <c r="B32" s="96" t="n"/>
      <c r="C32" s="96" t="n"/>
      <c r="D32" s="96" t="n"/>
      <c r="E32" s="96" t="n"/>
      <c r="F32" s="96" t="n"/>
    </row>
    <row r="33">
      <c r="B33" s="96" t="n"/>
      <c r="C33" s="96" t="n"/>
      <c r="D33" s="96" t="n"/>
      <c r="E33" s="96" t="n"/>
      <c r="F33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zoomScale="115" zoomScaleNormal="115" zoomScaleSheetLayoutView="130" workbookViewId="0">
      <selection activeCell="C39" sqref="C39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width="9" bestFit="1" customWidth="1" style="104" min="9" max="9"/>
    <col width="9.36328125" bestFit="1" customWidth="1" style="104" min="10" max="10"/>
  </cols>
  <sheetData>
    <row r="1" ht="15" customHeight="1" s="104" thickBot="1">
      <c r="A1" s="1" t="inlineStr">
        <is>
          <t>ENT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tzero_results!C14</f>
        <v/>
      </c>
      <c r="C2" s="95">
        <f>tzero_results!D14</f>
        <v/>
      </c>
      <c r="D2" s="95">
        <f>tzero_results!E14</f>
        <v/>
      </c>
      <c r="E2" s="95">
        <f>tzero_results!F14</f>
        <v/>
      </c>
      <c r="F2" s="95">
        <f>tzero_results!G14</f>
        <v/>
      </c>
      <c r="G2" s="35">
        <f>tminusone!O3</f>
        <v/>
      </c>
      <c r="H2" s="35" t="n"/>
    </row>
    <row r="3">
      <c r="A3" s="2" t="inlineStr">
        <is>
          <t>Discount (Average)</t>
        </is>
      </c>
      <c r="B3" s="46">
        <f>tzero_results!C15</f>
        <v/>
      </c>
      <c r="C3" s="46">
        <f>tzero_results!D15</f>
        <v/>
      </c>
      <c r="D3" s="46">
        <f>tzero_results!E15</f>
        <v/>
      </c>
      <c r="E3" s="46">
        <f>tzero_results!F15</f>
        <v/>
      </c>
      <c r="F3" s="46">
        <f>tzero_results!G15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tzero_results!C16</f>
        <v/>
      </c>
      <c r="C4" s="93">
        <f>tzero_results!D16</f>
        <v/>
      </c>
      <c r="D4" s="93">
        <f>tzero_results!E16</f>
        <v/>
      </c>
      <c r="E4" s="93">
        <f>tzero_results!F16</f>
        <v/>
      </c>
      <c r="F4" s="93">
        <f>tzero_results!G16</f>
        <v/>
      </c>
      <c r="G4" s="47">
        <f>tminusone!V3</f>
        <v/>
      </c>
      <c r="H4" s="12" t="n"/>
    </row>
    <row r="5">
      <c r="A5" s="2" t="inlineStr">
        <is>
          <t>APR (Average)</t>
        </is>
      </c>
      <c r="B5" s="93">
        <f>tzero_results!C17</f>
        <v/>
      </c>
      <c r="C5" s="93">
        <f>tzero_results!D17</f>
        <v/>
      </c>
      <c r="D5" s="93">
        <f>tzero_results!E17</f>
        <v/>
      </c>
      <c r="E5" s="93">
        <f>tzero_results!F17</f>
        <v/>
      </c>
      <c r="F5" s="93">
        <f>tzero_results!G17</f>
        <v/>
      </c>
      <c r="G5" s="48" t="n"/>
      <c r="H5" s="12" t="n"/>
    </row>
    <row r="6">
      <c r="A6" s="2" t="inlineStr">
        <is>
          <t>APR (Weighted)</t>
        </is>
      </c>
      <c r="B6" s="93">
        <f>tzero_results!C18</f>
        <v/>
      </c>
      <c r="C6" s="93">
        <f>tzero_results!D18</f>
        <v/>
      </c>
      <c r="D6" s="93">
        <f>tzero_results!E18</f>
        <v/>
      </c>
      <c r="E6" s="93">
        <f>tzero_results!F18</f>
        <v/>
      </c>
      <c r="F6" s="93">
        <f>tzero_results!G18</f>
        <v/>
      </c>
      <c r="G6" s="47">
        <f>tminusone!T3</f>
        <v/>
      </c>
      <c r="H6" s="13" t="n"/>
    </row>
    <row r="7">
      <c r="A7" s="2" t="inlineStr">
        <is>
          <t>Applications</t>
        </is>
      </c>
      <c r="B7" s="72">
        <f>tzero_results!C19</f>
        <v/>
      </c>
      <c r="C7" s="72">
        <f>tzero_results!D19</f>
        <v/>
      </c>
      <c r="D7" s="72">
        <f>tzero_results!E19</f>
        <v/>
      </c>
      <c r="E7" s="72">
        <f>tzero_results!F19</f>
        <v/>
      </c>
      <c r="F7" s="72">
        <f>tzero_results!G19</f>
        <v/>
      </c>
      <c r="G7" s="11" t="n"/>
      <c r="H7" s="11" t="n"/>
    </row>
    <row r="8">
      <c r="A8" s="2" t="inlineStr">
        <is>
          <t>Contracts (In house, Not Funded)</t>
        </is>
      </c>
      <c r="B8" s="73">
        <f>tzero_results!C20</f>
        <v/>
      </c>
      <c r="C8" s="73">
        <f>tzero_results!D20</f>
        <v/>
      </c>
      <c r="D8" s="73">
        <f>tzero_results!E20</f>
        <v/>
      </c>
      <c r="E8" s="73">
        <f>tzero_results!F20</f>
        <v/>
      </c>
      <c r="F8" s="73">
        <f>tzero_results!G20</f>
        <v/>
      </c>
      <c r="G8" s="11" t="n"/>
      <c r="H8" s="11" t="n"/>
    </row>
    <row r="9" ht="15" customHeight="1" s="104" thickBot="1">
      <c r="A9" s="14" t="inlineStr">
        <is>
          <t>Contracts</t>
        </is>
      </c>
      <c r="B9" s="74">
        <f>tzero_results!C21</f>
        <v/>
      </c>
      <c r="C9" s="74">
        <f>tzero_results!D21</f>
        <v/>
      </c>
      <c r="D9" s="74">
        <f>tzero_results!E21</f>
        <v/>
      </c>
      <c r="E9" s="74">
        <f>tzero_results!F21</f>
        <v/>
      </c>
      <c r="F9" s="74">
        <f>tzero_results!G21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tzero_results!C22</f>
        <v/>
      </c>
      <c r="C10" s="75">
        <f>tzero_results!D22</f>
        <v/>
      </c>
      <c r="D10" s="75">
        <f>tzero_results!E22</f>
        <v/>
      </c>
      <c r="E10" s="75">
        <f>tzero_results!F22</f>
        <v/>
      </c>
      <c r="F10" s="75">
        <f>tzero_results!G22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tzero_results!C23</f>
        <v/>
      </c>
      <c r="C11" s="93">
        <f>tzero_results!D23</f>
        <v/>
      </c>
      <c r="D11" s="93">
        <f>tzero_results!E23</f>
        <v/>
      </c>
      <c r="E11" s="93">
        <f>tzero_results!F23</f>
        <v/>
      </c>
      <c r="F11" s="93">
        <f>tzero_results!G23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tzero_results!C24</f>
        <v/>
      </c>
      <c r="C12" s="71">
        <f>tzero_results!D24</f>
        <v/>
      </c>
      <c r="D12" s="71">
        <f>tzero_results!E24</f>
        <v/>
      </c>
      <c r="E12" s="71">
        <f>tzero_results!F24</f>
        <v/>
      </c>
      <c r="F12" s="71">
        <f>tzero_results!G24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44">
        <f>tzero_results!C25</f>
        <v/>
      </c>
      <c r="C13" s="44">
        <f>tzero_results!D25</f>
        <v/>
      </c>
      <c r="D13" s="44">
        <f>tzero_results!E25</f>
        <v/>
      </c>
      <c r="E13" s="44">
        <f>tzero_results!F25</f>
        <v/>
      </c>
      <c r="F13" s="44">
        <f>tzero_results!G25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36">
        <f>B30</f>
        <v/>
      </c>
      <c r="C14" s="36">
        <f>C30</f>
        <v/>
      </c>
      <c r="D14" s="36">
        <f>D30</f>
        <v/>
      </c>
      <c r="E14" s="36">
        <f>E30</f>
        <v/>
      </c>
      <c r="F14" s="36">
        <f>F30</f>
        <v/>
      </c>
      <c r="G14" s="18">
        <f>tminusone!BD3</f>
        <v/>
      </c>
      <c r="H14" s="94" t="n"/>
      <c r="L14" s="43" t="n"/>
    </row>
    <row r="15">
      <c r="A15" s="2" t="inlineStr">
        <is>
          <t>CNL</t>
        </is>
      </c>
      <c r="B15" s="49">
        <f>$G$15-(B14-$G$14)*0.01</f>
        <v/>
      </c>
      <c r="C15" s="49">
        <f>$G$15-(C14-$G$14)*0.01</f>
        <v/>
      </c>
      <c r="D15" s="49">
        <f>$G$15-(D14-$G$14)*0.01</f>
        <v/>
      </c>
      <c r="E15" s="49">
        <f>$G$15-(E14-$G$14)*0.01</f>
        <v/>
      </c>
      <c r="F15" s="49">
        <f>$G$15-(F14-$G$14)*0.01</f>
        <v/>
      </c>
      <c r="G15" s="50">
        <f>tminusone!Z3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tminusone!Q3</f>
        <v/>
      </c>
      <c r="H16" s="23" t="n"/>
    </row>
    <row r="17">
      <c r="A17" s="7" t="inlineStr">
        <is>
          <t>+ Origination Yield</t>
        </is>
      </c>
      <c r="B17" s="51">
        <f>B6*tminusone!$U$3+B4/B16+tminusone!$W$3+tminusone!$X$3+tminusone!$Y$3</f>
        <v/>
      </c>
      <c r="C17" s="51">
        <f>C6*tminusone!$U$3+C4/C16+tminusone!$W$3+tminusone!$X$3+tminusone!$Y$3</f>
        <v/>
      </c>
      <c r="D17" s="51">
        <f>D6*tminusone!$U$3+D4/D16+tminusone!$W$3+tminusone!$X$3+tminusone!$Y$3</f>
        <v/>
      </c>
      <c r="E17" s="51">
        <f>E6*tminusone!$U$3+E4/E16+tminusone!$W$3+tminusone!$X$3+tminusone!$Y$3</f>
        <v/>
      </c>
      <c r="F17" s="51">
        <f>F6*tminusone!$U$3+F4/F16+tminusone!$W$3+tminusone!$X$3+tminusone!$Y$3</f>
        <v/>
      </c>
      <c r="G17" s="52">
        <f>G6*tminusone!$U$3+G4/G16+tminusone!$W$3+tminusone!$X$3+tminusone!$Y$3</f>
        <v/>
      </c>
      <c r="H17" s="78" t="n"/>
    </row>
    <row r="18">
      <c r="A18" s="6" t="inlineStr">
        <is>
          <t>- CNL Effect</t>
        </is>
      </c>
      <c r="B18" s="5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53">
        <f>F15/F16</f>
        <v/>
      </c>
      <c r="G18" s="54">
        <f>G15/G16</f>
        <v/>
      </c>
      <c r="H18" s="21" t="n"/>
    </row>
    <row r="19">
      <c r="A19" s="6" t="inlineStr">
        <is>
          <t>- Variable Cost</t>
        </is>
      </c>
      <c r="B19" s="53">
        <f>$G$19</f>
        <v/>
      </c>
      <c r="C19" s="53">
        <f>$G$19</f>
        <v/>
      </c>
      <c r="D19" s="53">
        <f>$G$19</f>
        <v/>
      </c>
      <c r="E19" s="53">
        <f>$G$19</f>
        <v/>
      </c>
      <c r="F19" s="53">
        <f>$G$19</f>
        <v/>
      </c>
      <c r="G19" s="47">
        <f>tminusone!L3</f>
        <v/>
      </c>
      <c r="H19" s="21" t="n"/>
    </row>
    <row r="20">
      <c r="A20" s="6" t="inlineStr">
        <is>
          <t>- Cost of Debt Effect (5.5% int rate)</t>
        </is>
      </c>
      <c r="B20" s="53">
        <f>$G$20</f>
        <v/>
      </c>
      <c r="C20" s="53">
        <f>$G$20</f>
        <v/>
      </c>
      <c r="D20" s="53">
        <f>$G$20</f>
        <v/>
      </c>
      <c r="E20" s="53">
        <f>$G$20</f>
        <v/>
      </c>
      <c r="F20" s="53">
        <f>$G$20</f>
        <v/>
      </c>
      <c r="G20" s="47">
        <f>tminusone!M3</f>
        <v/>
      </c>
      <c r="H20" s="24" t="n"/>
    </row>
    <row r="21" ht="15" customHeight="1" s="104" thickBot="1">
      <c r="A21" s="34" t="inlineStr">
        <is>
          <t>= mROA</t>
        </is>
      </c>
      <c r="B21" s="5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55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ENT!A1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140.6370587577231</v>
      </c>
      <c r="C25" s="82" t="n">
        <v>140.6427521089935</v>
      </c>
      <c r="D25" s="82" t="n">
        <v>141.2329053349046</v>
      </c>
      <c r="E25" s="82" t="n">
        <v>140.5363455587539</v>
      </c>
      <c r="F25" s="83" t="n">
        <v>141.3249511897274</v>
      </c>
    </row>
    <row r="26">
      <c r="A26" s="30" t="inlineStr">
        <is>
          <t>Gross Loss Adjustments</t>
        </is>
      </c>
      <c r="B26" s="68" t="n">
        <v>0.7116787460532521</v>
      </c>
      <c r="C26" s="80" t="n">
        <v>0.5382046656600892</v>
      </c>
      <c r="D26" s="80" t="n">
        <v>0.3636010854947074</v>
      </c>
      <c r="E26" s="80" t="n">
        <v>0.1260270684585976</v>
      </c>
      <c r="F26" s="38" t="n">
        <v>0.2486257131289449</v>
      </c>
    </row>
    <row r="27">
      <c r="A27" s="29" t="inlineStr">
        <is>
          <t>Recovery Adjustments</t>
        </is>
      </c>
      <c r="B27" s="69" t="n">
        <v>1.678116788935734</v>
      </c>
      <c r="C27" s="79" t="n">
        <v>1.740554078220296</v>
      </c>
      <c r="D27" s="79" t="n">
        <v>1.714555449288602</v>
      </c>
      <c r="E27" s="79" t="n">
        <v>1.50037020656639</v>
      </c>
      <c r="F27" s="37" t="n">
        <v>1.221439879934849</v>
      </c>
    </row>
    <row r="28">
      <c r="A28" s="30" t="inlineStr">
        <is>
          <t>BBLTV Adjustments</t>
        </is>
      </c>
      <c r="B28" s="68" t="n">
        <v>2.161420618947571</v>
      </c>
      <c r="C28" s="80" t="n">
        <v>2.110627707754617</v>
      </c>
      <c r="D28" s="80" t="n">
        <v>1.749915084689236</v>
      </c>
      <c r="E28" s="80" t="n">
        <v>2.430072077141581</v>
      </c>
      <c r="F28" s="38" t="n">
        <v>1.879839278130504</v>
      </c>
    </row>
    <row r="29">
      <c r="A29" s="29" t="inlineStr">
        <is>
          <t>APR Adjustments</t>
        </is>
      </c>
      <c r="B29" s="69" t="n">
        <v>-0.05541244030701552</v>
      </c>
      <c r="C29" s="79" t="n">
        <v>-0.06189132037995315</v>
      </c>
      <c r="D29" s="79" t="n">
        <v>-0.0004814034514447063</v>
      </c>
      <c r="E29" s="79" t="n">
        <v>-0.1961996898595092</v>
      </c>
      <c r="F29" s="37" t="n">
        <v>-0.08812659046229382</v>
      </c>
      <c r="H29" s="106" t="n"/>
    </row>
    <row r="30" ht="15" customHeight="1" s="104" thickBot="1">
      <c r="A30" s="88" t="inlineStr">
        <is>
          <t>RAGU Score</t>
        </is>
      </c>
      <c r="B30" s="84" t="n">
        <v>145.1328624713527</v>
      </c>
      <c r="C30" s="85" t="n">
        <v>144.9702472402486</v>
      </c>
      <c r="D30" s="85" t="n">
        <v>145.0604955509257</v>
      </c>
      <c r="E30" s="85" t="n">
        <v>144.3966152210609</v>
      </c>
      <c r="F30" s="86" t="n">
        <v>144.5867294704594</v>
      </c>
    </row>
    <row r="32">
      <c r="B32" s="96" t="n"/>
      <c r="C32" s="96" t="n"/>
      <c r="D32" s="96" t="n"/>
      <c r="E32" s="96" t="n"/>
      <c r="F32" s="96" t="n"/>
    </row>
    <row r="33">
      <c r="B33" s="96" t="n"/>
      <c r="C33" s="96" t="n"/>
      <c r="D33" s="96" t="n"/>
      <c r="E33" s="96" t="n"/>
      <c r="F33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160" zoomScaleNormal="160" zoomScaleSheetLayoutView="130" workbookViewId="0">
      <selection activeCell="A30" sqref="A30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width="9" bestFit="1" customWidth="1" style="104" min="10" max="10"/>
  </cols>
  <sheetData>
    <row r="1" ht="15" customHeight="1" s="104" thickBot="1">
      <c r="A1" s="1" t="inlineStr">
        <is>
          <t>FRN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tzero_results!C38</f>
        <v/>
      </c>
      <c r="C2" s="95">
        <f>tzero_results!D38</f>
        <v/>
      </c>
      <c r="D2" s="95">
        <f>tzero_results!E38</f>
        <v/>
      </c>
      <c r="E2" s="95">
        <f>tzero_results!F38</f>
        <v/>
      </c>
      <c r="F2" s="95">
        <f>tzero_results!G38</f>
        <v/>
      </c>
      <c r="G2" s="35">
        <f>tminusone!O5</f>
        <v/>
      </c>
      <c r="H2" s="35" t="n"/>
    </row>
    <row r="3">
      <c r="A3" s="2" t="inlineStr">
        <is>
          <t>Discount (Average)</t>
        </is>
      </c>
      <c r="B3" s="46">
        <f>tzero_results!C39</f>
        <v/>
      </c>
      <c r="C3" s="46">
        <f>tzero_results!D39</f>
        <v/>
      </c>
      <c r="D3" s="46">
        <f>tzero_results!E39</f>
        <v/>
      </c>
      <c r="E3" s="46">
        <f>tzero_results!F39</f>
        <v/>
      </c>
      <c r="F3" s="46">
        <f>tzero_results!G39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tzero_results!C40</f>
        <v/>
      </c>
      <c r="C4" s="93">
        <f>tzero_results!D40</f>
        <v/>
      </c>
      <c r="D4" s="93">
        <f>tzero_results!E40</f>
        <v/>
      </c>
      <c r="E4" s="93">
        <f>tzero_results!F40</f>
        <v/>
      </c>
      <c r="F4" s="93">
        <f>tzero_results!G40</f>
        <v/>
      </c>
      <c r="G4" s="47">
        <f>tminusone!V5</f>
        <v/>
      </c>
      <c r="H4" s="12" t="n"/>
    </row>
    <row r="5">
      <c r="A5" s="2" t="inlineStr">
        <is>
          <t>APR (Average)</t>
        </is>
      </c>
      <c r="B5" s="93">
        <f>tzero_results!C41</f>
        <v/>
      </c>
      <c r="C5" s="93">
        <f>tzero_results!D41</f>
        <v/>
      </c>
      <c r="D5" s="93">
        <f>tzero_results!E41</f>
        <v/>
      </c>
      <c r="E5" s="93">
        <f>tzero_results!F41</f>
        <v/>
      </c>
      <c r="F5" s="93">
        <f>tzero_results!G41</f>
        <v/>
      </c>
      <c r="G5" s="48" t="n"/>
      <c r="H5" s="12" t="n"/>
    </row>
    <row r="6">
      <c r="A6" s="2" t="inlineStr">
        <is>
          <t>APR (Weighted)</t>
        </is>
      </c>
      <c r="B6" s="93">
        <f>tzero_results!C42</f>
        <v/>
      </c>
      <c r="C6" s="93">
        <f>tzero_results!D42</f>
        <v/>
      </c>
      <c r="D6" s="93">
        <f>tzero_results!E42</f>
        <v/>
      </c>
      <c r="E6" s="93">
        <f>tzero_results!F42</f>
        <v/>
      </c>
      <c r="F6" s="93">
        <f>tzero_results!G42</f>
        <v/>
      </c>
      <c r="G6" s="47">
        <f>tminusone!T5</f>
        <v/>
      </c>
      <c r="H6" s="13" t="n"/>
    </row>
    <row r="7">
      <c r="A7" s="2" t="inlineStr">
        <is>
          <t>Applications</t>
        </is>
      </c>
      <c r="B7" s="72">
        <f>tzero_results!C43</f>
        <v/>
      </c>
      <c r="C7" s="72">
        <f>tzero_results!D43</f>
        <v/>
      </c>
      <c r="D7" s="72">
        <f>tzero_results!E43</f>
        <v/>
      </c>
      <c r="E7" s="72">
        <f>tzero_results!F43</f>
        <v/>
      </c>
      <c r="F7" s="72">
        <f>tzero_results!G43</f>
        <v/>
      </c>
      <c r="G7" s="11" t="n"/>
      <c r="H7" s="11" t="n"/>
    </row>
    <row r="8">
      <c r="A8" s="2" t="inlineStr">
        <is>
          <t>Contracts (In house, Not Funded)</t>
        </is>
      </c>
      <c r="B8" s="73">
        <f>tzero_results!C44</f>
        <v/>
      </c>
      <c r="C8" s="73">
        <f>tzero_results!D44</f>
        <v/>
      </c>
      <c r="D8" s="73">
        <f>tzero_results!E44</f>
        <v/>
      </c>
      <c r="E8" s="73">
        <f>tzero_results!F44</f>
        <v/>
      </c>
      <c r="F8" s="73">
        <f>tzero_results!G44</f>
        <v/>
      </c>
      <c r="G8" s="11" t="n"/>
      <c r="H8" s="11" t="n"/>
    </row>
    <row r="9" ht="15" customHeight="1" s="104" thickBot="1">
      <c r="A9" s="14" t="inlineStr">
        <is>
          <t>Contracts</t>
        </is>
      </c>
      <c r="B9" s="74">
        <f>tzero_results!C45</f>
        <v/>
      </c>
      <c r="C9" s="74">
        <f>tzero_results!D45</f>
        <v/>
      </c>
      <c r="D9" s="74">
        <f>tzero_results!E45</f>
        <v/>
      </c>
      <c r="E9" s="74">
        <f>tzero_results!F45</f>
        <v/>
      </c>
      <c r="F9" s="74">
        <f>tzero_results!G45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tzero_results!C46</f>
        <v/>
      </c>
      <c r="C10" s="75">
        <f>tzero_results!D46</f>
        <v/>
      </c>
      <c r="D10" s="75">
        <f>tzero_results!E46</f>
        <v/>
      </c>
      <c r="E10" s="75">
        <f>tzero_results!F46</f>
        <v/>
      </c>
      <c r="F10" s="75">
        <f>tzero_results!G46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tzero_results!C47</f>
        <v/>
      </c>
      <c r="C11" s="93">
        <f>tzero_results!D47</f>
        <v/>
      </c>
      <c r="D11" s="93">
        <f>tzero_results!E47</f>
        <v/>
      </c>
      <c r="E11" s="93">
        <f>tzero_results!F47</f>
        <v/>
      </c>
      <c r="F11" s="93">
        <f>tzero_results!G47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tzero_results!C48</f>
        <v/>
      </c>
      <c r="C12" s="71">
        <f>tzero_results!D48</f>
        <v/>
      </c>
      <c r="D12" s="71">
        <f>tzero_results!E48</f>
        <v/>
      </c>
      <c r="E12" s="71">
        <f>tzero_results!F48</f>
        <v/>
      </c>
      <c r="F12" s="71">
        <f>tzero_results!G48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44">
        <f>tzero_results!C49</f>
        <v/>
      </c>
      <c r="C13" s="44">
        <f>tzero_results!D49</f>
        <v/>
      </c>
      <c r="D13" s="44">
        <f>tzero_results!E49</f>
        <v/>
      </c>
      <c r="E13" s="44">
        <f>tzero_results!F49</f>
        <v/>
      </c>
      <c r="F13" s="44">
        <f>tzero_results!G49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36">
        <f>B30</f>
        <v/>
      </c>
      <c r="C14" s="36">
        <f>C30</f>
        <v/>
      </c>
      <c r="D14" s="36">
        <f>D30</f>
        <v/>
      </c>
      <c r="E14" s="36">
        <f>E30</f>
        <v/>
      </c>
      <c r="F14" s="36">
        <f>F30</f>
        <v/>
      </c>
      <c r="G14" s="18">
        <f>tminusone!BD5</f>
        <v/>
      </c>
      <c r="H14" s="94" t="n"/>
    </row>
    <row r="15">
      <c r="A15" s="2" t="inlineStr">
        <is>
          <t>CNL</t>
        </is>
      </c>
      <c r="B15" s="49">
        <f>$G$15-(B14-$G$14)*0.01</f>
        <v/>
      </c>
      <c r="C15" s="49">
        <f>$G$15-(C14-$G$14)*0.01</f>
        <v/>
      </c>
      <c r="D15" s="49">
        <f>$G$15-(D14-$G$14)*0.01</f>
        <v/>
      </c>
      <c r="E15" s="49">
        <f>$G$15-(E14-$G$14)*0.01</f>
        <v/>
      </c>
      <c r="F15" s="49">
        <f>$G$15-(F14-$G$14)*0.01</f>
        <v/>
      </c>
      <c r="G15" s="50">
        <f>tminusone!Z5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tminusone!Q5</f>
        <v/>
      </c>
      <c r="H16" s="23" t="n"/>
    </row>
    <row r="17">
      <c r="A17" s="33" t="inlineStr">
        <is>
          <t>+ Origination Yield</t>
        </is>
      </c>
      <c r="B17" s="61">
        <f>B6*tminusone!$U$5+B4/B16+tminusone!$W$5+tminusone!$X$5+tminusone!$Y$5</f>
        <v/>
      </c>
      <c r="C17" s="51">
        <f>C6*tminusone!$U$5+C4/C16+tminusone!$W$5+tminusone!$X$5+tminusone!$Y$5</f>
        <v/>
      </c>
      <c r="D17" s="51">
        <f>D6*tminusone!$U$5+D4/D16+tminusone!$W$5+tminusone!$X$5+tminusone!$Y$5</f>
        <v/>
      </c>
      <c r="E17" s="51">
        <f>E6*tminusone!$U$5+E4/E16+tminusone!$W$5+tminusone!$X$5+tminusone!$Y$5</f>
        <v/>
      </c>
      <c r="F17" s="62">
        <f>F6*tminusone!$U$5+F4/F16+tminusone!$W$5+tminusone!$X$5+tminusone!$Y$5</f>
        <v/>
      </c>
      <c r="G17" s="52">
        <f>G6*tminusone!$U$5+G4/G16+tminusone!$W$5+tminusone!$X$5+tminusone!$Y$5</f>
        <v/>
      </c>
      <c r="H17" s="78" t="n"/>
    </row>
    <row r="18">
      <c r="A18" s="31" t="inlineStr">
        <is>
          <t>- CNL Effect</t>
        </is>
      </c>
      <c r="B18" s="6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64">
        <f>F15/F16</f>
        <v/>
      </c>
      <c r="G18" s="54">
        <f>G15/G16</f>
        <v/>
      </c>
      <c r="H18" s="21" t="n"/>
    </row>
    <row r="19">
      <c r="A19" s="31" t="inlineStr">
        <is>
          <t>- Variable Cost</t>
        </is>
      </c>
      <c r="B19" s="63">
        <f>$G$19</f>
        <v/>
      </c>
      <c r="C19" s="53">
        <f>$G$19</f>
        <v/>
      </c>
      <c r="D19" s="53">
        <f>$G$19</f>
        <v/>
      </c>
      <c r="E19" s="53">
        <f>$G$19</f>
        <v/>
      </c>
      <c r="F19" s="64">
        <f>$G$19</f>
        <v/>
      </c>
      <c r="G19" s="47">
        <f>tminusone!L5</f>
        <v/>
      </c>
      <c r="H19" s="21" t="n"/>
    </row>
    <row r="20">
      <c r="A20" s="6" t="inlineStr">
        <is>
          <t>- Cost of Debt Effect (5.5% int rate)</t>
        </is>
      </c>
      <c r="B20" s="63">
        <f>$G$20</f>
        <v/>
      </c>
      <c r="C20" s="53">
        <f>$G$20</f>
        <v/>
      </c>
      <c r="D20" s="53">
        <f>$G$20</f>
        <v/>
      </c>
      <c r="E20" s="53">
        <f>$G$20</f>
        <v/>
      </c>
      <c r="F20" s="64">
        <f>$G$20</f>
        <v/>
      </c>
      <c r="G20" s="47">
        <f>tminusone!M5</f>
        <v/>
      </c>
      <c r="H20" s="24" t="n"/>
    </row>
    <row r="21" ht="15" customHeight="1" s="104" thickBot="1">
      <c r="A21" s="32" t="inlineStr">
        <is>
          <t>= mROA</t>
        </is>
      </c>
      <c r="B21" s="6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66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143.515501876269</v>
      </c>
      <c r="C25" s="82" t="n">
        <v>142.9600055661301</v>
      </c>
      <c r="D25" s="82" t="n">
        <v>142.8975859589742</v>
      </c>
      <c r="E25" s="82" t="n">
        <v>142.9673093579985</v>
      </c>
      <c r="F25" s="83" t="n">
        <v>142.8690096093343</v>
      </c>
    </row>
    <row r="26">
      <c r="A26" s="30" t="inlineStr">
        <is>
          <t>Gross Loss Adjustments</t>
        </is>
      </c>
      <c r="B26" s="68" t="n">
        <v>2.815205322096261</v>
      </c>
      <c r="C26" s="80" t="n">
        <v>3.262395382516303</v>
      </c>
      <c r="D26" s="80" t="n">
        <v>2.981118645390751</v>
      </c>
      <c r="E26" s="80" t="n">
        <v>2.943618732069467</v>
      </c>
      <c r="F26" s="38" t="n">
        <v>3.259256770738943</v>
      </c>
    </row>
    <row r="27">
      <c r="A27" s="29" t="inlineStr">
        <is>
          <t>Recovery Adjustments</t>
        </is>
      </c>
      <c r="B27" s="69" t="n">
        <v>2.153334479216561</v>
      </c>
      <c r="C27" s="79" t="n">
        <v>2.857410056995068</v>
      </c>
      <c r="D27" s="79" t="n">
        <v>2.595959312871389</v>
      </c>
      <c r="E27" s="79" t="n">
        <v>2.363917215699236</v>
      </c>
      <c r="F27" s="37" t="n">
        <v>3.498502505393124</v>
      </c>
    </row>
    <row r="28">
      <c r="A28" s="30" t="inlineStr">
        <is>
          <t>BBLTV Adjustments</t>
        </is>
      </c>
      <c r="B28" s="68" t="n">
        <v>5.189152405888913</v>
      </c>
      <c r="C28" s="80" t="n">
        <v>4.940384444921866</v>
      </c>
      <c r="D28" s="80" t="n">
        <v>5.128329569881551</v>
      </c>
      <c r="E28" s="80" t="n">
        <v>5.114529285918104</v>
      </c>
      <c r="F28" s="38" t="n">
        <v>4.976479934403432</v>
      </c>
    </row>
    <row r="29">
      <c r="A29" s="29" t="inlineStr">
        <is>
          <t>APR Adjustments</t>
        </is>
      </c>
      <c r="B29" s="69" t="n">
        <v>-0.2453900441854684</v>
      </c>
      <c r="C29" s="79" t="n">
        <v>-0.3005480039430014</v>
      </c>
      <c r="D29" s="79" t="n">
        <v>-0.3521443284568443</v>
      </c>
      <c r="E29" s="79" t="n">
        <v>-0.2669732811120468</v>
      </c>
      <c r="F29" s="37" t="n">
        <v>-0.2763019121059085</v>
      </c>
      <c r="H29" s="106" t="n"/>
    </row>
    <row r="30" ht="15" customHeight="1" s="104" thickBot="1">
      <c r="A30" s="88" t="inlineStr">
        <is>
          <t>RAGU Score</t>
        </is>
      </c>
      <c r="B30" s="84" t="n">
        <v>153.4278040392853</v>
      </c>
      <c r="C30" s="85" t="n">
        <v>153.7196474466204</v>
      </c>
      <c r="D30" s="85" t="n">
        <v>153.250849158661</v>
      </c>
      <c r="E30" s="85" t="n">
        <v>153.1224013105733</v>
      </c>
      <c r="F30" s="86" t="n">
        <v>154.3269469077639</v>
      </c>
    </row>
    <row r="32">
      <c r="B32" s="96" t="n"/>
      <c r="C32" s="96" t="n"/>
      <c r="D32" s="96" t="n"/>
      <c r="E32" s="96" t="n"/>
      <c r="F32" s="96" t="n"/>
    </row>
    <row r="33">
      <c r="B33" s="96" t="n"/>
      <c r="C33" s="96" t="n"/>
      <c r="D33" s="96" t="n"/>
      <c r="E33" s="96" t="n"/>
      <c r="F33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145" zoomScaleNormal="145" zoomScaleSheetLayoutView="130" workbookViewId="0">
      <selection activeCell="C33" sqref="C33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width="9.08984375" bestFit="1" customWidth="1" style="104" min="11" max="11"/>
  </cols>
  <sheetData>
    <row r="1" ht="15" customHeight="1" s="104" thickBot="1">
      <c r="A1" s="1" t="inlineStr">
        <is>
          <t>STG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tzero_results!C98</f>
        <v/>
      </c>
      <c r="C2" s="95">
        <f>tzero_results!D98</f>
        <v/>
      </c>
      <c r="D2" s="95">
        <f>tzero_results!E98</f>
        <v/>
      </c>
      <c r="E2" s="95">
        <f>tzero_results!F98</f>
        <v/>
      </c>
      <c r="F2" s="95">
        <f>tzero_results!G98</f>
        <v/>
      </c>
      <c r="G2" s="35">
        <f>tminusone!O9</f>
        <v/>
      </c>
      <c r="H2" s="35" t="n"/>
    </row>
    <row r="3">
      <c r="A3" s="2" t="inlineStr">
        <is>
          <t>Discount (Average)</t>
        </is>
      </c>
      <c r="B3" s="46">
        <f>tzero_results!C99</f>
        <v/>
      </c>
      <c r="C3" s="46">
        <f>tzero_results!D99</f>
        <v/>
      </c>
      <c r="D3" s="46">
        <f>tzero_results!E99</f>
        <v/>
      </c>
      <c r="E3" s="46">
        <f>tzero_results!F99</f>
        <v/>
      </c>
      <c r="F3" s="46">
        <f>tzero_results!G99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tzero_results!C100</f>
        <v/>
      </c>
      <c r="C4" s="93">
        <f>tzero_results!D100</f>
        <v/>
      </c>
      <c r="D4" s="93">
        <f>tzero_results!E100</f>
        <v/>
      </c>
      <c r="E4" s="93">
        <f>tzero_results!F100</f>
        <v/>
      </c>
      <c r="F4" s="93">
        <f>tzero_results!G100</f>
        <v/>
      </c>
      <c r="G4" s="47">
        <f>tminusone!V9</f>
        <v/>
      </c>
      <c r="H4" s="12" t="n"/>
    </row>
    <row r="5">
      <c r="A5" s="2" t="inlineStr">
        <is>
          <t>APR (Average)</t>
        </is>
      </c>
      <c r="B5" s="93">
        <f>tzero_results!C101</f>
        <v/>
      </c>
      <c r="C5" s="93">
        <f>tzero_results!D101</f>
        <v/>
      </c>
      <c r="D5" s="93">
        <f>tzero_results!E101</f>
        <v/>
      </c>
      <c r="E5" s="93">
        <f>tzero_results!F101</f>
        <v/>
      </c>
      <c r="F5" s="93">
        <f>tzero_results!G101</f>
        <v/>
      </c>
      <c r="G5" s="3" t="n"/>
      <c r="H5" s="12" t="n"/>
    </row>
    <row r="6">
      <c r="A6" s="2" t="inlineStr">
        <is>
          <t>APR (Weighted)</t>
        </is>
      </c>
      <c r="B6" s="93">
        <f>tzero_results!C102</f>
        <v/>
      </c>
      <c r="C6" s="93">
        <f>tzero_results!D102</f>
        <v/>
      </c>
      <c r="D6" s="93">
        <f>tzero_results!E102</f>
        <v/>
      </c>
      <c r="E6" s="93">
        <f>tzero_results!F102</f>
        <v/>
      </c>
      <c r="F6" s="93">
        <f>tzero_results!G102</f>
        <v/>
      </c>
      <c r="G6" s="47">
        <f>tminusone!T9</f>
        <v/>
      </c>
      <c r="H6" s="13" t="n"/>
    </row>
    <row r="7">
      <c r="A7" s="2" t="inlineStr">
        <is>
          <t>Applications</t>
        </is>
      </c>
      <c r="B7" s="72">
        <f>tzero_results!C103</f>
        <v/>
      </c>
      <c r="C7" s="72">
        <f>tzero_results!D103</f>
        <v/>
      </c>
      <c r="D7" s="72">
        <f>tzero_results!E103</f>
        <v/>
      </c>
      <c r="E7" s="72">
        <f>tzero_results!F103</f>
        <v/>
      </c>
      <c r="F7" s="72">
        <f>tzero_results!G103</f>
        <v/>
      </c>
      <c r="G7" s="11" t="n"/>
      <c r="H7" s="11" t="n"/>
    </row>
    <row r="8">
      <c r="A8" s="2" t="inlineStr">
        <is>
          <t>Contracts (In house, Not Funded)</t>
        </is>
      </c>
      <c r="B8" s="73">
        <f>tzero_results!C104</f>
        <v/>
      </c>
      <c r="C8" s="73">
        <f>tzero_results!D104</f>
        <v/>
      </c>
      <c r="D8" s="73">
        <f>tzero_results!E104</f>
        <v/>
      </c>
      <c r="E8" s="73">
        <f>tzero_results!F104</f>
        <v/>
      </c>
      <c r="F8" s="73">
        <f>tzero_results!G104</f>
        <v/>
      </c>
      <c r="G8" s="11" t="n"/>
      <c r="H8" s="11" t="n"/>
    </row>
    <row r="9" ht="15" customHeight="1" s="104" thickBot="1">
      <c r="A9" s="14" t="inlineStr">
        <is>
          <t>Contracts</t>
        </is>
      </c>
      <c r="B9" s="40">
        <f>tzero_results!C105</f>
        <v/>
      </c>
      <c r="C9" s="40">
        <f>tzero_results!D105</f>
        <v/>
      </c>
      <c r="D9" s="40">
        <f>tzero_results!E105</f>
        <v/>
      </c>
      <c r="E9" s="40">
        <f>tzero_results!F105</f>
        <v/>
      </c>
      <c r="F9" s="40">
        <f>tzero_results!G105</f>
        <v/>
      </c>
      <c r="G9" s="11" t="n"/>
      <c r="H9" s="3" t="n"/>
    </row>
    <row r="10">
      <c r="A10" s="15" t="inlineStr">
        <is>
          <t>BlackBook Value (Average)</t>
        </is>
      </c>
      <c r="B10" s="75">
        <f>tzero_results!C106</f>
        <v/>
      </c>
      <c r="C10" s="75">
        <f>tzero_results!D106</f>
        <v/>
      </c>
      <c r="D10" s="75">
        <f>tzero_results!E106</f>
        <v/>
      </c>
      <c r="E10" s="75">
        <f>tzero_results!F106</f>
        <v/>
      </c>
      <c r="F10" s="75">
        <f>tzero_results!G106</f>
        <v/>
      </c>
      <c r="G10" s="103" t="n"/>
      <c r="H10" s="103" t="n"/>
    </row>
    <row r="11">
      <c r="A11" s="2" t="inlineStr">
        <is>
          <t>BlackBook LTV (Weighted)</t>
        </is>
      </c>
      <c r="B11" s="93">
        <f>tzero_results!C107</f>
        <v/>
      </c>
      <c r="C11" s="93">
        <f>tzero_results!D107</f>
        <v/>
      </c>
      <c r="D11" s="93">
        <f>tzero_results!E107</f>
        <v/>
      </c>
      <c r="E11" s="93">
        <f>tzero_results!F107</f>
        <v/>
      </c>
      <c r="F11" s="93">
        <f>tzero_results!G107</f>
        <v/>
      </c>
      <c r="G11" s="11" t="n"/>
      <c r="H11" s="11" t="n"/>
    </row>
    <row r="12">
      <c r="A12" s="2" t="inlineStr">
        <is>
          <t>Mileage (Average)</t>
        </is>
      </c>
      <c r="B12" s="71">
        <f>tzero_results!C108</f>
        <v/>
      </c>
      <c r="C12" s="71">
        <f>tzero_results!D108</f>
        <v/>
      </c>
      <c r="D12" s="71">
        <f>tzero_results!E108</f>
        <v/>
      </c>
      <c r="E12" s="71">
        <f>tzero_results!F108</f>
        <v/>
      </c>
      <c r="F12" s="71">
        <f>tzero_results!G108</f>
        <v/>
      </c>
      <c r="G12" s="11" t="n"/>
      <c r="H12" s="11" t="n"/>
    </row>
    <row r="13" ht="15" customHeight="1" s="104" thickBot="1">
      <c r="A13" s="2" t="inlineStr">
        <is>
          <t>Vehicle Age (Average)</t>
        </is>
      </c>
      <c r="B13" s="44">
        <f>tzero_results!C109</f>
        <v/>
      </c>
      <c r="C13" s="44">
        <f>tzero_results!D109</f>
        <v/>
      </c>
      <c r="D13" s="44">
        <f>tzero_results!E109</f>
        <v/>
      </c>
      <c r="E13" s="44">
        <f>tzero_results!F109</f>
        <v/>
      </c>
      <c r="F13" s="44">
        <f>tzero_results!G109</f>
        <v/>
      </c>
      <c r="G13" s="17" t="n"/>
      <c r="H13" s="17" t="n"/>
    </row>
    <row r="14" ht="15" customHeight="1" s="104" thickBot="1">
      <c r="A14" s="4" t="inlineStr">
        <is>
          <t>RAGU Score</t>
        </is>
      </c>
      <c r="B14" s="36">
        <f>B30</f>
        <v/>
      </c>
      <c r="C14" s="36">
        <f>C30</f>
        <v/>
      </c>
      <c r="D14" s="36">
        <f>D30</f>
        <v/>
      </c>
      <c r="E14" s="36">
        <f>E30</f>
        <v/>
      </c>
      <c r="F14" s="36">
        <f>F30</f>
        <v/>
      </c>
      <c r="G14" s="18">
        <f>tminusone!BD9</f>
        <v/>
      </c>
      <c r="H14" s="94" t="n"/>
    </row>
    <row r="15">
      <c r="A15" s="2" t="inlineStr">
        <is>
          <t>CNL</t>
        </is>
      </c>
      <c r="B15" s="49">
        <f>$G$15-(B14-$G$14)*0.01</f>
        <v/>
      </c>
      <c r="C15" s="49">
        <f>$G$15-(C14-$G$14)*0.01</f>
        <v/>
      </c>
      <c r="D15" s="49">
        <f>$G$15-(D14-$G$14)*0.01</f>
        <v/>
      </c>
      <c r="E15" s="49">
        <f>$G$15-(E14-$G$14)*0.01</f>
        <v/>
      </c>
      <c r="F15" s="49">
        <f>$G$15-(F14-$G$14)*0.01</f>
        <v/>
      </c>
      <c r="G15" s="50">
        <f>tminusone!Z9</f>
        <v/>
      </c>
      <c r="H15" s="21" t="n"/>
    </row>
    <row r="16" ht="15" customHeight="1" s="104" thickBot="1">
      <c r="A16" s="4" t="inlineStr">
        <is>
          <t>WAL</t>
        </is>
      </c>
      <c r="B16" s="5">
        <f>$G$16</f>
        <v/>
      </c>
      <c r="C16" s="5">
        <f>$G$16</f>
        <v/>
      </c>
      <c r="D16" s="5">
        <f>$G$16</f>
        <v/>
      </c>
      <c r="E16" s="5">
        <f>$G$16</f>
        <v/>
      </c>
      <c r="F16" s="5">
        <f>$G$16</f>
        <v/>
      </c>
      <c r="G16" s="22">
        <f>tminusone!Q9</f>
        <v/>
      </c>
      <c r="H16" s="23" t="n"/>
    </row>
    <row r="17">
      <c r="A17" s="7" t="inlineStr">
        <is>
          <t>+ Origination Yield</t>
        </is>
      </c>
      <c r="B17" s="51">
        <f>B6*tminusone!$U$9+B4/B16+tminusone!$W$9+tminusone!$X$9+tminusone!$Y$9</f>
        <v/>
      </c>
      <c r="C17" s="51">
        <f>C6*tminusone!$U$9+C4/C16+tminusone!$W$9+tminusone!$X$9+tminusone!$Y$9</f>
        <v/>
      </c>
      <c r="D17" s="51">
        <f>D6*tminusone!$U$9+D4/D16+tminusone!$W$9+tminusone!$X$9+tminusone!$Y$9</f>
        <v/>
      </c>
      <c r="E17" s="51">
        <f>E6*tminusone!$U$9+E4/E16+tminusone!$W$9+tminusone!$X$9+tminusone!$Y$9</f>
        <v/>
      </c>
      <c r="F17" s="51">
        <f>F6*tminusone!$U$9+F4/F16+tminusone!$W$9+tminusone!$X$9+tminusone!$Y$9</f>
        <v/>
      </c>
      <c r="G17" s="52">
        <f>G6*tminusone!$U$9+G4/G16+tminusone!$W$9+tminusone!$X$9+tminusone!$Y$9</f>
        <v/>
      </c>
      <c r="H17" s="78" t="n"/>
    </row>
    <row r="18">
      <c r="A18" s="6" t="inlineStr">
        <is>
          <t>- CNL Effect</t>
        </is>
      </c>
      <c r="B18" s="53">
        <f>B15/B16</f>
        <v/>
      </c>
      <c r="C18" s="53">
        <f>C15/C16</f>
        <v/>
      </c>
      <c r="D18" s="53">
        <f>D15/D16</f>
        <v/>
      </c>
      <c r="E18" s="53">
        <f>E15/E16</f>
        <v/>
      </c>
      <c r="F18" s="53">
        <f>F15/F16</f>
        <v/>
      </c>
      <c r="G18" s="54">
        <f>G15/G16</f>
        <v/>
      </c>
      <c r="H18" s="21" t="n"/>
    </row>
    <row r="19">
      <c r="A19" s="6" t="inlineStr">
        <is>
          <t>- Variable Cost</t>
        </is>
      </c>
      <c r="B19" s="53">
        <f>$G$19</f>
        <v/>
      </c>
      <c r="C19" s="53">
        <f>$G$19</f>
        <v/>
      </c>
      <c r="D19" s="53">
        <f>$G$19</f>
        <v/>
      </c>
      <c r="E19" s="53">
        <f>$G$19</f>
        <v/>
      </c>
      <c r="F19" s="53">
        <f>$G$19</f>
        <v/>
      </c>
      <c r="G19" s="47">
        <f>tminusone!L9</f>
        <v/>
      </c>
      <c r="H19" s="21" t="n"/>
    </row>
    <row r="20">
      <c r="A20" s="6" t="inlineStr">
        <is>
          <t>- Cost of Debt Effect (5.5% int rate)</t>
        </is>
      </c>
      <c r="B20" s="53">
        <f>$G$20</f>
        <v/>
      </c>
      <c r="C20" s="53">
        <f>$G$20</f>
        <v/>
      </c>
      <c r="D20" s="53">
        <f>$G$20</f>
        <v/>
      </c>
      <c r="E20" s="53">
        <f>$G$20</f>
        <v/>
      </c>
      <c r="F20" s="53">
        <f>$G$20</f>
        <v/>
      </c>
      <c r="G20" s="47">
        <f>tminusone!M9</f>
        <v/>
      </c>
      <c r="H20" s="24" t="n"/>
    </row>
    <row r="21" ht="15" customHeight="1" s="104" thickBot="1">
      <c r="A21" s="34" t="inlineStr">
        <is>
          <t>= mROA</t>
        </is>
      </c>
      <c r="B21" s="55">
        <f>B17-B18-B19-B20</f>
        <v/>
      </c>
      <c r="C21" s="55">
        <f>C17-C18-C19-C20</f>
        <v/>
      </c>
      <c r="D21" s="55">
        <f>D17-D18-D19-D20</f>
        <v/>
      </c>
      <c r="E21" s="55">
        <f>E17-E18-E19-E20</f>
        <v/>
      </c>
      <c r="F21" s="55">
        <f>F17-F18-F19-F20</f>
        <v/>
      </c>
      <c r="G21" s="56">
        <f>G17-G18-G19-G20</f>
        <v/>
      </c>
      <c r="H21" s="28" t="n"/>
    </row>
    <row r="22" ht="15" customHeight="1" s="104" thickBot="1">
      <c r="A22" s="25" t="inlineStr">
        <is>
          <t>vROA</t>
        </is>
      </c>
      <c r="B22" s="55">
        <f>B21-0.77%</f>
        <v/>
      </c>
      <c r="C22" s="55">
        <f>C21-0.77%</f>
        <v/>
      </c>
      <c r="D22" s="55">
        <f>D21-0.77%</f>
        <v/>
      </c>
      <c r="E22" s="55">
        <f>E21-0.77%</f>
        <v/>
      </c>
      <c r="F22" s="55">
        <f>F21-0.77%</f>
        <v/>
      </c>
      <c r="G22" s="56">
        <f>G21-0.77%</f>
        <v/>
      </c>
      <c r="H22" s="28" t="n"/>
    </row>
    <row r="23" ht="15" customHeight="1" s="104" thickBot="1"/>
    <row r="24" ht="15" customHeight="1" s="104" thickBot="1">
      <c r="A24" s="89">
        <f>A1</f>
        <v/>
      </c>
      <c r="B24" s="90">
        <f>B1</f>
        <v/>
      </c>
      <c r="C24" s="91">
        <f>C1</f>
        <v/>
      </c>
      <c r="D24" s="91">
        <f>D1</f>
        <v/>
      </c>
      <c r="E24" s="91">
        <f>E1</f>
        <v/>
      </c>
      <c r="F24" s="92">
        <f>F1</f>
        <v/>
      </c>
    </row>
    <row r="25">
      <c r="A25" s="87" t="inlineStr">
        <is>
          <t>Model Score</t>
        </is>
      </c>
      <c r="B25" s="81" t="n">
        <v>140.8907477383612</v>
      </c>
      <c r="C25" s="82" t="n">
        <v>140.9998075833661</v>
      </c>
      <c r="D25" s="82" t="n">
        <v>141.3278206760025</v>
      </c>
      <c r="E25" s="82" t="n">
        <v>141.6632889163178</v>
      </c>
      <c r="F25" s="83" t="n">
        <v>141.0649144733127</v>
      </c>
    </row>
    <row r="26">
      <c r="A26" s="30" t="inlineStr">
        <is>
          <t>Gross Loss Adjustments</t>
        </is>
      </c>
      <c r="B26" s="68" t="n">
        <v>3.193533613680017</v>
      </c>
      <c r="C26" s="80" t="n">
        <v>2.876247912378631</v>
      </c>
      <c r="D26" s="80" t="n">
        <v>3.328546577401909</v>
      </c>
      <c r="E26" s="80" t="n">
        <v>3.471448743019806</v>
      </c>
      <c r="F26" s="38" t="n">
        <v>3.351278169453934</v>
      </c>
    </row>
    <row r="27">
      <c r="A27" s="29" t="inlineStr">
        <is>
          <t>Recovery Adjustments</t>
        </is>
      </c>
      <c r="B27" s="69" t="n">
        <v>3.116479461886616</v>
      </c>
      <c r="C27" s="79" t="n">
        <v>4.671303326973345</v>
      </c>
      <c r="D27" s="79" t="n">
        <v>4.415681150477623</v>
      </c>
      <c r="E27" s="79" t="n">
        <v>4.606967713057864</v>
      </c>
      <c r="F27" s="37" t="n">
        <v>4.358702197723962</v>
      </c>
    </row>
    <row r="28">
      <c r="A28" s="30" t="inlineStr">
        <is>
          <t>BBLTV Adjustments</t>
        </is>
      </c>
      <c r="B28" s="68" t="n">
        <v>4.536213231839154</v>
      </c>
      <c r="C28" s="80" t="n">
        <v>5.42669419906681</v>
      </c>
      <c r="D28" s="80" t="n">
        <v>6.026673838497269</v>
      </c>
      <c r="E28" s="80" t="n">
        <v>5.992880445837033</v>
      </c>
      <c r="F28" s="38" t="n">
        <v>5.819296721075628</v>
      </c>
    </row>
    <row r="29">
      <c r="A29" s="29" t="inlineStr">
        <is>
          <t>APR Adjustments</t>
        </is>
      </c>
      <c r="B29" s="69" t="n">
        <v>0.7800293249821889</v>
      </c>
      <c r="C29" s="79" t="n">
        <v>0.7796175165415287</v>
      </c>
      <c r="D29" s="79" t="n">
        <v>1.253040239909432</v>
      </c>
      <c r="E29" s="79" t="n">
        <v>1.102533006345314</v>
      </c>
      <c r="F29" s="37" t="n">
        <v>1.076288778865246</v>
      </c>
      <c r="H29" s="106" t="n"/>
    </row>
    <row r="30" ht="15" customHeight="1" s="104" thickBot="1">
      <c r="A30" s="88" t="inlineStr">
        <is>
          <t>RAGU Score</t>
        </is>
      </c>
      <c r="B30" s="84" t="n">
        <v>152.5170033707492</v>
      </c>
      <c r="C30" s="85" t="n">
        <v>154.7536705383264</v>
      </c>
      <c r="D30" s="85" t="n">
        <v>156.3517624822888</v>
      </c>
      <c r="E30" s="85" t="n">
        <v>156.8371188245779</v>
      </c>
      <c r="F30" s="86" t="n">
        <v>155.6704803404315</v>
      </c>
    </row>
    <row r="31">
      <c r="B31" s="96" t="n"/>
      <c r="C31" s="96" t="n"/>
      <c r="D31" s="96" t="n"/>
      <c r="E31" s="96" t="n"/>
      <c r="F31" s="96" t="n"/>
    </row>
    <row r="32">
      <c r="B32" s="96" t="n"/>
      <c r="C32" s="96" t="n"/>
      <c r="D32" s="96" t="n"/>
      <c r="E32" s="96" t="n"/>
      <c r="F32" s="9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160" zoomScaleNormal="160" zoomScaleSheetLayoutView="130" workbookViewId="0">
      <selection activeCell="F17" sqref="F17"/>
    </sheetView>
  </sheetViews>
  <sheetFormatPr baseColWidth="8" defaultRowHeight="14.5"/>
  <cols>
    <col width="31" bestFit="1" customWidth="1" style="104" min="1" max="1"/>
    <col width="10.08984375" customWidth="1" style="104" min="2" max="7"/>
    <col width="16.54296875" bestFit="1" customWidth="1" style="104" min="8" max="8"/>
    <col width="16.08984375" bestFit="1" customWidth="1" style="104" min="9" max="9"/>
    <col width="20.453125" bestFit="1" customWidth="1" style="104" min="10" max="14"/>
    <col width="8.7265625" customWidth="1" style="104" min="15" max="22"/>
  </cols>
  <sheetData>
    <row r="1" ht="15" customHeight="1" s="104" thickBot="1">
      <c r="A1" s="1" t="inlineStr">
        <is>
          <t>STE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tzero_results!C86</f>
        <v/>
      </c>
      <c r="C2" s="95">
        <f>tzero_results!D86</f>
        <v/>
      </c>
      <c r="D2" s="95">
        <f>tzero_results!E86</f>
        <v/>
      </c>
      <c r="E2" s="95">
        <f>tzero_results!F86</f>
        <v/>
      </c>
      <c r="F2" s="95">
        <f>tzero_results!G86</f>
        <v/>
      </c>
      <c r="G2" s="35" t="n">
        <v>132.9</v>
      </c>
      <c r="H2" s="35" t="n"/>
    </row>
    <row r="3">
      <c r="A3" s="2" t="inlineStr">
        <is>
          <t>Discount (Average)</t>
        </is>
      </c>
      <c r="B3" s="46">
        <f>tzero_results!C87</f>
        <v/>
      </c>
      <c r="C3" s="46">
        <f>tzero_results!D87</f>
        <v/>
      </c>
      <c r="D3" s="46">
        <f>tzero_results!E87</f>
        <v/>
      </c>
      <c r="E3" s="46">
        <f>tzero_results!F87</f>
        <v/>
      </c>
      <c r="F3" s="46">
        <f>tzero_results!G87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tzero_results!C88</f>
        <v/>
      </c>
      <c r="C4" s="93">
        <f>tzero_results!D88</f>
        <v/>
      </c>
      <c r="D4" s="93">
        <f>tzero_results!E88</f>
        <v/>
      </c>
      <c r="E4" s="93">
        <f>tzero_results!F88</f>
        <v/>
      </c>
      <c r="F4" s="93">
        <f>tzero_results!G88</f>
        <v/>
      </c>
      <c r="G4" s="47">
        <f>tminusone!V8</f>
        <v/>
      </c>
      <c r="H4" s="12" t="n"/>
    </row>
    <row r="5">
      <c r="A5" s="2" t="inlineStr">
        <is>
          <t>APR (Average)</t>
        </is>
      </c>
      <c r="B5" s="93">
        <f>tzero_results!C89</f>
        <v/>
      </c>
      <c r="C5" s="93">
        <f>tzero_results!D89</f>
        <v/>
      </c>
      <c r="D5" s="93">
        <f>tzero_results!E89</f>
        <v/>
      </c>
      <c r="E5" s="93">
        <f>tzero_results!F89</f>
        <v/>
      </c>
      <c r="F5" s="93">
        <f>tzero_results!G89</f>
        <v/>
      </c>
      <c r="G5" s="48" t="n"/>
      <c r="H5" s="12" t="n"/>
    </row>
    <row r="6">
      <c r="A6" s="2" t="inlineStr">
        <is>
          <t>APR (Weighted)</t>
        </is>
      </c>
      <c r="B6" s="93">
        <f>tzero_results!C90</f>
        <v/>
      </c>
      <c r="C6" s="93">
        <f>tzero_results!D90</f>
        <v/>
      </c>
      <c r="D6" s="93">
        <f>tzero_results!E90</f>
        <v/>
      </c>
      <c r="E6" s="93">
        <f>tzero_results!F90</f>
        <v/>
      </c>
      <c r="F6" s="93">
        <f>tzero_results!G90</f>
        <v/>
      </c>
      <c r="G6" s="47">
        <f>tminusone!T8</f>
        <v/>
      </c>
      <c r="H6" s="13" t="n"/>
    </row>
    <row r="7">
      <c r="A7" s="2" t="inlineStr">
        <is>
          <t>Applications</t>
        </is>
      </c>
      <c r="B7" s="72">
        <f>tzero_results!C91</f>
        <v/>
      </c>
      <c r="C7" s="72">
        <f>tzero_results!D91</f>
        <v/>
      </c>
      <c r="D7" s="72">
        <f>tzero_results!E91</f>
        <v/>
      </c>
      <c r="E7" s="72">
        <f>tzero_results!F91</f>
        <v/>
      </c>
      <c r="F7" s="72">
        <f>tzero_results!G91</f>
        <v/>
      </c>
      <c r="G7" s="11" t="n"/>
      <c r="H7" s="11" t="n"/>
    </row>
    <row r="8" ht="15" customHeight="1" s="104" thickBot="1">
      <c r="A8" s="14" t="inlineStr">
        <is>
          <t>Contracts</t>
        </is>
      </c>
      <c r="B8" s="74">
        <f>tzero_results!C93</f>
        <v/>
      </c>
      <c r="C8" s="74">
        <f>tzero_results!D93</f>
        <v/>
      </c>
      <c r="D8" s="74">
        <f>tzero_results!E93</f>
        <v/>
      </c>
      <c r="E8" s="74">
        <f>tzero_results!F93</f>
        <v/>
      </c>
      <c r="F8" s="74">
        <f>tzero_results!G93</f>
        <v/>
      </c>
      <c r="G8" s="11" t="n"/>
      <c r="H8" s="3" t="n"/>
    </row>
    <row r="9">
      <c r="A9" s="15" t="inlineStr">
        <is>
          <t>BlackBook Value (Average)</t>
        </is>
      </c>
      <c r="B9" s="75">
        <f>tzero_results!C94</f>
        <v/>
      </c>
      <c r="C9" s="75">
        <f>tzero_results!D94</f>
        <v/>
      </c>
      <c r="D9" s="75">
        <f>tzero_results!E94</f>
        <v/>
      </c>
      <c r="E9" s="75">
        <f>tzero_results!F94</f>
        <v/>
      </c>
      <c r="F9" s="75">
        <f>tzero_results!G94</f>
        <v/>
      </c>
      <c r="G9" s="103" t="n"/>
      <c r="H9" s="103" t="n"/>
    </row>
    <row r="10">
      <c r="A10" s="2" t="inlineStr">
        <is>
          <t>BlackBook LTV (Weighted)</t>
        </is>
      </c>
      <c r="B10" s="93">
        <f>tzero_results!C95</f>
        <v/>
      </c>
      <c r="C10" s="93">
        <f>tzero_results!D95</f>
        <v/>
      </c>
      <c r="D10" s="93">
        <f>tzero_results!E95</f>
        <v/>
      </c>
      <c r="E10" s="93">
        <f>tzero_results!F95</f>
        <v/>
      </c>
      <c r="F10" s="93">
        <f>tzero_results!G95</f>
        <v/>
      </c>
      <c r="G10" s="11" t="n"/>
      <c r="H10" s="11" t="n"/>
    </row>
    <row r="11">
      <c r="A11" s="2" t="inlineStr">
        <is>
          <t>Mileage (Average)</t>
        </is>
      </c>
      <c r="B11" s="71">
        <f>tzero_results!C96</f>
        <v/>
      </c>
      <c r="C11" s="71">
        <f>tzero_results!D96</f>
        <v/>
      </c>
      <c r="D11" s="71">
        <f>tzero_results!E96</f>
        <v/>
      </c>
      <c r="E11" s="71">
        <f>tzero_results!F96</f>
        <v/>
      </c>
      <c r="F11" s="71">
        <f>tzero_results!G96</f>
        <v/>
      </c>
      <c r="G11" s="11" t="n"/>
      <c r="H11" s="11" t="n"/>
    </row>
    <row r="12" ht="15" customHeight="1" s="104" thickBot="1">
      <c r="A12" s="2" t="inlineStr">
        <is>
          <t>Vehicle Age (Average)</t>
        </is>
      </c>
      <c r="B12" s="44">
        <f>tzero_results!C97</f>
        <v/>
      </c>
      <c r="C12" s="44">
        <f>tzero_results!D97</f>
        <v/>
      </c>
      <c r="D12" s="44">
        <f>tzero_results!E97</f>
        <v/>
      </c>
      <c r="E12" s="44">
        <f>tzero_results!F97</f>
        <v/>
      </c>
      <c r="F12" s="44">
        <f>tzero_results!G97</f>
        <v/>
      </c>
      <c r="G12" s="17" t="n"/>
      <c r="H12" s="17" t="n"/>
    </row>
    <row r="13" ht="15" customHeight="1" s="104" thickBot="1">
      <c r="A13" s="4" t="inlineStr">
        <is>
          <t>RAGU Score</t>
        </is>
      </c>
      <c r="B13" s="36">
        <f>B29</f>
        <v/>
      </c>
      <c r="C13" s="36">
        <f>C29</f>
        <v/>
      </c>
      <c r="D13" s="36">
        <f>D29</f>
        <v/>
      </c>
      <c r="E13" s="36">
        <f>E29</f>
        <v/>
      </c>
      <c r="F13" s="36">
        <f>F29</f>
        <v/>
      </c>
      <c r="G13" s="18" t="n">
        <v>143</v>
      </c>
      <c r="H13" s="99" t="n"/>
    </row>
    <row r="14">
      <c r="A14" s="2" t="inlineStr">
        <is>
          <t>CNL</t>
        </is>
      </c>
      <c r="B14" s="49">
        <f>$G$14-(B13-$G$13)*0.01</f>
        <v/>
      </c>
      <c r="C14" s="49">
        <f>$G$14-(C13-$G$13)*0.01</f>
        <v/>
      </c>
      <c r="D14" s="49">
        <f>$G$14-(D13-$G$13)*0.01</f>
        <v/>
      </c>
      <c r="E14" s="49">
        <f>$G$14-(E13-$G$13)*0.01</f>
        <v/>
      </c>
      <c r="F14" s="49">
        <f>$G$14-(F13-$G$13)*0.01</f>
        <v/>
      </c>
      <c r="G14" s="50">
        <f>tminusone!Z8</f>
        <v/>
      </c>
      <c r="H14" s="12" t="n"/>
    </row>
    <row r="15" ht="15" customHeight="1" s="104" thickBot="1">
      <c r="A15" s="4" t="inlineStr">
        <is>
          <t>WAL</t>
        </is>
      </c>
      <c r="B15" s="5">
        <f>$G$15</f>
        <v/>
      </c>
      <c r="C15" s="5">
        <f>$G$15</f>
        <v/>
      </c>
      <c r="D15" s="5">
        <f>$G$15</f>
        <v/>
      </c>
      <c r="E15" s="5">
        <f>$G$15</f>
        <v/>
      </c>
      <c r="F15" s="5">
        <f>$G$15</f>
        <v/>
      </c>
      <c r="G15" s="22">
        <f>tminusone!R8</f>
        <v/>
      </c>
      <c r="H15" s="100" t="n"/>
    </row>
    <row r="16">
      <c r="A16" s="33" t="inlineStr">
        <is>
          <t>+ Origination Yield</t>
        </is>
      </c>
      <c r="B16" s="61">
        <f>B6*tminusone!$U$8+B4/B15+tminusone!$W$8+tminusone!$X$8+tminusone!$Y$8</f>
        <v/>
      </c>
      <c r="C16" s="51">
        <f>C6*tminusone!$U$8+C4/C15+tminusone!$W$8+tminusone!$X$8+tminusone!$Y$8</f>
        <v/>
      </c>
      <c r="D16" s="51">
        <f>D6*tminusone!$U$8+D4/D15+tminusone!$W$8+tminusone!$X$8+tminusone!$Y$8</f>
        <v/>
      </c>
      <c r="E16" s="51">
        <f>E6*tminusone!$U$8+E4/E15+tminusone!$W$8+tminusone!$X$8+tminusone!$Y$8</f>
        <v/>
      </c>
      <c r="F16" s="62">
        <f>F6*tminusone!$U$8+F4/F15+tminusone!$W$8+tminusone!$X$8+tminusone!$Y$8</f>
        <v/>
      </c>
      <c r="G16" s="52">
        <f>G6*tminusone!$U$8+G4/G15+tminusone!$W$8+tminusone!$X$8+tminusone!$Y$8</f>
        <v/>
      </c>
      <c r="H16" s="78" t="n"/>
    </row>
    <row r="17">
      <c r="A17" s="31" t="inlineStr">
        <is>
          <t>- CNL Effect</t>
        </is>
      </c>
      <c r="B17" s="63">
        <f>B14/B15</f>
        <v/>
      </c>
      <c r="C17" s="53">
        <f>C14/C15</f>
        <v/>
      </c>
      <c r="D17" s="53">
        <f>D14/D15</f>
        <v/>
      </c>
      <c r="E17" s="53">
        <f>E14/E15</f>
        <v/>
      </c>
      <c r="F17" s="64">
        <f>F14/F15</f>
        <v/>
      </c>
      <c r="G17" s="54">
        <f>G14/G15</f>
        <v/>
      </c>
      <c r="H17" s="21" t="n"/>
    </row>
    <row r="18">
      <c r="A18" s="31" t="inlineStr">
        <is>
          <t>- Variable Cost</t>
        </is>
      </c>
      <c r="B18" s="63">
        <f>$G$18</f>
        <v/>
      </c>
      <c r="C18" s="53">
        <f>$G$18</f>
        <v/>
      </c>
      <c r="D18" s="53">
        <f>$G$18</f>
        <v/>
      </c>
      <c r="E18" s="53">
        <f>$G$18</f>
        <v/>
      </c>
      <c r="F18" s="64">
        <f>$G$18</f>
        <v/>
      </c>
      <c r="G18" s="47">
        <f>tminusone!L8</f>
        <v/>
      </c>
      <c r="H18" s="21" t="n"/>
    </row>
    <row r="19">
      <c r="A19" s="6" t="inlineStr">
        <is>
          <t>- Cost of Debt Effect (5.5% int rate)</t>
        </is>
      </c>
      <c r="B19" s="63">
        <f>$G$19</f>
        <v/>
      </c>
      <c r="C19" s="53">
        <f>$G$19</f>
        <v/>
      </c>
      <c r="D19" s="53">
        <f>$G$19</f>
        <v/>
      </c>
      <c r="E19" s="53">
        <f>$G$19</f>
        <v/>
      </c>
      <c r="F19" s="64">
        <f>$G$19</f>
        <v/>
      </c>
      <c r="G19" s="47">
        <f>tminusone!M8</f>
        <v/>
      </c>
      <c r="H19" s="24" t="n"/>
    </row>
    <row r="20" ht="15" customHeight="1" s="104" thickBot="1">
      <c r="A20" s="32" t="inlineStr">
        <is>
          <t>= mROA</t>
        </is>
      </c>
      <c r="B20" s="65">
        <f>B16-B17-B18-B19</f>
        <v/>
      </c>
      <c r="C20" s="55">
        <f>C16-C17-C18-C19</f>
        <v/>
      </c>
      <c r="D20" s="55">
        <f>D16-D17-D18-D19</f>
        <v/>
      </c>
      <c r="E20" s="55">
        <f>E16-E17-E18-E19</f>
        <v/>
      </c>
      <c r="F20" s="66">
        <f>F16-F17-F18-F19</f>
        <v/>
      </c>
      <c r="G20" s="56">
        <f>G16-G17-G18-G19</f>
        <v/>
      </c>
      <c r="H20" s="28" t="n"/>
    </row>
    <row r="21" ht="15" customHeight="1" s="104" thickBot="1">
      <c r="A21" s="25" t="inlineStr">
        <is>
          <t>vROA</t>
        </is>
      </c>
      <c r="B21" s="55">
        <f>B20-0.77%</f>
        <v/>
      </c>
      <c r="C21" s="55">
        <f>C20-0.77%</f>
        <v/>
      </c>
      <c r="D21" s="55">
        <f>D20-0.77%</f>
        <v/>
      </c>
      <c r="E21" s="55">
        <f>E20-0.77%</f>
        <v/>
      </c>
      <c r="F21" s="55">
        <f>F20-0.77%</f>
        <v/>
      </c>
      <c r="G21" s="56">
        <f>G20-0.77%</f>
        <v/>
      </c>
      <c r="H21" s="28" t="n"/>
    </row>
    <row r="22" ht="15" customHeight="1" s="104" thickBot="1"/>
    <row r="23" ht="15" customHeight="1" s="104" thickBot="1">
      <c r="A23" s="70">
        <f>A1</f>
        <v/>
      </c>
      <c r="B23" s="57">
        <f>B1</f>
        <v/>
      </c>
      <c r="C23" s="58">
        <f>C1</f>
        <v/>
      </c>
      <c r="D23" s="58">
        <f>D1</f>
        <v/>
      </c>
      <c r="E23" s="58">
        <f>E1</f>
        <v/>
      </c>
      <c r="F23" s="59">
        <f>F1</f>
        <v/>
      </c>
    </row>
    <row r="24">
      <c r="A24" s="87" t="inlineStr">
        <is>
          <t>Model Score</t>
        </is>
      </c>
      <c r="B24" s="81" t="n">
        <v>135.2119744003185</v>
      </c>
      <c r="C24" s="82" t="n">
        <v>134.9882639893424</v>
      </c>
      <c r="D24" s="82" t="n">
        <v>135.7970203238971</v>
      </c>
      <c r="E24" s="82" t="n">
        <v>136.3288771704437</v>
      </c>
      <c r="F24" s="83" t="n">
        <v>136.3752175532032</v>
      </c>
    </row>
    <row r="25">
      <c r="A25" s="30" t="inlineStr">
        <is>
          <t>Gross Loss Adjustments</t>
        </is>
      </c>
      <c r="B25" s="68" t="n">
        <v>-0.06083323549546549</v>
      </c>
      <c r="C25" s="80" t="n">
        <v>-0.2567008818713532</v>
      </c>
      <c r="D25" s="80" t="n">
        <v>-0.1062965717709119</v>
      </c>
      <c r="E25" s="80" t="n">
        <v>-0.29955925995597</v>
      </c>
      <c r="F25" s="38" t="n">
        <v>-0.2367438975501273</v>
      </c>
    </row>
    <row r="26">
      <c r="A26" s="29" t="inlineStr">
        <is>
          <t>Recovery Adjustments</t>
        </is>
      </c>
      <c r="B26" s="69" t="n">
        <v>2.264955099868756</v>
      </c>
      <c r="C26" s="79" t="n">
        <v>2.71872755799955</v>
      </c>
      <c r="D26" s="79" t="n">
        <v>2.37759732728181</v>
      </c>
      <c r="E26" s="79" t="n">
        <v>3.671962165638794</v>
      </c>
      <c r="F26" s="37" t="n">
        <v>3.605047605560904</v>
      </c>
    </row>
    <row r="27">
      <c r="A27" s="30" t="inlineStr">
        <is>
          <t>BBLTV Adjustments</t>
        </is>
      </c>
      <c r="B27" s="68" t="n">
        <v>5.67194418395021</v>
      </c>
      <c r="C27" s="80" t="n">
        <v>5.995602992819856</v>
      </c>
      <c r="D27" s="80" t="n">
        <v>6.332697160012913</v>
      </c>
      <c r="E27" s="80" t="n">
        <v>6.385721875852201</v>
      </c>
      <c r="F27" s="38" t="n">
        <v>6.324305876086371</v>
      </c>
    </row>
    <row r="28">
      <c r="A28" s="29" t="inlineStr">
        <is>
          <t>APR Adjustments</t>
        </is>
      </c>
      <c r="B28" s="69" t="n">
        <v>1.655350229744232</v>
      </c>
      <c r="C28" s="79" t="n">
        <v>1.438309843207593</v>
      </c>
      <c r="D28" s="79" t="n">
        <v>1.529568031485973</v>
      </c>
      <c r="E28" s="79" t="n">
        <v>1.631433395120462</v>
      </c>
      <c r="F28" s="37" t="n">
        <v>1.983978425731087</v>
      </c>
    </row>
    <row r="29" ht="15" customHeight="1" s="104" thickBot="1">
      <c r="A29" s="88" t="inlineStr">
        <is>
          <t>RAGU Score</t>
        </is>
      </c>
      <c r="B29" s="84" t="n">
        <v>144.719441245428</v>
      </c>
      <c r="C29" s="85" t="n">
        <v>144.9049921142163</v>
      </c>
      <c r="D29" s="85" t="n">
        <v>145.9773174871105</v>
      </c>
      <c r="E29" s="85" t="n">
        <v>147.7081525307065</v>
      </c>
      <c r="F29" s="86" t="n">
        <v>148.1497203812361</v>
      </c>
    </row>
    <row r="30">
      <c r="B30" s="106" t="n"/>
      <c r="C30" s="106" t="n"/>
      <c r="D30" s="106" t="n"/>
      <c r="E30" s="106" t="n"/>
      <c r="F30" s="106" t="n"/>
    </row>
    <row r="31">
      <c r="H31" s="106" t="n"/>
    </row>
    <row r="32">
      <c r="H32" s="10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="235" zoomScaleNormal="235" workbookViewId="0">
      <selection activeCell="F20" sqref="F20"/>
    </sheetView>
  </sheetViews>
  <sheetFormatPr baseColWidth="8" defaultRowHeight="14.5"/>
  <cols>
    <col width="31.6328125" bestFit="1" customWidth="1" style="104" min="1" max="1"/>
    <col width="10.08984375" customWidth="1" style="104" min="2" max="7"/>
    <col width="16.54296875" bestFit="1" customWidth="1" style="104" min="8" max="8"/>
  </cols>
  <sheetData>
    <row r="1" ht="15" customHeight="1" s="104" thickBot="1">
      <c r="A1" s="1" t="inlineStr">
        <is>
          <t>MCY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  <c r="H1" s="10" t="inlineStr">
        <is>
          <t>Proposed True ups</t>
        </is>
      </c>
    </row>
    <row r="2">
      <c r="A2" s="2" t="inlineStr">
        <is>
          <t>Model Score (W)</t>
        </is>
      </c>
      <c r="B2" s="95">
        <f>tzero_results!C62</f>
        <v/>
      </c>
      <c r="C2" s="95">
        <f>tzero_results!D62</f>
        <v/>
      </c>
      <c r="D2" s="95">
        <f>tzero_results!E62</f>
        <v/>
      </c>
      <c r="E2" s="95">
        <f>tzero_results!F62</f>
        <v/>
      </c>
      <c r="F2" s="95">
        <f>tzero_results!G62</f>
        <v/>
      </c>
      <c r="G2" s="35">
        <f>tminusone!O7</f>
        <v/>
      </c>
      <c r="H2" s="35" t="n"/>
    </row>
    <row r="3">
      <c r="A3" s="2" t="inlineStr">
        <is>
          <t>Discount (Average)</t>
        </is>
      </c>
      <c r="B3" s="46">
        <f>tzero_results!C63</f>
        <v/>
      </c>
      <c r="C3" s="46">
        <f>tzero_results!D63</f>
        <v/>
      </c>
      <c r="D3" s="46">
        <f>tzero_results!E63</f>
        <v/>
      </c>
      <c r="E3" s="46">
        <f>tzero_results!F63</f>
        <v/>
      </c>
      <c r="F3" s="46">
        <f>tzero_results!G63</f>
        <v/>
      </c>
      <c r="G3" s="11" t="n"/>
      <c r="H3" s="11" t="n"/>
    </row>
    <row r="4">
      <c r="A4" s="2" t="inlineStr">
        <is>
          <t>Discount % (Weighted)</t>
        </is>
      </c>
      <c r="B4" s="93">
        <f>tzero_results!C64</f>
        <v/>
      </c>
      <c r="C4" s="93">
        <f>tzero_results!D64</f>
        <v/>
      </c>
      <c r="D4" s="93">
        <f>tzero_results!E64</f>
        <v/>
      </c>
      <c r="E4" s="93">
        <f>tzero_results!F64</f>
        <v/>
      </c>
      <c r="F4" s="93">
        <f>tzero_results!G64</f>
        <v/>
      </c>
      <c r="G4" s="47">
        <f>tminusone!V7</f>
        <v/>
      </c>
      <c r="H4" s="12" t="n"/>
    </row>
    <row r="5">
      <c r="A5" s="2" t="inlineStr">
        <is>
          <t>APR (Average)</t>
        </is>
      </c>
      <c r="B5" s="93">
        <f>tzero_results!C65</f>
        <v/>
      </c>
      <c r="C5" s="93">
        <f>tzero_results!D65</f>
        <v/>
      </c>
      <c r="D5" s="93">
        <f>tzero_results!E65</f>
        <v/>
      </c>
      <c r="E5" s="93">
        <f>tzero_results!F65</f>
        <v/>
      </c>
      <c r="F5" s="93">
        <f>tzero_results!G65</f>
        <v/>
      </c>
      <c r="G5" s="3" t="n"/>
      <c r="H5" s="12" t="n"/>
    </row>
    <row r="6">
      <c r="A6" s="2" t="inlineStr">
        <is>
          <t>APR (Weighted)</t>
        </is>
      </c>
      <c r="B6" s="93">
        <f>tzero_results!C66</f>
        <v/>
      </c>
      <c r="C6" s="93">
        <f>tzero_results!D66</f>
        <v/>
      </c>
      <c r="D6" s="93">
        <f>tzero_results!E66</f>
        <v/>
      </c>
      <c r="E6" s="93">
        <f>tzero_results!F66</f>
        <v/>
      </c>
      <c r="F6" s="93">
        <f>tzero_results!G66</f>
        <v/>
      </c>
      <c r="G6" s="47">
        <f>tminusone!T7</f>
        <v/>
      </c>
      <c r="H6" s="13" t="n"/>
    </row>
    <row r="7">
      <c r="A7" s="2" t="inlineStr">
        <is>
          <t>Applications</t>
        </is>
      </c>
      <c r="B7" s="72">
        <f>tzero_results!C67</f>
        <v/>
      </c>
      <c r="C7" s="72">
        <f>tzero_results!D67</f>
        <v/>
      </c>
      <c r="D7" s="72">
        <f>tzero_results!E67</f>
        <v/>
      </c>
      <c r="E7" s="72">
        <f>tzero_results!F67</f>
        <v/>
      </c>
      <c r="F7" s="72">
        <f>tzero_results!G67</f>
        <v/>
      </c>
      <c r="G7" s="11" t="n"/>
      <c r="H7" s="11" t="n"/>
    </row>
    <row r="8" ht="15" customHeight="1" s="104" thickBot="1">
      <c r="A8" s="14" t="inlineStr">
        <is>
          <t>Contracts</t>
        </is>
      </c>
      <c r="B8" s="74">
        <f>tzero_results!C69</f>
        <v/>
      </c>
      <c r="C8" s="74">
        <f>tzero_results!D69</f>
        <v/>
      </c>
      <c r="D8" s="74">
        <f>tzero_results!E69</f>
        <v/>
      </c>
      <c r="E8" s="74">
        <f>tzero_results!F69</f>
        <v/>
      </c>
      <c r="F8" s="74">
        <f>tzero_results!G69</f>
        <v/>
      </c>
      <c r="G8" s="11" t="n"/>
      <c r="H8" s="3" t="n"/>
    </row>
    <row r="9">
      <c r="A9" s="2" t="inlineStr">
        <is>
          <t>Mileage (Average)</t>
        </is>
      </c>
      <c r="B9" s="71">
        <f>tzero_results!C72</f>
        <v/>
      </c>
      <c r="C9" s="71">
        <f>tzero_results!D72</f>
        <v/>
      </c>
      <c r="D9" s="71">
        <f>tzero_results!E72</f>
        <v/>
      </c>
      <c r="E9" s="71">
        <f>tzero_results!F72</f>
        <v/>
      </c>
      <c r="F9" s="71">
        <f>tzero_results!G72</f>
        <v/>
      </c>
      <c r="G9" s="11" t="n"/>
      <c r="H9" s="11" t="n"/>
    </row>
    <row r="10" ht="15" customHeight="1" s="104" thickBot="1">
      <c r="A10" s="2" t="inlineStr">
        <is>
          <t>Vehicle Age (Average)</t>
        </is>
      </c>
      <c r="B10" s="44">
        <f>tzero_results!C73</f>
        <v/>
      </c>
      <c r="C10" s="44">
        <f>tzero_results!D73</f>
        <v/>
      </c>
      <c r="D10" s="44">
        <f>tzero_results!E73</f>
        <v/>
      </c>
      <c r="E10" s="44">
        <f>tzero_results!F73</f>
        <v/>
      </c>
      <c r="F10" s="44">
        <f>tzero_results!G73</f>
        <v/>
      </c>
      <c r="G10" s="17" t="n"/>
      <c r="H10" s="17" t="n"/>
    </row>
    <row r="11" ht="15" customHeight="1" s="104" thickBot="1">
      <c r="A11" s="4" t="inlineStr">
        <is>
          <t>Model Score (W)</t>
        </is>
      </c>
      <c r="B11" s="36">
        <f>B2</f>
        <v/>
      </c>
      <c r="C11" s="36">
        <f>C2</f>
        <v/>
      </c>
      <c r="D11" s="36">
        <f>D2</f>
        <v/>
      </c>
      <c r="E11" s="36">
        <f>E2</f>
        <v/>
      </c>
      <c r="F11" s="36">
        <f>F2</f>
        <v/>
      </c>
      <c r="G11" s="39">
        <f>G2</f>
        <v/>
      </c>
      <c r="H11" s="94" t="n"/>
    </row>
    <row r="12">
      <c r="A12" s="2" t="inlineStr">
        <is>
          <t>CNL</t>
        </is>
      </c>
      <c r="B12" s="49">
        <f>$G$12-(B11-$G$11)*0.01</f>
        <v/>
      </c>
      <c r="C12" s="49">
        <f>$G$12-(C11-$G$11)*0.01</f>
        <v/>
      </c>
      <c r="D12" s="49">
        <f>$G$12-(D11-$G$11)*0.01</f>
        <v/>
      </c>
      <c r="E12" s="49">
        <f>$G$12-(E11-$G$11)*0.01</f>
        <v/>
      </c>
      <c r="F12" s="49">
        <f>$G$12-(F11-$G$11)*0.01</f>
        <v/>
      </c>
      <c r="G12" s="50">
        <f>tminusone!Z7</f>
        <v/>
      </c>
      <c r="H12" s="21" t="n"/>
    </row>
    <row r="13" ht="15" customHeight="1" s="104" thickBot="1">
      <c r="A13" s="4" t="inlineStr">
        <is>
          <t>WAL</t>
        </is>
      </c>
      <c r="B13" s="5">
        <f>$G$13</f>
        <v/>
      </c>
      <c r="C13" s="5">
        <f>$G$13</f>
        <v/>
      </c>
      <c r="D13" s="5">
        <f>$G$13</f>
        <v/>
      </c>
      <c r="E13" s="5">
        <f>$G$13</f>
        <v/>
      </c>
      <c r="F13" s="5">
        <f>$G$13</f>
        <v/>
      </c>
      <c r="G13" s="22">
        <f>tminusone!Q7</f>
        <v/>
      </c>
      <c r="H13" s="23" t="n"/>
    </row>
    <row r="14">
      <c r="A14" s="7" t="inlineStr">
        <is>
          <t>+ Origination Yield</t>
        </is>
      </c>
      <c r="B14" s="51">
        <f>B6*tminusone!$U$7+B4/B13+tminusone!$W$8+tminusone!$X$8+tminusone!$Y$7</f>
        <v/>
      </c>
      <c r="C14" s="51">
        <f>C6*tminusone!$U$7+C4/C13+tminusone!$W$8+tminusone!$X$8+tminusone!$Y$7</f>
        <v/>
      </c>
      <c r="D14" s="51">
        <f>D6*tminusone!$U$7+D4/D13+tminusone!$W$8+tminusone!$X$8+tminusone!$Y$7</f>
        <v/>
      </c>
      <c r="E14" s="51">
        <f>E6*tminusone!$U$7+E4/E13+tminusone!$W$8+tminusone!$X$8+tminusone!$Y$7</f>
        <v/>
      </c>
      <c r="F14" s="51">
        <f>F6*tminusone!$U$7+F4/F13+tminusone!$W$8+tminusone!$X$8+tminusone!$Y$7</f>
        <v/>
      </c>
      <c r="G14" s="52">
        <f>G6*tminusone!$U$7+G4/G13+tminusone!$W$7+tminusone!$X$7+tminusone!$Y$7</f>
        <v/>
      </c>
      <c r="H14" s="78" t="n"/>
    </row>
    <row r="15">
      <c r="A15" s="6" t="inlineStr">
        <is>
          <t>- CNL Effect</t>
        </is>
      </c>
      <c r="B15" s="53">
        <f>B12/B13</f>
        <v/>
      </c>
      <c r="C15" s="53">
        <f>C12/C13</f>
        <v/>
      </c>
      <c r="D15" s="53">
        <f>D12/D13</f>
        <v/>
      </c>
      <c r="E15" s="53">
        <f>E12/E13</f>
        <v/>
      </c>
      <c r="F15" s="53">
        <f>F12/F13</f>
        <v/>
      </c>
      <c r="G15" s="54">
        <f>G12/G13</f>
        <v/>
      </c>
      <c r="H15" s="21" t="n"/>
    </row>
    <row r="16">
      <c r="A16" s="6" t="inlineStr">
        <is>
          <t>- Variable Cost</t>
        </is>
      </c>
      <c r="B16" s="53">
        <f>$G$16</f>
        <v/>
      </c>
      <c r="C16" s="53">
        <f>$G$16</f>
        <v/>
      </c>
      <c r="D16" s="53">
        <f>$G$16</f>
        <v/>
      </c>
      <c r="E16" s="53">
        <f>$G$16</f>
        <v/>
      </c>
      <c r="F16" s="53">
        <f>$G$16</f>
        <v/>
      </c>
      <c r="G16" s="47">
        <f>tminusone!L7</f>
        <v/>
      </c>
      <c r="H16" s="21" t="n"/>
    </row>
    <row r="17">
      <c r="A17" s="6" t="inlineStr">
        <is>
          <t>- Cost of Debt Effect (5.5% int rate)</t>
        </is>
      </c>
      <c r="B17" s="53">
        <f>$G$17</f>
        <v/>
      </c>
      <c r="C17" s="53">
        <f>$G$17</f>
        <v/>
      </c>
      <c r="D17" s="53">
        <f>$G$17</f>
        <v/>
      </c>
      <c r="E17" s="53">
        <f>$G$17</f>
        <v/>
      </c>
      <c r="F17" s="53">
        <f>$G$17</f>
        <v/>
      </c>
      <c r="G17" s="47">
        <f>tminusone!M7</f>
        <v/>
      </c>
      <c r="H17" s="24" t="n"/>
    </row>
    <row r="18" ht="15" customHeight="1" s="104" thickBot="1">
      <c r="A18" s="34" t="inlineStr">
        <is>
          <t>= mROA</t>
        </is>
      </c>
      <c r="B18" s="55">
        <f>B14-B15-B16-B17</f>
        <v/>
      </c>
      <c r="C18" s="55">
        <f>C14-C15-C16-C17</f>
        <v/>
      </c>
      <c r="D18" s="55">
        <f>D14-D15-D16-D17</f>
        <v/>
      </c>
      <c r="E18" s="55">
        <f>E14-E15-E16-E17</f>
        <v/>
      </c>
      <c r="F18" s="55">
        <f>F14-F15-F16-F17</f>
        <v/>
      </c>
      <c r="G18" s="56">
        <f>G14-G15-G16-G17</f>
        <v/>
      </c>
      <c r="H18" s="28" t="n"/>
    </row>
    <row r="19" ht="15" customHeight="1" s="104" thickBot="1">
      <c r="A19" s="25" t="inlineStr">
        <is>
          <t>vROA</t>
        </is>
      </c>
      <c r="B19" s="55">
        <f>B18-0.77%</f>
        <v/>
      </c>
      <c r="C19" s="55">
        <f>C18-0.77%</f>
        <v/>
      </c>
      <c r="D19" s="55">
        <f>D18-0.77%</f>
        <v/>
      </c>
      <c r="E19" s="55">
        <f>E18-0.77%</f>
        <v/>
      </c>
      <c r="F19" s="55">
        <f>F18-0.77%</f>
        <v/>
      </c>
      <c r="G19" s="56">
        <f>G18-0.77%</f>
        <v/>
      </c>
      <c r="H19" s="28" t="n"/>
    </row>
    <row r="21">
      <c r="G21" s="77" t="n"/>
    </row>
    <row r="22">
      <c r="B22" s="106" t="n"/>
      <c r="C22" s="106" t="n"/>
      <c r="D22" s="106" t="n"/>
      <c r="E22" s="106" t="n"/>
      <c r="F22" s="106" t="n"/>
    </row>
    <row r="24">
      <c r="B24" s="102" t="n"/>
      <c r="C24" s="106" t="n"/>
      <c r="D24" s="106" t="n"/>
      <c r="E24" s="106" t="n"/>
      <c r="F24" s="106" t="n"/>
    </row>
  </sheetData>
  <conditionalFormatting sqref="B1:H2">
    <cfRule type="cellIs" priority="1" operator="equal" dxfId="0">
      <formula>"t-1"</formula>
    </cfRule>
  </conditionalFormatting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</t>
        </is>
      </c>
      <c r="B1" t="inlineStr">
        <is>
          <t>measure</t>
        </is>
      </c>
      <c r="C1" t="inlineStr">
        <is>
          <t>12-Apr-26</t>
        </is>
      </c>
      <c r="D1" t="inlineStr">
        <is>
          <t>19-Apr-26</t>
        </is>
      </c>
      <c r="E1" t="inlineStr">
        <is>
          <t>26-Apr-26</t>
        </is>
      </c>
      <c r="F1" t="inlineStr">
        <is>
          <t>03-May-26</t>
        </is>
      </c>
      <c r="G1" t="inlineStr">
        <is>
          <t>10-May-26</t>
        </is>
      </c>
    </row>
    <row r="2">
      <c r="A2" t="inlineStr">
        <is>
          <t>AN</t>
        </is>
      </c>
      <c r="B2" t="inlineStr">
        <is>
          <t>model score weighted</t>
        </is>
      </c>
      <c r="C2" t="n">
        <v>140.7400867641564</v>
      </c>
      <c r="D2" t="n">
        <v>140.7573326268717</v>
      </c>
      <c r="E2" t="n">
        <v>140.9313613716062</v>
      </c>
      <c r="F2" t="n">
        <v>140.9996016368898</v>
      </c>
      <c r="G2" t="n">
        <v>141.4527366716344</v>
      </c>
    </row>
    <row r="3">
      <c r="B3" t="inlineStr">
        <is>
          <t>discount avg</t>
        </is>
      </c>
      <c r="C3" t="n">
        <v>967.3010930693068</v>
      </c>
      <c r="D3" t="n">
        <v>1015.266822566372</v>
      </c>
      <c r="E3" t="n">
        <v>982.3291634146341</v>
      </c>
      <c r="F3" t="n">
        <v>916.0551059139784</v>
      </c>
      <c r="G3" t="n">
        <v>914.9075256983241</v>
      </c>
    </row>
    <row r="4">
      <c r="B4" t="inlineStr">
        <is>
          <t>discount pct</t>
        </is>
      </c>
      <c r="C4" t="n">
        <v>0.03935558147614275</v>
      </c>
      <c r="D4" t="n">
        <v>0.04194123160318478</v>
      </c>
      <c r="E4" t="n">
        <v>0.0376370990035129</v>
      </c>
      <c r="F4" t="n">
        <v>0.0360180188634273</v>
      </c>
      <c r="G4" t="n">
        <v>0.03616583944741377</v>
      </c>
    </row>
    <row r="5">
      <c r="B5" t="inlineStr">
        <is>
          <t>apr avg</t>
        </is>
      </c>
      <c r="C5" t="n">
        <v>0.2404930693069307</v>
      </c>
      <c r="D5" t="n">
        <v>0.2426694690265487</v>
      </c>
      <c r="E5" t="n">
        <v>0.2353278048780488</v>
      </c>
      <c r="F5" t="n">
        <v>0.234397311827957</v>
      </c>
      <c r="G5" t="n">
        <v>0.2402011173184358</v>
      </c>
    </row>
    <row r="6">
      <c r="B6" t="inlineStr">
        <is>
          <t>apr wtd</t>
        </is>
      </c>
      <c r="C6" t="n">
        <v>0.2337464745056708</v>
      </c>
      <c r="D6" t="n">
        <v>0.2354059617873348</v>
      </c>
      <c r="E6" t="n">
        <v>0.2273428486858713</v>
      </c>
      <c r="F6" t="n">
        <v>0.2237144363477385</v>
      </c>
      <c r="G6" t="n">
        <v>0.2315483689698792</v>
      </c>
    </row>
    <row r="7">
      <c r="B7" t="inlineStr">
        <is>
          <t>applications</t>
        </is>
      </c>
      <c r="C7" t="n">
        <v>3523</v>
      </c>
      <c r="D7" t="n">
        <v>3698</v>
      </c>
      <c r="E7" t="n">
        <v>3710</v>
      </c>
      <c r="F7" t="n">
        <v>3267</v>
      </c>
      <c r="G7" t="n">
        <v>3546</v>
      </c>
    </row>
    <row r="8">
      <c r="B8" t="inlineStr">
        <is>
          <t>booked not funded</t>
        </is>
      </c>
      <c r="C8" t="n">
        <v>0</v>
      </c>
      <c r="D8" t="n">
        <v>0</v>
      </c>
      <c r="E8" t="n">
        <v>1</v>
      </c>
      <c r="F8" t="n">
        <v>5</v>
      </c>
      <c r="G8" t="n">
        <v>16</v>
      </c>
    </row>
    <row r="9">
      <c r="B9" t="inlineStr">
        <is>
          <t>contracts num</t>
        </is>
      </c>
      <c r="C9" t="n">
        <v>202</v>
      </c>
      <c r="D9" t="n">
        <v>226</v>
      </c>
      <c r="E9" t="n">
        <v>205</v>
      </c>
      <c r="F9" t="n">
        <v>186</v>
      </c>
      <c r="G9" t="n">
        <v>179</v>
      </c>
    </row>
    <row r="10">
      <c r="B10" t="inlineStr">
        <is>
          <t>Blackbook Value avg</t>
        </is>
      </c>
      <c r="C10" t="n">
        <v>17603.40594059406</v>
      </c>
      <c r="D10" t="n">
        <v>16527.98672566372</v>
      </c>
      <c r="E10" t="n">
        <v>17979.14634146342</v>
      </c>
      <c r="F10" t="n">
        <v>17448.05376344086</v>
      </c>
      <c r="G10" t="n">
        <v>17683.37988826815</v>
      </c>
    </row>
    <row r="11">
      <c r="B11" t="inlineStr">
        <is>
          <t>bbltv 2weighted</t>
        </is>
      </c>
      <c r="C11" t="n">
        <v>1.515012803618299</v>
      </c>
      <c r="D11" t="n">
        <v>1.607945555284636</v>
      </c>
      <c r="E11" t="n">
        <v>1.509155936264359</v>
      </c>
      <c r="F11" t="n">
        <v>1.564300444292041</v>
      </c>
      <c r="G11" t="n">
        <v>1.534443451704887</v>
      </c>
    </row>
    <row r="12">
      <c r="B12" t="inlineStr">
        <is>
          <t>mileage avg</t>
        </is>
      </c>
      <c r="C12" t="n">
        <v>69088.08415841585</v>
      </c>
      <c r="D12" t="n">
        <v>79064.6017699115</v>
      </c>
      <c r="E12" t="n">
        <v>71317.93658536585</v>
      </c>
      <c r="F12" t="n">
        <v>74563.77956989247</v>
      </c>
      <c r="G12" t="n">
        <v>65299.40223463687</v>
      </c>
    </row>
    <row r="13">
      <c r="B13" t="inlineStr">
        <is>
          <t>vehicle age avg</t>
        </is>
      </c>
      <c r="C13" t="n">
        <v>6.408415841584104</v>
      </c>
      <c r="D13" t="n">
        <v>7.007743362831836</v>
      </c>
      <c r="E13" t="n">
        <v>6.108536585365911</v>
      </c>
      <c r="F13" t="n">
        <v>6.65591397849469</v>
      </c>
      <c r="G13" t="n">
        <v>6.454376163873437</v>
      </c>
    </row>
    <row r="14">
      <c r="A14" t="inlineStr">
        <is>
          <t>ENT</t>
        </is>
      </c>
      <c r="B14" t="inlineStr">
        <is>
          <t>model score weighted</t>
        </is>
      </c>
      <c r="C14" t="n">
        <v>140.6427521089935</v>
      </c>
      <c r="D14" t="n">
        <v>141.191624304423</v>
      </c>
      <c r="E14" t="n">
        <v>140.4956676634521</v>
      </c>
      <c r="F14" t="n">
        <v>141.271703557201</v>
      </c>
      <c r="G14" t="n">
        <v>143.8906346271509</v>
      </c>
    </row>
    <row r="15">
      <c r="B15" t="inlineStr">
        <is>
          <t>discount avg</t>
        </is>
      </c>
      <c r="C15" t="n">
        <v>892.3551923076923</v>
      </c>
      <c r="D15" t="n">
        <v>879.2090673575129</v>
      </c>
      <c r="E15" t="n">
        <v>899.0427450980391</v>
      </c>
      <c r="F15" t="n">
        <v>900.5021081081081</v>
      </c>
      <c r="G15" t="n">
        <v>868.9165648854961</v>
      </c>
    </row>
    <row r="16">
      <c r="B16" t="inlineStr">
        <is>
          <t>discount pct</t>
        </is>
      </c>
      <c r="C16" t="n">
        <v>0.03777922772271931</v>
      </c>
      <c r="D16" t="n">
        <v>0.03709597187790663</v>
      </c>
      <c r="E16" t="n">
        <v>0.03859090790551351</v>
      </c>
      <c r="F16" t="n">
        <v>0.03799379797072805</v>
      </c>
      <c r="G16" t="n">
        <v>0.03633685326351432</v>
      </c>
    </row>
    <row r="17">
      <c r="B17" t="inlineStr">
        <is>
          <t>apr avg</t>
        </is>
      </c>
      <c r="C17" t="n">
        <v>0.2355600961538462</v>
      </c>
      <c r="D17" t="n">
        <v>0.2342518134715026</v>
      </c>
      <c r="E17" t="n">
        <v>0.2381916666666667</v>
      </c>
      <c r="F17" t="n">
        <v>0.2362486486486487</v>
      </c>
      <c r="G17" t="n">
        <v>0.2354381679389313</v>
      </c>
    </row>
    <row r="18">
      <c r="B18" t="inlineStr">
        <is>
          <t>apr wtd</t>
        </is>
      </c>
      <c r="C18" t="n">
        <v>0.2358841617197137</v>
      </c>
      <c r="D18" t="n">
        <v>0.2350918780912668</v>
      </c>
      <c r="E18" t="n">
        <v>0.2379627975919455</v>
      </c>
      <c r="F18" t="n">
        <v>0.2361405146677076</v>
      </c>
      <c r="G18" t="n">
        <v>0.2362294067618747</v>
      </c>
    </row>
    <row r="19">
      <c r="B19" t="inlineStr">
        <is>
          <t>applications</t>
        </is>
      </c>
      <c r="C19" t="n">
        <v>8898</v>
      </c>
      <c r="D19" t="n">
        <v>8827</v>
      </c>
      <c r="E19" t="n">
        <v>8390</v>
      </c>
      <c r="F19" t="n">
        <v>7769</v>
      </c>
      <c r="G19" t="n">
        <v>7829</v>
      </c>
    </row>
    <row r="20">
      <c r="B20" t="inlineStr">
        <is>
          <t>booked not funded</t>
        </is>
      </c>
      <c r="C20" t="n">
        <v>0</v>
      </c>
      <c r="D20" t="n">
        <v>0</v>
      </c>
      <c r="E20" t="n">
        <v>2</v>
      </c>
      <c r="F20" t="n">
        <v>12</v>
      </c>
      <c r="G20" t="n">
        <v>13</v>
      </c>
    </row>
    <row r="21">
      <c r="B21" t="inlineStr">
        <is>
          <t>contracts num</t>
        </is>
      </c>
      <c r="C21" t="n">
        <v>208</v>
      </c>
      <c r="D21" t="n">
        <v>193</v>
      </c>
      <c r="E21" t="n">
        <v>204</v>
      </c>
      <c r="F21" t="n">
        <v>185</v>
      </c>
      <c r="G21" t="n">
        <v>131</v>
      </c>
    </row>
    <row r="22">
      <c r="B22" t="inlineStr">
        <is>
          <t>Blackbook Value avg</t>
        </is>
      </c>
      <c r="C22" t="n">
        <v>18616.34615384615</v>
      </c>
      <c r="D22" t="n">
        <v>18497.0207253886</v>
      </c>
      <c r="E22" t="n">
        <v>18703.43137254902</v>
      </c>
      <c r="F22" t="n">
        <v>18603.24324324324</v>
      </c>
      <c r="G22" t="n">
        <v>18704.3893129771</v>
      </c>
    </row>
    <row r="23">
      <c r="B23" t="inlineStr">
        <is>
          <t>bbltv 2weighted</t>
        </is>
      </c>
      <c r="C23" t="n">
        <v>1.289858207535362</v>
      </c>
      <c r="D23" t="n">
        <v>1.314752173499819</v>
      </c>
      <c r="E23" t="n">
        <v>1.267761836264725</v>
      </c>
      <c r="F23" t="n">
        <v>1.301351845543058</v>
      </c>
      <c r="G23" t="n">
        <v>1.297638331990461</v>
      </c>
    </row>
    <row r="24">
      <c r="B24" t="inlineStr">
        <is>
          <t>mileage avg</t>
        </is>
      </c>
      <c r="C24" t="n">
        <v>50012.65865384616</v>
      </c>
      <c r="D24" t="n">
        <v>51757.65803108808</v>
      </c>
      <c r="E24" t="n">
        <v>51193.85294117647</v>
      </c>
      <c r="F24" t="n">
        <v>53261.06486486486</v>
      </c>
      <c r="G24" t="n">
        <v>52755.32061068702</v>
      </c>
    </row>
    <row r="25">
      <c r="B25" t="inlineStr">
        <is>
          <t>vehicle age avg</t>
        </is>
      </c>
      <c r="C25" t="n">
        <v>2.992387820512765</v>
      </c>
      <c r="D25" t="n">
        <v>3.005181347150236</v>
      </c>
      <c r="E25" t="n">
        <v>3.085784313725559</v>
      </c>
      <c r="F25" t="n">
        <v>3.142342342342415</v>
      </c>
      <c r="G25" t="n">
        <v>2.926208651399564</v>
      </c>
    </row>
    <row r="26">
      <c r="A26" t="inlineStr">
        <is>
          <t>FLD</t>
        </is>
      </c>
      <c r="B26" t="inlineStr">
        <is>
          <t>model score weighted</t>
        </is>
      </c>
      <c r="C26" t="n">
        <v>141.4322439680404</v>
      </c>
      <c r="D26" t="n">
        <v>141.1817387461376</v>
      </c>
      <c r="E26" t="n">
        <v>141.9601004868523</v>
      </c>
      <c r="F26" t="n">
        <v>141.43048012756</v>
      </c>
      <c r="G26" t="n">
        <v>141.6682748102768</v>
      </c>
    </row>
    <row r="27">
      <c r="B27" t="inlineStr">
        <is>
          <t>discount avg</t>
        </is>
      </c>
      <c r="C27" t="n">
        <v>492.9132642487046</v>
      </c>
      <c r="D27" t="n">
        <v>478.9240437158469</v>
      </c>
      <c r="E27" t="n">
        <v>441.6390206185567</v>
      </c>
      <c r="F27" t="n">
        <v>448.119696969697</v>
      </c>
      <c r="G27" t="n">
        <v>452.6728461538461</v>
      </c>
    </row>
    <row r="28">
      <c r="B28" t="inlineStr">
        <is>
          <t>discount pct</t>
        </is>
      </c>
      <c r="C28" t="n">
        <v>0.02334409831498704</v>
      </c>
      <c r="D28" t="n">
        <v>0.0219348107817955</v>
      </c>
      <c r="E28" t="n">
        <v>0.02041329077763424</v>
      </c>
      <c r="F28" t="n">
        <v>0.01919726318902666</v>
      </c>
      <c r="G28" t="n">
        <v>0.02076975711468882</v>
      </c>
    </row>
    <row r="29">
      <c r="B29" t="inlineStr">
        <is>
          <t>apr avg</t>
        </is>
      </c>
      <c r="C29" t="n">
        <v>0.2403507772020725</v>
      </c>
      <c r="D29" t="n">
        <v>0.2411704918032787</v>
      </c>
      <c r="E29" t="n">
        <v>0.2407252577319587</v>
      </c>
      <c r="F29" t="n">
        <v>0.2428171717171717</v>
      </c>
      <c r="G29" t="n">
        <v>0.2415869230769231</v>
      </c>
    </row>
    <row r="30">
      <c r="B30" t="inlineStr">
        <is>
          <t>apr wtd</t>
        </is>
      </c>
      <c r="C30" t="n">
        <v>0.238783153447645</v>
      </c>
      <c r="D30" t="n">
        <v>0.2403418676365734</v>
      </c>
      <c r="E30" t="n">
        <v>0.2399457031056194</v>
      </c>
      <c r="F30" t="n">
        <v>0.2420695220280501</v>
      </c>
      <c r="G30" t="n">
        <v>0.2395070204804256</v>
      </c>
    </row>
    <row r="31">
      <c r="B31" t="inlineStr">
        <is>
          <t>applications</t>
        </is>
      </c>
      <c r="C31" t="n">
        <v>4092</v>
      </c>
      <c r="D31" t="n">
        <v>4160</v>
      </c>
      <c r="E31" t="n">
        <v>3992</v>
      </c>
      <c r="F31" t="n">
        <v>3945</v>
      </c>
      <c r="G31" t="n">
        <v>3704</v>
      </c>
    </row>
    <row r="32">
      <c r="B32" t="inlineStr">
        <is>
          <t>booked not funded</t>
        </is>
      </c>
      <c r="C32" t="n">
        <v>0</v>
      </c>
      <c r="D32" t="n">
        <v>0</v>
      </c>
      <c r="E32" t="n">
        <v>2</v>
      </c>
      <c r="F32" t="n">
        <v>6</v>
      </c>
      <c r="G32" t="n">
        <v>12</v>
      </c>
    </row>
    <row r="33">
      <c r="B33" t="inlineStr">
        <is>
          <t>contracts num</t>
        </is>
      </c>
      <c r="C33" t="n">
        <v>193</v>
      </c>
      <c r="D33" t="n">
        <v>183</v>
      </c>
      <c r="E33" t="n">
        <v>194</v>
      </c>
      <c r="F33" t="n">
        <v>198</v>
      </c>
      <c r="G33" t="n">
        <v>130</v>
      </c>
    </row>
    <row r="34">
      <c r="B34" t="inlineStr">
        <is>
          <t>Blackbook Value avg</t>
        </is>
      </c>
      <c r="C34" t="n">
        <v>15219.43005181347</v>
      </c>
      <c r="D34" t="n">
        <v>15412.84153005464</v>
      </c>
      <c r="E34" t="n">
        <v>15582.28350515464</v>
      </c>
      <c r="F34" t="n">
        <v>17245.9595959596</v>
      </c>
      <c r="G34" t="n">
        <v>15664.80769230769</v>
      </c>
    </row>
    <row r="35">
      <c r="B35" t="inlineStr">
        <is>
          <t>bbltv 2weighted</t>
        </is>
      </c>
      <c r="C35" t="n">
        <v>1.486669389752338</v>
      </c>
      <c r="D35" t="n">
        <v>1.503361709409747</v>
      </c>
      <c r="E35" t="n">
        <v>1.488585467556325</v>
      </c>
      <c r="F35" t="n">
        <v>1.463028488864792</v>
      </c>
      <c r="G35" t="n">
        <v>1.495663881086441</v>
      </c>
    </row>
    <row r="36">
      <c r="B36" t="inlineStr">
        <is>
          <t>mileage avg</t>
        </is>
      </c>
      <c r="C36" t="n">
        <v>72265.58549222798</v>
      </c>
      <c r="D36" t="n">
        <v>66255.56284153006</v>
      </c>
      <c r="E36" t="n">
        <v>67363.08762886598</v>
      </c>
      <c r="F36" t="n">
        <v>62986.10606060606</v>
      </c>
      <c r="G36" t="n">
        <v>63530.8076923077</v>
      </c>
    </row>
    <row r="37">
      <c r="B37" t="inlineStr">
        <is>
          <t>vehicle age avg</t>
        </is>
      </c>
      <c r="C37" t="n">
        <v>6.047495682210653</v>
      </c>
      <c r="D37" t="n">
        <v>5.506830601092864</v>
      </c>
      <c r="E37" t="n">
        <v>5.671391752577371</v>
      </c>
      <c r="F37" t="n">
        <v>5.414141414141483</v>
      </c>
      <c r="G37" t="n">
        <v>5.889743589743657</v>
      </c>
    </row>
    <row r="38">
      <c r="A38" t="inlineStr">
        <is>
          <t>FRN</t>
        </is>
      </c>
      <c r="B38" t="inlineStr">
        <is>
          <t>model score weighted</t>
        </is>
      </c>
      <c r="C38" t="n">
        <v>142.9616038242772</v>
      </c>
      <c r="D38" t="n">
        <v>142.885391678094</v>
      </c>
      <c r="E38" t="n">
        <v>143.0065820482891</v>
      </c>
      <c r="F38" t="n">
        <v>142.927933510401</v>
      </c>
      <c r="G38" t="n">
        <v>143.0292153616719</v>
      </c>
    </row>
    <row r="39">
      <c r="B39" t="inlineStr">
        <is>
          <t>discount avg</t>
        </is>
      </c>
      <c r="C39" t="n">
        <v>1369.966878547855</v>
      </c>
      <c r="D39" t="n">
        <v>1360.130408580858</v>
      </c>
      <c r="E39" t="n">
        <v>1455.30912472441</v>
      </c>
      <c r="F39" t="n">
        <v>1403.725245200698</v>
      </c>
      <c r="G39" t="n">
        <v>1438.107920930232</v>
      </c>
    </row>
    <row r="40">
      <c r="B40" t="inlineStr">
        <is>
          <t>discount pct</t>
        </is>
      </c>
      <c r="C40" t="n">
        <v>0.05754490910937472</v>
      </c>
      <c r="D40" t="n">
        <v>0.05789920570912131</v>
      </c>
      <c r="E40" t="n">
        <v>0.06148658644868712</v>
      </c>
      <c r="F40" t="n">
        <v>0.05790504161684639</v>
      </c>
      <c r="G40" t="n">
        <v>0.0608538466936036</v>
      </c>
    </row>
    <row r="41">
      <c r="B41" t="inlineStr">
        <is>
          <t>apr avg</t>
        </is>
      </c>
      <c r="C41" t="n">
        <v>0.2566567656765676</v>
      </c>
      <c r="D41" t="n">
        <v>0.2582646864686469</v>
      </c>
      <c r="E41" t="n">
        <v>0.2560437795275591</v>
      </c>
      <c r="F41" t="n">
        <v>0.2564910994764398</v>
      </c>
      <c r="G41" t="n">
        <v>0.2555970186046512</v>
      </c>
    </row>
    <row r="42">
      <c r="B42" t="inlineStr">
        <is>
          <t>apr wtd</t>
        </is>
      </c>
      <c r="C42" t="n">
        <v>0.254269007050738</v>
      </c>
      <c r="D42" t="n">
        <v>0.2551183934021583</v>
      </c>
      <c r="E42" t="n">
        <v>0.2530724740850539</v>
      </c>
      <c r="F42" t="n">
        <v>0.2542604306854396</v>
      </c>
      <c r="G42" t="n">
        <v>0.2527836365130146</v>
      </c>
    </row>
    <row r="43">
      <c r="B43" t="inlineStr">
        <is>
          <t>applications</t>
        </is>
      </c>
      <c r="C43" t="n">
        <v>24146</v>
      </c>
      <c r="D43" t="n">
        <v>24511</v>
      </c>
      <c r="E43" t="n">
        <v>24533</v>
      </c>
      <c r="F43" t="n">
        <v>23207</v>
      </c>
      <c r="G43" t="n">
        <v>22762</v>
      </c>
    </row>
    <row r="44">
      <c r="B44" t="inlineStr">
        <is>
          <t>booked not funded</t>
        </is>
      </c>
      <c r="C44" t="n">
        <v>0</v>
      </c>
      <c r="D44" t="n">
        <v>5</v>
      </c>
      <c r="E44" t="n">
        <v>6</v>
      </c>
      <c r="F44" t="n">
        <v>15</v>
      </c>
      <c r="G44" t="n">
        <v>47</v>
      </c>
    </row>
    <row r="45">
      <c r="B45" t="inlineStr">
        <is>
          <t>contracts num</t>
        </is>
      </c>
      <c r="C45" t="n">
        <v>606</v>
      </c>
      <c r="D45" t="n">
        <v>606</v>
      </c>
      <c r="E45" t="n">
        <v>635</v>
      </c>
      <c r="F45" t="n">
        <v>573</v>
      </c>
      <c r="G45" t="n">
        <v>430</v>
      </c>
    </row>
    <row r="46">
      <c r="B46" t="inlineStr">
        <is>
          <t>Blackbook Value avg</t>
        </is>
      </c>
      <c r="C46" t="n">
        <v>17049.93894389439</v>
      </c>
      <c r="D46" t="n">
        <v>17015.80198019802</v>
      </c>
      <c r="E46" t="n">
        <v>17069.64724409449</v>
      </c>
      <c r="F46" t="n">
        <v>17543.12914485166</v>
      </c>
      <c r="G46" t="n">
        <v>17065.26511627907</v>
      </c>
    </row>
    <row r="47">
      <c r="B47" t="inlineStr">
        <is>
          <t>bbltv 2weighted</t>
        </is>
      </c>
      <c r="C47" t="n">
        <v>1.503229642992021</v>
      </c>
      <c r="D47" t="n">
        <v>1.488597178201667</v>
      </c>
      <c r="E47" t="n">
        <v>1.486270366432774</v>
      </c>
      <c r="F47" t="n">
        <v>1.49773802168522</v>
      </c>
      <c r="G47" t="n">
        <v>1.495041032913248</v>
      </c>
    </row>
    <row r="48">
      <c r="B48" t="inlineStr">
        <is>
          <t>mileage avg</t>
        </is>
      </c>
      <c r="C48" t="n">
        <v>72988.62541254125</v>
      </c>
      <c r="D48" t="n">
        <v>76327.83003300329</v>
      </c>
      <c r="E48" t="n">
        <v>74160.34645669292</v>
      </c>
      <c r="F48" t="n">
        <v>72585.2722513089</v>
      </c>
      <c r="G48" t="n">
        <v>72161.67209302326</v>
      </c>
    </row>
    <row r="49">
      <c r="B49" t="inlineStr">
        <is>
          <t>vehicle age avg</t>
        </is>
      </c>
      <c r="C49" t="n">
        <v>6.230610561056053</v>
      </c>
      <c r="D49" t="n">
        <v>6.514851485148494</v>
      </c>
      <c r="E49" t="n">
        <v>6.258792650918687</v>
      </c>
      <c r="F49" t="n">
        <v>6.474694589877901</v>
      </c>
      <c r="G49" t="n">
        <v>6.010852713178362</v>
      </c>
    </row>
    <row r="50">
      <c r="A50" t="inlineStr">
        <is>
          <t>KMX</t>
        </is>
      </c>
      <c r="B50" t="inlineStr">
        <is>
          <t>model score weighted</t>
        </is>
      </c>
      <c r="C50" t="n">
        <v>142.6146755817519</v>
      </c>
      <c r="D50" t="n">
        <v>142.6768447573494</v>
      </c>
      <c r="E50" t="n">
        <v>142.7282147443693</v>
      </c>
      <c r="F50" t="n">
        <v>142.7553089674632</v>
      </c>
      <c r="G50" t="n">
        <v>143.0001246912986</v>
      </c>
    </row>
    <row r="51">
      <c r="B51" t="inlineStr">
        <is>
          <t>discount avg</t>
        </is>
      </c>
      <c r="C51" t="n">
        <v>749.8069180087848</v>
      </c>
      <c r="D51" t="n">
        <v>750</v>
      </c>
      <c r="E51" t="n">
        <v>749.433308411215</v>
      </c>
      <c r="F51" t="n">
        <v>749.7509178674352</v>
      </c>
      <c r="G51" t="n">
        <v>749.4001283509342</v>
      </c>
    </row>
    <row r="52">
      <c r="B52" t="inlineStr">
        <is>
          <t>discount pct</t>
        </is>
      </c>
      <c r="C52" t="n">
        <v>0.02825740794654031</v>
      </c>
      <c r="D52" t="n">
        <v>0.02853147400099866</v>
      </c>
      <c r="E52" t="n">
        <v>0.02763596971803472</v>
      </c>
      <c r="F52" t="n">
        <v>0.02782269242471693</v>
      </c>
      <c r="G52" t="n">
        <v>0.02808754356439124</v>
      </c>
    </row>
    <row r="53">
      <c r="B53" t="inlineStr">
        <is>
          <t>apr avg</t>
        </is>
      </c>
      <c r="C53" t="n">
        <v>0.2471442166910688</v>
      </c>
      <c r="D53" t="n">
        <v>0.2475121276595745</v>
      </c>
      <c r="E53" t="n">
        <v>0.247574622573688</v>
      </c>
      <c r="F53" t="n">
        <v>0.2468366714697406</v>
      </c>
      <c r="G53" t="n">
        <v>0.2440909829406986</v>
      </c>
    </row>
    <row r="54">
      <c r="B54" t="inlineStr">
        <is>
          <t>apr wtd</t>
        </is>
      </c>
      <c r="C54" t="n">
        <v>0.2443639159676115</v>
      </c>
      <c r="D54" t="n">
        <v>0.2440053016412008</v>
      </c>
      <c r="E54" t="n">
        <v>0.2433692335664403</v>
      </c>
      <c r="F54" t="n">
        <v>0.2433905565524131</v>
      </c>
      <c r="G54" t="n">
        <v>0.241622983489833</v>
      </c>
    </row>
    <row r="55">
      <c r="B55" t="inlineStr">
        <is>
          <t>applications</t>
        </is>
      </c>
      <c r="C55" t="n">
        <v>52999</v>
      </c>
      <c r="D55" t="n">
        <v>54931</v>
      </c>
      <c r="E55" t="n">
        <v>54779</v>
      </c>
      <c r="F55" t="n">
        <v>53707</v>
      </c>
      <c r="G55" t="n">
        <v>53037</v>
      </c>
    </row>
    <row r="56">
      <c r="B56" t="inlineStr">
        <is>
          <t>booked not funded</t>
        </is>
      </c>
      <c r="C56" t="n">
        <v>0</v>
      </c>
      <c r="D56" t="n">
        <v>0</v>
      </c>
      <c r="E56" t="n">
        <v>0</v>
      </c>
      <c r="F56" t="n">
        <v>2</v>
      </c>
      <c r="G56" t="n">
        <v>7</v>
      </c>
    </row>
    <row r="57">
      <c r="B57" t="inlineStr">
        <is>
          <t>contracts num</t>
        </is>
      </c>
      <c r="C57" t="n">
        <v>1366</v>
      </c>
      <c r="D57" t="n">
        <v>1410</v>
      </c>
      <c r="E57" t="n">
        <v>1391</v>
      </c>
      <c r="F57" t="n">
        <v>1388</v>
      </c>
      <c r="G57" t="n">
        <v>1231</v>
      </c>
    </row>
    <row r="58">
      <c r="B58" t="inlineStr">
        <is>
          <t>Blackbook Value avg</t>
        </is>
      </c>
      <c r="C58" t="n">
        <v>18762.44509516838</v>
      </c>
      <c r="D58" t="n">
        <v>18481.29432624114</v>
      </c>
      <c r="E58" t="n">
        <v>19105.19410496046</v>
      </c>
      <c r="F58" t="n">
        <v>19145.64121037464</v>
      </c>
      <c r="G58" t="n">
        <v>18686.19008935825</v>
      </c>
    </row>
    <row r="59">
      <c r="B59" t="inlineStr">
        <is>
          <t>bbltv 2weighted</t>
        </is>
      </c>
      <c r="C59" t="n">
        <v>1.552714198260578</v>
      </c>
      <c r="D59" t="n">
        <v>1.550127366930508</v>
      </c>
      <c r="E59" t="n">
        <v>1.553462489763812</v>
      </c>
      <c r="F59" t="n">
        <v>1.523626163295824</v>
      </c>
      <c r="G59" t="n">
        <v>1.51438121037112</v>
      </c>
    </row>
    <row r="60">
      <c r="B60" t="inlineStr">
        <is>
          <t>mileage avg</t>
        </is>
      </c>
      <c r="C60" t="n">
        <v>53319.87554904832</v>
      </c>
      <c r="D60" t="n">
        <v>54846.89078014185</v>
      </c>
      <c r="E60" t="n">
        <v>54595.9281092739</v>
      </c>
      <c r="F60" t="n">
        <v>53268.89481268012</v>
      </c>
      <c r="G60" t="n">
        <v>51836.12916328188</v>
      </c>
    </row>
    <row r="61">
      <c r="B61" t="inlineStr">
        <is>
          <t>vehicle age avg</t>
        </is>
      </c>
      <c r="C61" t="n">
        <v>5.724377745241515</v>
      </c>
      <c r="D61" t="n">
        <v>5.835342789598051</v>
      </c>
      <c r="E61" t="n">
        <v>5.861849988018235</v>
      </c>
      <c r="F61" t="n">
        <v>5.76248799231515</v>
      </c>
      <c r="G61" t="n">
        <v>5.694286487950245</v>
      </c>
    </row>
    <row r="62">
      <c r="A62" t="inlineStr">
        <is>
          <t>MCY</t>
        </is>
      </c>
      <c r="B62" t="inlineStr">
        <is>
          <t>model score weighted</t>
        </is>
      </c>
      <c r="C62" t="n">
        <v>151.1921506798206</v>
      </c>
      <c r="D62" t="n">
        <v>147.9499655338778</v>
      </c>
      <c r="E62" t="n">
        <v>149.5210178468458</v>
      </c>
      <c r="F62" t="n">
        <v>151.3796393320795</v>
      </c>
      <c r="G62" t="n">
        <v>149.4056735615304</v>
      </c>
    </row>
    <row r="63">
      <c r="B63" t="inlineStr">
        <is>
          <t>discount avg</t>
        </is>
      </c>
      <c r="C63" t="n">
        <v>1565.177509523809</v>
      </c>
      <c r="D63" t="n">
        <v>1408.79086875</v>
      </c>
      <c r="E63" t="n">
        <v>1610.488329032258</v>
      </c>
      <c r="F63" t="n">
        <v>1533.688226666667</v>
      </c>
      <c r="G63" t="n">
        <v>1919.849902127659</v>
      </c>
    </row>
    <row r="64">
      <c r="B64" t="inlineStr">
        <is>
          <t>discount pct</t>
        </is>
      </c>
      <c r="C64" t="n">
        <v>0.1080600114958341</v>
      </c>
      <c r="D64" t="n">
        <v>0.09331999175849123</v>
      </c>
      <c r="E64" t="n">
        <v>0.09636406542315383</v>
      </c>
      <c r="F64" t="n">
        <v>0.08655977189930034</v>
      </c>
      <c r="G64" t="n">
        <v>0.1026099890469146</v>
      </c>
    </row>
    <row r="65">
      <c r="B65" t="inlineStr">
        <is>
          <t>apr avg</t>
        </is>
      </c>
      <c r="C65" t="n">
        <v>0.2537833333333333</v>
      </c>
      <c r="D65" t="n">
        <v>0.245925</v>
      </c>
      <c r="E65" t="n">
        <v>0.2508451612903225</v>
      </c>
      <c r="F65" t="n">
        <v>0.2496433333333333</v>
      </c>
      <c r="G65" t="n">
        <v>0.2547702127659574</v>
      </c>
    </row>
    <row r="66">
      <c r="B66" t="inlineStr">
        <is>
          <t>apr wtd</t>
        </is>
      </c>
      <c r="C66" t="n">
        <v>0.2511441576286738</v>
      </c>
      <c r="D66" t="n">
        <v>0.2456281464968206</v>
      </c>
      <c r="E66" t="n">
        <v>0.2490030691980862</v>
      </c>
      <c r="F66" t="n">
        <v>0.2528013741024818</v>
      </c>
      <c r="G66" t="n">
        <v>0.254192853482233</v>
      </c>
    </row>
    <row r="67">
      <c r="B67" t="inlineStr">
        <is>
          <t>applications</t>
        </is>
      </c>
      <c r="C67" t="n">
        <v>817</v>
      </c>
      <c r="D67" t="n">
        <v>850</v>
      </c>
      <c r="E67" t="n">
        <v>678</v>
      </c>
      <c r="F67" t="n">
        <v>775</v>
      </c>
      <c r="G67" t="n">
        <v>758</v>
      </c>
    </row>
    <row r="68">
      <c r="B68" t="inlineStr">
        <is>
          <t>booked not funded</t>
        </is>
      </c>
      <c r="C68" t="n">
        <v>0</v>
      </c>
      <c r="D68" t="n">
        <v>0</v>
      </c>
      <c r="E68" t="n">
        <v>0</v>
      </c>
      <c r="F68" t="n">
        <v>1</v>
      </c>
      <c r="G68" t="n">
        <v>3</v>
      </c>
    </row>
    <row r="69">
      <c r="B69" t="inlineStr">
        <is>
          <t>contracts num</t>
        </is>
      </c>
      <c r="C69" t="n">
        <v>42</v>
      </c>
      <c r="D69" t="n">
        <v>48</v>
      </c>
      <c r="E69" t="n">
        <v>31</v>
      </c>
      <c r="F69" t="n">
        <v>30</v>
      </c>
      <c r="G69" t="n">
        <v>47</v>
      </c>
    </row>
    <row r="70">
      <c r="B70" t="inlineStr">
        <is>
          <t>Blackbook Value avg</t>
        </is>
      </c>
      <c r="C70" t="n">
        <v>0</v>
      </c>
      <c r="D70" t="n">
        <v>0</v>
      </c>
      <c r="E70" t="n">
        <v>0</v>
      </c>
      <c r="F70" t="inlineStr"/>
      <c r="G70" t="inlineStr"/>
    </row>
    <row r="71">
      <c r="B71" t="inlineStr">
        <is>
          <t>bbltv 2weighted</t>
        </is>
      </c>
      <c r="C71" t="inlineStr"/>
      <c r="D71" t="inlineStr"/>
      <c r="E71" t="inlineStr"/>
      <c r="F71" t="inlineStr"/>
      <c r="G71" t="inlineStr"/>
    </row>
    <row r="72">
      <c r="B72" t="inlineStr">
        <is>
          <t>mileage avg</t>
        </is>
      </c>
      <c r="C72" t="n">
        <v>25179.97619047619</v>
      </c>
      <c r="D72" t="n">
        <v>26253.27083333333</v>
      </c>
      <c r="E72" t="n">
        <v>20227.1935483871</v>
      </c>
      <c r="F72" t="n">
        <v>14573.96666666667</v>
      </c>
      <c r="G72" t="n">
        <v>13290.08510638298</v>
      </c>
    </row>
    <row r="73">
      <c r="B73" t="inlineStr">
        <is>
          <t>vehicle age avg</t>
        </is>
      </c>
      <c r="C73" t="n">
        <v>11.63888888888884</v>
      </c>
      <c r="D73" t="n">
        <v>9.305555555555545</v>
      </c>
      <c r="E73" t="n">
        <v>7.623655913978536</v>
      </c>
      <c r="F73" t="n">
        <v>7.833333333333392</v>
      </c>
      <c r="G73" t="n">
        <v>7.092198581560344</v>
      </c>
    </row>
    <row r="74">
      <c r="A74" t="inlineStr">
        <is>
          <t>POS</t>
        </is>
      </c>
      <c r="B74" t="inlineStr">
        <is>
          <t>model score weighted</t>
        </is>
      </c>
      <c r="C74" t="n">
        <v>142.2241613547081</v>
      </c>
      <c r="D74" t="n">
        <v>142.2877336443833</v>
      </c>
      <c r="E74" t="n">
        <v>142.385727851936</v>
      </c>
      <c r="F74" t="n">
        <v>142.3592607889232</v>
      </c>
      <c r="G74" t="n">
        <v>142.7690072410851</v>
      </c>
    </row>
    <row r="75">
      <c r="B75" t="inlineStr">
        <is>
          <t>discount avg</t>
        </is>
      </c>
      <c r="C75" t="n">
        <v>956.5545394675542</v>
      </c>
      <c r="D75" t="n">
        <v>959.3324139435696</v>
      </c>
      <c r="E75" t="n">
        <v>967.1585138732162</v>
      </c>
      <c r="F75" t="n">
        <v>939.1288682791983</v>
      </c>
      <c r="G75" t="n">
        <v>939.2602944999999</v>
      </c>
    </row>
    <row r="76">
      <c r="B76" t="inlineStr">
        <is>
          <t>discount pct</t>
        </is>
      </c>
      <c r="C76" t="n">
        <v>0.0382610951724119</v>
      </c>
      <c r="D76" t="n">
        <v>0.03846918538436751</v>
      </c>
      <c r="E76" t="n">
        <v>0.03786371049924735</v>
      </c>
      <c r="F76" t="n">
        <v>0.03658536104433458</v>
      </c>
      <c r="G76" t="n">
        <v>0.03695860661343439</v>
      </c>
    </row>
    <row r="77">
      <c r="B77" t="inlineStr">
        <is>
          <t>apr avg</t>
        </is>
      </c>
      <c r="C77" t="n">
        <v>0.2472347584026622</v>
      </c>
      <c r="D77" t="n">
        <v>0.2471077427821523</v>
      </c>
      <c r="E77" t="n">
        <v>0.2466825091271158</v>
      </c>
      <c r="F77" t="n">
        <v>0.2465369384934347</v>
      </c>
      <c r="G77" t="n">
        <v>0.2452199658333333</v>
      </c>
    </row>
    <row r="78">
      <c r="B78" t="inlineStr">
        <is>
          <t>apr wtd</t>
        </is>
      </c>
      <c r="C78" t="n">
        <v>0.2440497233959467</v>
      </c>
      <c r="D78" t="n">
        <v>0.2432485657896868</v>
      </c>
      <c r="E78" t="n">
        <v>0.2425958890414066</v>
      </c>
      <c r="F78" t="n">
        <v>0.2428632925441744</v>
      </c>
      <c r="G78" t="n">
        <v>0.2421508800501808</v>
      </c>
    </row>
    <row r="79">
      <c r="B79" t="inlineStr">
        <is>
          <t>applications</t>
        </is>
      </c>
      <c r="C79" t="n">
        <v>103005</v>
      </c>
      <c r="D79" t="n">
        <v>105369</v>
      </c>
      <c r="E79" t="n">
        <v>104287</v>
      </c>
      <c r="F79" t="n">
        <v>100636</v>
      </c>
      <c r="G79" t="n">
        <v>99327</v>
      </c>
    </row>
    <row r="80">
      <c r="B80" t="inlineStr">
        <is>
          <t>booked not funded</t>
        </is>
      </c>
      <c r="C80" t="n">
        <v>0</v>
      </c>
      <c r="D80" t="n">
        <v>7</v>
      </c>
      <c r="E80" t="n">
        <v>15</v>
      </c>
      <c r="F80" t="n">
        <v>55</v>
      </c>
      <c r="G80" t="n">
        <v>124</v>
      </c>
    </row>
    <row r="81">
      <c r="B81" t="inlineStr">
        <is>
          <t>contracts num</t>
        </is>
      </c>
      <c r="C81" t="n">
        <v>3005</v>
      </c>
      <c r="D81" t="n">
        <v>3048</v>
      </c>
      <c r="E81" t="n">
        <v>3013</v>
      </c>
      <c r="F81" t="n">
        <v>2894</v>
      </c>
      <c r="G81" t="n">
        <v>2400</v>
      </c>
    </row>
    <row r="82">
      <c r="B82" t="inlineStr">
        <is>
          <t>Blackbook Value avg</t>
        </is>
      </c>
      <c r="C82" t="n">
        <v>18027.39527824621</v>
      </c>
      <c r="D82" t="n">
        <v>17947.82350982351</v>
      </c>
      <c r="E82" t="n">
        <v>18399.36775058666</v>
      </c>
      <c r="F82" t="n">
        <v>18580.98847765363</v>
      </c>
      <c r="G82" t="n">
        <v>18241.92052698683</v>
      </c>
    </row>
    <row r="83">
      <c r="B83" t="inlineStr">
        <is>
          <t>bbltv 2weighted</t>
        </is>
      </c>
      <c r="C83" t="n">
        <v>1.508785608218235</v>
      </c>
      <c r="D83" t="n">
        <v>1.510382231616233</v>
      </c>
      <c r="E83" t="n">
        <v>1.500953021256435</v>
      </c>
      <c r="F83" t="n">
        <v>1.495047313968453</v>
      </c>
      <c r="G83" t="n">
        <v>1.491783944547288</v>
      </c>
    </row>
    <row r="84">
      <c r="B84" t="inlineStr">
        <is>
          <t>mileage avg</t>
        </is>
      </c>
      <c r="C84" t="n">
        <v>59710.0768718802</v>
      </c>
      <c r="D84" t="n">
        <v>61902.64501312336</v>
      </c>
      <c r="E84" t="n">
        <v>60986.02787919017</v>
      </c>
      <c r="F84" t="n">
        <v>59847.43331029717</v>
      </c>
      <c r="G84" t="n">
        <v>56935.75333333333</v>
      </c>
    </row>
    <row r="85">
      <c r="B85" t="inlineStr">
        <is>
          <t>vehicle age avg</t>
        </is>
      </c>
      <c r="C85" t="n">
        <v>5.767221297836881</v>
      </c>
      <c r="D85" t="n">
        <v>5.865266841644756</v>
      </c>
      <c r="E85" t="n">
        <v>5.753097687797363</v>
      </c>
      <c r="F85" t="n">
        <v>5.756162174614213</v>
      </c>
      <c r="G85" t="n">
        <v>5.652500000000068</v>
      </c>
    </row>
    <row r="86">
      <c r="A86" t="inlineStr">
        <is>
          <t>STE</t>
        </is>
      </c>
      <c r="B86" t="inlineStr">
        <is>
          <t>model score weighted</t>
        </is>
      </c>
      <c r="C86" t="n">
        <v>134.9934303532529</v>
      </c>
      <c r="D86" t="n">
        <v>135.7668452529045</v>
      </c>
      <c r="E86" t="n">
        <v>136.5184443422197</v>
      </c>
      <c r="F86" t="n">
        <v>136.4055089295745</v>
      </c>
      <c r="G86" t="n">
        <v>135.7920648260378</v>
      </c>
    </row>
    <row r="87">
      <c r="B87" t="inlineStr">
        <is>
          <t>discount avg</t>
        </is>
      </c>
      <c r="C87" t="n">
        <v>557.1922222222223</v>
      </c>
      <c r="D87" t="n">
        <v>586.6850190839693</v>
      </c>
      <c r="E87" t="n">
        <v>620.3489978678039</v>
      </c>
      <c r="F87" t="n">
        <v>595.1321052631579</v>
      </c>
      <c r="G87" t="n">
        <v>729.7116208791208</v>
      </c>
    </row>
    <row r="88">
      <c r="B88" t="inlineStr">
        <is>
          <t>discount pct</t>
        </is>
      </c>
      <c r="C88" t="n">
        <v>0.01695412023309964</v>
      </c>
      <c r="D88" t="n">
        <v>0.01815359571561206</v>
      </c>
      <c r="E88" t="n">
        <v>0.01872388178550606</v>
      </c>
      <c r="F88" t="n">
        <v>0.01633140247071086</v>
      </c>
      <c r="G88" t="n">
        <v>0.02067699588371086</v>
      </c>
    </row>
    <row r="89">
      <c r="B89" t="inlineStr">
        <is>
          <t>apr avg</t>
        </is>
      </c>
      <c r="C89" t="n">
        <v>0.2349914327686703</v>
      </c>
      <c r="D89" t="n">
        <v>0.2342043832824428</v>
      </c>
      <c r="E89" t="n">
        <v>0.233404044989339</v>
      </c>
      <c r="F89" t="n">
        <v>0.2269974765675057</v>
      </c>
      <c r="G89" t="n">
        <v>0.2322890048076923</v>
      </c>
    </row>
    <row r="90">
      <c r="B90" t="inlineStr">
        <is>
          <t>apr wtd</t>
        </is>
      </c>
      <c r="C90" t="n">
        <v>0.2294652591647407</v>
      </c>
      <c r="D90" t="n">
        <v>0.2283374084093422</v>
      </c>
      <c r="E90" t="n">
        <v>0.2255429241853437</v>
      </c>
      <c r="F90" t="n">
        <v>0.2217177983439373</v>
      </c>
      <c r="G90" t="n">
        <v>0.226624179800277</v>
      </c>
    </row>
    <row r="91">
      <c r="B91" t="inlineStr">
        <is>
          <t>applications</t>
        </is>
      </c>
      <c r="C91" t="n">
        <v>15728</v>
      </c>
      <c r="D91" t="n">
        <v>14871</v>
      </c>
      <c r="E91" t="n">
        <v>14188</v>
      </c>
      <c r="F91" t="n">
        <v>13936</v>
      </c>
      <c r="G91" t="n">
        <v>14590</v>
      </c>
    </row>
    <row r="92">
      <c r="B92" t="inlineStr">
        <is>
          <t>booked not funded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B93" t="inlineStr">
        <is>
          <t>contracts num</t>
        </is>
      </c>
      <c r="C93" t="n">
        <v>549</v>
      </c>
      <c r="D93" t="n">
        <v>524</v>
      </c>
      <c r="E93" t="n">
        <v>467</v>
      </c>
      <c r="F93" t="n">
        <v>425</v>
      </c>
      <c r="G93" t="n">
        <v>335</v>
      </c>
    </row>
    <row r="94">
      <c r="B94" t="inlineStr">
        <is>
          <t>Blackbook Value avg</t>
        </is>
      </c>
      <c r="C94" t="n">
        <v>23385.29143897996</v>
      </c>
      <c r="D94" t="n">
        <v>23418.41603053435</v>
      </c>
      <c r="E94" t="n">
        <v>24353.46481876332</v>
      </c>
      <c r="F94" t="n">
        <v>26688.15789473684</v>
      </c>
      <c r="G94" t="n">
        <v>25783.07142857143</v>
      </c>
    </row>
    <row r="95">
      <c r="B95" t="inlineStr">
        <is>
          <t>bbltv 2weighted</t>
        </is>
      </c>
      <c r="C95" t="n">
        <v>1.433834642021192</v>
      </c>
      <c r="D95" t="n">
        <v>1.413228438384831</v>
      </c>
      <c r="E95" t="n">
        <v>1.40799236194657</v>
      </c>
      <c r="F95" t="n">
        <v>1.409672568684805</v>
      </c>
      <c r="G95" t="n">
        <v>1.400686918028034</v>
      </c>
    </row>
    <row r="96">
      <c r="B96" t="inlineStr">
        <is>
          <t>mileage avg</t>
        </is>
      </c>
      <c r="C96" t="n">
        <v>50201.07832422586</v>
      </c>
      <c r="D96" t="n">
        <v>52368.91030534351</v>
      </c>
      <c r="E96" t="n">
        <v>51217.52878464819</v>
      </c>
      <c r="F96" t="n">
        <v>47473.18993135011</v>
      </c>
      <c r="G96" t="n">
        <v>48261.70054945055</v>
      </c>
    </row>
    <row r="97">
      <c r="B97" t="inlineStr">
        <is>
          <t>vehicle age avg</t>
        </is>
      </c>
      <c r="C97" t="n">
        <v>4.251388342440801</v>
      </c>
      <c r="D97" t="n">
        <v>4.429112022900763</v>
      </c>
      <c r="E97" t="n">
        <v>4.381887633262259</v>
      </c>
      <c r="F97" t="n">
        <v>4.073422654462242</v>
      </c>
      <c r="G97" t="n">
        <v>4.123432692307692</v>
      </c>
    </row>
    <row r="98">
      <c r="A98" t="inlineStr">
        <is>
          <t>STG</t>
        </is>
      </c>
      <c r="B98" t="inlineStr">
        <is>
          <t>model score weighted</t>
        </is>
      </c>
      <c r="C98" t="n">
        <v>141.0227365057234</v>
      </c>
      <c r="D98" t="n">
        <v>141.3598264506041</v>
      </c>
      <c r="E98" t="n">
        <v>141.5982456194389</v>
      </c>
      <c r="F98" t="n">
        <v>140.9823262797956</v>
      </c>
      <c r="G98" t="n">
        <v>141.1805443256267</v>
      </c>
    </row>
    <row r="99">
      <c r="B99" t="inlineStr">
        <is>
          <t>discount avg</t>
        </is>
      </c>
      <c r="C99" t="n">
        <v>1232.308753865979</v>
      </c>
      <c r="D99" t="n">
        <v>1277.234179319372</v>
      </c>
      <c r="E99" t="n">
        <v>1209.859120113314</v>
      </c>
      <c r="F99" t="n">
        <v>1200.995864670659</v>
      </c>
      <c r="G99" t="n">
        <v>1137.499247222222</v>
      </c>
    </row>
    <row r="100">
      <c r="B100" t="inlineStr">
        <is>
          <t>discount pct</t>
        </is>
      </c>
      <c r="C100" t="n">
        <v>0.04833528065316093</v>
      </c>
      <c r="D100" t="n">
        <v>0.04906167585151244</v>
      </c>
      <c r="E100" t="n">
        <v>0.04547089552726896</v>
      </c>
      <c r="F100" t="n">
        <v>0.04597408910010953</v>
      </c>
      <c r="G100" t="n">
        <v>0.0433418174738883</v>
      </c>
    </row>
    <row r="101">
      <c r="B101" t="inlineStr">
        <is>
          <t>apr avg</t>
        </is>
      </c>
      <c r="C101" t="n">
        <v>0.2453215180412371</v>
      </c>
      <c r="D101" t="n">
        <v>0.2400298429319372</v>
      </c>
      <c r="E101" t="n">
        <v>0.2407368271954674</v>
      </c>
      <c r="F101" t="n">
        <v>0.2425994011976048</v>
      </c>
      <c r="G101" t="n">
        <v>0.2417710317460317</v>
      </c>
    </row>
    <row r="102">
      <c r="B102" t="inlineStr">
        <is>
          <t>apr wtd</t>
        </is>
      </c>
      <c r="C102" t="n">
        <v>0.2389543568805591</v>
      </c>
      <c r="D102" t="n">
        <v>0.232497288349113</v>
      </c>
      <c r="E102" t="n">
        <v>0.2345897671844026</v>
      </c>
      <c r="F102" t="n">
        <v>0.2360342032442265</v>
      </c>
      <c r="G102" t="n">
        <v>0.2380309437423986</v>
      </c>
    </row>
    <row r="103">
      <c r="B103" t="inlineStr">
        <is>
          <t>applications</t>
        </is>
      </c>
      <c r="C103" t="n">
        <v>8530</v>
      </c>
      <c r="D103" t="n">
        <v>8392</v>
      </c>
      <c r="E103" t="n">
        <v>8205</v>
      </c>
      <c r="F103" t="n">
        <v>7966</v>
      </c>
      <c r="G103" t="n">
        <v>7691</v>
      </c>
    </row>
    <row r="104">
      <c r="B104" t="inlineStr">
        <is>
          <t>booked not funded</t>
        </is>
      </c>
      <c r="C104" t="n">
        <v>0</v>
      </c>
      <c r="D104" t="n">
        <v>2</v>
      </c>
      <c r="E104" t="n">
        <v>4</v>
      </c>
      <c r="F104" t="n">
        <v>14</v>
      </c>
      <c r="G104" t="n">
        <v>26</v>
      </c>
    </row>
    <row r="105">
      <c r="B105" t="inlineStr">
        <is>
          <t>contracts num</t>
        </is>
      </c>
      <c r="C105" t="n">
        <v>388</v>
      </c>
      <c r="D105" t="n">
        <v>382</v>
      </c>
      <c r="E105" t="n">
        <v>353</v>
      </c>
      <c r="F105" t="n">
        <v>334</v>
      </c>
      <c r="G105" t="n">
        <v>252</v>
      </c>
    </row>
    <row r="106">
      <c r="B106" t="inlineStr">
        <is>
          <t>Blackbook Value avg</t>
        </is>
      </c>
      <c r="C106" t="n">
        <v>18360.89175257732</v>
      </c>
      <c r="D106" t="n">
        <v>19375.16492146597</v>
      </c>
      <c r="E106" t="n">
        <v>19678.68271954674</v>
      </c>
      <c r="F106" t="n">
        <v>19425</v>
      </c>
      <c r="G106" t="n">
        <v>19565.27777777778</v>
      </c>
    </row>
    <row r="107">
      <c r="B107" t="inlineStr">
        <is>
          <t>bbltv 2weighted</t>
        </is>
      </c>
      <c r="C107" t="n">
        <v>1.470936172337066</v>
      </c>
      <c r="D107" t="n">
        <v>1.433168746288457</v>
      </c>
      <c r="E107" t="n">
        <v>1.433633901582849</v>
      </c>
      <c r="F107" t="n">
        <v>1.446328571542576</v>
      </c>
      <c r="G107" t="n">
        <v>1.438964794461392</v>
      </c>
    </row>
    <row r="108">
      <c r="B108" t="inlineStr">
        <is>
          <t>mileage avg</t>
        </is>
      </c>
      <c r="C108" t="n">
        <v>59277.01288659793</v>
      </c>
      <c r="D108" t="n">
        <v>62428.60732984293</v>
      </c>
      <c r="E108" t="n">
        <v>62200.96600566572</v>
      </c>
      <c r="F108" t="n">
        <v>62991.7874251497</v>
      </c>
      <c r="G108" t="n">
        <v>56836.64682539683</v>
      </c>
    </row>
    <row r="109">
      <c r="B109" t="inlineStr">
        <is>
          <t>vehicle age avg</t>
        </is>
      </c>
      <c r="C109" t="n">
        <v>5.573024054982771</v>
      </c>
      <c r="D109" t="n">
        <v>5.453752181500854</v>
      </c>
      <c r="E109" t="n">
        <v>5.630547686496751</v>
      </c>
      <c r="F109" t="n">
        <v>5.460079840319429</v>
      </c>
      <c r="G109" t="n">
        <v>5.293650793650862</v>
      </c>
    </row>
  </sheetData>
  <mergeCells count="9">
    <mergeCell ref="A26:A37"/>
    <mergeCell ref="A2:A13"/>
    <mergeCell ref="A62:A73"/>
    <mergeCell ref="A38:A49"/>
    <mergeCell ref="A14:A25"/>
    <mergeCell ref="A74:A85"/>
    <mergeCell ref="A50:A61"/>
    <mergeCell ref="A98:A109"/>
    <mergeCell ref="A86:A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7:I23"/>
  <sheetViews>
    <sheetView zoomScale="175" zoomScaleNormal="175" workbookViewId="0">
      <selection activeCell="H20" sqref="H20:H23"/>
    </sheetView>
  </sheetViews>
  <sheetFormatPr baseColWidth="8" defaultRowHeight="14.5"/>
  <cols>
    <col width="9" bestFit="1" customWidth="1" style="104" min="3" max="3"/>
    <col width="9.08984375" bestFit="1" customWidth="1" style="104" min="4" max="4"/>
    <col width="9" bestFit="1" customWidth="1" style="104" min="5" max="5"/>
    <col width="28.90625" customWidth="1" style="104" min="6" max="6"/>
    <col width="9" bestFit="1" customWidth="1" style="104" min="7" max="7"/>
  </cols>
  <sheetData>
    <row r="17">
      <c r="F17" t="n">
        <v>20260419</v>
      </c>
      <c r="G17" t="inlineStr">
        <is>
          <t>KMX</t>
        </is>
      </c>
      <c r="H17" t="n">
        <v>6</v>
      </c>
      <c r="I17" t="n">
        <v>6</v>
      </c>
    </row>
    <row r="18">
      <c r="F18" t="n">
        <v>20260405</v>
      </c>
      <c r="G18" t="inlineStr">
        <is>
          <t>MCY</t>
        </is>
      </c>
      <c r="H18" t="n">
        <v>3</v>
      </c>
      <c r="I18" t="n">
        <v>3</v>
      </c>
    </row>
    <row r="19">
      <c r="F19" t="n">
        <v>20260412</v>
      </c>
      <c r="G19" t="inlineStr">
        <is>
          <t>MCY</t>
        </is>
      </c>
      <c r="H19" t="n">
        <v>2</v>
      </c>
      <c r="I19" t="n">
        <v>2</v>
      </c>
    </row>
    <row r="20">
      <c r="F20" t="n">
        <v>20260329</v>
      </c>
      <c r="G20" t="inlineStr">
        <is>
          <t>STG</t>
        </is>
      </c>
      <c r="H20" t="n">
        <v>3</v>
      </c>
      <c r="I20" t="n">
        <v>3</v>
      </c>
    </row>
    <row r="21">
      <c r="F21" t="n">
        <v>20260405</v>
      </c>
      <c r="G21" t="inlineStr">
        <is>
          <t>STG</t>
        </is>
      </c>
      <c r="H21" t="n">
        <v>5</v>
      </c>
      <c r="I21" t="n">
        <v>5</v>
      </c>
    </row>
    <row r="22">
      <c r="F22" t="n">
        <v>20260412</v>
      </c>
      <c r="G22" t="inlineStr">
        <is>
          <t>STG</t>
        </is>
      </c>
      <c r="H22" t="n">
        <v>19</v>
      </c>
      <c r="I22" t="n">
        <v>19</v>
      </c>
    </row>
    <row r="23">
      <c r="F23" t="n">
        <v>20260419</v>
      </c>
      <c r="G23" t="inlineStr">
        <is>
          <t>STG</t>
        </is>
      </c>
      <c r="H23" t="n">
        <v>16</v>
      </c>
      <c r="I23" t="n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roa_dealer_group</t>
        </is>
      </c>
      <c r="C1" t="inlineStr">
        <is>
          <t>rowid</t>
        </is>
      </c>
      <c r="D1" t="inlineStr">
        <is>
          <t>lookup</t>
        </is>
      </c>
      <c r="E1" t="inlineStr">
        <is>
          <t>notes</t>
        </is>
      </c>
      <c r="F1" t="inlineStr">
        <is>
          <t>datetime_inserted</t>
        </is>
      </c>
      <c r="G1" t="inlineStr">
        <is>
          <t>effective_date</t>
        </is>
      </c>
      <c r="H1" t="inlineStr">
        <is>
          <t>halfbaked_date</t>
        </is>
      </c>
      <c r="I1" t="inlineStr">
        <is>
          <t>mroa</t>
        </is>
      </c>
      <c r="J1" t="inlineStr">
        <is>
          <t>orig_yield</t>
        </is>
      </c>
      <c r="K1" t="inlineStr">
        <is>
          <t>cnl_effect</t>
        </is>
      </c>
      <c r="L1" t="inlineStr">
        <is>
          <t>var_cost</t>
        </is>
      </c>
      <c r="M1" t="inlineStr">
        <is>
          <t>cost_of_debt</t>
        </is>
      </c>
      <c r="N1" t="inlineStr">
        <is>
          <t>run_rate_nb</t>
        </is>
      </c>
      <c r="O1" t="inlineStr">
        <is>
          <t>model_score</t>
        </is>
      </c>
      <c r="P1" t="inlineStr">
        <is>
          <t>model_name</t>
        </is>
      </c>
      <c r="Q1" t="inlineStr">
        <is>
          <t>wal</t>
        </is>
      </c>
      <c r="R1" t="inlineStr">
        <is>
          <t>wal_cfc</t>
        </is>
      </c>
      <c r="S1" t="inlineStr">
        <is>
          <t>wal_adj_factor</t>
        </is>
      </c>
      <c r="T1" t="inlineStr">
        <is>
          <t>apr</t>
        </is>
      </c>
      <c r="U1" t="inlineStr">
        <is>
          <t>apr_realization_factor</t>
        </is>
      </c>
      <c r="V1" t="inlineStr">
        <is>
          <t>discount</t>
        </is>
      </c>
      <c r="W1" t="inlineStr">
        <is>
          <t>fee_income</t>
        </is>
      </c>
      <c r="X1" t="inlineStr">
        <is>
          <t>pmt_proc_income</t>
        </is>
      </c>
      <c r="Y1" t="inlineStr">
        <is>
          <t>addl_income</t>
        </is>
      </c>
      <c r="Z1" t="inlineStr">
        <is>
          <t>cnl</t>
        </is>
      </c>
      <c r="AA1" t="inlineStr">
        <is>
          <t>gross_loss</t>
        </is>
      </c>
      <c r="AB1" t="inlineStr">
        <is>
          <t>recovery</t>
        </is>
      </c>
      <c r="AC1" t="inlineStr">
        <is>
          <t>cnl_adj_factor</t>
        </is>
      </c>
      <c r="AD1" t="inlineStr">
        <is>
          <t>gross_loss_cfc</t>
        </is>
      </c>
      <c r="AE1" t="inlineStr">
        <is>
          <t>gross_loss_adj_factor</t>
        </is>
      </c>
      <c r="AF1" t="inlineStr">
        <is>
          <t>recovery_cfc</t>
        </is>
      </c>
      <c r="AG1" t="inlineStr">
        <is>
          <t>recovery_adj_factor</t>
        </is>
      </c>
      <c r="AH1" t="inlineStr">
        <is>
          <t>debt_int_rate</t>
        </is>
      </c>
      <c r="AI1" t="inlineStr">
        <is>
          <t>securitization_cost</t>
        </is>
      </c>
      <c r="AJ1" t="inlineStr">
        <is>
          <t>debt_adv_rate</t>
        </is>
      </c>
      <c r="AK1" t="inlineStr">
        <is>
          <t>orig_cost</t>
        </is>
      </c>
      <c r="AL1" t="inlineStr">
        <is>
          <t>serv_cost</t>
        </is>
      </c>
      <c r="AM1" t="inlineStr">
        <is>
          <t>addl_cost</t>
        </is>
      </c>
      <c r="AN1" t="inlineStr">
        <is>
          <t>days_till_half_baked</t>
        </is>
      </c>
      <c r="AO1" t="inlineStr">
        <is>
          <t>sort</t>
        </is>
      </c>
      <c r="AP1" t="inlineStr">
        <is>
          <t>latest_row_flag</t>
        </is>
      </c>
      <c r="AQ1" t="inlineStr">
        <is>
          <t>loss_meeting_flag</t>
        </is>
      </c>
      <c r="AR1" t="inlineStr">
        <is>
          <t>pricing_change_flag</t>
        </is>
      </c>
      <c r="AS1" t="inlineStr">
        <is>
          <t>is_current_flag</t>
        </is>
      </c>
      <c r="AT1" t="inlineStr">
        <is>
          <t>elasticity</t>
        </is>
      </c>
      <c r="AU1" t="inlineStr">
        <is>
          <t>nb_ratio</t>
        </is>
      </c>
      <c r="AV1" t="inlineStr">
        <is>
          <t>version_start_datetime</t>
        </is>
      </c>
      <c r="AW1" t="inlineStr">
        <is>
          <t>version_end_datetime</t>
        </is>
      </c>
      <c r="AX1" t="inlineStr">
        <is>
          <t>ticket_no</t>
        </is>
      </c>
      <c r="AY1" t="inlineStr">
        <is>
          <t>addl_cost_of_debt</t>
        </is>
      </c>
      <c r="AZ1" t="inlineStr">
        <is>
          <t>tier</t>
        </is>
      </c>
      <c r="BA1" t="inlineStr">
        <is>
          <t>fixed_cost</t>
        </is>
      </c>
      <c r="BB1" t="inlineStr">
        <is>
          <t>subdebt_expense</t>
        </is>
      </c>
      <c r="BC1" t="inlineStr">
        <is>
          <t>vroa</t>
        </is>
      </c>
      <c r="BD1" t="inlineStr">
        <is>
          <t>ragu_score</t>
        </is>
      </c>
      <c r="BE1" t="inlineStr">
        <is>
          <t>baseline_ltv</t>
        </is>
      </c>
      <c r="BF1" t="inlineStr">
        <is>
          <t>ltv</t>
        </is>
      </c>
      <c r="BG1" t="inlineStr">
        <is>
          <t>baseline_apr</t>
        </is>
      </c>
      <c r="BH1" t="inlineStr">
        <is>
          <t>ragu_gross_loss_adjustment</t>
        </is>
      </c>
      <c r="BI1" t="inlineStr">
        <is>
          <t>ragu_recovery_adjustment</t>
        </is>
      </c>
      <c r="BJ1" t="inlineStr">
        <is>
          <t>ragu_ltv_adjustment</t>
        </is>
      </c>
      <c r="BK1" t="inlineStr">
        <is>
          <t>ragu_market_expectation_adjustment</t>
        </is>
      </c>
      <c r="BL1" t="inlineStr">
        <is>
          <t>ragu_apr_adjustment</t>
        </is>
      </c>
    </row>
    <row r="2">
      <c r="A2" t="n">
        <v>0</v>
      </c>
      <c r="B2" t="inlineStr">
        <is>
          <t>AN</t>
        </is>
      </c>
      <c r="C2" t="n">
        <v>407</v>
      </c>
      <c r="D2" t="inlineStr">
        <is>
          <t>AN407</t>
        </is>
      </c>
      <c r="E2" t="inlineStr">
        <is>
          <t>Cost of Funds Update (5.9%)</t>
        </is>
      </c>
      <c r="F2" s="107" t="n">
        <v>46162</v>
      </c>
      <c r="G2" s="108" t="n">
        <v>46160</v>
      </c>
      <c r="H2" t="inlineStr"/>
      <c r="I2" t="n">
        <v>0.0687697498271949</v>
      </c>
      <c r="J2" t="n">
        <v>0.264312916705773</v>
      </c>
      <c r="K2" t="n">
        <v>0.11882504750028</v>
      </c>
      <c r="L2" t="n">
        <v>0.0262061193782975</v>
      </c>
      <c r="M2" t="n">
        <v>0.050512</v>
      </c>
      <c r="N2" t="n">
        <v>200</v>
      </c>
      <c r="O2" t="n">
        <v>139.6</v>
      </c>
      <c r="P2" t="inlineStr">
        <is>
          <t>Franchise3.0</t>
        </is>
      </c>
      <c r="Q2" t="n">
        <v>2.11999999410399</v>
      </c>
      <c r="R2" t="n">
        <v>2.21717985</v>
      </c>
      <c r="S2" t="n">
        <v>0.956169610735</v>
      </c>
      <c r="T2" t="n">
        <v>0.250765847</v>
      </c>
      <c r="U2" t="n">
        <v>0.9198</v>
      </c>
      <c r="V2" t="n">
        <v>0.0527</v>
      </c>
      <c r="W2" t="n">
        <v>0.003</v>
      </c>
      <c r="X2" t="n">
        <v>0.0041</v>
      </c>
      <c r="Y2" t="n">
        <v>0.0017</v>
      </c>
      <c r="Z2" t="n">
        <v>0.2519091</v>
      </c>
      <c r="AA2" t="n">
        <v>0.5781962353099031</v>
      </c>
      <c r="AB2" t="n">
        <v>0.326287135309903</v>
      </c>
      <c r="AC2" t="n">
        <v>1.31957960163568</v>
      </c>
      <c r="AD2" t="n">
        <v>0.438167</v>
      </c>
      <c r="AE2" t="n">
        <v>1</v>
      </c>
      <c r="AF2" t="n">
        <v>0.247265973879449</v>
      </c>
      <c r="AG2" t="n">
        <v>1</v>
      </c>
      <c r="AH2" t="n">
        <v>0.059</v>
      </c>
      <c r="AI2" t="n">
        <v>0.0026</v>
      </c>
      <c r="AJ2" t="n">
        <v>0.82</v>
      </c>
      <c r="AK2" t="n">
        <v>0.029480973</v>
      </c>
      <c r="AL2" t="n">
        <v>0.0123</v>
      </c>
      <c r="AM2" t="n">
        <v>0</v>
      </c>
      <c r="AN2" t="n">
        <v>16</v>
      </c>
      <c r="AO2" t="n">
        <v>2</v>
      </c>
      <c r="AP2" t="n">
        <v>1</v>
      </c>
      <c r="AQ2" t="n">
        <v>0</v>
      </c>
      <c r="AR2" t="n">
        <v>0</v>
      </c>
      <c r="AS2" t="n">
        <v>1</v>
      </c>
      <c r="AT2" t="n">
        <v>0.01</v>
      </c>
      <c r="AU2" t="n">
        <v>0.9935</v>
      </c>
      <c r="AV2" s="107" t="n">
        <v>46162.70478009259</v>
      </c>
      <c r="AW2" s="107" t="n">
        <v>2958101</v>
      </c>
      <c r="AX2" t="inlineStr"/>
      <c r="AY2" t="n">
        <v>0</v>
      </c>
      <c r="AZ2" t="inlineStr"/>
      <c r="BA2" t="n">
        <v>0.005</v>
      </c>
      <c r="BB2" t="n">
        <v>0.0027</v>
      </c>
      <c r="BC2" t="n">
        <v>0.0610697498271949</v>
      </c>
      <c r="BD2" t="n">
        <v>147.3</v>
      </c>
      <c r="BE2" t="n">
        <v>1.94</v>
      </c>
      <c r="BF2" t="n">
        <v>1.58</v>
      </c>
      <c r="BG2" t="n">
        <v>0.25</v>
      </c>
      <c r="BH2" t="n">
        <v>3.6</v>
      </c>
      <c r="BI2" t="n">
        <v>0.5</v>
      </c>
      <c r="BJ2" t="n">
        <v>3.9</v>
      </c>
      <c r="BK2" t="n">
        <v>0</v>
      </c>
      <c r="BL2" t="n">
        <v>-0.3</v>
      </c>
    </row>
    <row r="3">
      <c r="A3" t="n">
        <v>1</v>
      </c>
      <c r="B3" t="inlineStr">
        <is>
          <t>ENT</t>
        </is>
      </c>
      <c r="C3" t="n">
        <v>294</v>
      </c>
      <c r="D3" t="inlineStr">
        <is>
          <t>ENT294</t>
        </is>
      </c>
      <c r="E3" t="inlineStr">
        <is>
          <t>Cost of Funds Update (5.9%)</t>
        </is>
      </c>
      <c r="F3" s="107" t="n">
        <v>46162</v>
      </c>
      <c r="G3" s="108" t="n">
        <v>46160</v>
      </c>
      <c r="H3" t="inlineStr"/>
      <c r="I3" t="n">
        <v>0.0591431858374147</v>
      </c>
      <c r="J3" t="n">
        <v>0.249220373700577</v>
      </c>
      <c r="K3" t="n">
        <v>0.113351087863484</v>
      </c>
      <c r="L3" t="n">
        <v>0.0262140999996778</v>
      </c>
      <c r="M3" t="n">
        <v>0.050512</v>
      </c>
      <c r="N3" t="n">
        <v>304</v>
      </c>
      <c r="O3" t="n">
        <v>139.6</v>
      </c>
      <c r="P3" t="inlineStr">
        <is>
          <t>Franchise3.0</t>
        </is>
      </c>
      <c r="Q3" t="n">
        <v>2.39000000005534</v>
      </c>
      <c r="R3" t="n">
        <v>2.30485939</v>
      </c>
      <c r="S3" t="n">
        <v>1.036939611338</v>
      </c>
      <c r="T3" t="n">
        <v>0.240285281</v>
      </c>
      <c r="U3" t="n">
        <v>0.9229000000000001</v>
      </c>
      <c r="V3" t="n">
        <v>0.0446</v>
      </c>
      <c r="W3" t="n">
        <v>0.003</v>
      </c>
      <c r="X3" t="n">
        <v>0.0041</v>
      </c>
      <c r="Y3" t="n">
        <v>0.0017</v>
      </c>
      <c r="Z3" t="n">
        <v>0.2709091</v>
      </c>
      <c r="AA3" t="n">
        <v>0.563766351951451</v>
      </c>
      <c r="AB3" t="n">
        <v>0.292857251951451</v>
      </c>
      <c r="AC3" t="n">
        <v>1.14085411745793</v>
      </c>
      <c r="AD3" t="n">
        <v>0.494161649</v>
      </c>
      <c r="AE3" t="n">
        <v>1</v>
      </c>
      <c r="AF3" t="n">
        <v>0.2567</v>
      </c>
      <c r="AG3" t="n">
        <v>1</v>
      </c>
      <c r="AH3" t="n">
        <v>0.059</v>
      </c>
      <c r="AI3" t="n">
        <v>0.0026</v>
      </c>
      <c r="AJ3" t="n">
        <v>0.82</v>
      </c>
      <c r="AK3" t="n">
        <v>0.033254699</v>
      </c>
      <c r="AL3" t="n">
        <v>0.0123</v>
      </c>
      <c r="AM3" t="n">
        <v>0</v>
      </c>
      <c r="AN3" t="n">
        <v>13</v>
      </c>
      <c r="AO3" t="n">
        <v>4</v>
      </c>
      <c r="AP3" t="n">
        <v>1</v>
      </c>
      <c r="AQ3" t="n">
        <v>0</v>
      </c>
      <c r="AR3" t="n">
        <v>0</v>
      </c>
      <c r="AS3" t="n">
        <v>1</v>
      </c>
      <c r="AT3" t="n">
        <v>0.01</v>
      </c>
      <c r="AU3" t="n">
        <v>0.9935</v>
      </c>
      <c r="AV3" s="107" t="n">
        <v>46162.70496527778</v>
      </c>
      <c r="AW3" s="107" t="n">
        <v>2958101</v>
      </c>
      <c r="AX3" t="inlineStr"/>
      <c r="AY3" t="n">
        <v>0</v>
      </c>
      <c r="AZ3" t="inlineStr"/>
      <c r="BA3" t="n">
        <v>0.005</v>
      </c>
      <c r="BB3" t="n">
        <v>0.0027</v>
      </c>
      <c r="BC3" t="n">
        <v>0.0514431858374147</v>
      </c>
      <c r="BD3" t="n">
        <v>145</v>
      </c>
      <c r="BE3" t="n">
        <v>1.45</v>
      </c>
      <c r="BF3" t="n">
        <v>1.33</v>
      </c>
      <c r="BG3" t="n">
        <v>0.235</v>
      </c>
      <c r="BH3" t="n">
        <v>1.2</v>
      </c>
      <c r="BI3" t="n">
        <v>3</v>
      </c>
      <c r="BJ3" t="n">
        <v>1.5</v>
      </c>
      <c r="BK3" t="n">
        <v>0</v>
      </c>
      <c r="BL3" t="n">
        <v>-0.3</v>
      </c>
    </row>
    <row r="4">
      <c r="A4" t="n">
        <v>2</v>
      </c>
      <c r="B4" t="inlineStr">
        <is>
          <t>FLD</t>
        </is>
      </c>
      <c r="C4" t="n">
        <v>295</v>
      </c>
      <c r="D4" t="inlineStr">
        <is>
          <t>FLD295</t>
        </is>
      </c>
      <c r="E4" t="inlineStr">
        <is>
          <t>Cost of Funds Update (5.9%)</t>
        </is>
      </c>
      <c r="F4" s="107" t="n">
        <v>46162</v>
      </c>
      <c r="G4" s="108" t="n">
        <v>46160</v>
      </c>
      <c r="H4" t="inlineStr"/>
      <c r="I4" t="n">
        <v>0.0546800777641039</v>
      </c>
      <c r="J4" t="n">
        <v>0.236216554373185</v>
      </c>
      <c r="K4" t="n">
        <v>0.104822130511897</v>
      </c>
      <c r="L4" t="n">
        <v>0.0262023460971841</v>
      </c>
      <c r="M4" t="n">
        <v>0.050512</v>
      </c>
      <c r="N4" t="n">
        <v>188.1</v>
      </c>
      <c r="O4" t="n">
        <v>139.9</v>
      </c>
      <c r="P4" t="inlineStr">
        <is>
          <t>Franchise3.0</t>
        </is>
      </c>
      <c r="Q4" t="n">
        <v>2.29999999830796</v>
      </c>
      <c r="R4" t="n">
        <v>2.22846442</v>
      </c>
      <c r="S4" t="n">
        <v>1.032100839334</v>
      </c>
      <c r="T4" t="n">
        <v>0.236700914</v>
      </c>
      <c r="U4" t="n">
        <v>0.93</v>
      </c>
      <c r="V4" t="n">
        <v>0.01675482</v>
      </c>
      <c r="W4" t="n">
        <v>0.003</v>
      </c>
      <c r="X4" t="n">
        <v>0.0041</v>
      </c>
      <c r="Y4" t="n">
        <v>0.0017</v>
      </c>
      <c r="Z4" t="n">
        <v>0.2410909</v>
      </c>
      <c r="AA4" t="n">
        <v>0.697601913820567</v>
      </c>
      <c r="AB4" t="n">
        <v>0.456511013820568</v>
      </c>
      <c r="AC4" t="n">
        <v>1.85422832583496</v>
      </c>
      <c r="AD4" t="n">
        <v>0.376222229</v>
      </c>
      <c r="AE4" t="n">
        <v>1</v>
      </c>
      <c r="AF4" t="n">
        <v>0.2462</v>
      </c>
      <c r="AG4" t="n">
        <v>1</v>
      </c>
      <c r="AH4" t="n">
        <v>0.059</v>
      </c>
      <c r="AI4" t="n">
        <v>0.0026</v>
      </c>
      <c r="AJ4" t="n">
        <v>0.82</v>
      </c>
      <c r="AK4" t="n">
        <v>0.031975396</v>
      </c>
      <c r="AL4" t="n">
        <v>0.0123</v>
      </c>
      <c r="AM4" t="n">
        <v>0</v>
      </c>
      <c r="AN4" t="n">
        <v>13</v>
      </c>
      <c r="AO4" t="n">
        <v>5</v>
      </c>
      <c r="AP4" t="n">
        <v>1</v>
      </c>
      <c r="AQ4" t="n">
        <v>0</v>
      </c>
      <c r="AR4" t="n">
        <v>0</v>
      </c>
      <c r="AS4" t="n">
        <v>1</v>
      </c>
      <c r="AT4" t="n">
        <v>0.01</v>
      </c>
      <c r="AU4" t="n">
        <v>0.9935</v>
      </c>
      <c r="AV4" s="107" t="n">
        <v>46162.70502314815</v>
      </c>
      <c r="AW4" s="107" t="n">
        <v>2958101</v>
      </c>
      <c r="AX4" t="inlineStr"/>
      <c r="AY4" t="n">
        <v>0</v>
      </c>
      <c r="AZ4" t="inlineStr"/>
      <c r="BA4" t="n">
        <v>0.005</v>
      </c>
      <c r="BB4" t="n">
        <v>0.0027</v>
      </c>
      <c r="BC4" t="n">
        <v>0.0469800777641039</v>
      </c>
      <c r="BD4" t="n">
        <v>144</v>
      </c>
      <c r="BE4" t="n">
        <v>1.45</v>
      </c>
      <c r="BF4" t="n">
        <v>1.45</v>
      </c>
      <c r="BG4" t="n">
        <v>0.235</v>
      </c>
      <c r="BH4" t="n">
        <v>2.5</v>
      </c>
      <c r="BI4" t="n">
        <v>1.7</v>
      </c>
      <c r="BJ4" t="n">
        <v>0</v>
      </c>
      <c r="BK4" t="n">
        <v>0</v>
      </c>
      <c r="BL4" t="n">
        <v>-0.1</v>
      </c>
    </row>
    <row r="5">
      <c r="A5" t="n">
        <v>3</v>
      </c>
      <c r="B5" t="inlineStr">
        <is>
          <t>FRN</t>
        </is>
      </c>
      <c r="C5" t="n">
        <v>419</v>
      </c>
      <c r="D5" t="inlineStr">
        <is>
          <t>FRN419</t>
        </is>
      </c>
      <c r="E5" t="inlineStr">
        <is>
          <t>Cost of Funds Update (5.9%)</t>
        </is>
      </c>
      <c r="F5" s="107" t="n">
        <v>46162</v>
      </c>
      <c r="G5" s="108" t="n">
        <v>46160</v>
      </c>
      <c r="H5" t="inlineStr"/>
      <c r="I5" t="n">
        <v>0.0560405268480274</v>
      </c>
      <c r="J5" t="n">
        <v>0.274047491377664</v>
      </c>
      <c r="K5" t="n">
        <v>0.141318200026987</v>
      </c>
      <c r="L5" t="n">
        <v>0.02617676450265</v>
      </c>
      <c r="M5" t="n">
        <v>0.050512</v>
      </c>
      <c r="N5" t="n">
        <v>598.5</v>
      </c>
      <c r="O5" t="n">
        <v>142.3</v>
      </c>
      <c r="P5" t="inlineStr">
        <is>
          <t>Franchise3.0</t>
        </is>
      </c>
      <c r="Q5" t="n">
        <v>1.99999999961807</v>
      </c>
      <c r="R5" t="n">
        <v>2.178675577</v>
      </c>
      <c r="S5" t="n">
        <v>0.9179889014830001</v>
      </c>
      <c r="T5" t="n">
        <v>0.256452944</v>
      </c>
      <c r="U5" t="n">
        <v>0.9023</v>
      </c>
      <c r="V5" t="n">
        <v>0.0677</v>
      </c>
      <c r="W5" t="n">
        <v>0.003</v>
      </c>
      <c r="X5" t="n">
        <v>0.0041</v>
      </c>
      <c r="Y5" t="n">
        <v>0.0017</v>
      </c>
      <c r="Z5" t="n">
        <v>0.2826364</v>
      </c>
      <c r="AA5" t="n">
        <v>0.612515491324707</v>
      </c>
      <c r="AB5" t="n">
        <v>0.329879091324707</v>
      </c>
      <c r="AC5" t="n">
        <v>1.31760039506083</v>
      </c>
      <c r="AD5" t="n">
        <v>0.46487197</v>
      </c>
      <c r="AE5" t="n">
        <v>1</v>
      </c>
      <c r="AF5" t="n">
        <v>0.250363534013267</v>
      </c>
      <c r="AG5" t="n">
        <v>1</v>
      </c>
      <c r="AH5" t="n">
        <v>0.059</v>
      </c>
      <c r="AI5" t="n">
        <v>0.0026</v>
      </c>
      <c r="AJ5" t="n">
        <v>0.82</v>
      </c>
      <c r="AK5" t="n">
        <v>0.027753529</v>
      </c>
      <c r="AL5" t="n">
        <v>0.0123</v>
      </c>
      <c r="AM5" t="n">
        <v>0</v>
      </c>
      <c r="AN5" t="n">
        <v>19</v>
      </c>
      <c r="AO5" t="n">
        <v>6</v>
      </c>
      <c r="AP5" t="n">
        <v>1</v>
      </c>
      <c r="AQ5" t="n">
        <v>0</v>
      </c>
      <c r="AR5" t="n">
        <v>0</v>
      </c>
      <c r="AS5" t="n">
        <v>1</v>
      </c>
      <c r="AT5" t="n">
        <v>0.01</v>
      </c>
      <c r="AU5" t="n">
        <v>0.993</v>
      </c>
      <c r="AV5" s="107" t="n">
        <v>46162.70505787037</v>
      </c>
      <c r="AW5" s="107" t="n">
        <v>2958101</v>
      </c>
      <c r="AX5" t="inlineStr"/>
      <c r="AY5" t="n">
        <v>0</v>
      </c>
      <c r="AZ5" t="inlineStr"/>
      <c r="BA5" t="n">
        <v>0.005</v>
      </c>
      <c r="BB5" t="n">
        <v>0.0027</v>
      </c>
      <c r="BC5" t="n">
        <v>0.0483405268480274</v>
      </c>
      <c r="BD5" t="n">
        <v>151</v>
      </c>
      <c r="BE5" t="n">
        <v>1.94</v>
      </c>
      <c r="BF5" t="n">
        <v>1.44</v>
      </c>
      <c r="BG5" t="n">
        <v>0.25</v>
      </c>
      <c r="BH5" t="n">
        <v>3.4</v>
      </c>
      <c r="BI5" t="n">
        <v>0</v>
      </c>
      <c r="BJ5" t="n">
        <v>5.9</v>
      </c>
      <c r="BK5" t="n">
        <v>0</v>
      </c>
      <c r="BL5" t="n">
        <v>-0.6</v>
      </c>
    </row>
    <row r="6">
      <c r="A6" t="n">
        <v>4</v>
      </c>
      <c r="B6" t="inlineStr">
        <is>
          <t>KMX</t>
        </is>
      </c>
      <c r="C6" t="n">
        <v>436</v>
      </c>
      <c r="D6" t="inlineStr">
        <is>
          <t>KMX436</t>
        </is>
      </c>
      <c r="E6" t="inlineStr">
        <is>
          <t>Cost of Funds Update (5.9%)</t>
        </is>
      </c>
      <c r="F6" s="107" t="n">
        <v>46162</v>
      </c>
      <c r="G6" s="108" t="n">
        <v>46160</v>
      </c>
      <c r="H6" t="inlineStr"/>
      <c r="I6" t="n">
        <v>0.0620596966863267</v>
      </c>
      <c r="J6" t="n">
        <v>0.247852102165676</v>
      </c>
      <c r="K6" t="n">
        <v>0.119404118070985</v>
      </c>
      <c r="L6" t="n">
        <v>0.0158762874083651</v>
      </c>
      <c r="M6" t="n">
        <v>0.050512</v>
      </c>
      <c r="N6" t="n">
        <v>1764</v>
      </c>
      <c r="O6" t="n">
        <v>142.6</v>
      </c>
      <c r="P6" t="inlineStr">
        <is>
          <t>Mountain3</t>
        </is>
      </c>
      <c r="Q6" t="n">
        <v>2.37999999155018</v>
      </c>
      <c r="R6" t="n">
        <v>2.41735636</v>
      </c>
      <c r="S6" t="n">
        <v>0.984546602616</v>
      </c>
      <c r="T6" t="n">
        <v>0.24479264</v>
      </c>
      <c r="U6" t="n">
        <v>0.9173</v>
      </c>
      <c r="V6" t="n">
        <v>0.032377076</v>
      </c>
      <c r="W6" t="n">
        <v>0.003</v>
      </c>
      <c r="X6" t="n">
        <v>0.0041</v>
      </c>
      <c r="Y6" t="n">
        <v>0.0026</v>
      </c>
      <c r="Z6" t="n">
        <v>0.2841818</v>
      </c>
      <c r="AA6" t="n">
        <v>0.652518309805338</v>
      </c>
      <c r="AB6" t="n">
        <v>0.368336509805338</v>
      </c>
      <c r="AC6" t="n">
        <v>1.30770709087637</v>
      </c>
      <c r="AD6" t="n">
        <v>0.498978949</v>
      </c>
      <c r="AE6" t="n">
        <v>1</v>
      </c>
      <c r="AF6" t="n">
        <v>0.28166591156013</v>
      </c>
      <c r="AG6" t="n">
        <v>1</v>
      </c>
      <c r="AH6" t="n">
        <v>0.059</v>
      </c>
      <c r="AI6" t="n">
        <v>0.0026</v>
      </c>
      <c r="AJ6" t="n">
        <v>0.82</v>
      </c>
      <c r="AK6" t="n">
        <v>0.008987564</v>
      </c>
      <c r="AL6" t="n">
        <v>0.0121</v>
      </c>
      <c r="AM6" t="n">
        <v>0</v>
      </c>
      <c r="AN6" t="n">
        <v>4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0.0065</v>
      </c>
      <c r="AU6" t="n">
        <v>0.9399999999999999</v>
      </c>
      <c r="AV6" s="107" t="n">
        <v>46162.70471064815</v>
      </c>
      <c r="AW6" s="107" t="n">
        <v>2958101</v>
      </c>
      <c r="AX6" t="inlineStr"/>
      <c r="AY6" t="n">
        <v>0</v>
      </c>
      <c r="AZ6" t="inlineStr"/>
      <c r="BA6" t="n">
        <v>0.005</v>
      </c>
      <c r="BB6" t="n">
        <v>0.0027</v>
      </c>
      <c r="BC6" t="n">
        <v>0.0543596966863267</v>
      </c>
      <c r="BD6" t="n">
        <v>144</v>
      </c>
      <c r="BE6" t="n">
        <v>1.59</v>
      </c>
      <c r="BF6" t="n">
        <v>1.57</v>
      </c>
      <c r="BG6" t="n">
        <v>0.25</v>
      </c>
      <c r="BH6" t="n">
        <v>0.2</v>
      </c>
      <c r="BI6" t="n">
        <v>0.47</v>
      </c>
      <c r="BJ6" t="n">
        <v>0.2</v>
      </c>
      <c r="BK6" t="n">
        <v>0</v>
      </c>
      <c r="BL6" t="n">
        <v>0.5</v>
      </c>
    </row>
    <row r="7">
      <c r="A7" t="n">
        <v>5</v>
      </c>
      <c r="B7" t="inlineStr">
        <is>
          <t>MCY</t>
        </is>
      </c>
      <c r="C7" t="n">
        <v>348</v>
      </c>
      <c r="D7" t="inlineStr">
        <is>
          <t>MCY348</t>
        </is>
      </c>
      <c r="E7" t="inlineStr">
        <is>
          <t>Cost of Funds Update (5.9%)</t>
        </is>
      </c>
      <c r="F7" s="107" t="n">
        <v>46162</v>
      </c>
      <c r="G7" s="108" t="n">
        <v>46160</v>
      </c>
      <c r="H7" t="inlineStr"/>
      <c r="I7" t="n">
        <v>0.0518381859358718</v>
      </c>
      <c r="J7" t="n">
        <v>0.300331263640095</v>
      </c>
      <c r="K7" t="n">
        <v>0.171804313348094</v>
      </c>
      <c r="L7" t="n">
        <v>0.0261767643561296</v>
      </c>
      <c r="M7" t="n">
        <v>0.050512</v>
      </c>
      <c r="N7" t="n">
        <v>30</v>
      </c>
      <c r="O7" t="n">
        <v>148.7</v>
      </c>
      <c r="P7" t="inlineStr">
        <is>
          <t>MCY2.0</t>
        </is>
      </c>
      <c r="Q7" t="n">
        <v>1.97000001574032</v>
      </c>
      <c r="R7" t="n">
        <v>2.2435149</v>
      </c>
      <c r="S7" t="n">
        <v>0.878086441833</v>
      </c>
      <c r="T7" t="n">
        <v>0.252</v>
      </c>
      <c r="U7" t="n">
        <v>0.887727124</v>
      </c>
      <c r="V7" t="n">
        <v>0.133613337</v>
      </c>
      <c r="W7" t="n">
        <v>0.003</v>
      </c>
      <c r="X7" t="n">
        <v>0.0041</v>
      </c>
      <c r="Y7" t="n">
        <v>0.0017</v>
      </c>
      <c r="Z7" t="n">
        <v>0.3384545</v>
      </c>
      <c r="AA7" t="n">
        <v>0.585907075117387</v>
      </c>
      <c r="AB7" t="n">
        <v>0.247452575117387</v>
      </c>
      <c r="AC7" t="n">
        <v>1.45314254741415</v>
      </c>
      <c r="AD7" t="n">
        <v>0.4032</v>
      </c>
      <c r="AE7" t="n">
        <v>1</v>
      </c>
      <c r="AF7" t="n">
        <v>0.1702878878316</v>
      </c>
      <c r="AG7" t="n">
        <v>1</v>
      </c>
      <c r="AH7" t="n">
        <v>0.059</v>
      </c>
      <c r="AI7" t="n">
        <v>0.0026</v>
      </c>
      <c r="AJ7" t="n">
        <v>0.82</v>
      </c>
      <c r="AK7" t="n">
        <v>0.027337226</v>
      </c>
      <c r="AL7" t="n">
        <v>0.0123</v>
      </c>
      <c r="AM7" t="n">
        <v>0</v>
      </c>
      <c r="AN7" t="n">
        <v>12</v>
      </c>
      <c r="AO7" t="n">
        <v>7</v>
      </c>
      <c r="AP7" t="n">
        <v>1</v>
      </c>
      <c r="AQ7" t="n">
        <v>0</v>
      </c>
      <c r="AR7" t="n">
        <v>0</v>
      </c>
      <c r="AS7" t="n">
        <v>1</v>
      </c>
      <c r="AT7" t="n">
        <v>0.0117</v>
      </c>
      <c r="AU7" t="n">
        <v>0.9915</v>
      </c>
      <c r="AV7" s="107" t="n">
        <v>46162.70510416666</v>
      </c>
      <c r="AW7" s="107" t="n">
        <v>2958101</v>
      </c>
      <c r="AX7" t="inlineStr"/>
      <c r="AY7" t="n">
        <v>0</v>
      </c>
      <c r="AZ7" t="inlineStr"/>
      <c r="BA7" t="n">
        <v>0.005</v>
      </c>
      <c r="BB7" t="n">
        <v>0.0027</v>
      </c>
      <c r="BC7" t="n">
        <v>0.0441381859358718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n">
        <v>6</v>
      </c>
      <c r="B8" t="inlineStr">
        <is>
          <t>SFS</t>
        </is>
      </c>
      <c r="C8" t="n">
        <v>45</v>
      </c>
      <c r="D8" t="inlineStr">
        <is>
          <t>SFS45</t>
        </is>
      </c>
      <c r="E8" t="inlineStr">
        <is>
          <t>Cost of Funds Update (5.9%)</t>
        </is>
      </c>
      <c r="F8" s="107" t="n">
        <v>46162</v>
      </c>
      <c r="G8" s="108" t="n">
        <v>46160</v>
      </c>
      <c r="H8" t="inlineStr"/>
      <c r="I8" t="n">
        <v>0.0557752464409029</v>
      </c>
      <c r="J8" t="n">
        <v>0.226489515418502</v>
      </c>
      <c r="K8" t="n">
        <v>0.106202268977599</v>
      </c>
      <c r="L8" t="n">
        <v>0.014</v>
      </c>
      <c r="M8" t="n">
        <v>0.050512</v>
      </c>
      <c r="N8" t="n">
        <v>710</v>
      </c>
      <c r="O8" t="n">
        <v>0</v>
      </c>
      <c r="P8" t="inlineStr"/>
      <c r="Q8" t="n">
        <v>2.27</v>
      </c>
      <c r="R8" t="n">
        <v>2.27</v>
      </c>
      <c r="S8" t="n">
        <v>1</v>
      </c>
      <c r="T8" t="n">
        <v>0.228</v>
      </c>
      <c r="U8" t="n">
        <v>0.92</v>
      </c>
      <c r="V8" t="n">
        <v>0.018</v>
      </c>
      <c r="W8" t="n">
        <v>0.003</v>
      </c>
      <c r="X8" t="n">
        <v>0.0041</v>
      </c>
      <c r="Y8" t="n">
        <v>0.0017</v>
      </c>
      <c r="Z8" t="n">
        <v>0.241079150579151</v>
      </c>
      <c r="AA8" t="n">
        <v>0.461640926640927</v>
      </c>
      <c r="AB8" t="n">
        <v>0.220561776061776</v>
      </c>
      <c r="AC8" t="n">
        <v>1.02586872586873</v>
      </c>
      <c r="AD8" t="n">
        <v>0.45</v>
      </c>
      <c r="AE8" t="n">
        <v>1</v>
      </c>
      <c r="AF8" t="n">
        <v>0.215</v>
      </c>
      <c r="AG8" t="n">
        <v>1</v>
      </c>
      <c r="AH8" t="n">
        <v>0.059</v>
      </c>
      <c r="AI8" t="n">
        <v>0.0026</v>
      </c>
      <c r="AJ8" t="n">
        <v>0.82</v>
      </c>
      <c r="AK8" t="n">
        <v>0.003405</v>
      </c>
      <c r="AL8" t="n">
        <v>0.0125</v>
      </c>
      <c r="AM8" t="n">
        <v>0</v>
      </c>
      <c r="AN8" t="n">
        <v>2</v>
      </c>
      <c r="AO8" t="n">
        <v>10</v>
      </c>
      <c r="AP8" t="n">
        <v>1</v>
      </c>
      <c r="AQ8" t="n">
        <v>0</v>
      </c>
      <c r="AR8" t="n">
        <v>0</v>
      </c>
      <c r="AS8" t="n">
        <v>1</v>
      </c>
      <c r="AT8" t="n">
        <v>0.01</v>
      </c>
      <c r="AU8" t="n">
        <v>1</v>
      </c>
      <c r="AV8" s="107" t="n">
        <v>46162.70515046296</v>
      </c>
      <c r="AW8" s="107" t="n">
        <v>2958101</v>
      </c>
      <c r="AX8" t="inlineStr"/>
      <c r="AY8" t="n">
        <v>0</v>
      </c>
      <c r="AZ8" t="inlineStr"/>
      <c r="BA8" t="n">
        <v>0.005</v>
      </c>
      <c r="BB8" t="n">
        <v>0.0027</v>
      </c>
      <c r="BC8" t="n">
        <v>0.0480752464409029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n">
        <v>7</v>
      </c>
      <c r="B9" t="inlineStr">
        <is>
          <t>STG</t>
        </is>
      </c>
      <c r="C9" t="n">
        <v>426</v>
      </c>
      <c r="D9" t="inlineStr">
        <is>
          <t>STG426</t>
        </is>
      </c>
      <c r="E9" t="inlineStr">
        <is>
          <t>Cost of Funds Update (5.9%)</t>
        </is>
      </c>
      <c r="F9" s="107" t="n">
        <v>46162</v>
      </c>
      <c r="G9" s="108" t="n">
        <v>46160</v>
      </c>
      <c r="H9" t="inlineStr"/>
      <c r="I9" t="n">
        <v>0.0644664453897202</v>
      </c>
      <c r="J9" t="n">
        <v>0.257164087799802</v>
      </c>
      <c r="K9" t="n">
        <v>0.11600887802293</v>
      </c>
      <c r="L9" t="n">
        <v>0.0261767643871517</v>
      </c>
      <c r="M9" t="n">
        <v>0.050512</v>
      </c>
      <c r="N9" t="n">
        <v>380</v>
      </c>
      <c r="O9" t="n">
        <v>138.8</v>
      </c>
      <c r="P9" t="inlineStr">
        <is>
          <t>Franchise3.0</t>
        </is>
      </c>
      <c r="Q9" t="n">
        <v>2.05000000045681</v>
      </c>
      <c r="R9" t="n">
        <v>2.180166621</v>
      </c>
      <c r="S9" t="n">
        <v>0.940295104379</v>
      </c>
      <c r="T9" t="n">
        <v>0.2456</v>
      </c>
      <c r="U9" t="n">
        <v>0.9185</v>
      </c>
      <c r="V9" t="n">
        <v>0.0467</v>
      </c>
      <c r="W9" t="n">
        <v>0.003</v>
      </c>
      <c r="X9" t="n">
        <v>0.0041</v>
      </c>
      <c r="Y9" t="n">
        <v>0.0017</v>
      </c>
      <c r="Z9" t="n">
        <v>0.2378182</v>
      </c>
      <c r="AA9" t="n">
        <v>0.505376117692426</v>
      </c>
      <c r="AB9" t="n">
        <v>0.267557917692426</v>
      </c>
      <c r="AC9" t="n">
        <v>1.08959143688049</v>
      </c>
      <c r="AD9" t="n">
        <v>0.463821668</v>
      </c>
      <c r="AE9" t="n">
        <v>1</v>
      </c>
      <c r="AF9" t="n">
        <v>0.245558021691549</v>
      </c>
      <c r="AG9" t="n">
        <v>1</v>
      </c>
      <c r="AH9" t="n">
        <v>0.059</v>
      </c>
      <c r="AI9" t="n">
        <v>0.0026</v>
      </c>
      <c r="AJ9" t="n">
        <v>0.82</v>
      </c>
      <c r="AK9" t="n">
        <v>0.028447367</v>
      </c>
      <c r="AL9" t="n">
        <v>0.0123</v>
      </c>
      <c r="AM9" t="n">
        <v>0</v>
      </c>
      <c r="AN9" t="n">
        <v>17</v>
      </c>
      <c r="AO9" t="n">
        <v>3</v>
      </c>
      <c r="AP9" t="n">
        <v>1</v>
      </c>
      <c r="AQ9" t="n">
        <v>0</v>
      </c>
      <c r="AR9" t="n">
        <v>0</v>
      </c>
      <c r="AS9" t="n">
        <v>1</v>
      </c>
      <c r="AT9" t="n">
        <v>0.01</v>
      </c>
      <c r="AU9" t="n">
        <v>0.995</v>
      </c>
      <c r="AV9" s="107" t="n">
        <v>46162.70490740741</v>
      </c>
      <c r="AW9" s="107" t="n">
        <v>2958101</v>
      </c>
      <c r="AX9" t="inlineStr"/>
      <c r="AY9" t="n">
        <v>0</v>
      </c>
      <c r="AZ9" t="inlineStr"/>
      <c r="BA9" t="n">
        <v>0.005</v>
      </c>
      <c r="BB9" t="n">
        <v>0.0027</v>
      </c>
      <c r="BC9" t="n">
        <v>0.0567664453897202</v>
      </c>
      <c r="BD9" t="n">
        <v>151.2</v>
      </c>
      <c r="BE9" t="n">
        <v>1.94</v>
      </c>
      <c r="BF9" t="n">
        <v>1.45</v>
      </c>
      <c r="BG9" t="n">
        <v>0.25</v>
      </c>
      <c r="BH9" t="n">
        <v>3.7</v>
      </c>
      <c r="BI9" t="n">
        <v>3</v>
      </c>
      <c r="BJ9" t="n">
        <v>5.7</v>
      </c>
      <c r="BK9" t="n">
        <v>0</v>
      </c>
      <c r="BL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="235" zoomScaleNormal="235" workbookViewId="0">
      <selection activeCell="C21" sqref="C21"/>
    </sheetView>
  </sheetViews>
  <sheetFormatPr baseColWidth="8" defaultRowHeight="14.5"/>
  <cols>
    <col width="29.453125" bestFit="1" customWidth="1" style="104" min="1" max="1"/>
  </cols>
  <sheetData>
    <row r="1" ht="15" customHeight="1" s="104" thickBot="1">
      <c r="A1" s="1" t="inlineStr">
        <is>
          <t>POS</t>
        </is>
      </c>
      <c r="B1" s="8">
        <f>tzero_results!C1</f>
        <v/>
      </c>
      <c r="C1" s="8">
        <f>tzero_results!D1</f>
        <v/>
      </c>
      <c r="D1" s="8">
        <f>tzero_results!E1</f>
        <v/>
      </c>
      <c r="E1" s="8">
        <f>tzero_results!F1</f>
        <v/>
      </c>
      <c r="F1" s="8">
        <f>tzero_results!G1</f>
        <v/>
      </c>
      <c r="G1" s="9" t="inlineStr">
        <is>
          <t>t-1</t>
        </is>
      </c>
    </row>
    <row r="2">
      <c r="A2" s="2" t="inlineStr">
        <is>
          <t>Model Score (W)</t>
        </is>
      </c>
      <c r="B2" s="95">
        <f>tzero_results!C66</f>
        <v/>
      </c>
      <c r="C2" s="95">
        <f>tzero_results!D66</f>
        <v/>
      </c>
      <c r="D2" s="95">
        <f>tzero_results!E66</f>
        <v/>
      </c>
      <c r="E2" s="95">
        <f>tzero_results!F66</f>
        <v/>
      </c>
      <c r="F2" s="95">
        <f>tzero_results!G66</f>
        <v/>
      </c>
      <c r="G2" s="35" t="n"/>
    </row>
    <row r="3">
      <c r="A3" s="2" t="inlineStr">
        <is>
          <t>Discount (Average)</t>
        </is>
      </c>
      <c r="B3" s="46">
        <f>tzero_results!C67</f>
        <v/>
      </c>
      <c r="C3" s="46">
        <f>tzero_results!D67</f>
        <v/>
      </c>
      <c r="D3" s="46">
        <f>tzero_results!E67</f>
        <v/>
      </c>
      <c r="E3" s="46">
        <f>tzero_results!F67</f>
        <v/>
      </c>
      <c r="F3" s="46">
        <f>tzero_results!G67</f>
        <v/>
      </c>
      <c r="G3" s="11" t="n"/>
    </row>
    <row r="4">
      <c r="A4" s="2" t="inlineStr">
        <is>
          <t>Discount % (Weighted)</t>
        </is>
      </c>
      <c r="B4" s="93">
        <f>tzero_results!C68</f>
        <v/>
      </c>
      <c r="C4" s="93">
        <f>tzero_results!D68</f>
        <v/>
      </c>
      <c r="D4" s="93">
        <f>tzero_results!E68</f>
        <v/>
      </c>
      <c r="E4" s="93">
        <f>tzero_results!F68</f>
        <v/>
      </c>
      <c r="F4" s="93">
        <f>tzero_results!G68</f>
        <v/>
      </c>
      <c r="G4" s="12" t="n"/>
    </row>
    <row r="5">
      <c r="A5" s="2" t="inlineStr">
        <is>
          <t>APR (Average)</t>
        </is>
      </c>
      <c r="B5" s="93">
        <f>tzero_results!C69</f>
        <v/>
      </c>
      <c r="C5" s="93">
        <f>tzero_results!D69</f>
        <v/>
      </c>
      <c r="D5" s="93">
        <f>tzero_results!E69</f>
        <v/>
      </c>
      <c r="E5" s="93">
        <f>tzero_results!F69</f>
        <v/>
      </c>
      <c r="F5" s="93">
        <f>tzero_results!G69</f>
        <v/>
      </c>
      <c r="G5" s="3" t="n"/>
    </row>
    <row r="6">
      <c r="A6" s="2" t="inlineStr">
        <is>
          <t>APR (Weighted)</t>
        </is>
      </c>
      <c r="B6" s="93">
        <f>tzero_results!C70</f>
        <v/>
      </c>
      <c r="C6" s="93">
        <f>tzero_results!D70</f>
        <v/>
      </c>
      <c r="D6" s="93">
        <f>tzero_results!E70</f>
        <v/>
      </c>
      <c r="E6" s="93">
        <f>tzero_results!F70</f>
        <v/>
      </c>
      <c r="F6" s="93">
        <f>tzero_results!G70</f>
        <v/>
      </c>
      <c r="G6" s="12" t="n"/>
    </row>
    <row r="7">
      <c r="A7" s="2" t="inlineStr">
        <is>
          <t>Applications</t>
        </is>
      </c>
      <c r="B7" s="72">
        <f>tzero_results!C71</f>
        <v/>
      </c>
      <c r="C7" s="72">
        <f>tzero_results!D71</f>
        <v/>
      </c>
      <c r="D7" s="72">
        <f>tzero_results!E71</f>
        <v/>
      </c>
      <c r="E7" s="72">
        <f>tzero_results!F71</f>
        <v/>
      </c>
      <c r="F7" s="72">
        <f>tzero_results!G71</f>
        <v/>
      </c>
      <c r="G7" s="11" t="n"/>
    </row>
    <row r="8">
      <c r="A8" s="2" t="inlineStr">
        <is>
          <t>Contracts (In house, Not Funded)</t>
        </is>
      </c>
      <c r="B8" s="73" t="n"/>
      <c r="C8" s="73" t="n"/>
      <c r="D8" s="73" t="n"/>
      <c r="E8" s="73" t="n"/>
      <c r="F8" s="73" t="n"/>
      <c r="G8" s="11" t="n"/>
    </row>
    <row r="9" ht="15" customHeight="1" s="104" thickBot="1">
      <c r="A9" s="14" t="inlineStr">
        <is>
          <t>Contracts</t>
        </is>
      </c>
      <c r="B9" s="74">
        <f>tzero_results!C72</f>
        <v/>
      </c>
      <c r="C9" s="74">
        <f>tzero_results!D72</f>
        <v/>
      </c>
      <c r="D9" s="74">
        <f>tzero_results!E72</f>
        <v/>
      </c>
      <c r="E9" s="74">
        <f>tzero_results!F72</f>
        <v/>
      </c>
      <c r="F9" s="74">
        <f>tzero_results!G72</f>
        <v/>
      </c>
      <c r="G9" s="11" t="n"/>
    </row>
    <row r="10">
      <c r="A10" s="15" t="inlineStr">
        <is>
          <t>BlackBook Value (Average)</t>
        </is>
      </c>
      <c r="B10" s="75">
        <f>tzero_results!C73</f>
        <v/>
      </c>
      <c r="C10" s="75">
        <f>tzero_results!D73</f>
        <v/>
      </c>
      <c r="D10" s="75">
        <f>tzero_results!E73</f>
        <v/>
      </c>
      <c r="E10" s="75">
        <f>tzero_results!F73</f>
        <v/>
      </c>
      <c r="F10" s="75">
        <f>tzero_results!G73</f>
        <v/>
      </c>
      <c r="G10" s="103" t="n"/>
    </row>
    <row r="11">
      <c r="A11" s="2" t="inlineStr">
        <is>
          <t>BlackBook LTV (Weighted)</t>
        </is>
      </c>
      <c r="B11" s="93">
        <f>tzero_results!C74</f>
        <v/>
      </c>
      <c r="C11" s="93">
        <f>tzero_results!D74</f>
        <v/>
      </c>
      <c r="D11" s="93">
        <f>tzero_results!E74</f>
        <v/>
      </c>
      <c r="E11" s="93">
        <f>tzero_results!F74</f>
        <v/>
      </c>
      <c r="F11" s="93">
        <f>tzero_results!G74</f>
        <v/>
      </c>
      <c r="G11" s="11" t="n"/>
    </row>
    <row r="12">
      <c r="A12" s="2" t="inlineStr">
        <is>
          <t>Mileage (Average)</t>
        </is>
      </c>
      <c r="B12" s="71">
        <f>tzero_results!C75</f>
        <v/>
      </c>
      <c r="C12" s="71">
        <f>tzero_results!D75</f>
        <v/>
      </c>
      <c r="D12" s="71">
        <f>tzero_results!E75</f>
        <v/>
      </c>
      <c r="E12" s="71">
        <f>tzero_results!F75</f>
        <v/>
      </c>
      <c r="F12" s="71">
        <f>tzero_results!G75</f>
        <v/>
      </c>
      <c r="G12" s="11" t="n"/>
    </row>
    <row r="13" ht="15" customHeight="1" s="104" thickBot="1">
      <c r="A13" s="2" t="inlineStr">
        <is>
          <t>Vehicle Age (Average)</t>
        </is>
      </c>
      <c r="B13" s="44">
        <f>tzero_results!C76</f>
        <v/>
      </c>
      <c r="C13" s="44">
        <f>tzero_results!D76</f>
        <v/>
      </c>
      <c r="D13" s="44">
        <f>tzero_results!E76</f>
        <v/>
      </c>
      <c r="E13" s="44">
        <f>tzero_results!F76</f>
        <v/>
      </c>
      <c r="F13" s="44">
        <f>tzero_results!G76</f>
        <v/>
      </c>
      <c r="G13" s="17" t="n"/>
    </row>
    <row r="14">
      <c r="A14" s="2" t="inlineStr">
        <is>
          <t>CNL</t>
        </is>
      </c>
      <c r="B14" s="19" t="n"/>
      <c r="C14" s="19" t="n"/>
      <c r="D14" s="19" t="n"/>
      <c r="E14" s="19" t="n"/>
      <c r="F14" s="19" t="n"/>
      <c r="G14" s="20">
        <f>tminusone!AA9</f>
        <v/>
      </c>
    </row>
    <row r="15" ht="15" customHeight="1" s="104" thickBot="1">
      <c r="A15" s="25" t="inlineStr">
        <is>
          <t>vROA</t>
        </is>
      </c>
      <c r="B15" s="26" t="n"/>
      <c r="C15" s="26" t="n"/>
      <c r="D15" s="26" t="n"/>
      <c r="E15" s="26" t="n"/>
      <c r="F15" s="26" t="n"/>
      <c r="G15" s="27">
        <f>#REF!-0.77%</f>
        <v/>
      </c>
    </row>
    <row r="22">
      <c r="B22" s="67" t="n"/>
      <c r="C22" s="67" t="n"/>
      <c r="D22" s="67" t="n"/>
      <c r="E22" s="67" t="n"/>
      <c r="F22" s="67" t="n"/>
      <c r="G22" s="67" t="n"/>
    </row>
  </sheetData>
  <conditionalFormatting sqref="B1:G2">
    <cfRule type="cellIs" priority="1" operator="equal" dxfId="0">
      <formula>"t-1"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2026-02-06T15:28:07Z</dcterms:created>
  <dcterms:modified xmlns:dcterms="http://purl.org/dc/terms/" xmlns:xsi="http://www.w3.org/2001/XMLSchema-instance" xsi:type="dcterms:W3CDTF">2026-05-28T14:23:55Z</dcterms:modified>
  <cp:lastModifiedBy>Ahmed Ali</cp:lastModifiedBy>
  <cp:lastPrinted>2026-05-08T20:48:58Z</cp:lastPrinted>
</cp:coreProperties>
</file>