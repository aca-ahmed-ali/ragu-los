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all_lobs\output\"/>
    </mc:Choice>
  </mc:AlternateContent>
  <xr:revisionPtr revIDLastSave="0" documentId="13_ncr:1_{90D5F0D7-74FE-48F3-843B-8A6168A94C99}" xr6:coauthVersionLast="47" xr6:coauthVersionMax="47" xr10:uidLastSave="{00000000-0000-0000-0000-000000000000}"/>
  <bookViews>
    <workbookView xWindow="-23820" yWindow="-21720" windowWidth="38640" windowHeight="21120" activeTab="1" xr2:uid="{00000000-000D-0000-FFFF-FFFF00000000}"/>
  </bookViews>
  <sheets>
    <sheet name="Data Tables (Q)" sheetId="1" r:id="rId1"/>
    <sheet name="Data Tables (W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G24" i="1"/>
  <c r="F24" i="1"/>
  <c r="E24" i="1"/>
  <c r="D24" i="1"/>
  <c r="C24" i="1"/>
  <c r="B24" i="1"/>
  <c r="K23" i="1"/>
  <c r="J23" i="1"/>
  <c r="I23" i="1"/>
  <c r="H23" i="1"/>
  <c r="G23" i="1"/>
  <c r="F23" i="1"/>
  <c r="E23" i="1"/>
  <c r="D23" i="1"/>
  <c r="C23" i="1"/>
  <c r="B23" i="1"/>
  <c r="P22" i="1"/>
  <c r="Q21" i="1"/>
  <c r="P21" i="1"/>
  <c r="O21" i="1"/>
  <c r="P20" i="1"/>
  <c r="O20" i="1"/>
  <c r="Q20" i="1" s="1"/>
  <c r="P19" i="1"/>
  <c r="O19" i="1"/>
  <c r="Q19" i="1" s="1"/>
  <c r="P18" i="1"/>
  <c r="Q18" i="1" s="1"/>
  <c r="O18" i="1"/>
  <c r="O22" i="1" s="1"/>
  <c r="P17" i="1"/>
  <c r="Q17" i="1" s="1"/>
  <c r="O17" i="1"/>
  <c r="Q16" i="1"/>
  <c r="P16" i="1"/>
  <c r="O16" i="1"/>
  <c r="P15" i="1"/>
  <c r="Q15" i="1" s="1"/>
  <c r="O15" i="1"/>
  <c r="P14" i="1"/>
  <c r="Q14" i="1" s="1"/>
  <c r="O14" i="1"/>
  <c r="P13" i="1"/>
  <c r="Q13" i="1" s="1"/>
  <c r="O13" i="1"/>
  <c r="P12" i="1"/>
  <c r="P10" i="1"/>
  <c r="Q10" i="1" s="1"/>
  <c r="O10" i="1"/>
  <c r="Q9" i="1"/>
  <c r="P9" i="1"/>
  <c r="O9" i="1"/>
  <c r="P8" i="1"/>
  <c r="Q8" i="1" s="1"/>
  <c r="O8" i="1"/>
  <c r="P7" i="1"/>
  <c r="Q7" i="1" s="1"/>
  <c r="O7" i="1"/>
  <c r="P6" i="1"/>
  <c r="Q6" i="1" s="1"/>
  <c r="O6" i="1"/>
  <c r="P5" i="1"/>
  <c r="Q5" i="1" s="1"/>
  <c r="O5" i="1"/>
  <c r="P4" i="1"/>
  <c r="Q4" i="1" s="1"/>
  <c r="O4" i="1"/>
  <c r="P3" i="1"/>
  <c r="Q3" i="1" s="1"/>
  <c r="O3" i="1"/>
  <c r="P2" i="1"/>
  <c r="Q2" i="1" s="1"/>
  <c r="O2" i="1"/>
  <c r="P25" i="1" l="1"/>
  <c r="P26" i="1"/>
</calcChain>
</file>

<file path=xl/sharedStrings.xml><?xml version="1.0" encoding="utf-8"?>
<sst xmlns="http://schemas.openxmlformats.org/spreadsheetml/2006/main" count="166" uniqueCount="70">
  <si>
    <t>FRN Franchise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</si>
  <si>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</si>
  <si>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</si>
  <si>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</si>
  <si>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</si>
  <si>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</si>
  <si>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</si>
  <si>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</si>
  <si>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</si>
  <si>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</si>
  <si>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</si>
  <si>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24Q2-25Q1</t>
  </si>
  <si>
    <t>26Q1</t>
  </si>
  <si>
    <t>Delta</t>
  </si>
  <si>
    <t>Model Score</t>
  </si>
  <si>
    <t>Franchise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</si>
  <si>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</si>
  <si>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</si>
  <si>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</si>
  <si>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</si>
  <si>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</si>
  <si>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</si>
  <si>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</si>
  <si>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</si>
  <si>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 Independent</t>
  </si>
  <si>
    <t>Independent</t>
  </si>
  <si>
    <t>Franchise vol</t>
  </si>
  <si>
    <t>Independent Volume</t>
  </si>
  <si>
    <t>Volume diff</t>
  </si>
  <si>
    <t>frnf</t>
  </si>
  <si>
    <t>added 60%</t>
  </si>
  <si>
    <t>frni</t>
  </si>
  <si>
    <t>Cut 35%</t>
  </si>
  <si>
    <t>2025-12-28/2026-01-03</t>
  </si>
  <si>
    <t>2026-01-04/2026-01-10</t>
  </si>
  <si>
    <t>2026-01-11/2026-01-17</t>
  </si>
  <si>
    <t>2026-01-18/2026-01-24</t>
  </si>
  <si>
    <t>2026-01-25/2026-01-31</t>
  </si>
  <si>
    <t>2026-02-01/2026-02-07</t>
  </si>
  <si>
    <t>2026-02-08/2026-02-14</t>
  </si>
  <si>
    <t>2026-02-15/2026-02-21</t>
  </si>
  <si>
    <t>2026-02-22/2026-02-28</t>
  </si>
  <si>
    <t>2026-03-01/2026-03-07</t>
  </si>
  <si>
    <t>2026-03-08/2026-03-14</t>
  </si>
  <si>
    <t>2026-03-15/2026-03-21</t>
  </si>
  <si>
    <t>2026-03-22/2026-03-28</t>
  </si>
  <si>
    <t>2026-03-29/2026-04-04</t>
  </si>
  <si>
    <t>2026-04-05/2026-04-11</t>
  </si>
  <si>
    <t>2026-04-12/2026-04-18</t>
  </si>
  <si>
    <t>2026-04-19/2026-04-25</t>
  </si>
  <si>
    <t>2026-04-26/2026-05-02</t>
  </si>
  <si>
    <t>2026-05-03/2026-05-09</t>
  </si>
  <si>
    <t>2026-05-10/2026-05-16</t>
  </si>
  <si>
    <t>2026-05-17/2026-05-23</t>
  </si>
  <si>
    <t>2026-05-24/2026-05-30</t>
  </si>
  <si>
    <t>2026-05-31/2026-06-06</t>
  </si>
  <si>
    <t>2026-06-07/2026-06-13</t>
  </si>
  <si>
    <t>2026-06-14/2026-06-20</t>
  </si>
  <si>
    <t>2026-06-21/2026-06-27</t>
  </si>
  <si>
    <t>2026-06-28/2026-07-04</t>
  </si>
  <si>
    <t>2026-07-05/2026-07-11</t>
  </si>
  <si>
    <t>2026-07-12/2026-07-18</t>
  </si>
  <si>
    <t>2026-07-19/2026-07-25</t>
  </si>
  <si>
    <t>2026-07-26/2026-08-01</t>
  </si>
  <si>
    <t>2026-08-02/2026-08-08</t>
  </si>
  <si>
    <t>2026-08-09/2026-08-15</t>
  </si>
  <si>
    <t>2026-08-16/2026-08-22</t>
  </si>
  <si>
    <t>2026-08-23/2026-08-29</t>
  </si>
  <si>
    <t>2026-08-30/2026-09-05</t>
  </si>
  <si>
    <t>2026-09-06/2026-09-12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</si>
</sst>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2" fontId="1" fillId="2" borderId="0" xfId="0" applyNumberFormat="1" applyFont="1" applyFill="1"/>
    <xf numFmtId="2" fontId="0" fillId="3" borderId="0" xfId="0" applyNumberFormat="1" applyFill="1"/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opLeftCell="C1" zoomScale="175" zoomScaleNormal="175" workbookViewId="0">
      <selection activeCell="L11" sqref="L10:L11"/>
    </sheetView>
  </sheetViews>
  <sheetFormatPr defaultRowHeight="14.5" x14ac:dyDescent="0.35"/>
  <cols>
    <col min="1" max="1" width="17.90625" style="1" customWidth="1"/>
    <col min="2" max="2" width="11.54296875" style="1" customWidth="1"/>
    <col min="3" max="5" width="11.453125" style="1" bestFit="1" customWidth="1"/>
    <col min="6" max="7" width="12.453125" style="1" bestFit="1" customWidth="1"/>
    <col min="8" max="9" width="11.453125" style="1" bestFit="1" customWidth="1"/>
    <col min="10" max="11" width="12.453125" style="1" bestFit="1" customWidth="1"/>
    <col min="12" max="12" width="8.7265625" style="1" customWidth="1"/>
    <col min="13" max="13" width="14.36328125" style="1" customWidth="1"/>
    <col min="14" max="14" width="18.453125" style="1" customWidth="1"/>
    <col min="15" max="17" width="15.453125" style="1" customWidth="1"/>
    <col min="18" max="18" width="8.7265625" style="1" customWidth="1"/>
    <col min="19" max="16384" width="8.7265625" style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O1" s="3" t="s">
        <v>11</v>
      </c>
      <c r="P1" s="3" t="s">
        <v>12</v>
      </c>
      <c r="Q1" s="3" t="s">
        <v>13</v>
      </c>
    </row>
    <row r="2" spans="1:17" x14ac:dyDescent="0.35">
      <c r="A2" s="1" t="s">
        <v>14</v>
      </c>
      <c r="B2" s="1">
        <v>138.1224155171237</v>
      </c>
      <c r="C2" s="1">
        <v>139.90122992847921</v>
      </c>
      <c r="D2" s="1">
        <v>140.82893224585041</v>
      </c>
      <c r="E2" s="1">
        <v>138.76880464883621</v>
      </c>
      <c r="F2" s="1">
        <v>138.44166832380239</v>
      </c>
      <c r="G2" s="1">
        <v>139.4604331476333</v>
      </c>
      <c r="H2" s="1">
        <v>139.8448472206542</v>
      </c>
      <c r="I2" s="1">
        <v>140.8546165597235</v>
      </c>
      <c r="J2" s="1">
        <v>142.1274697075155</v>
      </c>
      <c r="K2" s="1">
        <v>142.51304336777719</v>
      </c>
      <c r="M2" s="5" t="s">
        <v>15</v>
      </c>
      <c r="N2" s="1" t="s">
        <v>14</v>
      </c>
      <c r="O2" s="1">
        <f t="shared" ref="O2:O10" si="0">AVERAGE(C2:F2)</f>
        <v>139.48515878674203</v>
      </c>
      <c r="P2" s="1">
        <f t="shared" ref="P2:P10" si="1">J2</f>
        <v>142.1274697075155</v>
      </c>
      <c r="Q2" s="1">
        <f t="shared" ref="Q2:Q10" si="2">P2-O2</f>
        <v>2.6423109207734683</v>
      </c>
    </row>
    <row r="3" spans="1:17" x14ac:dyDescent="0.35">
      <c r="A3" s="1" t="s">
        <v>16</v>
      </c>
      <c r="B3" s="1">
        <v>1.455103342337281</v>
      </c>
      <c r="C3" s="1">
        <v>2.2431878736225879</v>
      </c>
      <c r="D3" s="1">
        <v>2.6090360160258972</v>
      </c>
      <c r="E3" s="1">
        <v>2.5144978466545629</v>
      </c>
      <c r="F3" s="1">
        <v>2.0327174030909418</v>
      </c>
      <c r="G3" s="1">
        <v>3.008193848864352</v>
      </c>
      <c r="H3" s="1">
        <v>2.9409302107841029</v>
      </c>
      <c r="I3" s="1">
        <v>3.739590998744859</v>
      </c>
      <c r="J3" s="1">
        <v>3.476217260686326</v>
      </c>
      <c r="K3" s="1">
        <v>3.7388792212486521</v>
      </c>
      <c r="M3" s="6"/>
      <c r="N3" s="1" t="s">
        <v>16</v>
      </c>
      <c r="O3" s="1">
        <f t="shared" si="0"/>
        <v>2.3498597848484977</v>
      </c>
      <c r="P3" s="1">
        <f t="shared" si="1"/>
        <v>3.476217260686326</v>
      </c>
      <c r="Q3" s="1">
        <f t="shared" si="2"/>
        <v>1.1263574758378283</v>
      </c>
    </row>
    <row r="4" spans="1:17" x14ac:dyDescent="0.35">
      <c r="A4" s="1" t="s">
        <v>17</v>
      </c>
      <c r="B4" s="1">
        <v>-0.72863757468300028</v>
      </c>
      <c r="C4" s="1">
        <v>0.35828777468692652</v>
      </c>
      <c r="D4" s="1">
        <v>0.78593630005080017</v>
      </c>
      <c r="E4" s="1">
        <v>2.5743895686692229</v>
      </c>
      <c r="F4" s="1">
        <v>2.5551414442078642</v>
      </c>
      <c r="G4" s="1">
        <v>3.28802777461962</v>
      </c>
      <c r="H4" s="1">
        <v>3.4353429844279089</v>
      </c>
      <c r="I4" s="1">
        <v>4.5919504358210839</v>
      </c>
      <c r="J4" s="1">
        <v>3.3293982523546042</v>
      </c>
      <c r="K4" s="1">
        <v>3.3861820226881689</v>
      </c>
      <c r="M4" s="6"/>
      <c r="N4" s="1" t="s">
        <v>17</v>
      </c>
      <c r="O4" s="1">
        <f t="shared" si="0"/>
        <v>1.5684387719037034</v>
      </c>
      <c r="P4" s="1">
        <f t="shared" si="1"/>
        <v>3.3293982523546042</v>
      </c>
      <c r="Q4" s="1">
        <f t="shared" si="2"/>
        <v>1.7609594804509008</v>
      </c>
    </row>
    <row r="5" spans="1:17" x14ac:dyDescent="0.35">
      <c r="A5" s="1" t="s">
        <v>18</v>
      </c>
      <c r="B5" s="1">
        <v>5.6369974563683511</v>
      </c>
      <c r="C5" s="1">
        <v>5.5974559213907211</v>
      </c>
      <c r="D5" s="1">
        <v>5.5927658002636313</v>
      </c>
      <c r="E5" s="1">
        <v>5.5663433982769659</v>
      </c>
      <c r="F5" s="1">
        <v>5.4416466973599569</v>
      </c>
      <c r="G5" s="1">
        <v>6.7008364719412317</v>
      </c>
      <c r="H5" s="1">
        <v>6.581716595728019</v>
      </c>
      <c r="I5" s="1">
        <v>6.4306865357275527</v>
      </c>
      <c r="J5" s="1">
        <v>5.5815303917852557</v>
      </c>
      <c r="K5" s="1">
        <v>5.6732880807626076</v>
      </c>
      <c r="M5" s="6"/>
      <c r="N5" s="1" t="s">
        <v>18</v>
      </c>
      <c r="O5" s="1">
        <f t="shared" si="0"/>
        <v>5.5495529543228193</v>
      </c>
      <c r="P5" s="1">
        <f t="shared" si="1"/>
        <v>5.5815303917852557</v>
      </c>
      <c r="Q5" s="1">
        <f t="shared" si="2"/>
        <v>3.197743746243642E-2</v>
      </c>
    </row>
    <row r="6" spans="1:17" x14ac:dyDescent="0.35">
      <c r="A6" s="1" t="s">
        <v>19</v>
      </c>
      <c r="B6" s="1">
        <v>0.1655751651815629</v>
      </c>
      <c r="C6" s="1">
        <v>0.12583021810321229</v>
      </c>
      <c r="D6" s="1">
        <v>-0.1961567019226812</v>
      </c>
      <c r="E6" s="1">
        <v>-0.29731612207818342</v>
      </c>
      <c r="F6" s="1">
        <v>-0.3886316345381241</v>
      </c>
      <c r="G6" s="1">
        <v>-0.32847463299952079</v>
      </c>
      <c r="H6" s="1">
        <v>-0.38248993520716978</v>
      </c>
      <c r="I6" s="1">
        <v>-0.35474748579613907</v>
      </c>
      <c r="J6" s="1">
        <v>-0.23181351788158999</v>
      </c>
      <c r="K6" s="1">
        <v>-0.22743498031990991</v>
      </c>
      <c r="M6" s="6"/>
      <c r="N6" s="1" t="s">
        <v>19</v>
      </c>
      <c r="O6" s="1">
        <f t="shared" si="0"/>
        <v>-0.1890685601089441</v>
      </c>
      <c r="P6" s="1">
        <f t="shared" si="1"/>
        <v>-0.23181351788158999</v>
      </c>
      <c r="Q6" s="1">
        <f t="shared" si="2"/>
        <v>-4.2744957772645892E-2</v>
      </c>
    </row>
    <row r="7" spans="1:17" x14ac:dyDescent="0.35">
      <c r="A7" s="1" t="s">
        <v>20</v>
      </c>
      <c r="B7" s="1">
        <v>144.6514539063279</v>
      </c>
      <c r="C7" s="1">
        <v>148.22599171628261</v>
      </c>
      <c r="D7" s="1">
        <v>149.62051366026799</v>
      </c>
      <c r="E7" s="1">
        <v>149.12671934035879</v>
      </c>
      <c r="F7" s="1">
        <v>148.08254223392299</v>
      </c>
      <c r="G7" s="1">
        <v>152.12901661005901</v>
      </c>
      <c r="H7" s="1">
        <v>152.42034707638709</v>
      </c>
      <c r="I7" s="1">
        <v>155.26209704422089</v>
      </c>
      <c r="J7" s="1">
        <v>154.2828020944601</v>
      </c>
      <c r="K7" s="1">
        <v>155.08395771215669</v>
      </c>
      <c r="M7" s="6"/>
      <c r="N7" s="1" t="s">
        <v>20</v>
      </c>
      <c r="O7" s="1">
        <f t="shared" si="0"/>
        <v>148.76394173770808</v>
      </c>
      <c r="P7" s="1">
        <f t="shared" si="1"/>
        <v>154.2828020944601</v>
      </c>
      <c r="Q7" s="4">
        <f t="shared" si="2"/>
        <v>5.5188603567520147</v>
      </c>
    </row>
    <row r="8" spans="1:17" x14ac:dyDescent="0.35">
      <c r="A8" s="1" t="s">
        <v>21</v>
      </c>
      <c r="B8" s="1">
        <v>71625171.829999998</v>
      </c>
      <c r="C8" s="1">
        <v>74003857.229999989</v>
      </c>
      <c r="D8" s="1">
        <v>54598117.710000001</v>
      </c>
      <c r="E8" s="1">
        <v>62626288.140000001</v>
      </c>
      <c r="F8" s="1">
        <v>103879931.14</v>
      </c>
      <c r="G8" s="1">
        <v>105330412.53</v>
      </c>
      <c r="H8" s="1">
        <v>99848403.939999998</v>
      </c>
      <c r="I8" s="1">
        <v>81878054.120000005</v>
      </c>
      <c r="J8" s="1">
        <v>116688893.65000001</v>
      </c>
      <c r="K8" s="1">
        <v>133176633.84999999</v>
      </c>
      <c r="M8" s="6"/>
      <c r="N8" s="1" t="s">
        <v>21</v>
      </c>
      <c r="O8" s="1">
        <f t="shared" si="0"/>
        <v>73777048.554999992</v>
      </c>
      <c r="P8" s="2">
        <f t="shared" si="1"/>
        <v>116688893.65000001</v>
      </c>
      <c r="Q8" s="2">
        <f t="shared" si="2"/>
        <v>42911845.095000014</v>
      </c>
    </row>
    <row r="9" spans="1:17" x14ac:dyDescent="0.35">
      <c r="A9" s="1" t="s">
        <v>22</v>
      </c>
      <c r="B9" s="1">
        <v>1.4569069976514</v>
      </c>
      <c r="C9" s="1">
        <v>1.459456326177903</v>
      </c>
      <c r="D9" s="1">
        <v>1.4597593004578111</v>
      </c>
      <c r="E9" s="1">
        <v>1.4614684983708151</v>
      </c>
      <c r="F9" s="1">
        <v>1.469589127961799</v>
      </c>
      <c r="G9" s="1">
        <v>1.391512069164484</v>
      </c>
      <c r="H9" s="1">
        <v>1.3985411056112229</v>
      </c>
      <c r="I9" s="1">
        <v>1.4075558541450111</v>
      </c>
      <c r="J9" s="1">
        <v>1.4604856016312131</v>
      </c>
      <c r="K9" s="1">
        <v>1.4545750877651591</v>
      </c>
      <c r="M9" s="6"/>
      <c r="N9" s="1" t="s">
        <v>22</v>
      </c>
      <c r="O9" s="1">
        <f t="shared" si="0"/>
        <v>1.4625683132420821</v>
      </c>
      <c r="P9" s="1">
        <f t="shared" si="1"/>
        <v>1.4604856016312131</v>
      </c>
      <c r="Q9" s="1">
        <f t="shared" si="2"/>
        <v>-2.0827116108690369E-3</v>
      </c>
    </row>
    <row r="10" spans="1:17" x14ac:dyDescent="0.35">
      <c r="A10" s="1" t="s">
        <v>23</v>
      </c>
      <c r="B10" s="1">
        <v>0.24763464049740619</v>
      </c>
      <c r="C10" s="1">
        <v>0.2482024254556684</v>
      </c>
      <c r="D10" s="1">
        <v>0.25280223859889539</v>
      </c>
      <c r="E10" s="1">
        <v>0.25424737317254548</v>
      </c>
      <c r="F10" s="1">
        <v>0.25555188049340177</v>
      </c>
      <c r="G10" s="1">
        <v>0.25469249475713601</v>
      </c>
      <c r="H10" s="1">
        <v>0.255464141931531</v>
      </c>
      <c r="I10" s="1">
        <v>0.25506782122565907</v>
      </c>
      <c r="J10" s="1">
        <v>0.25331162168402271</v>
      </c>
      <c r="K10" s="1">
        <v>0.25324907114742728</v>
      </c>
      <c r="M10" s="6"/>
      <c r="N10" s="1" t="s">
        <v>23</v>
      </c>
      <c r="O10" s="1">
        <f t="shared" si="0"/>
        <v>0.25270097943012776</v>
      </c>
      <c r="P10" s="1">
        <f t="shared" si="1"/>
        <v>0.25331162168402271</v>
      </c>
      <c r="Q10" s="1">
        <f t="shared" si="2"/>
        <v>6.1064225389495519E-4</v>
      </c>
    </row>
    <row r="12" spans="1:17" x14ac:dyDescent="0.35">
      <c r="A12" s="1" t="s">
        <v>24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O12" s="3" t="s">
        <v>11</v>
      </c>
      <c r="P12" s="3" t="str">
        <f t="shared" ref="P12:P21" si="3">J12</f>
        <v>2026 Q1</v>
      </c>
      <c r="Q12" s="3" t="s">
        <v>13</v>
      </c>
    </row>
    <row r="13" spans="1:17" x14ac:dyDescent="0.35">
      <c r="A13" s="1" t="s">
        <v>14</v>
      </c>
      <c r="B13" s="1">
        <v>138.02339833885611</v>
      </c>
      <c r="C13" s="1">
        <v>140.37481808939131</v>
      </c>
      <c r="D13" s="1">
        <v>142.18217191693901</v>
      </c>
      <c r="E13" s="1">
        <v>141.17376044287889</v>
      </c>
      <c r="F13" s="1">
        <v>141.73851930722</v>
      </c>
      <c r="G13" s="1">
        <v>142.13613585590369</v>
      </c>
      <c r="H13" s="1">
        <v>142.9317966950544</v>
      </c>
      <c r="I13" s="1">
        <v>143.77954689750419</v>
      </c>
      <c r="J13" s="1">
        <v>144.61113226194979</v>
      </c>
      <c r="K13" s="1">
        <v>145.04096387570121</v>
      </c>
      <c r="M13" s="5" t="s">
        <v>25</v>
      </c>
      <c r="N13" s="1" t="s">
        <v>14</v>
      </c>
      <c r="O13" s="1">
        <f t="shared" ref="O13:O21" si="4">AVERAGE(C13:F13)</f>
        <v>141.36731743910732</v>
      </c>
      <c r="P13" s="1">
        <f t="shared" si="3"/>
        <v>144.61113226194979</v>
      </c>
      <c r="Q13" s="1">
        <f t="shared" ref="Q13:Q21" si="5">P13-O13</f>
        <v>3.2438148228424666</v>
      </c>
    </row>
    <row r="14" spans="1:17" x14ac:dyDescent="0.35">
      <c r="A14" s="1" t="s">
        <v>16</v>
      </c>
      <c r="B14" s="1">
        <v>-2.450434501423274</v>
      </c>
      <c r="C14" s="1">
        <v>-1.8520755279820089</v>
      </c>
      <c r="D14" s="1">
        <v>-1.359242386693182</v>
      </c>
      <c r="E14" s="1">
        <v>-1.954864088698685</v>
      </c>
      <c r="F14" s="1">
        <v>-1.6599073250901031</v>
      </c>
      <c r="G14" s="1">
        <v>-1.340548598566301</v>
      </c>
      <c r="H14" s="1">
        <v>-0.65367389160564926</v>
      </c>
      <c r="I14" s="1">
        <v>0.37359647869610058</v>
      </c>
      <c r="J14" s="1">
        <v>0.28903743444342922</v>
      </c>
      <c r="K14" s="1">
        <v>0.17601178619739241</v>
      </c>
      <c r="M14" s="6"/>
      <c r="N14" s="1" t="s">
        <v>16</v>
      </c>
      <c r="O14" s="1">
        <f t="shared" si="4"/>
        <v>-1.7065223321159948</v>
      </c>
      <c r="P14" s="1">
        <f t="shared" si="3"/>
        <v>0.28903743444342922</v>
      </c>
      <c r="Q14" s="1">
        <f t="shared" si="5"/>
        <v>1.995559766559424</v>
      </c>
    </row>
    <row r="15" spans="1:17" x14ac:dyDescent="0.35">
      <c r="A15" s="1" t="s">
        <v>17</v>
      </c>
      <c r="B15" s="1">
        <v>-2.265140967076638</v>
      </c>
      <c r="C15" s="1">
        <v>-2.188868686297575</v>
      </c>
      <c r="D15" s="1">
        <v>-1.4186716329828311</v>
      </c>
      <c r="E15" s="1">
        <v>-0.1422365353764119</v>
      </c>
      <c r="F15" s="1">
        <v>-0.2017192908083312</v>
      </c>
      <c r="G15" s="1">
        <v>-0.36369964469170618</v>
      </c>
      <c r="H15" s="1">
        <v>0.57607158365008504</v>
      </c>
      <c r="I15" s="1">
        <v>2.1661669994022601</v>
      </c>
      <c r="J15" s="1">
        <v>0.8238534098899486</v>
      </c>
      <c r="K15" s="1">
        <v>0.53982364461653043</v>
      </c>
      <c r="M15" s="6"/>
      <c r="N15" s="1" t="s">
        <v>17</v>
      </c>
      <c r="O15" s="1">
        <f t="shared" si="4"/>
        <v>-0.98787403636628734</v>
      </c>
      <c r="P15" s="1">
        <f t="shared" si="3"/>
        <v>0.8238534098899486</v>
      </c>
      <c r="Q15" s="1">
        <f t="shared" si="5"/>
        <v>1.8117274462562358</v>
      </c>
    </row>
    <row r="16" spans="1:17" x14ac:dyDescent="0.35">
      <c r="A16" s="1" t="s">
        <v>18</v>
      </c>
      <c r="B16" s="1">
        <v>4.6597308101274191</v>
      </c>
      <c r="C16" s="1">
        <v>4.8725347009236177</v>
      </c>
      <c r="D16" s="1">
        <v>4.6681630017334221</v>
      </c>
      <c r="E16" s="1">
        <v>4.6738436473802594</v>
      </c>
      <c r="F16" s="1">
        <v>4.6510137387248296</v>
      </c>
      <c r="G16" s="1">
        <v>5.1196451430619723</v>
      </c>
      <c r="H16" s="1">
        <v>5.283505312186719</v>
      </c>
      <c r="I16" s="1">
        <v>5.1998728413317341</v>
      </c>
      <c r="J16" s="1">
        <v>3.6480792075265001</v>
      </c>
      <c r="K16" s="1">
        <v>3.0059169907643071</v>
      </c>
      <c r="M16" s="6"/>
      <c r="N16" s="1" t="s">
        <v>18</v>
      </c>
      <c r="O16" s="1">
        <f t="shared" si="4"/>
        <v>4.7163887721905322</v>
      </c>
      <c r="P16" s="1">
        <f t="shared" si="3"/>
        <v>3.6480792075265001</v>
      </c>
      <c r="Q16" s="1">
        <f t="shared" si="5"/>
        <v>-1.0683095646640322</v>
      </c>
    </row>
    <row r="17" spans="1:17" x14ac:dyDescent="0.35">
      <c r="A17" s="1" t="s">
        <v>19</v>
      </c>
      <c r="B17" s="1">
        <v>-6.1328506852409426E-3</v>
      </c>
      <c r="C17" s="1">
        <v>-2.0008703255544599E-2</v>
      </c>
      <c r="D17" s="1">
        <v>-0.14434713715095029</v>
      </c>
      <c r="E17" s="1">
        <v>-0.66797349041368359</v>
      </c>
      <c r="F17" s="1">
        <v>-0.63036848699023651</v>
      </c>
      <c r="G17" s="1">
        <v>-0.49144709699259259</v>
      </c>
      <c r="H17" s="1">
        <v>-0.65356268682876362</v>
      </c>
      <c r="I17" s="1">
        <v>-1.0135646214135909</v>
      </c>
      <c r="J17" s="1">
        <v>-0.83726061809499708</v>
      </c>
      <c r="K17" s="1">
        <v>-0.70072465953723073</v>
      </c>
      <c r="M17" s="6"/>
      <c r="N17" s="1" t="s">
        <v>19</v>
      </c>
      <c r="O17" s="1">
        <f t="shared" si="4"/>
        <v>-0.36567445445260371</v>
      </c>
      <c r="P17" s="1">
        <f t="shared" si="3"/>
        <v>-0.83726061809499708</v>
      </c>
      <c r="Q17" s="1">
        <f t="shared" si="5"/>
        <v>-0.47158616364239336</v>
      </c>
    </row>
    <row r="18" spans="1:17" x14ac:dyDescent="0.35">
      <c r="A18" s="1" t="s">
        <v>20</v>
      </c>
      <c r="B18" s="1">
        <v>137.96142082979841</v>
      </c>
      <c r="C18" s="1">
        <v>141.18639987277979</v>
      </c>
      <c r="D18" s="1">
        <v>143.9280737618455</v>
      </c>
      <c r="E18" s="1">
        <v>143.0825299757704</v>
      </c>
      <c r="F18" s="1">
        <v>143.89753794305611</v>
      </c>
      <c r="G18" s="1">
        <v>145.060085658715</v>
      </c>
      <c r="H18" s="1">
        <v>147.48413701245681</v>
      </c>
      <c r="I18" s="1">
        <v>150.5056185955207</v>
      </c>
      <c r="J18" s="1">
        <v>148.53484169571459</v>
      </c>
      <c r="K18" s="1">
        <v>148.06199163774221</v>
      </c>
      <c r="M18" s="6"/>
      <c r="N18" s="1" t="s">
        <v>20</v>
      </c>
      <c r="O18" s="1">
        <f t="shared" si="4"/>
        <v>143.02363538836295</v>
      </c>
      <c r="P18" s="1">
        <f t="shared" si="3"/>
        <v>148.53484169571459</v>
      </c>
      <c r="Q18" s="4">
        <f t="shared" si="5"/>
        <v>5.5112063073516424</v>
      </c>
    </row>
    <row r="19" spans="1:17" x14ac:dyDescent="0.35">
      <c r="A19" s="1" t="s">
        <v>21</v>
      </c>
      <c r="B19" s="1">
        <v>58980543.640000001</v>
      </c>
      <c r="C19" s="1">
        <v>70438646.549999997</v>
      </c>
      <c r="D19" s="1">
        <v>52611427.270000003</v>
      </c>
      <c r="E19" s="1">
        <v>55282841.180000007</v>
      </c>
      <c r="F19" s="1">
        <v>70159380.859999999</v>
      </c>
      <c r="G19" s="1">
        <v>72608250.329999998</v>
      </c>
      <c r="H19" s="1">
        <v>51318850.920000002</v>
      </c>
      <c r="I19" s="1">
        <v>34247048.009999998</v>
      </c>
      <c r="J19" s="1">
        <v>41026540.079999998</v>
      </c>
      <c r="K19" s="1">
        <v>39082127.130000003</v>
      </c>
      <c r="M19" s="6"/>
      <c r="N19" s="1" t="s">
        <v>21</v>
      </c>
      <c r="O19" s="1">
        <f t="shared" si="4"/>
        <v>62123073.965000004</v>
      </c>
      <c r="P19" s="2">
        <f t="shared" si="3"/>
        <v>41026540.079999998</v>
      </c>
      <c r="Q19" s="2">
        <f t="shared" si="5"/>
        <v>-21096533.885000005</v>
      </c>
    </row>
    <row r="20" spans="1:17" x14ac:dyDescent="0.35">
      <c r="A20" s="1" t="s">
        <v>22</v>
      </c>
      <c r="B20" s="1">
        <v>1.5226412686800139</v>
      </c>
      <c r="C20" s="1">
        <v>1.5078270740431079</v>
      </c>
      <c r="D20" s="1">
        <v>1.522048731005099</v>
      </c>
      <c r="E20" s="1">
        <v>1.521649806862307</v>
      </c>
      <c r="F20" s="1">
        <v>1.5232543103056759</v>
      </c>
      <c r="G20" s="1">
        <v>1.490982327550787</v>
      </c>
      <c r="H20" s="1">
        <v>1.4800184952034201</v>
      </c>
      <c r="I20" s="1">
        <v>1.4855940948723729</v>
      </c>
      <c r="J20" s="1">
        <v>1.5972430010815899</v>
      </c>
      <c r="K20" s="1">
        <v>1.6485122884007339</v>
      </c>
      <c r="M20" s="6"/>
      <c r="N20" s="1" t="s">
        <v>22</v>
      </c>
      <c r="O20" s="1">
        <f t="shared" si="4"/>
        <v>1.5186949805540475</v>
      </c>
      <c r="P20" s="1">
        <f t="shared" si="3"/>
        <v>1.5972430010815899</v>
      </c>
      <c r="Q20" s="1">
        <f t="shared" si="5"/>
        <v>7.8548020527542395E-2</v>
      </c>
    </row>
    <row r="21" spans="1:17" x14ac:dyDescent="0.35">
      <c r="A21" s="1" t="s">
        <v>23</v>
      </c>
      <c r="B21" s="1">
        <v>0.2500876121526463</v>
      </c>
      <c r="C21" s="1">
        <v>0.25028583861793641</v>
      </c>
      <c r="D21" s="1">
        <v>0.25206210195929929</v>
      </c>
      <c r="E21" s="1">
        <v>0.25954247843448119</v>
      </c>
      <c r="F21" s="1">
        <v>0.25900526409986052</v>
      </c>
      <c r="G21" s="1">
        <v>0.2570206728141799</v>
      </c>
      <c r="H21" s="1">
        <v>0.25933660981183948</v>
      </c>
      <c r="I21" s="1">
        <v>0.26447949459162268</v>
      </c>
      <c r="J21" s="1">
        <v>0.26196086597278567</v>
      </c>
      <c r="K21" s="1">
        <v>0.2600103522791033</v>
      </c>
      <c r="M21" s="6"/>
      <c r="N21" s="1" t="s">
        <v>23</v>
      </c>
      <c r="O21" s="1">
        <f t="shared" si="4"/>
        <v>0.25522392077789435</v>
      </c>
      <c r="P21" s="1">
        <f t="shared" si="3"/>
        <v>0.26196086597278567</v>
      </c>
      <c r="Q21" s="1">
        <f t="shared" si="5"/>
        <v>6.7369451948913195E-3</v>
      </c>
    </row>
    <row r="22" spans="1:17" x14ac:dyDescent="0.35">
      <c r="O22" s="4">
        <f>O18-O7</f>
        <v>-5.7403063493451327</v>
      </c>
      <c r="P22" s="4">
        <f>P18-P7</f>
        <v>-5.747960398745505</v>
      </c>
    </row>
    <row r="23" spans="1:17" x14ac:dyDescent="0.35">
      <c r="A23" s="1" t="s">
        <v>26</v>
      </c>
      <c r="B23" s="1">
        <f t="shared" ref="B23:K23" si="6">B8/1000000</f>
        <v>71.625171829999999</v>
      </c>
      <c r="C23" s="1">
        <f t="shared" si="6"/>
        <v>74.003857229999994</v>
      </c>
      <c r="D23" s="1">
        <f t="shared" si="6"/>
        <v>54.598117710000004</v>
      </c>
      <c r="E23" s="1">
        <f t="shared" si="6"/>
        <v>62.62628814</v>
      </c>
      <c r="F23" s="1">
        <f t="shared" si="6"/>
        <v>103.87993114</v>
      </c>
      <c r="G23" s="1">
        <f t="shared" si="6"/>
        <v>105.33041253</v>
      </c>
      <c r="H23" s="1">
        <f t="shared" si="6"/>
        <v>99.848403939999997</v>
      </c>
      <c r="I23" s="1">
        <f t="shared" si="6"/>
        <v>81.878054120000002</v>
      </c>
      <c r="J23" s="1">
        <f t="shared" si="6"/>
        <v>116.68889365000001</v>
      </c>
      <c r="K23" s="1">
        <f t="shared" si="6"/>
        <v>133.17663385</v>
      </c>
    </row>
    <row r="24" spans="1:17" x14ac:dyDescent="0.35">
      <c r="A24" s="1" t="s">
        <v>27</v>
      </c>
      <c r="B24" s="1">
        <f t="shared" ref="B24:K24" si="7">B19/1000000</f>
        <v>58.98054364</v>
      </c>
      <c r="C24" s="1">
        <f t="shared" si="7"/>
        <v>70.438646550000001</v>
      </c>
      <c r="D24" s="1">
        <f t="shared" si="7"/>
        <v>52.61142727</v>
      </c>
      <c r="E24" s="1">
        <f t="shared" si="7"/>
        <v>55.282841180000005</v>
      </c>
      <c r="F24" s="1">
        <f t="shared" si="7"/>
        <v>70.159380859999999</v>
      </c>
      <c r="G24" s="1">
        <f t="shared" si="7"/>
        <v>72.608250330000004</v>
      </c>
      <c r="H24" s="1">
        <f t="shared" si="7"/>
        <v>51.318850920000003</v>
      </c>
      <c r="I24" s="1">
        <f t="shared" si="7"/>
        <v>34.24704801</v>
      </c>
      <c r="J24" s="1">
        <f t="shared" si="7"/>
        <v>41.026540079999997</v>
      </c>
      <c r="K24" s="1">
        <f t="shared" si="7"/>
        <v>39.082127130000003</v>
      </c>
    </row>
    <row r="25" spans="1:17" x14ac:dyDescent="0.35">
      <c r="N25" s="1" t="s">
        <v>28</v>
      </c>
      <c r="O25" s="1" t="s">
        <v>29</v>
      </c>
      <c r="P25" s="1">
        <f>P8/O8-1</f>
        <v>0.58164220357784702</v>
      </c>
      <c r="Q25" s="1" t="s">
        <v>30</v>
      </c>
    </row>
    <row r="26" spans="1:17" x14ac:dyDescent="0.35">
      <c r="C26" s="2"/>
      <c r="D26" s="2"/>
      <c r="E26" s="2"/>
      <c r="F26" s="2"/>
      <c r="G26" s="2"/>
      <c r="H26" s="2"/>
      <c r="I26" s="2"/>
      <c r="J26" s="2"/>
      <c r="K26" s="2"/>
      <c r="O26" s="1" t="s">
        <v>31</v>
      </c>
      <c r="P26" s="1">
        <f>P19/O19-1</f>
        <v>-0.33959256261024273</v>
      </c>
      <c r="Q26" s="1" t="s">
        <v>32</v>
      </c>
    </row>
    <row r="27" spans="1:17" x14ac:dyDescent="0.35">
      <c r="C27" s="2"/>
      <c r="D27" s="2"/>
      <c r="E27" s="2"/>
      <c r="F27" s="2"/>
      <c r="G27" s="2"/>
      <c r="H27" s="2"/>
      <c r="I27" s="2"/>
      <c r="J27" s="2"/>
      <c r="K27" s="2"/>
    </row>
  </sheetData>
  <mergeCells count="2">
    <mergeCell ref="M2:M10"/>
    <mergeCell ref="M13:M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1"/>
  <sheetViews>
    <sheetView tabSelected="1" zoomScale="175" zoomScaleNormal="175" workbookViewId="0">
      <pane xSplit="1" topLeftCell="U1" activePane="topRight" state="frozen"/>
      <selection pane="topRight" activeCell="AG14" sqref="AG14"/>
    </sheetView>
  </sheetViews>
  <sheetFormatPr defaultRowHeight="14.5" x14ac:dyDescent="0.35"/>
  <cols>
    <col min="1" max="1" width="15.81640625" bestFit="1" customWidth="1"/>
    <col min="33" max="33" width="20.54296875" bestFit="1" customWidth="1"/>
  </cols>
  <sheetData>
    <row r="1" spans="1:38" x14ac:dyDescent="0.3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</row>
    <row r="2" spans="1:38" x14ac:dyDescent="0.35">
      <c r="A2" t="s">
        <v>14</v>
      </c>
      <c r="B2">
        <v>141.49184031696501</v>
      </c>
      <c r="C2">
        <v>141.94905606058981</v>
      </c>
      <c r="D2">
        <v>142.50386369294301</v>
      </c>
      <c r="E2">
        <v>142.55930543249389</v>
      </c>
      <c r="F2">
        <v>141.3366953939975</v>
      </c>
      <c r="G2">
        <v>141.9209281428254</v>
      </c>
      <c r="H2">
        <v>142.45258142835411</v>
      </c>
      <c r="I2">
        <v>142.17065495491471</v>
      </c>
      <c r="J2">
        <v>142.24935142728239</v>
      </c>
      <c r="K2">
        <v>142.08984296989999</v>
      </c>
      <c r="L2">
        <v>142.07545860150421</v>
      </c>
      <c r="M2">
        <v>142.15367414305601</v>
      </c>
      <c r="N2">
        <v>142.61047116716429</v>
      </c>
      <c r="O2">
        <v>142.38907084429161</v>
      </c>
      <c r="P2">
        <v>143.13998871269169</v>
      </c>
      <c r="Q2">
        <v>142.31748963992649</v>
      </c>
      <c r="R2">
        <v>142.2243453924186</v>
      </c>
      <c r="S2">
        <v>142.40601482654739</v>
      </c>
      <c r="T2">
        <v>142.08203952561431</v>
      </c>
      <c r="U2">
        <v>142.02714407751941</v>
      </c>
      <c r="V2">
        <v>142.6130076157325</v>
      </c>
      <c r="W2">
        <v>142.1735259486573</v>
      </c>
      <c r="X2">
        <v>143.20919472833319</v>
      </c>
      <c r="Y2">
        <v>143.50799809433599</v>
      </c>
      <c r="Z2">
        <v>143.21370140357789</v>
      </c>
      <c r="AA2">
        <v>142.6423991899396</v>
      </c>
      <c r="AB2">
        <v>143.3499654045703</v>
      </c>
      <c r="AC2">
        <v>143.3714955979236</v>
      </c>
      <c r="AD2">
        <v>143.36354549876361</v>
      </c>
      <c r="AE2">
        <v>143.6778156501189</v>
      </c>
      <c r="AF2">
        <v>143.2786291808136</v>
      </c>
      <c r="AG2">
        <v>142.5081410202549</v>
      </c>
      <c r="AH2">
        <v>143.1821867347976</v>
      </c>
      <c r="AI2">
        <v>142.80481120107629</v>
      </c>
      <c r="AJ2">
        <v>143.70158435520619</v>
      </c>
      <c r="AK2">
        <v>143.4869858015918</v>
      </c>
      <c r="AL2">
        <v>142.7008409869735</v>
      </c>
    </row>
    <row r="3" spans="1:38" x14ac:dyDescent="0.35">
      <c r="A3" t="s">
        <v>16</v>
      </c>
      <c r="B3">
        <v>4.2535546599317797</v>
      </c>
      <c r="C3">
        <v>3.7708201103708632</v>
      </c>
      <c r="D3">
        <v>3.5671052931276681</v>
      </c>
      <c r="E3">
        <v>3.8866032559355399</v>
      </c>
      <c r="F3">
        <v>3.7356660172468712</v>
      </c>
      <c r="G3">
        <v>3.3871230742051921</v>
      </c>
      <c r="H3">
        <v>3.3354998728671599</v>
      </c>
      <c r="I3">
        <v>3.2578725013498508</v>
      </c>
      <c r="J3">
        <v>3.3798389381441321</v>
      </c>
      <c r="K3">
        <v>3.332878688215033</v>
      </c>
      <c r="L3">
        <v>3.4625230934663311</v>
      </c>
      <c r="M3">
        <v>3.280274515093168</v>
      </c>
      <c r="N3">
        <v>3.6997792777021061</v>
      </c>
      <c r="O3">
        <v>3.631042125839115</v>
      </c>
      <c r="P3">
        <v>3.5418133553601758</v>
      </c>
      <c r="Q3">
        <v>4.2501001077609999</v>
      </c>
      <c r="R3">
        <v>3.7322225852920212</v>
      </c>
      <c r="S3">
        <v>3.9718441025441389</v>
      </c>
      <c r="T3">
        <v>4.062570393359124</v>
      </c>
      <c r="U3">
        <v>3.5612317667257689</v>
      </c>
      <c r="V3">
        <v>3.7365377091432488</v>
      </c>
      <c r="W3">
        <v>3.530087523848521</v>
      </c>
      <c r="X3">
        <v>3.448893554052233</v>
      </c>
      <c r="Y3">
        <v>3.8362550144545651</v>
      </c>
      <c r="Z3">
        <v>3.7286689315892549</v>
      </c>
      <c r="AA3">
        <v>3.797349677112237</v>
      </c>
      <c r="AB3">
        <v>3.686541046191337</v>
      </c>
      <c r="AC3">
        <v>3.759750470038369</v>
      </c>
      <c r="AD3">
        <v>3.5463198356551691</v>
      </c>
      <c r="AE3">
        <v>3.7238367479087908</v>
      </c>
      <c r="AF3">
        <v>3.3984335514542749</v>
      </c>
      <c r="AG3">
        <v>3.5677925197126679</v>
      </c>
      <c r="AH3">
        <v>3.4900720422649272</v>
      </c>
      <c r="AI3">
        <v>3.609624176110628</v>
      </c>
      <c r="AJ3">
        <v>2.933700026426123</v>
      </c>
      <c r="AK3">
        <v>4.4405610121497432</v>
      </c>
      <c r="AL3">
        <v>4.6200395943550916</v>
      </c>
    </row>
    <row r="4" spans="1:38" x14ac:dyDescent="0.35">
      <c r="A4" t="s">
        <v>17</v>
      </c>
      <c r="B4">
        <v>5.1211366777608722</v>
      </c>
      <c r="C4">
        <v>5.3413862177032527</v>
      </c>
      <c r="D4">
        <v>3.236406065765411</v>
      </c>
      <c r="E4">
        <v>3.6759564656770389</v>
      </c>
      <c r="F4">
        <v>3.8829326795430879</v>
      </c>
      <c r="G4">
        <v>3.0595781605286838</v>
      </c>
      <c r="H4">
        <v>3.1573789161319539</v>
      </c>
      <c r="I4">
        <v>3.6364909513198471</v>
      </c>
      <c r="J4">
        <v>3.023744373517403</v>
      </c>
      <c r="K4">
        <v>2.3592559268387769</v>
      </c>
      <c r="L4">
        <v>2.741372517873911</v>
      </c>
      <c r="M4">
        <v>3.2607923559607901</v>
      </c>
      <c r="N4">
        <v>2.9143224098528022</v>
      </c>
      <c r="O4">
        <v>3.8642964959448838</v>
      </c>
      <c r="P4">
        <v>2.8911753276527041</v>
      </c>
      <c r="Q4">
        <v>3.883821777179326</v>
      </c>
      <c r="R4">
        <v>3.3683747970188058</v>
      </c>
      <c r="S4">
        <v>3.5258566133433109</v>
      </c>
      <c r="T4">
        <v>4.8056309318470261</v>
      </c>
      <c r="U4">
        <v>4.5483505390990944</v>
      </c>
      <c r="V4">
        <v>3.8305471628224952</v>
      </c>
      <c r="W4">
        <v>3.7445447937660359</v>
      </c>
      <c r="X4">
        <v>2.9764914782512282</v>
      </c>
      <c r="Y4">
        <v>3.0322682696834069</v>
      </c>
      <c r="Z4">
        <v>3.276113801459124</v>
      </c>
      <c r="AA4">
        <v>2.8051778400015102</v>
      </c>
      <c r="AB4">
        <v>2.9558203162353469</v>
      </c>
      <c r="AC4">
        <v>3.007083461059286</v>
      </c>
      <c r="AD4">
        <v>3.5140815245267429</v>
      </c>
      <c r="AE4">
        <v>2.977484859465338</v>
      </c>
      <c r="AF4">
        <v>3.1373194318373341</v>
      </c>
      <c r="AG4">
        <v>4.2974471145368316</v>
      </c>
      <c r="AH4">
        <v>3.0971190078941802</v>
      </c>
      <c r="AI4">
        <v>3.2080264977108941</v>
      </c>
      <c r="AJ4">
        <v>3.4539606971427101</v>
      </c>
      <c r="AK4">
        <v>3.9806766612698499</v>
      </c>
      <c r="AL4">
        <v>5.3239250506192617</v>
      </c>
    </row>
    <row r="5" spans="1:38" x14ac:dyDescent="0.35">
      <c r="A5" t="s">
        <v>18</v>
      </c>
      <c r="B5">
        <v>5.8680947013860907</v>
      </c>
      <c r="C5">
        <v>6.1416821269859794</v>
      </c>
      <c r="D5">
        <v>5.6906776547890026</v>
      </c>
      <c r="E5">
        <v>5.6929335422887766</v>
      </c>
      <c r="F5">
        <v>5.0818439302076364</v>
      </c>
      <c r="G5">
        <v>5.4660944540901708</v>
      </c>
      <c r="H5">
        <v>5.3525303705038239</v>
      </c>
      <c r="I5">
        <v>5.6596660101450134</v>
      </c>
      <c r="J5">
        <v>5.5892847161095567</v>
      </c>
      <c r="K5">
        <v>5.7298625378186241</v>
      </c>
      <c r="L5">
        <v>5.7965736861109951</v>
      </c>
      <c r="M5">
        <v>5.4418977503412114</v>
      </c>
      <c r="N5">
        <v>5.506211867105745</v>
      </c>
      <c r="O5">
        <v>5.6195668599695372</v>
      </c>
      <c r="P5">
        <v>5.6084378760632108</v>
      </c>
      <c r="Q5">
        <v>5.417563833762415</v>
      </c>
      <c r="R5">
        <v>5.9955919708351306</v>
      </c>
      <c r="S5">
        <v>6.0269167394767562</v>
      </c>
      <c r="T5">
        <v>6.0318939840662704</v>
      </c>
      <c r="U5">
        <v>6.2874423474943626</v>
      </c>
      <c r="V5">
        <v>5.377118045973134</v>
      </c>
      <c r="W5">
        <v>5.6103133594167458</v>
      </c>
      <c r="X5">
        <v>5.6271884043249649</v>
      </c>
      <c r="Y5">
        <v>4.9557198028191287</v>
      </c>
      <c r="Z5">
        <v>5.6594902937064999</v>
      </c>
      <c r="AA5">
        <v>5.3577533423193149</v>
      </c>
      <c r="AB5">
        <v>5.2952397187486291</v>
      </c>
      <c r="AC5">
        <v>5.0230944058329072</v>
      </c>
      <c r="AD5">
        <v>5.0628359932324374</v>
      </c>
      <c r="AE5">
        <v>5.5875962731156994</v>
      </c>
      <c r="AF5">
        <v>5.1953516336274728</v>
      </c>
      <c r="AG5">
        <v>5.1467090313886708</v>
      </c>
      <c r="AH5">
        <v>4.7444389253418464</v>
      </c>
      <c r="AI5">
        <v>5.647843485397396</v>
      </c>
      <c r="AJ5">
        <v>5.3991803824350733</v>
      </c>
      <c r="AK5">
        <v>5.6553133858171716</v>
      </c>
      <c r="AL5">
        <v>5.5004309061243237</v>
      </c>
    </row>
    <row r="6" spans="1:38" x14ac:dyDescent="0.35">
      <c r="A6" t="s">
        <v>19</v>
      </c>
      <c r="B6">
        <v>-1.3450249066497831E-2</v>
      </c>
      <c r="C6">
        <v>-0.30466222991159808</v>
      </c>
      <c r="D6">
        <v>-0.36769023765249043</v>
      </c>
      <c r="E6">
        <v>-1.431727779025615E-2</v>
      </c>
      <c r="F6">
        <v>-0.32923515064299691</v>
      </c>
      <c r="G6">
        <v>-0.42347210168746929</v>
      </c>
      <c r="H6">
        <v>-0.30847986304890879</v>
      </c>
      <c r="I6">
        <v>-3.6608842947873921E-2</v>
      </c>
      <c r="J6">
        <v>-0.17896822871812379</v>
      </c>
      <c r="K6">
        <v>-0.33713158627740158</v>
      </c>
      <c r="L6">
        <v>-0.15172107033700921</v>
      </c>
      <c r="M6">
        <v>-0.1862742775500226</v>
      </c>
      <c r="N6">
        <v>-0.33482015015753652</v>
      </c>
      <c r="O6">
        <v>1.5995271242535969E-2</v>
      </c>
      <c r="P6">
        <v>-0.1768689700962989</v>
      </c>
      <c r="Q6">
        <v>-9.8746361340175115E-2</v>
      </c>
      <c r="R6">
        <v>-0.2246309877598035</v>
      </c>
      <c r="S6">
        <v>-1.311005914675312E-2</v>
      </c>
      <c r="T6">
        <v>-0.27208728769303298</v>
      </c>
      <c r="U6">
        <v>-4.3125090521731753E-2</v>
      </c>
      <c r="V6">
        <v>-9.8557761540407629E-2</v>
      </c>
      <c r="W6">
        <v>-0.4907724994528373</v>
      </c>
      <c r="X6">
        <v>-0.46198355396557361</v>
      </c>
      <c r="Y6">
        <v>-0.1806793679564378</v>
      </c>
      <c r="Z6">
        <v>-0.37447628528581411</v>
      </c>
      <c r="AA6">
        <v>-0.48167707120475522</v>
      </c>
      <c r="AB6">
        <v>-0.43691665984651801</v>
      </c>
      <c r="AC6">
        <v>-0.1715514946619329</v>
      </c>
      <c r="AD6">
        <v>-0.4330530176647468</v>
      </c>
      <c r="AE6">
        <v>-0.173262489790284</v>
      </c>
      <c r="AF6">
        <v>-0.47157137896447199</v>
      </c>
      <c r="AG6">
        <v>-0.56059747003284532</v>
      </c>
      <c r="AH6">
        <v>-0.44953353402994328</v>
      </c>
      <c r="AI6">
        <v>-0.30087190263501318</v>
      </c>
      <c r="AJ6">
        <v>-0.44020142903119391</v>
      </c>
      <c r="AK6">
        <v>-2.7995018118636691E-2</v>
      </c>
      <c r="AL6">
        <v>-0.70971485637616072</v>
      </c>
    </row>
    <row r="7" spans="1:38" x14ac:dyDescent="0.35">
      <c r="A7" t="s">
        <v>20</v>
      </c>
      <c r="B7">
        <v>156.72117610697731</v>
      </c>
      <c r="C7">
        <v>156.89828228573819</v>
      </c>
      <c r="D7">
        <v>154.63036246897261</v>
      </c>
      <c r="E7">
        <v>155.80048141860499</v>
      </c>
      <c r="F7">
        <v>153.70790287035209</v>
      </c>
      <c r="G7">
        <v>153.41025172996191</v>
      </c>
      <c r="H7">
        <v>153.9895107248081</v>
      </c>
      <c r="I7">
        <v>154.68807557478149</v>
      </c>
      <c r="J7">
        <v>154.0632512263353</v>
      </c>
      <c r="K7">
        <v>153.1747085364951</v>
      </c>
      <c r="L7">
        <v>153.92420682861851</v>
      </c>
      <c r="M7">
        <v>153.95036448690121</v>
      </c>
      <c r="N7">
        <v>154.39596457166741</v>
      </c>
      <c r="O7">
        <v>155.51997159728771</v>
      </c>
      <c r="P7">
        <v>155.0045463016715</v>
      </c>
      <c r="Q7">
        <v>155.770228997289</v>
      </c>
      <c r="R7">
        <v>155.09590375780479</v>
      </c>
      <c r="S7">
        <v>155.9175222227648</v>
      </c>
      <c r="T7">
        <v>156.71004754719371</v>
      </c>
      <c r="U7">
        <v>156.3810436403169</v>
      </c>
      <c r="V7">
        <v>155.45865277213099</v>
      </c>
      <c r="W7">
        <v>154.56769912623579</v>
      </c>
      <c r="X7">
        <v>154.79978461099611</v>
      </c>
      <c r="Y7">
        <v>155.15156181333671</v>
      </c>
      <c r="Z7">
        <v>155.50349814504699</v>
      </c>
      <c r="AA7">
        <v>154.12100297816789</v>
      </c>
      <c r="AB7">
        <v>154.85064982589901</v>
      </c>
      <c r="AC7">
        <v>154.98987244019219</v>
      </c>
      <c r="AD7">
        <v>155.05372983451321</v>
      </c>
      <c r="AE7">
        <v>155.79347104081839</v>
      </c>
      <c r="AF7">
        <v>154.53816241876811</v>
      </c>
      <c r="AG7">
        <v>154.95949221586019</v>
      </c>
      <c r="AH7">
        <v>154.06428317626859</v>
      </c>
      <c r="AI7">
        <v>154.96943345766019</v>
      </c>
      <c r="AJ7">
        <v>155.04822403217889</v>
      </c>
      <c r="AK7">
        <v>157.5355418427099</v>
      </c>
      <c r="AL7">
        <v>157.435521681696</v>
      </c>
    </row>
    <row r="8" spans="1:38" x14ac:dyDescent="0.35">
      <c r="A8" t="s">
        <v>21</v>
      </c>
      <c r="B8">
        <v>5215570.8800000008</v>
      </c>
      <c r="C8">
        <v>6720458.8799999999</v>
      </c>
      <c r="D8">
        <v>5597428.0499999989</v>
      </c>
      <c r="E8">
        <v>6350677.7400000002</v>
      </c>
      <c r="F8">
        <v>6723450.96</v>
      </c>
      <c r="G8">
        <v>7816332.790000001</v>
      </c>
      <c r="H8">
        <v>8196388.7799999993</v>
      </c>
      <c r="I8">
        <v>11084000.65</v>
      </c>
      <c r="J8">
        <v>18597895.809999999</v>
      </c>
      <c r="K8">
        <v>13912984.82</v>
      </c>
      <c r="L8">
        <v>12890139.01</v>
      </c>
      <c r="M8">
        <v>10547556.99</v>
      </c>
      <c r="N8">
        <v>10958778.74</v>
      </c>
      <c r="O8">
        <v>12727106.52</v>
      </c>
      <c r="P8">
        <v>10356902.75</v>
      </c>
      <c r="Q8">
        <v>10572336.890000001</v>
      </c>
      <c r="R8">
        <v>11156184.189999999</v>
      </c>
      <c r="S8">
        <v>11367264.119999999</v>
      </c>
      <c r="T8">
        <v>11754983.369999999</v>
      </c>
      <c r="U8">
        <v>9879963.4000000004</v>
      </c>
      <c r="V8">
        <v>9356436.7600000016</v>
      </c>
      <c r="W8">
        <v>10375380.98</v>
      </c>
      <c r="X8">
        <v>8759954.2999999989</v>
      </c>
      <c r="Y8">
        <v>7915672.75</v>
      </c>
      <c r="Z8">
        <v>9006047.6099999994</v>
      </c>
      <c r="AA8">
        <v>8170396.3499999996</v>
      </c>
      <c r="AB8">
        <v>8523155.5300000012</v>
      </c>
      <c r="AC8">
        <v>8536968.2699999996</v>
      </c>
      <c r="AD8">
        <v>7320010.4500000002</v>
      </c>
      <c r="AE8">
        <v>7897686.4500000002</v>
      </c>
      <c r="AF8">
        <v>8304710.7000000002</v>
      </c>
      <c r="AG8">
        <v>8759862.3399999999</v>
      </c>
      <c r="AH8">
        <v>7121767.8100000015</v>
      </c>
      <c r="AI8">
        <v>7600854.71</v>
      </c>
      <c r="AJ8">
        <v>7571621.9800000004</v>
      </c>
      <c r="AK8">
        <v>5544028.0500000007</v>
      </c>
      <c r="AL8">
        <v>2498114.25</v>
      </c>
    </row>
    <row r="9" spans="1:38" x14ac:dyDescent="0.35">
      <c r="A9" t="s">
        <v>22</v>
      </c>
      <c r="B9">
        <v>1.44218398737001</v>
      </c>
      <c r="C9">
        <v>1.4251340857171899</v>
      </c>
      <c r="D9">
        <v>1.4534603374015751</v>
      </c>
      <c r="E9">
        <v>1.4533158499997829</v>
      </c>
      <c r="F9">
        <v>1.4935346932184339</v>
      </c>
      <c r="G9">
        <v>1.4679899110811261</v>
      </c>
      <c r="H9">
        <v>1.4754481686565599</v>
      </c>
      <c r="I9">
        <v>1.455449519213321</v>
      </c>
      <c r="J9">
        <v>1.4599842542371559</v>
      </c>
      <c r="K9">
        <v>1.450954661301928</v>
      </c>
      <c r="L9">
        <v>1.4467086349951499</v>
      </c>
      <c r="M9">
        <v>1.4695726879647939</v>
      </c>
      <c r="N9">
        <v>1.465373213170643</v>
      </c>
      <c r="O9">
        <v>1.4580296874899761</v>
      </c>
      <c r="P9">
        <v>1.458747401337168</v>
      </c>
      <c r="Q9">
        <v>1.471167886241493</v>
      </c>
      <c r="R9">
        <v>1.434187910527718</v>
      </c>
      <c r="S9">
        <v>1.432236906622411</v>
      </c>
      <c r="T9">
        <v>1.4319273969746451</v>
      </c>
      <c r="U9">
        <v>1.416213919410884</v>
      </c>
      <c r="V9">
        <v>1.4738269661108081</v>
      </c>
      <c r="W9">
        <v>1.4586264009589449</v>
      </c>
      <c r="X9">
        <v>1.457538577514836</v>
      </c>
      <c r="Y9">
        <v>1.502114268909797</v>
      </c>
      <c r="Z9">
        <v>1.4554608057163561</v>
      </c>
      <c r="AA9">
        <v>1.4751034907239371</v>
      </c>
      <c r="AB9">
        <v>1.4792395334626649</v>
      </c>
      <c r="AC9">
        <v>1.4975188950407039</v>
      </c>
      <c r="AD9">
        <v>1.4948214277673231</v>
      </c>
      <c r="AE9">
        <v>1.4600933893640371</v>
      </c>
      <c r="AF9">
        <v>1.485896711365142</v>
      </c>
      <c r="AG9">
        <v>1.4891603060868881</v>
      </c>
      <c r="AH9">
        <v>1.5167096338164781</v>
      </c>
      <c r="AI9">
        <v>1.456209286383688</v>
      </c>
      <c r="AJ9">
        <v>1.472375302886626</v>
      </c>
      <c r="AK9">
        <v>1.45572914566904</v>
      </c>
      <c r="AL9">
        <v>1.4657497066433189</v>
      </c>
    </row>
    <row r="10" spans="1:38" x14ac:dyDescent="0.35">
      <c r="A10" t="s">
        <v>23</v>
      </c>
      <c r="B10">
        <v>0.25019214641523568</v>
      </c>
      <c r="C10">
        <v>0.25435231757016569</v>
      </c>
      <c r="D10">
        <v>0.25525271768074992</v>
      </c>
      <c r="E10">
        <v>0.2502045325398608</v>
      </c>
      <c r="F10">
        <v>0.25470335929490001</v>
      </c>
      <c r="G10">
        <v>0.25604960145267808</v>
      </c>
      <c r="H10">
        <v>0.25440685518641298</v>
      </c>
      <c r="I10">
        <v>0.25052298347068391</v>
      </c>
      <c r="J10">
        <v>0.25255668898168748</v>
      </c>
      <c r="K10">
        <v>0.25481616551824859</v>
      </c>
      <c r="L10">
        <v>0.25216744386195727</v>
      </c>
      <c r="M10">
        <v>0.25266106110785752</v>
      </c>
      <c r="N10">
        <v>0.25478314500225052</v>
      </c>
      <c r="O10">
        <v>0.2497714961251066</v>
      </c>
      <c r="P10">
        <v>0.25252669957280433</v>
      </c>
      <c r="Q10">
        <v>0.25141066230485959</v>
      </c>
      <c r="R10">
        <v>0.25320901411085428</v>
      </c>
      <c r="S10">
        <v>0.25018728655923927</v>
      </c>
      <c r="T10">
        <v>0.25388696125275761</v>
      </c>
      <c r="U10">
        <v>0.25061607272173902</v>
      </c>
      <c r="V10">
        <v>0.25140796802200582</v>
      </c>
      <c r="W10">
        <v>0.2570110357064691</v>
      </c>
      <c r="X10">
        <v>0.25659976505665111</v>
      </c>
      <c r="Y10">
        <v>0.25258113382794911</v>
      </c>
      <c r="Z10">
        <v>0.25534966121836877</v>
      </c>
      <c r="AA10">
        <v>0.25688110101721079</v>
      </c>
      <c r="AB10">
        <v>0.25624166656923603</v>
      </c>
      <c r="AC10">
        <v>0.25245073563802761</v>
      </c>
      <c r="AD10">
        <v>0.25618647168092501</v>
      </c>
      <c r="AE10">
        <v>0.25247517842557549</v>
      </c>
      <c r="AF10">
        <v>0.25673673398520669</v>
      </c>
      <c r="AG10">
        <v>0.2580085352861835</v>
      </c>
      <c r="AH10">
        <v>0.25642190762899919</v>
      </c>
      <c r="AI10">
        <v>0.25429817003764299</v>
      </c>
      <c r="AJ10">
        <v>0.25628859184330283</v>
      </c>
      <c r="AK10">
        <v>0.25039992883026618</v>
      </c>
      <c r="AL10">
        <v>0.26013878366251658</v>
      </c>
    </row>
    <row r="12" spans="1:38" x14ac:dyDescent="0.35">
      <c r="A12" t="s">
        <v>24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44</v>
      </c>
      <c r="N12" t="s">
        <v>45</v>
      </c>
      <c r="O12" t="s">
        <v>46</v>
      </c>
      <c r="P12" t="s">
        <v>47</v>
      </c>
      <c r="Q12" t="s">
        <v>48</v>
      </c>
      <c r="R12" t="s">
        <v>49</v>
      </c>
      <c r="S12" t="s">
        <v>50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58</v>
      </c>
      <c r="AB12" t="s">
        <v>59</v>
      </c>
      <c r="AC12" t="s">
        <v>60</v>
      </c>
      <c r="AD12" t="s">
        <v>61</v>
      </c>
      <c r="AE12" t="s">
        <v>62</v>
      </c>
      <c r="AF12" t="s">
        <v>63</v>
      </c>
      <c r="AG12" t="s">
        <v>64</v>
      </c>
      <c r="AH12" t="s">
        <v>65</v>
      </c>
      <c r="AI12" t="s">
        <v>66</v>
      </c>
      <c r="AJ12" t="s">
        <v>67</v>
      </c>
      <c r="AK12" t="s">
        <v>68</v>
      </c>
      <c r="AL12" t="s">
        <v>69</v>
      </c>
    </row>
    <row r="13" spans="1:38" x14ac:dyDescent="0.35">
      <c r="A13" t="s">
        <v>14</v>
      </c>
      <c r="B13">
        <v>145.58762014801491</v>
      </c>
      <c r="C13">
        <v>145.27758700107989</v>
      </c>
      <c r="D13">
        <v>144.6428236331794</v>
      </c>
      <c r="E13">
        <v>144.83095792072339</v>
      </c>
      <c r="F13">
        <v>144.20855603165001</v>
      </c>
      <c r="G13">
        <v>144.31895850923621</v>
      </c>
      <c r="H13">
        <v>144.79870482908609</v>
      </c>
      <c r="I13">
        <v>144.59766330320099</v>
      </c>
      <c r="J13">
        <v>144.58989587291529</v>
      </c>
      <c r="K13">
        <v>143.88847010683281</v>
      </c>
      <c r="L13">
        <v>144.59801921845539</v>
      </c>
      <c r="M13">
        <v>144.53590247047271</v>
      </c>
      <c r="N13">
        <v>144.81500345917769</v>
      </c>
      <c r="O13">
        <v>145.0388969809502</v>
      </c>
      <c r="P13">
        <v>144.94114171298469</v>
      </c>
      <c r="Q13">
        <v>144.76623270729451</v>
      </c>
      <c r="R13">
        <v>145.36806937154461</v>
      </c>
      <c r="S13">
        <v>144.6869004601545</v>
      </c>
      <c r="T13">
        <v>145.3034280373829</v>
      </c>
      <c r="U13">
        <v>145.45132404403199</v>
      </c>
      <c r="V13">
        <v>144.16617089724099</v>
      </c>
      <c r="W13">
        <v>145.36040826620729</v>
      </c>
      <c r="X13">
        <v>145.66192918141371</v>
      </c>
      <c r="Y13">
        <v>145.8417068440385</v>
      </c>
      <c r="Z13">
        <v>145.1592777667895</v>
      </c>
      <c r="AA13">
        <v>144.61618764674131</v>
      </c>
      <c r="AB13">
        <v>146.08146877649011</v>
      </c>
      <c r="AC13">
        <v>146.15267127100259</v>
      </c>
      <c r="AD13">
        <v>146.21141207044971</v>
      </c>
      <c r="AE13">
        <v>145.35384796222471</v>
      </c>
      <c r="AF13">
        <v>145.72531295232369</v>
      </c>
      <c r="AG13">
        <v>147.42876888596129</v>
      </c>
      <c r="AH13">
        <v>146.27994271613969</v>
      </c>
      <c r="AI13">
        <v>146.25297457545881</v>
      </c>
      <c r="AJ13">
        <v>145.4172927920217</v>
      </c>
      <c r="AK13">
        <v>148.14814180133999</v>
      </c>
      <c r="AL13">
        <v>144.69414119023369</v>
      </c>
    </row>
    <row r="14" spans="1:38" x14ac:dyDescent="0.35">
      <c r="A14" t="s">
        <v>16</v>
      </c>
      <c r="B14">
        <v>-0.74255075862055264</v>
      </c>
      <c r="C14">
        <v>8.4437070972768424E-2</v>
      </c>
      <c r="D14">
        <v>0.54141735266387059</v>
      </c>
      <c r="E14">
        <v>0.90665174918891012</v>
      </c>
      <c r="F14">
        <v>0.28074144082515318</v>
      </c>
      <c r="G14">
        <v>0.2317005453929539</v>
      </c>
      <c r="H14">
        <v>1.117844495016612</v>
      </c>
      <c r="I14">
        <v>0.41578126829796253</v>
      </c>
      <c r="J14">
        <v>-6.1985355376606321E-2</v>
      </c>
      <c r="K14">
        <v>0.3752244529903237</v>
      </c>
      <c r="L14">
        <v>0.36799732516655581</v>
      </c>
      <c r="M14">
        <v>-5.8928561486482067E-4</v>
      </c>
      <c r="N14">
        <v>0.57779734437508523</v>
      </c>
      <c r="O14">
        <v>-0.29367625394758079</v>
      </c>
      <c r="P14">
        <v>-2.950948178488488E-2</v>
      </c>
      <c r="Q14">
        <v>0.53252147203613731</v>
      </c>
      <c r="R14">
        <v>0.30656610513915439</v>
      </c>
      <c r="S14">
        <v>0.12004337428885491</v>
      </c>
      <c r="T14">
        <v>8.3277153438729101E-2</v>
      </c>
      <c r="U14">
        <v>0.1440085743047064</v>
      </c>
      <c r="V14">
        <v>0.47523943505748889</v>
      </c>
      <c r="W14">
        <v>0.47181597350578391</v>
      </c>
      <c r="X14">
        <v>-3.9654478283154049E-2</v>
      </c>
      <c r="Y14">
        <v>-0.76109100808477592</v>
      </c>
      <c r="Z14">
        <v>0.78691343761587973</v>
      </c>
      <c r="AA14">
        <v>0.72968173185080332</v>
      </c>
      <c r="AB14">
        <v>0.2163711397267036</v>
      </c>
      <c r="AC14">
        <v>0.87664767028897472</v>
      </c>
      <c r="AD14">
        <v>-0.1026387326279234</v>
      </c>
      <c r="AE14">
        <v>0.68087470386771543</v>
      </c>
      <c r="AF14">
        <v>0.48880205102886981</v>
      </c>
      <c r="AG14">
        <v>0.81636935218796225</v>
      </c>
      <c r="AH14">
        <v>0.42226919694965659</v>
      </c>
      <c r="AI14">
        <v>-1.085725520107758</v>
      </c>
      <c r="AJ14">
        <v>2.1920435858766041</v>
      </c>
      <c r="AK14">
        <v>3.2388663639803781</v>
      </c>
      <c r="AL14">
        <v>3.444642625667655</v>
      </c>
    </row>
    <row r="15" spans="1:38" x14ac:dyDescent="0.35">
      <c r="A15" t="s">
        <v>17</v>
      </c>
      <c r="B15">
        <v>2.1823601689405221</v>
      </c>
      <c r="C15">
        <v>1.8450681698200451</v>
      </c>
      <c r="D15">
        <v>0.69240351240062592</v>
      </c>
      <c r="E15">
        <v>0.81890844917151784</v>
      </c>
      <c r="F15">
        <v>1.2367136034179309</v>
      </c>
      <c r="G15">
        <v>2.264113250823613</v>
      </c>
      <c r="H15">
        <v>0.83158731472517555</v>
      </c>
      <c r="I15">
        <v>0.67739121710617989</v>
      </c>
      <c r="J15">
        <v>-0.32761385004872379</v>
      </c>
      <c r="K15">
        <v>-0.34143144218589833</v>
      </c>
      <c r="L15">
        <v>0.79908291645412777</v>
      </c>
      <c r="M15">
        <v>0.79574714966180771</v>
      </c>
      <c r="N15">
        <v>1.5947974732376939</v>
      </c>
      <c r="O15">
        <v>-7.3748833469796923E-2</v>
      </c>
      <c r="P15">
        <v>-4.2152588876455857E-2</v>
      </c>
      <c r="Q15">
        <v>0.36408308208776508</v>
      </c>
      <c r="R15">
        <v>0.4369026783958897</v>
      </c>
      <c r="S15">
        <v>0.2810322861300813</v>
      </c>
      <c r="T15">
        <v>0.11908919408131061</v>
      </c>
      <c r="U15">
        <v>0.45112834029200571</v>
      </c>
      <c r="V15">
        <v>0.80807423887193974</v>
      </c>
      <c r="W15">
        <v>1.046195084449284</v>
      </c>
      <c r="X15">
        <v>1.705483727886423</v>
      </c>
      <c r="Y15">
        <v>0.34766488649945848</v>
      </c>
      <c r="Z15">
        <v>1.3428043697410139</v>
      </c>
      <c r="AA15">
        <v>0.14221974459654649</v>
      </c>
      <c r="AB15">
        <v>-0.90568040042123499</v>
      </c>
      <c r="AC15">
        <v>0.27038107336247957</v>
      </c>
      <c r="AD15">
        <v>0.59319689879295401</v>
      </c>
      <c r="AE15">
        <v>-0.55790746721652462</v>
      </c>
      <c r="AF15">
        <v>0.27078438315128228</v>
      </c>
      <c r="AG15">
        <v>0.82356132525582781</v>
      </c>
      <c r="AH15">
        <v>-4.8680978827552228E-2</v>
      </c>
      <c r="AI15">
        <v>2.097780496320699</v>
      </c>
      <c r="AJ15">
        <v>1.858294326624631</v>
      </c>
      <c r="AK15">
        <v>0.59893238193451204</v>
      </c>
      <c r="AL15">
        <v>1.0250246699271759</v>
      </c>
    </row>
    <row r="16" spans="1:38" x14ac:dyDescent="0.35">
      <c r="A16" t="s">
        <v>18</v>
      </c>
      <c r="B16">
        <v>5.9669044425939433</v>
      </c>
      <c r="C16">
        <v>6.2126716305742029</v>
      </c>
      <c r="D16">
        <v>4.1043513692549087</v>
      </c>
      <c r="E16">
        <v>3.372064634951216</v>
      </c>
      <c r="F16">
        <v>3.6332777867694999</v>
      </c>
      <c r="G16">
        <v>3.5438491930565141</v>
      </c>
      <c r="H16">
        <v>2.7950173834687191</v>
      </c>
      <c r="I16">
        <v>2.5850445732592831</v>
      </c>
      <c r="J16">
        <v>3.309528162113903</v>
      </c>
      <c r="K16">
        <v>3.3664011513158512</v>
      </c>
      <c r="L16">
        <v>3.627182443742218</v>
      </c>
      <c r="M16">
        <v>3.329771236388642</v>
      </c>
      <c r="N16">
        <v>3.4692559628418072</v>
      </c>
      <c r="O16">
        <v>2.745344255066958</v>
      </c>
      <c r="P16">
        <v>3.7108557755366629</v>
      </c>
      <c r="Q16">
        <v>3.7120346562522761</v>
      </c>
      <c r="R16">
        <v>2.6817243924430878</v>
      </c>
      <c r="S16">
        <v>3.0716783118614752</v>
      </c>
      <c r="T16">
        <v>1.9997471677310541</v>
      </c>
      <c r="U16">
        <v>2.216372293981856</v>
      </c>
      <c r="V16">
        <v>2.5119780510459111</v>
      </c>
      <c r="W16">
        <v>3.5752149169820382</v>
      </c>
      <c r="X16">
        <v>2.9832281465959838</v>
      </c>
      <c r="Y16">
        <v>3.8527225569907388</v>
      </c>
      <c r="Z16">
        <v>2.7739095987112621</v>
      </c>
      <c r="AA16">
        <v>3.243666545022363</v>
      </c>
      <c r="AB16">
        <v>3.5831129244023359</v>
      </c>
      <c r="AC16">
        <v>2.820040190709439</v>
      </c>
      <c r="AD16">
        <v>2.329569704110543</v>
      </c>
      <c r="AE16">
        <v>1.76218941526605</v>
      </c>
      <c r="AF16">
        <v>2.1135098621785331</v>
      </c>
      <c r="AG16">
        <v>4.2886052956250724</v>
      </c>
      <c r="AH16">
        <v>4.159751326445722</v>
      </c>
      <c r="AI16">
        <v>2.6309264583068761</v>
      </c>
      <c r="AJ16">
        <v>2.2030118279944459</v>
      </c>
      <c r="AK16">
        <v>2.5950819767474518</v>
      </c>
      <c r="AL16">
        <v>1.967001948418911</v>
      </c>
    </row>
    <row r="17" spans="1:38" x14ac:dyDescent="0.35">
      <c r="A17" t="s">
        <v>19</v>
      </c>
      <c r="B17">
        <v>-1.0266258022456951</v>
      </c>
      <c r="C17">
        <v>-0.64093779146933427</v>
      </c>
      <c r="D17">
        <v>-1.322189122127466</v>
      </c>
      <c r="E17">
        <v>-1.0360550345140871</v>
      </c>
      <c r="F17">
        <v>-1.0492612412804709</v>
      </c>
      <c r="G17">
        <v>-0.91522010215562155</v>
      </c>
      <c r="H17">
        <v>-1.026386016517346</v>
      </c>
      <c r="I17">
        <v>-0.74576863866770371</v>
      </c>
      <c r="J17">
        <v>-0.62535225751907175</v>
      </c>
      <c r="K17">
        <v>-0.94320757460853766</v>
      </c>
      <c r="L17">
        <v>-0.6859599528443</v>
      </c>
      <c r="M17">
        <v>-0.44273266833996072</v>
      </c>
      <c r="N17">
        <v>-0.87801628635223938</v>
      </c>
      <c r="O17">
        <v>-0.79650959617593442</v>
      </c>
      <c r="P17">
        <v>-0.53274231995468158</v>
      </c>
      <c r="Q17">
        <v>-0.86052937703520893</v>
      </c>
      <c r="R17">
        <v>-0.82194133455360197</v>
      </c>
      <c r="S17">
        <v>-0.69916261179334638</v>
      </c>
      <c r="T17">
        <v>-0.37867426199465271</v>
      </c>
      <c r="U17">
        <v>-0.7820899828851513</v>
      </c>
      <c r="V17">
        <v>-0.72072269075084006</v>
      </c>
      <c r="W17">
        <v>-0.62813167671142589</v>
      </c>
      <c r="X17">
        <v>-0.86800115881863416</v>
      </c>
      <c r="Y17">
        <v>-0.73150800983552533</v>
      </c>
      <c r="Z17">
        <v>-0.5475204879297263</v>
      </c>
      <c r="AA17">
        <v>-0.71720013820314232</v>
      </c>
      <c r="AB17">
        <v>-0.97672091182412479</v>
      </c>
      <c r="AC17">
        <v>-0.90450547249988178</v>
      </c>
      <c r="AD17">
        <v>-0.97172853319063435</v>
      </c>
      <c r="AE17">
        <v>-0.8760521471292908</v>
      </c>
      <c r="AF17">
        <v>-0.41078501943936863</v>
      </c>
      <c r="AG17">
        <v>-0.86796378309706934</v>
      </c>
      <c r="AH17">
        <v>-1.0190096529235471</v>
      </c>
      <c r="AI17">
        <v>-0.72101240412916601</v>
      </c>
      <c r="AJ17">
        <v>-0.86765734694186081</v>
      </c>
      <c r="AK17">
        <v>-0.6658320298170961</v>
      </c>
      <c r="AL17">
        <v>-1.22672904380676</v>
      </c>
    </row>
    <row r="18" spans="1:38" x14ac:dyDescent="0.35">
      <c r="A18" t="s">
        <v>20</v>
      </c>
      <c r="B18">
        <v>151.96770819868311</v>
      </c>
      <c r="C18">
        <v>152.77882608097761</v>
      </c>
      <c r="D18">
        <v>148.65880674537141</v>
      </c>
      <c r="E18">
        <v>148.89252771952101</v>
      </c>
      <c r="F18">
        <v>148.31002762138209</v>
      </c>
      <c r="G18">
        <v>149.44340139635369</v>
      </c>
      <c r="H18">
        <v>148.51676800577931</v>
      </c>
      <c r="I18">
        <v>147.53011172319671</v>
      </c>
      <c r="J18">
        <v>146.8844725720848</v>
      </c>
      <c r="K18">
        <v>146.34545669434459</v>
      </c>
      <c r="L18">
        <v>148.706321950974</v>
      </c>
      <c r="M18">
        <v>148.21809890256841</v>
      </c>
      <c r="N18">
        <v>149.57883795327999</v>
      </c>
      <c r="O18">
        <v>146.62030655242381</v>
      </c>
      <c r="P18">
        <v>148.04759309790529</v>
      </c>
      <c r="Q18">
        <v>148.51434254063551</v>
      </c>
      <c r="R18">
        <v>147.9713212129692</v>
      </c>
      <c r="S18">
        <v>147.46049182064161</v>
      </c>
      <c r="T18">
        <v>147.1268672906393</v>
      </c>
      <c r="U18">
        <v>147.48074326972539</v>
      </c>
      <c r="V18">
        <v>147.2407399314655</v>
      </c>
      <c r="W18">
        <v>149.82550256443301</v>
      </c>
      <c r="X18">
        <v>149.44298541879439</v>
      </c>
      <c r="Y18">
        <v>148.54949526960829</v>
      </c>
      <c r="Z18">
        <v>149.51538468492791</v>
      </c>
      <c r="AA18">
        <v>148.01455553000781</v>
      </c>
      <c r="AB18">
        <v>147.99855152837381</v>
      </c>
      <c r="AC18">
        <v>149.21523473286359</v>
      </c>
      <c r="AD18">
        <v>148.0598114075346</v>
      </c>
      <c r="AE18">
        <v>146.3629524670126</v>
      </c>
      <c r="AF18">
        <v>148.187624229243</v>
      </c>
      <c r="AG18">
        <v>152.48934107593311</v>
      </c>
      <c r="AH18">
        <v>149.79427260778399</v>
      </c>
      <c r="AI18">
        <v>149.17494360584951</v>
      </c>
      <c r="AJ18">
        <v>150.80298518557549</v>
      </c>
      <c r="AK18">
        <v>153.91519049418531</v>
      </c>
      <c r="AL18">
        <v>149.90408139044061</v>
      </c>
    </row>
    <row r="19" spans="1:38" x14ac:dyDescent="0.35">
      <c r="A19" t="s">
        <v>21</v>
      </c>
      <c r="B19">
        <v>2170491.54</v>
      </c>
      <c r="C19">
        <v>2336255.63</v>
      </c>
      <c r="D19">
        <v>2088692.98</v>
      </c>
      <c r="E19">
        <v>2601971.37</v>
      </c>
      <c r="F19">
        <v>3116958.08</v>
      </c>
      <c r="G19">
        <v>2635612.17</v>
      </c>
      <c r="H19">
        <v>2901557.86</v>
      </c>
      <c r="I19">
        <v>3455329.99</v>
      </c>
      <c r="J19">
        <v>5476733.5700000003</v>
      </c>
      <c r="K19">
        <v>3802468.45</v>
      </c>
      <c r="L19">
        <v>4734248.33</v>
      </c>
      <c r="M19">
        <v>4250097.5</v>
      </c>
      <c r="N19">
        <v>3943072.03</v>
      </c>
      <c r="O19">
        <v>3722125.38</v>
      </c>
      <c r="P19">
        <v>2644270.5299999998</v>
      </c>
      <c r="Q19">
        <v>3819553.41</v>
      </c>
      <c r="R19">
        <v>3133316.48</v>
      </c>
      <c r="S19">
        <v>3895067.43</v>
      </c>
      <c r="T19">
        <v>3003857.99</v>
      </c>
      <c r="U19">
        <v>2675898.64</v>
      </c>
      <c r="V19">
        <v>2959204.94</v>
      </c>
      <c r="W19">
        <v>2810813.97</v>
      </c>
      <c r="X19">
        <v>2676605.2200000002</v>
      </c>
      <c r="Y19">
        <v>2295872.36</v>
      </c>
      <c r="Z19">
        <v>2292685.04</v>
      </c>
      <c r="AA19">
        <v>2239254.39</v>
      </c>
      <c r="AB19">
        <v>1539259.12</v>
      </c>
      <c r="AC19">
        <v>1695626.35</v>
      </c>
      <c r="AD19">
        <v>1710063.05</v>
      </c>
      <c r="AE19">
        <v>1784651.26</v>
      </c>
      <c r="AF19">
        <v>1638424.93</v>
      </c>
      <c r="AG19">
        <v>1464431.68</v>
      </c>
      <c r="AH19">
        <v>1459389.99</v>
      </c>
      <c r="AI19">
        <v>1148261.18</v>
      </c>
      <c r="AJ19">
        <v>1628761.97</v>
      </c>
      <c r="AK19">
        <v>1061192.51</v>
      </c>
      <c r="AL19">
        <v>534762.20000000007</v>
      </c>
    </row>
    <row r="20" spans="1:38" x14ac:dyDescent="0.35">
      <c r="A20" t="s">
        <v>22</v>
      </c>
      <c r="B20">
        <v>1.4359793276640269</v>
      </c>
      <c r="C20">
        <v>1.4207757092708331</v>
      </c>
      <c r="D20">
        <v>1.5627109036881219</v>
      </c>
      <c r="E20">
        <v>1.618883534436566</v>
      </c>
      <c r="F20">
        <v>1.5983887941036441</v>
      </c>
      <c r="G20">
        <v>1.605346675303025</v>
      </c>
      <c r="H20">
        <v>1.6660758291398301</v>
      </c>
      <c r="I20">
        <v>1.683937959734322</v>
      </c>
      <c r="J20">
        <v>1.623868350694726</v>
      </c>
      <c r="K20">
        <v>1.61933371315674</v>
      </c>
      <c r="L20">
        <v>1.598861118814864</v>
      </c>
      <c r="M20">
        <v>1.622251407382709</v>
      </c>
      <c r="N20">
        <v>1.6111968143770909</v>
      </c>
      <c r="O20">
        <v>1.670267156346835</v>
      </c>
      <c r="P20">
        <v>1.592401606067648</v>
      </c>
      <c r="Q20">
        <v>1.592310970281446</v>
      </c>
      <c r="R20">
        <v>1.675666183632917</v>
      </c>
      <c r="S20">
        <v>1.643111228048642</v>
      </c>
      <c r="T20">
        <v>1.735812572075319</v>
      </c>
      <c r="U20">
        <v>1.716244850768665</v>
      </c>
      <c r="V20">
        <v>1.690243803766075</v>
      </c>
      <c r="W20">
        <v>1.602899417239112</v>
      </c>
      <c r="X20">
        <v>1.650383999925354</v>
      </c>
      <c r="Y20">
        <v>1.581568061909675</v>
      </c>
      <c r="Z20">
        <v>1.6678542923119981</v>
      </c>
      <c r="AA20">
        <v>1.6291515139637249</v>
      </c>
      <c r="AB20">
        <v>1.6022843639409139</v>
      </c>
      <c r="AC20">
        <v>1.663972407859154</v>
      </c>
      <c r="AD20">
        <v>1.7061942146071989</v>
      </c>
      <c r="AE20">
        <v>1.7577905898959469</v>
      </c>
      <c r="AF20">
        <v>1.72548109885669</v>
      </c>
      <c r="AG20">
        <v>1.5491855639212579</v>
      </c>
      <c r="AH20">
        <v>1.5586194512022069</v>
      </c>
      <c r="AI20">
        <v>1.6800022184406089</v>
      </c>
      <c r="AJ20">
        <v>1.7174389254877851</v>
      </c>
      <c r="AK20">
        <v>1.6830753777471199</v>
      </c>
      <c r="AL20">
        <v>1.7388093326341021</v>
      </c>
    </row>
    <row r="21" spans="1:38" x14ac:dyDescent="0.35">
      <c r="A21" t="s">
        <v>23</v>
      </c>
      <c r="B21">
        <v>0.26466608288922422</v>
      </c>
      <c r="C21">
        <v>0.25915625416384758</v>
      </c>
      <c r="D21">
        <v>0.26888841603039237</v>
      </c>
      <c r="E21">
        <v>0.2648007862073441</v>
      </c>
      <c r="F21">
        <v>0.26498944630400673</v>
      </c>
      <c r="G21">
        <v>0.26307457288793751</v>
      </c>
      <c r="H21">
        <v>0.26466265737881922</v>
      </c>
      <c r="I21">
        <v>0.26065383769525291</v>
      </c>
      <c r="J21">
        <v>0.25893360367884388</v>
      </c>
      <c r="K21">
        <v>0.26347439392297911</v>
      </c>
      <c r="L21">
        <v>0.25979942789777571</v>
      </c>
      <c r="M21">
        <v>0.25632475240485658</v>
      </c>
      <c r="N21">
        <v>0.26254308980503199</v>
      </c>
      <c r="O21">
        <v>0.26137870851679912</v>
      </c>
      <c r="P21">
        <v>0.25761060457078122</v>
      </c>
      <c r="Q21">
        <v>0.2622932768147887</v>
      </c>
      <c r="R21">
        <v>0.26174201906505151</v>
      </c>
      <c r="S21">
        <v>0.25998803731133352</v>
      </c>
      <c r="T21">
        <v>0.25540963231420932</v>
      </c>
      <c r="U21">
        <v>0.26117271404121639</v>
      </c>
      <c r="V21">
        <v>0.26029603843929772</v>
      </c>
      <c r="W21">
        <v>0.25897330966730608</v>
      </c>
      <c r="X21">
        <v>0.26240001655455192</v>
      </c>
      <c r="Y21">
        <v>0.26045011442622179</v>
      </c>
      <c r="Z21">
        <v>0.25782172125613889</v>
      </c>
      <c r="AA21">
        <v>0.26024571626004489</v>
      </c>
      <c r="AB21">
        <v>0.26395315588320178</v>
      </c>
      <c r="AC21">
        <v>0.26292150674999831</v>
      </c>
      <c r="AD21">
        <v>0.26388183618843758</v>
      </c>
      <c r="AE21">
        <v>0.26251503067327558</v>
      </c>
      <c r="AF21">
        <v>0.25586835742056241</v>
      </c>
      <c r="AG21">
        <v>0.26239948261567242</v>
      </c>
      <c r="AH21">
        <v>0.26455728075605067</v>
      </c>
      <c r="AI21">
        <v>0.26030017720184517</v>
      </c>
      <c r="AJ21">
        <v>0.2623951049563123</v>
      </c>
      <c r="AK21">
        <v>0.25951188614024417</v>
      </c>
      <c r="AL21">
        <v>0.26752470062581091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Tables (Q)</vt:lpstr>
      <vt:lpstr>Data Tables (W)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2026-07-08T12:46:27Z</dcterms:created>
  <dcterms:modified xsi:type="dcterms:W3CDTF">2026-09-16T17:14:30Z</dcterms:modified>
</cp:coreProperties>
</file>