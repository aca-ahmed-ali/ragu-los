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hmed.ali\ragu-los\RAGU LOS\"/>
    </mc:Choice>
  </mc:AlternateContent>
  <xr:revisionPtr revIDLastSave="0" documentId="13_ncr:1_{B7227C7B-7EE4-43EB-81D8-A46C4E3E0965}" xr6:coauthVersionLast="47" xr6:coauthVersionMax="47" xr10:uidLastSave="{00000000-0000-0000-0000-000000000000}"/>
  <bookViews>
    <workbookView xWindow="-23715" yWindow="-21885" windowWidth="38640" windowHeight="21120" xr2:uid="{00000000-000D-0000-FFFF-FFFF00000000}"/>
  </bookViews>
  <sheets>
    <sheet name="Data Tables (Q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" i="1" l="1"/>
  <c r="P26" i="1"/>
  <c r="P22" i="1"/>
  <c r="O22" i="1"/>
  <c r="C24" i="1"/>
  <c r="D24" i="1"/>
  <c r="E24" i="1"/>
  <c r="F24" i="1"/>
  <c r="G24" i="1"/>
  <c r="H24" i="1"/>
  <c r="I24" i="1"/>
  <c r="J24" i="1"/>
  <c r="K24" i="1"/>
  <c r="B24" i="1"/>
  <c r="C23" i="1"/>
  <c r="D23" i="1"/>
  <c r="E23" i="1"/>
  <c r="F23" i="1"/>
  <c r="G23" i="1"/>
  <c r="H23" i="1"/>
  <c r="I23" i="1"/>
  <c r="J23" i="1"/>
  <c r="K23" i="1"/>
  <c r="B23" i="1"/>
  <c r="Q19" i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P12" i="1"/>
  <c r="P13" i="1"/>
  <c r="P14" i="1"/>
  <c r="P15" i="1"/>
  <c r="P16" i="1"/>
  <c r="P17" i="1"/>
  <c r="Q17" i="1" s="1"/>
  <c r="P18" i="1"/>
  <c r="P19" i="1"/>
  <c r="P20" i="1"/>
  <c r="P21" i="1"/>
  <c r="Q21" i="1" s="1"/>
  <c r="P2" i="1"/>
  <c r="O13" i="1"/>
  <c r="O14" i="1"/>
  <c r="O15" i="1"/>
  <c r="O16" i="1"/>
  <c r="O17" i="1"/>
  <c r="O18" i="1"/>
  <c r="O19" i="1"/>
  <c r="O20" i="1"/>
  <c r="O21" i="1"/>
  <c r="O3" i="1"/>
  <c r="O4" i="1"/>
  <c r="O5" i="1"/>
  <c r="O6" i="1"/>
  <c r="O7" i="1"/>
  <c r="O8" i="1"/>
  <c r="O9" i="1"/>
  <c r="O10" i="1"/>
  <c r="O2" i="1"/>
  <c r="Q13" i="1" l="1"/>
  <c r="Q18" i="1"/>
  <c r="Q10" i="1"/>
  <c r="Q2" i="1"/>
  <c r="Q16" i="1"/>
  <c r="Q15" i="1"/>
  <c r="Q20" i="1"/>
  <c r="Q14" i="1"/>
</calcChain>
</file>

<file path=xl/sharedStrings.xml><?xml version="1.0" encoding="utf-8"?>
<sst xmlns="http://schemas.openxmlformats.org/spreadsheetml/2006/main" count="72" uniqueCount="33">
  <si>
    <t>FRN Franchise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</si>
  <si>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</si>
  <si>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</si>
  <si>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</si>
  <si>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</si>
  <si>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</si>
  <si>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</si>
  <si>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</si>
  <si>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</si>
  <si>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</si>
  <si>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</si>
  <si>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Model Score</t>
  </si>
  <si>
    <t>Gross Loss Impact</t>
  </si>
  <si>
    <t>Recovery Impact</t>
  </si>
  <si>
    <t>LTV Impact</t>
  </si>
  <si>
    <t>APR Impact</t>
  </si>
  <si>
    <t>RAGU Score</t>
  </si>
  <si>
    <t>Amount Financed</t>
  </si>
  <si>
    <t>Weighted LTV</t>
  </si>
  <si>
    <t>Weighted APR</t>
  </si>
  <si>
    <t>FRN Independent</t>
  </si>
  <si>
    <t>24Q2-25Q1</t>
  </si>
  <si>
    <t>26Q1</t>
  </si>
  <si>
    <t>Delta</t>
  </si>
  <si>
    <t>Franchise</t>
  </si>
  <si>
    <t>Independent</t>
  </si>
  <si>
    <t>Franchise vol</t>
  </si>
  <si>
    <t>Independent Volume</t>
  </si>
  <si>
    <t>Volume diff</t>
  </si>
  <si>
    <t>frnf</t>
  </si>
  <si>
    <t>frni</t>
  </si>
  <si>
    <t>added 60%</t>
  </si>
  <si>
    <t>Cut 35%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</si>
</sst>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" fontId="0" fillId="0" borderId="0" xfId="0" applyNumberFormat="1"/>
    <xf numFmtId="2" fontId="1" fillId="2" borderId="0" xfId="0" applyNumberFormat="1" applyFont="1" applyFill="1"/>
    <xf numFmtId="2" fontId="1" fillId="2" borderId="0" xfId="0" applyNumberFormat="1" applyFont="1" applyFill="1" applyAlignment="1">
      <alignment horizontal="center" vertical="center"/>
    </xf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7"/>
  <sheetViews>
    <sheetView tabSelected="1" topLeftCell="C1" zoomScale="175" zoomScaleNormal="175" workbookViewId="0">
      <selection activeCell="M2" sqref="M2:M10"/>
    </sheetView>
  </sheetViews>
  <sheetFormatPr defaultRowHeight="14.5" x14ac:dyDescent="0.35"/>
  <cols>
    <col min="1" max="1" width="17.90625" style="1" customWidth="1"/>
    <col min="2" max="2" width="11.54296875" style="1" customWidth="1"/>
    <col min="3" max="5" width="11.453125" style="1" bestFit="1" customWidth="1"/>
    <col min="6" max="7" width="12.453125" style="1" bestFit="1" customWidth="1"/>
    <col min="8" max="9" width="11.453125" style="1" bestFit="1" customWidth="1"/>
    <col min="10" max="11" width="12.453125" style="1" bestFit="1" customWidth="1"/>
    <col min="12" max="12" width="8.7265625" style="1"/>
    <col min="13" max="13" width="14.36328125" style="1" customWidth="1"/>
    <col min="14" max="14" width="18.453125" style="1" customWidth="1"/>
    <col min="15" max="17" width="15.453125" style="1" customWidth="1"/>
    <col min="18" max="16384" width="8.7265625" style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O1" s="3" t="s">
        <v>21</v>
      </c>
      <c r="P1" s="3" t="s">
        <v>22</v>
      </c>
      <c r="Q1" s="3" t="s">
        <v>23</v>
      </c>
    </row>
    <row r="2" spans="1:17" x14ac:dyDescent="0.35">
      <c r="A2" s="1" t="s">
        <v>11</v>
      </c>
      <c r="B2" s="1">
        <v>138.1224155171237</v>
      </c>
      <c r="C2" s="1">
        <v>139.90122992847921</v>
      </c>
      <c r="D2" s="1">
        <v>140.82893224585041</v>
      </c>
      <c r="E2" s="1">
        <v>138.76880464883621</v>
      </c>
      <c r="F2" s="1">
        <v>138.44166832380239</v>
      </c>
      <c r="G2" s="1">
        <v>139.4604331476333</v>
      </c>
      <c r="H2" s="1">
        <v>139.8448472206542</v>
      </c>
      <c r="I2" s="1">
        <v>140.8546165597235</v>
      </c>
      <c r="J2" s="1">
        <v>142.1274697075155</v>
      </c>
      <c r="K2" s="1">
        <v>142.51304336777719</v>
      </c>
      <c r="M2" s="4" t="s">
        <v>24</v>
      </c>
      <c r="N2" s="1" t="s">
        <v>11</v>
      </c>
      <c r="O2" s="1">
        <f>AVERAGE(C2:F2)</f>
        <v>139.48515878674203</v>
      </c>
      <c r="P2" s="1">
        <f>J2</f>
        <v>142.1274697075155</v>
      </c>
      <c r="Q2" s="1">
        <f>P2-O2</f>
        <v>2.6423109207734683</v>
      </c>
    </row>
    <row r="3" spans="1:17" x14ac:dyDescent="0.35">
      <c r="A3" s="1" t="s">
        <v>12</v>
      </c>
      <c r="B3" s="1">
        <v>1.455103342337281</v>
      </c>
      <c r="C3" s="1">
        <v>2.2431878736225879</v>
      </c>
      <c r="D3" s="1">
        <v>2.6090360160258972</v>
      </c>
      <c r="E3" s="1">
        <v>2.5144978466545629</v>
      </c>
      <c r="F3" s="1">
        <v>2.0327174030909418</v>
      </c>
      <c r="G3" s="1">
        <v>3.008193848864352</v>
      </c>
      <c r="H3" s="1">
        <v>2.9409302107841029</v>
      </c>
      <c r="I3" s="1">
        <v>3.739590998744859</v>
      </c>
      <c r="J3" s="1">
        <v>3.476217260686326</v>
      </c>
      <c r="K3" s="1">
        <v>3.7388792212486521</v>
      </c>
      <c r="M3" s="4"/>
      <c r="N3" s="1" t="s">
        <v>12</v>
      </c>
      <c r="O3" s="1">
        <f>AVERAGE(C3:F3)</f>
        <v>2.3498597848484977</v>
      </c>
      <c r="P3" s="1">
        <f>J3</f>
        <v>3.476217260686326</v>
      </c>
      <c r="Q3" s="1">
        <f t="shared" ref="Q3:Q10" si="0">P3-O3</f>
        <v>1.1263574758378283</v>
      </c>
    </row>
    <row r="4" spans="1:17" x14ac:dyDescent="0.35">
      <c r="A4" s="1" t="s">
        <v>13</v>
      </c>
      <c r="B4" s="1">
        <v>-0.72863757468300028</v>
      </c>
      <c r="C4" s="1">
        <v>0.35828777468692652</v>
      </c>
      <c r="D4" s="1">
        <v>0.78593630005080017</v>
      </c>
      <c r="E4" s="1">
        <v>2.5743895686692229</v>
      </c>
      <c r="F4" s="1">
        <v>2.5551414442078642</v>
      </c>
      <c r="G4" s="1">
        <v>3.28802777461962</v>
      </c>
      <c r="H4" s="1">
        <v>3.4353429844279089</v>
      </c>
      <c r="I4" s="1">
        <v>4.5919504358210839</v>
      </c>
      <c r="J4" s="1">
        <v>3.3293982523546042</v>
      </c>
      <c r="K4" s="1">
        <v>3.3861820226881689</v>
      </c>
      <c r="M4" s="4"/>
      <c r="N4" s="1" t="s">
        <v>13</v>
      </c>
      <c r="O4" s="1">
        <f>AVERAGE(C4:F4)</f>
        <v>1.5684387719037034</v>
      </c>
      <c r="P4" s="1">
        <f>J4</f>
        <v>3.3293982523546042</v>
      </c>
      <c r="Q4" s="1">
        <f t="shared" si="0"/>
        <v>1.7609594804509008</v>
      </c>
    </row>
    <row r="5" spans="1:17" x14ac:dyDescent="0.35">
      <c r="A5" s="1" t="s">
        <v>14</v>
      </c>
      <c r="B5" s="1">
        <v>5.6369974563683511</v>
      </c>
      <c r="C5" s="1">
        <v>5.5974559213907211</v>
      </c>
      <c r="D5" s="1">
        <v>5.5927658002636313</v>
      </c>
      <c r="E5" s="1">
        <v>5.5663433982769659</v>
      </c>
      <c r="F5" s="1">
        <v>5.4416466973599569</v>
      </c>
      <c r="G5" s="1">
        <v>6.7008364719412317</v>
      </c>
      <c r="H5" s="1">
        <v>6.581716595728019</v>
      </c>
      <c r="I5" s="1">
        <v>6.4306865357275527</v>
      </c>
      <c r="J5" s="1">
        <v>5.5815303917852557</v>
      </c>
      <c r="K5" s="1">
        <v>5.6732880807626076</v>
      </c>
      <c r="M5" s="4"/>
      <c r="N5" s="1" t="s">
        <v>14</v>
      </c>
      <c r="O5" s="1">
        <f>AVERAGE(C5:F5)</f>
        <v>5.5495529543228193</v>
      </c>
      <c r="P5" s="1">
        <f>J5</f>
        <v>5.5815303917852557</v>
      </c>
      <c r="Q5" s="1">
        <f t="shared" si="0"/>
        <v>3.197743746243642E-2</v>
      </c>
    </row>
    <row r="6" spans="1:17" x14ac:dyDescent="0.35">
      <c r="A6" s="1" t="s">
        <v>15</v>
      </c>
      <c r="B6" s="1">
        <v>0.1655751651815629</v>
      </c>
      <c r="C6" s="1">
        <v>0.12583021810321229</v>
      </c>
      <c r="D6" s="1">
        <v>-0.1961567019226812</v>
      </c>
      <c r="E6" s="1">
        <v>-0.29731612207818342</v>
      </c>
      <c r="F6" s="1">
        <v>-0.3886316345381241</v>
      </c>
      <c r="G6" s="1">
        <v>-0.32847463299952079</v>
      </c>
      <c r="H6" s="1">
        <v>-0.38248993520716978</v>
      </c>
      <c r="I6" s="1">
        <v>-0.35474748579613907</v>
      </c>
      <c r="J6" s="1">
        <v>-0.23181351788158999</v>
      </c>
      <c r="K6" s="1">
        <v>-0.22743498031990991</v>
      </c>
      <c r="M6" s="4"/>
      <c r="N6" s="1" t="s">
        <v>15</v>
      </c>
      <c r="O6" s="1">
        <f>AVERAGE(C6:F6)</f>
        <v>-0.1890685601089441</v>
      </c>
      <c r="P6" s="1">
        <f>J6</f>
        <v>-0.23181351788158999</v>
      </c>
      <c r="Q6" s="1">
        <f t="shared" si="0"/>
        <v>-4.2744957772645892E-2</v>
      </c>
    </row>
    <row r="7" spans="1:17" x14ac:dyDescent="0.35">
      <c r="A7" s="1" t="s">
        <v>16</v>
      </c>
      <c r="B7" s="1">
        <v>144.6514539063279</v>
      </c>
      <c r="C7" s="1">
        <v>148.22599171628261</v>
      </c>
      <c r="D7" s="1">
        <v>149.62051366026799</v>
      </c>
      <c r="E7" s="1">
        <v>149.12671934035879</v>
      </c>
      <c r="F7" s="1">
        <v>148.08254223392299</v>
      </c>
      <c r="G7" s="1">
        <v>152.12901661005901</v>
      </c>
      <c r="H7" s="1">
        <v>152.42034707638709</v>
      </c>
      <c r="I7" s="1">
        <v>155.26209704422089</v>
      </c>
      <c r="J7" s="1">
        <v>154.2828020944601</v>
      </c>
      <c r="K7" s="1">
        <v>155.08395771215669</v>
      </c>
      <c r="M7" s="4"/>
      <c r="N7" s="1" t="s">
        <v>16</v>
      </c>
      <c r="O7" s="1">
        <f>AVERAGE(C7:F7)</f>
        <v>148.76394173770808</v>
      </c>
      <c r="P7" s="1">
        <f>J7</f>
        <v>154.2828020944601</v>
      </c>
      <c r="Q7" s="5">
        <f t="shared" si="0"/>
        <v>5.5188603567520147</v>
      </c>
    </row>
    <row r="8" spans="1:17" x14ac:dyDescent="0.35">
      <c r="A8" s="1" t="s">
        <v>17</v>
      </c>
      <c r="B8" s="1">
        <v>71625171.829999998</v>
      </c>
      <c r="C8" s="1">
        <v>74003857.229999989</v>
      </c>
      <c r="D8" s="1">
        <v>54598117.710000001</v>
      </c>
      <c r="E8" s="1">
        <v>62626288.140000001</v>
      </c>
      <c r="F8" s="1">
        <v>103879931.14</v>
      </c>
      <c r="G8" s="1">
        <v>105330412.53</v>
      </c>
      <c r="H8" s="1">
        <v>99848403.939999998</v>
      </c>
      <c r="I8" s="1">
        <v>81878054.120000005</v>
      </c>
      <c r="J8" s="1">
        <v>116688893.65000001</v>
      </c>
      <c r="K8" s="1">
        <v>133176633.84999999</v>
      </c>
      <c r="M8" s="4"/>
      <c r="N8" s="1" t="s">
        <v>17</v>
      </c>
      <c r="O8" s="1">
        <f>AVERAGE(C8:F8)</f>
        <v>73777048.554999992</v>
      </c>
      <c r="P8" s="2">
        <f>J8</f>
        <v>116688893.65000001</v>
      </c>
      <c r="Q8" s="2">
        <f t="shared" si="0"/>
        <v>42911845.095000014</v>
      </c>
    </row>
    <row r="9" spans="1:17" x14ac:dyDescent="0.35">
      <c r="A9" s="1" t="s">
        <v>18</v>
      </c>
      <c r="B9" s="1">
        <v>1.4569069976514</v>
      </c>
      <c r="C9" s="1">
        <v>1.459456326177903</v>
      </c>
      <c r="D9" s="1">
        <v>1.4597593004578111</v>
      </c>
      <c r="E9" s="1">
        <v>1.4614684983708151</v>
      </c>
      <c r="F9" s="1">
        <v>1.469589127961799</v>
      </c>
      <c r="G9" s="1">
        <v>1.391512069164484</v>
      </c>
      <c r="H9" s="1">
        <v>1.3985411056112229</v>
      </c>
      <c r="I9" s="1">
        <v>1.4075558541450111</v>
      </c>
      <c r="J9" s="1">
        <v>1.4604856016312131</v>
      </c>
      <c r="K9" s="1">
        <v>1.4545750877651591</v>
      </c>
      <c r="M9" s="4"/>
      <c r="N9" s="1" t="s">
        <v>18</v>
      </c>
      <c r="O9" s="1">
        <f>AVERAGE(C9:F9)</f>
        <v>1.4625683132420821</v>
      </c>
      <c r="P9" s="1">
        <f>J9</f>
        <v>1.4604856016312131</v>
      </c>
      <c r="Q9" s="1">
        <f t="shared" si="0"/>
        <v>-2.0827116108690369E-3</v>
      </c>
    </row>
    <row r="10" spans="1:17" x14ac:dyDescent="0.35">
      <c r="A10" s="1" t="s">
        <v>19</v>
      </c>
      <c r="B10" s="1">
        <v>0.24763464049740619</v>
      </c>
      <c r="C10" s="1">
        <v>0.2482024254556684</v>
      </c>
      <c r="D10" s="1">
        <v>0.25280223859889539</v>
      </c>
      <c r="E10" s="1">
        <v>0.25424737317254548</v>
      </c>
      <c r="F10" s="1">
        <v>0.25555188049340177</v>
      </c>
      <c r="G10" s="1">
        <v>0.25469249475713601</v>
      </c>
      <c r="H10" s="1">
        <v>0.255464141931531</v>
      </c>
      <c r="I10" s="1">
        <v>0.25506782122565907</v>
      </c>
      <c r="J10" s="1">
        <v>0.25331162168402271</v>
      </c>
      <c r="K10" s="1">
        <v>0.25324907114742728</v>
      </c>
      <c r="M10" s="4"/>
      <c r="N10" s="1" t="s">
        <v>19</v>
      </c>
      <c r="O10" s="1">
        <f>AVERAGE(C10:F10)</f>
        <v>0.25270097943012776</v>
      </c>
      <c r="P10" s="1">
        <f>J10</f>
        <v>0.25331162168402271</v>
      </c>
      <c r="Q10" s="1">
        <f t="shared" si="0"/>
        <v>6.1064225389495519E-4</v>
      </c>
    </row>
    <row r="12" spans="1:17" x14ac:dyDescent="0.35">
      <c r="A12" s="1" t="s">
        <v>20</v>
      </c>
      <c r="B12" s="1" t="s">
        <v>1</v>
      </c>
      <c r="C12" s="1" t="s">
        <v>2</v>
      </c>
      <c r="D12" s="1" t="s">
        <v>3</v>
      </c>
      <c r="E12" s="1" t="s">
        <v>4</v>
      </c>
      <c r="F12" s="1" t="s">
        <v>5</v>
      </c>
      <c r="G12" s="1" t="s">
        <v>6</v>
      </c>
      <c r="H12" s="1" t="s">
        <v>7</v>
      </c>
      <c r="I12" s="1" t="s">
        <v>8</v>
      </c>
      <c r="J12" s="1" t="s">
        <v>9</v>
      </c>
      <c r="K12" s="1" t="s">
        <v>10</v>
      </c>
      <c r="O12" s="3" t="s">
        <v>21</v>
      </c>
      <c r="P12" s="3" t="str">
        <f>J12</f>
        <v>2026 Q1</v>
      </c>
      <c r="Q12" s="3" t="s">
        <v>23</v>
      </c>
    </row>
    <row r="13" spans="1:17" x14ac:dyDescent="0.35">
      <c r="A13" s="1" t="s">
        <v>11</v>
      </c>
      <c r="B13" s="1">
        <v>138.02339833885611</v>
      </c>
      <c r="C13" s="1">
        <v>140.37481808939131</v>
      </c>
      <c r="D13" s="1">
        <v>142.18217191693901</v>
      </c>
      <c r="E13" s="1">
        <v>141.17376044287889</v>
      </c>
      <c r="F13" s="1">
        <v>141.73851930722</v>
      </c>
      <c r="G13" s="1">
        <v>142.13613585590369</v>
      </c>
      <c r="H13" s="1">
        <v>142.9317966950544</v>
      </c>
      <c r="I13" s="1">
        <v>143.77954689750419</v>
      </c>
      <c r="J13" s="1">
        <v>144.61113226194979</v>
      </c>
      <c r="K13" s="1">
        <v>145.04096387570121</v>
      </c>
      <c r="M13" s="4" t="s">
        <v>25</v>
      </c>
      <c r="N13" s="1" t="s">
        <v>11</v>
      </c>
      <c r="O13" s="1">
        <f>AVERAGE(C13:F13)</f>
        <v>141.36731743910732</v>
      </c>
      <c r="P13" s="1">
        <f>J13</f>
        <v>144.61113226194979</v>
      </c>
      <c r="Q13" s="1">
        <f>P13-O13</f>
        <v>3.2438148228424666</v>
      </c>
    </row>
    <row r="14" spans="1:17" x14ac:dyDescent="0.35">
      <c r="A14" s="1" t="s">
        <v>12</v>
      </c>
      <c r="B14" s="1">
        <v>-2.450434501423274</v>
      </c>
      <c r="C14" s="1">
        <v>-1.8520755279820089</v>
      </c>
      <c r="D14" s="1">
        <v>-1.359242386693182</v>
      </c>
      <c r="E14" s="1">
        <v>-1.954864088698685</v>
      </c>
      <c r="F14" s="1">
        <v>-1.6599073250901031</v>
      </c>
      <c r="G14" s="1">
        <v>-1.340548598566301</v>
      </c>
      <c r="H14" s="1">
        <v>-0.65367389160564926</v>
      </c>
      <c r="I14" s="1">
        <v>0.37359647869610058</v>
      </c>
      <c r="J14" s="1">
        <v>0.28903743444342922</v>
      </c>
      <c r="K14" s="1">
        <v>0.17601178619739241</v>
      </c>
      <c r="M14" s="4"/>
      <c r="N14" s="1" t="s">
        <v>12</v>
      </c>
      <c r="O14" s="1">
        <f>AVERAGE(C14:F14)</f>
        <v>-1.7065223321159948</v>
      </c>
      <c r="P14" s="1">
        <f>J14</f>
        <v>0.28903743444342922</v>
      </c>
      <c r="Q14" s="1">
        <f t="shared" ref="Q14:Q21" si="1">P14-O14</f>
        <v>1.995559766559424</v>
      </c>
    </row>
    <row r="15" spans="1:17" x14ac:dyDescent="0.35">
      <c r="A15" s="1" t="s">
        <v>13</v>
      </c>
      <c r="B15" s="1">
        <v>-2.265140967076638</v>
      </c>
      <c r="C15" s="1">
        <v>-2.188868686297575</v>
      </c>
      <c r="D15" s="1">
        <v>-1.4186716329828311</v>
      </c>
      <c r="E15" s="1">
        <v>-0.1422365353764119</v>
      </c>
      <c r="F15" s="1">
        <v>-0.2017192908083312</v>
      </c>
      <c r="G15" s="1">
        <v>-0.36369964469170618</v>
      </c>
      <c r="H15" s="1">
        <v>0.57607158365008504</v>
      </c>
      <c r="I15" s="1">
        <v>2.1661669994022601</v>
      </c>
      <c r="J15" s="1">
        <v>0.8238534098899486</v>
      </c>
      <c r="K15" s="1">
        <v>0.53982364461653043</v>
      </c>
      <c r="M15" s="4"/>
      <c r="N15" s="1" t="s">
        <v>13</v>
      </c>
      <c r="O15" s="1">
        <f>AVERAGE(C15:F15)</f>
        <v>-0.98787403636628734</v>
      </c>
      <c r="P15" s="1">
        <f>J15</f>
        <v>0.8238534098899486</v>
      </c>
      <c r="Q15" s="1">
        <f t="shared" si="1"/>
        <v>1.8117274462562358</v>
      </c>
    </row>
    <row r="16" spans="1:17" x14ac:dyDescent="0.35">
      <c r="A16" s="1" t="s">
        <v>14</v>
      </c>
      <c r="B16" s="1">
        <v>4.6597308101274191</v>
      </c>
      <c r="C16" s="1">
        <v>4.8725347009236177</v>
      </c>
      <c r="D16" s="1">
        <v>4.6681630017334221</v>
      </c>
      <c r="E16" s="1">
        <v>4.6738436473802594</v>
      </c>
      <c r="F16" s="1">
        <v>4.6510137387248296</v>
      </c>
      <c r="G16" s="1">
        <v>5.1196451430619723</v>
      </c>
      <c r="H16" s="1">
        <v>5.283505312186719</v>
      </c>
      <c r="I16" s="1">
        <v>5.1998728413317341</v>
      </c>
      <c r="J16" s="1">
        <v>3.6480792075265001</v>
      </c>
      <c r="K16" s="1">
        <v>3.0059169907643071</v>
      </c>
      <c r="M16" s="4"/>
      <c r="N16" s="1" t="s">
        <v>14</v>
      </c>
      <c r="O16" s="1">
        <f>AVERAGE(C16:F16)</f>
        <v>4.7163887721905322</v>
      </c>
      <c r="P16" s="1">
        <f>J16</f>
        <v>3.6480792075265001</v>
      </c>
      <c r="Q16" s="1">
        <f t="shared" si="1"/>
        <v>-1.0683095646640322</v>
      </c>
    </row>
    <row r="17" spans="1:17" x14ac:dyDescent="0.35">
      <c r="A17" s="1" t="s">
        <v>15</v>
      </c>
      <c r="B17" s="1">
        <v>-6.1328506852409426E-3</v>
      </c>
      <c r="C17" s="1">
        <v>-2.0008703255544599E-2</v>
      </c>
      <c r="D17" s="1">
        <v>-0.14434713715095029</v>
      </c>
      <c r="E17" s="1">
        <v>-0.66797349041368359</v>
      </c>
      <c r="F17" s="1">
        <v>-0.63036848699023651</v>
      </c>
      <c r="G17" s="1">
        <v>-0.49144709699259259</v>
      </c>
      <c r="H17" s="1">
        <v>-0.65356268682876362</v>
      </c>
      <c r="I17" s="1">
        <v>-1.0135646214135909</v>
      </c>
      <c r="J17" s="1">
        <v>-0.83726061809499708</v>
      </c>
      <c r="K17" s="1">
        <v>-0.70072465953723073</v>
      </c>
      <c r="M17" s="4"/>
      <c r="N17" s="1" t="s">
        <v>15</v>
      </c>
      <c r="O17" s="1">
        <f>AVERAGE(C17:F17)</f>
        <v>-0.36567445445260371</v>
      </c>
      <c r="P17" s="1">
        <f>J17</f>
        <v>-0.83726061809499708</v>
      </c>
      <c r="Q17" s="1">
        <f t="shared" si="1"/>
        <v>-0.47158616364239336</v>
      </c>
    </row>
    <row r="18" spans="1:17" x14ac:dyDescent="0.35">
      <c r="A18" s="1" t="s">
        <v>16</v>
      </c>
      <c r="B18" s="1">
        <v>137.96142082979841</v>
      </c>
      <c r="C18" s="1">
        <v>141.18639987277979</v>
      </c>
      <c r="D18" s="1">
        <v>143.9280737618455</v>
      </c>
      <c r="E18" s="1">
        <v>143.0825299757704</v>
      </c>
      <c r="F18" s="1">
        <v>143.89753794305611</v>
      </c>
      <c r="G18" s="1">
        <v>145.060085658715</v>
      </c>
      <c r="H18" s="1">
        <v>147.48413701245681</v>
      </c>
      <c r="I18" s="1">
        <v>150.5056185955207</v>
      </c>
      <c r="J18" s="1">
        <v>148.53484169571459</v>
      </c>
      <c r="K18" s="1">
        <v>148.06199163774221</v>
      </c>
      <c r="M18" s="4"/>
      <c r="N18" s="1" t="s">
        <v>16</v>
      </c>
      <c r="O18" s="1">
        <f>AVERAGE(C18:F18)</f>
        <v>143.02363538836295</v>
      </c>
      <c r="P18" s="1">
        <f>J18</f>
        <v>148.53484169571459</v>
      </c>
      <c r="Q18" s="5">
        <f t="shared" si="1"/>
        <v>5.5112063073516424</v>
      </c>
    </row>
    <row r="19" spans="1:17" x14ac:dyDescent="0.35">
      <c r="A19" s="1" t="s">
        <v>17</v>
      </c>
      <c r="B19" s="1">
        <v>58980543.640000001</v>
      </c>
      <c r="C19" s="1">
        <v>70438646.549999997</v>
      </c>
      <c r="D19" s="1">
        <v>52611427.270000003</v>
      </c>
      <c r="E19" s="1">
        <v>55282841.180000007</v>
      </c>
      <c r="F19" s="1">
        <v>70159380.859999999</v>
      </c>
      <c r="G19" s="1">
        <v>72608250.329999998</v>
      </c>
      <c r="H19" s="1">
        <v>51318850.920000002</v>
      </c>
      <c r="I19" s="1">
        <v>34247048.009999998</v>
      </c>
      <c r="J19" s="1">
        <v>41026540.079999998</v>
      </c>
      <c r="K19" s="1">
        <v>39082127.130000003</v>
      </c>
      <c r="M19" s="4"/>
      <c r="N19" s="1" t="s">
        <v>17</v>
      </c>
      <c r="O19" s="1">
        <f>AVERAGE(C19:F19)</f>
        <v>62123073.965000004</v>
      </c>
      <c r="P19" s="2">
        <f>J19</f>
        <v>41026540.079999998</v>
      </c>
      <c r="Q19" s="2">
        <f>P19-O19</f>
        <v>-21096533.885000005</v>
      </c>
    </row>
    <row r="20" spans="1:17" x14ac:dyDescent="0.35">
      <c r="A20" s="1" t="s">
        <v>18</v>
      </c>
      <c r="B20" s="1">
        <v>1.5226412686800139</v>
      </c>
      <c r="C20" s="1">
        <v>1.5078270740431079</v>
      </c>
      <c r="D20" s="1">
        <v>1.522048731005099</v>
      </c>
      <c r="E20" s="1">
        <v>1.521649806862307</v>
      </c>
      <c r="F20" s="1">
        <v>1.5232543103056759</v>
      </c>
      <c r="G20" s="1">
        <v>1.490982327550787</v>
      </c>
      <c r="H20" s="1">
        <v>1.4800184952034201</v>
      </c>
      <c r="I20" s="1">
        <v>1.4855940948723729</v>
      </c>
      <c r="J20" s="1">
        <v>1.5972430010815899</v>
      </c>
      <c r="K20" s="1">
        <v>1.6485122884007339</v>
      </c>
      <c r="M20" s="4"/>
      <c r="N20" s="1" t="s">
        <v>18</v>
      </c>
      <c r="O20" s="1">
        <f>AVERAGE(C20:F20)</f>
        <v>1.5186949805540475</v>
      </c>
      <c r="P20" s="1">
        <f>J20</f>
        <v>1.5972430010815899</v>
      </c>
      <c r="Q20" s="1">
        <f t="shared" si="1"/>
        <v>7.8548020527542395E-2</v>
      </c>
    </row>
    <row r="21" spans="1:17" x14ac:dyDescent="0.35">
      <c r="A21" s="1" t="s">
        <v>19</v>
      </c>
      <c r="B21" s="1">
        <v>0.2500876121526463</v>
      </c>
      <c r="C21" s="1">
        <v>0.25028583861793641</v>
      </c>
      <c r="D21" s="1">
        <v>0.25206210195929929</v>
      </c>
      <c r="E21" s="1">
        <v>0.25954247843448119</v>
      </c>
      <c r="F21" s="1">
        <v>0.25900526409986052</v>
      </c>
      <c r="G21" s="1">
        <v>0.2570206728141799</v>
      </c>
      <c r="H21" s="1">
        <v>0.25933660981183948</v>
      </c>
      <c r="I21" s="1">
        <v>0.26447949459162268</v>
      </c>
      <c r="J21" s="1">
        <v>0.26196086597278567</v>
      </c>
      <c r="K21" s="1">
        <v>0.2600103522791033</v>
      </c>
      <c r="M21" s="4"/>
      <c r="N21" s="1" t="s">
        <v>19</v>
      </c>
      <c r="O21" s="1">
        <f>AVERAGE(C21:F21)</f>
        <v>0.25522392077789435</v>
      </c>
      <c r="P21" s="1">
        <f>J21</f>
        <v>0.26196086597278567</v>
      </c>
      <c r="Q21" s="1">
        <f t="shared" si="1"/>
        <v>6.7369451948913195E-3</v>
      </c>
    </row>
    <row r="22" spans="1:17" x14ac:dyDescent="0.35">
      <c r="O22" s="5">
        <f>O18-O7</f>
        <v>-5.7403063493451327</v>
      </c>
      <c r="P22" s="5">
        <f>P18-P7</f>
        <v>-5.747960398745505</v>
      </c>
    </row>
    <row r="23" spans="1:17" x14ac:dyDescent="0.35">
      <c r="A23" s="1" t="s">
        <v>26</v>
      </c>
      <c r="B23" s="1">
        <f>B8/1000000</f>
        <v>71.625171829999999</v>
      </c>
      <c r="C23" s="1">
        <f t="shared" ref="C23:K24" si="2">C8/1000000</f>
        <v>74.003857229999994</v>
      </c>
      <c r="D23" s="1">
        <f t="shared" si="2"/>
        <v>54.598117710000004</v>
      </c>
      <c r="E23" s="1">
        <f t="shared" si="2"/>
        <v>62.62628814</v>
      </c>
      <c r="F23" s="1">
        <f t="shared" si="2"/>
        <v>103.87993114</v>
      </c>
      <c r="G23" s="1">
        <f t="shared" si="2"/>
        <v>105.33041253</v>
      </c>
      <c r="H23" s="1">
        <f t="shared" si="2"/>
        <v>99.848403939999997</v>
      </c>
      <c r="I23" s="1">
        <f t="shared" si="2"/>
        <v>81.878054120000002</v>
      </c>
      <c r="J23" s="1">
        <f t="shared" si="2"/>
        <v>116.68889365000001</v>
      </c>
      <c r="K23" s="1">
        <f t="shared" si="2"/>
        <v>133.17663385</v>
      </c>
    </row>
    <row r="24" spans="1:17" x14ac:dyDescent="0.35">
      <c r="A24" s="1" t="s">
        <v>27</v>
      </c>
      <c r="B24" s="1">
        <f>B19/1000000</f>
        <v>58.98054364</v>
      </c>
      <c r="C24" s="1">
        <f t="shared" ref="C24:K24" si="3">C19/1000000</f>
        <v>70.438646550000001</v>
      </c>
      <c r="D24" s="1">
        <f t="shared" si="3"/>
        <v>52.61142727</v>
      </c>
      <c r="E24" s="1">
        <f t="shared" si="3"/>
        <v>55.282841180000005</v>
      </c>
      <c r="F24" s="1">
        <f t="shared" si="3"/>
        <v>70.159380859999999</v>
      </c>
      <c r="G24" s="1">
        <f t="shared" si="3"/>
        <v>72.608250330000004</v>
      </c>
      <c r="H24" s="1">
        <f t="shared" si="3"/>
        <v>51.318850920000003</v>
      </c>
      <c r="I24" s="1">
        <f t="shared" si="3"/>
        <v>34.24704801</v>
      </c>
      <c r="J24" s="1">
        <f t="shared" si="3"/>
        <v>41.026540079999997</v>
      </c>
      <c r="K24" s="1">
        <f t="shared" si="3"/>
        <v>39.082127130000003</v>
      </c>
    </row>
    <row r="25" spans="1:17" x14ac:dyDescent="0.35">
      <c r="N25" s="1" t="s">
        <v>28</v>
      </c>
      <c r="O25" s="1" t="s">
        <v>29</v>
      </c>
      <c r="P25" s="1">
        <f>P8/O8-1</f>
        <v>0.58164220357784702</v>
      </c>
      <c r="Q25" s="1" t="s">
        <v>31</v>
      </c>
    </row>
    <row r="26" spans="1:17" x14ac:dyDescent="0.35">
      <c r="C26" s="2"/>
      <c r="D26" s="2"/>
      <c r="E26" s="2"/>
      <c r="F26" s="2"/>
      <c r="G26" s="2"/>
      <c r="H26" s="2"/>
      <c r="I26" s="2"/>
      <c r="J26" s="2"/>
      <c r="K26" s="2"/>
      <c r="O26" s="1" t="s">
        <v>30</v>
      </c>
      <c r="P26" s="1">
        <f>P19/O19-1</f>
        <v>-0.33959256261024273</v>
      </c>
      <c r="Q26" s="1" t="s">
        <v>32</v>
      </c>
    </row>
    <row r="27" spans="1:17" x14ac:dyDescent="0.35">
      <c r="C27" s="2"/>
      <c r="D27" s="2"/>
      <c r="E27" s="2"/>
      <c r="F27" s="2"/>
      <c r="G27" s="2"/>
      <c r="H27" s="2"/>
      <c r="I27" s="2"/>
      <c r="J27" s="2"/>
      <c r="K27" s="2"/>
    </row>
  </sheetData>
  <mergeCells count="2">
    <mergeCell ref="M2:M10"/>
    <mergeCell ref="M13:M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Tables (Q)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Ali</cp:lastModifiedBy>
  <dcterms:created xsi:type="dcterms:W3CDTF">2026-07-08T12:46:27Z</dcterms:created>
  <dcterms:modified xsi:type="dcterms:W3CDTF">2026-07-08T17:18:17Z</dcterms:modified>
</cp:coreProperties>
</file>